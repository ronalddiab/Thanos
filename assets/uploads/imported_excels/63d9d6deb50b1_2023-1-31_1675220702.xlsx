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ml.chartshapes+xml"/>
  <Override PartName="/xl/charts/chart17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dhakar appa\desktop\Report HLP 2020\HLP 2023\"/>
    </mc:Choice>
  </mc:AlternateContent>
  <xr:revisionPtr revIDLastSave="0" documentId="13_ncr:1_{91922AF1-F4A8-4D61-8454-1FF97C1E952F}" xr6:coauthVersionLast="47" xr6:coauthVersionMax="47" xr10:uidLastSave="{00000000-0000-0000-0000-000000000000}"/>
  <bookViews>
    <workbookView xWindow="-120" yWindow="-120" windowWidth="20730" windowHeight="11160" tabRatio="960" activeTab="1" xr2:uid="{00000000-000D-0000-FFFF-FFFF00000000}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 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50" r:id="rId39"/>
    <sheet name="Sheet2" sheetId="51" r:id="rId40"/>
    <sheet name="Sheet3" sheetId="52" r:id="rId41"/>
    <sheet name="Sheet4" sheetId="53" r:id="rId42"/>
  </sheets>
  <externalReferences>
    <externalReference r:id="rId43"/>
  </externalReferences>
  <definedNames>
    <definedName name="_xlnm.Print_Area" localSheetId="6">'1'!$A$1:$M$190</definedName>
    <definedName name="_xlnm.Print_Area" localSheetId="15">'10'!$A$1:$M$192</definedName>
    <definedName name="_xlnm.Print_Area" localSheetId="18">'13'!$A$1:$L$192</definedName>
    <definedName name="_xlnm.Print_Area" localSheetId="19">'14'!$A$1:$O$190</definedName>
    <definedName name="_xlnm.Print_Area" localSheetId="20">'15'!$A$1:$L$192</definedName>
    <definedName name="_xlnm.Print_Area" localSheetId="21">'16'!$A$1:$J$192</definedName>
    <definedName name="_xlnm.Print_Area" localSheetId="22">'17'!$A$1:$J$191</definedName>
    <definedName name="_xlnm.Print_Area" localSheetId="23">'18 '!$A$1:$J$190</definedName>
    <definedName name="_xlnm.Print_Area" localSheetId="24">'19'!$A$1:$J$190</definedName>
    <definedName name="_xlnm.Print_Area" localSheetId="25">'20'!$A$1:$J$190</definedName>
    <definedName name="_xlnm.Print_Area" localSheetId="26">'21'!$A$1:$J$192</definedName>
    <definedName name="_xlnm.Print_Area" localSheetId="27">'22'!$A$1:$J$192</definedName>
    <definedName name="_xlnm.Print_Area" localSheetId="28">'23'!$A$1:$J$190</definedName>
    <definedName name="_xlnm.Print_Area" localSheetId="29">'24'!$A$1:$J$192</definedName>
    <definedName name="_xlnm.Print_Area" localSheetId="30">'25'!$A$1:$J$192</definedName>
    <definedName name="_xlnm.Print_Area" localSheetId="31">'26'!$A$1:$J$191</definedName>
    <definedName name="_xlnm.Print_Area" localSheetId="32">'27'!$A$1:$J$192</definedName>
    <definedName name="_xlnm.Print_Area" localSheetId="33">'28'!$A$1:$J$190</definedName>
    <definedName name="_xlnm.Print_Area" localSheetId="34">'29'!$A$1:$R$190</definedName>
    <definedName name="_xlnm.Print_Area" localSheetId="8">'3'!$A$1:$M$190</definedName>
    <definedName name="_xlnm.Print_Area" localSheetId="35">'30'!$A$1:$J$189</definedName>
    <definedName name="_xlnm.Print_Area" localSheetId="36">'31'!$A$1:$J$190</definedName>
    <definedName name="_xlnm.Print_Area" localSheetId="9">'4'!$A$1:$J$189</definedName>
    <definedName name="_xlnm.Print_Area" localSheetId="10">'5'!$A$1:$N$196</definedName>
    <definedName name="_xlnm.Print_Area" localSheetId="11">'6'!$A$1:$J$192</definedName>
    <definedName name="_xlnm.Print_Area" localSheetId="12">'7'!$A$1:$J$194</definedName>
    <definedName name="_xlnm.Print_Area" localSheetId="13">'8'!$A$1:$J$190</definedName>
    <definedName name="_xlnm.Print_Area" localSheetId="14">'9'!$A$1:$J$191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4" i="40" l="1"/>
  <c r="E8" i="40"/>
  <c r="F173" i="24"/>
  <c r="E158" i="24"/>
  <c r="F77" i="24"/>
  <c r="F76" i="24"/>
  <c r="F15" i="24"/>
  <c r="E50" i="23"/>
  <c r="E51" i="23"/>
  <c r="E52" i="23"/>
  <c r="E53" i="23"/>
  <c r="E54" i="23"/>
  <c r="E55" i="23"/>
  <c r="E56" i="23"/>
  <c r="E57" i="23"/>
  <c r="E58" i="23"/>
  <c r="E86" i="21"/>
  <c r="E184" i="19"/>
  <c r="E50" i="21"/>
  <c r="E51" i="21"/>
  <c r="E52" i="21"/>
  <c r="E53" i="21"/>
  <c r="E54" i="21"/>
  <c r="E55" i="21"/>
  <c r="E56" i="21"/>
  <c r="E57" i="21"/>
  <c r="E58" i="21"/>
  <c r="E50" i="20"/>
  <c r="E51" i="20"/>
  <c r="E52" i="20"/>
  <c r="E53" i="20"/>
  <c r="E54" i="20"/>
  <c r="E55" i="20"/>
  <c r="E56" i="20"/>
  <c r="E57" i="20"/>
  <c r="E58" i="20"/>
  <c r="E50" i="22"/>
  <c r="E51" i="22"/>
  <c r="E52" i="22"/>
  <c r="E53" i="22"/>
  <c r="E54" i="22"/>
  <c r="E55" i="22"/>
  <c r="E56" i="22"/>
  <c r="E57" i="22"/>
  <c r="E58" i="22"/>
  <c r="E157" i="20"/>
  <c r="E133" i="20"/>
  <c r="E133" i="4"/>
  <c r="E89" i="3"/>
  <c r="E36" i="19" l="1"/>
  <c r="E37" i="19"/>
  <c r="E38" i="19"/>
  <c r="E39" i="19"/>
  <c r="E40" i="19"/>
  <c r="E41" i="19"/>
  <c r="E42" i="19"/>
  <c r="E43" i="19"/>
  <c r="E44" i="19"/>
  <c r="E45" i="19"/>
  <c r="E46" i="19"/>
  <c r="E156" i="17"/>
  <c r="E157" i="17"/>
  <c r="E158" i="17"/>
  <c r="E162" i="17"/>
  <c r="E163" i="17"/>
  <c r="E164" i="17"/>
  <c r="E165" i="17"/>
  <c r="E66" i="16"/>
  <c r="E67" i="16"/>
  <c r="E68" i="16"/>
  <c r="E69" i="16"/>
  <c r="E70" i="16"/>
  <c r="E66" i="17"/>
  <c r="E67" i="17"/>
  <c r="E68" i="17"/>
  <c r="E69" i="17"/>
  <c r="E70" i="17"/>
  <c r="E8" i="17"/>
  <c r="E9" i="17"/>
  <c r="E10" i="17"/>
  <c r="E11" i="17"/>
  <c r="E12" i="17"/>
  <c r="F71" i="12"/>
  <c r="E36" i="9"/>
  <c r="E37" i="9"/>
  <c r="E38" i="9"/>
  <c r="E39" i="9"/>
  <c r="E40" i="9"/>
  <c r="E41" i="9"/>
  <c r="E42" i="9"/>
  <c r="E43" i="9"/>
  <c r="E44" i="9"/>
  <c r="E45" i="9"/>
  <c r="E46" i="9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66" i="7"/>
  <c r="E67" i="7"/>
  <c r="E68" i="7"/>
  <c r="E69" i="7"/>
  <c r="E70" i="7"/>
  <c r="E139" i="33" l="1"/>
  <c r="E140" i="33"/>
  <c r="E141" i="33"/>
  <c r="E142" i="33"/>
  <c r="E143" i="33"/>
  <c r="E144" i="33"/>
  <c r="E145" i="33"/>
  <c r="E146" i="33"/>
  <c r="E147" i="33"/>
  <c r="E148" i="33"/>
  <c r="E149" i="33"/>
  <c r="E150" i="33"/>
  <c r="E151" i="33"/>
  <c r="E152" i="33"/>
  <c r="E129" i="33"/>
  <c r="E130" i="33"/>
  <c r="E131" i="33"/>
  <c r="E132" i="33"/>
  <c r="E133" i="33"/>
  <c r="E134" i="33"/>
  <c r="E178" i="3"/>
  <c r="H197" i="3"/>
  <c r="F68" i="2"/>
  <c r="E147" i="29"/>
  <c r="E41" i="25"/>
  <c r="G41" i="25" s="1"/>
  <c r="E74" i="25"/>
  <c r="E128" i="24"/>
  <c r="E184" i="24"/>
  <c r="E179" i="24"/>
  <c r="E180" i="24"/>
  <c r="E174" i="24"/>
  <c r="E175" i="24"/>
  <c r="E173" i="24"/>
  <c r="G173" i="24" s="1"/>
  <c r="E162" i="24"/>
  <c r="E163" i="24"/>
  <c r="E164" i="24"/>
  <c r="E165" i="24"/>
  <c r="G165" i="24" s="1"/>
  <c r="E156" i="24"/>
  <c r="E139" i="24"/>
  <c r="E140" i="24"/>
  <c r="E141" i="24"/>
  <c r="E142" i="24"/>
  <c r="E143" i="24"/>
  <c r="G143" i="24" s="1"/>
  <c r="X27" i="44" s="1"/>
  <c r="W24" i="49" s="1"/>
  <c r="E144" i="24"/>
  <c r="E145" i="24"/>
  <c r="E146" i="24"/>
  <c r="E147" i="24"/>
  <c r="G147" i="24" s="1"/>
  <c r="V27" i="44" s="1"/>
  <c r="U24" i="49" s="1"/>
  <c r="E148" i="24"/>
  <c r="E149" i="24"/>
  <c r="E150" i="24"/>
  <c r="E151" i="24"/>
  <c r="G151" i="24" s="1"/>
  <c r="Z27" i="44" s="1"/>
  <c r="Y24" i="49" s="1"/>
  <c r="E152" i="24"/>
  <c r="E129" i="24"/>
  <c r="E130" i="24"/>
  <c r="E131" i="24"/>
  <c r="E132" i="24"/>
  <c r="E133" i="24"/>
  <c r="E134" i="24"/>
  <c r="E129" i="23"/>
  <c r="G129" i="23" s="1"/>
  <c r="E130" i="23"/>
  <c r="G130" i="23" s="1"/>
  <c r="E131" i="23"/>
  <c r="E132" i="23"/>
  <c r="E133" i="23"/>
  <c r="G133" i="23" s="1"/>
  <c r="E134" i="23"/>
  <c r="E128" i="23"/>
  <c r="E113" i="24"/>
  <c r="E114" i="24"/>
  <c r="G114" i="24" s="1"/>
  <c r="E115" i="24"/>
  <c r="E116" i="24"/>
  <c r="E117" i="24"/>
  <c r="E118" i="24"/>
  <c r="G118" i="24" s="1"/>
  <c r="AG27" i="44" s="1"/>
  <c r="AF24" i="49" s="1"/>
  <c r="E119" i="24"/>
  <c r="E120" i="24"/>
  <c r="E121" i="24"/>
  <c r="E122" i="24"/>
  <c r="G122" i="24" s="1"/>
  <c r="AK27" i="44" s="1"/>
  <c r="AJ24" i="49" s="1"/>
  <c r="E123" i="24"/>
  <c r="E112" i="24"/>
  <c r="E83" i="24"/>
  <c r="E84" i="24"/>
  <c r="G84" i="24" s="1"/>
  <c r="E85" i="24"/>
  <c r="E86" i="24"/>
  <c r="E87" i="24"/>
  <c r="E88" i="24"/>
  <c r="E89" i="24"/>
  <c r="E90" i="24"/>
  <c r="E91" i="24"/>
  <c r="E92" i="24"/>
  <c r="E50" i="24"/>
  <c r="E51" i="24"/>
  <c r="E52" i="24"/>
  <c r="E53" i="24"/>
  <c r="E54" i="24"/>
  <c r="E55" i="24"/>
  <c r="E56" i="24"/>
  <c r="E57" i="24"/>
  <c r="E58" i="24"/>
  <c r="E49" i="24"/>
  <c r="E36" i="24"/>
  <c r="E37" i="24"/>
  <c r="G37" i="24" s="1"/>
  <c r="E38" i="24"/>
  <c r="E39" i="24"/>
  <c r="E40" i="24"/>
  <c r="E41" i="24"/>
  <c r="G41" i="24" s="1"/>
  <c r="E42" i="24"/>
  <c r="E43" i="24"/>
  <c r="E44" i="24"/>
  <c r="E45" i="24"/>
  <c r="E46" i="24"/>
  <c r="E8" i="24"/>
  <c r="E9" i="24"/>
  <c r="E10" i="24"/>
  <c r="G10" i="24" s="1"/>
  <c r="E11" i="24"/>
  <c r="E12" i="24"/>
  <c r="E7" i="24"/>
  <c r="G18" i="7"/>
  <c r="E8" i="23"/>
  <c r="E9" i="23"/>
  <c r="E10" i="23"/>
  <c r="E11" i="23"/>
  <c r="E12" i="23"/>
  <c r="E7" i="23"/>
  <c r="F24" i="22"/>
  <c r="F24" i="23"/>
  <c r="F24" i="21"/>
  <c r="F24" i="20"/>
  <c r="F24" i="19"/>
  <c r="F24" i="18"/>
  <c r="E24" i="18"/>
  <c r="E23" i="16"/>
  <c r="F24" i="15"/>
  <c r="G23" i="15"/>
  <c r="E139" i="22"/>
  <c r="E140" i="22"/>
  <c r="E141" i="22"/>
  <c r="E142" i="22"/>
  <c r="G142" i="22" s="1"/>
  <c r="R25" i="44" s="1"/>
  <c r="Q22" i="49" s="1"/>
  <c r="E143" i="22"/>
  <c r="E144" i="22"/>
  <c r="E145" i="22"/>
  <c r="E146" i="22"/>
  <c r="G146" i="22" s="1"/>
  <c r="T25" i="44" s="1"/>
  <c r="S22" i="49" s="1"/>
  <c r="E147" i="22"/>
  <c r="E148" i="22"/>
  <c r="E149" i="22"/>
  <c r="E150" i="22"/>
  <c r="G150" i="22" s="1"/>
  <c r="E151" i="22"/>
  <c r="E152" i="22"/>
  <c r="E179" i="21"/>
  <c r="G179" i="21" s="1"/>
  <c r="E180" i="21"/>
  <c r="G180" i="21" s="1"/>
  <c r="E174" i="21"/>
  <c r="G174" i="21" s="1"/>
  <c r="E175" i="21"/>
  <c r="G175" i="21" s="1"/>
  <c r="E162" i="21"/>
  <c r="E163" i="21"/>
  <c r="E164" i="21"/>
  <c r="E165" i="21"/>
  <c r="E156" i="21"/>
  <c r="E157" i="21"/>
  <c r="G157" i="21" s="1"/>
  <c r="H157" i="21" s="1"/>
  <c r="J157" i="21" s="1"/>
  <c r="E158" i="21"/>
  <c r="G158" i="21" s="1"/>
  <c r="H158" i="21" s="1"/>
  <c r="E139" i="21"/>
  <c r="E140" i="21"/>
  <c r="E141" i="21"/>
  <c r="G141" i="21" s="1"/>
  <c r="Q24" i="44" s="1"/>
  <c r="P21" i="49" s="1"/>
  <c r="E142" i="21"/>
  <c r="E143" i="21"/>
  <c r="E144" i="21"/>
  <c r="E145" i="21"/>
  <c r="E146" i="21"/>
  <c r="E147" i="21"/>
  <c r="E148" i="21"/>
  <c r="E149" i="21"/>
  <c r="G149" i="21" s="1"/>
  <c r="E150" i="21"/>
  <c r="E151" i="21"/>
  <c r="E152" i="21"/>
  <c r="E129" i="21"/>
  <c r="G129" i="21" s="1"/>
  <c r="E130" i="21"/>
  <c r="E131" i="21"/>
  <c r="E132" i="21"/>
  <c r="E133" i="21"/>
  <c r="G133" i="21" s="1"/>
  <c r="E134" i="21"/>
  <c r="E113" i="21"/>
  <c r="E114" i="21"/>
  <c r="E115" i="21"/>
  <c r="E116" i="21"/>
  <c r="E117" i="21"/>
  <c r="E118" i="21"/>
  <c r="E119" i="21"/>
  <c r="E120" i="21"/>
  <c r="E121" i="21"/>
  <c r="E122" i="21"/>
  <c r="E123" i="21"/>
  <c r="E83" i="21"/>
  <c r="E85" i="21"/>
  <c r="E87" i="21"/>
  <c r="E88" i="21"/>
  <c r="G88" i="21" s="1"/>
  <c r="E89" i="21"/>
  <c r="E90" i="21"/>
  <c r="E91" i="21"/>
  <c r="E92" i="21"/>
  <c r="G92" i="21" s="1"/>
  <c r="AL23" i="1" s="1"/>
  <c r="E75" i="21"/>
  <c r="E76" i="21"/>
  <c r="E77" i="21"/>
  <c r="E78" i="21"/>
  <c r="E79" i="21"/>
  <c r="E66" i="21"/>
  <c r="E67" i="21"/>
  <c r="E68" i="21"/>
  <c r="G68" i="21" s="1"/>
  <c r="W13" i="45" s="1"/>
  <c r="E69" i="21"/>
  <c r="E70" i="21"/>
  <c r="E63" i="21"/>
  <c r="G50" i="21"/>
  <c r="G54" i="21"/>
  <c r="BD23" i="1" s="1"/>
  <c r="E36" i="21"/>
  <c r="E37" i="21"/>
  <c r="E38" i="21"/>
  <c r="E39" i="21"/>
  <c r="E40" i="21"/>
  <c r="E41" i="21"/>
  <c r="E42" i="21"/>
  <c r="E43" i="21"/>
  <c r="E44" i="21"/>
  <c r="E45" i="21"/>
  <c r="E46" i="21"/>
  <c r="E8" i="21"/>
  <c r="G8" i="21" s="1"/>
  <c r="E9" i="21"/>
  <c r="E10" i="21"/>
  <c r="E11" i="21"/>
  <c r="E12" i="21"/>
  <c r="E7" i="21"/>
  <c r="E35" i="19"/>
  <c r="E7" i="19"/>
  <c r="E115" i="17"/>
  <c r="E162" i="12"/>
  <c r="E113" i="12"/>
  <c r="E24" i="12"/>
  <c r="E62" i="10"/>
  <c r="E7" i="9"/>
  <c r="E8" i="5"/>
  <c r="E8" i="4"/>
  <c r="E158" i="3"/>
  <c r="N15" i="31"/>
  <c r="N8" i="31"/>
  <c r="N7" i="31"/>
  <c r="J16" i="31"/>
  <c r="E15" i="30"/>
  <c r="G15" i="30" s="1"/>
  <c r="E7" i="30"/>
  <c r="G7" i="30" s="1"/>
  <c r="E123" i="29"/>
  <c r="E112" i="29"/>
  <c r="G112" i="29" s="1"/>
  <c r="E113" i="29"/>
  <c r="E114" i="29"/>
  <c r="E115" i="29"/>
  <c r="E7" i="29"/>
  <c r="G7" i="29" s="1"/>
  <c r="E8" i="29"/>
  <c r="E9" i="29"/>
  <c r="E10" i="29"/>
  <c r="E11" i="29"/>
  <c r="E15" i="29"/>
  <c r="E15" i="28"/>
  <c r="E15" i="27"/>
  <c r="F191" i="27"/>
  <c r="E68" i="27"/>
  <c r="G68" i="27" s="1"/>
  <c r="AC13" i="45" s="1"/>
  <c r="E15" i="40"/>
  <c r="E15" i="25"/>
  <c r="E15" i="24"/>
  <c r="E15" i="23"/>
  <c r="E15" i="22"/>
  <c r="E7" i="22"/>
  <c r="E15" i="21"/>
  <c r="E15" i="20"/>
  <c r="G15" i="20"/>
  <c r="E8" i="20"/>
  <c r="E9" i="20"/>
  <c r="E10" i="20"/>
  <c r="E11" i="20"/>
  <c r="G11" i="20" s="1"/>
  <c r="E12" i="20"/>
  <c r="E113" i="19"/>
  <c r="E114" i="19"/>
  <c r="E115" i="19"/>
  <c r="E116" i="19"/>
  <c r="E117" i="19"/>
  <c r="E118" i="19"/>
  <c r="E119" i="19"/>
  <c r="G119" i="19" s="1"/>
  <c r="AH22" i="44" s="1"/>
  <c r="AG19" i="49" s="1"/>
  <c r="E120" i="19"/>
  <c r="E121" i="19"/>
  <c r="E122" i="19"/>
  <c r="E123" i="19"/>
  <c r="G123" i="19" s="1"/>
  <c r="AL22" i="44" s="1"/>
  <c r="AK19" i="49" s="1"/>
  <c r="E66" i="19"/>
  <c r="E67" i="19"/>
  <c r="E68" i="19"/>
  <c r="E69" i="19"/>
  <c r="G69" i="19" s="1"/>
  <c r="E70" i="19"/>
  <c r="E50" i="19"/>
  <c r="E51" i="19"/>
  <c r="E52" i="19"/>
  <c r="E53" i="19"/>
  <c r="E54" i="19"/>
  <c r="E55" i="19"/>
  <c r="E56" i="19"/>
  <c r="G56" i="19" s="1"/>
  <c r="BF21" i="1" s="1"/>
  <c r="E57" i="19"/>
  <c r="E58" i="19"/>
  <c r="G38" i="19"/>
  <c r="G42" i="19"/>
  <c r="E15" i="19"/>
  <c r="E15" i="18"/>
  <c r="E29" i="18"/>
  <c r="E15" i="17"/>
  <c r="E115" i="16"/>
  <c r="E15" i="16"/>
  <c r="G15" i="16" s="1"/>
  <c r="E139" i="14"/>
  <c r="E140" i="14"/>
  <c r="E141" i="14"/>
  <c r="E142" i="14"/>
  <c r="G142" i="14" s="1"/>
  <c r="E143" i="14"/>
  <c r="E144" i="14"/>
  <c r="G144" i="14" s="1"/>
  <c r="U17" i="44" s="1"/>
  <c r="T14" i="49" s="1"/>
  <c r="E145" i="14"/>
  <c r="E146" i="14"/>
  <c r="G146" i="14" s="1"/>
  <c r="T17" i="44" s="1"/>
  <c r="S14" i="49" s="1"/>
  <c r="E147" i="14"/>
  <c r="E148" i="14"/>
  <c r="G148" i="14" s="1"/>
  <c r="W17" i="44" s="1"/>
  <c r="V14" i="49" s="1"/>
  <c r="E149" i="14"/>
  <c r="E150" i="14"/>
  <c r="E151" i="14"/>
  <c r="E152" i="14"/>
  <c r="G152" i="14" s="1"/>
  <c r="E139" i="15"/>
  <c r="E140" i="15"/>
  <c r="G140" i="15" s="1"/>
  <c r="E141" i="15"/>
  <c r="E142" i="15"/>
  <c r="E143" i="15"/>
  <c r="E144" i="15"/>
  <c r="G144" i="15" s="1"/>
  <c r="U18" i="44" s="1"/>
  <c r="T15" i="49" s="1"/>
  <c r="E145" i="15"/>
  <c r="E146" i="15"/>
  <c r="G146" i="15" s="1"/>
  <c r="T18" i="44" s="1"/>
  <c r="S15" i="49" s="1"/>
  <c r="E147" i="15"/>
  <c r="E148" i="15"/>
  <c r="G148" i="15" s="1"/>
  <c r="W18" i="44" s="1"/>
  <c r="V15" i="49" s="1"/>
  <c r="E149" i="15"/>
  <c r="E150" i="15"/>
  <c r="E151" i="15"/>
  <c r="E152" i="15"/>
  <c r="G152" i="15" s="1"/>
  <c r="E179" i="15"/>
  <c r="E180" i="15"/>
  <c r="E174" i="15"/>
  <c r="E175" i="15"/>
  <c r="G175" i="15" s="1"/>
  <c r="Q19" i="45" s="1"/>
  <c r="AW15" i="49" s="1"/>
  <c r="E162" i="15"/>
  <c r="E163" i="15"/>
  <c r="E164" i="15"/>
  <c r="E165" i="15"/>
  <c r="G165" i="15" s="1"/>
  <c r="E161" i="15"/>
  <c r="E156" i="15"/>
  <c r="E157" i="15"/>
  <c r="E158" i="15"/>
  <c r="G158" i="15" s="1"/>
  <c r="E155" i="15"/>
  <c r="E113" i="15"/>
  <c r="E114" i="15"/>
  <c r="E115" i="15"/>
  <c r="G115" i="15" s="1"/>
  <c r="E116" i="15"/>
  <c r="E117" i="15"/>
  <c r="E118" i="15"/>
  <c r="E119" i="15"/>
  <c r="G119" i="15" s="1"/>
  <c r="AH18" i="44" s="1"/>
  <c r="AG15" i="49" s="1"/>
  <c r="E120" i="15"/>
  <c r="E121" i="15"/>
  <c r="E122" i="15"/>
  <c r="E123" i="15"/>
  <c r="G123" i="15" s="1"/>
  <c r="AL18" i="44" s="1"/>
  <c r="AK15" i="49" s="1"/>
  <c r="E83" i="15"/>
  <c r="E84" i="15"/>
  <c r="E85" i="15"/>
  <c r="E86" i="15"/>
  <c r="G86" i="15" s="1"/>
  <c r="AB17" i="1" s="1"/>
  <c r="E87" i="15"/>
  <c r="E88" i="15"/>
  <c r="E89" i="15"/>
  <c r="E90" i="15"/>
  <c r="G90" i="15" s="1"/>
  <c r="E91" i="15"/>
  <c r="E92" i="15"/>
  <c r="E63" i="15"/>
  <c r="E36" i="15"/>
  <c r="G36" i="15" s="1"/>
  <c r="E37" i="15"/>
  <c r="E38" i="15"/>
  <c r="E39" i="15"/>
  <c r="E40" i="15"/>
  <c r="G40" i="15" s="1"/>
  <c r="AT17" i="1" s="1"/>
  <c r="E41" i="15"/>
  <c r="E42" i="15"/>
  <c r="E43" i="15"/>
  <c r="E44" i="15"/>
  <c r="E45" i="15"/>
  <c r="E46" i="15"/>
  <c r="E174" i="13"/>
  <c r="E175" i="13"/>
  <c r="G175" i="13" s="1"/>
  <c r="E173" i="13"/>
  <c r="E174" i="14"/>
  <c r="E175" i="14"/>
  <c r="E156" i="14"/>
  <c r="G156" i="14" s="1"/>
  <c r="E157" i="14"/>
  <c r="E158" i="14"/>
  <c r="G158" i="14" s="1"/>
  <c r="E155" i="14"/>
  <c r="E134" i="14"/>
  <c r="G134" i="14" s="1"/>
  <c r="E10" i="14"/>
  <c r="E158" i="13"/>
  <c r="G158" i="13" s="1"/>
  <c r="E157" i="13"/>
  <c r="E134" i="13"/>
  <c r="G134" i="13" s="1"/>
  <c r="E50" i="13"/>
  <c r="E43" i="13"/>
  <c r="E15" i="15"/>
  <c r="E118" i="12"/>
  <c r="E54" i="12"/>
  <c r="O8" i="12"/>
  <c r="P8" i="12" s="1"/>
  <c r="H159" i="10"/>
  <c r="J159" i="10" s="1"/>
  <c r="E7" i="8"/>
  <c r="E8" i="8"/>
  <c r="E7" i="7"/>
  <c r="G7" i="7" s="1"/>
  <c r="E7" i="3"/>
  <c r="E129" i="30"/>
  <c r="E130" i="30"/>
  <c r="E131" i="30"/>
  <c r="E132" i="30"/>
  <c r="E133" i="30"/>
  <c r="E134" i="30"/>
  <c r="E8" i="30"/>
  <c r="E9" i="30"/>
  <c r="E10" i="30"/>
  <c r="E11" i="30"/>
  <c r="E12" i="30"/>
  <c r="E41" i="27"/>
  <c r="E151" i="25"/>
  <c r="G151" i="25" s="1"/>
  <c r="Z28" i="44" s="1"/>
  <c r="Y25" i="49" s="1"/>
  <c r="E112" i="23"/>
  <c r="G112" i="23" s="1"/>
  <c r="E113" i="23"/>
  <c r="E114" i="23"/>
  <c r="E115" i="23"/>
  <c r="E123" i="23"/>
  <c r="E36" i="20"/>
  <c r="E37" i="20"/>
  <c r="E38" i="20"/>
  <c r="G38" i="20" s="1"/>
  <c r="E39" i="20"/>
  <c r="G39" i="20" s="1"/>
  <c r="E40" i="20"/>
  <c r="E41" i="20"/>
  <c r="E42" i="20"/>
  <c r="E43" i="20"/>
  <c r="G43" i="20" s="1"/>
  <c r="E44" i="20"/>
  <c r="E45" i="20"/>
  <c r="E46" i="20"/>
  <c r="E118" i="20"/>
  <c r="G118" i="20" s="1"/>
  <c r="AG23" i="44" s="1"/>
  <c r="AF20" i="49" s="1"/>
  <c r="E113" i="20"/>
  <c r="G113" i="20" s="1"/>
  <c r="E114" i="20"/>
  <c r="E115" i="20"/>
  <c r="E116" i="20"/>
  <c r="G116" i="20" s="1"/>
  <c r="AE23" i="44" s="1"/>
  <c r="AD20" i="49" s="1"/>
  <c r="E117" i="20"/>
  <c r="E119" i="20"/>
  <c r="E120" i="20"/>
  <c r="E121" i="20"/>
  <c r="G121" i="20" s="1"/>
  <c r="AJ23" i="44" s="1"/>
  <c r="AI20" i="49" s="1"/>
  <c r="E122" i="20"/>
  <c r="E123" i="20"/>
  <c r="E168" i="19"/>
  <c r="E167" i="19"/>
  <c r="E166" i="19"/>
  <c r="E165" i="19"/>
  <c r="E164" i="19"/>
  <c r="G164" i="19" s="1"/>
  <c r="E163" i="19"/>
  <c r="E162" i="19"/>
  <c r="E83" i="19"/>
  <c r="E84" i="19"/>
  <c r="G84" i="19" s="1"/>
  <c r="E85" i="19"/>
  <c r="E86" i="19"/>
  <c r="E87" i="19"/>
  <c r="E88" i="19"/>
  <c r="G88" i="19" s="1"/>
  <c r="E89" i="19"/>
  <c r="E90" i="19"/>
  <c r="E91" i="19"/>
  <c r="E92" i="19"/>
  <c r="E83" i="18"/>
  <c r="E84" i="18"/>
  <c r="E85" i="18"/>
  <c r="G85" i="18" s="1"/>
  <c r="E86" i="18"/>
  <c r="E87" i="18"/>
  <c r="E88" i="18"/>
  <c r="E89" i="18"/>
  <c r="E90" i="18"/>
  <c r="E91" i="18"/>
  <c r="E92" i="18"/>
  <c r="E50" i="18"/>
  <c r="E51" i="18"/>
  <c r="E52" i="18"/>
  <c r="E53" i="18"/>
  <c r="E54" i="18"/>
  <c r="E55" i="18"/>
  <c r="E56" i="18"/>
  <c r="E57" i="18"/>
  <c r="E58" i="18"/>
  <c r="E36" i="18"/>
  <c r="E37" i="18"/>
  <c r="E38" i="18"/>
  <c r="G38" i="18" s="1"/>
  <c r="E39" i="18"/>
  <c r="E40" i="18"/>
  <c r="E41" i="18"/>
  <c r="E42" i="18"/>
  <c r="G42" i="18" s="1"/>
  <c r="E43" i="18"/>
  <c r="E44" i="18"/>
  <c r="E45" i="18"/>
  <c r="E46" i="18"/>
  <c r="E11" i="18"/>
  <c r="E12" i="18"/>
  <c r="E50" i="17"/>
  <c r="E51" i="17"/>
  <c r="G51" i="17" s="1"/>
  <c r="E52" i="17"/>
  <c r="E53" i="17"/>
  <c r="E54" i="17"/>
  <c r="E55" i="17"/>
  <c r="G55" i="17" s="1"/>
  <c r="E56" i="17"/>
  <c r="E57" i="17"/>
  <c r="E58" i="17"/>
  <c r="E36" i="17"/>
  <c r="E37" i="17"/>
  <c r="E38" i="17"/>
  <c r="E39" i="17"/>
  <c r="E40" i="17"/>
  <c r="E41" i="17"/>
  <c r="E42" i="17"/>
  <c r="E43" i="17"/>
  <c r="E44" i="17"/>
  <c r="E45" i="17"/>
  <c r="E46" i="17"/>
  <c r="E113" i="17"/>
  <c r="E114" i="17"/>
  <c r="G114" i="17" s="1"/>
  <c r="E116" i="17"/>
  <c r="E117" i="17"/>
  <c r="E118" i="17"/>
  <c r="E119" i="17"/>
  <c r="G119" i="17" s="1"/>
  <c r="AH20" i="44" s="1"/>
  <c r="AG17" i="49" s="1"/>
  <c r="E120" i="17"/>
  <c r="E121" i="17"/>
  <c r="E122" i="17"/>
  <c r="E123" i="17"/>
  <c r="E178" i="12"/>
  <c r="E158" i="12"/>
  <c r="G158" i="12" s="1"/>
  <c r="E157" i="12"/>
  <c r="G157" i="12" s="1"/>
  <c r="E158" i="11"/>
  <c r="G158" i="11" s="1"/>
  <c r="E157" i="11"/>
  <c r="G157" i="11" s="1"/>
  <c r="E158" i="10"/>
  <c r="G158" i="10" s="1"/>
  <c r="E157" i="10"/>
  <c r="G157" i="10" s="1"/>
  <c r="E118" i="10"/>
  <c r="E50" i="10"/>
  <c r="E51" i="10"/>
  <c r="E52" i="10"/>
  <c r="E53" i="10"/>
  <c r="E54" i="10"/>
  <c r="E55" i="10"/>
  <c r="E56" i="10"/>
  <c r="E57" i="10"/>
  <c r="E58" i="10"/>
  <c r="E49" i="10"/>
  <c r="E36" i="10"/>
  <c r="E37" i="10"/>
  <c r="E38" i="10"/>
  <c r="E39" i="10"/>
  <c r="E40" i="10"/>
  <c r="E41" i="10"/>
  <c r="E42" i="10"/>
  <c r="E43" i="10"/>
  <c r="E44" i="10"/>
  <c r="E45" i="10"/>
  <c r="E46" i="10"/>
  <c r="E35" i="10"/>
  <c r="E8" i="10"/>
  <c r="E3" i="48"/>
  <c r="E4" i="48"/>
  <c r="E5" i="48"/>
  <c r="E6" i="48"/>
  <c r="E7" i="48"/>
  <c r="E8" i="48"/>
  <c r="E9" i="48"/>
  <c r="E10" i="48"/>
  <c r="E11" i="48"/>
  <c r="E12" i="48"/>
  <c r="E13" i="48"/>
  <c r="E14" i="48"/>
  <c r="E15" i="48"/>
  <c r="E16" i="48"/>
  <c r="E17" i="48"/>
  <c r="E18" i="48"/>
  <c r="E19" i="48"/>
  <c r="E20" i="48"/>
  <c r="E21" i="48"/>
  <c r="E22" i="48"/>
  <c r="E23" i="48"/>
  <c r="E24" i="48"/>
  <c r="E25" i="48"/>
  <c r="E26" i="48"/>
  <c r="E27" i="48"/>
  <c r="E28" i="48"/>
  <c r="E29" i="48"/>
  <c r="E30" i="48"/>
  <c r="E31" i="48"/>
  <c r="E32" i="48"/>
  <c r="E2" i="48"/>
  <c r="E157" i="8"/>
  <c r="G157" i="8" s="1"/>
  <c r="E158" i="8"/>
  <c r="G158" i="8" s="1"/>
  <c r="E157" i="9"/>
  <c r="G157" i="9" s="1"/>
  <c r="E158" i="9"/>
  <c r="G158" i="9" s="1"/>
  <c r="E157" i="7"/>
  <c r="G157" i="7" s="1"/>
  <c r="E158" i="7"/>
  <c r="G158" i="7" s="1"/>
  <c r="E113" i="5"/>
  <c r="E114" i="5"/>
  <c r="E115" i="5"/>
  <c r="E116" i="5"/>
  <c r="E117" i="5"/>
  <c r="E118" i="5"/>
  <c r="E119" i="5"/>
  <c r="E120" i="5"/>
  <c r="E121" i="5"/>
  <c r="E122" i="5"/>
  <c r="E123" i="5"/>
  <c r="E50" i="5"/>
  <c r="E51" i="5"/>
  <c r="E52" i="5"/>
  <c r="E53" i="5"/>
  <c r="E54" i="5"/>
  <c r="E55" i="5"/>
  <c r="E56" i="5"/>
  <c r="E57" i="5"/>
  <c r="E58" i="5"/>
  <c r="E36" i="5"/>
  <c r="E37" i="5"/>
  <c r="E38" i="5"/>
  <c r="E39" i="5"/>
  <c r="E40" i="5"/>
  <c r="E41" i="5"/>
  <c r="E42" i="5"/>
  <c r="E43" i="5"/>
  <c r="E44" i="5"/>
  <c r="E45" i="5"/>
  <c r="E46" i="5"/>
  <c r="E9" i="5"/>
  <c r="E10" i="5"/>
  <c r="E11" i="5"/>
  <c r="E12" i="5"/>
  <c r="E156" i="43"/>
  <c r="E157" i="43"/>
  <c r="G157" i="43" s="1"/>
  <c r="E158" i="43"/>
  <c r="E152" i="43"/>
  <c r="G152" i="43" s="1"/>
  <c r="E132" i="43"/>
  <c r="E68" i="43"/>
  <c r="E56" i="43"/>
  <c r="E139" i="30"/>
  <c r="G139" i="30" s="1"/>
  <c r="O33" i="44" s="1"/>
  <c r="N30" i="49" s="1"/>
  <c r="E140" i="30"/>
  <c r="E141" i="30"/>
  <c r="E142" i="30"/>
  <c r="E143" i="30"/>
  <c r="G143" i="30" s="1"/>
  <c r="X33" i="44" s="1"/>
  <c r="W30" i="49" s="1"/>
  <c r="E144" i="30"/>
  <c r="E145" i="30"/>
  <c r="E146" i="30"/>
  <c r="G146" i="30" s="1"/>
  <c r="E147" i="30"/>
  <c r="G147" i="30" s="1"/>
  <c r="V33" i="44" s="1"/>
  <c r="U30" i="49" s="1"/>
  <c r="E148" i="30"/>
  <c r="E149" i="30"/>
  <c r="E150" i="30"/>
  <c r="E151" i="30"/>
  <c r="G151" i="30" s="1"/>
  <c r="Z33" i="44" s="1"/>
  <c r="Y30" i="49" s="1"/>
  <c r="E152" i="30"/>
  <c r="G152" i="30" s="1"/>
  <c r="E113" i="30"/>
  <c r="G113" i="30" s="1"/>
  <c r="E114" i="30"/>
  <c r="E115" i="30"/>
  <c r="E116" i="30"/>
  <c r="E117" i="30"/>
  <c r="E118" i="30"/>
  <c r="E119" i="30"/>
  <c r="E120" i="30"/>
  <c r="E121" i="30"/>
  <c r="E122" i="30"/>
  <c r="E123" i="30"/>
  <c r="G123" i="30" s="1"/>
  <c r="AL33" i="44" s="1"/>
  <c r="AK30" i="49" s="1"/>
  <c r="E112" i="30"/>
  <c r="G112" i="30" s="1"/>
  <c r="E116" i="29"/>
  <c r="E117" i="29"/>
  <c r="G117" i="29" s="1"/>
  <c r="AF32" i="44" s="1"/>
  <c r="AE29" i="49" s="1"/>
  <c r="E118" i="29"/>
  <c r="E119" i="29"/>
  <c r="E120" i="29"/>
  <c r="E121" i="29"/>
  <c r="G121" i="29" s="1"/>
  <c r="AJ32" i="44" s="1"/>
  <c r="AI29" i="49" s="1"/>
  <c r="E122" i="29"/>
  <c r="E19" i="28"/>
  <c r="E11" i="28"/>
  <c r="E12" i="28"/>
  <c r="E50" i="27"/>
  <c r="E51" i="27"/>
  <c r="E52" i="27"/>
  <c r="G52" i="27" s="1"/>
  <c r="BB29" i="1" s="1"/>
  <c r="E53" i="27"/>
  <c r="E54" i="27"/>
  <c r="E55" i="27"/>
  <c r="E56" i="27"/>
  <c r="G56" i="27" s="1"/>
  <c r="BF29" i="1" s="1"/>
  <c r="E57" i="27"/>
  <c r="E58" i="27"/>
  <c r="E139" i="27"/>
  <c r="E140" i="27"/>
  <c r="G140" i="27" s="1"/>
  <c r="P30" i="44" s="1"/>
  <c r="O27" i="49" s="1"/>
  <c r="E141" i="27"/>
  <c r="E142" i="27"/>
  <c r="E143" i="27"/>
  <c r="E144" i="27"/>
  <c r="G144" i="27" s="1"/>
  <c r="U30" i="44" s="1"/>
  <c r="T27" i="49" s="1"/>
  <c r="E145" i="27"/>
  <c r="E146" i="27"/>
  <c r="E147" i="27"/>
  <c r="E148" i="27"/>
  <c r="G148" i="27" s="1"/>
  <c r="W30" i="44" s="1"/>
  <c r="V27" i="49" s="1"/>
  <c r="E149" i="27"/>
  <c r="E150" i="27"/>
  <c r="E151" i="27"/>
  <c r="E152" i="27"/>
  <c r="G152" i="27" s="1"/>
  <c r="E66" i="27"/>
  <c r="E67" i="27"/>
  <c r="E69" i="27"/>
  <c r="E70" i="27"/>
  <c r="G70" i="27" s="1"/>
  <c r="AC15" i="45" s="1"/>
  <c r="G159" i="12"/>
  <c r="H159" i="12" s="1"/>
  <c r="J159" i="12" s="1"/>
  <c r="E36" i="11"/>
  <c r="E37" i="11"/>
  <c r="E38" i="11"/>
  <c r="E39" i="11"/>
  <c r="E40" i="11"/>
  <c r="E41" i="11"/>
  <c r="E42" i="11"/>
  <c r="E43" i="11"/>
  <c r="E44" i="11"/>
  <c r="E45" i="11"/>
  <c r="E46" i="11"/>
  <c r="E139" i="10"/>
  <c r="E140" i="10"/>
  <c r="E141" i="10"/>
  <c r="E142" i="10"/>
  <c r="E143" i="10"/>
  <c r="E144" i="10"/>
  <c r="E145" i="10"/>
  <c r="G145" i="10" s="1"/>
  <c r="S13" i="44" s="1"/>
  <c r="R10" i="49" s="1"/>
  <c r="E146" i="10"/>
  <c r="E147" i="10"/>
  <c r="E148" i="10"/>
  <c r="E149" i="10"/>
  <c r="G149" i="10" s="1"/>
  <c r="E150" i="10"/>
  <c r="E151" i="10"/>
  <c r="E152" i="10"/>
  <c r="E113" i="10"/>
  <c r="E114" i="10"/>
  <c r="E115" i="10"/>
  <c r="E116" i="10"/>
  <c r="E117" i="10"/>
  <c r="E119" i="10"/>
  <c r="E120" i="10"/>
  <c r="E121" i="10"/>
  <c r="E122" i="10"/>
  <c r="E123" i="10"/>
  <c r="E75" i="9"/>
  <c r="E76" i="9"/>
  <c r="E77" i="9"/>
  <c r="E78" i="9"/>
  <c r="E85" i="5"/>
  <c r="E85" i="33"/>
  <c r="E90" i="3"/>
  <c r="E90" i="4"/>
  <c r="E40" i="4"/>
  <c r="G91" i="2"/>
  <c r="E40" i="3"/>
  <c r="E157" i="29"/>
  <c r="G157" i="29" s="1"/>
  <c r="E158" i="29"/>
  <c r="G158" i="29" s="1"/>
  <c r="E66" i="40"/>
  <c r="E67" i="40"/>
  <c r="E68" i="40"/>
  <c r="G68" i="40" s="1"/>
  <c r="AB13" i="45" s="1"/>
  <c r="E69" i="40"/>
  <c r="E70" i="40"/>
  <c r="E50" i="12"/>
  <c r="E51" i="12"/>
  <c r="E52" i="12"/>
  <c r="E53" i="12"/>
  <c r="E55" i="12"/>
  <c r="E56" i="12"/>
  <c r="E57" i="12"/>
  <c r="E58" i="12"/>
  <c r="E50" i="11"/>
  <c r="E51" i="11"/>
  <c r="E52" i="11"/>
  <c r="E53" i="11"/>
  <c r="E54" i="11"/>
  <c r="E55" i="11"/>
  <c r="E56" i="11"/>
  <c r="E57" i="11"/>
  <c r="E58" i="11"/>
  <c r="E139" i="11"/>
  <c r="E140" i="11"/>
  <c r="E141" i="11"/>
  <c r="E142" i="11"/>
  <c r="E143" i="11"/>
  <c r="E144" i="11"/>
  <c r="G144" i="11" s="1"/>
  <c r="E145" i="11"/>
  <c r="E146" i="11"/>
  <c r="G146" i="11" s="1"/>
  <c r="T14" i="44" s="1"/>
  <c r="S11" i="49" s="1"/>
  <c r="E147" i="11"/>
  <c r="E148" i="11"/>
  <c r="E149" i="11"/>
  <c r="G149" i="11" s="1"/>
  <c r="E150" i="11"/>
  <c r="G150" i="11" s="1"/>
  <c r="E151" i="11"/>
  <c r="E152" i="11"/>
  <c r="E129" i="11"/>
  <c r="E130" i="11"/>
  <c r="E131" i="11"/>
  <c r="E132" i="11"/>
  <c r="E133" i="11"/>
  <c r="E134" i="11"/>
  <c r="G134" i="11" s="1"/>
  <c r="E156" i="10"/>
  <c r="G156" i="10" s="1"/>
  <c r="E9" i="10"/>
  <c r="E10" i="10"/>
  <c r="E11" i="10"/>
  <c r="E12" i="10"/>
  <c r="E113" i="9"/>
  <c r="E114" i="9"/>
  <c r="E115" i="9"/>
  <c r="E116" i="9"/>
  <c r="E117" i="9"/>
  <c r="E118" i="9"/>
  <c r="E119" i="9"/>
  <c r="E120" i="9"/>
  <c r="E121" i="9"/>
  <c r="E122" i="9"/>
  <c r="E123" i="9"/>
  <c r="E42" i="4"/>
  <c r="O86" i="3"/>
  <c r="G158" i="43"/>
  <c r="E66" i="28"/>
  <c r="E67" i="28"/>
  <c r="E68" i="28"/>
  <c r="E69" i="28"/>
  <c r="E70" i="28"/>
  <c r="E11" i="27"/>
  <c r="E12" i="27"/>
  <c r="E156" i="40"/>
  <c r="E157" i="40"/>
  <c r="G157" i="40" s="1"/>
  <c r="E158" i="40"/>
  <c r="G158" i="40" s="1"/>
  <c r="E129" i="25"/>
  <c r="E130" i="25"/>
  <c r="G130" i="25" s="1"/>
  <c r="E131" i="25"/>
  <c r="E132" i="25"/>
  <c r="E134" i="25"/>
  <c r="G134" i="25" s="1"/>
  <c r="E36" i="40"/>
  <c r="E37" i="40"/>
  <c r="G37" i="40" s="1"/>
  <c r="E38" i="40"/>
  <c r="E39" i="40"/>
  <c r="E40" i="40"/>
  <c r="E41" i="40"/>
  <c r="E42" i="40"/>
  <c r="E43" i="40"/>
  <c r="E44" i="40"/>
  <c r="E45" i="40"/>
  <c r="E46" i="40"/>
  <c r="E11" i="40"/>
  <c r="E12" i="40"/>
  <c r="E156" i="25"/>
  <c r="E157" i="25"/>
  <c r="G157" i="25" s="1"/>
  <c r="E158" i="25"/>
  <c r="E157" i="23"/>
  <c r="G157" i="23" s="1"/>
  <c r="E158" i="23"/>
  <c r="G158" i="23" s="1"/>
  <c r="E149" i="20"/>
  <c r="G9" i="50"/>
  <c r="E12" i="19"/>
  <c r="E11" i="19"/>
  <c r="G11" i="19" s="1"/>
  <c r="E132" i="18"/>
  <c r="E158" i="19"/>
  <c r="G158" i="19" s="1"/>
  <c r="E157" i="16"/>
  <c r="G157" i="16" s="1"/>
  <c r="E158" i="16"/>
  <c r="G158" i="16" s="1"/>
  <c r="E150" i="16"/>
  <c r="G157" i="15"/>
  <c r="G157" i="14"/>
  <c r="G157" i="13"/>
  <c r="E36" i="12"/>
  <c r="E37" i="12"/>
  <c r="E38" i="12"/>
  <c r="E39" i="12"/>
  <c r="E40" i="12"/>
  <c r="E41" i="12"/>
  <c r="E42" i="12"/>
  <c r="E43" i="12"/>
  <c r="E44" i="12"/>
  <c r="E45" i="12"/>
  <c r="E46" i="12"/>
  <c r="J159" i="33"/>
  <c r="E156" i="33"/>
  <c r="E157" i="33"/>
  <c r="G157" i="33" s="1"/>
  <c r="E158" i="33"/>
  <c r="G158" i="33" s="1"/>
  <c r="E157" i="5"/>
  <c r="G157" i="5" s="1"/>
  <c r="E158" i="5"/>
  <c r="G158" i="5" s="1"/>
  <c r="E156" i="4"/>
  <c r="G156" i="4" s="1"/>
  <c r="E157" i="4"/>
  <c r="G157" i="4" s="1"/>
  <c r="E158" i="4"/>
  <c r="G158" i="4" s="1"/>
  <c r="G158" i="3"/>
  <c r="E156" i="3"/>
  <c r="E157" i="3"/>
  <c r="G157" i="3" s="1"/>
  <c r="E161" i="3"/>
  <c r="G164" i="2"/>
  <c r="G158" i="2"/>
  <c r="H158" i="2" s="1"/>
  <c r="G157" i="2"/>
  <c r="H157" i="2" s="1"/>
  <c r="G156" i="31"/>
  <c r="G157" i="31"/>
  <c r="G158" i="31"/>
  <c r="E139" i="43"/>
  <c r="E140" i="43"/>
  <c r="E141" i="43"/>
  <c r="E142" i="43"/>
  <c r="E143" i="43"/>
  <c r="G143" i="43" s="1"/>
  <c r="X34" i="44" s="1"/>
  <c r="W31" i="49" s="1"/>
  <c r="E144" i="43"/>
  <c r="G144" i="43" s="1"/>
  <c r="U34" i="44" s="1"/>
  <c r="E146" i="43"/>
  <c r="E147" i="43"/>
  <c r="G147" i="43" s="1"/>
  <c r="E148" i="43"/>
  <c r="E150" i="43"/>
  <c r="E151" i="43"/>
  <c r="G36" i="43"/>
  <c r="E37" i="43"/>
  <c r="E38" i="43"/>
  <c r="E39" i="43"/>
  <c r="E40" i="43"/>
  <c r="G40" i="43" s="1"/>
  <c r="AT33" i="1" s="1"/>
  <c r="E41" i="43"/>
  <c r="E42" i="43"/>
  <c r="E43" i="43"/>
  <c r="E44" i="43"/>
  <c r="E45" i="43"/>
  <c r="E46" i="43"/>
  <c r="E157" i="30"/>
  <c r="G157" i="30" s="1"/>
  <c r="H157" i="30" s="1"/>
  <c r="E158" i="30"/>
  <c r="G158" i="30" s="1"/>
  <c r="H158" i="30" s="1"/>
  <c r="J158" i="30" s="1"/>
  <c r="G157" i="24"/>
  <c r="G158" i="24"/>
  <c r="E156" i="28"/>
  <c r="G156" i="28" s="1"/>
  <c r="E157" i="28"/>
  <c r="G157" i="28" s="1"/>
  <c r="E158" i="28"/>
  <c r="G158" i="28" s="1"/>
  <c r="E36" i="28"/>
  <c r="G36" i="28" s="1"/>
  <c r="E37" i="28"/>
  <c r="E38" i="28"/>
  <c r="E39" i="28"/>
  <c r="E40" i="28"/>
  <c r="G40" i="28" s="1"/>
  <c r="AT30" i="1" s="1"/>
  <c r="E41" i="28"/>
  <c r="E42" i="28"/>
  <c r="E43" i="28"/>
  <c r="E44" i="28"/>
  <c r="E45" i="28"/>
  <c r="E46" i="28"/>
  <c r="E156" i="27"/>
  <c r="G156" i="27" s="1"/>
  <c r="E157" i="27"/>
  <c r="G157" i="27" s="1"/>
  <c r="E158" i="27"/>
  <c r="G158" i="27" s="1"/>
  <c r="E139" i="40"/>
  <c r="E140" i="40"/>
  <c r="G140" i="40" s="1"/>
  <c r="P29" i="44" s="1"/>
  <c r="O26" i="49" s="1"/>
  <c r="E141" i="40"/>
  <c r="E142" i="40"/>
  <c r="E143" i="40"/>
  <c r="E144" i="40"/>
  <c r="G144" i="40" s="1"/>
  <c r="U29" i="44" s="1"/>
  <c r="T26" i="49" s="1"/>
  <c r="E145" i="40"/>
  <c r="E146" i="40"/>
  <c r="G146" i="40" s="1"/>
  <c r="E147" i="40"/>
  <c r="E148" i="40"/>
  <c r="G148" i="40" s="1"/>
  <c r="W29" i="44" s="1"/>
  <c r="V26" i="49" s="1"/>
  <c r="E149" i="40"/>
  <c r="G149" i="40" s="1"/>
  <c r="E150" i="40"/>
  <c r="G150" i="40" s="1"/>
  <c r="E151" i="40"/>
  <c r="E152" i="40"/>
  <c r="G152" i="40" s="1"/>
  <c r="G158" i="25"/>
  <c r="G156" i="25"/>
  <c r="E75" i="25"/>
  <c r="E76" i="25"/>
  <c r="E77" i="25"/>
  <c r="E78" i="25"/>
  <c r="E134" i="22"/>
  <c r="G157" i="22"/>
  <c r="E158" i="22"/>
  <c r="G158" i="22" s="1"/>
  <c r="E156" i="20"/>
  <c r="G156" i="20" s="1"/>
  <c r="G157" i="20"/>
  <c r="E158" i="20"/>
  <c r="G158" i="20" s="1"/>
  <c r="E156" i="19"/>
  <c r="G156" i="19" s="1"/>
  <c r="E157" i="19"/>
  <c r="G157" i="19" s="1"/>
  <c r="E157" i="18"/>
  <c r="G157" i="18" s="1"/>
  <c r="E158" i="18"/>
  <c r="G158" i="18" s="1"/>
  <c r="G157" i="17"/>
  <c r="G158" i="17"/>
  <c r="J157" i="30"/>
  <c r="G15" i="15"/>
  <c r="E139" i="13"/>
  <c r="E140" i="13"/>
  <c r="G140" i="13" s="1"/>
  <c r="P16" i="44" s="1"/>
  <c r="O13" i="49" s="1"/>
  <c r="E141" i="13"/>
  <c r="E142" i="13"/>
  <c r="E143" i="13"/>
  <c r="E144" i="13"/>
  <c r="G144" i="13" s="1"/>
  <c r="U16" i="44" s="1"/>
  <c r="T13" i="49" s="1"/>
  <c r="E145" i="13"/>
  <c r="E146" i="13"/>
  <c r="E147" i="13"/>
  <c r="G147" i="13" s="1"/>
  <c r="V16" i="44" s="1"/>
  <c r="U13" i="49" s="1"/>
  <c r="E148" i="13"/>
  <c r="G148" i="13" s="1"/>
  <c r="W16" i="44" s="1"/>
  <c r="V13" i="49" s="1"/>
  <c r="E149" i="13"/>
  <c r="E150" i="13"/>
  <c r="E151" i="13"/>
  <c r="E152" i="13"/>
  <c r="G152" i="13" s="1"/>
  <c r="E129" i="13"/>
  <c r="E130" i="13"/>
  <c r="E131" i="13"/>
  <c r="E132" i="13"/>
  <c r="E133" i="13"/>
  <c r="E51" i="13"/>
  <c r="E52" i="13"/>
  <c r="E53" i="13"/>
  <c r="G53" i="13" s="1"/>
  <c r="BC15" i="1" s="1"/>
  <c r="E54" i="13"/>
  <c r="E55" i="13"/>
  <c r="E56" i="13"/>
  <c r="E57" i="13"/>
  <c r="G57" i="13" s="1"/>
  <c r="E58" i="13"/>
  <c r="E36" i="13"/>
  <c r="E37" i="13"/>
  <c r="E38" i="13"/>
  <c r="E39" i="13"/>
  <c r="G39" i="13" s="1"/>
  <c r="E40" i="13"/>
  <c r="E41" i="13"/>
  <c r="E42" i="13"/>
  <c r="E44" i="13"/>
  <c r="E45" i="13"/>
  <c r="E46" i="13"/>
  <c r="E11" i="13"/>
  <c r="G11" i="13" s="1"/>
  <c r="E12" i="13"/>
  <c r="E129" i="12"/>
  <c r="E130" i="12"/>
  <c r="E131" i="12"/>
  <c r="E132" i="12"/>
  <c r="E133" i="12"/>
  <c r="E134" i="12"/>
  <c r="E121" i="33"/>
  <c r="E49" i="33"/>
  <c r="E134" i="4"/>
  <c r="G190" i="2"/>
  <c r="I7" i="30"/>
  <c r="E35" i="24"/>
  <c r="E120" i="23"/>
  <c r="E63" i="23"/>
  <c r="E49" i="23"/>
  <c r="E178" i="21"/>
  <c r="G178" i="21" s="1"/>
  <c r="K191" i="18"/>
  <c r="E145" i="18"/>
  <c r="G145" i="18" s="1"/>
  <c r="S21" i="44" s="1"/>
  <c r="R18" i="49" s="1"/>
  <c r="E146" i="18"/>
  <c r="G146" i="18" s="1"/>
  <c r="T21" i="44" s="1"/>
  <c r="S18" i="49" s="1"/>
  <c r="E114" i="18"/>
  <c r="K191" i="17"/>
  <c r="K190" i="20"/>
  <c r="K190" i="19"/>
  <c r="E134" i="10"/>
  <c r="E155" i="5"/>
  <c r="G155" i="5" s="1"/>
  <c r="E149" i="4"/>
  <c r="E150" i="4"/>
  <c r="E151" i="4"/>
  <c r="E152" i="4"/>
  <c r="E69" i="3"/>
  <c r="E155" i="3"/>
  <c r="G155" i="3" s="1"/>
  <c r="G134" i="2"/>
  <c r="G37" i="2"/>
  <c r="G18" i="2"/>
  <c r="E31" i="2" s="1"/>
  <c r="G31" i="2" s="1"/>
  <c r="G90" i="31"/>
  <c r="I90" i="31" s="1"/>
  <c r="B30" i="48"/>
  <c r="H30" i="48"/>
  <c r="B22" i="48"/>
  <c r="G56" i="23"/>
  <c r="E155" i="23"/>
  <c r="G155" i="23" s="1"/>
  <c r="E39" i="22"/>
  <c r="E113" i="22"/>
  <c r="G113" i="22" s="1"/>
  <c r="E114" i="22"/>
  <c r="E115" i="22"/>
  <c r="E116" i="22"/>
  <c r="E117" i="22"/>
  <c r="G117" i="22" s="1"/>
  <c r="AF25" i="44" s="1"/>
  <c r="AE22" i="49" s="1"/>
  <c r="E118" i="22"/>
  <c r="E119" i="22"/>
  <c r="G119" i="22" s="1"/>
  <c r="E120" i="22"/>
  <c r="E121" i="22"/>
  <c r="E122" i="22"/>
  <c r="E123" i="22"/>
  <c r="E184" i="20"/>
  <c r="E185" i="20"/>
  <c r="E183" i="20"/>
  <c r="E179" i="20"/>
  <c r="G179" i="20" s="1"/>
  <c r="E180" i="20"/>
  <c r="E178" i="20"/>
  <c r="G178" i="20" s="1"/>
  <c r="V21" i="45" s="1"/>
  <c r="E174" i="20"/>
  <c r="E175" i="20"/>
  <c r="E173" i="20"/>
  <c r="E162" i="20"/>
  <c r="G162" i="20" s="1"/>
  <c r="AB23" i="44" s="1"/>
  <c r="AA20" i="49" s="1"/>
  <c r="E163" i="20"/>
  <c r="E164" i="20"/>
  <c r="G164" i="20" s="1"/>
  <c r="E165" i="20"/>
  <c r="E161" i="20"/>
  <c r="E155" i="20"/>
  <c r="G155" i="20" s="1"/>
  <c r="E152" i="20"/>
  <c r="E139" i="20"/>
  <c r="E140" i="20"/>
  <c r="G140" i="20" s="1"/>
  <c r="P23" i="44" s="1"/>
  <c r="O20" i="49" s="1"/>
  <c r="E141" i="20"/>
  <c r="E142" i="20"/>
  <c r="G142" i="20" s="1"/>
  <c r="E143" i="20"/>
  <c r="G143" i="20" s="1"/>
  <c r="X23" i="44" s="1"/>
  <c r="E144" i="20"/>
  <c r="E145" i="20"/>
  <c r="E146" i="20"/>
  <c r="E147" i="20"/>
  <c r="G147" i="20" s="1"/>
  <c r="V23" i="44" s="1"/>
  <c r="U20" i="49" s="1"/>
  <c r="E148" i="20"/>
  <c r="E150" i="20"/>
  <c r="G150" i="20" s="1"/>
  <c r="E151" i="20"/>
  <c r="G151" i="20" s="1"/>
  <c r="Z23" i="44" s="1"/>
  <c r="E138" i="20"/>
  <c r="G138" i="20" s="1"/>
  <c r="N23" i="44" s="1"/>
  <c r="M20" i="49" s="1"/>
  <c r="E134" i="20"/>
  <c r="E129" i="20"/>
  <c r="E130" i="20"/>
  <c r="E131" i="20"/>
  <c r="E132" i="20"/>
  <c r="E128" i="20"/>
  <c r="G128" i="20" s="1"/>
  <c r="E124" i="20"/>
  <c r="E112" i="20"/>
  <c r="E83" i="20"/>
  <c r="E84" i="20"/>
  <c r="E85" i="20"/>
  <c r="G85" i="20" s="1"/>
  <c r="AA22" i="1" s="1"/>
  <c r="E86" i="20"/>
  <c r="E87" i="20"/>
  <c r="E88" i="20"/>
  <c r="G88" i="20" s="1"/>
  <c r="E89" i="20"/>
  <c r="G89" i="20" s="1"/>
  <c r="E90" i="20"/>
  <c r="E91" i="20"/>
  <c r="E92" i="20"/>
  <c r="E82" i="20"/>
  <c r="E75" i="20"/>
  <c r="E76" i="20"/>
  <c r="E77" i="20"/>
  <c r="G77" i="20" s="1"/>
  <c r="AR23" i="44" s="1"/>
  <c r="E78" i="20"/>
  <c r="E79" i="20"/>
  <c r="E74" i="20"/>
  <c r="E63" i="20"/>
  <c r="E64" i="20"/>
  <c r="E65" i="20"/>
  <c r="E66" i="20"/>
  <c r="E67" i="20"/>
  <c r="G67" i="20" s="1"/>
  <c r="E68" i="20"/>
  <c r="E69" i="20"/>
  <c r="E70" i="20"/>
  <c r="E71" i="20"/>
  <c r="E62" i="20"/>
  <c r="G52" i="20"/>
  <c r="G53" i="20"/>
  <c r="BC22" i="1" s="1"/>
  <c r="G58" i="20"/>
  <c r="Y23" i="44" s="1"/>
  <c r="X20" i="49" s="1"/>
  <c r="E49" i="20"/>
  <c r="E35" i="20"/>
  <c r="E23" i="20"/>
  <c r="E24" i="20"/>
  <c r="E22" i="20"/>
  <c r="E84" i="17"/>
  <c r="E134" i="16"/>
  <c r="G134" i="16" s="1"/>
  <c r="J188" i="15"/>
  <c r="AH4" i="45"/>
  <c r="AG4" i="45"/>
  <c r="AF4" i="45"/>
  <c r="AE4" i="45"/>
  <c r="AD4" i="45"/>
  <c r="AC4" i="45"/>
  <c r="AB4" i="45"/>
  <c r="AA4" i="45"/>
  <c r="Z4" i="45"/>
  <c r="Y4" i="45"/>
  <c r="X4" i="45"/>
  <c r="W4" i="45"/>
  <c r="V4" i="45"/>
  <c r="U4" i="45"/>
  <c r="T4" i="45"/>
  <c r="S4" i="45"/>
  <c r="R4" i="45"/>
  <c r="Q4" i="45"/>
  <c r="P4" i="45"/>
  <c r="O4" i="45"/>
  <c r="N4" i="45"/>
  <c r="L4" i="45"/>
  <c r="I4" i="45"/>
  <c r="G4" i="45"/>
  <c r="F4" i="45"/>
  <c r="Q4" i="48"/>
  <c r="E92" i="9"/>
  <c r="G92" i="9" s="1"/>
  <c r="AL11" i="1" s="1"/>
  <c r="G2" i="48"/>
  <c r="E155" i="4"/>
  <c r="O11" i="2"/>
  <c r="E79" i="25"/>
  <c r="G155" i="31"/>
  <c r="G156" i="43"/>
  <c r="E155" i="43"/>
  <c r="G155" i="43" s="1"/>
  <c r="E156" i="30"/>
  <c r="G156" i="30" s="1"/>
  <c r="E155" i="30"/>
  <c r="G155" i="30" s="1"/>
  <c r="E156" i="29"/>
  <c r="G156" i="29" s="1"/>
  <c r="E155" i="29"/>
  <c r="G155" i="29" s="1"/>
  <c r="E155" i="28"/>
  <c r="G155" i="28" s="1"/>
  <c r="E155" i="27"/>
  <c r="G155" i="27" s="1"/>
  <c r="G156" i="40"/>
  <c r="E155" i="40"/>
  <c r="G155" i="40" s="1"/>
  <c r="E155" i="25"/>
  <c r="G155" i="25" s="1"/>
  <c r="G156" i="24"/>
  <c r="E155" i="24"/>
  <c r="G155" i="24" s="1"/>
  <c r="E156" i="23"/>
  <c r="G156" i="23" s="1"/>
  <c r="E156" i="22"/>
  <c r="G156" i="22" s="1"/>
  <c r="E155" i="22"/>
  <c r="G155" i="22" s="1"/>
  <c r="G156" i="21"/>
  <c r="E155" i="21"/>
  <c r="G155" i="21" s="1"/>
  <c r="E155" i="19"/>
  <c r="G155" i="19" s="1"/>
  <c r="E156" i="18"/>
  <c r="G156" i="18" s="1"/>
  <c r="E155" i="18"/>
  <c r="G155" i="18" s="1"/>
  <c r="G156" i="17"/>
  <c r="E155" i="17"/>
  <c r="G155" i="17" s="1"/>
  <c r="E156" i="16"/>
  <c r="G156" i="16" s="1"/>
  <c r="E155" i="16"/>
  <c r="G155" i="16" s="1"/>
  <c r="G156" i="15"/>
  <c r="G155" i="15"/>
  <c r="G155" i="14"/>
  <c r="E156" i="13"/>
  <c r="G156" i="13"/>
  <c r="E155" i="13"/>
  <c r="G155" i="13" s="1"/>
  <c r="E156" i="12"/>
  <c r="G156" i="12" s="1"/>
  <c r="E155" i="12"/>
  <c r="G155" i="12" s="1"/>
  <c r="E156" i="11"/>
  <c r="G156" i="11" s="1"/>
  <c r="E155" i="11"/>
  <c r="G155" i="11" s="1"/>
  <c r="E155" i="10"/>
  <c r="G155" i="10" s="1"/>
  <c r="E156" i="9"/>
  <c r="G156" i="9" s="1"/>
  <c r="E155" i="9"/>
  <c r="G155" i="9" s="1"/>
  <c r="E156" i="8"/>
  <c r="G156" i="8" s="1"/>
  <c r="E155" i="8"/>
  <c r="G155" i="8" s="1"/>
  <c r="E156" i="7"/>
  <c r="G156" i="7" s="1"/>
  <c r="E155" i="7"/>
  <c r="G155" i="7" s="1"/>
  <c r="G156" i="33"/>
  <c r="E155" i="33"/>
  <c r="G155" i="33" s="1"/>
  <c r="E156" i="5"/>
  <c r="G156" i="5" s="1"/>
  <c r="G155" i="4"/>
  <c r="G156" i="3"/>
  <c r="G156" i="2"/>
  <c r="H156" i="2" s="1"/>
  <c r="J156" i="2" s="1"/>
  <c r="G155" i="2"/>
  <c r="H155" i="2" s="1"/>
  <c r="J155" i="2" s="1"/>
  <c r="V5" i="1"/>
  <c r="G152" i="31"/>
  <c r="G151" i="31"/>
  <c r="Z35" i="44" s="1"/>
  <c r="Y32" i="49" s="1"/>
  <c r="G150" i="31"/>
  <c r="G149" i="31"/>
  <c r="G148" i="31"/>
  <c r="W35" i="44" s="1"/>
  <c r="G147" i="31"/>
  <c r="V35" i="44" s="1"/>
  <c r="G146" i="31"/>
  <c r="T35" i="44" s="1"/>
  <c r="G145" i="31"/>
  <c r="S35" i="44" s="1"/>
  <c r="G144" i="31"/>
  <c r="U35" i="44"/>
  <c r="T32" i="49" s="1"/>
  <c r="G143" i="31"/>
  <c r="X35" i="44" s="1"/>
  <c r="E134" i="43"/>
  <c r="G134" i="43" s="1"/>
  <c r="G134" i="31"/>
  <c r="G151" i="43"/>
  <c r="Z34" i="44" s="1"/>
  <c r="G150" i="43"/>
  <c r="G149" i="43"/>
  <c r="G148" i="43"/>
  <c r="W34" i="44" s="1"/>
  <c r="G146" i="43"/>
  <c r="T34" i="44" s="1"/>
  <c r="S31" i="49" s="1"/>
  <c r="G145" i="43"/>
  <c r="S34" i="44" s="1"/>
  <c r="G150" i="30"/>
  <c r="G149" i="30"/>
  <c r="G148" i="30"/>
  <c r="W33" i="44" s="1"/>
  <c r="T33" i="44"/>
  <c r="G145" i="30"/>
  <c r="S33" i="44" s="1"/>
  <c r="G144" i="30"/>
  <c r="U33" i="44" s="1"/>
  <c r="G134" i="30"/>
  <c r="E152" i="29"/>
  <c r="G152" i="29" s="1"/>
  <c r="E151" i="29"/>
  <c r="G151" i="29" s="1"/>
  <c r="Z32" i="44" s="1"/>
  <c r="E150" i="29"/>
  <c r="G150" i="29" s="1"/>
  <c r="E149" i="29"/>
  <c r="G149" i="29" s="1"/>
  <c r="E148" i="29"/>
  <c r="G148" i="29" s="1"/>
  <c r="W32" i="44" s="1"/>
  <c r="G147" i="29"/>
  <c r="V32" i="44" s="1"/>
  <c r="U29" i="49" s="1"/>
  <c r="E146" i="29"/>
  <c r="G146" i="29" s="1"/>
  <c r="T32" i="44" s="1"/>
  <c r="S29" i="49" s="1"/>
  <c r="E145" i="29"/>
  <c r="G145" i="29" s="1"/>
  <c r="S32" i="44" s="1"/>
  <c r="E144" i="29"/>
  <c r="G144" i="29" s="1"/>
  <c r="U32" i="44" s="1"/>
  <c r="E143" i="29"/>
  <c r="G143" i="29" s="1"/>
  <c r="E134" i="29"/>
  <c r="G134" i="29" s="1"/>
  <c r="E152" i="28"/>
  <c r="G152" i="28" s="1"/>
  <c r="E151" i="28"/>
  <c r="G151" i="28" s="1"/>
  <c r="Z31" i="44" s="1"/>
  <c r="E150" i="28"/>
  <c r="G150" i="28" s="1"/>
  <c r="E149" i="28"/>
  <c r="G149" i="28" s="1"/>
  <c r="E148" i="28"/>
  <c r="G148" i="28" s="1"/>
  <c r="W31" i="44" s="1"/>
  <c r="E147" i="28"/>
  <c r="G147" i="28" s="1"/>
  <c r="V31" i="44" s="1"/>
  <c r="E146" i="28"/>
  <c r="G146" i="28" s="1"/>
  <c r="T31" i="44" s="1"/>
  <c r="S28" i="49" s="1"/>
  <c r="E145" i="28"/>
  <c r="G145" i="28" s="1"/>
  <c r="S31" i="44" s="1"/>
  <c r="E144" i="28"/>
  <c r="G144" i="28" s="1"/>
  <c r="U31" i="44" s="1"/>
  <c r="E143" i="28"/>
  <c r="G143" i="28" s="1"/>
  <c r="X31" i="44" s="1"/>
  <c r="E134" i="28"/>
  <c r="G134" i="28" s="1"/>
  <c r="G151" i="27"/>
  <c r="Z30" i="44" s="1"/>
  <c r="G150" i="27"/>
  <c r="G149" i="27"/>
  <c r="G147" i="27"/>
  <c r="V30" i="44" s="1"/>
  <c r="G146" i="27"/>
  <c r="T30" i="44" s="1"/>
  <c r="G145" i="27"/>
  <c r="S30" i="44" s="1"/>
  <c r="R27" i="49" s="1"/>
  <c r="G143" i="27"/>
  <c r="X30" i="44" s="1"/>
  <c r="E134" i="27"/>
  <c r="G134" i="27" s="1"/>
  <c r="G151" i="40"/>
  <c r="Z29" i="44" s="1"/>
  <c r="G147" i="40"/>
  <c r="V29" i="44" s="1"/>
  <c r="G145" i="40"/>
  <c r="S29" i="44" s="1"/>
  <c r="R26" i="49" s="1"/>
  <c r="G143" i="40"/>
  <c r="X29" i="44" s="1"/>
  <c r="W26" i="49" s="1"/>
  <c r="E134" i="40"/>
  <c r="G134" i="40" s="1"/>
  <c r="E152" i="25"/>
  <c r="G152" i="25" s="1"/>
  <c r="E150" i="25"/>
  <c r="G150" i="25" s="1"/>
  <c r="E149" i="25"/>
  <c r="G149" i="25" s="1"/>
  <c r="E148" i="25"/>
  <c r="G148" i="25" s="1"/>
  <c r="W28" i="44" s="1"/>
  <c r="V25" i="49" s="1"/>
  <c r="E147" i="25"/>
  <c r="G147" i="25" s="1"/>
  <c r="E146" i="25"/>
  <c r="G146" i="25" s="1"/>
  <c r="T28" i="44" s="1"/>
  <c r="E145" i="25"/>
  <c r="G145" i="25" s="1"/>
  <c r="S28" i="44" s="1"/>
  <c r="R25" i="49" s="1"/>
  <c r="E144" i="25"/>
  <c r="G144" i="25" s="1"/>
  <c r="U28" i="44" s="1"/>
  <c r="E143" i="25"/>
  <c r="G143" i="25" s="1"/>
  <c r="X28" i="44" s="1"/>
  <c r="W25" i="49" s="1"/>
  <c r="G152" i="24"/>
  <c r="G150" i="24"/>
  <c r="G149" i="24"/>
  <c r="G148" i="24"/>
  <c r="W27" i="44" s="1"/>
  <c r="V24" i="49" s="1"/>
  <c r="G146" i="24"/>
  <c r="T27" i="44" s="1"/>
  <c r="G145" i="24"/>
  <c r="S27" i="44" s="1"/>
  <c r="G144" i="24"/>
  <c r="U27" i="44" s="1"/>
  <c r="G141" i="24"/>
  <c r="Q27" i="44" s="1"/>
  <c r="G142" i="24"/>
  <c r="R27" i="44" s="1"/>
  <c r="G134" i="24"/>
  <c r="E152" i="23"/>
  <c r="G152" i="23" s="1"/>
  <c r="E151" i="23"/>
  <c r="G151" i="23" s="1"/>
  <c r="Z26" i="44" s="1"/>
  <c r="E150" i="23"/>
  <c r="G150" i="23" s="1"/>
  <c r="E149" i="23"/>
  <c r="G149" i="23" s="1"/>
  <c r="E148" i="23"/>
  <c r="G148" i="23" s="1"/>
  <c r="W26" i="44" s="1"/>
  <c r="E147" i="23"/>
  <c r="G147" i="23" s="1"/>
  <c r="V26" i="44" s="1"/>
  <c r="U23" i="49" s="1"/>
  <c r="E146" i="23"/>
  <c r="G146" i="23" s="1"/>
  <c r="T26" i="44" s="1"/>
  <c r="S23" i="49" s="1"/>
  <c r="E145" i="23"/>
  <c r="G145" i="23" s="1"/>
  <c r="S26" i="44" s="1"/>
  <c r="E144" i="23"/>
  <c r="G144" i="23" s="1"/>
  <c r="U26" i="44" s="1"/>
  <c r="E143" i="23"/>
  <c r="G143" i="23" s="1"/>
  <c r="X26" i="44" s="1"/>
  <c r="G134" i="22"/>
  <c r="G134" i="23"/>
  <c r="G152" i="22"/>
  <c r="G151" i="22"/>
  <c r="Z25" i="44" s="1"/>
  <c r="G149" i="22"/>
  <c r="G148" i="22"/>
  <c r="W25" i="44" s="1"/>
  <c r="G147" i="22"/>
  <c r="V25" i="44" s="1"/>
  <c r="G145" i="22"/>
  <c r="S25" i="44" s="1"/>
  <c r="R22" i="49" s="1"/>
  <c r="G144" i="22"/>
  <c r="U25" i="44" s="1"/>
  <c r="T22" i="49" s="1"/>
  <c r="G143" i="22"/>
  <c r="X25" i="44" s="1"/>
  <c r="G152" i="21"/>
  <c r="G151" i="21"/>
  <c r="Z24" i="44" s="1"/>
  <c r="Y21" i="49" s="1"/>
  <c r="G150" i="21"/>
  <c r="G148" i="21"/>
  <c r="W24" i="44" s="1"/>
  <c r="G147" i="21"/>
  <c r="V24" i="44" s="1"/>
  <c r="G146" i="21"/>
  <c r="T24" i="44" s="1"/>
  <c r="S21" i="49" s="1"/>
  <c r="G145" i="21"/>
  <c r="S24" i="44" s="1"/>
  <c r="G144" i="21"/>
  <c r="U24" i="44" s="1"/>
  <c r="G143" i="21"/>
  <c r="X24" i="44" s="1"/>
  <c r="G134" i="21"/>
  <c r="E152" i="19"/>
  <c r="G152" i="19" s="1"/>
  <c r="G152" i="20"/>
  <c r="E151" i="19"/>
  <c r="E150" i="19"/>
  <c r="E149" i="19"/>
  <c r="G149" i="20"/>
  <c r="E148" i="19"/>
  <c r="G148" i="20"/>
  <c r="W23" i="44" s="1"/>
  <c r="V20" i="49" s="1"/>
  <c r="E147" i="19"/>
  <c r="E146" i="19"/>
  <c r="G146" i="20"/>
  <c r="T23" i="44" s="1"/>
  <c r="S20" i="49" s="1"/>
  <c r="E145" i="19"/>
  <c r="G145" i="20"/>
  <c r="S23" i="44" s="1"/>
  <c r="R20" i="49" s="1"/>
  <c r="E144" i="19"/>
  <c r="G144" i="20"/>
  <c r="U23" i="44" s="1"/>
  <c r="E143" i="19"/>
  <c r="G143" i="19" s="1"/>
  <c r="X22" i="44" s="1"/>
  <c r="E134" i="19"/>
  <c r="G134" i="19" s="1"/>
  <c r="E152" i="18"/>
  <c r="G152" i="18" s="1"/>
  <c r="E151" i="18"/>
  <c r="G151" i="18" s="1"/>
  <c r="Z21" i="44" s="1"/>
  <c r="Y18" i="49" s="1"/>
  <c r="E150" i="18"/>
  <c r="G150" i="18" s="1"/>
  <c r="E149" i="18"/>
  <c r="G149" i="18" s="1"/>
  <c r="E148" i="18"/>
  <c r="G148" i="18" s="1"/>
  <c r="W21" i="44" s="1"/>
  <c r="E147" i="18"/>
  <c r="G147" i="18" s="1"/>
  <c r="V21" i="44" s="1"/>
  <c r="U18" i="49" s="1"/>
  <c r="E144" i="18"/>
  <c r="G144" i="18" s="1"/>
  <c r="U21" i="44" s="1"/>
  <c r="E143" i="18"/>
  <c r="G143" i="18" s="1"/>
  <c r="X21" i="44" s="1"/>
  <c r="E134" i="18"/>
  <c r="G134" i="18" s="1"/>
  <c r="E152" i="17"/>
  <c r="G152" i="17" s="1"/>
  <c r="E151" i="17"/>
  <c r="G151" i="17" s="1"/>
  <c r="Z20" i="44" s="1"/>
  <c r="E150" i="17"/>
  <c r="E149" i="17"/>
  <c r="G149" i="17" s="1"/>
  <c r="E148" i="17"/>
  <c r="G148" i="17" s="1"/>
  <c r="W20" i="44" s="1"/>
  <c r="V17" i="49" s="1"/>
  <c r="E147" i="17"/>
  <c r="G147" i="17" s="1"/>
  <c r="V20" i="44" s="1"/>
  <c r="U17" i="49" s="1"/>
  <c r="E146" i="17"/>
  <c r="G146" i="17" s="1"/>
  <c r="T20" i="44" s="1"/>
  <c r="S17" i="49" s="1"/>
  <c r="E145" i="17"/>
  <c r="G145" i="17" s="1"/>
  <c r="S20" i="44" s="1"/>
  <c r="E144" i="17"/>
  <c r="G144" i="17" s="1"/>
  <c r="U20" i="44" s="1"/>
  <c r="T17" i="49" s="1"/>
  <c r="E143" i="17"/>
  <c r="G143" i="17" s="1"/>
  <c r="X20" i="44" s="1"/>
  <c r="W17" i="49" s="1"/>
  <c r="E134" i="17"/>
  <c r="G134" i="17" s="1"/>
  <c r="E152" i="16"/>
  <c r="G152" i="16" s="1"/>
  <c r="E151" i="16"/>
  <c r="G151" i="16" s="1"/>
  <c r="Z19" i="44" s="1"/>
  <c r="Y16" i="49" s="1"/>
  <c r="G150" i="16"/>
  <c r="E149" i="16"/>
  <c r="G149" i="16" s="1"/>
  <c r="E148" i="16"/>
  <c r="G148" i="16"/>
  <c r="W19" i="44" s="1"/>
  <c r="V16" i="49" s="1"/>
  <c r="E147" i="16"/>
  <c r="G147" i="16" s="1"/>
  <c r="V19" i="44" s="1"/>
  <c r="U16" i="49" s="1"/>
  <c r="E146" i="16"/>
  <c r="G146" i="16" s="1"/>
  <c r="T19" i="44" s="1"/>
  <c r="S16" i="49" s="1"/>
  <c r="E145" i="16"/>
  <c r="G145" i="16" s="1"/>
  <c r="S19" i="44" s="1"/>
  <c r="R16" i="49" s="1"/>
  <c r="E144" i="16"/>
  <c r="G144" i="16" s="1"/>
  <c r="U19" i="44" s="1"/>
  <c r="T16" i="49" s="1"/>
  <c r="E143" i="16"/>
  <c r="G143" i="16" s="1"/>
  <c r="X19" i="44" s="1"/>
  <c r="W16" i="49" s="1"/>
  <c r="G151" i="15"/>
  <c r="Z18" i="44" s="1"/>
  <c r="G150" i="15"/>
  <c r="G149" i="15"/>
  <c r="G147" i="15"/>
  <c r="V18" i="44" s="1"/>
  <c r="G145" i="15"/>
  <c r="S18" i="44" s="1"/>
  <c r="R15" i="49" s="1"/>
  <c r="G143" i="15"/>
  <c r="X18" i="44" s="1"/>
  <c r="W15" i="49" s="1"/>
  <c r="E134" i="15"/>
  <c r="G134" i="15" s="1"/>
  <c r="G151" i="14"/>
  <c r="Z17" i="44" s="1"/>
  <c r="G150" i="14"/>
  <c r="G149" i="14"/>
  <c r="G147" i="14"/>
  <c r="V17" i="44" s="1"/>
  <c r="U14" i="49" s="1"/>
  <c r="G145" i="14"/>
  <c r="S17" i="44" s="1"/>
  <c r="R14" i="49" s="1"/>
  <c r="G143" i="14"/>
  <c r="X17" i="44" s="1"/>
  <c r="W14" i="49" s="1"/>
  <c r="G151" i="13"/>
  <c r="Z16" i="44" s="1"/>
  <c r="G150" i="13"/>
  <c r="G149" i="13"/>
  <c r="G146" i="13"/>
  <c r="T16" i="44" s="1"/>
  <c r="G145" i="13"/>
  <c r="S16" i="44" s="1"/>
  <c r="R13" i="49" s="1"/>
  <c r="G143" i="13"/>
  <c r="X16" i="44" s="1"/>
  <c r="W13" i="49" s="1"/>
  <c r="E152" i="12"/>
  <c r="G152" i="12" s="1"/>
  <c r="E151" i="12"/>
  <c r="G151" i="12" s="1"/>
  <c r="Z15" i="44" s="1"/>
  <c r="E150" i="12"/>
  <c r="G150" i="12" s="1"/>
  <c r="E149" i="12"/>
  <c r="G149" i="12" s="1"/>
  <c r="E148" i="12"/>
  <c r="G148" i="12" s="1"/>
  <c r="W15" i="44" s="1"/>
  <c r="E147" i="12"/>
  <c r="G147" i="12" s="1"/>
  <c r="V15" i="44" s="1"/>
  <c r="E146" i="12"/>
  <c r="G146" i="12" s="1"/>
  <c r="T15" i="44" s="1"/>
  <c r="S12" i="49" s="1"/>
  <c r="E145" i="12"/>
  <c r="G145" i="12" s="1"/>
  <c r="S15" i="44" s="1"/>
  <c r="R12" i="49" s="1"/>
  <c r="E144" i="12"/>
  <c r="G144" i="12" s="1"/>
  <c r="U15" i="44" s="1"/>
  <c r="T12" i="49" s="1"/>
  <c r="E143" i="12"/>
  <c r="G143" i="12" s="1"/>
  <c r="X15" i="44" s="1"/>
  <c r="W12" i="49" s="1"/>
  <c r="G134" i="12"/>
  <c r="G152" i="11"/>
  <c r="G151" i="11"/>
  <c r="G148" i="11"/>
  <c r="W14" i="44" s="1"/>
  <c r="V11" i="49" s="1"/>
  <c r="G147" i="11"/>
  <c r="V14" i="44" s="1"/>
  <c r="G145" i="11"/>
  <c r="S14" i="44" s="1"/>
  <c r="U14" i="44"/>
  <c r="G143" i="11"/>
  <c r="X14" i="44" s="1"/>
  <c r="G152" i="10"/>
  <c r="G151" i="10"/>
  <c r="Z13" i="44" s="1"/>
  <c r="G150" i="10"/>
  <c r="G148" i="10"/>
  <c r="W13" i="44" s="1"/>
  <c r="G147" i="10"/>
  <c r="V13" i="44" s="1"/>
  <c r="G146" i="10"/>
  <c r="T13" i="44" s="1"/>
  <c r="S10" i="49" s="1"/>
  <c r="G144" i="10"/>
  <c r="U13" i="44" s="1"/>
  <c r="G143" i="10"/>
  <c r="X13" i="44" s="1"/>
  <c r="G134" i="10"/>
  <c r="E152" i="9"/>
  <c r="G152" i="9" s="1"/>
  <c r="E151" i="9"/>
  <c r="G151" i="9"/>
  <c r="Z12" i="44" s="1"/>
  <c r="E150" i="9"/>
  <c r="G150" i="9" s="1"/>
  <c r="E149" i="9"/>
  <c r="G149" i="9" s="1"/>
  <c r="E148" i="9"/>
  <c r="G148" i="9" s="1"/>
  <c r="W12" i="44" s="1"/>
  <c r="V9" i="49" s="1"/>
  <c r="E147" i="9"/>
  <c r="G147" i="9" s="1"/>
  <c r="V12" i="44" s="1"/>
  <c r="E146" i="9"/>
  <c r="G146" i="9" s="1"/>
  <c r="T12" i="44" s="1"/>
  <c r="S9" i="49" s="1"/>
  <c r="E145" i="9"/>
  <c r="G145" i="9" s="1"/>
  <c r="S12" i="44" s="1"/>
  <c r="R9" i="49" s="1"/>
  <c r="E144" i="9"/>
  <c r="G144" i="9" s="1"/>
  <c r="U12" i="44" s="1"/>
  <c r="T9" i="49" s="1"/>
  <c r="E143" i="9"/>
  <c r="G143" i="9" s="1"/>
  <c r="X12" i="44" s="1"/>
  <c r="E134" i="9"/>
  <c r="G134" i="9" s="1"/>
  <c r="G152" i="8"/>
  <c r="G151" i="8"/>
  <c r="Z11" i="44" s="1"/>
  <c r="G150" i="8"/>
  <c r="G149" i="8"/>
  <c r="G148" i="8"/>
  <c r="W11" i="44" s="1"/>
  <c r="G147" i="8"/>
  <c r="V11" i="44" s="1"/>
  <c r="U8" i="49" s="1"/>
  <c r="G146" i="8"/>
  <c r="T11" i="44" s="1"/>
  <c r="G145" i="8"/>
  <c r="G144" i="8"/>
  <c r="U11" i="44"/>
  <c r="G143" i="8"/>
  <c r="X11" i="44" s="1"/>
  <c r="E152" i="7"/>
  <c r="G152" i="7" s="1"/>
  <c r="E151" i="7"/>
  <c r="G151" i="7" s="1"/>
  <c r="Z10" i="44" s="1"/>
  <c r="E150" i="7"/>
  <c r="G150" i="7" s="1"/>
  <c r="E149" i="7"/>
  <c r="G149" i="7" s="1"/>
  <c r="E148" i="7"/>
  <c r="G148" i="7" s="1"/>
  <c r="W10" i="44" s="1"/>
  <c r="E147" i="7"/>
  <c r="G147" i="7" s="1"/>
  <c r="V10" i="44" s="1"/>
  <c r="U7" i="49" s="1"/>
  <c r="E146" i="7"/>
  <c r="G146" i="7" s="1"/>
  <c r="T10" i="44" s="1"/>
  <c r="E145" i="7"/>
  <c r="G145" i="7" s="1"/>
  <c r="S10" i="44" s="1"/>
  <c r="E144" i="7"/>
  <c r="G144" i="7" s="1"/>
  <c r="U10" i="44" s="1"/>
  <c r="E143" i="7"/>
  <c r="G143" i="7" s="1"/>
  <c r="X10" i="44" s="1"/>
  <c r="E134" i="8"/>
  <c r="G134" i="8" s="1"/>
  <c r="E134" i="7"/>
  <c r="G134" i="7" s="1"/>
  <c r="G152" i="33"/>
  <c r="G151" i="33"/>
  <c r="Z9" i="44" s="1"/>
  <c r="G150" i="33"/>
  <c r="G149" i="33"/>
  <c r="G148" i="33"/>
  <c r="W9" i="44"/>
  <c r="G147" i="33"/>
  <c r="V9" i="44" s="1"/>
  <c r="G146" i="33"/>
  <c r="T9" i="44" s="1"/>
  <c r="G145" i="33"/>
  <c r="S9" i="44" s="1"/>
  <c r="G144" i="33"/>
  <c r="U9" i="44" s="1"/>
  <c r="G143" i="33"/>
  <c r="X9" i="44" s="1"/>
  <c r="G134" i="33"/>
  <c r="H168" i="3"/>
  <c r="H168" i="4" s="1"/>
  <c r="H167" i="3"/>
  <c r="H167" i="4" s="1"/>
  <c r="H166" i="3"/>
  <c r="H166" i="4" s="1"/>
  <c r="E152" i="5"/>
  <c r="G152" i="5" s="1"/>
  <c r="E151" i="5"/>
  <c r="G151" i="5" s="1"/>
  <c r="Z8" i="44" s="1"/>
  <c r="E150" i="5"/>
  <c r="G150" i="5" s="1"/>
  <c r="E149" i="5"/>
  <c r="G149" i="5" s="1"/>
  <c r="E148" i="5"/>
  <c r="G148" i="5" s="1"/>
  <c r="W8" i="44" s="1"/>
  <c r="V5" i="49" s="1"/>
  <c r="E147" i="5"/>
  <c r="G147" i="5" s="1"/>
  <c r="V8" i="44" s="1"/>
  <c r="E146" i="5"/>
  <c r="G146" i="5" s="1"/>
  <c r="T8" i="44" s="1"/>
  <c r="E145" i="5"/>
  <c r="G145" i="5" s="1"/>
  <c r="S8" i="44" s="1"/>
  <c r="R5" i="49" s="1"/>
  <c r="E144" i="5"/>
  <c r="G144" i="5" s="1"/>
  <c r="E143" i="5"/>
  <c r="G143" i="5" s="1"/>
  <c r="X8" i="44" s="1"/>
  <c r="W5" i="49" s="1"/>
  <c r="E134" i="5"/>
  <c r="G134" i="5" s="1"/>
  <c r="G134" i="4"/>
  <c r="G152" i="4"/>
  <c r="G151" i="4"/>
  <c r="Z7" i="44" s="1"/>
  <c r="E148" i="4"/>
  <c r="G148" i="4" s="1"/>
  <c r="W7" i="44" s="1"/>
  <c r="V4" i="49" s="1"/>
  <c r="E147" i="4"/>
  <c r="G147" i="4" s="1"/>
  <c r="V7" i="44" s="1"/>
  <c r="E146" i="4"/>
  <c r="G146" i="4" s="1"/>
  <c r="T7" i="44" s="1"/>
  <c r="E145" i="4"/>
  <c r="G145" i="4" s="1"/>
  <c r="S7" i="44" s="1"/>
  <c r="E144" i="4"/>
  <c r="G144" i="4" s="1"/>
  <c r="U7" i="44" s="1"/>
  <c r="E143" i="4"/>
  <c r="G143" i="4" s="1"/>
  <c r="X7" i="44" s="1"/>
  <c r="G150" i="4"/>
  <c r="G149" i="4"/>
  <c r="E139" i="3"/>
  <c r="E152" i="3"/>
  <c r="G152" i="3" s="1"/>
  <c r="E151" i="3"/>
  <c r="G151" i="3" s="1"/>
  <c r="Z6" i="44" s="1"/>
  <c r="Y3" i="49" s="1"/>
  <c r="E150" i="3"/>
  <c r="G150" i="3" s="1"/>
  <c r="E149" i="3"/>
  <c r="G149" i="3" s="1"/>
  <c r="E148" i="3"/>
  <c r="G148" i="3" s="1"/>
  <c r="W6" i="44" s="1"/>
  <c r="V3" i="49" s="1"/>
  <c r="E147" i="3"/>
  <c r="G147" i="3" s="1"/>
  <c r="E146" i="3"/>
  <c r="G146" i="3"/>
  <c r="E145" i="3"/>
  <c r="G145" i="3" s="1"/>
  <c r="S6" i="44" s="1"/>
  <c r="E144" i="3"/>
  <c r="G144" i="3" s="1"/>
  <c r="U6" i="44" s="1"/>
  <c r="E143" i="3"/>
  <c r="G143" i="3" s="1"/>
  <c r="X6" i="44" s="1"/>
  <c r="E142" i="3"/>
  <c r="G142" i="3" s="1"/>
  <c r="E141" i="3"/>
  <c r="E134" i="3"/>
  <c r="G134" i="3" s="1"/>
  <c r="J172" i="2"/>
  <c r="G152" i="2"/>
  <c r="H152" i="2" s="1"/>
  <c r="J152" i="2" s="1"/>
  <c r="G151" i="2"/>
  <c r="H134" i="2"/>
  <c r="E185" i="43"/>
  <c r="E184" i="43"/>
  <c r="G184" i="43" s="1"/>
  <c r="E183" i="43"/>
  <c r="G183" i="43" s="1"/>
  <c r="E180" i="43"/>
  <c r="G180" i="43" s="1"/>
  <c r="E179" i="43"/>
  <c r="E178" i="43"/>
  <c r="E175" i="43"/>
  <c r="G175" i="43" s="1"/>
  <c r="E174" i="43"/>
  <c r="G174" i="43" s="1"/>
  <c r="E173" i="43"/>
  <c r="E168" i="43"/>
  <c r="E167" i="43"/>
  <c r="E166" i="43"/>
  <c r="E165" i="43"/>
  <c r="G165" i="43" s="1"/>
  <c r="E164" i="43"/>
  <c r="E163" i="43"/>
  <c r="G163" i="43" s="1"/>
  <c r="E162" i="43"/>
  <c r="E161" i="43"/>
  <c r="E138" i="43"/>
  <c r="E133" i="43"/>
  <c r="G133" i="43" s="1"/>
  <c r="E131" i="43"/>
  <c r="E130" i="43"/>
  <c r="E129" i="43"/>
  <c r="G129" i="43" s="1"/>
  <c r="E128" i="43"/>
  <c r="G128" i="43" s="1"/>
  <c r="E124" i="43"/>
  <c r="E123" i="43"/>
  <c r="E122" i="43"/>
  <c r="E121" i="43"/>
  <c r="G121" i="43" s="1"/>
  <c r="AJ34" i="44" s="1"/>
  <c r="E120" i="43"/>
  <c r="E119" i="43"/>
  <c r="E118" i="43"/>
  <c r="G118" i="43" s="1"/>
  <c r="AG34" i="44" s="1"/>
  <c r="AF31" i="49" s="1"/>
  <c r="E117" i="43"/>
  <c r="G117" i="43" s="1"/>
  <c r="E116" i="43"/>
  <c r="E115" i="43"/>
  <c r="E114" i="43"/>
  <c r="G114" i="43" s="1"/>
  <c r="E113" i="43"/>
  <c r="G113" i="43" s="1"/>
  <c r="E112" i="43"/>
  <c r="E92" i="43"/>
  <c r="E91" i="43"/>
  <c r="G91" i="43" s="1"/>
  <c r="E90" i="43"/>
  <c r="G90" i="43" s="1"/>
  <c r="I90" i="43" s="1"/>
  <c r="E89" i="43"/>
  <c r="E88" i="43"/>
  <c r="E87" i="43"/>
  <c r="G87" i="43" s="1"/>
  <c r="AC33" i="1" s="1"/>
  <c r="E86" i="43"/>
  <c r="G86" i="43" s="1"/>
  <c r="AB33" i="1" s="1"/>
  <c r="E85" i="43"/>
  <c r="E84" i="43"/>
  <c r="E83" i="43"/>
  <c r="E82" i="43"/>
  <c r="G82" i="43" s="1"/>
  <c r="E79" i="43"/>
  <c r="E78" i="43"/>
  <c r="E77" i="43"/>
  <c r="G77" i="43" s="1"/>
  <c r="AR34" i="44" s="1"/>
  <c r="BK31" i="49" s="1"/>
  <c r="E76" i="43"/>
  <c r="G76" i="43" s="1"/>
  <c r="AQ34" i="44" s="1"/>
  <c r="E75" i="43"/>
  <c r="E74" i="43"/>
  <c r="E70" i="43"/>
  <c r="E69" i="43"/>
  <c r="G69" i="43" s="1"/>
  <c r="AG14" i="45" s="1"/>
  <c r="E67" i="43"/>
  <c r="E66" i="43"/>
  <c r="E65" i="43"/>
  <c r="G65" i="43" s="1"/>
  <c r="AG9" i="45" s="1"/>
  <c r="E64" i="43"/>
  <c r="E63" i="43"/>
  <c r="E62" i="43"/>
  <c r="E58" i="43"/>
  <c r="E57" i="43"/>
  <c r="G57" i="43" s="1"/>
  <c r="E55" i="43"/>
  <c r="E54" i="43"/>
  <c r="E53" i="43"/>
  <c r="E52" i="43"/>
  <c r="G52" i="43" s="1"/>
  <c r="E51" i="43"/>
  <c r="E50" i="43"/>
  <c r="E49" i="43"/>
  <c r="G49" i="43" s="1"/>
  <c r="E35" i="43"/>
  <c r="G35" i="43" s="1"/>
  <c r="E24" i="43"/>
  <c r="E23" i="43"/>
  <c r="E22" i="43"/>
  <c r="E12" i="43"/>
  <c r="E11" i="43"/>
  <c r="E189" i="30"/>
  <c r="E188" i="30"/>
  <c r="E187" i="30"/>
  <c r="E185" i="30"/>
  <c r="E184" i="30"/>
  <c r="E183" i="30"/>
  <c r="G183" i="30" s="1"/>
  <c r="E180" i="30"/>
  <c r="G180" i="30" s="1"/>
  <c r="AF23" i="45" s="1"/>
  <c r="E179" i="30"/>
  <c r="E178" i="30"/>
  <c r="E175" i="30"/>
  <c r="G175" i="30" s="1"/>
  <c r="E174" i="30"/>
  <c r="G174" i="30" s="1"/>
  <c r="AF18" i="45" s="1"/>
  <c r="E173" i="30"/>
  <c r="E168" i="30"/>
  <c r="E167" i="30"/>
  <c r="E166" i="30"/>
  <c r="E165" i="30"/>
  <c r="E164" i="30"/>
  <c r="G164" i="30" s="1"/>
  <c r="E163" i="30"/>
  <c r="E162" i="30"/>
  <c r="E161" i="30"/>
  <c r="E138" i="30"/>
  <c r="E128" i="30"/>
  <c r="G128" i="30" s="1"/>
  <c r="E124" i="30"/>
  <c r="E92" i="30"/>
  <c r="E91" i="30"/>
  <c r="E90" i="30"/>
  <c r="E89" i="30"/>
  <c r="E88" i="30"/>
  <c r="E87" i="30"/>
  <c r="E86" i="30"/>
  <c r="G86" i="30" s="1"/>
  <c r="E85" i="30"/>
  <c r="E84" i="30"/>
  <c r="E83" i="30"/>
  <c r="E82" i="30"/>
  <c r="E79" i="30"/>
  <c r="E78" i="30"/>
  <c r="E77" i="30"/>
  <c r="E76" i="30"/>
  <c r="G76" i="30" s="1"/>
  <c r="AQ33" i="44" s="1"/>
  <c r="BJ30" i="49" s="1"/>
  <c r="E75" i="30"/>
  <c r="E74" i="30"/>
  <c r="E71" i="30"/>
  <c r="E70" i="30"/>
  <c r="G70" i="30" s="1"/>
  <c r="AF15" i="45" s="1"/>
  <c r="E69" i="30"/>
  <c r="E68" i="30"/>
  <c r="E67" i="30"/>
  <c r="E66" i="30"/>
  <c r="G66" i="30" s="1"/>
  <c r="E65" i="30"/>
  <c r="E64" i="30"/>
  <c r="E63" i="30"/>
  <c r="E62" i="30"/>
  <c r="G62" i="30" s="1"/>
  <c r="AF7" i="45" s="1"/>
  <c r="AM30" i="49" s="1"/>
  <c r="E58" i="30"/>
  <c r="E57" i="30"/>
  <c r="E56" i="30"/>
  <c r="E55" i="30"/>
  <c r="G55" i="30" s="1"/>
  <c r="BE32" i="1" s="1"/>
  <c r="E54" i="30"/>
  <c r="E53" i="30"/>
  <c r="E52" i="30"/>
  <c r="E51" i="30"/>
  <c r="G51" i="30" s="1"/>
  <c r="E50" i="30"/>
  <c r="E49" i="30"/>
  <c r="E46" i="30"/>
  <c r="E45" i="30"/>
  <c r="G45" i="30" s="1"/>
  <c r="E44" i="30"/>
  <c r="E43" i="30"/>
  <c r="E42" i="30"/>
  <c r="E41" i="30"/>
  <c r="G41" i="30" s="1"/>
  <c r="E40" i="30"/>
  <c r="E39" i="30"/>
  <c r="E38" i="30"/>
  <c r="E37" i="30"/>
  <c r="G37" i="30" s="1"/>
  <c r="AQ32" i="1" s="1"/>
  <c r="E36" i="30"/>
  <c r="E35" i="30"/>
  <c r="E24" i="30"/>
  <c r="E23" i="30"/>
  <c r="E22" i="30"/>
  <c r="H26" i="29"/>
  <c r="E189" i="29"/>
  <c r="E188" i="29"/>
  <c r="E187" i="29"/>
  <c r="E185" i="29"/>
  <c r="E184" i="29"/>
  <c r="E183" i="29"/>
  <c r="E180" i="29"/>
  <c r="E179" i="29"/>
  <c r="E178" i="29"/>
  <c r="E175" i="29"/>
  <c r="G175" i="29" s="1"/>
  <c r="AE19" i="45" s="1"/>
  <c r="E174" i="29"/>
  <c r="E173" i="29"/>
  <c r="E168" i="29"/>
  <c r="E167" i="29"/>
  <c r="E166" i="29"/>
  <c r="E165" i="29"/>
  <c r="E164" i="29"/>
  <c r="E163" i="29"/>
  <c r="G163" i="29" s="1"/>
  <c r="E162" i="29"/>
  <c r="E161" i="29"/>
  <c r="E142" i="29"/>
  <c r="G142" i="29" s="1"/>
  <c r="R32" i="44" s="1"/>
  <c r="Q29" i="49" s="1"/>
  <c r="E141" i="29"/>
  <c r="G141" i="29" s="1"/>
  <c r="Q32" i="44" s="1"/>
  <c r="E139" i="29"/>
  <c r="E138" i="29"/>
  <c r="E133" i="29"/>
  <c r="G133" i="29" s="1"/>
  <c r="AM32" i="44" s="1"/>
  <c r="AL29" i="49" s="1"/>
  <c r="E132" i="29"/>
  <c r="G132" i="29" s="1"/>
  <c r="E131" i="29"/>
  <c r="E130" i="29"/>
  <c r="E129" i="29"/>
  <c r="G129" i="29" s="1"/>
  <c r="E128" i="29"/>
  <c r="G128" i="29" s="1"/>
  <c r="E124" i="29"/>
  <c r="E92" i="29"/>
  <c r="E91" i="29"/>
  <c r="G91" i="29" s="1"/>
  <c r="AK31" i="1" s="1"/>
  <c r="E90" i="29"/>
  <c r="G90" i="29" s="1"/>
  <c r="I90" i="29" s="1"/>
  <c r="E89" i="29"/>
  <c r="E88" i="29"/>
  <c r="E87" i="29"/>
  <c r="G87" i="29" s="1"/>
  <c r="AC31" i="1" s="1"/>
  <c r="E86" i="29"/>
  <c r="E85" i="29"/>
  <c r="E84" i="29"/>
  <c r="E83" i="29"/>
  <c r="E82" i="29"/>
  <c r="G82" i="29" s="1"/>
  <c r="E79" i="29"/>
  <c r="E78" i="29"/>
  <c r="E77" i="29"/>
  <c r="G77" i="29" s="1"/>
  <c r="E76" i="29"/>
  <c r="E75" i="29"/>
  <c r="E74" i="29"/>
  <c r="E70" i="29"/>
  <c r="E69" i="29"/>
  <c r="G69" i="29" s="1"/>
  <c r="AE14" i="45" s="1"/>
  <c r="E68" i="29"/>
  <c r="E67" i="29"/>
  <c r="G67" i="29" s="1"/>
  <c r="E66" i="29"/>
  <c r="E65" i="29"/>
  <c r="E64" i="29"/>
  <c r="E63" i="29"/>
  <c r="E62" i="29"/>
  <c r="G62" i="29" s="1"/>
  <c r="AE7" i="45" s="1"/>
  <c r="AM29" i="49" s="1"/>
  <c r="E58" i="29"/>
  <c r="G58" i="29" s="1"/>
  <c r="Y32" i="44" s="1"/>
  <c r="X29" i="49" s="1"/>
  <c r="E57" i="29"/>
  <c r="E56" i="29"/>
  <c r="E55" i="29"/>
  <c r="G55" i="29" s="1"/>
  <c r="BE31" i="1" s="1"/>
  <c r="E54" i="29"/>
  <c r="E53" i="29"/>
  <c r="E52" i="29"/>
  <c r="E51" i="29"/>
  <c r="E50" i="29"/>
  <c r="G50" i="29" s="1"/>
  <c r="E49" i="29"/>
  <c r="E46" i="29"/>
  <c r="E45" i="29"/>
  <c r="G45" i="29" s="1"/>
  <c r="E44" i="29"/>
  <c r="E43" i="29"/>
  <c r="E42" i="29"/>
  <c r="E41" i="29"/>
  <c r="G41" i="29" s="1"/>
  <c r="E40" i="29"/>
  <c r="G40" i="29" s="1"/>
  <c r="E39" i="29"/>
  <c r="E38" i="29"/>
  <c r="E37" i="29"/>
  <c r="G37" i="29" s="1"/>
  <c r="AQ31" i="1" s="1"/>
  <c r="E36" i="29"/>
  <c r="E35" i="29"/>
  <c r="E22" i="29"/>
  <c r="E12" i="29"/>
  <c r="H124" i="28"/>
  <c r="H124" i="29" s="1"/>
  <c r="H124" i="30" s="1"/>
  <c r="H124" i="43" s="1"/>
  <c r="H124" i="31" s="1"/>
  <c r="E189" i="28"/>
  <c r="E188" i="28"/>
  <c r="E187" i="28"/>
  <c r="E185" i="28"/>
  <c r="E184" i="28"/>
  <c r="E183" i="28"/>
  <c r="E180" i="28"/>
  <c r="G180" i="28" s="1"/>
  <c r="E179" i="28"/>
  <c r="E178" i="28"/>
  <c r="G178" i="28" s="1"/>
  <c r="AD21" i="45" s="1"/>
  <c r="AX28" i="49" s="1"/>
  <c r="E175" i="28"/>
  <c r="E174" i="28"/>
  <c r="E173" i="28"/>
  <c r="E168" i="28"/>
  <c r="E167" i="28"/>
  <c r="E166" i="28"/>
  <c r="E165" i="28"/>
  <c r="E164" i="28"/>
  <c r="G164" i="28" s="1"/>
  <c r="E163" i="28"/>
  <c r="E162" i="28"/>
  <c r="E161" i="28"/>
  <c r="E142" i="28"/>
  <c r="G142" i="28" s="1"/>
  <c r="R31" i="44" s="1"/>
  <c r="Q28" i="49" s="1"/>
  <c r="E141" i="28"/>
  <c r="E140" i="28"/>
  <c r="G140" i="28" s="1"/>
  <c r="P31" i="44" s="1"/>
  <c r="O28" i="49" s="1"/>
  <c r="E139" i="28"/>
  <c r="E138" i="28"/>
  <c r="G138" i="28" s="1"/>
  <c r="N31" i="44" s="1"/>
  <c r="M28" i="49" s="1"/>
  <c r="E133" i="28"/>
  <c r="E132" i="28"/>
  <c r="E131" i="28"/>
  <c r="E130" i="28"/>
  <c r="E129" i="28"/>
  <c r="E128" i="28"/>
  <c r="G128" i="28" s="1"/>
  <c r="E124" i="28"/>
  <c r="E123" i="28"/>
  <c r="G123" i="28" s="1"/>
  <c r="AL31" i="44" s="1"/>
  <c r="AK28" i="49" s="1"/>
  <c r="E122" i="28"/>
  <c r="G122" i="28" s="1"/>
  <c r="AK31" i="44" s="1"/>
  <c r="AJ28" i="49" s="1"/>
  <c r="E121" i="28"/>
  <c r="E120" i="28"/>
  <c r="E119" i="28"/>
  <c r="G119" i="28" s="1"/>
  <c r="AH31" i="44" s="1"/>
  <c r="AG28" i="49" s="1"/>
  <c r="E118" i="28"/>
  <c r="E117" i="28"/>
  <c r="G117" i="28" s="1"/>
  <c r="AF31" i="44" s="1"/>
  <c r="AE28" i="49" s="1"/>
  <c r="E116" i="28"/>
  <c r="E115" i="28"/>
  <c r="G115" i="28" s="1"/>
  <c r="E114" i="28"/>
  <c r="E113" i="28"/>
  <c r="E112" i="28"/>
  <c r="E92" i="28"/>
  <c r="G92" i="28" s="1"/>
  <c r="AL30" i="1" s="1"/>
  <c r="E91" i="28"/>
  <c r="E90" i="28"/>
  <c r="G90" i="28" s="1"/>
  <c r="I90" i="28" s="1"/>
  <c r="E89" i="28"/>
  <c r="E88" i="28"/>
  <c r="E87" i="28"/>
  <c r="E86" i="28"/>
  <c r="E85" i="28"/>
  <c r="E84" i="28"/>
  <c r="G84" i="28" s="1"/>
  <c r="E83" i="28"/>
  <c r="G83" i="28" s="1"/>
  <c r="E82" i="28"/>
  <c r="E79" i="28"/>
  <c r="E78" i="28"/>
  <c r="E77" i="28"/>
  <c r="E76" i="28"/>
  <c r="E75" i="28"/>
  <c r="E74" i="28"/>
  <c r="G74" i="28" s="1"/>
  <c r="E65" i="28"/>
  <c r="G65" i="28" s="1"/>
  <c r="E64" i="28"/>
  <c r="E63" i="28"/>
  <c r="E62" i="28"/>
  <c r="G62" i="28" s="1"/>
  <c r="E58" i="28"/>
  <c r="E57" i="28"/>
  <c r="E56" i="28"/>
  <c r="E55" i="28"/>
  <c r="G55" i="28" s="1"/>
  <c r="BE30" i="1" s="1"/>
  <c r="E54" i="28"/>
  <c r="G54" i="28" s="1"/>
  <c r="E53" i="28"/>
  <c r="E52" i="28"/>
  <c r="E51" i="28"/>
  <c r="G51" i="28" s="1"/>
  <c r="E50" i="28"/>
  <c r="E49" i="28"/>
  <c r="E35" i="28"/>
  <c r="E24" i="28"/>
  <c r="G24" i="28" s="1"/>
  <c r="E23" i="28"/>
  <c r="G23" i="28" s="1"/>
  <c r="E22" i="28"/>
  <c r="G22" i="28" s="1"/>
  <c r="E189" i="27"/>
  <c r="E188" i="27"/>
  <c r="E187" i="27"/>
  <c r="E185" i="27"/>
  <c r="E184" i="27"/>
  <c r="G184" i="27" s="1"/>
  <c r="E183" i="27"/>
  <c r="G183" i="27" s="1"/>
  <c r="E180" i="27"/>
  <c r="G180" i="27" s="1"/>
  <c r="E179" i="27"/>
  <c r="G179" i="27" s="1"/>
  <c r="E178" i="27"/>
  <c r="E175" i="27"/>
  <c r="G175" i="27" s="1"/>
  <c r="E174" i="27"/>
  <c r="E173" i="27"/>
  <c r="E168" i="27"/>
  <c r="E167" i="27"/>
  <c r="E166" i="27"/>
  <c r="E165" i="27"/>
  <c r="E164" i="27"/>
  <c r="G164" i="27" s="1"/>
  <c r="AD30" i="44" s="1"/>
  <c r="AC27" i="49" s="1"/>
  <c r="E163" i="27"/>
  <c r="G163" i="27" s="1"/>
  <c r="E162" i="27"/>
  <c r="E161" i="27"/>
  <c r="E138" i="27"/>
  <c r="G138" i="27" s="1"/>
  <c r="E133" i="27"/>
  <c r="G133" i="27" s="1"/>
  <c r="E132" i="27"/>
  <c r="E131" i="27"/>
  <c r="E130" i="27"/>
  <c r="G129" i="27"/>
  <c r="E128" i="27"/>
  <c r="E124" i="27"/>
  <c r="E123" i="27"/>
  <c r="G123" i="27" s="1"/>
  <c r="AL30" i="44" s="1"/>
  <c r="E122" i="27"/>
  <c r="G122" i="27" s="1"/>
  <c r="AK30" i="44" s="1"/>
  <c r="AJ27" i="49" s="1"/>
  <c r="E121" i="27"/>
  <c r="E120" i="27"/>
  <c r="E119" i="27"/>
  <c r="E118" i="27"/>
  <c r="G118" i="27" s="1"/>
  <c r="AG30" i="44" s="1"/>
  <c r="AF27" i="49" s="1"/>
  <c r="E117" i="27"/>
  <c r="E116" i="27"/>
  <c r="E115" i="27"/>
  <c r="E114" i="27"/>
  <c r="E113" i="27"/>
  <c r="E112" i="27"/>
  <c r="E92" i="27"/>
  <c r="E91" i="27"/>
  <c r="E90" i="27"/>
  <c r="E89" i="27"/>
  <c r="E88" i="27"/>
  <c r="G88" i="27" s="1"/>
  <c r="E87" i="27"/>
  <c r="G87" i="27" s="1"/>
  <c r="AC29" i="1" s="1"/>
  <c r="E86" i="27"/>
  <c r="E85" i="27"/>
  <c r="E84" i="27"/>
  <c r="E83" i="27"/>
  <c r="G83" i="27" s="1"/>
  <c r="E82" i="27"/>
  <c r="E79" i="27"/>
  <c r="E78" i="27"/>
  <c r="E77" i="27"/>
  <c r="G77" i="27" s="1"/>
  <c r="AR30" i="44" s="1"/>
  <c r="BK27" i="49" s="1"/>
  <c r="E76" i="27"/>
  <c r="E75" i="27"/>
  <c r="E74" i="27"/>
  <c r="E65" i="27"/>
  <c r="G65" i="27" s="1"/>
  <c r="AC9" i="45" s="1"/>
  <c r="E64" i="27"/>
  <c r="E63" i="27"/>
  <c r="E62" i="27"/>
  <c r="G62" i="27" s="1"/>
  <c r="AC7" i="45" s="1"/>
  <c r="AM27" i="49" s="1"/>
  <c r="E49" i="27"/>
  <c r="E46" i="27"/>
  <c r="E45" i="27"/>
  <c r="E44" i="27"/>
  <c r="E43" i="27"/>
  <c r="E42" i="27"/>
  <c r="E40" i="27"/>
  <c r="E39" i="27"/>
  <c r="G39" i="27" s="1"/>
  <c r="AS29" i="1" s="1"/>
  <c r="E38" i="27"/>
  <c r="E37" i="27"/>
  <c r="E36" i="27"/>
  <c r="E35" i="27"/>
  <c r="E24" i="27"/>
  <c r="E23" i="27"/>
  <c r="E22" i="27"/>
  <c r="E189" i="40"/>
  <c r="E188" i="40"/>
  <c r="E187" i="40"/>
  <c r="E185" i="40"/>
  <c r="E184" i="40"/>
  <c r="G184" i="40" s="1"/>
  <c r="E183" i="40"/>
  <c r="G183" i="40" s="1"/>
  <c r="E180" i="40"/>
  <c r="E179" i="40"/>
  <c r="E178" i="40"/>
  <c r="G178" i="40" s="1"/>
  <c r="AB21" i="45" s="1"/>
  <c r="AX26" i="49" s="1"/>
  <c r="E175" i="40"/>
  <c r="E174" i="40"/>
  <c r="E173" i="40"/>
  <c r="E168" i="40"/>
  <c r="E167" i="40"/>
  <c r="E166" i="40"/>
  <c r="E165" i="40"/>
  <c r="E164" i="40"/>
  <c r="G164" i="40" s="1"/>
  <c r="E163" i="40"/>
  <c r="E162" i="40"/>
  <c r="E161" i="40"/>
  <c r="E138" i="40"/>
  <c r="E133" i="40"/>
  <c r="G133" i="40" s="1"/>
  <c r="BJ28" i="1" s="1"/>
  <c r="E132" i="40"/>
  <c r="G132" i="40" s="1"/>
  <c r="E131" i="40"/>
  <c r="E130" i="40"/>
  <c r="G130" i="40" s="1"/>
  <c r="E129" i="40"/>
  <c r="E128" i="40"/>
  <c r="E123" i="40"/>
  <c r="E122" i="40"/>
  <c r="E121" i="40"/>
  <c r="E120" i="40"/>
  <c r="E119" i="40"/>
  <c r="E118" i="40"/>
  <c r="G118" i="40" s="1"/>
  <c r="AG29" i="44" s="1"/>
  <c r="E117" i="40"/>
  <c r="E116" i="40"/>
  <c r="G116" i="40" s="1"/>
  <c r="AE29" i="44" s="1"/>
  <c r="AD26" i="49" s="1"/>
  <c r="E115" i="40"/>
  <c r="E114" i="40"/>
  <c r="E113" i="40"/>
  <c r="E112" i="40"/>
  <c r="G112" i="40" s="1"/>
  <c r="E92" i="40"/>
  <c r="E91" i="40"/>
  <c r="E90" i="40"/>
  <c r="E89" i="40"/>
  <c r="G89" i="40" s="1"/>
  <c r="E88" i="40"/>
  <c r="E87" i="40"/>
  <c r="E86" i="40"/>
  <c r="G86" i="40" s="1"/>
  <c r="AB28" i="1" s="1"/>
  <c r="E85" i="40"/>
  <c r="G85" i="40" s="1"/>
  <c r="AA28" i="1" s="1"/>
  <c r="E84" i="40"/>
  <c r="G84" i="40" s="1"/>
  <c r="E83" i="40"/>
  <c r="E82" i="40"/>
  <c r="E79" i="40"/>
  <c r="E78" i="40"/>
  <c r="E77" i="40"/>
  <c r="G77" i="40" s="1"/>
  <c r="AR29" i="44" s="1"/>
  <c r="E76" i="40"/>
  <c r="E75" i="40"/>
  <c r="E65" i="40"/>
  <c r="G65" i="40" s="1"/>
  <c r="E64" i="40"/>
  <c r="E63" i="40"/>
  <c r="E62" i="40"/>
  <c r="E58" i="40"/>
  <c r="E57" i="40"/>
  <c r="G57" i="40" s="1"/>
  <c r="E56" i="40"/>
  <c r="E55" i="40"/>
  <c r="E54" i="40"/>
  <c r="G54" i="40" s="1"/>
  <c r="E53" i="40"/>
  <c r="E52" i="40"/>
  <c r="E51" i="40"/>
  <c r="E50" i="40"/>
  <c r="E49" i="40"/>
  <c r="G49" i="40" s="1"/>
  <c r="E35" i="40"/>
  <c r="E24" i="40"/>
  <c r="E23" i="40"/>
  <c r="E22" i="40"/>
  <c r="E189" i="25"/>
  <c r="E188" i="25"/>
  <c r="E187" i="25"/>
  <c r="E185" i="25"/>
  <c r="E184" i="25"/>
  <c r="E183" i="25"/>
  <c r="E180" i="25"/>
  <c r="G180" i="25" s="1"/>
  <c r="AA23" i="45" s="1"/>
  <c r="E179" i="25"/>
  <c r="E178" i="25"/>
  <c r="E175" i="25"/>
  <c r="E174" i="25"/>
  <c r="E173" i="25"/>
  <c r="G173" i="25" s="1"/>
  <c r="AA17" i="45" s="1"/>
  <c r="AU25" i="49" s="1"/>
  <c r="E168" i="25"/>
  <c r="E167" i="25"/>
  <c r="E166" i="25"/>
  <c r="E165" i="25"/>
  <c r="G165" i="25" s="1"/>
  <c r="E164" i="25"/>
  <c r="E163" i="25"/>
  <c r="E162" i="25"/>
  <c r="E161" i="25"/>
  <c r="G161" i="25" s="1"/>
  <c r="AA28" i="44" s="1"/>
  <c r="E142" i="25"/>
  <c r="E141" i="25"/>
  <c r="E140" i="25"/>
  <c r="G140" i="25" s="1"/>
  <c r="P28" i="44" s="1"/>
  <c r="E139" i="25"/>
  <c r="E138" i="25"/>
  <c r="E128" i="25"/>
  <c r="E124" i="25"/>
  <c r="E123" i="25"/>
  <c r="G123" i="25" s="1"/>
  <c r="E122" i="25"/>
  <c r="G122" i="25" s="1"/>
  <c r="AK28" i="44" s="1"/>
  <c r="AJ25" i="49" s="1"/>
  <c r="E121" i="25"/>
  <c r="E120" i="25"/>
  <c r="G120" i="25" s="1"/>
  <c r="AI28" i="44" s="1"/>
  <c r="E119" i="25"/>
  <c r="E118" i="25"/>
  <c r="G118" i="25" s="1"/>
  <c r="AG28" i="44" s="1"/>
  <c r="AF25" i="49" s="1"/>
  <c r="E117" i="25"/>
  <c r="E116" i="25"/>
  <c r="E115" i="25"/>
  <c r="G115" i="25" s="1"/>
  <c r="E114" i="25"/>
  <c r="G114" i="25" s="1"/>
  <c r="E113" i="25"/>
  <c r="E112" i="25"/>
  <c r="G112" i="25" s="1"/>
  <c r="E92" i="25"/>
  <c r="E91" i="25"/>
  <c r="G91" i="25" s="1"/>
  <c r="E90" i="25"/>
  <c r="E89" i="25"/>
  <c r="E88" i="25"/>
  <c r="E87" i="25"/>
  <c r="E86" i="25"/>
  <c r="E85" i="25"/>
  <c r="G85" i="25" s="1"/>
  <c r="AA27" i="1" s="1"/>
  <c r="E83" i="25"/>
  <c r="E82" i="25"/>
  <c r="E70" i="25"/>
  <c r="E69" i="25"/>
  <c r="G69" i="25" s="1"/>
  <c r="AA14" i="45" s="1"/>
  <c r="E68" i="25"/>
  <c r="G68" i="25" s="1"/>
  <c r="E67" i="25"/>
  <c r="E66" i="25"/>
  <c r="G66" i="25" s="1"/>
  <c r="E65" i="25"/>
  <c r="E64" i="25"/>
  <c r="E63" i="25"/>
  <c r="G63" i="25" s="1"/>
  <c r="E62" i="25"/>
  <c r="E58" i="25"/>
  <c r="E57" i="25"/>
  <c r="G57" i="25" s="1"/>
  <c r="E56" i="25"/>
  <c r="E55" i="25"/>
  <c r="G55" i="25" s="1"/>
  <c r="E54" i="25"/>
  <c r="E53" i="25"/>
  <c r="E52" i="25"/>
  <c r="E51" i="25"/>
  <c r="E50" i="25"/>
  <c r="E49" i="25"/>
  <c r="G49" i="25" s="1"/>
  <c r="E46" i="25"/>
  <c r="E45" i="25"/>
  <c r="G45" i="25" s="1"/>
  <c r="E44" i="25"/>
  <c r="E43" i="25"/>
  <c r="E40" i="25"/>
  <c r="E39" i="25"/>
  <c r="E38" i="25"/>
  <c r="G38" i="25" s="1"/>
  <c r="E37" i="25"/>
  <c r="E36" i="25"/>
  <c r="G36" i="25" s="1"/>
  <c r="E35" i="25"/>
  <c r="E24" i="25"/>
  <c r="E23" i="25"/>
  <c r="E22" i="25"/>
  <c r="E12" i="25"/>
  <c r="E11" i="25"/>
  <c r="E185" i="24"/>
  <c r="E183" i="24"/>
  <c r="G183" i="24" s="1"/>
  <c r="E178" i="24"/>
  <c r="E168" i="24"/>
  <c r="E167" i="24"/>
  <c r="E166" i="24"/>
  <c r="E161" i="24"/>
  <c r="G161" i="24" s="1"/>
  <c r="AA27" i="44" s="1"/>
  <c r="E138" i="24"/>
  <c r="G138" i="24" s="1"/>
  <c r="E124" i="24"/>
  <c r="E82" i="24"/>
  <c r="G82" i="24" s="1"/>
  <c r="E79" i="24"/>
  <c r="E78" i="24"/>
  <c r="E77" i="24"/>
  <c r="E76" i="24"/>
  <c r="E75" i="24"/>
  <c r="E74" i="24"/>
  <c r="G74" i="24" s="1"/>
  <c r="E70" i="24"/>
  <c r="E69" i="24"/>
  <c r="G69" i="24" s="1"/>
  <c r="Z14" i="45" s="1"/>
  <c r="E68" i="24"/>
  <c r="E67" i="24"/>
  <c r="G67" i="24" s="1"/>
  <c r="E66" i="24"/>
  <c r="E65" i="24"/>
  <c r="E64" i="24"/>
  <c r="E63" i="24"/>
  <c r="G63" i="24" s="1"/>
  <c r="E62" i="24"/>
  <c r="E24" i="24"/>
  <c r="E23" i="24"/>
  <c r="E22" i="24"/>
  <c r="E185" i="23"/>
  <c r="E184" i="23"/>
  <c r="E183" i="23"/>
  <c r="E180" i="23"/>
  <c r="G180" i="23" s="1"/>
  <c r="E179" i="23"/>
  <c r="E178" i="23"/>
  <c r="G178" i="23" s="1"/>
  <c r="Y21" i="45" s="1"/>
  <c r="E175" i="23"/>
  <c r="E174" i="23"/>
  <c r="G174" i="23" s="1"/>
  <c r="E173" i="23"/>
  <c r="E168" i="23"/>
  <c r="E167" i="23"/>
  <c r="E166" i="23"/>
  <c r="E165" i="23"/>
  <c r="E164" i="23"/>
  <c r="G164" i="23" s="1"/>
  <c r="E163" i="23"/>
  <c r="E162" i="23"/>
  <c r="G162" i="23" s="1"/>
  <c r="AB26" i="44" s="1"/>
  <c r="AA23" i="49" s="1"/>
  <c r="E161" i="23"/>
  <c r="G161" i="23" s="1"/>
  <c r="AA26" i="44" s="1"/>
  <c r="Z23" i="49" s="1"/>
  <c r="E142" i="23"/>
  <c r="E141" i="23"/>
  <c r="G141" i="23" s="1"/>
  <c r="Q26" i="44" s="1"/>
  <c r="P23" i="49" s="1"/>
  <c r="E140" i="23"/>
  <c r="E139" i="23"/>
  <c r="E138" i="23"/>
  <c r="G138" i="23" s="1"/>
  <c r="E124" i="23"/>
  <c r="E122" i="23"/>
  <c r="E121" i="23"/>
  <c r="E119" i="23"/>
  <c r="G119" i="23" s="1"/>
  <c r="AH26" i="44" s="1"/>
  <c r="AG23" i="49" s="1"/>
  <c r="E118" i="23"/>
  <c r="G118" i="23" s="1"/>
  <c r="AG26" i="44" s="1"/>
  <c r="E117" i="23"/>
  <c r="E116" i="23"/>
  <c r="E92" i="23"/>
  <c r="E91" i="23"/>
  <c r="E90" i="23"/>
  <c r="E89" i="23"/>
  <c r="E88" i="23"/>
  <c r="E87" i="23"/>
  <c r="G87" i="23" s="1"/>
  <c r="E86" i="23"/>
  <c r="E85" i="23"/>
  <c r="E84" i="23"/>
  <c r="G84" i="23" s="1"/>
  <c r="Z25" i="1" s="1"/>
  <c r="E83" i="23"/>
  <c r="E82" i="23"/>
  <c r="E79" i="23"/>
  <c r="E78" i="23"/>
  <c r="E77" i="23"/>
  <c r="E76" i="23"/>
  <c r="E75" i="23"/>
  <c r="E74" i="23"/>
  <c r="G74" i="23" s="1"/>
  <c r="E70" i="23"/>
  <c r="E69" i="23"/>
  <c r="E68" i="23"/>
  <c r="E67" i="23"/>
  <c r="G67" i="23" s="1"/>
  <c r="E66" i="23"/>
  <c r="E65" i="23"/>
  <c r="G65" i="23" s="1"/>
  <c r="E64" i="23"/>
  <c r="E62" i="23"/>
  <c r="G62" i="23" s="1"/>
  <c r="Y7" i="45" s="1"/>
  <c r="E46" i="23"/>
  <c r="E45" i="23"/>
  <c r="E44" i="23"/>
  <c r="E43" i="23"/>
  <c r="E41" i="23"/>
  <c r="G41" i="23" s="1"/>
  <c r="E40" i="23"/>
  <c r="E39" i="23"/>
  <c r="G39" i="23" s="1"/>
  <c r="E38" i="23"/>
  <c r="G38" i="23" s="1"/>
  <c r="E37" i="23"/>
  <c r="E36" i="23"/>
  <c r="E35" i="23"/>
  <c r="G35" i="23" s="1"/>
  <c r="E23" i="23"/>
  <c r="E22" i="23"/>
  <c r="G22" i="23" s="1"/>
  <c r="E185" i="22"/>
  <c r="E184" i="22"/>
  <c r="E183" i="22"/>
  <c r="G183" i="22" s="1"/>
  <c r="E180" i="22"/>
  <c r="E179" i="22"/>
  <c r="E178" i="22"/>
  <c r="G178" i="22" s="1"/>
  <c r="E175" i="22"/>
  <c r="E174" i="22"/>
  <c r="G174" i="22" s="1"/>
  <c r="X18" i="45" s="1"/>
  <c r="E173" i="22"/>
  <c r="G173" i="22" s="1"/>
  <c r="X17" i="45" s="1"/>
  <c r="AU22" i="49" s="1"/>
  <c r="E168" i="22"/>
  <c r="E167" i="22"/>
  <c r="E166" i="22"/>
  <c r="E165" i="22"/>
  <c r="G165" i="22" s="1"/>
  <c r="E164" i="22"/>
  <c r="G164" i="22" s="1"/>
  <c r="E163" i="22"/>
  <c r="E162" i="22"/>
  <c r="G162" i="22" s="1"/>
  <c r="AB25" i="44" s="1"/>
  <c r="E161" i="22"/>
  <c r="G161" i="22" s="1"/>
  <c r="AA25" i="44" s="1"/>
  <c r="Z22" i="49" s="1"/>
  <c r="E138" i="22"/>
  <c r="E133" i="22"/>
  <c r="G133" i="22" s="1"/>
  <c r="BJ24" i="1" s="1"/>
  <c r="E131" i="22"/>
  <c r="E130" i="22"/>
  <c r="E129" i="22"/>
  <c r="E128" i="22"/>
  <c r="E112" i="22"/>
  <c r="G112" i="22" s="1"/>
  <c r="E92" i="22"/>
  <c r="G92" i="22" s="1"/>
  <c r="AL24" i="1" s="1"/>
  <c r="E91" i="22"/>
  <c r="E90" i="22"/>
  <c r="G90" i="22" s="1"/>
  <c r="I90" i="22" s="1"/>
  <c r="E89" i="22"/>
  <c r="E88" i="22"/>
  <c r="G88" i="22" s="1"/>
  <c r="E87" i="22"/>
  <c r="E86" i="22"/>
  <c r="G86" i="22" s="1"/>
  <c r="AB24" i="1" s="1"/>
  <c r="E85" i="22"/>
  <c r="G85" i="22" s="1"/>
  <c r="AA24" i="1" s="1"/>
  <c r="E84" i="22"/>
  <c r="E83" i="22"/>
  <c r="E82" i="22"/>
  <c r="G82" i="22" s="1"/>
  <c r="E79" i="22"/>
  <c r="E78" i="22"/>
  <c r="G78" i="22" s="1"/>
  <c r="AS25" i="44" s="1"/>
  <c r="BL22" i="49" s="1"/>
  <c r="E77" i="22"/>
  <c r="E76" i="22"/>
  <c r="E75" i="22"/>
  <c r="E74" i="22"/>
  <c r="G74" i="22" s="1"/>
  <c r="AO25" i="44" s="1"/>
  <c r="BH22" i="49" s="1"/>
  <c r="E70" i="22"/>
  <c r="E69" i="22"/>
  <c r="G69" i="22" s="1"/>
  <c r="X14" i="45" s="1"/>
  <c r="E68" i="22"/>
  <c r="E67" i="22"/>
  <c r="G67" i="22" s="1"/>
  <c r="E66" i="22"/>
  <c r="E65" i="22"/>
  <c r="E64" i="22"/>
  <c r="E63" i="22"/>
  <c r="G63" i="22" s="1"/>
  <c r="X8" i="45" s="1"/>
  <c r="AN22" i="49" s="1"/>
  <c r="E62" i="22"/>
  <c r="G58" i="22"/>
  <c r="Y25" i="44" s="1"/>
  <c r="X22" i="49" s="1"/>
  <c r="G54" i="22"/>
  <c r="BD24" i="1" s="1"/>
  <c r="G53" i="22"/>
  <c r="E49" i="22"/>
  <c r="G49" i="22" s="1"/>
  <c r="E46" i="22"/>
  <c r="E45" i="22"/>
  <c r="E44" i="22"/>
  <c r="G44" i="22" s="1"/>
  <c r="E43" i="22"/>
  <c r="E42" i="22"/>
  <c r="E41" i="22"/>
  <c r="E40" i="22"/>
  <c r="G40" i="22" s="1"/>
  <c r="E38" i="22"/>
  <c r="G38" i="22" s="1"/>
  <c r="AR24" i="1" s="1"/>
  <c r="E37" i="22"/>
  <c r="E36" i="22"/>
  <c r="E35" i="22"/>
  <c r="G35" i="22" s="1"/>
  <c r="E24" i="22"/>
  <c r="E23" i="22"/>
  <c r="G23" i="22" s="1"/>
  <c r="E22" i="22"/>
  <c r="G22" i="22" s="1"/>
  <c r="E12" i="22"/>
  <c r="E11" i="22"/>
  <c r="G11" i="22" s="1"/>
  <c r="H124" i="21"/>
  <c r="H124" i="22" s="1"/>
  <c r="H124" i="23" s="1"/>
  <c r="H124" i="24" s="1"/>
  <c r="E185" i="21"/>
  <c r="E184" i="21"/>
  <c r="G184" i="21" s="1"/>
  <c r="G186" i="21" s="1"/>
  <c r="E183" i="21"/>
  <c r="G183" i="21" s="1"/>
  <c r="E173" i="21"/>
  <c r="E168" i="21"/>
  <c r="E167" i="21"/>
  <c r="E166" i="21"/>
  <c r="G166" i="21" s="1"/>
  <c r="E161" i="21"/>
  <c r="E138" i="21"/>
  <c r="G138" i="21" s="1"/>
  <c r="N24" i="44" s="1"/>
  <c r="M21" i="49" s="1"/>
  <c r="E128" i="21"/>
  <c r="G128" i="21" s="1"/>
  <c r="E124" i="21"/>
  <c r="E112" i="21"/>
  <c r="G112" i="21" s="1"/>
  <c r="E82" i="21"/>
  <c r="E74" i="21"/>
  <c r="E65" i="21"/>
  <c r="E64" i="21"/>
  <c r="E62" i="21"/>
  <c r="G55" i="21"/>
  <c r="E49" i="21"/>
  <c r="E35" i="21"/>
  <c r="G35" i="21" s="1"/>
  <c r="E24" i="21"/>
  <c r="E23" i="21"/>
  <c r="E22" i="21"/>
  <c r="E185" i="19"/>
  <c r="E183" i="19"/>
  <c r="G183" i="19" s="1"/>
  <c r="E180" i="19"/>
  <c r="E179" i="19"/>
  <c r="E178" i="19"/>
  <c r="G178" i="19" s="1"/>
  <c r="E175" i="19"/>
  <c r="G175" i="19" s="1"/>
  <c r="U19" i="45" s="1"/>
  <c r="AW19" i="49" s="1"/>
  <c r="E174" i="19"/>
  <c r="G174" i="19" s="1"/>
  <c r="U18" i="45" s="1"/>
  <c r="AV19" i="49" s="1"/>
  <c r="E173" i="19"/>
  <c r="E161" i="19"/>
  <c r="E142" i="19"/>
  <c r="E141" i="19"/>
  <c r="G141" i="19" s="1"/>
  <c r="Q22" i="44" s="1"/>
  <c r="P19" i="49" s="1"/>
  <c r="E140" i="19"/>
  <c r="E139" i="19"/>
  <c r="G139" i="19" s="1"/>
  <c r="O22" i="44" s="1"/>
  <c r="E138" i="19"/>
  <c r="G138" i="19" s="1"/>
  <c r="E133" i="19"/>
  <c r="G133" i="19" s="1"/>
  <c r="E132" i="19"/>
  <c r="E131" i="19"/>
  <c r="E130" i="19"/>
  <c r="G130" i="19" s="1"/>
  <c r="E129" i="19"/>
  <c r="G129" i="19" s="1"/>
  <c r="E128" i="19"/>
  <c r="E124" i="19"/>
  <c r="E112" i="19"/>
  <c r="G112" i="19" s="1"/>
  <c r="E82" i="19"/>
  <c r="G82" i="19" s="1"/>
  <c r="E79" i="19"/>
  <c r="E78" i="19"/>
  <c r="E77" i="19"/>
  <c r="E76" i="19"/>
  <c r="G76" i="19" s="1"/>
  <c r="AQ22" i="44" s="1"/>
  <c r="BJ19" i="49" s="1"/>
  <c r="E75" i="19"/>
  <c r="E74" i="19"/>
  <c r="G74" i="19" s="1"/>
  <c r="G67" i="19"/>
  <c r="E65" i="19"/>
  <c r="E64" i="19"/>
  <c r="E63" i="19"/>
  <c r="E62" i="19"/>
  <c r="G62" i="19" s="1"/>
  <c r="U7" i="45" s="1"/>
  <c r="E49" i="19"/>
  <c r="G49" i="19" s="1"/>
  <c r="E23" i="19"/>
  <c r="G23" i="19" s="1"/>
  <c r="E22" i="19"/>
  <c r="H124" i="18"/>
  <c r="H124" i="19" s="1"/>
  <c r="E174" i="18"/>
  <c r="G174" i="18" s="1"/>
  <c r="T18" i="45" s="1"/>
  <c r="AV18" i="49" s="1"/>
  <c r="E185" i="18"/>
  <c r="G185" i="18" s="1"/>
  <c r="E184" i="18"/>
  <c r="E183" i="18"/>
  <c r="G183" i="18" s="1"/>
  <c r="E180" i="18"/>
  <c r="G180" i="18" s="1"/>
  <c r="E179" i="18"/>
  <c r="E178" i="18"/>
  <c r="E175" i="18"/>
  <c r="E173" i="18"/>
  <c r="G173" i="18" s="1"/>
  <c r="T17" i="45" s="1"/>
  <c r="AU18" i="49" s="1"/>
  <c r="E165" i="18"/>
  <c r="G165" i="18" s="1"/>
  <c r="E164" i="18"/>
  <c r="E163" i="18"/>
  <c r="G163" i="18" s="1"/>
  <c r="E162" i="18"/>
  <c r="G162" i="18" s="1"/>
  <c r="AB21" i="44" s="1"/>
  <c r="AA18" i="49" s="1"/>
  <c r="E161" i="18"/>
  <c r="E142" i="18"/>
  <c r="E141" i="18"/>
  <c r="E140" i="18"/>
  <c r="G140" i="18" s="1"/>
  <c r="P21" i="44" s="1"/>
  <c r="O18" i="49" s="1"/>
  <c r="E139" i="18"/>
  <c r="G139" i="18" s="1"/>
  <c r="E133" i="18"/>
  <c r="E131" i="18"/>
  <c r="G131" i="18" s="1"/>
  <c r="E130" i="18"/>
  <c r="G130" i="18" s="1"/>
  <c r="E129" i="18"/>
  <c r="E128" i="18"/>
  <c r="E124" i="18"/>
  <c r="E123" i="18"/>
  <c r="E122" i="18"/>
  <c r="G122" i="18" s="1"/>
  <c r="AK21" i="44" s="1"/>
  <c r="E121" i="18"/>
  <c r="E120" i="18"/>
  <c r="G120" i="18" s="1"/>
  <c r="AI21" i="44" s="1"/>
  <c r="AH18" i="49" s="1"/>
  <c r="E119" i="18"/>
  <c r="G119" i="18" s="1"/>
  <c r="AH21" i="44" s="1"/>
  <c r="AG18" i="49" s="1"/>
  <c r="E118" i="18"/>
  <c r="E117" i="18"/>
  <c r="E116" i="18"/>
  <c r="G116" i="18" s="1"/>
  <c r="AE21" i="44" s="1"/>
  <c r="AD18" i="49" s="1"/>
  <c r="E115" i="18"/>
  <c r="G115" i="18" s="1"/>
  <c r="E113" i="18"/>
  <c r="G113" i="18" s="1"/>
  <c r="E112" i="18"/>
  <c r="E82" i="18"/>
  <c r="G82" i="18" s="1"/>
  <c r="E79" i="18"/>
  <c r="E78" i="18"/>
  <c r="E77" i="18"/>
  <c r="E76" i="18"/>
  <c r="G76" i="18" s="1"/>
  <c r="AQ21" i="44" s="1"/>
  <c r="BJ18" i="49" s="1"/>
  <c r="E75" i="18"/>
  <c r="G75" i="18" s="1"/>
  <c r="AP21" i="44" s="1"/>
  <c r="BI18" i="49" s="1"/>
  <c r="E74" i="18"/>
  <c r="G74" i="18" s="1"/>
  <c r="E70" i="18"/>
  <c r="G70" i="18" s="1"/>
  <c r="T15" i="45" s="1"/>
  <c r="E69" i="18"/>
  <c r="G69" i="18" s="1"/>
  <c r="T14" i="45" s="1"/>
  <c r="E68" i="18"/>
  <c r="E67" i="18"/>
  <c r="E66" i="18"/>
  <c r="E65" i="18"/>
  <c r="E64" i="18"/>
  <c r="E63" i="18"/>
  <c r="G63" i="18" s="1"/>
  <c r="E62" i="18"/>
  <c r="G62" i="18" s="1"/>
  <c r="T7" i="45" s="1"/>
  <c r="AM18" i="49" s="1"/>
  <c r="E49" i="18"/>
  <c r="G49" i="18" s="1"/>
  <c r="AZ20" i="1" s="1"/>
  <c r="E35" i="18"/>
  <c r="G35" i="18" s="1"/>
  <c r="E23" i="18"/>
  <c r="E22" i="18"/>
  <c r="E189" i="17"/>
  <c r="E188" i="17"/>
  <c r="E187" i="17"/>
  <c r="E186" i="17"/>
  <c r="E185" i="17"/>
  <c r="G185" i="17" s="1"/>
  <c r="E184" i="17"/>
  <c r="E183" i="17"/>
  <c r="E182" i="17"/>
  <c r="E181" i="17"/>
  <c r="E180" i="17"/>
  <c r="G180" i="17" s="1"/>
  <c r="S23" i="45" s="1"/>
  <c r="E179" i="17"/>
  <c r="G179" i="17" s="1"/>
  <c r="E178" i="17"/>
  <c r="G178" i="17" s="1"/>
  <c r="S21" i="45" s="1"/>
  <c r="E177" i="17"/>
  <c r="E176" i="17"/>
  <c r="E175" i="17"/>
  <c r="E174" i="17"/>
  <c r="E173" i="17"/>
  <c r="E168" i="17"/>
  <c r="E167" i="17"/>
  <c r="E166" i="17"/>
  <c r="E161" i="17"/>
  <c r="G161" i="17" s="1"/>
  <c r="AA20" i="44" s="1"/>
  <c r="Z17" i="49" s="1"/>
  <c r="E142" i="17"/>
  <c r="G142" i="17" s="1"/>
  <c r="R20" i="44" s="1"/>
  <c r="Q17" i="49" s="1"/>
  <c r="E141" i="17"/>
  <c r="G141" i="17" s="1"/>
  <c r="Q20" i="44" s="1"/>
  <c r="E140" i="17"/>
  <c r="G140" i="17" s="1"/>
  <c r="P20" i="44" s="1"/>
  <c r="O17" i="49" s="1"/>
  <c r="E139" i="17"/>
  <c r="E138" i="17"/>
  <c r="E133" i="17"/>
  <c r="E132" i="17"/>
  <c r="E131" i="17"/>
  <c r="G131" i="17" s="1"/>
  <c r="E130" i="17"/>
  <c r="G130" i="17" s="1"/>
  <c r="E129" i="17"/>
  <c r="G129" i="17" s="1"/>
  <c r="E128" i="17"/>
  <c r="G128" i="17" s="1"/>
  <c r="E112" i="17"/>
  <c r="E92" i="17"/>
  <c r="G92" i="17" s="1"/>
  <c r="AL19" i="1" s="1"/>
  <c r="E91" i="17"/>
  <c r="G91" i="17" s="1"/>
  <c r="E90" i="17"/>
  <c r="E89" i="17"/>
  <c r="G89" i="17" s="1"/>
  <c r="E88" i="17"/>
  <c r="G88" i="17" s="1"/>
  <c r="AC20" i="44" s="1"/>
  <c r="AB17" i="49" s="1"/>
  <c r="E87" i="17"/>
  <c r="G87" i="17" s="1"/>
  <c r="E86" i="17"/>
  <c r="E85" i="17"/>
  <c r="E83" i="17"/>
  <c r="G83" i="17" s="1"/>
  <c r="E82" i="17"/>
  <c r="E79" i="17"/>
  <c r="E78" i="17"/>
  <c r="G78" i="17" s="1"/>
  <c r="AS20" i="44" s="1"/>
  <c r="E77" i="17"/>
  <c r="G77" i="17" s="1"/>
  <c r="AR20" i="44" s="1"/>
  <c r="BK17" i="49" s="1"/>
  <c r="E76" i="17"/>
  <c r="E75" i="17"/>
  <c r="G68" i="17"/>
  <c r="S13" i="45" s="1"/>
  <c r="G67" i="17"/>
  <c r="E65" i="17"/>
  <c r="E63" i="17"/>
  <c r="G63" i="17" s="1"/>
  <c r="E62" i="17"/>
  <c r="G62" i="17" s="1"/>
  <c r="S7" i="45" s="1"/>
  <c r="E49" i="17"/>
  <c r="G49" i="17" s="1"/>
  <c r="E35" i="17"/>
  <c r="E24" i="17"/>
  <c r="E23" i="17"/>
  <c r="E22" i="17"/>
  <c r="G11" i="17"/>
  <c r="E185" i="16"/>
  <c r="E184" i="16"/>
  <c r="E183" i="16"/>
  <c r="G183" i="16" s="1"/>
  <c r="E180" i="16"/>
  <c r="G180" i="16" s="1"/>
  <c r="E179" i="16"/>
  <c r="E178" i="16"/>
  <c r="E175" i="16"/>
  <c r="G175" i="16" s="1"/>
  <c r="R19" i="45" s="1"/>
  <c r="AW16" i="49" s="1"/>
  <c r="E174" i="16"/>
  <c r="G174" i="16" s="1"/>
  <c r="E173" i="16"/>
  <c r="E168" i="16"/>
  <c r="E167" i="16"/>
  <c r="E166" i="16"/>
  <c r="E165" i="16"/>
  <c r="E164" i="16"/>
  <c r="E163" i="16"/>
  <c r="G163" i="16" s="1"/>
  <c r="E162" i="16"/>
  <c r="E161" i="16"/>
  <c r="E142" i="16"/>
  <c r="G142" i="16" s="1"/>
  <c r="R19" i="44" s="1"/>
  <c r="E141" i="16"/>
  <c r="E140" i="16"/>
  <c r="E139" i="16"/>
  <c r="E133" i="16"/>
  <c r="E132" i="16"/>
  <c r="G132" i="16" s="1"/>
  <c r="E131" i="16"/>
  <c r="E130" i="16"/>
  <c r="G130" i="16" s="1"/>
  <c r="E129" i="16"/>
  <c r="G129" i="16" s="1"/>
  <c r="E128" i="16"/>
  <c r="G128" i="16" s="1"/>
  <c r="E123" i="16"/>
  <c r="E122" i="16"/>
  <c r="G122" i="16" s="1"/>
  <c r="AK19" i="44" s="1"/>
  <c r="AJ16" i="49" s="1"/>
  <c r="E121" i="16"/>
  <c r="E120" i="16"/>
  <c r="G120" i="16" s="1"/>
  <c r="AI19" i="44" s="1"/>
  <c r="AH16" i="49" s="1"/>
  <c r="E119" i="16"/>
  <c r="E118" i="16"/>
  <c r="G118" i="16" s="1"/>
  <c r="AG19" i="44" s="1"/>
  <c r="AF16" i="49" s="1"/>
  <c r="E117" i="16"/>
  <c r="G117" i="16" s="1"/>
  <c r="AF19" i="44" s="1"/>
  <c r="AE16" i="49" s="1"/>
  <c r="E116" i="16"/>
  <c r="E114" i="16"/>
  <c r="E113" i="16"/>
  <c r="G113" i="16" s="1"/>
  <c r="E112" i="16"/>
  <c r="E92" i="16"/>
  <c r="E91" i="16"/>
  <c r="E90" i="16"/>
  <c r="G90" i="16" s="1"/>
  <c r="E89" i="16"/>
  <c r="G89" i="16" s="1"/>
  <c r="AW19" i="44" s="1"/>
  <c r="E88" i="16"/>
  <c r="G88" i="16" s="1"/>
  <c r="E87" i="16"/>
  <c r="E86" i="16"/>
  <c r="G86" i="16" s="1"/>
  <c r="AB18" i="1" s="1"/>
  <c r="E85" i="16"/>
  <c r="E84" i="16"/>
  <c r="G84" i="16" s="1"/>
  <c r="Z18" i="1" s="1"/>
  <c r="E83" i="16"/>
  <c r="E82" i="16"/>
  <c r="E79" i="16"/>
  <c r="E78" i="16"/>
  <c r="E77" i="16"/>
  <c r="E76" i="16"/>
  <c r="G76" i="16" s="1"/>
  <c r="E75" i="16"/>
  <c r="E74" i="16"/>
  <c r="G70" i="16"/>
  <c r="R15" i="45" s="1"/>
  <c r="G69" i="16"/>
  <c r="E65" i="16"/>
  <c r="G65" i="16" s="1"/>
  <c r="E63" i="16"/>
  <c r="E62" i="16"/>
  <c r="E58" i="16"/>
  <c r="E57" i="16"/>
  <c r="G57" i="16" s="1"/>
  <c r="BG18" i="1" s="1"/>
  <c r="E56" i="16"/>
  <c r="G56" i="16" s="1"/>
  <c r="BF18" i="1" s="1"/>
  <c r="E55" i="16"/>
  <c r="E54" i="16"/>
  <c r="E53" i="16"/>
  <c r="G53" i="16" s="1"/>
  <c r="BC18" i="1" s="1"/>
  <c r="E52" i="16"/>
  <c r="G52" i="16" s="1"/>
  <c r="E51" i="16"/>
  <c r="E50" i="16"/>
  <c r="E49" i="16"/>
  <c r="G49" i="16" s="1"/>
  <c r="E46" i="16"/>
  <c r="G46" i="16" s="1"/>
  <c r="E45" i="16"/>
  <c r="E44" i="16"/>
  <c r="E43" i="16"/>
  <c r="G43" i="16" s="1"/>
  <c r="E42" i="16"/>
  <c r="E41" i="16"/>
  <c r="E40" i="16"/>
  <c r="E39" i="16"/>
  <c r="G39" i="16" s="1"/>
  <c r="E38" i="16"/>
  <c r="G38" i="16" s="1"/>
  <c r="E37" i="16"/>
  <c r="E36" i="16"/>
  <c r="E35" i="16"/>
  <c r="G35" i="16" s="1"/>
  <c r="E24" i="16"/>
  <c r="E22" i="16"/>
  <c r="E12" i="16"/>
  <c r="E11" i="16"/>
  <c r="E185" i="15"/>
  <c r="G185" i="15" s="1"/>
  <c r="E184" i="15"/>
  <c r="E183" i="15"/>
  <c r="E178" i="15"/>
  <c r="G178" i="15" s="1"/>
  <c r="E173" i="15"/>
  <c r="E168" i="15"/>
  <c r="E167" i="15"/>
  <c r="E166" i="15"/>
  <c r="E138" i="15"/>
  <c r="G138" i="15" s="1"/>
  <c r="N18" i="44" s="1"/>
  <c r="M15" i="49" s="1"/>
  <c r="E133" i="15"/>
  <c r="E132" i="15"/>
  <c r="E131" i="15"/>
  <c r="G131" i="15" s="1"/>
  <c r="E130" i="15"/>
  <c r="G130" i="15" s="1"/>
  <c r="E129" i="15"/>
  <c r="E128" i="15"/>
  <c r="E112" i="15"/>
  <c r="E82" i="15"/>
  <c r="G82" i="15" s="1"/>
  <c r="E79" i="15"/>
  <c r="E77" i="15"/>
  <c r="E76" i="15"/>
  <c r="G76" i="15" s="1"/>
  <c r="AQ18" i="44" s="1"/>
  <c r="E75" i="15"/>
  <c r="G75" i="15" s="1"/>
  <c r="AP18" i="44" s="1"/>
  <c r="BI15" i="49" s="1"/>
  <c r="E74" i="15"/>
  <c r="E70" i="15"/>
  <c r="E69" i="15"/>
  <c r="G69" i="15" s="1"/>
  <c r="E68" i="15"/>
  <c r="G68" i="15" s="1"/>
  <c r="E67" i="15"/>
  <c r="G67" i="15" s="1"/>
  <c r="E66" i="15"/>
  <c r="G66" i="15" s="1"/>
  <c r="E65" i="15"/>
  <c r="G65" i="15" s="1"/>
  <c r="E64" i="15"/>
  <c r="E62" i="15"/>
  <c r="E58" i="15"/>
  <c r="E57" i="15"/>
  <c r="E56" i="15"/>
  <c r="G56" i="15" s="1"/>
  <c r="BF17" i="1" s="1"/>
  <c r="E55" i="15"/>
  <c r="G55" i="15" s="1"/>
  <c r="BE17" i="1" s="1"/>
  <c r="E54" i="15"/>
  <c r="E53" i="15"/>
  <c r="G53" i="15" s="1"/>
  <c r="E52" i="15"/>
  <c r="G52" i="15" s="1"/>
  <c r="E51" i="15"/>
  <c r="E50" i="15"/>
  <c r="E49" i="15"/>
  <c r="E35" i="15"/>
  <c r="G35" i="15" s="1"/>
  <c r="E22" i="15"/>
  <c r="E12" i="15"/>
  <c r="E11" i="15"/>
  <c r="E10" i="15"/>
  <c r="G10" i="15" s="1"/>
  <c r="E185" i="14"/>
  <c r="E184" i="14"/>
  <c r="E183" i="14"/>
  <c r="E180" i="14"/>
  <c r="G180" i="14" s="1"/>
  <c r="P23" i="45" s="1"/>
  <c r="AZ14" i="49" s="1"/>
  <c r="E179" i="14"/>
  <c r="E178" i="14"/>
  <c r="E173" i="14"/>
  <c r="G173" i="14" s="1"/>
  <c r="P17" i="45" s="1"/>
  <c r="E168" i="14"/>
  <c r="E167" i="14"/>
  <c r="E166" i="14"/>
  <c r="E165" i="14"/>
  <c r="E164" i="14"/>
  <c r="G164" i="14" s="1"/>
  <c r="E163" i="14"/>
  <c r="E162" i="14"/>
  <c r="E161" i="14"/>
  <c r="G161" i="14" s="1"/>
  <c r="AA17" i="44" s="1"/>
  <c r="Z14" i="49" s="1"/>
  <c r="E138" i="14"/>
  <c r="G138" i="14" s="1"/>
  <c r="N17" i="44" s="1"/>
  <c r="M14" i="49" s="1"/>
  <c r="E133" i="14"/>
  <c r="E132" i="14"/>
  <c r="G132" i="14" s="1"/>
  <c r="E131" i="14"/>
  <c r="G131" i="14" s="1"/>
  <c r="E130" i="14"/>
  <c r="G130" i="14" s="1"/>
  <c r="E129" i="14"/>
  <c r="E128" i="14"/>
  <c r="G128" i="14" s="1"/>
  <c r="E123" i="14"/>
  <c r="G123" i="14" s="1"/>
  <c r="AL17" i="44" s="1"/>
  <c r="AK14" i="49" s="1"/>
  <c r="E122" i="14"/>
  <c r="G122" i="14" s="1"/>
  <c r="AK17" i="44" s="1"/>
  <c r="AJ14" i="49" s="1"/>
  <c r="E121" i="14"/>
  <c r="E120" i="14"/>
  <c r="G120" i="14" s="1"/>
  <c r="AI17" i="44" s="1"/>
  <c r="AH14" i="49" s="1"/>
  <c r="E119" i="14"/>
  <c r="E118" i="14"/>
  <c r="G118" i="14" s="1"/>
  <c r="AG17" i="44" s="1"/>
  <c r="E117" i="14"/>
  <c r="E116" i="14"/>
  <c r="G116" i="14" s="1"/>
  <c r="E115" i="14"/>
  <c r="E114" i="14"/>
  <c r="G114" i="14" s="1"/>
  <c r="E113" i="14"/>
  <c r="E112" i="14"/>
  <c r="G112" i="14" s="1"/>
  <c r="E92" i="14"/>
  <c r="E91" i="14"/>
  <c r="E90" i="14"/>
  <c r="E89" i="14"/>
  <c r="G89" i="14" s="1"/>
  <c r="E88" i="14"/>
  <c r="G88" i="14" s="1"/>
  <c r="AV17" i="44" s="1"/>
  <c r="E87" i="14"/>
  <c r="G87" i="14" s="1"/>
  <c r="AC16" i="1" s="1"/>
  <c r="E86" i="14"/>
  <c r="E85" i="14"/>
  <c r="G85" i="14" s="1"/>
  <c r="E84" i="14"/>
  <c r="E83" i="14"/>
  <c r="G83" i="14" s="1"/>
  <c r="E82" i="14"/>
  <c r="E79" i="14"/>
  <c r="E78" i="14"/>
  <c r="G78" i="14" s="1"/>
  <c r="AS17" i="44" s="1"/>
  <c r="E77" i="14"/>
  <c r="E76" i="14"/>
  <c r="E75" i="14"/>
  <c r="E74" i="14"/>
  <c r="E70" i="14"/>
  <c r="G70" i="14" s="1"/>
  <c r="E69" i="14"/>
  <c r="E68" i="14"/>
  <c r="G68" i="14" s="1"/>
  <c r="E67" i="14"/>
  <c r="G67" i="14" s="1"/>
  <c r="E66" i="14"/>
  <c r="G66" i="14" s="1"/>
  <c r="E65" i="14"/>
  <c r="E64" i="14"/>
  <c r="E63" i="14"/>
  <c r="E62" i="14"/>
  <c r="E58" i="14"/>
  <c r="E57" i="14"/>
  <c r="G57" i="14" s="1"/>
  <c r="BG16" i="1" s="1"/>
  <c r="E56" i="14"/>
  <c r="G56" i="14" s="1"/>
  <c r="E55" i="14"/>
  <c r="G55" i="14" s="1"/>
  <c r="BE16" i="1" s="1"/>
  <c r="E54" i="14"/>
  <c r="E53" i="14"/>
  <c r="G53" i="14" s="1"/>
  <c r="BC16" i="1" s="1"/>
  <c r="E52" i="14"/>
  <c r="E51" i="14"/>
  <c r="G51" i="14" s="1"/>
  <c r="BA16" i="1" s="1"/>
  <c r="E50" i="14"/>
  <c r="E49" i="14"/>
  <c r="G49" i="14" s="1"/>
  <c r="AZ16" i="1" s="1"/>
  <c r="E46" i="14"/>
  <c r="G46" i="14" s="1"/>
  <c r="E45" i="14"/>
  <c r="G45" i="14" s="1"/>
  <c r="E44" i="14"/>
  <c r="E43" i="14"/>
  <c r="G43" i="14" s="1"/>
  <c r="E42" i="14"/>
  <c r="E41" i="14"/>
  <c r="G41" i="14" s="1"/>
  <c r="E40" i="14"/>
  <c r="E39" i="14"/>
  <c r="G39" i="14" s="1"/>
  <c r="E38" i="14"/>
  <c r="G38" i="14" s="1"/>
  <c r="AR16" i="1" s="1"/>
  <c r="E37" i="14"/>
  <c r="E36" i="14"/>
  <c r="E35" i="14"/>
  <c r="G35" i="14" s="1"/>
  <c r="E24" i="14"/>
  <c r="E23" i="14"/>
  <c r="E22" i="14"/>
  <c r="E12" i="14"/>
  <c r="G12" i="14" s="1"/>
  <c r="E11" i="14"/>
  <c r="E185" i="13"/>
  <c r="E184" i="13"/>
  <c r="E183" i="13"/>
  <c r="G183" i="13" s="1"/>
  <c r="E180" i="13"/>
  <c r="E179" i="13"/>
  <c r="G179" i="13" s="1"/>
  <c r="O22" i="45" s="1"/>
  <c r="AY13" i="49" s="1"/>
  <c r="E178" i="13"/>
  <c r="E168" i="13"/>
  <c r="E167" i="13"/>
  <c r="E166" i="13"/>
  <c r="E165" i="13"/>
  <c r="E164" i="13"/>
  <c r="G164" i="13" s="1"/>
  <c r="E163" i="13"/>
  <c r="E162" i="13"/>
  <c r="G162" i="13" s="1"/>
  <c r="AB16" i="44" s="1"/>
  <c r="E161" i="13"/>
  <c r="E138" i="13"/>
  <c r="E128" i="13"/>
  <c r="G128" i="13" s="1"/>
  <c r="E123" i="13"/>
  <c r="G123" i="13" s="1"/>
  <c r="AL16" i="44" s="1"/>
  <c r="E122" i="13"/>
  <c r="E121" i="13"/>
  <c r="E120" i="13"/>
  <c r="E119" i="13"/>
  <c r="G119" i="13" s="1"/>
  <c r="AH16" i="44" s="1"/>
  <c r="AG13" i="49" s="1"/>
  <c r="E118" i="13"/>
  <c r="E117" i="13"/>
  <c r="G117" i="13" s="1"/>
  <c r="AF16" i="44" s="1"/>
  <c r="AE13" i="49" s="1"/>
  <c r="E116" i="13"/>
  <c r="G116" i="13" s="1"/>
  <c r="AE16" i="44" s="1"/>
  <c r="AD13" i="49" s="1"/>
  <c r="E115" i="13"/>
  <c r="G115" i="13" s="1"/>
  <c r="E114" i="13"/>
  <c r="E113" i="13"/>
  <c r="G113" i="13" s="1"/>
  <c r="E112" i="13"/>
  <c r="E92" i="13"/>
  <c r="E91" i="13"/>
  <c r="E90" i="13"/>
  <c r="G90" i="13" s="1"/>
  <c r="E89" i="13"/>
  <c r="G89" i="13" s="1"/>
  <c r="E88" i="13"/>
  <c r="G88" i="13" s="1"/>
  <c r="E87" i="13"/>
  <c r="E86" i="13"/>
  <c r="G86" i="13" s="1"/>
  <c r="AB15" i="1" s="1"/>
  <c r="E85" i="13"/>
  <c r="E84" i="13"/>
  <c r="G84" i="13" s="1"/>
  <c r="Z15" i="1" s="1"/>
  <c r="E83" i="13"/>
  <c r="E82" i="13"/>
  <c r="E79" i="13"/>
  <c r="E78" i="13"/>
  <c r="E77" i="13"/>
  <c r="E76" i="13"/>
  <c r="G76" i="13" s="1"/>
  <c r="E75" i="13"/>
  <c r="E74" i="13"/>
  <c r="G74" i="13" s="1"/>
  <c r="E70" i="13"/>
  <c r="E69" i="13"/>
  <c r="G69" i="13" s="1"/>
  <c r="E68" i="13"/>
  <c r="G68" i="13" s="1"/>
  <c r="O13" i="45" s="1"/>
  <c r="BC13" i="49" s="1"/>
  <c r="E67" i="13"/>
  <c r="G67" i="13" s="1"/>
  <c r="X15" i="1" s="1"/>
  <c r="E66" i="13"/>
  <c r="E65" i="13"/>
  <c r="G65" i="13" s="1"/>
  <c r="E64" i="13"/>
  <c r="E63" i="13"/>
  <c r="G63" i="13" s="1"/>
  <c r="O8" i="45" s="1"/>
  <c r="AN13" i="49" s="1"/>
  <c r="E62" i="13"/>
  <c r="E49" i="13"/>
  <c r="G49" i="13" s="1"/>
  <c r="E35" i="13"/>
  <c r="G35" i="13" s="1"/>
  <c r="E24" i="13"/>
  <c r="E23" i="13"/>
  <c r="E22" i="13"/>
  <c r="E185" i="12"/>
  <c r="E184" i="12"/>
  <c r="G184" i="12" s="1"/>
  <c r="E183" i="12"/>
  <c r="E180" i="12"/>
  <c r="E179" i="12"/>
  <c r="G179" i="12" s="1"/>
  <c r="N22" i="45" s="1"/>
  <c r="E175" i="12"/>
  <c r="G175" i="12" s="1"/>
  <c r="N19" i="45" s="1"/>
  <c r="AW12" i="49" s="1"/>
  <c r="E174" i="12"/>
  <c r="E173" i="12"/>
  <c r="E168" i="12"/>
  <c r="E167" i="12"/>
  <c r="E166" i="12"/>
  <c r="E165" i="12"/>
  <c r="E164" i="12"/>
  <c r="G164" i="12" s="1"/>
  <c r="E163" i="12"/>
  <c r="G163" i="12" s="1"/>
  <c r="E161" i="12"/>
  <c r="G161" i="12" s="1"/>
  <c r="AA15" i="44" s="1"/>
  <c r="Z12" i="49" s="1"/>
  <c r="E142" i="12"/>
  <c r="E141" i="12"/>
  <c r="G141" i="12" s="1"/>
  <c r="Q15" i="44" s="1"/>
  <c r="E140" i="12"/>
  <c r="E139" i="12"/>
  <c r="E138" i="12"/>
  <c r="G138" i="12" s="1"/>
  <c r="E128" i="12"/>
  <c r="G128" i="12" s="1"/>
  <c r="E123" i="12"/>
  <c r="E122" i="12"/>
  <c r="E121" i="12"/>
  <c r="E120" i="12"/>
  <c r="G120" i="12" s="1"/>
  <c r="AI15" i="44" s="1"/>
  <c r="E119" i="12"/>
  <c r="E117" i="12"/>
  <c r="E116" i="12"/>
  <c r="G116" i="12" s="1"/>
  <c r="E115" i="12"/>
  <c r="G115" i="12" s="1"/>
  <c r="E114" i="12"/>
  <c r="E112" i="12"/>
  <c r="E92" i="12"/>
  <c r="E91" i="12"/>
  <c r="G91" i="12" s="1"/>
  <c r="E90" i="12"/>
  <c r="E89" i="12"/>
  <c r="E88" i="12"/>
  <c r="G88" i="12" s="1"/>
  <c r="E87" i="12"/>
  <c r="G87" i="12" s="1"/>
  <c r="AC14" i="1" s="1"/>
  <c r="E86" i="12"/>
  <c r="E85" i="12"/>
  <c r="E84" i="12"/>
  <c r="E83" i="12"/>
  <c r="G83" i="12" s="1"/>
  <c r="E82" i="12"/>
  <c r="E79" i="12"/>
  <c r="E78" i="12"/>
  <c r="G78" i="12" s="1"/>
  <c r="AS15" i="44" s="1"/>
  <c r="E77" i="12"/>
  <c r="G77" i="12" s="1"/>
  <c r="AR15" i="44" s="1"/>
  <c r="E76" i="12"/>
  <c r="E75" i="12"/>
  <c r="E74" i="12"/>
  <c r="G74" i="12" s="1"/>
  <c r="E70" i="12"/>
  <c r="G70" i="12" s="1"/>
  <c r="J14" i="35" s="1"/>
  <c r="E69" i="12"/>
  <c r="E68" i="12"/>
  <c r="E67" i="12"/>
  <c r="G67" i="12" s="1"/>
  <c r="E66" i="12"/>
  <c r="G66" i="12" s="1"/>
  <c r="E65" i="12"/>
  <c r="E64" i="12"/>
  <c r="E63" i="12"/>
  <c r="E62" i="12"/>
  <c r="E49" i="12"/>
  <c r="E35" i="12"/>
  <c r="G35" i="12"/>
  <c r="E23" i="12"/>
  <c r="E22" i="12"/>
  <c r="E12" i="12"/>
  <c r="E11" i="12"/>
  <c r="H124" i="11"/>
  <c r="H26" i="11"/>
  <c r="E185" i="11"/>
  <c r="E184" i="11"/>
  <c r="G184" i="11" s="1"/>
  <c r="E183" i="11"/>
  <c r="G183" i="11" s="1"/>
  <c r="E180" i="11"/>
  <c r="E179" i="11"/>
  <c r="E178" i="11"/>
  <c r="E175" i="11"/>
  <c r="G175" i="11" s="1"/>
  <c r="E174" i="11"/>
  <c r="E173" i="11"/>
  <c r="E168" i="11"/>
  <c r="E167" i="11"/>
  <c r="E166" i="11"/>
  <c r="E165" i="11"/>
  <c r="E164" i="11"/>
  <c r="E163" i="11"/>
  <c r="G163" i="11" s="1"/>
  <c r="E162" i="11"/>
  <c r="E161" i="11"/>
  <c r="E138" i="11"/>
  <c r="G138" i="11" s="1"/>
  <c r="E128" i="11"/>
  <c r="G128" i="11" s="1"/>
  <c r="E124" i="11"/>
  <c r="E123" i="11"/>
  <c r="E122" i="11"/>
  <c r="E121" i="11"/>
  <c r="G121" i="11" s="1"/>
  <c r="AJ14" i="44" s="1"/>
  <c r="AI11" i="49" s="1"/>
  <c r="E120" i="11"/>
  <c r="E119" i="11"/>
  <c r="E118" i="11"/>
  <c r="G118" i="11" s="1"/>
  <c r="AG14" i="44" s="1"/>
  <c r="E117" i="11"/>
  <c r="E116" i="11"/>
  <c r="E115" i="11"/>
  <c r="E114" i="11"/>
  <c r="E113" i="11"/>
  <c r="G113" i="11" s="1"/>
  <c r="E112" i="11"/>
  <c r="E92" i="11"/>
  <c r="E91" i="11"/>
  <c r="G91" i="11" s="1"/>
  <c r="E90" i="11"/>
  <c r="E89" i="11"/>
  <c r="E88" i="11"/>
  <c r="E87" i="11"/>
  <c r="E86" i="11"/>
  <c r="G86" i="11" s="1"/>
  <c r="AB13" i="1" s="1"/>
  <c r="E85" i="11"/>
  <c r="E84" i="11"/>
  <c r="E83" i="11"/>
  <c r="G83" i="11" s="1"/>
  <c r="E82" i="11"/>
  <c r="E79" i="11"/>
  <c r="E78" i="11"/>
  <c r="E77" i="11"/>
  <c r="E76" i="11"/>
  <c r="E75" i="11"/>
  <c r="E74" i="11"/>
  <c r="E70" i="11"/>
  <c r="G70" i="11" s="1"/>
  <c r="M15" i="45" s="1"/>
  <c r="E69" i="11"/>
  <c r="G69" i="11" s="1"/>
  <c r="M14" i="45" s="1"/>
  <c r="E68" i="11"/>
  <c r="E67" i="11"/>
  <c r="E66" i="11"/>
  <c r="E65" i="11"/>
  <c r="G65" i="11" s="1"/>
  <c r="V13" i="1" s="1"/>
  <c r="E64" i="11"/>
  <c r="E63" i="11"/>
  <c r="E62" i="11"/>
  <c r="G62" i="11" s="1"/>
  <c r="M7" i="45" s="1"/>
  <c r="E49" i="11"/>
  <c r="G49" i="11" s="1"/>
  <c r="E35" i="11"/>
  <c r="E24" i="11"/>
  <c r="E23" i="11"/>
  <c r="E22" i="11"/>
  <c r="G22" i="11" s="1"/>
  <c r="E12" i="11"/>
  <c r="E11" i="11"/>
  <c r="E185" i="10"/>
  <c r="G185" i="10" s="1"/>
  <c r="E184" i="10"/>
  <c r="G184" i="10" s="1"/>
  <c r="E183" i="10"/>
  <c r="E180" i="10"/>
  <c r="E179" i="10"/>
  <c r="E178" i="10"/>
  <c r="G178" i="10" s="1"/>
  <c r="E175" i="10"/>
  <c r="E174" i="10"/>
  <c r="E173" i="10"/>
  <c r="G173" i="10" s="1"/>
  <c r="L17" i="45" s="1"/>
  <c r="E168" i="10"/>
  <c r="E167" i="10"/>
  <c r="E166" i="10"/>
  <c r="G166" i="10" s="1"/>
  <c r="E165" i="10"/>
  <c r="E164" i="10"/>
  <c r="G164" i="10" s="1"/>
  <c r="E163" i="10"/>
  <c r="E162" i="10"/>
  <c r="G162" i="10" s="1"/>
  <c r="AB13" i="44" s="1"/>
  <c r="E161" i="10"/>
  <c r="E138" i="10"/>
  <c r="G138" i="10" s="1"/>
  <c r="N13" i="44" s="1"/>
  <c r="M10" i="49" s="1"/>
  <c r="E133" i="10"/>
  <c r="E132" i="10"/>
  <c r="E131" i="10"/>
  <c r="E130" i="10"/>
  <c r="G130" i="10" s="1"/>
  <c r="E129" i="10"/>
  <c r="E128" i="10"/>
  <c r="G128" i="10" s="1"/>
  <c r="E112" i="10"/>
  <c r="E92" i="10"/>
  <c r="G92" i="10" s="1"/>
  <c r="E91" i="10"/>
  <c r="E90" i="10"/>
  <c r="E89" i="10"/>
  <c r="E88" i="10"/>
  <c r="G88" i="10" s="1"/>
  <c r="E87" i="10"/>
  <c r="E86" i="10"/>
  <c r="G86" i="10" s="1"/>
  <c r="E85" i="10"/>
  <c r="E84" i="10"/>
  <c r="G84" i="10" s="1"/>
  <c r="E83" i="10"/>
  <c r="E82" i="10"/>
  <c r="E79" i="10"/>
  <c r="E78" i="10"/>
  <c r="G78" i="10" s="1"/>
  <c r="AS13" i="44" s="1"/>
  <c r="BL10" i="49" s="1"/>
  <c r="E77" i="10"/>
  <c r="E76" i="10"/>
  <c r="E75" i="10"/>
  <c r="E74" i="10"/>
  <c r="G74" i="10" s="1"/>
  <c r="E70" i="10"/>
  <c r="E69" i="10"/>
  <c r="E68" i="10"/>
  <c r="E67" i="10"/>
  <c r="G67" i="10" s="1"/>
  <c r="L11" i="45" s="1"/>
  <c r="E65" i="10"/>
  <c r="E64" i="10"/>
  <c r="E63" i="10"/>
  <c r="E24" i="10"/>
  <c r="E23" i="10"/>
  <c r="E22" i="10"/>
  <c r="E185" i="9"/>
  <c r="E184" i="9"/>
  <c r="E183" i="9"/>
  <c r="E180" i="9"/>
  <c r="E179" i="9"/>
  <c r="E178" i="9"/>
  <c r="G178" i="9" s="1"/>
  <c r="E175" i="9"/>
  <c r="E174" i="9"/>
  <c r="E173" i="9"/>
  <c r="E168" i="9"/>
  <c r="E167" i="9"/>
  <c r="E166" i="9"/>
  <c r="E165" i="9"/>
  <c r="E164" i="9"/>
  <c r="G164" i="9" s="1"/>
  <c r="E163" i="9"/>
  <c r="E162" i="9"/>
  <c r="E161" i="9"/>
  <c r="E142" i="9"/>
  <c r="G142" i="9" s="1"/>
  <c r="R12" i="44" s="1"/>
  <c r="Q9" i="49" s="1"/>
  <c r="E141" i="9"/>
  <c r="E140" i="9"/>
  <c r="E139" i="9"/>
  <c r="E138" i="9"/>
  <c r="E133" i="9"/>
  <c r="E132" i="9"/>
  <c r="E131" i="9"/>
  <c r="E130" i="9"/>
  <c r="E129" i="9"/>
  <c r="E128" i="9"/>
  <c r="E112" i="9"/>
  <c r="E91" i="9"/>
  <c r="E90" i="9"/>
  <c r="E89" i="9"/>
  <c r="E88" i="9"/>
  <c r="E87" i="9"/>
  <c r="E86" i="9"/>
  <c r="E85" i="9"/>
  <c r="E84" i="9"/>
  <c r="E83" i="9"/>
  <c r="G83" i="9" s="1"/>
  <c r="E82" i="9"/>
  <c r="E79" i="9"/>
  <c r="E74" i="9"/>
  <c r="E70" i="9"/>
  <c r="E69" i="9"/>
  <c r="E68" i="9"/>
  <c r="E67" i="9"/>
  <c r="E65" i="9"/>
  <c r="G65" i="9" s="1"/>
  <c r="V11" i="1" s="1"/>
  <c r="E64" i="9"/>
  <c r="E63" i="9"/>
  <c r="E62" i="9"/>
  <c r="E58" i="9"/>
  <c r="E57" i="9"/>
  <c r="E56" i="9"/>
  <c r="E55" i="9"/>
  <c r="E54" i="9"/>
  <c r="E53" i="9"/>
  <c r="E52" i="9"/>
  <c r="E51" i="9"/>
  <c r="E50" i="9"/>
  <c r="E49" i="9"/>
  <c r="E35" i="9"/>
  <c r="E22" i="9"/>
  <c r="E12" i="9"/>
  <c r="E11" i="9"/>
  <c r="E185" i="8"/>
  <c r="E184" i="8"/>
  <c r="E183" i="8"/>
  <c r="G183" i="8" s="1"/>
  <c r="E180" i="8"/>
  <c r="E179" i="8"/>
  <c r="E178" i="8"/>
  <c r="E175" i="8"/>
  <c r="E174" i="8"/>
  <c r="E173" i="8"/>
  <c r="E168" i="8"/>
  <c r="E167" i="8"/>
  <c r="E166" i="8"/>
  <c r="E165" i="8"/>
  <c r="E164" i="8"/>
  <c r="E163" i="8"/>
  <c r="G163" i="8" s="1"/>
  <c r="E162" i="8"/>
  <c r="E161" i="8"/>
  <c r="E138" i="8"/>
  <c r="E133" i="8"/>
  <c r="G133" i="8" s="1"/>
  <c r="BJ10" i="1" s="1"/>
  <c r="E132" i="8"/>
  <c r="E131" i="8"/>
  <c r="E130" i="8"/>
  <c r="E129" i="8"/>
  <c r="G129" i="8" s="1"/>
  <c r="E128" i="8"/>
  <c r="E123" i="8"/>
  <c r="E122" i="8"/>
  <c r="E121" i="8"/>
  <c r="G121" i="8" s="1"/>
  <c r="AJ11" i="44" s="1"/>
  <c r="AI8" i="49" s="1"/>
  <c r="E120" i="8"/>
  <c r="E119" i="8"/>
  <c r="E118" i="8"/>
  <c r="E117" i="8"/>
  <c r="E116" i="8"/>
  <c r="E115" i="8"/>
  <c r="E114" i="8"/>
  <c r="E113" i="8"/>
  <c r="E112" i="8"/>
  <c r="E92" i="8"/>
  <c r="E91" i="8"/>
  <c r="E90" i="8"/>
  <c r="E89" i="8"/>
  <c r="E88" i="8"/>
  <c r="E87" i="8"/>
  <c r="E86" i="8"/>
  <c r="E85" i="8"/>
  <c r="E84" i="8"/>
  <c r="E83" i="8"/>
  <c r="E82" i="8"/>
  <c r="G82" i="8" s="1"/>
  <c r="E79" i="8"/>
  <c r="E78" i="8"/>
  <c r="E77" i="8"/>
  <c r="E76" i="8"/>
  <c r="E75" i="8"/>
  <c r="E74" i="8"/>
  <c r="E70" i="8"/>
  <c r="E69" i="8"/>
  <c r="G69" i="8" s="1"/>
  <c r="J14" i="45" s="1"/>
  <c r="E68" i="8"/>
  <c r="E67" i="8"/>
  <c r="E66" i="8"/>
  <c r="E65" i="8"/>
  <c r="G65" i="8" s="1"/>
  <c r="E64" i="8"/>
  <c r="E63" i="8"/>
  <c r="E62" i="8"/>
  <c r="E58" i="8"/>
  <c r="G58" i="8" s="1"/>
  <c r="Y11" i="44" s="1"/>
  <c r="X8" i="49" s="1"/>
  <c r="E57" i="8"/>
  <c r="E56" i="8"/>
  <c r="E55" i="8"/>
  <c r="E54" i="8"/>
  <c r="G54" i="8" s="1"/>
  <c r="BD10" i="1" s="1"/>
  <c r="E53" i="8"/>
  <c r="E52" i="8"/>
  <c r="E51" i="8"/>
  <c r="E50" i="8"/>
  <c r="G50" i="8" s="1"/>
  <c r="E49" i="8"/>
  <c r="E46" i="8"/>
  <c r="E45" i="8"/>
  <c r="E44" i="8"/>
  <c r="G44" i="8" s="1"/>
  <c r="E43" i="8"/>
  <c r="E42" i="8"/>
  <c r="E41" i="8"/>
  <c r="E40" i="8"/>
  <c r="G40" i="8" s="1"/>
  <c r="E39" i="8"/>
  <c r="E38" i="8"/>
  <c r="E37" i="8"/>
  <c r="E36" i="8"/>
  <c r="G36" i="8" s="1"/>
  <c r="G102" i="8" s="1"/>
  <c r="E35" i="8"/>
  <c r="E24" i="8"/>
  <c r="E23" i="8"/>
  <c r="E22" i="8"/>
  <c r="E12" i="8"/>
  <c r="E11" i="8"/>
  <c r="E46" i="7"/>
  <c r="E185" i="7"/>
  <c r="G185" i="7" s="1"/>
  <c r="E184" i="7"/>
  <c r="E183" i="7"/>
  <c r="E182" i="7"/>
  <c r="E181" i="7"/>
  <c r="E180" i="7"/>
  <c r="E179" i="7"/>
  <c r="E178" i="7"/>
  <c r="E177" i="7"/>
  <c r="E176" i="7"/>
  <c r="E175" i="7"/>
  <c r="E174" i="7"/>
  <c r="E173" i="7"/>
  <c r="G173" i="7" s="1"/>
  <c r="I17" i="45" s="1"/>
  <c r="AU7" i="49" s="1"/>
  <c r="E168" i="7"/>
  <c r="E167" i="7"/>
  <c r="E166" i="7"/>
  <c r="E165" i="7"/>
  <c r="G165" i="7" s="1"/>
  <c r="E164" i="7"/>
  <c r="E163" i="7"/>
  <c r="E162" i="7"/>
  <c r="E161" i="7"/>
  <c r="G161" i="7" s="1"/>
  <c r="AA10" i="44" s="1"/>
  <c r="Z7" i="49" s="1"/>
  <c r="E142" i="7"/>
  <c r="E141" i="7"/>
  <c r="E140" i="7"/>
  <c r="E139" i="7"/>
  <c r="G139" i="7" s="1"/>
  <c r="O10" i="44" s="1"/>
  <c r="N7" i="49" s="1"/>
  <c r="E138" i="7"/>
  <c r="E133" i="7"/>
  <c r="E132" i="7"/>
  <c r="E131" i="7"/>
  <c r="G131" i="7" s="1"/>
  <c r="E130" i="7"/>
  <c r="E129" i="7"/>
  <c r="E128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92" i="7"/>
  <c r="E91" i="7"/>
  <c r="E90" i="7"/>
  <c r="E89" i="7"/>
  <c r="G89" i="7" s="1"/>
  <c r="E88" i="7"/>
  <c r="E87" i="7"/>
  <c r="E86" i="7"/>
  <c r="E85" i="7"/>
  <c r="G85" i="7" s="1"/>
  <c r="AA9" i="1" s="1"/>
  <c r="E84" i="7"/>
  <c r="E83" i="7"/>
  <c r="E82" i="7"/>
  <c r="E78" i="7"/>
  <c r="G78" i="7" s="1"/>
  <c r="E77" i="7"/>
  <c r="E76" i="7"/>
  <c r="E75" i="7"/>
  <c r="E74" i="7"/>
  <c r="E65" i="7"/>
  <c r="E64" i="7"/>
  <c r="E63" i="7"/>
  <c r="E62" i="7"/>
  <c r="E58" i="7"/>
  <c r="E57" i="7"/>
  <c r="E56" i="7"/>
  <c r="E55" i="7"/>
  <c r="E54" i="7"/>
  <c r="E53" i="7"/>
  <c r="E52" i="7"/>
  <c r="E51" i="7"/>
  <c r="E50" i="7"/>
  <c r="E49" i="7"/>
  <c r="E45" i="7"/>
  <c r="E44" i="7"/>
  <c r="G44" i="7" s="1"/>
  <c r="E43" i="7"/>
  <c r="E42" i="7"/>
  <c r="E41" i="7"/>
  <c r="E40" i="7"/>
  <c r="G40" i="7" s="1"/>
  <c r="E39" i="7"/>
  <c r="E38" i="7"/>
  <c r="E37" i="7"/>
  <c r="E36" i="7"/>
  <c r="G36" i="7" s="1"/>
  <c r="E35" i="7"/>
  <c r="E24" i="7"/>
  <c r="E22" i="7"/>
  <c r="E12" i="7"/>
  <c r="E11" i="7"/>
  <c r="E185" i="33"/>
  <c r="E184" i="33"/>
  <c r="E183" i="33"/>
  <c r="G183" i="33" s="1"/>
  <c r="E182" i="33"/>
  <c r="E181" i="33"/>
  <c r="E180" i="33"/>
  <c r="E179" i="33"/>
  <c r="G179" i="33" s="1"/>
  <c r="E178" i="33"/>
  <c r="E177" i="33"/>
  <c r="E176" i="33"/>
  <c r="E175" i="33"/>
  <c r="G175" i="33" s="1"/>
  <c r="H19" i="45" s="1"/>
  <c r="AW6" i="49" s="1"/>
  <c r="E174" i="33"/>
  <c r="E173" i="33"/>
  <c r="E168" i="33"/>
  <c r="E167" i="33"/>
  <c r="E166" i="33"/>
  <c r="E165" i="33"/>
  <c r="E164" i="33"/>
  <c r="E163" i="33"/>
  <c r="G163" i="33" s="1"/>
  <c r="E162" i="33"/>
  <c r="E161" i="33"/>
  <c r="E138" i="33"/>
  <c r="E128" i="33"/>
  <c r="G128" i="33" s="1"/>
  <c r="E123" i="33"/>
  <c r="E122" i="33"/>
  <c r="E120" i="33"/>
  <c r="E119" i="33"/>
  <c r="G119" i="33" s="1"/>
  <c r="AH9" i="44" s="1"/>
  <c r="E118" i="33"/>
  <c r="E117" i="33"/>
  <c r="E116" i="33"/>
  <c r="E115" i="33"/>
  <c r="G115" i="33" s="1"/>
  <c r="E114" i="33"/>
  <c r="E113" i="33"/>
  <c r="E112" i="33"/>
  <c r="G112" i="33" s="1"/>
  <c r="E92" i="33"/>
  <c r="E91" i="33"/>
  <c r="E90" i="33"/>
  <c r="E89" i="33"/>
  <c r="E88" i="33"/>
  <c r="G88" i="33" s="1"/>
  <c r="E87" i="33"/>
  <c r="E86" i="33"/>
  <c r="E84" i="33"/>
  <c r="E83" i="33"/>
  <c r="G83" i="33" s="1"/>
  <c r="E82" i="33"/>
  <c r="E78" i="33"/>
  <c r="E77" i="33"/>
  <c r="E76" i="33"/>
  <c r="G76" i="33" s="1"/>
  <c r="E75" i="33"/>
  <c r="E74" i="33"/>
  <c r="E70" i="33"/>
  <c r="E69" i="33"/>
  <c r="G69" i="33" s="1"/>
  <c r="E68" i="33"/>
  <c r="E67" i="33"/>
  <c r="E66" i="33"/>
  <c r="E65" i="33"/>
  <c r="G65" i="33" s="1"/>
  <c r="E64" i="33"/>
  <c r="E63" i="33"/>
  <c r="E62" i="33"/>
  <c r="G62" i="33" s="1"/>
  <c r="E58" i="33"/>
  <c r="G58" i="33" s="1"/>
  <c r="Y9" i="44" s="1"/>
  <c r="X6" i="49" s="1"/>
  <c r="E57" i="33"/>
  <c r="E56" i="33"/>
  <c r="E55" i="33"/>
  <c r="E54" i="33"/>
  <c r="G54" i="33" s="1"/>
  <c r="BD8" i="1" s="1"/>
  <c r="E53" i="33"/>
  <c r="E52" i="33"/>
  <c r="E51" i="33"/>
  <c r="E50" i="33"/>
  <c r="G50" i="33" s="1"/>
  <c r="E46" i="33"/>
  <c r="E45" i="33"/>
  <c r="E44" i="33"/>
  <c r="E43" i="33"/>
  <c r="G43" i="33" s="1"/>
  <c r="E42" i="33"/>
  <c r="E41" i="33"/>
  <c r="E40" i="33"/>
  <c r="E39" i="33"/>
  <c r="G39" i="33" s="1"/>
  <c r="E38" i="33"/>
  <c r="E37" i="33"/>
  <c r="E36" i="33"/>
  <c r="E35" i="33"/>
  <c r="G35" i="33" s="1"/>
  <c r="E24" i="33"/>
  <c r="E23" i="33"/>
  <c r="E22" i="33"/>
  <c r="E12" i="33"/>
  <c r="E11" i="33"/>
  <c r="H124" i="5"/>
  <c r="E185" i="5"/>
  <c r="E184" i="5"/>
  <c r="G184" i="5" s="1"/>
  <c r="E183" i="5"/>
  <c r="E180" i="5"/>
  <c r="E179" i="5"/>
  <c r="E178" i="5"/>
  <c r="G178" i="5" s="1"/>
  <c r="E175" i="5"/>
  <c r="E174" i="5"/>
  <c r="E173" i="5"/>
  <c r="E168" i="5"/>
  <c r="G168" i="5" s="1"/>
  <c r="H168" i="5" s="1"/>
  <c r="H168" i="33" s="1"/>
  <c r="H168" i="7" s="1"/>
  <c r="E167" i="5"/>
  <c r="G167" i="5" s="1"/>
  <c r="E166" i="5"/>
  <c r="G166" i="5" s="1"/>
  <c r="E165" i="5"/>
  <c r="G165" i="5" s="1"/>
  <c r="E164" i="5"/>
  <c r="E163" i="5"/>
  <c r="E162" i="5"/>
  <c r="E161" i="5"/>
  <c r="E142" i="5"/>
  <c r="E141" i="5"/>
  <c r="E140" i="5"/>
  <c r="E139" i="5"/>
  <c r="G139" i="5" s="1"/>
  <c r="E138" i="5"/>
  <c r="G138" i="5" s="1"/>
  <c r="E133" i="5"/>
  <c r="E132" i="5"/>
  <c r="E131" i="5"/>
  <c r="E130" i="5"/>
  <c r="G130" i="5" s="1"/>
  <c r="E129" i="5"/>
  <c r="E128" i="5"/>
  <c r="E112" i="5"/>
  <c r="G112" i="5" s="1"/>
  <c r="E92" i="5"/>
  <c r="G92" i="5" s="1"/>
  <c r="E91" i="5"/>
  <c r="E90" i="5"/>
  <c r="E89" i="5"/>
  <c r="E88" i="5"/>
  <c r="G88" i="5" s="1"/>
  <c r="E87" i="5"/>
  <c r="E86" i="5"/>
  <c r="E84" i="5"/>
  <c r="G84" i="5" s="1"/>
  <c r="E83" i="5"/>
  <c r="E82" i="5"/>
  <c r="E79" i="5"/>
  <c r="E78" i="5"/>
  <c r="E77" i="5"/>
  <c r="G77" i="5" s="1"/>
  <c r="AR8" i="44" s="1"/>
  <c r="BK5" i="49" s="1"/>
  <c r="E76" i="5"/>
  <c r="E75" i="5"/>
  <c r="E74" i="5"/>
  <c r="G74" i="5" s="1"/>
  <c r="E70" i="5"/>
  <c r="G70" i="5" s="1"/>
  <c r="E68" i="5"/>
  <c r="E67" i="5"/>
  <c r="E66" i="5"/>
  <c r="E65" i="5"/>
  <c r="G65" i="5" s="1"/>
  <c r="E63" i="5"/>
  <c r="E62" i="5"/>
  <c r="E49" i="5"/>
  <c r="G49" i="5" s="1"/>
  <c r="E35" i="5"/>
  <c r="G35" i="5" s="1"/>
  <c r="E24" i="5"/>
  <c r="E23" i="5"/>
  <c r="E22" i="5"/>
  <c r="E185" i="4"/>
  <c r="G185" i="4" s="1"/>
  <c r="E184" i="4"/>
  <c r="E183" i="4"/>
  <c r="E180" i="4"/>
  <c r="G180" i="4" s="1"/>
  <c r="E179" i="4"/>
  <c r="G179" i="4" s="1"/>
  <c r="F22" i="45" s="1"/>
  <c r="AY4" i="49" s="1"/>
  <c r="E178" i="4"/>
  <c r="G178" i="4" s="1"/>
  <c r="E175" i="4"/>
  <c r="E174" i="4"/>
  <c r="E173" i="4"/>
  <c r="G173" i="4" s="1"/>
  <c r="F17" i="45" s="1"/>
  <c r="AU4" i="49" s="1"/>
  <c r="E168" i="4"/>
  <c r="E167" i="4"/>
  <c r="E166" i="4"/>
  <c r="E165" i="4"/>
  <c r="G165" i="4" s="1"/>
  <c r="E164" i="4"/>
  <c r="E163" i="4"/>
  <c r="E162" i="4"/>
  <c r="E161" i="4"/>
  <c r="G161" i="4" s="1"/>
  <c r="AA7" i="44" s="1"/>
  <c r="Z4" i="49" s="1"/>
  <c r="E142" i="4"/>
  <c r="E141" i="4"/>
  <c r="E140" i="4"/>
  <c r="E139" i="4"/>
  <c r="E138" i="4"/>
  <c r="E132" i="4"/>
  <c r="E131" i="4"/>
  <c r="E130" i="4"/>
  <c r="G130" i="4" s="1"/>
  <c r="E129" i="4"/>
  <c r="E128" i="4"/>
  <c r="G128" i="4" s="1"/>
  <c r="E123" i="4"/>
  <c r="E122" i="4"/>
  <c r="E121" i="4"/>
  <c r="E120" i="4"/>
  <c r="E119" i="4"/>
  <c r="E118" i="4"/>
  <c r="G118" i="4" s="1"/>
  <c r="AG7" i="44" s="1"/>
  <c r="E117" i="4"/>
  <c r="E116" i="4"/>
  <c r="E115" i="4"/>
  <c r="E114" i="4"/>
  <c r="G114" i="4" s="1"/>
  <c r="E113" i="4"/>
  <c r="E112" i="4"/>
  <c r="E92" i="4"/>
  <c r="E91" i="4"/>
  <c r="G91" i="4" s="1"/>
  <c r="E89" i="4"/>
  <c r="E88" i="4"/>
  <c r="E87" i="4"/>
  <c r="E86" i="4"/>
  <c r="E85" i="4"/>
  <c r="E84" i="4"/>
  <c r="E83" i="4"/>
  <c r="E82" i="4"/>
  <c r="E79" i="4"/>
  <c r="E78" i="4"/>
  <c r="E77" i="4"/>
  <c r="E76" i="4"/>
  <c r="E75" i="4"/>
  <c r="E74" i="4"/>
  <c r="E70" i="4"/>
  <c r="E69" i="4"/>
  <c r="E68" i="4"/>
  <c r="E67" i="4"/>
  <c r="E66" i="4"/>
  <c r="E65" i="4"/>
  <c r="E64" i="4"/>
  <c r="E63" i="4"/>
  <c r="G63" i="4" s="1"/>
  <c r="E62" i="4"/>
  <c r="E58" i="4"/>
  <c r="G58" i="4" s="1"/>
  <c r="Y7" i="44" s="1"/>
  <c r="X4" i="49" s="1"/>
  <c r="E57" i="4"/>
  <c r="E56" i="4"/>
  <c r="E55" i="4"/>
  <c r="E54" i="4"/>
  <c r="G54" i="4" s="1"/>
  <c r="E53" i="4"/>
  <c r="E52" i="4"/>
  <c r="E51" i="4"/>
  <c r="E50" i="4"/>
  <c r="G50" i="4" s="1"/>
  <c r="E49" i="4"/>
  <c r="E46" i="4"/>
  <c r="E45" i="4"/>
  <c r="E44" i="4"/>
  <c r="G44" i="4" s="1"/>
  <c r="E43" i="4"/>
  <c r="E41" i="4"/>
  <c r="E39" i="4"/>
  <c r="E38" i="4"/>
  <c r="E37" i="4"/>
  <c r="E36" i="4"/>
  <c r="E35" i="4"/>
  <c r="E24" i="4"/>
  <c r="E23" i="4"/>
  <c r="E22" i="4"/>
  <c r="E12" i="4"/>
  <c r="E11" i="4"/>
  <c r="E133" i="3"/>
  <c r="E132" i="3"/>
  <c r="E131" i="3"/>
  <c r="E130" i="3"/>
  <c r="G130" i="3" s="1"/>
  <c r="E129" i="3"/>
  <c r="E128" i="3"/>
  <c r="E74" i="3"/>
  <c r="E79" i="3"/>
  <c r="E78" i="3"/>
  <c r="E77" i="3"/>
  <c r="E76" i="3"/>
  <c r="E75" i="3"/>
  <c r="G75" i="3" s="1"/>
  <c r="AP6" i="44" s="1"/>
  <c r="BI3" i="49" s="1"/>
  <c r="E24" i="3"/>
  <c r="E19" i="3"/>
  <c r="G19" i="3" s="1"/>
  <c r="E18" i="3"/>
  <c r="E18" i="4"/>
  <c r="E18" i="5"/>
  <c r="E18" i="33"/>
  <c r="E18" i="7"/>
  <c r="E18" i="8"/>
  <c r="E18" i="9"/>
  <c r="E18" i="10"/>
  <c r="E18" i="11"/>
  <c r="E18" i="12"/>
  <c r="E18" i="13"/>
  <c r="E18" i="14"/>
  <c r="E18" i="15"/>
  <c r="E18" i="16"/>
  <c r="E18" i="17"/>
  <c r="E18" i="18"/>
  <c r="E18" i="19"/>
  <c r="E18" i="20"/>
  <c r="E18" i="21"/>
  <c r="E18" i="22"/>
  <c r="E18" i="23"/>
  <c r="E18" i="24"/>
  <c r="E18" i="25"/>
  <c r="E18" i="40"/>
  <c r="E18" i="27"/>
  <c r="E18" i="28"/>
  <c r="E18" i="29"/>
  <c r="E18" i="30"/>
  <c r="E18" i="43"/>
  <c r="E185" i="3"/>
  <c r="E184" i="3"/>
  <c r="E183" i="3"/>
  <c r="E180" i="3"/>
  <c r="G180" i="3" s="1"/>
  <c r="E23" i="45" s="1"/>
  <c r="E179" i="3"/>
  <c r="E175" i="3"/>
  <c r="E174" i="3"/>
  <c r="E173" i="3"/>
  <c r="E168" i="3"/>
  <c r="E167" i="3"/>
  <c r="E166" i="3"/>
  <c r="E165" i="3"/>
  <c r="G165" i="3" s="1"/>
  <c r="E164" i="3"/>
  <c r="E163" i="3"/>
  <c r="E162" i="3"/>
  <c r="E140" i="3"/>
  <c r="E138" i="3"/>
  <c r="E123" i="3"/>
  <c r="E122" i="3"/>
  <c r="E121" i="3"/>
  <c r="G121" i="3" s="1"/>
  <c r="E120" i="3"/>
  <c r="E119" i="3"/>
  <c r="E118" i="3"/>
  <c r="E117" i="3"/>
  <c r="G117" i="3" s="1"/>
  <c r="E116" i="3"/>
  <c r="E115" i="3"/>
  <c r="E114" i="3"/>
  <c r="E113" i="3"/>
  <c r="G113" i="3" s="1"/>
  <c r="E112" i="3"/>
  <c r="E92" i="3"/>
  <c r="G92" i="3" s="1"/>
  <c r="E91" i="3"/>
  <c r="E88" i="3"/>
  <c r="E87" i="3"/>
  <c r="E86" i="3"/>
  <c r="E85" i="3"/>
  <c r="E84" i="3"/>
  <c r="E83" i="3"/>
  <c r="E82" i="3"/>
  <c r="E70" i="3"/>
  <c r="E68" i="3"/>
  <c r="E67" i="3"/>
  <c r="E66" i="3"/>
  <c r="E65" i="3"/>
  <c r="E64" i="3"/>
  <c r="E63" i="3"/>
  <c r="E62" i="3"/>
  <c r="E58" i="3"/>
  <c r="E57" i="3"/>
  <c r="G57" i="3" s="1"/>
  <c r="E56" i="3"/>
  <c r="E55" i="3"/>
  <c r="E54" i="3"/>
  <c r="E53" i="3"/>
  <c r="G53" i="3" s="1"/>
  <c r="E52" i="3"/>
  <c r="E51" i="3"/>
  <c r="E50" i="3"/>
  <c r="E49" i="3"/>
  <c r="G49" i="3" s="1"/>
  <c r="E46" i="3"/>
  <c r="E45" i="3"/>
  <c r="E44" i="3"/>
  <c r="E43" i="3"/>
  <c r="G43" i="3" s="1"/>
  <c r="E42" i="3"/>
  <c r="E41" i="3"/>
  <c r="E39" i="3"/>
  <c r="E38" i="3"/>
  <c r="E37" i="3"/>
  <c r="E36" i="3"/>
  <c r="E35" i="3"/>
  <c r="E23" i="3"/>
  <c r="E22" i="3"/>
  <c r="G22" i="3" s="1"/>
  <c r="E15" i="3"/>
  <c r="E12" i="3"/>
  <c r="E11" i="3"/>
  <c r="G11" i="3" s="1"/>
  <c r="E10" i="3"/>
  <c r="G10" i="3" s="1"/>
  <c r="E8" i="3"/>
  <c r="E9" i="3"/>
  <c r="H182" i="2"/>
  <c r="J182" i="2" s="1"/>
  <c r="H177" i="2"/>
  <c r="J177" i="2" s="1"/>
  <c r="H127" i="2"/>
  <c r="J127" i="2" s="1"/>
  <c r="G23" i="2"/>
  <c r="H23" i="2" s="1"/>
  <c r="G22" i="2"/>
  <c r="G24" i="2" s="1"/>
  <c r="G19" i="2"/>
  <c r="E30" i="2" s="1"/>
  <c r="G30" i="2" s="1"/>
  <c r="G15" i="2"/>
  <c r="G12" i="2"/>
  <c r="H12" i="2" s="1"/>
  <c r="G11" i="2"/>
  <c r="H11" i="2" s="1"/>
  <c r="J11" i="2" s="1"/>
  <c r="G10" i="2"/>
  <c r="H10" i="2" s="1"/>
  <c r="J10" i="2" s="1"/>
  <c r="G9" i="2"/>
  <c r="G8" i="2"/>
  <c r="G3" i="2" s="1"/>
  <c r="G7" i="2"/>
  <c r="I18" i="3"/>
  <c r="I7" i="3"/>
  <c r="E27" i="2"/>
  <c r="G27" i="2" s="1"/>
  <c r="G22" i="15"/>
  <c r="E24" i="15"/>
  <c r="G22" i="19"/>
  <c r="E24" i="19"/>
  <c r="G8" i="3"/>
  <c r="E8" i="33"/>
  <c r="E15" i="4"/>
  <c r="G15" i="4" s="1"/>
  <c r="D7" i="44" s="1"/>
  <c r="E15" i="5"/>
  <c r="E15" i="33"/>
  <c r="E7" i="4"/>
  <c r="E7" i="5"/>
  <c r="G7" i="5" s="1"/>
  <c r="E7" i="33"/>
  <c r="E10" i="4"/>
  <c r="E10" i="33"/>
  <c r="E10" i="7"/>
  <c r="G10" i="7" s="1"/>
  <c r="E10" i="8"/>
  <c r="E10" i="9"/>
  <c r="E10" i="11"/>
  <c r="E10" i="12"/>
  <c r="G10" i="12" s="1"/>
  <c r="E10" i="13"/>
  <c r="G9" i="3"/>
  <c r="E9" i="4"/>
  <c r="E9" i="33"/>
  <c r="G9" i="33" s="1"/>
  <c r="E19" i="4"/>
  <c r="E19" i="5"/>
  <c r="G18" i="3"/>
  <c r="E10" i="16"/>
  <c r="G10" i="16" s="1"/>
  <c r="G149" i="19"/>
  <c r="G151" i="19"/>
  <c r="Z22" i="44" s="1"/>
  <c r="G146" i="19"/>
  <c r="G147" i="19"/>
  <c r="V22" i="44" s="1"/>
  <c r="U19" i="49" s="1"/>
  <c r="G145" i="19"/>
  <c r="S22" i="44" s="1"/>
  <c r="G150" i="19"/>
  <c r="H18" i="2"/>
  <c r="J18" i="2" s="1"/>
  <c r="H19" i="2"/>
  <c r="J19" i="2" s="1"/>
  <c r="G144" i="19"/>
  <c r="U22" i="44" s="1"/>
  <c r="T19" i="49" s="1"/>
  <c r="G148" i="19"/>
  <c r="W22" i="44" s="1"/>
  <c r="H127" i="3"/>
  <c r="H151" i="2"/>
  <c r="J151" i="2" s="1"/>
  <c r="Z5" i="44"/>
  <c r="G134" i="20"/>
  <c r="H7" i="2"/>
  <c r="H7" i="3" s="1"/>
  <c r="J7" i="3" s="1"/>
  <c r="G20" i="2"/>
  <c r="H20" i="2" s="1"/>
  <c r="J20" i="2" s="1"/>
  <c r="I20" i="2" s="1"/>
  <c r="G15" i="17"/>
  <c r="AN20" i="44" s="1"/>
  <c r="G15" i="3"/>
  <c r="E28" i="3" s="1"/>
  <c r="G28" i="3" s="1"/>
  <c r="E19" i="33"/>
  <c r="G19" i="33" s="1"/>
  <c r="E15" i="7"/>
  <c r="E9" i="7"/>
  <c r="E8" i="7"/>
  <c r="G8" i="7" s="1"/>
  <c r="H18" i="3"/>
  <c r="J18" i="3" s="1"/>
  <c r="H151" i="3"/>
  <c r="G185" i="31"/>
  <c r="G184" i="31"/>
  <c r="G183" i="31"/>
  <c r="G180" i="31"/>
  <c r="AH23" i="45" s="1"/>
  <c r="G179" i="31"/>
  <c r="AH22" i="45" s="1"/>
  <c r="G178" i="31"/>
  <c r="AH21" i="45" s="1"/>
  <c r="G175" i="31"/>
  <c r="AH19" i="45" s="1"/>
  <c r="AW32" i="49" s="1"/>
  <c r="G174" i="31"/>
  <c r="AH18" i="45" s="1"/>
  <c r="AV32" i="49" s="1"/>
  <c r="G173" i="31"/>
  <c r="AH17" i="45" s="1"/>
  <c r="G165" i="31"/>
  <c r="G164" i="31"/>
  <c r="G163" i="31"/>
  <c r="G162" i="31"/>
  <c r="AB35" i="44" s="1"/>
  <c r="AA32" i="49" s="1"/>
  <c r="G161" i="31"/>
  <c r="AA35" i="44" s="1"/>
  <c r="G142" i="31"/>
  <c r="R35" i="44" s="1"/>
  <c r="G141" i="31"/>
  <c r="Q35" i="44" s="1"/>
  <c r="P32" i="49" s="1"/>
  <c r="G140" i="31"/>
  <c r="P35" i="44" s="1"/>
  <c r="G139" i="31"/>
  <c r="O35" i="44" s="1"/>
  <c r="G138" i="31"/>
  <c r="G133" i="31"/>
  <c r="AM35" i="44" s="1"/>
  <c r="AL32" i="49" s="1"/>
  <c r="G132" i="31"/>
  <c r="G131" i="31"/>
  <c r="G130" i="31"/>
  <c r="G129" i="31"/>
  <c r="G128" i="31"/>
  <c r="G123" i="31"/>
  <c r="AL35" i="44" s="1"/>
  <c r="G122" i="31"/>
  <c r="AK35" i="44" s="1"/>
  <c r="G121" i="31"/>
  <c r="AJ35" i="44" s="1"/>
  <c r="AI32" i="49" s="1"/>
  <c r="G120" i="31"/>
  <c r="AI35" i="44" s="1"/>
  <c r="G119" i="31"/>
  <c r="AH35" i="44" s="1"/>
  <c r="G118" i="31"/>
  <c r="AG35" i="44" s="1"/>
  <c r="G117" i="31"/>
  <c r="AF35" i="44" s="1"/>
  <c r="AE32" i="49" s="1"/>
  <c r="G116" i="31"/>
  <c r="AE35" i="44" s="1"/>
  <c r="AD32" i="49" s="1"/>
  <c r="G115" i="31"/>
  <c r="G114" i="31"/>
  <c r="G113" i="31"/>
  <c r="G112" i="31"/>
  <c r="G92" i="31"/>
  <c r="G91" i="31"/>
  <c r="AI34" i="1"/>
  <c r="G89" i="31"/>
  <c r="G88" i="31"/>
  <c r="G87" i="31"/>
  <c r="AC34" i="1" s="1"/>
  <c r="G86" i="31"/>
  <c r="AB34" i="1" s="1"/>
  <c r="G85" i="31"/>
  <c r="AA34" i="1" s="1"/>
  <c r="G84" i="31"/>
  <c r="G83" i="31"/>
  <c r="G82" i="31"/>
  <c r="G78" i="31"/>
  <c r="AS35" i="44" s="1"/>
  <c r="G77" i="31"/>
  <c r="AR35" i="44" s="1"/>
  <c r="G76" i="31"/>
  <c r="AQ35" i="44" s="1"/>
  <c r="BJ32" i="49" s="1"/>
  <c r="G75" i="31"/>
  <c r="AP35" i="44" s="1"/>
  <c r="BI32" i="49" s="1"/>
  <c r="G74" i="31"/>
  <c r="G70" i="31"/>
  <c r="AH15" i="45" s="1"/>
  <c r="G69" i="31"/>
  <c r="AH14" i="45" s="1"/>
  <c r="BA32" i="49" s="1"/>
  <c r="G68" i="31"/>
  <c r="AH13" i="45" s="1"/>
  <c r="G67" i="31"/>
  <c r="G66" i="31"/>
  <c r="G65" i="31"/>
  <c r="G63" i="31"/>
  <c r="AH8" i="45" s="1"/>
  <c r="AN32" i="49" s="1"/>
  <c r="G62" i="31"/>
  <c r="AH7" i="45" s="1"/>
  <c r="G58" i="31"/>
  <c r="G57" i="31"/>
  <c r="BG34" i="1" s="1"/>
  <c r="G56" i="31"/>
  <c r="G55" i="31"/>
  <c r="G54" i="31"/>
  <c r="G53" i="31"/>
  <c r="G52" i="31"/>
  <c r="G51" i="31"/>
  <c r="G50" i="31"/>
  <c r="G49" i="31"/>
  <c r="F35" i="44" s="1"/>
  <c r="E32" i="49" s="1"/>
  <c r="G46" i="31"/>
  <c r="G45" i="31"/>
  <c r="G44" i="31"/>
  <c r="G43" i="31"/>
  <c r="G42" i="31"/>
  <c r="G41" i="31"/>
  <c r="G40" i="31"/>
  <c r="G39" i="31"/>
  <c r="G98" i="31" s="1"/>
  <c r="G38" i="31"/>
  <c r="G37" i="31"/>
  <c r="G36" i="31"/>
  <c r="G35" i="31"/>
  <c r="G29" i="31"/>
  <c r="G22" i="31"/>
  <c r="G18" i="31"/>
  <c r="K9" i="31"/>
  <c r="M8" i="31"/>
  <c r="G185" i="43"/>
  <c r="G179" i="43"/>
  <c r="AG22" i="45" s="1"/>
  <c r="G178" i="43"/>
  <c r="AG21" i="45" s="1"/>
  <c r="AX31" i="49" s="1"/>
  <c r="AG19" i="45"/>
  <c r="G173" i="43"/>
  <c r="AG17" i="45" s="1"/>
  <c r="G164" i="43"/>
  <c r="AD34" i="44" s="1"/>
  <c r="G162" i="43"/>
  <c r="AB34" i="44" s="1"/>
  <c r="G161" i="43"/>
  <c r="AA34" i="44" s="1"/>
  <c r="G142" i="43"/>
  <c r="R34" i="44" s="1"/>
  <c r="Q31" i="49" s="1"/>
  <c r="G141" i="43"/>
  <c r="Q34" i="44" s="1"/>
  <c r="G140" i="43"/>
  <c r="P34" i="44" s="1"/>
  <c r="G139" i="43"/>
  <c r="O34" i="44" s="1"/>
  <c r="G138" i="43"/>
  <c r="N34" i="44" s="1"/>
  <c r="M31" i="49" s="1"/>
  <c r="G132" i="43"/>
  <c r="G131" i="43"/>
  <c r="G130" i="43"/>
  <c r="G123" i="43"/>
  <c r="AL34" i="44" s="1"/>
  <c r="G122" i="43"/>
  <c r="AK34" i="44" s="1"/>
  <c r="G120" i="43"/>
  <c r="AI34" i="44" s="1"/>
  <c r="G119" i="43"/>
  <c r="AH34" i="44" s="1"/>
  <c r="AF34" i="44"/>
  <c r="AE31" i="49" s="1"/>
  <c r="G116" i="43"/>
  <c r="AE34" i="44" s="1"/>
  <c r="G115" i="43"/>
  <c r="G112" i="43"/>
  <c r="G92" i="43"/>
  <c r="AL33" i="1" s="1"/>
  <c r="G89" i="43"/>
  <c r="G88" i="43"/>
  <c r="AG33" i="1" s="1"/>
  <c r="G85" i="43"/>
  <c r="AA33" i="1" s="1"/>
  <c r="G84" i="43"/>
  <c r="Z33" i="1" s="1"/>
  <c r="G83" i="43"/>
  <c r="G78" i="43"/>
  <c r="AS34" i="44" s="1"/>
  <c r="G75" i="43"/>
  <c r="AP34" i="44" s="1"/>
  <c r="G74" i="43"/>
  <c r="AO34" i="44" s="1"/>
  <c r="BH31" i="49" s="1"/>
  <c r="G70" i="43"/>
  <c r="AG15" i="45" s="1"/>
  <c r="AT31" i="49" s="1"/>
  <c r="G68" i="43"/>
  <c r="AG13" i="45" s="1"/>
  <c r="G67" i="43"/>
  <c r="AG11" i="45" s="1"/>
  <c r="G66" i="43"/>
  <c r="AG10" i="45" s="1"/>
  <c r="G63" i="43"/>
  <c r="AG8" i="45" s="1"/>
  <c r="G62" i="43"/>
  <c r="AG7" i="45" s="1"/>
  <c r="AM31" i="49" s="1"/>
  <c r="G58" i="43"/>
  <c r="Y34" i="44" s="1"/>
  <c r="X31" i="49" s="1"/>
  <c r="G56" i="43"/>
  <c r="BF33" i="1" s="1"/>
  <c r="G55" i="43"/>
  <c r="G54" i="43"/>
  <c r="G53" i="43"/>
  <c r="G51" i="43"/>
  <c r="G50" i="43"/>
  <c r="G46" i="43"/>
  <c r="G45" i="43"/>
  <c r="G44" i="43"/>
  <c r="G43" i="43"/>
  <c r="G42" i="43"/>
  <c r="AV33" i="1" s="1"/>
  <c r="G41" i="43"/>
  <c r="G39" i="43"/>
  <c r="G38" i="43"/>
  <c r="G100" i="43" s="1"/>
  <c r="G37" i="43"/>
  <c r="E29" i="43"/>
  <c r="G29" i="43" s="1"/>
  <c r="G22" i="43"/>
  <c r="G18" i="43"/>
  <c r="E31" i="43" s="1"/>
  <c r="G31" i="43" s="1"/>
  <c r="K9" i="43"/>
  <c r="M8" i="43"/>
  <c r="G185" i="30"/>
  <c r="G184" i="30"/>
  <c r="G179" i="30"/>
  <c r="AF22" i="45" s="1"/>
  <c r="G178" i="30"/>
  <c r="G173" i="30"/>
  <c r="AF17" i="45" s="1"/>
  <c r="G165" i="30"/>
  <c r="G163" i="30"/>
  <c r="G162" i="30"/>
  <c r="AB33" i="44" s="1"/>
  <c r="G161" i="30"/>
  <c r="AA33" i="44" s="1"/>
  <c r="Z30" i="49" s="1"/>
  <c r="G142" i="30"/>
  <c r="G141" i="30"/>
  <c r="Q33" i="44" s="1"/>
  <c r="G140" i="30"/>
  <c r="P33" i="44" s="1"/>
  <c r="G138" i="30"/>
  <c r="G133" i="30"/>
  <c r="BJ32" i="1" s="1"/>
  <c r="G132" i="30"/>
  <c r="G131" i="30"/>
  <c r="G130" i="30"/>
  <c r="G129" i="30"/>
  <c r="G122" i="30"/>
  <c r="AK33" i="44" s="1"/>
  <c r="AJ30" i="49" s="1"/>
  <c r="G121" i="30"/>
  <c r="AJ33" i="44" s="1"/>
  <c r="G120" i="30"/>
  <c r="AI33" i="44" s="1"/>
  <c r="AH30" i="49" s="1"/>
  <c r="G119" i="30"/>
  <c r="AH33" i="44" s="1"/>
  <c r="AG30" i="49" s="1"/>
  <c r="G118" i="30"/>
  <c r="AG33" i="44" s="1"/>
  <c r="G117" i="30"/>
  <c r="AF33" i="44" s="1"/>
  <c r="AE30" i="49" s="1"/>
  <c r="G116" i="30"/>
  <c r="AE33" i="44" s="1"/>
  <c r="G115" i="30"/>
  <c r="G114" i="30"/>
  <c r="G92" i="30"/>
  <c r="G91" i="30"/>
  <c r="AK32" i="1" s="1"/>
  <c r="G90" i="30"/>
  <c r="AX33" i="44" s="1"/>
  <c r="G89" i="30"/>
  <c r="G88" i="30"/>
  <c r="G87" i="30"/>
  <c r="AC32" i="1" s="1"/>
  <c r="G85" i="30"/>
  <c r="AA32" i="1" s="1"/>
  <c r="G84" i="30"/>
  <c r="G83" i="30"/>
  <c r="G82" i="30"/>
  <c r="G78" i="30"/>
  <c r="AS33" i="44" s="1"/>
  <c r="G77" i="30"/>
  <c r="AR33" i="44" s="1"/>
  <c r="BK30" i="49" s="1"/>
  <c r="G75" i="30"/>
  <c r="AP33" i="44" s="1"/>
  <c r="G74" i="30"/>
  <c r="G69" i="30"/>
  <c r="G68" i="30"/>
  <c r="AF13" i="45" s="1"/>
  <c r="G67" i="30"/>
  <c r="AF11" i="45" s="1"/>
  <c r="AQ30" i="49" s="1"/>
  <c r="G65" i="30"/>
  <c r="G63" i="30"/>
  <c r="AF8" i="45" s="1"/>
  <c r="G58" i="30"/>
  <c r="Y33" i="44" s="1"/>
  <c r="X30" i="49" s="1"/>
  <c r="G57" i="30"/>
  <c r="G56" i="30"/>
  <c r="G54" i="30"/>
  <c r="BD32" i="1" s="1"/>
  <c r="G53" i="30"/>
  <c r="BC32" i="1" s="1"/>
  <c r="G52" i="30"/>
  <c r="G50" i="30"/>
  <c r="G49" i="30"/>
  <c r="G46" i="30"/>
  <c r="G44" i="30"/>
  <c r="G43" i="30"/>
  <c r="G42" i="30"/>
  <c r="G40" i="30"/>
  <c r="G39" i="30"/>
  <c r="G38" i="30"/>
  <c r="G36" i="30"/>
  <c r="G35" i="30"/>
  <c r="F33" i="44" s="1"/>
  <c r="E30" i="49" s="1"/>
  <c r="E29" i="30"/>
  <c r="G29" i="30" s="1"/>
  <c r="G22" i="30"/>
  <c r="G18" i="30"/>
  <c r="E31" i="30" s="1"/>
  <c r="G31" i="30" s="1"/>
  <c r="K9" i="30"/>
  <c r="M8" i="30"/>
  <c r="G185" i="29"/>
  <c r="G184" i="29"/>
  <c r="G183" i="29"/>
  <c r="G180" i="29"/>
  <c r="G179" i="29"/>
  <c r="AE22" i="45" s="1"/>
  <c r="G178" i="29"/>
  <c r="AE21" i="45" s="1"/>
  <c r="AX29" i="49" s="1"/>
  <c r="G174" i="29"/>
  <c r="AE18" i="45" s="1"/>
  <c r="G173" i="29"/>
  <c r="AE17" i="45" s="1"/>
  <c r="AU29" i="49" s="1"/>
  <c r="G165" i="29"/>
  <c r="G164" i="29"/>
  <c r="AD32" i="44" s="1"/>
  <c r="AC29" i="49" s="1"/>
  <c r="G162" i="29"/>
  <c r="AB32" i="44" s="1"/>
  <c r="G161" i="29"/>
  <c r="AA32" i="44" s="1"/>
  <c r="Z29" i="49" s="1"/>
  <c r="G140" i="29"/>
  <c r="P32" i="44" s="1"/>
  <c r="G139" i="29"/>
  <c r="O32" i="44" s="1"/>
  <c r="N29" i="49" s="1"/>
  <c r="G138" i="29"/>
  <c r="G131" i="29"/>
  <c r="G130" i="29"/>
  <c r="G123" i="29"/>
  <c r="AL32" i="44" s="1"/>
  <c r="G122" i="29"/>
  <c r="AK32" i="44" s="1"/>
  <c r="AJ29" i="49" s="1"/>
  <c r="G120" i="29"/>
  <c r="AI32" i="44" s="1"/>
  <c r="G119" i="29"/>
  <c r="AH32" i="44" s="1"/>
  <c r="AG29" i="49" s="1"/>
  <c r="G118" i="29"/>
  <c r="G116" i="29"/>
  <c r="AE32" i="44" s="1"/>
  <c r="G115" i="29"/>
  <c r="G114" i="29"/>
  <c r="G113" i="29"/>
  <c r="G92" i="29"/>
  <c r="G89" i="29"/>
  <c r="AW32" i="44" s="1"/>
  <c r="G88" i="29"/>
  <c r="G86" i="29"/>
  <c r="AB31" i="1" s="1"/>
  <c r="G85" i="29"/>
  <c r="AA31" i="1" s="1"/>
  <c r="G84" i="29"/>
  <c r="G83" i="29"/>
  <c r="G78" i="29"/>
  <c r="AS32" i="44" s="1"/>
  <c r="AR32" i="44"/>
  <c r="G76" i="29"/>
  <c r="AQ32" i="44" s="1"/>
  <c r="G75" i="29"/>
  <c r="AP32" i="44" s="1"/>
  <c r="BI29" i="49" s="1"/>
  <c r="G74" i="29"/>
  <c r="AO32" i="44" s="1"/>
  <c r="G70" i="29"/>
  <c r="AE15" i="45" s="1"/>
  <c r="AT29" i="49" s="1"/>
  <c r="G68" i="29"/>
  <c r="AE13" i="45" s="1"/>
  <c r="G66" i="29"/>
  <c r="G65" i="29"/>
  <c r="G63" i="29"/>
  <c r="AE8" i="45" s="1"/>
  <c r="G57" i="29"/>
  <c r="G56" i="29"/>
  <c r="G54" i="29"/>
  <c r="G53" i="29"/>
  <c r="BC31" i="1" s="1"/>
  <c r="G52" i="29"/>
  <c r="G51" i="29"/>
  <c r="G49" i="29"/>
  <c r="G46" i="29"/>
  <c r="G44" i="29"/>
  <c r="G43" i="29"/>
  <c r="G42" i="29"/>
  <c r="G39" i="29"/>
  <c r="I32" i="44" s="1"/>
  <c r="H29" i="49" s="1"/>
  <c r="G38" i="29"/>
  <c r="G100" i="29" s="1"/>
  <c r="G36" i="29"/>
  <c r="G35" i="29"/>
  <c r="E29" i="29"/>
  <c r="G29" i="29" s="1"/>
  <c r="G22" i="29"/>
  <c r="G18" i="29"/>
  <c r="E31" i="29" s="1"/>
  <c r="G31" i="29" s="1"/>
  <c r="K9" i="29"/>
  <c r="M8" i="29"/>
  <c r="G185" i="28"/>
  <c r="G184" i="28"/>
  <c r="G183" i="28"/>
  <c r="G179" i="28"/>
  <c r="AD22" i="45" s="1"/>
  <c r="G175" i="28"/>
  <c r="AD19" i="45" s="1"/>
  <c r="AW28" i="49" s="1"/>
  <c r="G174" i="28"/>
  <c r="AD18" i="45" s="1"/>
  <c r="G173" i="28"/>
  <c r="AD17" i="45" s="1"/>
  <c r="G165" i="28"/>
  <c r="G163" i="28"/>
  <c r="G162" i="28"/>
  <c r="AB31" i="44" s="1"/>
  <c r="AA28" i="49" s="1"/>
  <c r="G161" i="28"/>
  <c r="AA31" i="44" s="1"/>
  <c r="G141" i="28"/>
  <c r="Q31" i="44" s="1"/>
  <c r="G139" i="28"/>
  <c r="O31" i="44" s="1"/>
  <c r="G133" i="28"/>
  <c r="G132" i="28"/>
  <c r="G131" i="28"/>
  <c r="G130" i="28"/>
  <c r="G129" i="28"/>
  <c r="G121" i="28"/>
  <c r="AJ31" i="44" s="1"/>
  <c r="AI28" i="49" s="1"/>
  <c r="G120" i="28"/>
  <c r="AI31" i="44" s="1"/>
  <c r="G118" i="28"/>
  <c r="AG31" i="44" s="1"/>
  <c r="G116" i="28"/>
  <c r="G114" i="28"/>
  <c r="G113" i="28"/>
  <c r="G112" i="28"/>
  <c r="G91" i="28"/>
  <c r="G89" i="28"/>
  <c r="G88" i="28"/>
  <c r="AG30" i="1" s="1"/>
  <c r="G87" i="28"/>
  <c r="AC30" i="1" s="1"/>
  <c r="G86" i="28"/>
  <c r="AB30" i="1" s="1"/>
  <c r="G85" i="28"/>
  <c r="AA30" i="1" s="1"/>
  <c r="G82" i="28"/>
  <c r="G78" i="28"/>
  <c r="AS31" i="44" s="1"/>
  <c r="G77" i="28"/>
  <c r="AR31" i="44" s="1"/>
  <c r="BK28" i="49" s="1"/>
  <c r="G76" i="28"/>
  <c r="AQ31" i="44" s="1"/>
  <c r="G75" i="28"/>
  <c r="AP31" i="44" s="1"/>
  <c r="G70" i="28"/>
  <c r="G69" i="28"/>
  <c r="AD14" i="45" s="1"/>
  <c r="G68" i="28"/>
  <c r="G67" i="28"/>
  <c r="G66" i="28"/>
  <c r="G63" i="28"/>
  <c r="AD8" i="45" s="1"/>
  <c r="AN28" i="49" s="1"/>
  <c r="G58" i="28"/>
  <c r="G57" i="28"/>
  <c r="G56" i="28"/>
  <c r="G53" i="28"/>
  <c r="G52" i="28"/>
  <c r="BB30" i="1" s="1"/>
  <c r="G50" i="28"/>
  <c r="G49" i="28"/>
  <c r="G46" i="28"/>
  <c r="G45" i="28"/>
  <c r="G44" i="28"/>
  <c r="G43" i="28"/>
  <c r="G42" i="28"/>
  <c r="AV30" i="1" s="1"/>
  <c r="G41" i="28"/>
  <c r="G39" i="28"/>
  <c r="G38" i="28"/>
  <c r="AR30" i="1" s="1"/>
  <c r="G37" i="28"/>
  <c r="G35" i="28"/>
  <c r="G18" i="28"/>
  <c r="E31" i="28" s="1"/>
  <c r="G31" i="28" s="1"/>
  <c r="K9" i="28"/>
  <c r="M8" i="28"/>
  <c r="G185" i="27"/>
  <c r="AC23" i="45"/>
  <c r="AZ27" i="49" s="1"/>
  <c r="AC22" i="45"/>
  <c r="G178" i="27"/>
  <c r="AC21" i="45" s="1"/>
  <c r="AC19" i="45"/>
  <c r="G174" i="27"/>
  <c r="AC18" i="45" s="1"/>
  <c r="G173" i="27"/>
  <c r="AC17" i="45" s="1"/>
  <c r="G165" i="27"/>
  <c r="G162" i="27"/>
  <c r="AB30" i="44" s="1"/>
  <c r="G161" i="27"/>
  <c r="AA30" i="44" s="1"/>
  <c r="G142" i="27"/>
  <c r="R30" i="44" s="1"/>
  <c r="G141" i="27"/>
  <c r="Q30" i="44" s="1"/>
  <c r="G139" i="27"/>
  <c r="O30" i="44" s="1"/>
  <c r="G132" i="27"/>
  <c r="G131" i="27"/>
  <c r="G130" i="27"/>
  <c r="G128" i="27"/>
  <c r="G121" i="27"/>
  <c r="AJ30" i="44" s="1"/>
  <c r="AI27" i="49" s="1"/>
  <c r="G120" i="27"/>
  <c r="AI30" i="44" s="1"/>
  <c r="G119" i="27"/>
  <c r="AH30" i="44" s="1"/>
  <c r="G117" i="27"/>
  <c r="AF30" i="44" s="1"/>
  <c r="G116" i="27"/>
  <c r="AE30" i="44" s="1"/>
  <c r="G115" i="27"/>
  <c r="G114" i="27"/>
  <c r="G113" i="27"/>
  <c r="G112" i="27"/>
  <c r="G92" i="27"/>
  <c r="AL29" i="1" s="1"/>
  <c r="G91" i="27"/>
  <c r="G90" i="27"/>
  <c r="G89" i="27"/>
  <c r="AW30" i="44" s="1"/>
  <c r="G86" i="27"/>
  <c r="AB29" i="1" s="1"/>
  <c r="G85" i="27"/>
  <c r="AA29" i="1" s="1"/>
  <c r="G84" i="27"/>
  <c r="G82" i="27"/>
  <c r="G78" i="27"/>
  <c r="AS30" i="44" s="1"/>
  <c r="G76" i="27"/>
  <c r="AQ30" i="44" s="1"/>
  <c r="BJ27" i="49" s="1"/>
  <c r="G75" i="27"/>
  <c r="AP30" i="44" s="1"/>
  <c r="G74" i="27"/>
  <c r="AO30" i="44" s="1"/>
  <c r="G69" i="27"/>
  <c r="AC14" i="45" s="1"/>
  <c r="G67" i="27"/>
  <c r="AC11" i="45" s="1"/>
  <c r="G66" i="27"/>
  <c r="G63" i="27"/>
  <c r="AC8" i="45" s="1"/>
  <c r="AN27" i="49" s="1"/>
  <c r="G58" i="27"/>
  <c r="G57" i="27"/>
  <c r="K30" i="44" s="1"/>
  <c r="G55" i="27"/>
  <c r="G54" i="27"/>
  <c r="G53" i="27"/>
  <c r="G51" i="27"/>
  <c r="BA29" i="1" s="1"/>
  <c r="G50" i="27"/>
  <c r="G49" i="27"/>
  <c r="G46" i="27"/>
  <c r="G45" i="27"/>
  <c r="G44" i="27"/>
  <c r="G43" i="27"/>
  <c r="G42" i="27"/>
  <c r="G41" i="27"/>
  <c r="AU29" i="1" s="1"/>
  <c r="G40" i="27"/>
  <c r="G38" i="27"/>
  <c r="G37" i="27"/>
  <c r="G36" i="27"/>
  <c r="G35" i="27"/>
  <c r="E29" i="27"/>
  <c r="G29" i="27" s="1"/>
  <c r="G22" i="27"/>
  <c r="G18" i="27"/>
  <c r="E31" i="27" s="1"/>
  <c r="G31" i="27" s="1"/>
  <c r="K9" i="27"/>
  <c r="M8" i="27"/>
  <c r="G185" i="40"/>
  <c r="G180" i="40"/>
  <c r="G181" i="40" s="1"/>
  <c r="G189" i="40" s="1"/>
  <c r="G179" i="40"/>
  <c r="AB22" i="45" s="1"/>
  <c r="G175" i="40"/>
  <c r="AB19" i="45" s="1"/>
  <c r="G174" i="40"/>
  <c r="AB18" i="45" s="1"/>
  <c r="G173" i="40"/>
  <c r="AB17" i="45" s="1"/>
  <c r="G165" i="40"/>
  <c r="G163" i="40"/>
  <c r="G162" i="40"/>
  <c r="AB29" i="44" s="1"/>
  <c r="AA26" i="49" s="1"/>
  <c r="G161" i="40"/>
  <c r="AA29" i="44" s="1"/>
  <c r="Z26" i="49" s="1"/>
  <c r="G142" i="40"/>
  <c r="R29" i="44" s="1"/>
  <c r="G141" i="40"/>
  <c r="Q29" i="44" s="1"/>
  <c r="P26" i="49" s="1"/>
  <c r="G139" i="40"/>
  <c r="O29" i="44" s="1"/>
  <c r="G138" i="40"/>
  <c r="G131" i="40"/>
  <c r="G129" i="40"/>
  <c r="G128" i="40"/>
  <c r="G123" i="40"/>
  <c r="AL29" i="44" s="1"/>
  <c r="G122" i="40"/>
  <c r="AK29" i="44" s="1"/>
  <c r="G121" i="40"/>
  <c r="AJ29" i="44" s="1"/>
  <c r="G120" i="40"/>
  <c r="AI29" i="44" s="1"/>
  <c r="AH26" i="49" s="1"/>
  <c r="G119" i="40"/>
  <c r="AH29" i="44" s="1"/>
  <c r="G117" i="40"/>
  <c r="G115" i="40"/>
  <c r="G114" i="40"/>
  <c r="G113" i="40"/>
  <c r="G92" i="40"/>
  <c r="AL28" i="1" s="1"/>
  <c r="G91" i="40"/>
  <c r="G90" i="40"/>
  <c r="I90" i="40" s="1"/>
  <c r="G88" i="40"/>
  <c r="AV29" i="44" s="1"/>
  <c r="G87" i="40"/>
  <c r="AC28" i="1" s="1"/>
  <c r="G83" i="40"/>
  <c r="G82" i="40"/>
  <c r="G78" i="40"/>
  <c r="AS29" i="44" s="1"/>
  <c r="G76" i="40"/>
  <c r="AQ29" i="44" s="1"/>
  <c r="G75" i="40"/>
  <c r="AP29" i="44" s="1"/>
  <c r="BI26" i="49" s="1"/>
  <c r="G74" i="40"/>
  <c r="G70" i="40"/>
  <c r="G69" i="40"/>
  <c r="AB14" i="45" s="1"/>
  <c r="G67" i="40"/>
  <c r="AB11" i="45" s="1"/>
  <c r="G66" i="40"/>
  <c r="W28" i="1" s="1"/>
  <c r="G63" i="40"/>
  <c r="AB8" i="45" s="1"/>
  <c r="G62" i="40"/>
  <c r="AB7" i="45" s="1"/>
  <c r="AM26" i="49" s="1"/>
  <c r="G58" i="40"/>
  <c r="G56" i="40"/>
  <c r="G55" i="40"/>
  <c r="BE28" i="1" s="1"/>
  <c r="G53" i="40"/>
  <c r="G52" i="40"/>
  <c r="G51" i="40"/>
  <c r="G50" i="40"/>
  <c r="BH28" i="1" s="1"/>
  <c r="G46" i="40"/>
  <c r="G45" i="40"/>
  <c r="G44" i="40"/>
  <c r="G43" i="40"/>
  <c r="G42" i="40"/>
  <c r="G41" i="40"/>
  <c r="G40" i="40"/>
  <c r="AT28" i="1" s="1"/>
  <c r="G39" i="40"/>
  <c r="G38" i="40"/>
  <c r="G36" i="40"/>
  <c r="AY28" i="1" s="1"/>
  <c r="G35" i="40"/>
  <c r="E29" i="40"/>
  <c r="G29" i="40" s="1"/>
  <c r="G22" i="40"/>
  <c r="G18" i="40"/>
  <c r="K9" i="40"/>
  <c r="M8" i="40"/>
  <c r="G185" i="25"/>
  <c r="G184" i="25"/>
  <c r="G183" i="25"/>
  <c r="G179" i="25"/>
  <c r="AA22" i="45" s="1"/>
  <c r="AY25" i="49" s="1"/>
  <c r="G178" i="25"/>
  <c r="AA21" i="45" s="1"/>
  <c r="AX25" i="49" s="1"/>
  <c r="G175" i="25"/>
  <c r="AA19" i="45" s="1"/>
  <c r="AW25" i="49" s="1"/>
  <c r="G174" i="25"/>
  <c r="AA18" i="45" s="1"/>
  <c r="G164" i="25"/>
  <c r="G163" i="25"/>
  <c r="G162" i="25"/>
  <c r="AB28" i="44" s="1"/>
  <c r="AA25" i="49" s="1"/>
  <c r="G142" i="25"/>
  <c r="R28" i="44" s="1"/>
  <c r="Q25" i="49" s="1"/>
  <c r="G141" i="25"/>
  <c r="Q28" i="44" s="1"/>
  <c r="P25" i="49" s="1"/>
  <c r="G139" i="25"/>
  <c r="O28" i="44" s="1"/>
  <c r="G138" i="25"/>
  <c r="N28" i="44" s="1"/>
  <c r="M25" i="49" s="1"/>
  <c r="G133" i="25"/>
  <c r="AM28" i="44" s="1"/>
  <c r="AL25" i="49" s="1"/>
  <c r="G132" i="25"/>
  <c r="G131" i="25"/>
  <c r="G129" i="25"/>
  <c r="G128" i="25"/>
  <c r="AL28" i="44"/>
  <c r="G121" i="25"/>
  <c r="AJ28" i="44" s="1"/>
  <c r="AI25" i="49" s="1"/>
  <c r="G119" i="25"/>
  <c r="AH28" i="44" s="1"/>
  <c r="AG25" i="49" s="1"/>
  <c r="G117" i="25"/>
  <c r="AF28" i="44" s="1"/>
  <c r="G116" i="25"/>
  <c r="AE28" i="44" s="1"/>
  <c r="AD25" i="49" s="1"/>
  <c r="G113" i="25"/>
  <c r="G92" i="25"/>
  <c r="AL27" i="1" s="1"/>
  <c r="G90" i="25"/>
  <c r="I90" i="25" s="1"/>
  <c r="G89" i="25"/>
  <c r="G88" i="25"/>
  <c r="G87" i="25"/>
  <c r="AC27" i="1" s="1"/>
  <c r="G86" i="25"/>
  <c r="AB27" i="1" s="1"/>
  <c r="G84" i="25"/>
  <c r="G83" i="25"/>
  <c r="G82" i="25"/>
  <c r="G78" i="25"/>
  <c r="AS28" i="44" s="1"/>
  <c r="BL25" i="49" s="1"/>
  <c r="G77" i="25"/>
  <c r="AR28" i="44" s="1"/>
  <c r="BK25" i="49" s="1"/>
  <c r="G76" i="25"/>
  <c r="AQ28" i="44" s="1"/>
  <c r="BJ25" i="49" s="1"/>
  <c r="G75" i="25"/>
  <c r="AP28" i="44" s="1"/>
  <c r="G74" i="25"/>
  <c r="AO28" i="44" s="1"/>
  <c r="G70" i="25"/>
  <c r="AA15" i="45" s="1"/>
  <c r="G67" i="25"/>
  <c r="G65" i="25"/>
  <c r="G62" i="25"/>
  <c r="AA7" i="45" s="1"/>
  <c r="G58" i="25"/>
  <c r="G56" i="25"/>
  <c r="G54" i="25"/>
  <c r="BD27" i="1" s="1"/>
  <c r="G53" i="25"/>
  <c r="I28" i="44" s="1"/>
  <c r="H25" i="49" s="1"/>
  <c r="G52" i="25"/>
  <c r="G51" i="25"/>
  <c r="G50" i="25"/>
  <c r="L28" i="44" s="1"/>
  <c r="K25" i="49" s="1"/>
  <c r="G46" i="25"/>
  <c r="G44" i="25"/>
  <c r="G43" i="25"/>
  <c r="G42" i="25"/>
  <c r="AV27" i="1" s="1"/>
  <c r="G40" i="25"/>
  <c r="AT27" i="1" s="1"/>
  <c r="G39" i="25"/>
  <c r="G37" i="25"/>
  <c r="G35" i="25"/>
  <c r="E29" i="25"/>
  <c r="G29" i="25" s="1"/>
  <c r="G22" i="25"/>
  <c r="G18" i="25"/>
  <c r="E31" i="25" s="1"/>
  <c r="G31" i="25" s="1"/>
  <c r="K9" i="25"/>
  <c r="M8" i="25"/>
  <c r="G185" i="24"/>
  <c r="G184" i="24"/>
  <c r="G186" i="24" s="1"/>
  <c r="G180" i="24"/>
  <c r="G179" i="24"/>
  <c r="Z22" i="45" s="1"/>
  <c r="AY24" i="49" s="1"/>
  <c r="G178" i="24"/>
  <c r="Z21" i="45" s="1"/>
  <c r="G175" i="24"/>
  <c r="Z19" i="45" s="1"/>
  <c r="AW24" i="49" s="1"/>
  <c r="G174" i="24"/>
  <c r="Z18" i="45" s="1"/>
  <c r="G164" i="24"/>
  <c r="AD27" i="44" s="1"/>
  <c r="AC24" i="49" s="1"/>
  <c r="G163" i="24"/>
  <c r="G162" i="24"/>
  <c r="AB27" i="44" s="1"/>
  <c r="G140" i="24"/>
  <c r="P27" i="44" s="1"/>
  <c r="O24" i="49" s="1"/>
  <c r="G139" i="24"/>
  <c r="O27" i="44" s="1"/>
  <c r="N24" i="49" s="1"/>
  <c r="G133" i="24"/>
  <c r="G132" i="24"/>
  <c r="G131" i="24"/>
  <c r="G130" i="24"/>
  <c r="G129" i="24"/>
  <c r="G128" i="24"/>
  <c r="G123" i="24"/>
  <c r="AL27" i="44" s="1"/>
  <c r="G121" i="24"/>
  <c r="AJ27" i="44" s="1"/>
  <c r="AI24" i="49" s="1"/>
  <c r="G120" i="24"/>
  <c r="AI27" i="44" s="1"/>
  <c r="G119" i="24"/>
  <c r="AH27" i="44" s="1"/>
  <c r="G117" i="24"/>
  <c r="AF27" i="44" s="1"/>
  <c r="G116" i="24"/>
  <c r="AE27" i="44" s="1"/>
  <c r="G115" i="24"/>
  <c r="G113" i="24"/>
  <c r="G112" i="24"/>
  <c r="G92" i="24"/>
  <c r="AL26" i="1" s="1"/>
  <c r="G91" i="24"/>
  <c r="AK26" i="1" s="1"/>
  <c r="G90" i="24"/>
  <c r="I90" i="24" s="1"/>
  <c r="G89" i="24"/>
  <c r="G88" i="24"/>
  <c r="AG26" i="1" s="1"/>
  <c r="G87" i="24"/>
  <c r="AC26" i="1"/>
  <c r="G86" i="24"/>
  <c r="AB26" i="1" s="1"/>
  <c r="G85" i="24"/>
  <c r="AA26" i="1" s="1"/>
  <c r="G83" i="24"/>
  <c r="G78" i="24"/>
  <c r="AS27" i="44" s="1"/>
  <c r="BL24" i="49" s="1"/>
  <c r="G77" i="24"/>
  <c r="AR27" i="44" s="1"/>
  <c r="BK24" i="49" s="1"/>
  <c r="G76" i="24"/>
  <c r="AQ27" i="44" s="1"/>
  <c r="BJ24" i="49" s="1"/>
  <c r="G75" i="24"/>
  <c r="AP27" i="44" s="1"/>
  <c r="G70" i="24"/>
  <c r="Z15" i="45" s="1"/>
  <c r="AT24" i="49" s="1"/>
  <c r="G68" i="24"/>
  <c r="G66" i="24"/>
  <c r="W26" i="1" s="1"/>
  <c r="G65" i="24"/>
  <c r="V26" i="1" s="1"/>
  <c r="G62" i="24"/>
  <c r="Z7" i="45" s="1"/>
  <c r="AM24" i="49" s="1"/>
  <c r="G58" i="24"/>
  <c r="Y27" i="44" s="1"/>
  <c r="X24" i="49" s="1"/>
  <c r="G57" i="24"/>
  <c r="G56" i="24"/>
  <c r="G55" i="24"/>
  <c r="G54" i="24"/>
  <c r="G53" i="24"/>
  <c r="G52" i="24"/>
  <c r="G51" i="24"/>
  <c r="G50" i="24"/>
  <c r="G49" i="24"/>
  <c r="G46" i="24"/>
  <c r="G45" i="24"/>
  <c r="G44" i="24"/>
  <c r="G43" i="24"/>
  <c r="G42" i="24"/>
  <c r="G40" i="24"/>
  <c r="G39" i="24"/>
  <c r="G38" i="24"/>
  <c r="G36" i="24"/>
  <c r="G35" i="24"/>
  <c r="E29" i="24"/>
  <c r="G29" i="24" s="1"/>
  <c r="G22" i="24"/>
  <c r="G18" i="24"/>
  <c r="E31" i="24" s="1"/>
  <c r="G31" i="24" s="1"/>
  <c r="K9" i="24"/>
  <c r="M8" i="24"/>
  <c r="G185" i="23"/>
  <c r="G184" i="23"/>
  <c r="G183" i="23"/>
  <c r="G179" i="23"/>
  <c r="Y22" i="45" s="1"/>
  <c r="G175" i="23"/>
  <c r="Y19" i="45" s="1"/>
  <c r="AW23" i="49" s="1"/>
  <c r="G173" i="23"/>
  <c r="Y17" i="45" s="1"/>
  <c r="G165" i="23"/>
  <c r="G163" i="23"/>
  <c r="G142" i="23"/>
  <c r="R26" i="44" s="1"/>
  <c r="G140" i="23"/>
  <c r="P26" i="44" s="1"/>
  <c r="G139" i="23"/>
  <c r="O26" i="44" s="1"/>
  <c r="N23" i="49" s="1"/>
  <c r="G132" i="23"/>
  <c r="G131" i="23"/>
  <c r="G128" i="23"/>
  <c r="G123" i="23"/>
  <c r="AL26" i="44" s="1"/>
  <c r="AK23" i="49" s="1"/>
  <c r="G122" i="23"/>
  <c r="AK26" i="44" s="1"/>
  <c r="G121" i="23"/>
  <c r="AJ26" i="44" s="1"/>
  <c r="G120" i="23"/>
  <c r="AI26" i="44" s="1"/>
  <c r="G117" i="23"/>
  <c r="AF26" i="44" s="1"/>
  <c r="G116" i="23"/>
  <c r="G115" i="23"/>
  <c r="G114" i="23"/>
  <c r="G113" i="23"/>
  <c r="G92" i="23"/>
  <c r="AL25" i="1" s="1"/>
  <c r="G91" i="23"/>
  <c r="G90" i="23"/>
  <c r="I90" i="23" s="1"/>
  <c r="G89" i="23"/>
  <c r="G88" i="23"/>
  <c r="AC25" i="1"/>
  <c r="G86" i="23"/>
  <c r="AB25" i="1" s="1"/>
  <c r="G85" i="23"/>
  <c r="AA25" i="1" s="1"/>
  <c r="G83" i="23"/>
  <c r="G82" i="23"/>
  <c r="G78" i="23"/>
  <c r="AS26" i="44" s="1"/>
  <c r="G77" i="23"/>
  <c r="G76" i="23"/>
  <c r="G75" i="23"/>
  <c r="G70" i="23"/>
  <c r="Y15" i="45" s="1"/>
  <c r="G69" i="23"/>
  <c r="Y14" i="45" s="1"/>
  <c r="G68" i="23"/>
  <c r="Y13" i="45" s="1"/>
  <c r="G66" i="23"/>
  <c r="G63" i="23"/>
  <c r="Y8" i="45" s="1"/>
  <c r="G58" i="23"/>
  <c r="Y26" i="44" s="1"/>
  <c r="X23" i="49" s="1"/>
  <c r="G57" i="23"/>
  <c r="G55" i="23"/>
  <c r="G54" i="23"/>
  <c r="G53" i="23"/>
  <c r="G52" i="23"/>
  <c r="G51" i="23"/>
  <c r="G50" i="23"/>
  <c r="G49" i="23"/>
  <c r="AZ25" i="1" s="1"/>
  <c r="G46" i="23"/>
  <c r="G45" i="23"/>
  <c r="G44" i="23"/>
  <c r="G43" i="23"/>
  <c r="G42" i="23"/>
  <c r="G40" i="23"/>
  <c r="G37" i="23"/>
  <c r="G36" i="23"/>
  <c r="E29" i="23"/>
  <c r="G29" i="23" s="1"/>
  <c r="G18" i="23"/>
  <c r="E31" i="23" s="1"/>
  <c r="G31" i="23" s="1"/>
  <c r="K9" i="23"/>
  <c r="M8" i="23"/>
  <c r="G184" i="22"/>
  <c r="G180" i="22"/>
  <c r="X23" i="45" s="1"/>
  <c r="G179" i="22"/>
  <c r="X22" i="45" s="1"/>
  <c r="G175" i="22"/>
  <c r="X19" i="45" s="1"/>
  <c r="AW22" i="49" s="1"/>
  <c r="G163" i="22"/>
  <c r="G141" i="22"/>
  <c r="Q25" i="44" s="1"/>
  <c r="P22" i="49" s="1"/>
  <c r="G140" i="22"/>
  <c r="P25" i="44" s="1"/>
  <c r="G139" i="22"/>
  <c r="O25" i="44" s="1"/>
  <c r="G138" i="22"/>
  <c r="G132" i="22"/>
  <c r="G131" i="22"/>
  <c r="G130" i="22"/>
  <c r="G129" i="22"/>
  <c r="G128" i="22"/>
  <c r="G123" i="22"/>
  <c r="AL25" i="44" s="1"/>
  <c r="AK22" i="49" s="1"/>
  <c r="G122" i="22"/>
  <c r="AK25" i="44" s="1"/>
  <c r="G121" i="22"/>
  <c r="AJ25" i="44" s="1"/>
  <c r="AI22" i="49" s="1"/>
  <c r="G120" i="22"/>
  <c r="AI25" i="44" s="1"/>
  <c r="G118" i="22"/>
  <c r="AG25" i="44" s="1"/>
  <c r="G116" i="22"/>
  <c r="AE25" i="44" s="1"/>
  <c r="G115" i="22"/>
  <c r="G114" i="22"/>
  <c r="G91" i="22"/>
  <c r="G89" i="22"/>
  <c r="G87" i="22"/>
  <c r="AC24" i="1" s="1"/>
  <c r="G84" i="22"/>
  <c r="Z24" i="1" s="1"/>
  <c r="G83" i="22"/>
  <c r="G77" i="22"/>
  <c r="AR25" i="44" s="1"/>
  <c r="G76" i="22"/>
  <c r="AQ25" i="44" s="1"/>
  <c r="G75" i="22"/>
  <c r="AP25" i="44" s="1"/>
  <c r="G70" i="22"/>
  <c r="X15" i="45" s="1"/>
  <c r="G68" i="22"/>
  <c r="X13" i="45" s="1"/>
  <c r="G66" i="22"/>
  <c r="G65" i="22"/>
  <c r="V24" i="1" s="1"/>
  <c r="G62" i="22"/>
  <c r="X7" i="45" s="1"/>
  <c r="AM22" i="49" s="1"/>
  <c r="G57" i="22"/>
  <c r="G56" i="22"/>
  <c r="G55" i="22"/>
  <c r="G52" i="22"/>
  <c r="G51" i="22"/>
  <c r="G50" i="22"/>
  <c r="G46" i="22"/>
  <c r="G45" i="22"/>
  <c r="G43" i="22"/>
  <c r="G42" i="22"/>
  <c r="AV24" i="1" s="1"/>
  <c r="G41" i="22"/>
  <c r="G39" i="22"/>
  <c r="G37" i="22"/>
  <c r="G36" i="22"/>
  <c r="G29" i="22"/>
  <c r="G18" i="22"/>
  <c r="E31" i="22" s="1"/>
  <c r="G31" i="22" s="1"/>
  <c r="K9" i="22"/>
  <c r="M8" i="22"/>
  <c r="W22" i="45"/>
  <c r="AY21" i="49" s="1"/>
  <c r="W21" i="45"/>
  <c r="AX21" i="49" s="1"/>
  <c r="W19" i="45"/>
  <c r="G173" i="21"/>
  <c r="W17" i="45" s="1"/>
  <c r="G165" i="21"/>
  <c r="G164" i="21"/>
  <c r="G163" i="21"/>
  <c r="G162" i="21"/>
  <c r="AB24" i="44" s="1"/>
  <c r="G161" i="21"/>
  <c r="AA24" i="44" s="1"/>
  <c r="Z21" i="49" s="1"/>
  <c r="G142" i="21"/>
  <c r="R24" i="44" s="1"/>
  <c r="G140" i="21"/>
  <c r="P24" i="44" s="1"/>
  <c r="O21" i="49" s="1"/>
  <c r="G139" i="21"/>
  <c r="G132" i="21"/>
  <c r="G131" i="21"/>
  <c r="G130" i="21"/>
  <c r="G123" i="21"/>
  <c r="AL24" i="44" s="1"/>
  <c r="G122" i="21"/>
  <c r="AK24" i="44" s="1"/>
  <c r="AJ21" i="49" s="1"/>
  <c r="G121" i="21"/>
  <c r="AJ24" i="44" s="1"/>
  <c r="G120" i="21"/>
  <c r="AI24" i="44" s="1"/>
  <c r="G119" i="21"/>
  <c r="AH24" i="44" s="1"/>
  <c r="AG21" i="49" s="1"/>
  <c r="G118" i="21"/>
  <c r="AG24" i="44" s="1"/>
  <c r="AF21" i="49" s="1"/>
  <c r="G117" i="21"/>
  <c r="AF24" i="44" s="1"/>
  <c r="G116" i="21"/>
  <c r="G115" i="21"/>
  <c r="G114" i="21"/>
  <c r="G113" i="21"/>
  <c r="G91" i="21"/>
  <c r="AK23" i="1" s="1"/>
  <c r="G90" i="21"/>
  <c r="I90" i="21" s="1"/>
  <c r="G89" i="21"/>
  <c r="G87" i="21"/>
  <c r="AC23" i="1" s="1"/>
  <c r="G86" i="21"/>
  <c r="AB23" i="1" s="1"/>
  <c r="G85" i="21"/>
  <c r="AA23" i="1" s="1"/>
  <c r="G84" i="21"/>
  <c r="G83" i="21"/>
  <c r="G82" i="21"/>
  <c r="G78" i="21"/>
  <c r="AS24" i="44" s="1"/>
  <c r="G77" i="21"/>
  <c r="AR24" i="44" s="1"/>
  <c r="BK21" i="49" s="1"/>
  <c r="G76" i="21"/>
  <c r="AQ24" i="44" s="1"/>
  <c r="G75" i="21"/>
  <c r="AP24" i="44" s="1"/>
  <c r="G74" i="21"/>
  <c r="AO24" i="44" s="1"/>
  <c r="G70" i="21"/>
  <c r="W15" i="45" s="1"/>
  <c r="BB21" i="49" s="1"/>
  <c r="G69" i="21"/>
  <c r="W14" i="45" s="1"/>
  <c r="G67" i="21"/>
  <c r="G66" i="21"/>
  <c r="G65" i="21"/>
  <c r="G63" i="21"/>
  <c r="W8" i="45" s="1"/>
  <c r="G62" i="21"/>
  <c r="G58" i="21"/>
  <c r="Y24" i="44" s="1"/>
  <c r="X21" i="49" s="1"/>
  <c r="G57" i="21"/>
  <c r="G56" i="21"/>
  <c r="G53" i="21"/>
  <c r="G52" i="21"/>
  <c r="G51" i="21"/>
  <c r="G49" i="21"/>
  <c r="AZ23" i="1" s="1"/>
  <c r="G46" i="21"/>
  <c r="G45" i="21"/>
  <c r="G44" i="21"/>
  <c r="G43" i="21"/>
  <c r="G42" i="21"/>
  <c r="G41" i="21"/>
  <c r="G40" i="21"/>
  <c r="G39" i="21"/>
  <c r="G38" i="21"/>
  <c r="G37" i="21"/>
  <c r="G36" i="21"/>
  <c r="E29" i="21"/>
  <c r="G29" i="21" s="1"/>
  <c r="G22" i="21"/>
  <c r="G18" i="21"/>
  <c r="E31" i="21" s="1"/>
  <c r="G31" i="21" s="1"/>
  <c r="K9" i="21"/>
  <c r="M8" i="21"/>
  <c r="G185" i="20"/>
  <c r="G184" i="20"/>
  <c r="G183" i="20"/>
  <c r="G180" i="20"/>
  <c r="V23" i="45" s="1"/>
  <c r="AZ20" i="49" s="1"/>
  <c r="G175" i="20"/>
  <c r="V19" i="45" s="1"/>
  <c r="AW20" i="49" s="1"/>
  <c r="G174" i="20"/>
  <c r="V18" i="45" s="1"/>
  <c r="G173" i="20"/>
  <c r="V17" i="45" s="1"/>
  <c r="AU20" i="49" s="1"/>
  <c r="G165" i="20"/>
  <c r="G163" i="20"/>
  <c r="G161" i="20"/>
  <c r="AA23" i="44" s="1"/>
  <c r="Z20" i="49" s="1"/>
  <c r="G141" i="20"/>
  <c r="Q23" i="44" s="1"/>
  <c r="P20" i="49" s="1"/>
  <c r="G139" i="20"/>
  <c r="O23" i="44" s="1"/>
  <c r="N20" i="49" s="1"/>
  <c r="G133" i="20"/>
  <c r="G132" i="20"/>
  <c r="G131" i="20"/>
  <c r="G130" i="20"/>
  <c r="G129" i="20"/>
  <c r="G123" i="20"/>
  <c r="AL23" i="44" s="1"/>
  <c r="G122" i="20"/>
  <c r="AK23" i="44" s="1"/>
  <c r="AJ20" i="49" s="1"/>
  <c r="G120" i="20"/>
  <c r="AI23" i="44" s="1"/>
  <c r="AH20" i="49" s="1"/>
  <c r="G119" i="20"/>
  <c r="AH23" i="44" s="1"/>
  <c r="G117" i="20"/>
  <c r="G115" i="20"/>
  <c r="G114" i="20"/>
  <c r="G112" i="20"/>
  <c r="G92" i="20"/>
  <c r="AL22" i="1" s="1"/>
  <c r="G91" i="20"/>
  <c r="G90" i="20"/>
  <c r="I90" i="20" s="1"/>
  <c r="G87" i="20"/>
  <c r="G86" i="20"/>
  <c r="AB22" i="1" s="1"/>
  <c r="G84" i="20"/>
  <c r="G83" i="20"/>
  <c r="G82" i="20"/>
  <c r="G78" i="20"/>
  <c r="AS23" i="44" s="1"/>
  <c r="G76" i="20"/>
  <c r="AQ23" i="44" s="1"/>
  <c r="G75" i="20"/>
  <c r="AP23" i="44" s="1"/>
  <c r="G74" i="20"/>
  <c r="G70" i="20"/>
  <c r="V15" i="45" s="1"/>
  <c r="BB20" i="49" s="1"/>
  <c r="G69" i="20"/>
  <c r="V14" i="45" s="1"/>
  <c r="G68" i="20"/>
  <c r="V13" i="45" s="1"/>
  <c r="BC20" i="49" s="1"/>
  <c r="G66" i="20"/>
  <c r="V10" i="45" s="1"/>
  <c r="AP20" i="49" s="1"/>
  <c r="G65" i="20"/>
  <c r="G63" i="20"/>
  <c r="V8" i="45" s="1"/>
  <c r="G62" i="20"/>
  <c r="V7" i="45" s="1"/>
  <c r="AM20" i="49" s="1"/>
  <c r="G57" i="20"/>
  <c r="BG22" i="1" s="1"/>
  <c r="G56" i="20"/>
  <c r="G55" i="20"/>
  <c r="G54" i="20"/>
  <c r="BD22" i="1" s="1"/>
  <c r="G51" i="20"/>
  <c r="G50" i="20"/>
  <c r="L23" i="44" s="1"/>
  <c r="K20" i="49" s="1"/>
  <c r="G49" i="20"/>
  <c r="AZ22" i="1" s="1"/>
  <c r="G46" i="20"/>
  <c r="G45" i="20"/>
  <c r="G44" i="20"/>
  <c r="G42" i="20"/>
  <c r="AV22" i="1" s="1"/>
  <c r="G41" i="20"/>
  <c r="G40" i="20"/>
  <c r="AT22" i="1" s="1"/>
  <c r="G37" i="20"/>
  <c r="G36" i="20"/>
  <c r="M23" i="44" s="1"/>
  <c r="L20" i="49" s="1"/>
  <c r="G35" i="20"/>
  <c r="E29" i="20"/>
  <c r="G29" i="20" s="1"/>
  <c r="G22" i="20"/>
  <c r="G18" i="20"/>
  <c r="E31" i="20" s="1"/>
  <c r="G31" i="20" s="1"/>
  <c r="K9" i="20"/>
  <c r="M8" i="20"/>
  <c r="G185" i="19"/>
  <c r="G184" i="19"/>
  <c r="G180" i="19"/>
  <c r="U23" i="45" s="1"/>
  <c r="AZ19" i="49" s="1"/>
  <c r="G179" i="19"/>
  <c r="U22" i="45" s="1"/>
  <c r="G173" i="19"/>
  <c r="U17" i="45" s="1"/>
  <c r="AU19" i="49" s="1"/>
  <c r="G165" i="19"/>
  <c r="G163" i="19"/>
  <c r="G162" i="19"/>
  <c r="AB22" i="44" s="1"/>
  <c r="AA19" i="49" s="1"/>
  <c r="G161" i="19"/>
  <c r="AA22" i="44" s="1"/>
  <c r="G142" i="19"/>
  <c r="R22" i="44" s="1"/>
  <c r="Q19" i="49" s="1"/>
  <c r="G140" i="19"/>
  <c r="P22" i="44" s="1"/>
  <c r="O19" i="49" s="1"/>
  <c r="G132" i="19"/>
  <c r="G131" i="19"/>
  <c r="G128" i="19"/>
  <c r="G122" i="19"/>
  <c r="AK22" i="44" s="1"/>
  <c r="G121" i="19"/>
  <c r="AJ22" i="44" s="1"/>
  <c r="AI19" i="49" s="1"/>
  <c r="G120" i="19"/>
  <c r="AI22" i="44" s="1"/>
  <c r="G118" i="19"/>
  <c r="AG22" i="44" s="1"/>
  <c r="AF19" i="49" s="1"/>
  <c r="G117" i="19"/>
  <c r="AF22" i="44" s="1"/>
  <c r="G116" i="19"/>
  <c r="AE22" i="44" s="1"/>
  <c r="AD19" i="49" s="1"/>
  <c r="G115" i="19"/>
  <c r="G114" i="19"/>
  <c r="G113" i="19"/>
  <c r="G92" i="19"/>
  <c r="AL21" i="1" s="1"/>
  <c r="G91" i="19"/>
  <c r="G90" i="19"/>
  <c r="I90" i="19" s="1"/>
  <c r="G89" i="19"/>
  <c r="AW22" i="44" s="1"/>
  <c r="G87" i="19"/>
  <c r="AC21" i="1" s="1"/>
  <c r="G86" i="19"/>
  <c r="AB21" i="1" s="1"/>
  <c r="G85" i="19"/>
  <c r="G83" i="19"/>
  <c r="G78" i="19"/>
  <c r="AS22" i="44" s="1"/>
  <c r="G77" i="19"/>
  <c r="AR22" i="44" s="1"/>
  <c r="G75" i="19"/>
  <c r="AP22" i="44" s="1"/>
  <c r="G70" i="19"/>
  <c r="U15" i="45" s="1"/>
  <c r="G68" i="19"/>
  <c r="U13" i="45" s="1"/>
  <c r="BC19" i="49" s="1"/>
  <c r="G66" i="19"/>
  <c r="U10" i="45" s="1"/>
  <c r="AP19" i="49" s="1"/>
  <c r="G65" i="19"/>
  <c r="U9" i="45" s="1"/>
  <c r="G63" i="19"/>
  <c r="U8" i="45" s="1"/>
  <c r="G58" i="19"/>
  <c r="Y22" i="44" s="1"/>
  <c r="X19" i="49" s="1"/>
  <c r="G57" i="19"/>
  <c r="G55" i="19"/>
  <c r="G54" i="19"/>
  <c r="BD21" i="1" s="1"/>
  <c r="G53" i="19"/>
  <c r="G52" i="19"/>
  <c r="G51" i="19"/>
  <c r="G50" i="19"/>
  <c r="L22" i="44" s="1"/>
  <c r="K19" i="49" s="1"/>
  <c r="G46" i="19"/>
  <c r="G45" i="19"/>
  <c r="G44" i="19"/>
  <c r="G43" i="19"/>
  <c r="G41" i="19"/>
  <c r="G40" i="19"/>
  <c r="AT21" i="1" s="1"/>
  <c r="G39" i="19"/>
  <c r="G98" i="19" s="1"/>
  <c r="G37" i="19"/>
  <c r="G36" i="19"/>
  <c r="AY21" i="1" s="1"/>
  <c r="G35" i="19"/>
  <c r="G94" i="19" s="1"/>
  <c r="G18" i="19"/>
  <c r="E31" i="19" s="1"/>
  <c r="G31" i="19" s="1"/>
  <c r="K9" i="19"/>
  <c r="M8" i="19"/>
  <c r="G184" i="18"/>
  <c r="G179" i="18"/>
  <c r="T22" i="45" s="1"/>
  <c r="G178" i="18"/>
  <c r="T21" i="45" s="1"/>
  <c r="AX18" i="49" s="1"/>
  <c r="G175" i="18"/>
  <c r="T19" i="45" s="1"/>
  <c r="AW18" i="49" s="1"/>
  <c r="G164" i="18"/>
  <c r="AD21" i="44" s="1"/>
  <c r="G161" i="18"/>
  <c r="G142" i="18"/>
  <c r="R21" i="44" s="1"/>
  <c r="Q18" i="49" s="1"/>
  <c r="G141" i="18"/>
  <c r="Q21" i="44" s="1"/>
  <c r="P18" i="49" s="1"/>
  <c r="G138" i="18"/>
  <c r="G133" i="18"/>
  <c r="BJ20" i="1" s="1"/>
  <c r="G132" i="18"/>
  <c r="G129" i="18"/>
  <c r="G128" i="18"/>
  <c r="G123" i="18"/>
  <c r="AL21" i="44" s="1"/>
  <c r="G121" i="18"/>
  <c r="AJ21" i="44" s="1"/>
  <c r="G118" i="18"/>
  <c r="AG21" i="44" s="1"/>
  <c r="AF18" i="49" s="1"/>
  <c r="G117" i="18"/>
  <c r="AF21" i="44" s="1"/>
  <c r="G114" i="18"/>
  <c r="G112" i="18"/>
  <c r="G92" i="18"/>
  <c r="AL20" i="1" s="1"/>
  <c r="G91" i="18"/>
  <c r="G90" i="18"/>
  <c r="I90" i="18" s="1"/>
  <c r="G89" i="18"/>
  <c r="AW21" i="44" s="1"/>
  <c r="G88" i="18"/>
  <c r="AV21" i="44" s="1"/>
  <c r="G87" i="18"/>
  <c r="AC20" i="1" s="1"/>
  <c r="G86" i="18"/>
  <c r="AB20" i="1" s="1"/>
  <c r="G84" i="18"/>
  <c r="G83" i="18"/>
  <c r="G78" i="18"/>
  <c r="AS21" i="44" s="1"/>
  <c r="G77" i="18"/>
  <c r="AR21" i="44" s="1"/>
  <c r="G68" i="18"/>
  <c r="T13" i="45" s="1"/>
  <c r="AR18" i="49" s="1"/>
  <c r="G67" i="18"/>
  <c r="G66" i="18"/>
  <c r="G65" i="18"/>
  <c r="G58" i="18"/>
  <c r="G57" i="18"/>
  <c r="G56" i="18"/>
  <c r="G55" i="18"/>
  <c r="BE20" i="1" s="1"/>
  <c r="G54" i="18"/>
  <c r="G53" i="18"/>
  <c r="G52" i="18"/>
  <c r="G51" i="18"/>
  <c r="G50" i="18"/>
  <c r="G46" i="18"/>
  <c r="G45" i="18"/>
  <c r="G44" i="18"/>
  <c r="G43" i="18"/>
  <c r="G41" i="18"/>
  <c r="G40" i="18"/>
  <c r="AT20" i="1" s="1"/>
  <c r="G39" i="18"/>
  <c r="G37" i="18"/>
  <c r="G36" i="18"/>
  <c r="M21" i="44" s="1"/>
  <c r="L18" i="49" s="1"/>
  <c r="G29" i="18"/>
  <c r="G22" i="18"/>
  <c r="G18" i="18"/>
  <c r="K9" i="18"/>
  <c r="M8" i="18"/>
  <c r="G184" i="17"/>
  <c r="G183" i="17"/>
  <c r="G175" i="17"/>
  <c r="S19" i="45" s="1"/>
  <c r="G174" i="17"/>
  <c r="S18" i="45" s="1"/>
  <c r="G173" i="17"/>
  <c r="S17" i="45" s="1"/>
  <c r="G165" i="17"/>
  <c r="G164" i="17"/>
  <c r="G163" i="17"/>
  <c r="AB20" i="44"/>
  <c r="G139" i="17"/>
  <c r="O20" i="44" s="1"/>
  <c r="N17" i="49" s="1"/>
  <c r="G138" i="17"/>
  <c r="G133" i="17"/>
  <c r="G132" i="17"/>
  <c r="G123" i="17"/>
  <c r="AL20" i="44" s="1"/>
  <c r="AK17" i="49" s="1"/>
  <c r="G122" i="17"/>
  <c r="AK20" i="44" s="1"/>
  <c r="G121" i="17"/>
  <c r="AJ20" i="44" s="1"/>
  <c r="AI17" i="49" s="1"/>
  <c r="G120" i="17"/>
  <c r="AI20" i="44" s="1"/>
  <c r="AH17" i="49" s="1"/>
  <c r="G118" i="17"/>
  <c r="AG20" i="44" s="1"/>
  <c r="G117" i="17"/>
  <c r="AF20" i="44" s="1"/>
  <c r="G116" i="17"/>
  <c r="AE20" i="44" s="1"/>
  <c r="AD17" i="49" s="1"/>
  <c r="G115" i="17"/>
  <c r="G113" i="17"/>
  <c r="G112" i="17"/>
  <c r="G90" i="17"/>
  <c r="I90" i="17" s="1"/>
  <c r="G86" i="17"/>
  <c r="AB19" i="1" s="1"/>
  <c r="G85" i="17"/>
  <c r="AA19" i="1" s="1"/>
  <c r="G84" i="17"/>
  <c r="Z19" i="1" s="1"/>
  <c r="G82" i="17"/>
  <c r="G76" i="17"/>
  <c r="AQ20" i="44" s="1"/>
  <c r="BJ17" i="49" s="1"/>
  <c r="G75" i="17"/>
  <c r="G74" i="17"/>
  <c r="G70" i="17"/>
  <c r="S15" i="45" s="1"/>
  <c r="G69" i="17"/>
  <c r="S14" i="45" s="1"/>
  <c r="G66" i="17"/>
  <c r="G65" i="17"/>
  <c r="G58" i="17"/>
  <c r="Y20" i="44" s="1"/>
  <c r="X17" i="49" s="1"/>
  <c r="G57" i="17"/>
  <c r="G56" i="17"/>
  <c r="G54" i="17"/>
  <c r="BD19" i="1" s="1"/>
  <c r="G53" i="17"/>
  <c r="G52" i="17"/>
  <c r="G50" i="17"/>
  <c r="L20" i="44" s="1"/>
  <c r="K17" i="49" s="1"/>
  <c r="G46" i="17"/>
  <c r="G45" i="17"/>
  <c r="G44" i="17"/>
  <c r="G43" i="17"/>
  <c r="G42" i="17"/>
  <c r="G41" i="17"/>
  <c r="G40" i="17"/>
  <c r="AT19" i="1" s="1"/>
  <c r="G39" i="17"/>
  <c r="G38" i="17"/>
  <c r="G37" i="17"/>
  <c r="AQ19" i="1" s="1"/>
  <c r="G36" i="17"/>
  <c r="M20" i="44" s="1"/>
  <c r="L17" i="49" s="1"/>
  <c r="G35" i="17"/>
  <c r="E29" i="17"/>
  <c r="G29" i="17" s="1"/>
  <c r="G22" i="17"/>
  <c r="G18" i="17"/>
  <c r="E31" i="17" s="1"/>
  <c r="G31" i="17" s="1"/>
  <c r="K9" i="17"/>
  <c r="M8" i="17"/>
  <c r="G185" i="16"/>
  <c r="G184" i="16"/>
  <c r="G179" i="16"/>
  <c r="R22" i="45" s="1"/>
  <c r="G178" i="16"/>
  <c r="R21" i="45" s="1"/>
  <c r="G173" i="16"/>
  <c r="R17" i="45" s="1"/>
  <c r="AU16" i="49" s="1"/>
  <c r="G165" i="16"/>
  <c r="G164" i="16"/>
  <c r="G162" i="16"/>
  <c r="AB19" i="44" s="1"/>
  <c r="AA16" i="49" s="1"/>
  <c r="G161" i="16"/>
  <c r="AA19" i="44" s="1"/>
  <c r="G141" i="16"/>
  <c r="Q19" i="44" s="1"/>
  <c r="P16" i="49" s="1"/>
  <c r="G140" i="16"/>
  <c r="P19" i="44" s="1"/>
  <c r="G139" i="16"/>
  <c r="G138" i="16"/>
  <c r="G133" i="16"/>
  <c r="AM19" i="44" s="1"/>
  <c r="G131" i="16"/>
  <c r="G123" i="16"/>
  <c r="AL19" i="44" s="1"/>
  <c r="AK16" i="49" s="1"/>
  <c r="G121" i="16"/>
  <c r="AJ19" i="44" s="1"/>
  <c r="AI16" i="49" s="1"/>
  <c r="G119" i="16"/>
  <c r="AH19" i="44" s="1"/>
  <c r="G116" i="16"/>
  <c r="AE19" i="44" s="1"/>
  <c r="G115" i="16"/>
  <c r="G114" i="16"/>
  <c r="G112" i="16"/>
  <c r="G92" i="16"/>
  <c r="AL18" i="1" s="1"/>
  <c r="G91" i="16"/>
  <c r="G87" i="16"/>
  <c r="AC18" i="1" s="1"/>
  <c r="G85" i="16"/>
  <c r="AA18" i="1" s="1"/>
  <c r="G83" i="16"/>
  <c r="G82" i="16"/>
  <c r="G78" i="16"/>
  <c r="AS19" i="44" s="1"/>
  <c r="G77" i="16"/>
  <c r="AR19" i="44" s="1"/>
  <c r="BK16" i="49" s="1"/>
  <c r="AQ19" i="44"/>
  <c r="BJ16" i="49" s="1"/>
  <c r="G75" i="16"/>
  <c r="AP19" i="44" s="1"/>
  <c r="G74" i="16"/>
  <c r="AO18" i="1" s="1"/>
  <c r="G68" i="16"/>
  <c r="R13" i="45" s="1"/>
  <c r="BC16" i="49" s="1"/>
  <c r="G67" i="16"/>
  <c r="R11" i="45" s="1"/>
  <c r="AQ16" i="49" s="1"/>
  <c r="G66" i="16"/>
  <c r="R10" i="45" s="1"/>
  <c r="G63" i="16"/>
  <c r="R8" i="45" s="1"/>
  <c r="G62" i="16"/>
  <c r="R7" i="45" s="1"/>
  <c r="AM16" i="49" s="1"/>
  <c r="G58" i="16"/>
  <c r="Y19" i="44" s="1"/>
  <c r="X16" i="49" s="1"/>
  <c r="G55" i="16"/>
  <c r="G54" i="16"/>
  <c r="G51" i="16"/>
  <c r="G50" i="16"/>
  <c r="L19" i="44" s="1"/>
  <c r="K16" i="49" s="1"/>
  <c r="G45" i="16"/>
  <c r="G44" i="16"/>
  <c r="G42" i="16"/>
  <c r="G41" i="16"/>
  <c r="G40" i="16"/>
  <c r="G37" i="16"/>
  <c r="G36" i="16"/>
  <c r="AY18" i="1" s="1"/>
  <c r="E29" i="16"/>
  <c r="G29" i="16" s="1"/>
  <c r="G22" i="16"/>
  <c r="G18" i="16"/>
  <c r="E31" i="16" s="1"/>
  <c r="G31" i="16" s="1"/>
  <c r="K9" i="16"/>
  <c r="M8" i="16"/>
  <c r="G184" i="15"/>
  <c r="G183" i="15"/>
  <c r="G180" i="15"/>
  <c r="Q23" i="45" s="1"/>
  <c r="G179" i="15"/>
  <c r="Q22" i="45" s="1"/>
  <c r="AY15" i="49" s="1"/>
  <c r="G174" i="15"/>
  <c r="Q18" i="45" s="1"/>
  <c r="AV15" i="49" s="1"/>
  <c r="Q17" i="45"/>
  <c r="G164" i="15"/>
  <c r="G163" i="15"/>
  <c r="G162" i="15"/>
  <c r="AB18" i="44" s="1"/>
  <c r="AA15" i="49" s="1"/>
  <c r="G161" i="15"/>
  <c r="AA18" i="44" s="1"/>
  <c r="Z15" i="49" s="1"/>
  <c r="G142" i="15"/>
  <c r="R18" i="44" s="1"/>
  <c r="G141" i="15"/>
  <c r="Q18" i="44" s="1"/>
  <c r="G139" i="15"/>
  <c r="O18" i="44" s="1"/>
  <c r="G133" i="15"/>
  <c r="BJ17" i="1" s="1"/>
  <c r="G132" i="15"/>
  <c r="G129" i="15"/>
  <c r="G128" i="15"/>
  <c r="G122" i="15"/>
  <c r="AK18" i="44" s="1"/>
  <c r="AJ15" i="49" s="1"/>
  <c r="G121" i="15"/>
  <c r="AJ18" i="44" s="1"/>
  <c r="AI15" i="49" s="1"/>
  <c r="G120" i="15"/>
  <c r="AI18" i="44" s="1"/>
  <c r="AH15" i="49" s="1"/>
  <c r="G118" i="15"/>
  <c r="AG18" i="44" s="1"/>
  <c r="AF15" i="49" s="1"/>
  <c r="G117" i="15"/>
  <c r="AF18" i="44" s="1"/>
  <c r="AE15" i="49" s="1"/>
  <c r="G116" i="15"/>
  <c r="AE18" i="44" s="1"/>
  <c r="AD15" i="49" s="1"/>
  <c r="G114" i="15"/>
  <c r="G113" i="15"/>
  <c r="G112" i="15"/>
  <c r="G92" i="15"/>
  <c r="AL17" i="1" s="1"/>
  <c r="G91" i="15"/>
  <c r="G89" i="15"/>
  <c r="AW18" i="44" s="1"/>
  <c r="G88" i="15"/>
  <c r="AG17" i="1" s="1"/>
  <c r="G87" i="15"/>
  <c r="G85" i="15"/>
  <c r="AA17" i="1" s="1"/>
  <c r="G84" i="15"/>
  <c r="G83" i="15"/>
  <c r="G78" i="15"/>
  <c r="AS18" i="44" s="1"/>
  <c r="G77" i="15"/>
  <c r="AR18" i="44" s="1"/>
  <c r="G74" i="15"/>
  <c r="Q14" i="45"/>
  <c r="Q13" i="45"/>
  <c r="X17" i="1"/>
  <c r="G63" i="15"/>
  <c r="Q8" i="45" s="1"/>
  <c r="AN15" i="49" s="1"/>
  <c r="G62" i="15"/>
  <c r="Q7" i="45" s="1"/>
  <c r="G58" i="15"/>
  <c r="G57" i="15"/>
  <c r="BG17" i="1" s="1"/>
  <c r="G54" i="15"/>
  <c r="G51" i="15"/>
  <c r="G50" i="15"/>
  <c r="L18" i="44" s="1"/>
  <c r="K15" i="49" s="1"/>
  <c r="G49" i="15"/>
  <c r="AZ17" i="1" s="1"/>
  <c r="G46" i="15"/>
  <c r="G45" i="15"/>
  <c r="G44" i="15"/>
  <c r="AO17" i="1" s="1"/>
  <c r="G43" i="15"/>
  <c r="G42" i="15"/>
  <c r="G41" i="15"/>
  <c r="AU17" i="1" s="1"/>
  <c r="G39" i="15"/>
  <c r="G38" i="15"/>
  <c r="G37" i="15"/>
  <c r="G29" i="15"/>
  <c r="G18" i="15"/>
  <c r="E31" i="15" s="1"/>
  <c r="G31" i="15" s="1"/>
  <c r="K9" i="15"/>
  <c r="M8" i="15"/>
  <c r="G185" i="14"/>
  <c r="G186" i="14" s="1"/>
  <c r="G184" i="14"/>
  <c r="G183" i="14"/>
  <c r="G179" i="14"/>
  <c r="G178" i="14"/>
  <c r="P21" i="45" s="1"/>
  <c r="G175" i="14"/>
  <c r="P19" i="45" s="1"/>
  <c r="G174" i="14"/>
  <c r="P18" i="45" s="1"/>
  <c r="AV14" i="49" s="1"/>
  <c r="G165" i="14"/>
  <c r="G163" i="14"/>
  <c r="G162" i="14"/>
  <c r="AB17" i="44" s="1"/>
  <c r="AA14" i="49" s="1"/>
  <c r="G141" i="14"/>
  <c r="Q17" i="44" s="1"/>
  <c r="P14" i="49" s="1"/>
  <c r="G140" i="14"/>
  <c r="P17" i="44" s="1"/>
  <c r="O14" i="49" s="1"/>
  <c r="G139" i="14"/>
  <c r="O17" i="44" s="1"/>
  <c r="N14" i="49" s="1"/>
  <c r="G133" i="14"/>
  <c r="AM17" i="44" s="1"/>
  <c r="AL14" i="49" s="1"/>
  <c r="G129" i="14"/>
  <c r="G121" i="14"/>
  <c r="AJ17" i="44" s="1"/>
  <c r="G119" i="14"/>
  <c r="AH17" i="44" s="1"/>
  <c r="G117" i="14"/>
  <c r="AF17" i="44" s="1"/>
  <c r="G115" i="14"/>
  <c r="G113" i="14"/>
  <c r="G92" i="14"/>
  <c r="AL16" i="1" s="1"/>
  <c r="G91" i="14"/>
  <c r="AK16" i="1" s="1"/>
  <c r="G90" i="14"/>
  <c r="I90" i="14" s="1"/>
  <c r="G86" i="14"/>
  <c r="AB16" i="1" s="1"/>
  <c r="G84" i="14"/>
  <c r="Z16" i="1" s="1"/>
  <c r="G82" i="14"/>
  <c r="G77" i="14"/>
  <c r="AR17" i="44" s="1"/>
  <c r="G76" i="14"/>
  <c r="AQ17" i="44" s="1"/>
  <c r="BJ14" i="49" s="1"/>
  <c r="G75" i="14"/>
  <c r="AP17" i="44" s="1"/>
  <c r="G74" i="14"/>
  <c r="G69" i="14"/>
  <c r="G65" i="14"/>
  <c r="G63" i="14"/>
  <c r="G62" i="14"/>
  <c r="P7" i="45" s="1"/>
  <c r="G58" i="14"/>
  <c r="G54" i="14"/>
  <c r="G52" i="14"/>
  <c r="G50" i="14"/>
  <c r="G44" i="14"/>
  <c r="G42" i="14"/>
  <c r="AV16" i="1" s="1"/>
  <c r="G40" i="14"/>
  <c r="G37" i="14"/>
  <c r="AQ16" i="1" s="1"/>
  <c r="G36" i="14"/>
  <c r="E29" i="14"/>
  <c r="G29" i="14" s="1"/>
  <c r="G22" i="14"/>
  <c r="G18" i="14"/>
  <c r="E31" i="14" s="1"/>
  <c r="G31" i="14" s="1"/>
  <c r="G10" i="14"/>
  <c r="K9" i="14"/>
  <c r="M8" i="14"/>
  <c r="G185" i="13"/>
  <c r="G184" i="13"/>
  <c r="G180" i="13"/>
  <c r="O23" i="45" s="1"/>
  <c r="AZ13" i="49" s="1"/>
  <c r="G178" i="13"/>
  <c r="O21" i="45" s="1"/>
  <c r="G174" i="13"/>
  <c r="O18" i="45" s="1"/>
  <c r="AV13" i="49" s="1"/>
  <c r="G173" i="13"/>
  <c r="O17" i="45" s="1"/>
  <c r="AU13" i="49" s="1"/>
  <c r="G165" i="13"/>
  <c r="G163" i="13"/>
  <c r="G161" i="13"/>
  <c r="AA16" i="44" s="1"/>
  <c r="Z13" i="49" s="1"/>
  <c r="G142" i="13"/>
  <c r="R16" i="44" s="1"/>
  <c r="Q13" i="49" s="1"/>
  <c r="G141" i="13"/>
  <c r="Q16" i="44" s="1"/>
  <c r="P13" i="49" s="1"/>
  <c r="G139" i="13"/>
  <c r="G138" i="13"/>
  <c r="N16" i="44" s="1"/>
  <c r="G133" i="13"/>
  <c r="G132" i="13"/>
  <c r="G131" i="13"/>
  <c r="G130" i="13"/>
  <c r="G129" i="13"/>
  <c r="G122" i="13"/>
  <c r="AK16" i="44" s="1"/>
  <c r="AJ13" i="49" s="1"/>
  <c r="G121" i="13"/>
  <c r="AJ16" i="44" s="1"/>
  <c r="AI13" i="49" s="1"/>
  <c r="G120" i="13"/>
  <c r="AI16" i="44" s="1"/>
  <c r="AH13" i="49" s="1"/>
  <c r="G118" i="13"/>
  <c r="AG16" i="44" s="1"/>
  <c r="AF13" i="49" s="1"/>
  <c r="G114" i="13"/>
  <c r="G112" i="13"/>
  <c r="G92" i="13"/>
  <c r="G91" i="13"/>
  <c r="AK15" i="1" s="1"/>
  <c r="G87" i="13"/>
  <c r="AC15" i="1" s="1"/>
  <c r="G85" i="13"/>
  <c r="G83" i="13"/>
  <c r="G82" i="13"/>
  <c r="G78" i="13"/>
  <c r="AS16" i="44" s="1"/>
  <c r="G77" i="13"/>
  <c r="AR16" i="44" s="1"/>
  <c r="G75" i="13"/>
  <c r="AP16" i="44" s="1"/>
  <c r="G70" i="13"/>
  <c r="O15" i="45" s="1"/>
  <c r="G66" i="13"/>
  <c r="G62" i="13"/>
  <c r="G58" i="13"/>
  <c r="G56" i="13"/>
  <c r="BF15" i="1" s="1"/>
  <c r="G55" i="13"/>
  <c r="BE15" i="1" s="1"/>
  <c r="G54" i="13"/>
  <c r="G52" i="13"/>
  <c r="G51" i="13"/>
  <c r="G50" i="13"/>
  <c r="G46" i="13"/>
  <c r="G45" i="13"/>
  <c r="G44" i="13"/>
  <c r="G43" i="13"/>
  <c r="G42" i="13"/>
  <c r="G41" i="13"/>
  <c r="G40" i="13"/>
  <c r="G38" i="13"/>
  <c r="G37" i="13"/>
  <c r="G36" i="13"/>
  <c r="E29" i="13"/>
  <c r="G29" i="13" s="1"/>
  <c r="G22" i="13"/>
  <c r="G18" i="13"/>
  <c r="E31" i="13" s="1"/>
  <c r="G31" i="13" s="1"/>
  <c r="G10" i="13"/>
  <c r="K9" i="13"/>
  <c r="M8" i="13"/>
  <c r="G185" i="12"/>
  <c r="G183" i="12"/>
  <c r="G180" i="12"/>
  <c r="N23" i="45" s="1"/>
  <c r="G178" i="12"/>
  <c r="N21" i="45" s="1"/>
  <c r="G174" i="12"/>
  <c r="N18" i="45" s="1"/>
  <c r="AV12" i="49" s="1"/>
  <c r="G173" i="12"/>
  <c r="N17" i="45" s="1"/>
  <c r="AU12" i="49" s="1"/>
  <c r="G165" i="12"/>
  <c r="G162" i="12"/>
  <c r="AB15" i="44" s="1"/>
  <c r="G142" i="12"/>
  <c r="R15" i="44" s="1"/>
  <c r="G140" i="12"/>
  <c r="P15" i="44" s="1"/>
  <c r="O12" i="49" s="1"/>
  <c r="G139" i="12"/>
  <c r="O15" i="44" s="1"/>
  <c r="G133" i="12"/>
  <c r="AM15" i="44" s="1"/>
  <c r="G132" i="12"/>
  <c r="G131" i="12"/>
  <c r="G130" i="12"/>
  <c r="G129" i="12"/>
  <c r="G123" i="12"/>
  <c r="AL15" i="44" s="1"/>
  <c r="AK12" i="49" s="1"/>
  <c r="G122" i="12"/>
  <c r="AK15" i="44" s="1"/>
  <c r="G121" i="12"/>
  <c r="AJ15" i="44" s="1"/>
  <c r="AI12" i="49" s="1"/>
  <c r="G119" i="12"/>
  <c r="AH15" i="44" s="1"/>
  <c r="AG12" i="49" s="1"/>
  <c r="G118" i="12"/>
  <c r="AG15" i="44" s="1"/>
  <c r="G117" i="12"/>
  <c r="AF15" i="44" s="1"/>
  <c r="AE12" i="49" s="1"/>
  <c r="G114" i="12"/>
  <c r="G113" i="12"/>
  <c r="G112" i="12"/>
  <c r="G92" i="12"/>
  <c r="AL14" i="1" s="1"/>
  <c r="G90" i="12"/>
  <c r="I90" i="12" s="1"/>
  <c r="G89" i="12"/>
  <c r="AW15" i="44" s="1"/>
  <c r="G86" i="12"/>
  <c r="AB14" i="1" s="1"/>
  <c r="G85" i="12"/>
  <c r="AA14" i="1" s="1"/>
  <c r="G84" i="12"/>
  <c r="Z14" i="1" s="1"/>
  <c r="G82" i="12"/>
  <c r="G76" i="12"/>
  <c r="AQ15" i="44" s="1"/>
  <c r="BJ12" i="49" s="1"/>
  <c r="G75" i="12"/>
  <c r="AP15" i="44" s="1"/>
  <c r="G69" i="12"/>
  <c r="G68" i="12"/>
  <c r="N13" i="45" s="1"/>
  <c r="G65" i="12"/>
  <c r="N9" i="45" s="1"/>
  <c r="G63" i="12"/>
  <c r="N8" i="45" s="1"/>
  <c r="AN12" i="49" s="1"/>
  <c r="G62" i="12"/>
  <c r="N7" i="45" s="1"/>
  <c r="AM12" i="49" s="1"/>
  <c r="G58" i="12"/>
  <c r="Y15" i="44" s="1"/>
  <c r="X12" i="49" s="1"/>
  <c r="G57" i="12"/>
  <c r="G56" i="12"/>
  <c r="G55" i="12"/>
  <c r="G54" i="12"/>
  <c r="G53" i="12"/>
  <c r="G52" i="12"/>
  <c r="G51" i="12"/>
  <c r="G50" i="12"/>
  <c r="G49" i="12"/>
  <c r="AZ14" i="1" s="1"/>
  <c r="G46" i="12"/>
  <c r="G45" i="12"/>
  <c r="G44" i="12"/>
  <c r="G43" i="12"/>
  <c r="AW14" i="1" s="1"/>
  <c r="G42" i="12"/>
  <c r="G41" i="12"/>
  <c r="G40" i="12"/>
  <c r="G39" i="12"/>
  <c r="G38" i="12"/>
  <c r="G37" i="12"/>
  <c r="G36" i="12"/>
  <c r="M15" i="44" s="1"/>
  <c r="E29" i="12"/>
  <c r="G29" i="12" s="1"/>
  <c r="G22" i="12"/>
  <c r="G18" i="12"/>
  <c r="E31" i="12" s="1"/>
  <c r="G31" i="12" s="1"/>
  <c r="K9" i="12"/>
  <c r="M8" i="12"/>
  <c r="G185" i="11"/>
  <c r="G180" i="11"/>
  <c r="M23" i="45" s="1"/>
  <c r="G179" i="11"/>
  <c r="M22" i="45" s="1"/>
  <c r="G178" i="11"/>
  <c r="M21" i="45" s="1"/>
  <c r="G174" i="11"/>
  <c r="M18" i="45" s="1"/>
  <c r="G173" i="11"/>
  <c r="M17" i="45" s="1"/>
  <c r="G165" i="11"/>
  <c r="G164" i="11"/>
  <c r="G162" i="11"/>
  <c r="AB14" i="44" s="1"/>
  <c r="G161" i="11"/>
  <c r="AA14" i="44" s="1"/>
  <c r="G142" i="11"/>
  <c r="R14" i="44" s="1"/>
  <c r="Q11" i="49" s="1"/>
  <c r="G141" i="11"/>
  <c r="Q14" i="44" s="1"/>
  <c r="G140" i="11"/>
  <c r="P14" i="44" s="1"/>
  <c r="G139" i="11"/>
  <c r="O14" i="44" s="1"/>
  <c r="G133" i="11"/>
  <c r="G132" i="11"/>
  <c r="G131" i="11"/>
  <c r="G130" i="11"/>
  <c r="G129" i="11"/>
  <c r="G123" i="11"/>
  <c r="AL14" i="44" s="1"/>
  <c r="G122" i="11"/>
  <c r="AK14" i="44" s="1"/>
  <c r="G120" i="11"/>
  <c r="AI14" i="44" s="1"/>
  <c r="G119" i="11"/>
  <c r="AH14" i="44" s="1"/>
  <c r="G117" i="11"/>
  <c r="AF14" i="44" s="1"/>
  <c r="G116" i="11"/>
  <c r="AE14" i="44" s="1"/>
  <c r="G115" i="11"/>
  <c r="G114" i="11"/>
  <c r="G112" i="11"/>
  <c r="G92" i="11"/>
  <c r="AL13" i="1" s="1"/>
  <c r="G90" i="11"/>
  <c r="I90" i="11" s="1"/>
  <c r="G89" i="11"/>
  <c r="AW14" i="44" s="1"/>
  <c r="G88" i="11"/>
  <c r="G87" i="11"/>
  <c r="AC13" i="1" s="1"/>
  <c r="G85" i="11"/>
  <c r="AA13" i="1" s="1"/>
  <c r="G84" i="11"/>
  <c r="G82" i="11"/>
  <c r="G78" i="11"/>
  <c r="AS14" i="44" s="1"/>
  <c r="BL11" i="49" s="1"/>
  <c r="G77" i="11"/>
  <c r="AR14" i="44" s="1"/>
  <c r="G76" i="11"/>
  <c r="AQ14" i="44" s="1"/>
  <c r="G75" i="11"/>
  <c r="AP14" i="44" s="1"/>
  <c r="G74" i="11"/>
  <c r="G68" i="11"/>
  <c r="M13" i="45" s="1"/>
  <c r="G67" i="11"/>
  <c r="G66" i="11"/>
  <c r="G63" i="11"/>
  <c r="M8" i="45" s="1"/>
  <c r="G58" i="11"/>
  <c r="G57" i="11"/>
  <c r="G56" i="11"/>
  <c r="G55" i="11"/>
  <c r="G54" i="11"/>
  <c r="G53" i="11"/>
  <c r="G52" i="11"/>
  <c r="G51" i="11"/>
  <c r="G50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E29" i="11"/>
  <c r="G29" i="11"/>
  <c r="G18" i="11"/>
  <c r="E31" i="11" s="1"/>
  <c r="G31" i="11" s="1"/>
  <c r="G10" i="11"/>
  <c r="K9" i="11"/>
  <c r="M8" i="11"/>
  <c r="G183" i="10"/>
  <c r="G180" i="10"/>
  <c r="L23" i="45" s="1"/>
  <c r="AZ10" i="49" s="1"/>
  <c r="G179" i="10"/>
  <c r="L22" i="45" s="1"/>
  <c r="G175" i="10"/>
  <c r="L19" i="45" s="1"/>
  <c r="G174" i="10"/>
  <c r="L18" i="45" s="1"/>
  <c r="AV10" i="49" s="1"/>
  <c r="G165" i="10"/>
  <c r="G163" i="10"/>
  <c r="G161" i="10"/>
  <c r="AA13" i="44" s="1"/>
  <c r="G142" i="10"/>
  <c r="R13" i="44" s="1"/>
  <c r="G141" i="10"/>
  <c r="Q13" i="44" s="1"/>
  <c r="P10" i="49" s="1"/>
  <c r="G140" i="10"/>
  <c r="P13" i="44" s="1"/>
  <c r="G139" i="10"/>
  <c r="G133" i="10"/>
  <c r="AM13" i="44" s="1"/>
  <c r="G132" i="10"/>
  <c r="G131" i="10"/>
  <c r="G129" i="10"/>
  <c r="G123" i="10"/>
  <c r="AL13" i="44" s="1"/>
  <c r="G122" i="10"/>
  <c r="G121" i="10"/>
  <c r="AJ13" i="44" s="1"/>
  <c r="AI10" i="49" s="1"/>
  <c r="G120" i="10"/>
  <c r="AI13" i="44" s="1"/>
  <c r="G119" i="10"/>
  <c r="AH13" i="44" s="1"/>
  <c r="G118" i="10"/>
  <c r="AG13" i="44" s="1"/>
  <c r="AF10" i="49" s="1"/>
  <c r="G117" i="10"/>
  <c r="AF13" i="44" s="1"/>
  <c r="AE10" i="49" s="1"/>
  <c r="G116" i="10"/>
  <c r="AE13" i="44" s="1"/>
  <c r="G115" i="10"/>
  <c r="G114" i="10"/>
  <c r="G113" i="10"/>
  <c r="G112" i="10"/>
  <c r="G91" i="10"/>
  <c r="G90" i="10"/>
  <c r="I90" i="10" s="1"/>
  <c r="G89" i="10"/>
  <c r="G87" i="10"/>
  <c r="AC12" i="1" s="1"/>
  <c r="AB12" i="1"/>
  <c r="G85" i="10"/>
  <c r="AA12" i="1" s="1"/>
  <c r="G83" i="10"/>
  <c r="G82" i="10"/>
  <c r="G77" i="10"/>
  <c r="AR13" i="44" s="1"/>
  <c r="G76" i="10"/>
  <c r="AQ13" i="44" s="1"/>
  <c r="G75" i="10"/>
  <c r="AP13" i="44" s="1"/>
  <c r="G70" i="10"/>
  <c r="L15" i="45" s="1"/>
  <c r="G69" i="10"/>
  <c r="L14" i="45" s="1"/>
  <c r="G68" i="10"/>
  <c r="L13" i="45" s="1"/>
  <c r="G66" i="10"/>
  <c r="G65" i="10"/>
  <c r="L9" i="45" s="1"/>
  <c r="G63" i="10"/>
  <c r="L8" i="45" s="1"/>
  <c r="G62" i="10"/>
  <c r="G58" i="10"/>
  <c r="G57" i="10"/>
  <c r="G56" i="10"/>
  <c r="G55" i="10"/>
  <c r="G54" i="10"/>
  <c r="G53" i="10"/>
  <c r="G52" i="10"/>
  <c r="G51" i="10"/>
  <c r="G50" i="10"/>
  <c r="G49" i="10"/>
  <c r="G46" i="10"/>
  <c r="G45" i="10"/>
  <c r="G44" i="10"/>
  <c r="G43" i="10"/>
  <c r="G42" i="10"/>
  <c r="G41" i="10"/>
  <c r="G40" i="10"/>
  <c r="G39" i="10"/>
  <c r="G38" i="10"/>
  <c r="G37" i="10"/>
  <c r="G104" i="10" s="1"/>
  <c r="G36" i="10"/>
  <c r="G35" i="10"/>
  <c r="E29" i="10"/>
  <c r="G29" i="10" s="1"/>
  <c r="G22" i="10"/>
  <c r="G18" i="10"/>
  <c r="E31" i="10" s="1"/>
  <c r="G31" i="10" s="1"/>
  <c r="G10" i="10"/>
  <c r="K9" i="10"/>
  <c r="M8" i="10"/>
  <c r="G185" i="9"/>
  <c r="G184" i="9"/>
  <c r="G183" i="9"/>
  <c r="G180" i="9"/>
  <c r="K23" i="45" s="1"/>
  <c r="G179" i="9"/>
  <c r="K22" i="45"/>
  <c r="G175" i="9"/>
  <c r="K19" i="45" s="1"/>
  <c r="AW9" i="49" s="1"/>
  <c r="G174" i="9"/>
  <c r="K18" i="45" s="1"/>
  <c r="G173" i="9"/>
  <c r="K17" i="45" s="1"/>
  <c r="AU9" i="49" s="1"/>
  <c r="G165" i="9"/>
  <c r="G163" i="9"/>
  <c r="AD12" i="44" s="1"/>
  <c r="AC9" i="49" s="1"/>
  <c r="G162" i="9"/>
  <c r="AB12" i="44" s="1"/>
  <c r="AA9" i="49" s="1"/>
  <c r="G161" i="9"/>
  <c r="AA12" i="44" s="1"/>
  <c r="G141" i="9"/>
  <c r="Q12" i="44" s="1"/>
  <c r="G140" i="9"/>
  <c r="P12" i="44" s="1"/>
  <c r="O9" i="49" s="1"/>
  <c r="G139" i="9"/>
  <c r="O12" i="44" s="1"/>
  <c r="N9" i="49" s="1"/>
  <c r="G138" i="9"/>
  <c r="G133" i="9"/>
  <c r="AM12" i="44" s="1"/>
  <c r="G132" i="9"/>
  <c r="G131" i="9"/>
  <c r="G130" i="9"/>
  <c r="G129" i="9"/>
  <c r="G128" i="9"/>
  <c r="G123" i="9"/>
  <c r="AL12" i="44" s="1"/>
  <c r="G122" i="9"/>
  <c r="AK12" i="44" s="1"/>
  <c r="G121" i="9"/>
  <c r="AJ12" i="44" s="1"/>
  <c r="G120" i="9"/>
  <c r="AI12" i="44" s="1"/>
  <c r="G119" i="9"/>
  <c r="AH12" i="44" s="1"/>
  <c r="G118" i="9"/>
  <c r="AG12" i="44" s="1"/>
  <c r="G117" i="9"/>
  <c r="AF12" i="44" s="1"/>
  <c r="G116" i="9"/>
  <c r="AE12" i="44"/>
  <c r="AD9" i="49" s="1"/>
  <c r="G115" i="9"/>
  <c r="G114" i="9"/>
  <c r="G113" i="9"/>
  <c r="G112" i="9"/>
  <c r="G91" i="9"/>
  <c r="AK11" i="1" s="1"/>
  <c r="G90" i="9"/>
  <c r="AX12" i="44" s="1"/>
  <c r="G89" i="9"/>
  <c r="G88" i="9"/>
  <c r="I89" i="9" s="1"/>
  <c r="G87" i="9"/>
  <c r="AC11" i="1" s="1"/>
  <c r="G86" i="9"/>
  <c r="AB11" i="1" s="1"/>
  <c r="G85" i="9"/>
  <c r="AA11" i="1" s="1"/>
  <c r="G84" i="9"/>
  <c r="G82" i="9"/>
  <c r="G78" i="9"/>
  <c r="AS12" i="44" s="1"/>
  <c r="BL9" i="49" s="1"/>
  <c r="G77" i="9"/>
  <c r="AR12" i="44" s="1"/>
  <c r="G76" i="9"/>
  <c r="AQ12" i="44" s="1"/>
  <c r="G75" i="9"/>
  <c r="AP12" i="44" s="1"/>
  <c r="G74" i="9"/>
  <c r="G70" i="9"/>
  <c r="K15" i="45" s="1"/>
  <c r="G69" i="9"/>
  <c r="K14" i="45" s="1"/>
  <c r="G68" i="9"/>
  <c r="K13" i="45" s="1"/>
  <c r="G67" i="9"/>
  <c r="G66" i="9"/>
  <c r="K10" i="45" s="1"/>
  <c r="G63" i="9"/>
  <c r="G62" i="9"/>
  <c r="K7" i="45" s="1"/>
  <c r="G58" i="9"/>
  <c r="G57" i="9"/>
  <c r="G56" i="9"/>
  <c r="G55" i="9"/>
  <c r="G54" i="9"/>
  <c r="G53" i="9"/>
  <c r="G52" i="9"/>
  <c r="G100" i="9" s="1"/>
  <c r="G51" i="9"/>
  <c r="G50" i="9"/>
  <c r="G49" i="9"/>
  <c r="G46" i="9"/>
  <c r="G45" i="9"/>
  <c r="G44" i="9"/>
  <c r="G43" i="9"/>
  <c r="G42" i="9"/>
  <c r="G41" i="9"/>
  <c r="G40" i="9"/>
  <c r="G39" i="9"/>
  <c r="G38" i="9"/>
  <c r="G37" i="9"/>
  <c r="G36" i="9"/>
  <c r="G102" i="9" s="1"/>
  <c r="G35" i="9"/>
  <c r="E29" i="9"/>
  <c r="G29" i="9" s="1"/>
  <c r="G22" i="9"/>
  <c r="G18" i="9"/>
  <c r="G10" i="9"/>
  <c r="K9" i="9"/>
  <c r="M8" i="9"/>
  <c r="AB23" i="45"/>
  <c r="E31" i="18"/>
  <c r="G31" i="18" s="1"/>
  <c r="G10" i="17"/>
  <c r="E10" i="18"/>
  <c r="G10" i="18" s="1"/>
  <c r="E31" i="40"/>
  <c r="G31" i="40" s="1"/>
  <c r="I89" i="30"/>
  <c r="I92" i="11"/>
  <c r="Z20" i="1"/>
  <c r="Z17" i="1"/>
  <c r="AK34" i="1"/>
  <c r="I92" i="31"/>
  <c r="Z23" i="1"/>
  <c r="Z34" i="1"/>
  <c r="Z22" i="1"/>
  <c r="AL31" i="1"/>
  <c r="Z32" i="1"/>
  <c r="AA21" i="1"/>
  <c r="Z31" i="1"/>
  <c r="Z29" i="1"/>
  <c r="I89" i="31"/>
  <c r="L18" i="1"/>
  <c r="G15" i="18"/>
  <c r="E28" i="18" s="1"/>
  <c r="G28" i="18" s="1"/>
  <c r="AO18" i="44"/>
  <c r="AD13" i="45"/>
  <c r="AD15" i="45"/>
  <c r="BB28" i="49" s="1"/>
  <c r="G13" i="3"/>
  <c r="E19" i="7"/>
  <c r="E15" i="8"/>
  <c r="E9" i="8"/>
  <c r="AD26" i="44"/>
  <c r="AD35" i="44"/>
  <c r="N25" i="44"/>
  <c r="N26" i="44"/>
  <c r="M23" i="49" s="1"/>
  <c r="N32" i="44"/>
  <c r="M29" i="49" s="1"/>
  <c r="N29" i="44"/>
  <c r="N14" i="44"/>
  <c r="N35" i="44"/>
  <c r="N30" i="44"/>
  <c r="M27" i="49" s="1"/>
  <c r="N19" i="44"/>
  <c r="N33" i="44"/>
  <c r="G100" i="12"/>
  <c r="L7" i="45"/>
  <c r="W7" i="45"/>
  <c r="G102" i="30"/>
  <c r="G98" i="25"/>
  <c r="W13" i="1"/>
  <c r="M10" i="45"/>
  <c r="AB10" i="45"/>
  <c r="AP26" i="49" s="1"/>
  <c r="V16" i="1"/>
  <c r="P9" i="45"/>
  <c r="Q11" i="45"/>
  <c r="AQ15" i="49" s="1"/>
  <c r="V20" i="1"/>
  <c r="T9" i="45"/>
  <c r="X21" i="1"/>
  <c r="U11" i="45"/>
  <c r="V27" i="1"/>
  <c r="V31" i="1"/>
  <c r="AE9" i="45"/>
  <c r="W12" i="1"/>
  <c r="L10" i="45"/>
  <c r="G100" i="11"/>
  <c r="W27" i="1"/>
  <c r="AA10" i="45"/>
  <c r="AE10" i="45"/>
  <c r="AP29" i="49" s="1"/>
  <c r="X16" i="1"/>
  <c r="P11" i="45"/>
  <c r="V19" i="1"/>
  <c r="S9" i="45"/>
  <c r="AO17" i="49" s="1"/>
  <c r="X20" i="1"/>
  <c r="T11" i="45"/>
  <c r="X27" i="1"/>
  <c r="AA11" i="45"/>
  <c r="V30" i="1"/>
  <c r="AD9" i="45"/>
  <c r="V34" i="1"/>
  <c r="W11" i="1"/>
  <c r="W15" i="1"/>
  <c r="O10" i="45"/>
  <c r="AP13" i="49" s="1"/>
  <c r="W30" i="1"/>
  <c r="AD10" i="45"/>
  <c r="W34" i="1"/>
  <c r="AH10" i="45"/>
  <c r="X11" i="1"/>
  <c r="K11" i="45"/>
  <c r="V22" i="1"/>
  <c r="V9" i="45"/>
  <c r="X23" i="1"/>
  <c r="W11" i="45"/>
  <c r="Z9" i="45"/>
  <c r="AO24" i="49" s="1"/>
  <c r="X34" i="1"/>
  <c r="AH11" i="45"/>
  <c r="W18" i="1"/>
  <c r="Z10" i="45"/>
  <c r="AP24" i="49" s="1"/>
  <c r="W29" i="1"/>
  <c r="AC10" i="45"/>
  <c r="W33" i="1"/>
  <c r="X14" i="1"/>
  <c r="N11" i="45"/>
  <c r="AQ12" i="49" s="1"/>
  <c r="V21" i="1"/>
  <c r="V28" i="1"/>
  <c r="AB9" i="45"/>
  <c r="V32" i="1"/>
  <c r="AF9" i="45"/>
  <c r="AO30" i="49" s="1"/>
  <c r="X33" i="1"/>
  <c r="BJ34" i="1"/>
  <c r="AO34" i="1"/>
  <c r="AO35" i="44"/>
  <c r="AH34" i="1"/>
  <c r="AW35" i="44"/>
  <c r="AG34" i="1"/>
  <c r="AV35" i="44"/>
  <c r="AL34" i="1"/>
  <c r="AV34" i="44"/>
  <c r="AI33" i="1"/>
  <c r="AX34" i="44"/>
  <c r="BJ33" i="1"/>
  <c r="AM34" i="44"/>
  <c r="AM33" i="44"/>
  <c r="AL30" i="49" s="1"/>
  <c r="AO32" i="1"/>
  <c r="AO33" i="44"/>
  <c r="AH32" i="1"/>
  <c r="AW33" i="44"/>
  <c r="AG32" i="1"/>
  <c r="AV33" i="44"/>
  <c r="AO31" i="1"/>
  <c r="AH31" i="1"/>
  <c r="AG31" i="1"/>
  <c r="AU32" i="44"/>
  <c r="AX31" i="44"/>
  <c r="BJ30" i="1"/>
  <c r="AM31" i="44"/>
  <c r="AH30" i="1"/>
  <c r="AV31" i="44"/>
  <c r="AO29" i="1"/>
  <c r="AH29" i="1"/>
  <c r="AG29" i="1"/>
  <c r="AI29" i="1"/>
  <c r="AK28" i="1"/>
  <c r="AI28" i="1"/>
  <c r="AX29" i="44"/>
  <c r="AO28" i="1"/>
  <c r="AO29" i="44"/>
  <c r="AG28" i="1"/>
  <c r="AH27" i="1"/>
  <c r="AW28" i="44"/>
  <c r="AV28" i="44"/>
  <c r="AX28" i="44"/>
  <c r="AH26" i="1"/>
  <c r="AW27" i="44"/>
  <c r="BJ26" i="1"/>
  <c r="AM27" i="44"/>
  <c r="AO25" i="1"/>
  <c r="AH25" i="1"/>
  <c r="AW26" i="44"/>
  <c r="AH24" i="1"/>
  <c r="AW25" i="44"/>
  <c r="AM25" i="44"/>
  <c r="AO23" i="1"/>
  <c r="AH23" i="1"/>
  <c r="AW24" i="44"/>
  <c r="AI23" i="1"/>
  <c r="AK21" i="1"/>
  <c r="AN21" i="1" s="1"/>
  <c r="AI21" i="1"/>
  <c r="AX22" i="44"/>
  <c r="AO21" i="1"/>
  <c r="AO22" i="44"/>
  <c r="BH19" i="49" s="1"/>
  <c r="AK22" i="1"/>
  <c r="AI22" i="1"/>
  <c r="AX23" i="44"/>
  <c r="AI20" i="1"/>
  <c r="AX21" i="44"/>
  <c r="AM21" i="44"/>
  <c r="AA21" i="44"/>
  <c r="Z18" i="49" s="1"/>
  <c r="AK20" i="1"/>
  <c r="BJ19" i="1"/>
  <c r="AM20" i="44"/>
  <c r="AO19" i="1"/>
  <c r="AO20" i="44"/>
  <c r="BH17" i="49" s="1"/>
  <c r="AH19" i="1"/>
  <c r="AW20" i="44"/>
  <c r="AO19" i="44"/>
  <c r="AK18" i="1"/>
  <c r="AV18" i="44"/>
  <c r="AI16" i="1"/>
  <c r="AX17" i="44"/>
  <c r="AO16" i="1"/>
  <c r="AO17" i="44"/>
  <c r="AG14" i="1"/>
  <c r="AV15" i="44"/>
  <c r="AI14" i="1"/>
  <c r="AO14" i="1"/>
  <c r="AO15" i="44"/>
  <c r="AK13" i="1"/>
  <c r="AU14" i="44"/>
  <c r="AV14" i="44"/>
  <c r="AO13" i="1"/>
  <c r="AO14" i="44"/>
  <c r="AH13" i="1"/>
  <c r="AH12" i="1"/>
  <c r="AW13" i="44"/>
  <c r="AH11" i="1"/>
  <c r="AW12" i="44"/>
  <c r="G100" i="23"/>
  <c r="H151" i="4"/>
  <c r="J151" i="3"/>
  <c r="BJ13" i="1"/>
  <c r="BJ12" i="1"/>
  <c r="G102" i="27"/>
  <c r="G186" i="22"/>
  <c r="G104" i="31"/>
  <c r="G186" i="31"/>
  <c r="G102" i="31"/>
  <c r="G31" i="31"/>
  <c r="G100" i="31"/>
  <c r="G100" i="30"/>
  <c r="G64" i="31"/>
  <c r="G96" i="31"/>
  <c r="G176" i="14"/>
  <c r="G176" i="28"/>
  <c r="G104" i="43"/>
  <c r="G102" i="14"/>
  <c r="G100" i="17"/>
  <c r="G102" i="24"/>
  <c r="G100" i="24"/>
  <c r="G71" i="28"/>
  <c r="G98" i="28"/>
  <c r="G98" i="27"/>
  <c r="G94" i="40"/>
  <c r="G98" i="40"/>
  <c r="G98" i="22"/>
  <c r="G64" i="21"/>
  <c r="G64" i="20"/>
  <c r="G64" i="19"/>
  <c r="G64" i="15"/>
  <c r="G98" i="15"/>
  <c r="E28" i="15"/>
  <c r="G28" i="15" s="1"/>
  <c r="G181" i="12"/>
  <c r="G189" i="12" s="1"/>
  <c r="G98" i="11"/>
  <c r="G64" i="10"/>
  <c r="G102" i="10"/>
  <c r="G98" i="9"/>
  <c r="G104" i="9"/>
  <c r="E31" i="9"/>
  <c r="G31" i="9" s="1"/>
  <c r="G185" i="8"/>
  <c r="G184" i="8"/>
  <c r="G180" i="8"/>
  <c r="J23" i="45" s="1"/>
  <c r="G179" i="8"/>
  <c r="J22" i="45" s="1"/>
  <c r="G178" i="8"/>
  <c r="J21" i="45" s="1"/>
  <c r="G175" i="8"/>
  <c r="J19" i="45" s="1"/>
  <c r="G174" i="8"/>
  <c r="J18" i="45" s="1"/>
  <c r="AV8" i="49" s="1"/>
  <c r="G173" i="8"/>
  <c r="J17" i="45" s="1"/>
  <c r="G165" i="8"/>
  <c r="G164" i="8"/>
  <c r="G162" i="8"/>
  <c r="AB11" i="44" s="1"/>
  <c r="AA8" i="49" s="1"/>
  <c r="G161" i="8"/>
  <c r="AA11" i="44" s="1"/>
  <c r="G142" i="8"/>
  <c r="R11" i="44" s="1"/>
  <c r="G141" i="8"/>
  <c r="Q11" i="44" s="1"/>
  <c r="G140" i="8"/>
  <c r="P11" i="44" s="1"/>
  <c r="O8" i="49" s="1"/>
  <c r="G139" i="8"/>
  <c r="O11" i="44" s="1"/>
  <c r="G138" i="8"/>
  <c r="G132" i="8"/>
  <c r="G131" i="8"/>
  <c r="G130" i="8"/>
  <c r="G128" i="8"/>
  <c r="G123" i="8"/>
  <c r="AL11" i="44" s="1"/>
  <c r="G122" i="8"/>
  <c r="AK11" i="44" s="1"/>
  <c r="AJ8" i="49" s="1"/>
  <c r="G120" i="8"/>
  <c r="AI11" i="44" s="1"/>
  <c r="AH8" i="49" s="1"/>
  <c r="G119" i="8"/>
  <c r="AH11" i="44" s="1"/>
  <c r="G118" i="8"/>
  <c r="AG11" i="44" s="1"/>
  <c r="G117" i="8"/>
  <c r="AF11" i="44" s="1"/>
  <c r="G116" i="8"/>
  <c r="AE11" i="44" s="1"/>
  <c r="G115" i="8"/>
  <c r="G114" i="8"/>
  <c r="G113" i="8"/>
  <c r="G112" i="8"/>
  <c r="G92" i="8"/>
  <c r="AL10" i="1" s="1"/>
  <c r="G91" i="8"/>
  <c r="G90" i="8"/>
  <c r="G89" i="8"/>
  <c r="I89" i="8" s="1"/>
  <c r="G88" i="8"/>
  <c r="G87" i="8"/>
  <c r="AC10" i="1" s="1"/>
  <c r="G86" i="8"/>
  <c r="AB10" i="1" s="1"/>
  <c r="G85" i="8"/>
  <c r="G84" i="8"/>
  <c r="Z10" i="1" s="1"/>
  <c r="G83" i="8"/>
  <c r="G78" i="8"/>
  <c r="AS11" i="44" s="1"/>
  <c r="G77" i="8"/>
  <c r="AR11" i="44" s="1"/>
  <c r="BK8" i="49" s="1"/>
  <c r="G76" i="8"/>
  <c r="G75" i="8"/>
  <c r="AP11" i="44" s="1"/>
  <c r="BI8" i="49" s="1"/>
  <c r="G74" i="8"/>
  <c r="G70" i="8"/>
  <c r="J15" i="45" s="1"/>
  <c r="G68" i="8"/>
  <c r="J13" i="45" s="1"/>
  <c r="G67" i="8"/>
  <c r="G66" i="8"/>
  <c r="G63" i="8"/>
  <c r="J8" i="45" s="1"/>
  <c r="AN8" i="49" s="1"/>
  <c r="G62" i="8"/>
  <c r="J7" i="45" s="1"/>
  <c r="AM8" i="49" s="1"/>
  <c r="G57" i="8"/>
  <c r="G56" i="8"/>
  <c r="G55" i="8"/>
  <c r="G53" i="8"/>
  <c r="G52" i="8"/>
  <c r="G51" i="8"/>
  <c r="G49" i="8"/>
  <c r="G46" i="8"/>
  <c r="G45" i="8"/>
  <c r="G43" i="8"/>
  <c r="G42" i="8"/>
  <c r="G41" i="8"/>
  <c r="G39" i="8"/>
  <c r="G38" i="8"/>
  <c r="G37" i="8"/>
  <c r="G35" i="8"/>
  <c r="E29" i="8"/>
  <c r="G29" i="8" s="1"/>
  <c r="G22" i="8"/>
  <c r="G18" i="8"/>
  <c r="E31" i="8" s="1"/>
  <c r="G31" i="8" s="1"/>
  <c r="G10" i="8"/>
  <c r="K9" i="8"/>
  <c r="M8" i="8"/>
  <c r="G184" i="7"/>
  <c r="G183" i="7"/>
  <c r="G180" i="7"/>
  <c r="I23" i="45" s="1"/>
  <c r="G179" i="7"/>
  <c r="I22" i="45" s="1"/>
  <c r="G178" i="7"/>
  <c r="I21" i="45" s="1"/>
  <c r="G175" i="7"/>
  <c r="G174" i="7"/>
  <c r="I18" i="45" s="1"/>
  <c r="G164" i="7"/>
  <c r="G163" i="7"/>
  <c r="G162" i="7"/>
  <c r="AB10" i="44" s="1"/>
  <c r="G142" i="7"/>
  <c r="R10" i="44" s="1"/>
  <c r="G141" i="7"/>
  <c r="G140" i="7"/>
  <c r="P10" i="44" s="1"/>
  <c r="O7" i="49" s="1"/>
  <c r="G138" i="7"/>
  <c r="N10" i="44" s="1"/>
  <c r="M7" i="49" s="1"/>
  <c r="G133" i="7"/>
  <c r="G132" i="7"/>
  <c r="G130" i="7"/>
  <c r="G129" i="7"/>
  <c r="G128" i="7"/>
  <c r="G123" i="7"/>
  <c r="AL10" i="44" s="1"/>
  <c r="G122" i="7"/>
  <c r="AK10" i="44" s="1"/>
  <c r="G121" i="7"/>
  <c r="AJ10" i="44"/>
  <c r="G120" i="7"/>
  <c r="AI10" i="44" s="1"/>
  <c r="G119" i="7"/>
  <c r="AH10" i="44" s="1"/>
  <c r="G118" i="7"/>
  <c r="AG10" i="44" s="1"/>
  <c r="G117" i="7"/>
  <c r="AF10" i="44" s="1"/>
  <c r="AE7" i="49" s="1"/>
  <c r="G116" i="7"/>
  <c r="AE10" i="44" s="1"/>
  <c r="G115" i="7"/>
  <c r="G114" i="7"/>
  <c r="G113" i="7"/>
  <c r="G112" i="7"/>
  <c r="G92" i="7"/>
  <c r="AL9" i="1" s="1"/>
  <c r="G91" i="7"/>
  <c r="I92" i="7" s="1"/>
  <c r="G90" i="7"/>
  <c r="I90" i="7" s="1"/>
  <c r="G88" i="7"/>
  <c r="G87" i="7"/>
  <c r="AC9" i="1" s="1"/>
  <c r="G86" i="7"/>
  <c r="G84" i="7"/>
  <c r="G83" i="7"/>
  <c r="G82" i="7"/>
  <c r="G77" i="7"/>
  <c r="AR10" i="44" s="1"/>
  <c r="G76" i="7"/>
  <c r="AQ10" i="44" s="1"/>
  <c r="BJ7" i="49" s="1"/>
  <c r="G75" i="7"/>
  <c r="G74" i="7"/>
  <c r="G70" i="7"/>
  <c r="I15" i="45" s="1"/>
  <c r="G69" i="7"/>
  <c r="I14" i="45" s="1"/>
  <c r="G68" i="7"/>
  <c r="I13" i="45" s="1"/>
  <c r="G67" i="7"/>
  <c r="G71" i="7" s="1"/>
  <c r="L9" i="35" s="1"/>
  <c r="G66" i="7"/>
  <c r="W9" i="1" s="1"/>
  <c r="G65" i="7"/>
  <c r="G63" i="7"/>
  <c r="I8" i="45" s="1"/>
  <c r="G62" i="7"/>
  <c r="I7" i="45" s="1"/>
  <c r="G58" i="7"/>
  <c r="G57" i="7"/>
  <c r="G56" i="7"/>
  <c r="G55" i="7"/>
  <c r="G54" i="7"/>
  <c r="G53" i="7"/>
  <c r="G52" i="7"/>
  <c r="G51" i="7"/>
  <c r="G50" i="7"/>
  <c r="G49" i="7"/>
  <c r="G46" i="7"/>
  <c r="G45" i="7"/>
  <c r="G43" i="7"/>
  <c r="G42" i="7"/>
  <c r="G41" i="7"/>
  <c r="G39" i="7"/>
  <c r="G38" i="7"/>
  <c r="G37" i="7"/>
  <c r="G104" i="7" s="1"/>
  <c r="G105" i="7" s="1"/>
  <c r="G35" i="7"/>
  <c r="E29" i="7"/>
  <c r="G29" i="7" s="1"/>
  <c r="G22" i="7"/>
  <c r="E31" i="7"/>
  <c r="G31" i="7" s="1"/>
  <c r="G15" i="7"/>
  <c r="K9" i="7"/>
  <c r="M8" i="7"/>
  <c r="G185" i="33"/>
  <c r="G184" i="33"/>
  <c r="G180" i="33"/>
  <c r="H23" i="45" s="1"/>
  <c r="AZ6" i="49" s="1"/>
  <c r="G178" i="33"/>
  <c r="H21" i="45" s="1"/>
  <c r="G174" i="33"/>
  <c r="G173" i="33"/>
  <c r="H17" i="45" s="1"/>
  <c r="G165" i="33"/>
  <c r="G164" i="33"/>
  <c r="G162" i="33"/>
  <c r="AB9" i="44" s="1"/>
  <c r="G161" i="33"/>
  <c r="AA9" i="44" s="1"/>
  <c r="G142" i="33"/>
  <c r="G141" i="33"/>
  <c r="Q9" i="44" s="1"/>
  <c r="P6" i="49" s="1"/>
  <c r="G140" i="33"/>
  <c r="P9" i="44" s="1"/>
  <c r="G139" i="33"/>
  <c r="O9" i="44" s="1"/>
  <c r="G138" i="33"/>
  <c r="G133" i="33"/>
  <c r="G132" i="33"/>
  <c r="G131" i="33"/>
  <c r="G130" i="33"/>
  <c r="G129" i="33"/>
  <c r="G123" i="33"/>
  <c r="AL9" i="44" s="1"/>
  <c r="G122" i="33"/>
  <c r="AK9" i="44" s="1"/>
  <c r="G121" i="33"/>
  <c r="AJ9" i="44" s="1"/>
  <c r="G120" i="33"/>
  <c r="AI9" i="44" s="1"/>
  <c r="G118" i="33"/>
  <c r="AG9" i="44" s="1"/>
  <c r="G117" i="33"/>
  <c r="G116" i="33"/>
  <c r="AE9" i="44" s="1"/>
  <c r="AD6" i="49" s="1"/>
  <c r="G114" i="33"/>
  <c r="G113" i="33"/>
  <c r="G92" i="33"/>
  <c r="AL8" i="1" s="1"/>
  <c r="G91" i="33"/>
  <c r="G90" i="33"/>
  <c r="I90" i="33" s="1"/>
  <c r="G89" i="33"/>
  <c r="G87" i="33"/>
  <c r="AC8" i="1" s="1"/>
  <c r="G86" i="33"/>
  <c r="AB8" i="1" s="1"/>
  <c r="G85" i="33"/>
  <c r="AA8" i="1" s="1"/>
  <c r="G84" i="33"/>
  <c r="G82" i="33"/>
  <c r="G78" i="33"/>
  <c r="G77" i="33"/>
  <c r="AR9" i="44" s="1"/>
  <c r="G75" i="33"/>
  <c r="AP9" i="44" s="1"/>
  <c r="G74" i="33"/>
  <c r="AO8" i="1" s="1"/>
  <c r="G70" i="33"/>
  <c r="H15" i="45" s="1"/>
  <c r="G68" i="33"/>
  <c r="H13" i="45" s="1"/>
  <c r="G67" i="33"/>
  <c r="H11" i="45" s="1"/>
  <c r="G66" i="33"/>
  <c r="G63" i="33"/>
  <c r="H8" i="45" s="1"/>
  <c r="AN6" i="49" s="1"/>
  <c r="H7" i="45"/>
  <c r="G57" i="33"/>
  <c r="G56" i="33"/>
  <c r="G55" i="33"/>
  <c r="G53" i="33"/>
  <c r="G52" i="33"/>
  <c r="G51" i="33"/>
  <c r="G49" i="33"/>
  <c r="G46" i="33"/>
  <c r="G45" i="33"/>
  <c r="G44" i="33"/>
  <c r="G42" i="33"/>
  <c r="G41" i="33"/>
  <c r="G40" i="33"/>
  <c r="G38" i="33"/>
  <c r="G37" i="33"/>
  <c r="G36" i="33"/>
  <c r="E29" i="33"/>
  <c r="G29" i="33" s="1"/>
  <c r="G22" i="33"/>
  <c r="G18" i="33"/>
  <c r="E31" i="33" s="1"/>
  <c r="G31" i="33" s="1"/>
  <c r="G15" i="33"/>
  <c r="G10" i="33"/>
  <c r="K9" i="33"/>
  <c r="M8" i="33"/>
  <c r="G8" i="33"/>
  <c r="E27" i="33" s="1"/>
  <c r="G27" i="33" s="1"/>
  <c r="G7" i="33"/>
  <c r="G185" i="5"/>
  <c r="G183" i="5"/>
  <c r="G180" i="5"/>
  <c r="G23" i="45" s="1"/>
  <c r="G179" i="5"/>
  <c r="G22" i="45" s="1"/>
  <c r="AY5" i="49" s="1"/>
  <c r="G175" i="5"/>
  <c r="G19" i="45" s="1"/>
  <c r="AW5" i="49" s="1"/>
  <c r="G174" i="5"/>
  <c r="G18" i="45" s="1"/>
  <c r="G173" i="5"/>
  <c r="G17" i="45" s="1"/>
  <c r="AU5" i="49" s="1"/>
  <c r="G164" i="5"/>
  <c r="G163" i="5"/>
  <c r="G162" i="5"/>
  <c r="AB8" i="44" s="1"/>
  <c r="G161" i="5"/>
  <c r="AA8" i="44" s="1"/>
  <c r="Z5" i="49" s="1"/>
  <c r="G142" i="5"/>
  <c r="R8" i="44" s="1"/>
  <c r="Q5" i="49" s="1"/>
  <c r="G141" i="5"/>
  <c r="Q8" i="44" s="1"/>
  <c r="G140" i="5"/>
  <c r="P8" i="44" s="1"/>
  <c r="G133" i="5"/>
  <c r="AM8" i="44" s="1"/>
  <c r="G132" i="5"/>
  <c r="G131" i="5"/>
  <c r="G129" i="5"/>
  <c r="G128" i="5"/>
  <c r="G123" i="5"/>
  <c r="AL8" i="44" s="1"/>
  <c r="AK5" i="49" s="1"/>
  <c r="G122" i="5"/>
  <c r="AK8" i="44" s="1"/>
  <c r="G121" i="5"/>
  <c r="AJ8" i="44" s="1"/>
  <c r="G120" i="5"/>
  <c r="AI8" i="44" s="1"/>
  <c r="G119" i="5"/>
  <c r="AH8" i="44" s="1"/>
  <c r="AG5" i="49" s="1"/>
  <c r="G118" i="5"/>
  <c r="AG8" i="44" s="1"/>
  <c r="G117" i="5"/>
  <c r="AF8" i="44" s="1"/>
  <c r="G116" i="5"/>
  <c r="AE8" i="44" s="1"/>
  <c r="G115" i="5"/>
  <c r="G114" i="5"/>
  <c r="G113" i="5"/>
  <c r="G91" i="5"/>
  <c r="G90" i="5"/>
  <c r="I90" i="5"/>
  <c r="G89" i="5"/>
  <c r="G87" i="5"/>
  <c r="AC7" i="1" s="1"/>
  <c r="G86" i="5"/>
  <c r="AB7" i="1" s="1"/>
  <c r="G85" i="5"/>
  <c r="AA7" i="1" s="1"/>
  <c r="G83" i="5"/>
  <c r="G82" i="5"/>
  <c r="G78" i="5"/>
  <c r="AS8" i="44" s="1"/>
  <c r="G76" i="5"/>
  <c r="AQ8" i="44" s="1"/>
  <c r="G75" i="5"/>
  <c r="AP8" i="44" s="1"/>
  <c r="G69" i="5"/>
  <c r="G68" i="5"/>
  <c r="G13" i="45" s="1"/>
  <c r="G67" i="5"/>
  <c r="G66" i="5"/>
  <c r="G63" i="5"/>
  <c r="G8" i="45" s="1"/>
  <c r="G62" i="5"/>
  <c r="G58" i="5"/>
  <c r="G57" i="5"/>
  <c r="G56" i="5"/>
  <c r="G55" i="5"/>
  <c r="G54" i="5"/>
  <c r="G53" i="5"/>
  <c r="G52" i="5"/>
  <c r="G51" i="5"/>
  <c r="G50" i="5"/>
  <c r="G46" i="5"/>
  <c r="G45" i="5"/>
  <c r="G44" i="5"/>
  <c r="G43" i="5"/>
  <c r="G42" i="5"/>
  <c r="G41" i="5"/>
  <c r="G96" i="5" s="1"/>
  <c r="G40" i="5"/>
  <c r="G39" i="5"/>
  <c r="G38" i="5"/>
  <c r="G37" i="5"/>
  <c r="G36" i="5"/>
  <c r="E29" i="5"/>
  <c r="G29" i="5"/>
  <c r="G22" i="5"/>
  <c r="G19" i="5"/>
  <c r="G18" i="5"/>
  <c r="E31" i="5" s="1"/>
  <c r="G31" i="5" s="1"/>
  <c r="G15" i="5"/>
  <c r="E28" i="5" s="1"/>
  <c r="G28" i="5" s="1"/>
  <c r="G10" i="5"/>
  <c r="K9" i="5"/>
  <c r="G9" i="5"/>
  <c r="M8" i="5"/>
  <c r="G8" i="5"/>
  <c r="G184" i="4"/>
  <c r="G183" i="4"/>
  <c r="F21" i="45"/>
  <c r="G175" i="4"/>
  <c r="F19" i="45" s="1"/>
  <c r="G174" i="4"/>
  <c r="G164" i="4"/>
  <c r="G163" i="4"/>
  <c r="G162" i="4"/>
  <c r="AB7" i="44" s="1"/>
  <c r="G142" i="4"/>
  <c r="R7" i="44" s="1"/>
  <c r="G141" i="4"/>
  <c r="Q7" i="44" s="1"/>
  <c r="G140" i="4"/>
  <c r="P7" i="44" s="1"/>
  <c r="O4" i="49" s="1"/>
  <c r="G139" i="4"/>
  <c r="G138" i="4"/>
  <c r="N7" i="44" s="1"/>
  <c r="G133" i="4"/>
  <c r="G132" i="4"/>
  <c r="G131" i="4"/>
  <c r="G129" i="4"/>
  <c r="G123" i="4"/>
  <c r="AL7" i="44" s="1"/>
  <c r="G122" i="4"/>
  <c r="AK7" i="44" s="1"/>
  <c r="AJ4" i="49" s="1"/>
  <c r="G121" i="4"/>
  <c r="AJ7" i="44" s="1"/>
  <c r="G120" i="4"/>
  <c r="AI7" i="44" s="1"/>
  <c r="AH4" i="49" s="1"/>
  <c r="G119" i="4"/>
  <c r="AH7" i="44" s="1"/>
  <c r="G117" i="4"/>
  <c r="AF7" i="44" s="1"/>
  <c r="G116" i="4"/>
  <c r="AE7" i="44" s="1"/>
  <c r="G115" i="4"/>
  <c r="G113" i="4"/>
  <c r="G112" i="4"/>
  <c r="G92" i="4"/>
  <c r="AL6" i="1" s="1"/>
  <c r="G90" i="4"/>
  <c r="AX7" i="44" s="1"/>
  <c r="G89" i="4"/>
  <c r="G88" i="4"/>
  <c r="AG6" i="1" s="1"/>
  <c r="G87" i="4"/>
  <c r="G86" i="4"/>
  <c r="AB6" i="1" s="1"/>
  <c r="G85" i="4"/>
  <c r="AA6" i="1" s="1"/>
  <c r="G84" i="4"/>
  <c r="Z6" i="1" s="1"/>
  <c r="G83" i="4"/>
  <c r="G82" i="4"/>
  <c r="G78" i="4"/>
  <c r="AS7" i="44" s="1"/>
  <c r="G77" i="4"/>
  <c r="AR7" i="44" s="1"/>
  <c r="BK4" i="49" s="1"/>
  <c r="G76" i="4"/>
  <c r="AQ7" i="44" s="1"/>
  <c r="G75" i="4"/>
  <c r="G74" i="4"/>
  <c r="AO7" i="44" s="1"/>
  <c r="G70" i="4"/>
  <c r="F15" i="45" s="1"/>
  <c r="G69" i="4"/>
  <c r="F14" i="45" s="1"/>
  <c r="G68" i="4"/>
  <c r="F13" i="45" s="1"/>
  <c r="G67" i="4"/>
  <c r="G66" i="4"/>
  <c r="G65" i="4"/>
  <c r="F9" i="45" s="1"/>
  <c r="F8" i="45"/>
  <c r="AN4" i="49" s="1"/>
  <c r="G62" i="4"/>
  <c r="G64" i="4" s="1"/>
  <c r="G57" i="4"/>
  <c r="G56" i="4"/>
  <c r="G55" i="4"/>
  <c r="G53" i="4"/>
  <c r="G52" i="4"/>
  <c r="G51" i="4"/>
  <c r="G49" i="4"/>
  <c r="G46" i="4"/>
  <c r="G45" i="4"/>
  <c r="G43" i="4"/>
  <c r="G42" i="4"/>
  <c r="G41" i="4"/>
  <c r="G40" i="4"/>
  <c r="G39" i="4"/>
  <c r="G38" i="4"/>
  <c r="G100" i="4" s="1"/>
  <c r="G101" i="4" s="1"/>
  <c r="G37" i="4"/>
  <c r="G36" i="4"/>
  <c r="G35" i="4"/>
  <c r="E29" i="4"/>
  <c r="G29" i="4" s="1"/>
  <c r="G22" i="4"/>
  <c r="G19" i="4"/>
  <c r="G18" i="4"/>
  <c r="G10" i="4"/>
  <c r="K9" i="4"/>
  <c r="G9" i="4"/>
  <c r="M8" i="4"/>
  <c r="G8" i="4"/>
  <c r="G7" i="4"/>
  <c r="H7" i="4" s="1"/>
  <c r="G185" i="3"/>
  <c r="G184" i="3"/>
  <c r="G183" i="3"/>
  <c r="G179" i="3"/>
  <c r="E22" i="45" s="1"/>
  <c r="AY3" i="49" s="1"/>
  <c r="G178" i="3"/>
  <c r="E21" i="45" s="1"/>
  <c r="G175" i="3"/>
  <c r="E19" i="45" s="1"/>
  <c r="G174" i="3"/>
  <c r="E18" i="45" s="1"/>
  <c r="G173" i="3"/>
  <c r="E17" i="45" s="1"/>
  <c r="AU3" i="49" s="1"/>
  <c r="G164" i="3"/>
  <c r="G163" i="3"/>
  <c r="G162" i="3"/>
  <c r="AB6" i="44" s="1"/>
  <c r="G161" i="3"/>
  <c r="AA6" i="44" s="1"/>
  <c r="G141" i="3"/>
  <c r="Q6" i="44" s="1"/>
  <c r="G140" i="3"/>
  <c r="P6" i="44" s="1"/>
  <c r="G139" i="3"/>
  <c r="O6" i="44" s="1"/>
  <c r="G138" i="3"/>
  <c r="G133" i="3"/>
  <c r="AM6" i="44" s="1"/>
  <c r="G132" i="3"/>
  <c r="G131" i="3"/>
  <c r="H131" i="3" s="1"/>
  <c r="J131" i="3" s="1"/>
  <c r="G129" i="3"/>
  <c r="G128" i="3"/>
  <c r="G123" i="3"/>
  <c r="AL6" i="44" s="1"/>
  <c r="AK3" i="49" s="1"/>
  <c r="G122" i="3"/>
  <c r="AK6" i="44" s="1"/>
  <c r="G120" i="3"/>
  <c r="G119" i="3"/>
  <c r="AH6" i="44" s="1"/>
  <c r="G118" i="3"/>
  <c r="AG6" i="44" s="1"/>
  <c r="G116" i="3"/>
  <c r="AE6" i="44" s="1"/>
  <c r="G115" i="3"/>
  <c r="G114" i="3"/>
  <c r="G112" i="3"/>
  <c r="AL5" i="1"/>
  <c r="G91" i="3"/>
  <c r="AK5" i="1" s="1"/>
  <c r="G90" i="3"/>
  <c r="I90" i="3" s="1"/>
  <c r="G89" i="3"/>
  <c r="AH5" i="1" s="1"/>
  <c r="G88" i="3"/>
  <c r="AG5" i="1" s="1"/>
  <c r="G87" i="3"/>
  <c r="G86" i="3"/>
  <c r="AB5" i="1" s="1"/>
  <c r="G85" i="3"/>
  <c r="AA5" i="1" s="1"/>
  <c r="G84" i="3"/>
  <c r="G83" i="3"/>
  <c r="G82" i="3"/>
  <c r="G78" i="3"/>
  <c r="AS6" i="44" s="1"/>
  <c r="G77" i="3"/>
  <c r="AR6" i="44" s="1"/>
  <c r="G76" i="3"/>
  <c r="AQ6" i="44" s="1"/>
  <c r="G74" i="3"/>
  <c r="AO6" i="44" s="1"/>
  <c r="G70" i="3"/>
  <c r="E15" i="45" s="1"/>
  <c r="G69" i="3"/>
  <c r="E14" i="45" s="1"/>
  <c r="G68" i="3"/>
  <c r="E13" i="45" s="1"/>
  <c r="G67" i="3"/>
  <c r="G66" i="3"/>
  <c r="W5" i="1" s="1"/>
  <c r="G65" i="3"/>
  <c r="G188" i="3" s="1"/>
  <c r="G63" i="3"/>
  <c r="E8" i="45" s="1"/>
  <c r="G62" i="3"/>
  <c r="G58" i="3"/>
  <c r="G56" i="3"/>
  <c r="G55" i="3"/>
  <c r="G54" i="3"/>
  <c r="G52" i="3"/>
  <c r="G51" i="3"/>
  <c r="G50" i="3"/>
  <c r="G46" i="3"/>
  <c r="G45" i="3"/>
  <c r="G44" i="3"/>
  <c r="G42" i="3"/>
  <c r="G41" i="3"/>
  <c r="G40" i="3"/>
  <c r="G39" i="3"/>
  <c r="G38" i="3"/>
  <c r="G100" i="3" s="1"/>
  <c r="G101" i="3" s="1"/>
  <c r="G37" i="3"/>
  <c r="G36" i="3"/>
  <c r="G35" i="3"/>
  <c r="E29" i="3"/>
  <c r="G29" i="3" s="1"/>
  <c r="K9" i="3"/>
  <c r="M8" i="3"/>
  <c r="G185" i="2"/>
  <c r="H185" i="2" s="1"/>
  <c r="J185" i="2" s="1"/>
  <c r="G184" i="2"/>
  <c r="G183" i="2"/>
  <c r="G180" i="2"/>
  <c r="D23" i="45" s="1"/>
  <c r="G179" i="2"/>
  <c r="D22" i="45" s="1"/>
  <c r="G178" i="2"/>
  <c r="G175" i="2"/>
  <c r="D19" i="45" s="1"/>
  <c r="G174" i="2"/>
  <c r="D18" i="45" s="1"/>
  <c r="G173" i="2"/>
  <c r="D17" i="45" s="1"/>
  <c r="G165" i="2"/>
  <c r="G163" i="2"/>
  <c r="G162" i="2"/>
  <c r="AB5" i="44" s="1"/>
  <c r="G161" i="2"/>
  <c r="G150" i="2"/>
  <c r="G149" i="2"/>
  <c r="G148" i="2"/>
  <c r="W5" i="44" s="1"/>
  <c r="G147" i="2"/>
  <c r="V5" i="44" s="1"/>
  <c r="G146" i="2"/>
  <c r="S5" i="44"/>
  <c r="G144" i="2"/>
  <c r="U5" i="44" s="1"/>
  <c r="T2" i="49" s="1"/>
  <c r="G143" i="2"/>
  <c r="X5" i="44" s="1"/>
  <c r="G142" i="2"/>
  <c r="R5" i="44"/>
  <c r="G141" i="2"/>
  <c r="Q5" i="44" s="1"/>
  <c r="G140" i="2"/>
  <c r="G139" i="2"/>
  <c r="G138" i="2"/>
  <c r="G133" i="2"/>
  <c r="BJ4" i="1" s="1"/>
  <c r="G132" i="2"/>
  <c r="H132" i="2" s="1"/>
  <c r="J132" i="2" s="1"/>
  <c r="G131" i="2"/>
  <c r="G130" i="2"/>
  <c r="H130" i="2" s="1"/>
  <c r="G129" i="2"/>
  <c r="G128" i="2"/>
  <c r="H128" i="2" s="1"/>
  <c r="G123" i="2"/>
  <c r="AL5" i="44" s="1"/>
  <c r="G122" i="2"/>
  <c r="G121" i="2"/>
  <c r="AJ5" i="44" s="1"/>
  <c r="AI2" i="49" s="1"/>
  <c r="G120" i="2"/>
  <c r="AI5" i="44" s="1"/>
  <c r="G119" i="2"/>
  <c r="AH5" i="44" s="1"/>
  <c r="G118" i="2"/>
  <c r="G117" i="2"/>
  <c r="AF5" i="44" s="1"/>
  <c r="G116" i="2"/>
  <c r="G115" i="2"/>
  <c r="G114" i="2"/>
  <c r="H114" i="2" s="1"/>
  <c r="J114" i="2" s="1"/>
  <c r="G113" i="2"/>
  <c r="G112" i="2"/>
  <c r="G92" i="2"/>
  <c r="G90" i="2"/>
  <c r="I90" i="2" s="1"/>
  <c r="G89" i="2"/>
  <c r="AW5" i="44" s="1"/>
  <c r="AY5" i="44" s="1"/>
  <c r="G88" i="2"/>
  <c r="I89" i="2" s="1"/>
  <c r="G87" i="2"/>
  <c r="G86" i="2"/>
  <c r="H86" i="2" s="1"/>
  <c r="H86" i="3" s="1"/>
  <c r="G85" i="2"/>
  <c r="AA4" i="1" s="1"/>
  <c r="G84" i="2"/>
  <c r="G83" i="2"/>
  <c r="H83" i="2" s="1"/>
  <c r="H83" i="3" s="1"/>
  <c r="H83" i="4" s="1"/>
  <c r="H83" i="5" s="1"/>
  <c r="G82" i="2"/>
  <c r="H82" i="2" s="1"/>
  <c r="G78" i="2"/>
  <c r="G79" i="2" s="1"/>
  <c r="H79" i="2" s="1"/>
  <c r="G77" i="2"/>
  <c r="AR5" i="44" s="1"/>
  <c r="BK2" i="49" s="1"/>
  <c r="G76" i="2"/>
  <c r="G75" i="2"/>
  <c r="AP5" i="44" s="1"/>
  <c r="G74" i="2"/>
  <c r="G70" i="2"/>
  <c r="H70" i="2" s="1"/>
  <c r="G69" i="2"/>
  <c r="G68" i="2"/>
  <c r="G67" i="2"/>
  <c r="X4" i="1" s="1"/>
  <c r="G66" i="2"/>
  <c r="W4" i="1" s="1"/>
  <c r="G65" i="2"/>
  <c r="G63" i="2"/>
  <c r="H63" i="2" s="1"/>
  <c r="G62" i="2"/>
  <c r="D7" i="45" s="1"/>
  <c r="G58" i="2"/>
  <c r="H58" i="2" s="1"/>
  <c r="H58" i="3" s="1"/>
  <c r="G57" i="2"/>
  <c r="H57" i="2" s="1"/>
  <c r="G56" i="2"/>
  <c r="G96" i="2" s="1"/>
  <c r="G97" i="2" s="1"/>
  <c r="G55" i="2"/>
  <c r="H55" i="2" s="1"/>
  <c r="G54" i="2"/>
  <c r="H54" i="2" s="1"/>
  <c r="H54" i="3" s="1"/>
  <c r="G53" i="2"/>
  <c r="G52" i="2"/>
  <c r="H52" i="2" s="1"/>
  <c r="H52" i="3" s="1"/>
  <c r="H52" i="4" s="1"/>
  <c r="H52" i="5" s="1"/>
  <c r="H52" i="33" s="1"/>
  <c r="H52" i="7" s="1"/>
  <c r="H52" i="8" s="1"/>
  <c r="H52" i="9" s="1"/>
  <c r="H52" i="10" s="1"/>
  <c r="H52" i="11" s="1"/>
  <c r="H52" i="12" s="1"/>
  <c r="H52" i="13" s="1"/>
  <c r="H52" i="14" s="1"/>
  <c r="G51" i="2"/>
  <c r="H51" i="2" s="1"/>
  <c r="G50" i="2"/>
  <c r="H50" i="2" s="1"/>
  <c r="G49" i="2"/>
  <c r="G94" i="2" s="1"/>
  <c r="G46" i="2"/>
  <c r="H46" i="2" s="1"/>
  <c r="H46" i="3" s="1"/>
  <c r="H46" i="4" s="1"/>
  <c r="H46" i="5" s="1"/>
  <c r="H46" i="33" s="1"/>
  <c r="H46" i="7" s="1"/>
  <c r="H46" i="8" s="1"/>
  <c r="H46" i="9" s="1"/>
  <c r="G45" i="2"/>
  <c r="H45" i="2" s="1"/>
  <c r="H45" i="3" s="1"/>
  <c r="H45" i="4" s="1"/>
  <c r="H45" i="5" s="1"/>
  <c r="H45" i="33" s="1"/>
  <c r="G44" i="2"/>
  <c r="H44" i="2" s="1"/>
  <c r="G43" i="2"/>
  <c r="H43" i="2" s="1"/>
  <c r="G42" i="2"/>
  <c r="H42" i="2" s="1"/>
  <c r="H42" i="3" s="1"/>
  <c r="H42" i="4" s="1"/>
  <c r="H42" i="5" s="1"/>
  <c r="H42" i="33" s="1"/>
  <c r="H42" i="7" s="1"/>
  <c r="H42" i="8" s="1"/>
  <c r="H42" i="9" s="1"/>
  <c r="H42" i="10" s="1"/>
  <c r="H42" i="11" s="1"/>
  <c r="H42" i="12" s="1"/>
  <c r="G41" i="2"/>
  <c r="H41" i="2" s="1"/>
  <c r="J41" i="2" s="1"/>
  <c r="G40" i="2"/>
  <c r="G39" i="2"/>
  <c r="H39" i="2" s="1"/>
  <c r="G38" i="2"/>
  <c r="H37" i="2"/>
  <c r="G36" i="2"/>
  <c r="G35" i="2"/>
  <c r="H35" i="2" s="1"/>
  <c r="H30" i="2"/>
  <c r="H31" i="2"/>
  <c r="K9" i="2"/>
  <c r="M8" i="2"/>
  <c r="H27" i="2"/>
  <c r="I92" i="8"/>
  <c r="Z5" i="1"/>
  <c r="Z8" i="1"/>
  <c r="I89" i="4"/>
  <c r="E28" i="16"/>
  <c r="G28" i="16" s="1"/>
  <c r="G19" i="7"/>
  <c r="E30" i="7" s="1"/>
  <c r="G30" i="7" s="1"/>
  <c r="G15" i="8"/>
  <c r="G9" i="8"/>
  <c r="G8" i="8"/>
  <c r="E27" i="8" s="1"/>
  <c r="G27" i="8" s="1"/>
  <c r="G9" i="7"/>
  <c r="G7" i="8"/>
  <c r="G99" i="8" s="1"/>
  <c r="AD6" i="44"/>
  <c r="AC3" i="49" s="1"/>
  <c r="N11" i="44"/>
  <c r="H112" i="2"/>
  <c r="J112" i="2" s="1"/>
  <c r="N6" i="44"/>
  <c r="N9" i="44"/>
  <c r="N5" i="44"/>
  <c r="E9" i="45"/>
  <c r="F7" i="45"/>
  <c r="H183" i="2"/>
  <c r="J183" i="2" s="1"/>
  <c r="G104" i="4"/>
  <c r="G105" i="4" s="1"/>
  <c r="AA5" i="44"/>
  <c r="X7" i="1"/>
  <c r="G11" i="45"/>
  <c r="W10" i="1"/>
  <c r="I10" i="45"/>
  <c r="J11" i="45"/>
  <c r="X9" i="1"/>
  <c r="G100" i="7"/>
  <c r="G98" i="8"/>
  <c r="X8" i="1"/>
  <c r="X5" i="1"/>
  <c r="E11" i="45"/>
  <c r="AO10" i="1"/>
  <c r="AO11" i="44"/>
  <c r="AH10" i="1"/>
  <c r="AW11" i="44"/>
  <c r="AG10" i="1"/>
  <c r="AV11" i="44"/>
  <c r="AK10" i="1"/>
  <c r="AU11" i="44"/>
  <c r="AI9" i="1"/>
  <c r="AX10" i="44"/>
  <c r="BJ9" i="1"/>
  <c r="AO9" i="1"/>
  <c r="AO10" i="44"/>
  <c r="AK8" i="1"/>
  <c r="AI8" i="1"/>
  <c r="AX9" i="44"/>
  <c r="BJ8" i="1"/>
  <c r="AM9" i="44"/>
  <c r="AI7" i="1"/>
  <c r="AX8" i="44"/>
  <c r="AH7" i="1"/>
  <c r="AK7" i="1"/>
  <c r="AV7" i="44"/>
  <c r="AO6" i="1"/>
  <c r="AH6" i="1"/>
  <c r="AW7" i="44"/>
  <c r="AI5" i="1"/>
  <c r="AX6" i="44"/>
  <c r="BJ5" i="1"/>
  <c r="H84" i="2"/>
  <c r="H84" i="3" s="1"/>
  <c r="Z4" i="1"/>
  <c r="G94" i="8"/>
  <c r="H118" i="2"/>
  <c r="J118" i="2" s="1"/>
  <c r="AG5" i="44"/>
  <c r="H85" i="2"/>
  <c r="D8" i="45"/>
  <c r="H75" i="2"/>
  <c r="AB4" i="1"/>
  <c r="AM5" i="44"/>
  <c r="H91" i="2"/>
  <c r="AK4" i="1"/>
  <c r="H74" i="2"/>
  <c r="AO4" i="1"/>
  <c r="AO5" i="44"/>
  <c r="H65" i="2"/>
  <c r="V4" i="1"/>
  <c r="D9" i="45"/>
  <c r="H76" i="2"/>
  <c r="H76" i="3" s="1"/>
  <c r="J76" i="3" s="1"/>
  <c r="AQ5" i="44"/>
  <c r="H87" i="2"/>
  <c r="AC4" i="1"/>
  <c r="H122" i="2"/>
  <c r="J122" i="2" s="1"/>
  <c r="AK5" i="44"/>
  <c r="G100" i="8"/>
  <c r="H151" i="5"/>
  <c r="J151" i="5" s="1"/>
  <c r="J151" i="4"/>
  <c r="H66" i="2"/>
  <c r="H66" i="3" s="1"/>
  <c r="D10" i="45"/>
  <c r="H77" i="2"/>
  <c r="H88" i="2"/>
  <c r="AV5" i="44"/>
  <c r="D11" i="45"/>
  <c r="H116" i="2"/>
  <c r="J116" i="2" s="1"/>
  <c r="AE5" i="44"/>
  <c r="H68" i="2"/>
  <c r="H68" i="3" s="1"/>
  <c r="H68" i="4" s="1"/>
  <c r="H68" i="5" s="1"/>
  <c r="H68" i="33" s="1"/>
  <c r="H68" i="7" s="1"/>
  <c r="H68" i="8" s="1"/>
  <c r="H68" i="9" s="1"/>
  <c r="H68" i="10" s="1"/>
  <c r="H68" i="11" s="1"/>
  <c r="D13" i="45"/>
  <c r="H90" i="2"/>
  <c r="H90" i="3" s="1"/>
  <c r="AI4" i="1"/>
  <c r="AX5" i="44"/>
  <c r="E31" i="4"/>
  <c r="G31" i="4" s="1"/>
  <c r="H18" i="4"/>
  <c r="H133" i="2"/>
  <c r="H131" i="2"/>
  <c r="J131" i="2" s="1"/>
  <c r="H129" i="2"/>
  <c r="H129" i="3" s="1"/>
  <c r="J129" i="3" s="1"/>
  <c r="H175" i="2"/>
  <c r="H174" i="2"/>
  <c r="J174" i="2" s="1"/>
  <c r="H179" i="2"/>
  <c r="J179" i="2" s="1"/>
  <c r="H184" i="2"/>
  <c r="H184" i="3" s="1"/>
  <c r="J184" i="3" s="1"/>
  <c r="H161" i="2"/>
  <c r="J161" i="2" s="1"/>
  <c r="H165" i="2"/>
  <c r="J165" i="2" s="1"/>
  <c r="H162" i="2"/>
  <c r="H164" i="2"/>
  <c r="H139" i="2"/>
  <c r="H143" i="2"/>
  <c r="H149" i="2"/>
  <c r="H145" i="2"/>
  <c r="H145" i="3" s="1"/>
  <c r="J145" i="3" s="1"/>
  <c r="H142" i="2"/>
  <c r="J142" i="2" s="1"/>
  <c r="H144" i="2"/>
  <c r="H150" i="2"/>
  <c r="H138" i="2"/>
  <c r="H119" i="2"/>
  <c r="J119" i="2" s="1"/>
  <c r="H113" i="2"/>
  <c r="H121" i="2"/>
  <c r="J121" i="2" s="1"/>
  <c r="H115" i="2"/>
  <c r="H123" i="2"/>
  <c r="J123" i="2" s="1"/>
  <c r="G102" i="2"/>
  <c r="H102" i="2" s="1"/>
  <c r="H36" i="2"/>
  <c r="H36" i="3" s="1"/>
  <c r="H37" i="3"/>
  <c r="H37" i="4" s="1"/>
  <c r="H37" i="5" s="1"/>
  <c r="H37" i="33" s="1"/>
  <c r="H37" i="7" s="1"/>
  <c r="G100" i="2"/>
  <c r="H100" i="2" s="1"/>
  <c r="H38" i="2"/>
  <c r="H44" i="3"/>
  <c r="G104" i="2"/>
  <c r="H104" i="2" s="1"/>
  <c r="G104" i="8"/>
  <c r="G181" i="8"/>
  <c r="G189" i="8" s="1"/>
  <c r="G64" i="8"/>
  <c r="G96" i="7"/>
  <c r="G97" i="7" s="1"/>
  <c r="G181" i="7"/>
  <c r="G189" i="7" s="1"/>
  <c r="G94" i="7"/>
  <c r="G98" i="7"/>
  <c r="G64" i="7"/>
  <c r="E28" i="7"/>
  <c r="G28" i="7" s="1"/>
  <c r="G100" i="33"/>
  <c r="G101" i="33" s="1"/>
  <c r="G104" i="33"/>
  <c r="G105" i="33" s="1"/>
  <c r="G20" i="33"/>
  <c r="E28" i="33"/>
  <c r="G28" i="33" s="1"/>
  <c r="G64" i="5"/>
  <c r="E27" i="5"/>
  <c r="G27" i="5" s="1"/>
  <c r="G104" i="5"/>
  <c r="E30" i="4"/>
  <c r="G30" i="4" s="1"/>
  <c r="E27" i="4"/>
  <c r="G27" i="4" s="1"/>
  <c r="G20" i="4"/>
  <c r="E31" i="3"/>
  <c r="G64" i="2"/>
  <c r="H64" i="2" s="1"/>
  <c r="G178" i="50"/>
  <c r="H178" i="50" s="1"/>
  <c r="J178" i="50" s="1"/>
  <c r="E177" i="50"/>
  <c r="G177" i="50" s="1"/>
  <c r="H177" i="50" s="1"/>
  <c r="J177" i="50" s="1"/>
  <c r="E176" i="50"/>
  <c r="G176" i="50" s="1"/>
  <c r="H175" i="50"/>
  <c r="J175" i="50" s="1"/>
  <c r="E173" i="50"/>
  <c r="G173" i="50" s="1"/>
  <c r="H173" i="50" s="1"/>
  <c r="J173" i="50" s="1"/>
  <c r="E172" i="50"/>
  <c r="G172" i="50" s="1"/>
  <c r="H172" i="50" s="1"/>
  <c r="J172" i="50" s="1"/>
  <c r="E171" i="50"/>
  <c r="G171" i="50" s="1"/>
  <c r="H170" i="50"/>
  <c r="E168" i="50"/>
  <c r="G168" i="50" s="1"/>
  <c r="E167" i="50"/>
  <c r="G167" i="50" s="1"/>
  <c r="H167" i="50" s="1"/>
  <c r="J167" i="50" s="1"/>
  <c r="E166" i="50"/>
  <c r="G166" i="50" s="1"/>
  <c r="H166" i="50" s="1"/>
  <c r="J166" i="50" s="1"/>
  <c r="E158" i="50"/>
  <c r="G158" i="50" s="1"/>
  <c r="E157" i="50"/>
  <c r="G157" i="50" s="1"/>
  <c r="H157" i="50" s="1"/>
  <c r="J157" i="50" s="1"/>
  <c r="E156" i="50"/>
  <c r="G156" i="50" s="1"/>
  <c r="H156" i="50" s="1"/>
  <c r="J156" i="50" s="1"/>
  <c r="E155" i="50"/>
  <c r="G155" i="50" s="1"/>
  <c r="H155" i="50" s="1"/>
  <c r="J155" i="50" s="1"/>
  <c r="E154" i="50"/>
  <c r="G154" i="50" s="1"/>
  <c r="H136" i="50"/>
  <c r="J136" i="50" s="1"/>
  <c r="H135" i="50"/>
  <c r="J135" i="50" s="1"/>
  <c r="E151" i="50"/>
  <c r="G151" i="50" s="1"/>
  <c r="H151" i="50" s="1"/>
  <c r="J151" i="50" s="1"/>
  <c r="E150" i="50"/>
  <c r="G150" i="50" s="1"/>
  <c r="H150" i="50" s="1"/>
  <c r="J150" i="50" s="1"/>
  <c r="E149" i="50"/>
  <c r="G149" i="50" s="1"/>
  <c r="H149" i="50" s="1"/>
  <c r="J149" i="50" s="1"/>
  <c r="E148" i="50"/>
  <c r="G148" i="50" s="1"/>
  <c r="H148" i="50" s="1"/>
  <c r="J148" i="50" s="1"/>
  <c r="E147" i="50"/>
  <c r="G147" i="50" s="1"/>
  <c r="H147" i="50" s="1"/>
  <c r="J147" i="50" s="1"/>
  <c r="E146" i="50"/>
  <c r="G146" i="50" s="1"/>
  <c r="H146" i="50" s="1"/>
  <c r="J146" i="50" s="1"/>
  <c r="E145" i="50"/>
  <c r="G145" i="50" s="1"/>
  <c r="H145" i="50" s="1"/>
  <c r="J145" i="50" s="1"/>
  <c r="E144" i="50"/>
  <c r="G144" i="50" s="1"/>
  <c r="H144" i="50" s="1"/>
  <c r="J144" i="50" s="1"/>
  <c r="E143" i="50"/>
  <c r="G143" i="50" s="1"/>
  <c r="H143" i="50" s="1"/>
  <c r="J143" i="50" s="1"/>
  <c r="E142" i="50"/>
  <c r="G142" i="50" s="1"/>
  <c r="H142" i="50" s="1"/>
  <c r="J142" i="50" s="1"/>
  <c r="E141" i="50"/>
  <c r="G141" i="50" s="1"/>
  <c r="H141" i="50" s="1"/>
  <c r="J141" i="50" s="1"/>
  <c r="E140" i="50"/>
  <c r="G140" i="50" s="1"/>
  <c r="H140" i="50" s="1"/>
  <c r="J140" i="50" s="1"/>
  <c r="E139" i="50"/>
  <c r="G139" i="50" s="1"/>
  <c r="H139" i="50" s="1"/>
  <c r="J139" i="50" s="1"/>
  <c r="E134" i="50"/>
  <c r="G134" i="50" s="1"/>
  <c r="H134" i="50" s="1"/>
  <c r="J134" i="50" s="1"/>
  <c r="E133" i="50"/>
  <c r="G133" i="50" s="1"/>
  <c r="E132" i="50"/>
  <c r="G132" i="50" s="1"/>
  <c r="E131" i="50"/>
  <c r="G131" i="50" s="1"/>
  <c r="E130" i="50"/>
  <c r="G130" i="50" s="1"/>
  <c r="E129" i="50"/>
  <c r="G129" i="50" s="1"/>
  <c r="G118" i="50"/>
  <c r="G116" i="50"/>
  <c r="H116" i="50" s="1"/>
  <c r="J116" i="50" s="1"/>
  <c r="G115" i="50"/>
  <c r="H115" i="50" s="1"/>
  <c r="J115" i="50" s="1"/>
  <c r="G114" i="50"/>
  <c r="H114" i="50" s="1"/>
  <c r="J114" i="50" s="1"/>
  <c r="G113" i="50"/>
  <c r="H113" i="50" s="1"/>
  <c r="J113" i="50" s="1"/>
  <c r="E93" i="50"/>
  <c r="G93" i="50" s="1"/>
  <c r="E92" i="50"/>
  <c r="G92" i="50" s="1"/>
  <c r="E91" i="50"/>
  <c r="G91" i="50" s="1"/>
  <c r="E90" i="50"/>
  <c r="G90" i="50" s="1"/>
  <c r="E89" i="50"/>
  <c r="G89" i="50" s="1"/>
  <c r="E88" i="50"/>
  <c r="G88" i="50" s="1"/>
  <c r="E87" i="50"/>
  <c r="G87" i="50" s="1"/>
  <c r="E86" i="50"/>
  <c r="G86" i="50" s="1"/>
  <c r="E85" i="50"/>
  <c r="G85" i="50" s="1"/>
  <c r="E84" i="50"/>
  <c r="G84" i="50" s="1"/>
  <c r="E83" i="50"/>
  <c r="G83" i="50" s="1"/>
  <c r="E79" i="50"/>
  <c r="G79" i="50" s="1"/>
  <c r="E78" i="50"/>
  <c r="G78" i="50" s="1"/>
  <c r="E77" i="50"/>
  <c r="G77" i="50" s="1"/>
  <c r="E76" i="50"/>
  <c r="G76" i="50" s="1"/>
  <c r="E75" i="50"/>
  <c r="G75" i="50" s="1"/>
  <c r="E71" i="50"/>
  <c r="G71" i="50" s="1"/>
  <c r="E70" i="50"/>
  <c r="G70" i="50" s="1"/>
  <c r="E69" i="50"/>
  <c r="G69" i="50" s="1"/>
  <c r="E68" i="50"/>
  <c r="G68" i="50" s="1"/>
  <c r="E67" i="50"/>
  <c r="G67" i="50" s="1"/>
  <c r="E66" i="50"/>
  <c r="G66" i="50" s="1"/>
  <c r="E64" i="50"/>
  <c r="G64" i="50" s="1"/>
  <c r="E63" i="50"/>
  <c r="G63" i="50" s="1"/>
  <c r="G123" i="50"/>
  <c r="G121" i="50"/>
  <c r="G119" i="50"/>
  <c r="E59" i="50"/>
  <c r="G59" i="50" s="1"/>
  <c r="E58" i="50"/>
  <c r="G58" i="50" s="1"/>
  <c r="E57" i="50"/>
  <c r="G57" i="50" s="1"/>
  <c r="E56" i="50"/>
  <c r="G56" i="50" s="1"/>
  <c r="E55" i="50"/>
  <c r="G55" i="50" s="1"/>
  <c r="E54" i="50"/>
  <c r="G54" i="50" s="1"/>
  <c r="E53" i="50"/>
  <c r="G53" i="50" s="1"/>
  <c r="G101" i="50" s="1"/>
  <c r="E52" i="50"/>
  <c r="G52" i="50" s="1"/>
  <c r="E51" i="50"/>
  <c r="G51" i="50" s="1"/>
  <c r="E50" i="50"/>
  <c r="G50" i="50" s="1"/>
  <c r="G47" i="50"/>
  <c r="G46" i="50"/>
  <c r="G45" i="50"/>
  <c r="G44" i="50"/>
  <c r="G43" i="50"/>
  <c r="G42" i="50"/>
  <c r="G41" i="50"/>
  <c r="G40" i="50"/>
  <c r="G39" i="50"/>
  <c r="G38" i="50"/>
  <c r="G37" i="50"/>
  <c r="G36" i="50"/>
  <c r="E30" i="50"/>
  <c r="G30" i="50" s="1"/>
  <c r="E25" i="50"/>
  <c r="E24" i="50"/>
  <c r="E23" i="50"/>
  <c r="G23" i="50" s="1"/>
  <c r="G19" i="50"/>
  <c r="E32" i="50" s="1"/>
  <c r="G32" i="50" s="1"/>
  <c r="E19" i="50"/>
  <c r="G16" i="50"/>
  <c r="G80" i="50" s="1"/>
  <c r="K9" i="50"/>
  <c r="M8" i="50"/>
  <c r="AZ11" i="44"/>
  <c r="E28" i="8"/>
  <c r="G28" i="8" s="1"/>
  <c r="E15" i="9"/>
  <c r="G15" i="9" s="1"/>
  <c r="G20" i="7"/>
  <c r="E19" i="8"/>
  <c r="G19" i="8" s="1"/>
  <c r="G95" i="8"/>
  <c r="E8" i="9"/>
  <c r="G8" i="9" s="1"/>
  <c r="E9" i="9"/>
  <c r="G9" i="9" s="1"/>
  <c r="H183" i="3"/>
  <c r="H183" i="4" s="1"/>
  <c r="J183" i="4" s="1"/>
  <c r="H122" i="3"/>
  <c r="J122" i="3" s="1"/>
  <c r="H118" i="3"/>
  <c r="J118" i="3" s="1"/>
  <c r="G31" i="3"/>
  <c r="H119" i="3"/>
  <c r="H119" i="4" s="1"/>
  <c r="G105" i="2"/>
  <c r="H105" i="2" s="1"/>
  <c r="H161" i="3"/>
  <c r="J161" i="3" s="1"/>
  <c r="J143" i="2"/>
  <c r="H143" i="3"/>
  <c r="J143" i="3" s="1"/>
  <c r="J139" i="2"/>
  <c r="H133" i="3"/>
  <c r="J133" i="3" s="1"/>
  <c r="J133" i="2"/>
  <c r="J115" i="2"/>
  <c r="J150" i="2"/>
  <c r="H150" i="3"/>
  <c r="H150" i="4" s="1"/>
  <c r="J150" i="4" s="1"/>
  <c r="H164" i="3"/>
  <c r="H164" i="4" s="1"/>
  <c r="J164" i="4" s="1"/>
  <c r="J164" i="2"/>
  <c r="J184" i="2"/>
  <c r="H151" i="33"/>
  <c r="H138" i="3"/>
  <c r="J138" i="3" s="1"/>
  <c r="J138" i="2"/>
  <c r="J162" i="2"/>
  <c r="J130" i="2"/>
  <c r="J149" i="2"/>
  <c r="H149" i="3"/>
  <c r="H149" i="4" s="1"/>
  <c r="G101" i="2"/>
  <c r="H101" i="2" s="1"/>
  <c r="G103" i="2"/>
  <c r="H103" i="2" s="1"/>
  <c r="H175" i="3"/>
  <c r="G117" i="50"/>
  <c r="G122" i="50"/>
  <c r="G120" i="50"/>
  <c r="G124" i="50"/>
  <c r="E10" i="19"/>
  <c r="G10" i="19" s="1"/>
  <c r="G15" i="19"/>
  <c r="E28" i="19" s="1"/>
  <c r="G28" i="19" s="1"/>
  <c r="G7" i="9"/>
  <c r="G99" i="9" s="1"/>
  <c r="H138" i="4"/>
  <c r="J149" i="3"/>
  <c r="H184" i="4"/>
  <c r="H150" i="5"/>
  <c r="H150" i="33" s="1"/>
  <c r="J150" i="33" s="1"/>
  <c r="B26" i="48"/>
  <c r="G10" i="20"/>
  <c r="E15" i="10"/>
  <c r="G15" i="10" s="1"/>
  <c r="E28" i="10" s="1"/>
  <c r="G28" i="10" s="1"/>
  <c r="G79" i="9"/>
  <c r="E28" i="9"/>
  <c r="G28" i="9" s="1"/>
  <c r="E19" i="9"/>
  <c r="G19" i="9" s="1"/>
  <c r="G20" i="9" s="1"/>
  <c r="G15" i="21"/>
  <c r="E7" i="10"/>
  <c r="G7" i="10" s="1"/>
  <c r="E19" i="10"/>
  <c r="E28" i="20"/>
  <c r="G28" i="20" s="1"/>
  <c r="G15" i="22"/>
  <c r="E28" i="22" s="1"/>
  <c r="G28" i="22" s="1"/>
  <c r="E15" i="11"/>
  <c r="G15" i="11" s="1"/>
  <c r="E28" i="11" s="1"/>
  <c r="G28" i="11" s="1"/>
  <c r="E8" i="11"/>
  <c r="G8" i="11" s="1"/>
  <c r="H13" i="1" s="1"/>
  <c r="J13" i="1" s="1"/>
  <c r="G9" i="10"/>
  <c r="B20" i="48"/>
  <c r="E7" i="11"/>
  <c r="G7" i="11" s="1"/>
  <c r="G19" i="10"/>
  <c r="G20" i="10" s="1"/>
  <c r="G15" i="23"/>
  <c r="E15" i="12"/>
  <c r="G15" i="12" s="1"/>
  <c r="E9" i="11"/>
  <c r="G9" i="11" s="1"/>
  <c r="E8" i="12"/>
  <c r="G8" i="12" s="1"/>
  <c r="C15" i="44" s="1"/>
  <c r="G10" i="21"/>
  <c r="D33" i="48"/>
  <c r="F33" i="48"/>
  <c r="B3" i="48"/>
  <c r="E4" i="45" s="1"/>
  <c r="B4" i="48"/>
  <c r="B5" i="48"/>
  <c r="B6" i="48"/>
  <c r="B7" i="48"/>
  <c r="B8" i="48"/>
  <c r="B9" i="48"/>
  <c r="B10" i="48"/>
  <c r="B11" i="48"/>
  <c r="B12" i="48"/>
  <c r="B13" i="48"/>
  <c r="B14" i="48"/>
  <c r="B15" i="48"/>
  <c r="B16" i="48"/>
  <c r="B17" i="48"/>
  <c r="B18" i="48"/>
  <c r="B19" i="48"/>
  <c r="B21" i="48"/>
  <c r="B25" i="48"/>
  <c r="B27" i="48"/>
  <c r="B28" i="48"/>
  <c r="B29" i="48"/>
  <c r="B31" i="48"/>
  <c r="B32" i="48"/>
  <c r="B2" i="48"/>
  <c r="D4" i="45" s="1"/>
  <c r="K2" i="48"/>
  <c r="E19" i="11"/>
  <c r="G19" i="11" s="1"/>
  <c r="E30" i="11" s="1"/>
  <c r="G30" i="11" s="1"/>
  <c r="G79" i="11"/>
  <c r="G80" i="11" s="1"/>
  <c r="E15" i="13"/>
  <c r="G15" i="13" s="1"/>
  <c r="E28" i="13" s="1"/>
  <c r="G28" i="13" s="1"/>
  <c r="E15" i="14"/>
  <c r="G15" i="14" s="1"/>
  <c r="G15" i="24"/>
  <c r="E9" i="12"/>
  <c r="G9" i="12" s="1"/>
  <c r="E10" i="22"/>
  <c r="E7" i="12"/>
  <c r="G7" i="12" s="1"/>
  <c r="G14" i="1" s="1"/>
  <c r="G101" i="11"/>
  <c r="G15" i="25"/>
  <c r="E28" i="25" s="1"/>
  <c r="G28" i="25" s="1"/>
  <c r="E9" i="13"/>
  <c r="G9" i="13" s="1"/>
  <c r="O9" i="13" s="1"/>
  <c r="G10" i="22"/>
  <c r="E8" i="13"/>
  <c r="G8" i="13" s="1"/>
  <c r="E27" i="13" s="1"/>
  <c r="G27" i="13" s="1"/>
  <c r="H3" i="48"/>
  <c r="K4" i="45" s="1"/>
  <c r="H4" i="48"/>
  <c r="H5" i="48"/>
  <c r="H6" i="48"/>
  <c r="H7" i="48"/>
  <c r="H8" i="48"/>
  <c r="H9" i="48"/>
  <c r="H10" i="48"/>
  <c r="H11" i="48"/>
  <c r="H12" i="48"/>
  <c r="H13" i="48"/>
  <c r="H14" i="48"/>
  <c r="H15" i="48"/>
  <c r="H16" i="48"/>
  <c r="H17" i="48"/>
  <c r="H18" i="48"/>
  <c r="H19" i="48"/>
  <c r="H20" i="48"/>
  <c r="H21" i="48"/>
  <c r="H22" i="48"/>
  <c r="H23" i="48"/>
  <c r="H24" i="48"/>
  <c r="H25" i="48"/>
  <c r="H26" i="48"/>
  <c r="H27" i="48"/>
  <c r="H28" i="48"/>
  <c r="H29" i="48"/>
  <c r="H31" i="48"/>
  <c r="H32" i="48"/>
  <c r="H2" i="48"/>
  <c r="E7" i="13"/>
  <c r="G7" i="13" s="1"/>
  <c r="E19" i="12"/>
  <c r="G19" i="12" s="1"/>
  <c r="G15" i="40"/>
  <c r="E28" i="40" s="1"/>
  <c r="G28" i="40" s="1"/>
  <c r="E8" i="14"/>
  <c r="G8" i="14" s="1"/>
  <c r="E27" i="14" s="1"/>
  <c r="G27" i="14" s="1"/>
  <c r="E9" i="14"/>
  <c r="G9" i="14" s="1"/>
  <c r="H167" i="19"/>
  <c r="J167" i="19" s="1"/>
  <c r="H166" i="19"/>
  <c r="J166" i="19" s="1"/>
  <c r="H168" i="19"/>
  <c r="J168" i="19" s="1"/>
  <c r="E7" i="14"/>
  <c r="G7" i="14" s="1"/>
  <c r="G15" i="27"/>
  <c r="E9" i="15"/>
  <c r="G9" i="15" s="1"/>
  <c r="E8" i="15"/>
  <c r="G8" i="15" s="1"/>
  <c r="G10" i="23"/>
  <c r="E34" i="1"/>
  <c r="F34" i="1"/>
  <c r="S34" i="1"/>
  <c r="U34" i="1" s="1"/>
  <c r="E19" i="13"/>
  <c r="G19" i="13" s="1"/>
  <c r="E30" i="13" s="1"/>
  <c r="G30" i="13" s="1"/>
  <c r="G15" i="28"/>
  <c r="E8" i="16"/>
  <c r="G8" i="16" s="1"/>
  <c r="E9" i="16"/>
  <c r="G9" i="16" s="1"/>
  <c r="H167" i="21"/>
  <c r="H167" i="22" s="1"/>
  <c r="H168" i="21"/>
  <c r="J168" i="21" s="1"/>
  <c r="H166" i="21"/>
  <c r="J166" i="21" s="1"/>
  <c r="G8" i="17"/>
  <c r="E27" i="17" s="1"/>
  <c r="G27" i="17" s="1"/>
  <c r="E8" i="18"/>
  <c r="G8" i="18" s="1"/>
  <c r="E10" i="25"/>
  <c r="G10" i="25" s="1"/>
  <c r="E10" i="40"/>
  <c r="G10" i="40" s="1"/>
  <c r="E10" i="27"/>
  <c r="G10" i="27" s="1"/>
  <c r="E10" i="28"/>
  <c r="G9" i="17"/>
  <c r="E9" i="18"/>
  <c r="G9" i="18" s="1"/>
  <c r="E7" i="15"/>
  <c r="G7" i="15" s="1"/>
  <c r="G15" i="29"/>
  <c r="E28" i="29" s="1"/>
  <c r="G28" i="29" s="1"/>
  <c r="H168" i="22"/>
  <c r="J168" i="22" s="1"/>
  <c r="G31" i="48"/>
  <c r="E7" i="16"/>
  <c r="G7" i="16" s="1"/>
  <c r="E19" i="14"/>
  <c r="G19" i="14" s="1"/>
  <c r="F33" i="1"/>
  <c r="E33" i="1"/>
  <c r="D33" i="1"/>
  <c r="S33" i="1"/>
  <c r="U33" i="1" s="1"/>
  <c r="E7" i="17"/>
  <c r="G7" i="17" s="1"/>
  <c r="B20" i="44" s="1"/>
  <c r="E9" i="19"/>
  <c r="G9" i="19" s="1"/>
  <c r="G15" i="43"/>
  <c r="E28" i="43" s="1"/>
  <c r="G28" i="43" s="1"/>
  <c r="Q21" i="49"/>
  <c r="H7" i="1"/>
  <c r="J7" i="1" s="1"/>
  <c r="H6" i="1"/>
  <c r="J6" i="1" s="1"/>
  <c r="G6" i="1"/>
  <c r="H5" i="1"/>
  <c r="J5" i="1" s="1"/>
  <c r="G5" i="1"/>
  <c r="AN2" i="49"/>
  <c r="G4" i="1"/>
  <c r="E7" i="18"/>
  <c r="G7" i="18" s="1"/>
  <c r="E19" i="15"/>
  <c r="G19" i="15" s="1"/>
  <c r="Q6" i="45" s="1"/>
  <c r="E8" i="19"/>
  <c r="G8" i="19" s="1"/>
  <c r="N8" i="19" s="1"/>
  <c r="D5" i="44"/>
  <c r="H4" i="1"/>
  <c r="J4" i="1" s="1"/>
  <c r="B5" i="44"/>
  <c r="C5" i="44"/>
  <c r="J2" i="48" s="1"/>
  <c r="D8" i="44"/>
  <c r="B6" i="44"/>
  <c r="B7" i="44"/>
  <c r="C6" i="44"/>
  <c r="C7" i="44"/>
  <c r="C8" i="44"/>
  <c r="AN3" i="49"/>
  <c r="G15" i="31"/>
  <c r="E5" i="44"/>
  <c r="AN5" i="49"/>
  <c r="G7" i="19"/>
  <c r="E19" i="16"/>
  <c r="G19" i="16" s="1"/>
  <c r="G28" i="31"/>
  <c r="G9" i="20"/>
  <c r="G8" i="20"/>
  <c r="E27" i="20" s="1"/>
  <c r="G27" i="20" s="1"/>
  <c r="BM1" i="49"/>
  <c r="BH1" i="49"/>
  <c r="BI1" i="49"/>
  <c r="BJ1" i="49"/>
  <c r="BK1" i="49"/>
  <c r="BL1" i="49"/>
  <c r="BG1" i="49"/>
  <c r="F1" i="49"/>
  <c r="G1" i="49"/>
  <c r="H1" i="49"/>
  <c r="I1" i="49"/>
  <c r="J1" i="49"/>
  <c r="K1" i="49"/>
  <c r="L1" i="49"/>
  <c r="M1" i="49"/>
  <c r="N1" i="49"/>
  <c r="O1" i="49"/>
  <c r="P1" i="49"/>
  <c r="Q1" i="49"/>
  <c r="R1" i="49"/>
  <c r="S1" i="49"/>
  <c r="T1" i="49"/>
  <c r="U1" i="49"/>
  <c r="V1" i="49"/>
  <c r="W1" i="49"/>
  <c r="X1" i="49"/>
  <c r="Y1" i="49"/>
  <c r="Z1" i="49"/>
  <c r="AA1" i="49"/>
  <c r="AB1" i="49"/>
  <c r="AC1" i="49"/>
  <c r="AD1" i="49"/>
  <c r="AE1" i="49"/>
  <c r="AF1" i="49"/>
  <c r="AG1" i="49"/>
  <c r="AH1" i="49"/>
  <c r="AI1" i="49"/>
  <c r="AJ1" i="49"/>
  <c r="AK1" i="49"/>
  <c r="AL1" i="49"/>
  <c r="E1" i="49"/>
  <c r="E7" i="20"/>
  <c r="G7" i="20" s="1"/>
  <c r="G10" i="28"/>
  <c r="E19" i="17"/>
  <c r="G9" i="21"/>
  <c r="E9" i="22"/>
  <c r="E8" i="22"/>
  <c r="G8" i="22" s="1"/>
  <c r="B3" i="49"/>
  <c r="B4" i="49" s="1"/>
  <c r="B5" i="49" s="1"/>
  <c r="B6" i="49" s="1"/>
  <c r="B7" i="49" s="1"/>
  <c r="B8" i="49" s="1"/>
  <c r="B9" i="49" s="1"/>
  <c r="B10" i="49" s="1"/>
  <c r="B11" i="49" s="1"/>
  <c r="B12" i="49" s="1"/>
  <c r="B13" i="49" s="1"/>
  <c r="B14" i="49" s="1"/>
  <c r="B15" i="49" s="1"/>
  <c r="B16" i="49" s="1"/>
  <c r="B17" i="49" s="1"/>
  <c r="B18" i="49" s="1"/>
  <c r="B19" i="49" s="1"/>
  <c r="B20" i="49" s="1"/>
  <c r="B21" i="49" s="1"/>
  <c r="B22" i="49" s="1"/>
  <c r="B23" i="49" s="1"/>
  <c r="B24" i="49" s="1"/>
  <c r="B25" i="49" s="1"/>
  <c r="B26" i="49" s="1"/>
  <c r="B27" i="49" s="1"/>
  <c r="B28" i="49" s="1"/>
  <c r="B29" i="49" s="1"/>
  <c r="B30" i="49" s="1"/>
  <c r="B31" i="49" s="1"/>
  <c r="B32" i="49" s="1"/>
  <c r="G3" i="48"/>
  <c r="G4" i="48"/>
  <c r="G5" i="48"/>
  <c r="G6" i="48"/>
  <c r="G7" i="48"/>
  <c r="G8" i="48"/>
  <c r="G9" i="48"/>
  <c r="G10" i="48"/>
  <c r="G11" i="48"/>
  <c r="G12" i="48"/>
  <c r="G13" i="48"/>
  <c r="G14" i="48"/>
  <c r="G15" i="48"/>
  <c r="G16" i="48"/>
  <c r="G17" i="48"/>
  <c r="G18" i="48"/>
  <c r="G19" i="48"/>
  <c r="G20" i="48"/>
  <c r="G21" i="48"/>
  <c r="G22" i="48"/>
  <c r="G23" i="48"/>
  <c r="G24" i="48"/>
  <c r="G25" i="48"/>
  <c r="G26" i="48"/>
  <c r="G27" i="48"/>
  <c r="G28" i="48"/>
  <c r="G29" i="48"/>
  <c r="G30" i="48"/>
  <c r="H4" i="45"/>
  <c r="AM35" i="1"/>
  <c r="T35" i="1"/>
  <c r="P35" i="1"/>
  <c r="M35" i="1"/>
  <c r="B3" i="47"/>
  <c r="B4" i="47" s="1"/>
  <c r="B5" i="47" s="1"/>
  <c r="B6" i="47" s="1"/>
  <c r="B7" i="47" s="1"/>
  <c r="B8" i="47" s="1"/>
  <c r="B9" i="47" s="1"/>
  <c r="B10" i="47" s="1"/>
  <c r="B11" i="47" s="1"/>
  <c r="B12" i="47" s="1"/>
  <c r="B13" i="47" s="1"/>
  <c r="B14" i="47" s="1"/>
  <c r="B15" i="47" s="1"/>
  <c r="B16" i="47" s="1"/>
  <c r="B17" i="47" s="1"/>
  <c r="B18" i="47" s="1"/>
  <c r="B19" i="47" s="1"/>
  <c r="B20" i="47" s="1"/>
  <c r="B21" i="47" s="1"/>
  <c r="B22" i="47" s="1"/>
  <c r="B23" i="47" s="1"/>
  <c r="B24" i="47" s="1"/>
  <c r="B25" i="47" s="1"/>
  <c r="B26" i="47" s="1"/>
  <c r="B27" i="47" s="1"/>
  <c r="B28" i="47" s="1"/>
  <c r="B29" i="47" s="1"/>
  <c r="B30" i="47" s="1"/>
  <c r="B31" i="47" s="1"/>
  <c r="B32" i="47" s="1"/>
  <c r="G7" i="21"/>
  <c r="E30" i="17"/>
  <c r="G30" i="17" s="1"/>
  <c r="G20" i="17"/>
  <c r="E19" i="18"/>
  <c r="G19" i="18" s="1"/>
  <c r="G9" i="23"/>
  <c r="G10" i="29"/>
  <c r="G8" i="23"/>
  <c r="E27" i="23" s="1"/>
  <c r="G27" i="23" s="1"/>
  <c r="G9" i="22"/>
  <c r="E33" i="48"/>
  <c r="G7" i="22"/>
  <c r="G9" i="24"/>
  <c r="E9" i="25"/>
  <c r="G9" i="25" s="1"/>
  <c r="E9" i="40"/>
  <c r="G9" i="40" s="1"/>
  <c r="E9" i="27"/>
  <c r="E9" i="28"/>
  <c r="G9" i="28" s="1"/>
  <c r="G8" i="24"/>
  <c r="E27" i="24" s="1"/>
  <c r="G27" i="24" s="1"/>
  <c r="E8" i="25"/>
  <c r="G8" i="25" s="1"/>
  <c r="AP45" i="44"/>
  <c r="AP41" i="44"/>
  <c r="G7" i="23"/>
  <c r="E19" i="19"/>
  <c r="G19" i="19" s="1"/>
  <c r="U6" i="45" s="1"/>
  <c r="G10" i="30"/>
  <c r="AC35" i="44"/>
  <c r="AB32" i="49" s="1"/>
  <c r="E7" i="25"/>
  <c r="G7" i="25" s="1"/>
  <c r="G27" i="1" s="1"/>
  <c r="G7" i="24"/>
  <c r="G101" i="24" s="1"/>
  <c r="E8" i="27"/>
  <c r="G8" i="27" s="1"/>
  <c r="G8" i="40"/>
  <c r="E27" i="40" s="1"/>
  <c r="G27" i="40" s="1"/>
  <c r="E19" i="20"/>
  <c r="E10" i="43"/>
  <c r="E8" i="28"/>
  <c r="G8" i="28" s="1"/>
  <c r="E27" i="28" s="1"/>
  <c r="G27" i="28" s="1"/>
  <c r="E7" i="40"/>
  <c r="G7" i="40" s="1"/>
  <c r="E19" i="21"/>
  <c r="G19" i="21" s="1"/>
  <c r="G19" i="20"/>
  <c r="G20" i="20" s="1"/>
  <c r="O22" i="1" s="1"/>
  <c r="Q22" i="1" s="1"/>
  <c r="G9" i="27"/>
  <c r="G8" i="50"/>
  <c r="E28" i="50" s="1"/>
  <c r="G28" i="50" s="1"/>
  <c r="E7" i="27"/>
  <c r="G7" i="27" s="1"/>
  <c r="B30" i="44" s="1"/>
  <c r="G10" i="43"/>
  <c r="G10" i="31"/>
  <c r="G8" i="29"/>
  <c r="E19" i="22"/>
  <c r="G19" i="22" s="1"/>
  <c r="G9" i="29"/>
  <c r="G9" i="30"/>
  <c r="E7" i="28"/>
  <c r="G7" i="28" s="1"/>
  <c r="G8" i="30"/>
  <c r="E27" i="30" s="1"/>
  <c r="G27" i="30" s="1"/>
  <c r="E19" i="23"/>
  <c r="E9" i="43"/>
  <c r="G9" i="43" s="1"/>
  <c r="E7" i="43"/>
  <c r="G7" i="43" s="1"/>
  <c r="G8" i="43"/>
  <c r="E27" i="43" s="1"/>
  <c r="G27" i="43" s="1"/>
  <c r="E19" i="24"/>
  <c r="G19" i="24" s="1"/>
  <c r="G9" i="31"/>
  <c r="AC33" i="44"/>
  <c r="AB30" i="49" s="1"/>
  <c r="Z28" i="49"/>
  <c r="AC28" i="44"/>
  <c r="AB25" i="49" s="1"/>
  <c r="Z25" i="49"/>
  <c r="AB7" i="49"/>
  <c r="AB9" i="49"/>
  <c r="G8" i="31"/>
  <c r="G7" i="31"/>
  <c r="G103" i="31" s="1"/>
  <c r="G7" i="50"/>
  <c r="G11" i="50" s="1"/>
  <c r="Z24" i="49"/>
  <c r="AB8" i="49"/>
  <c r="AB10" i="49"/>
  <c r="AB5" i="49"/>
  <c r="AA24" i="49"/>
  <c r="Z11" i="49"/>
  <c r="Z10" i="49"/>
  <c r="Z9" i="49"/>
  <c r="Z8" i="49"/>
  <c r="AA6" i="49"/>
  <c r="AB6" i="49"/>
  <c r="Z6" i="49"/>
  <c r="AA5" i="49"/>
  <c r="AB4" i="49"/>
  <c r="AA4" i="49"/>
  <c r="Z31" i="49"/>
  <c r="Z27" i="49"/>
  <c r="Z19" i="49"/>
  <c r="Z16" i="49"/>
  <c r="AA7" i="49"/>
  <c r="AA12" i="49"/>
  <c r="AA22" i="49"/>
  <c r="AC21" i="44"/>
  <c r="AB18" i="49" s="1"/>
  <c r="AA31" i="49"/>
  <c r="AA11" i="49"/>
  <c r="AB11" i="49"/>
  <c r="AC31" i="44"/>
  <c r="AB28" i="49" s="1"/>
  <c r="AA29" i="49"/>
  <c r="Z32" i="49"/>
  <c r="AC15" i="44"/>
  <c r="AC29" i="44"/>
  <c r="AB26" i="49" s="1"/>
  <c r="AA10" i="49"/>
  <c r="AA27" i="49"/>
  <c r="AA30" i="49"/>
  <c r="AA21" i="49"/>
  <c r="AA17" i="49"/>
  <c r="AC30" i="44"/>
  <c r="AB27" i="49" s="1"/>
  <c r="AC23" i="44"/>
  <c r="AB20" i="49" s="1"/>
  <c r="G27" i="31"/>
  <c r="E19" i="25"/>
  <c r="G19" i="25" s="1"/>
  <c r="E30" i="25" s="1"/>
  <c r="G30" i="25" s="1"/>
  <c r="Z3" i="49"/>
  <c r="AB3" i="49"/>
  <c r="AA3" i="49"/>
  <c r="Z2" i="49"/>
  <c r="AB2" i="49"/>
  <c r="AA2" i="49"/>
  <c r="E19" i="40"/>
  <c r="G19" i="40" s="1"/>
  <c r="AN10" i="49"/>
  <c r="Y13" i="44"/>
  <c r="X10" i="49" s="1"/>
  <c r="AD10" i="49"/>
  <c r="AC32" i="49"/>
  <c r="I13" i="44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E19" i="27"/>
  <c r="G19" i="27" s="1"/>
  <c r="AS10" i="49"/>
  <c r="BA10" i="49"/>
  <c r="C9" i="44"/>
  <c r="J6" i="48" s="1"/>
  <c r="H8" i="1"/>
  <c r="BA34" i="1"/>
  <c r="BC34" i="1"/>
  <c r="BD34" i="1"/>
  <c r="BE34" i="1"/>
  <c r="Y35" i="44"/>
  <c r="X32" i="49" s="1"/>
  <c r="AR34" i="1"/>
  <c r="AU34" i="1"/>
  <c r="AV34" i="1"/>
  <c r="AW34" i="1"/>
  <c r="D35" i="44"/>
  <c r="BF34" i="1"/>
  <c r="AX34" i="1"/>
  <c r="AT34" i="1"/>
  <c r="AP34" i="1"/>
  <c r="M35" i="44"/>
  <c r="L32" i="49" s="1"/>
  <c r="AY34" i="1"/>
  <c r="I35" i="44"/>
  <c r="H32" i="49" s="1"/>
  <c r="AS34" i="1"/>
  <c r="H35" i="44"/>
  <c r="G32" i="49" s="1"/>
  <c r="BB34" i="1"/>
  <c r="L35" i="44"/>
  <c r="K32" i="49" s="1"/>
  <c r="BH34" i="1"/>
  <c r="G35" i="44"/>
  <c r="F32" i="49" s="1"/>
  <c r="AQ34" i="1"/>
  <c r="AN35" i="44"/>
  <c r="L34" i="1"/>
  <c r="N34" i="1" s="1"/>
  <c r="J35" i="44"/>
  <c r="I32" i="49" s="1"/>
  <c r="G19" i="28"/>
  <c r="G20" i="28" s="1"/>
  <c r="E31" i="44" s="1"/>
  <c r="E19" i="29"/>
  <c r="G19" i="29" s="1"/>
  <c r="G20" i="29" s="1"/>
  <c r="AI25" i="45"/>
  <c r="AI27" i="45"/>
  <c r="E19" i="30"/>
  <c r="G19" i="30" s="1"/>
  <c r="G19" i="43"/>
  <c r="E30" i="43" s="1"/>
  <c r="G30" i="43" s="1"/>
  <c r="L15" i="44"/>
  <c r="K12" i="49" s="1"/>
  <c r="AX7" i="49"/>
  <c r="AV9" i="49"/>
  <c r="AY10" i="49"/>
  <c r="AW10" i="49"/>
  <c r="AU10" i="49"/>
  <c r="AX14" i="49"/>
  <c r="AW14" i="49"/>
  <c r="AU14" i="49"/>
  <c r="AZ15" i="49"/>
  <c r="AU15" i="49"/>
  <c r="AY16" i="49"/>
  <c r="AX16" i="49"/>
  <c r="AY18" i="49"/>
  <c r="AY19" i="49"/>
  <c r="AX24" i="49"/>
  <c r="AV24" i="49"/>
  <c r="AZ25" i="49"/>
  <c r="AV25" i="49"/>
  <c r="AY26" i="49"/>
  <c r="AW26" i="49"/>
  <c r="AV26" i="49"/>
  <c r="AU26" i="49"/>
  <c r="AY27" i="49"/>
  <c r="AW27" i="49"/>
  <c r="AV27" i="49"/>
  <c r="AU27" i="49"/>
  <c r="AY28" i="49"/>
  <c r="AV28" i="49"/>
  <c r="AU28" i="49"/>
  <c r="AY29" i="49"/>
  <c r="AW29" i="49"/>
  <c r="AV29" i="49"/>
  <c r="AY32" i="49"/>
  <c r="AX32" i="49"/>
  <c r="AU32" i="49"/>
  <c r="E20" i="50"/>
  <c r="G20" i="50" s="1"/>
  <c r="G19" i="31"/>
  <c r="G187" i="31" s="1"/>
  <c r="BB24" i="49"/>
  <c r="AS24" i="49"/>
  <c r="BA24" i="49"/>
  <c r="AS15" i="49"/>
  <c r="BA15" i="49"/>
  <c r="AU31" i="49"/>
  <c r="BB31" i="49"/>
  <c r="BA31" i="49"/>
  <c r="AY31" i="49"/>
  <c r="AW31" i="49"/>
  <c r="BB29" i="49"/>
  <c r="AS27" i="49"/>
  <c r="BA27" i="49"/>
  <c r="AY22" i="49"/>
  <c r="AW21" i="49"/>
  <c r="AU21" i="49"/>
  <c r="AV22" i="49"/>
  <c r="AV20" i="49"/>
  <c r="AZ22" i="49"/>
  <c r="AY9" i="49"/>
  <c r="AW8" i="49"/>
  <c r="AZ7" i="49"/>
  <c r="AZ5" i="49"/>
  <c r="AZ9" i="49"/>
  <c r="AX8" i="49"/>
  <c r="AU6" i="49"/>
  <c r="AX3" i="49"/>
  <c r="AX4" i="49"/>
  <c r="AW3" i="49"/>
  <c r="AW4" i="49"/>
  <c r="AV3" i="49"/>
  <c r="AU8" i="49"/>
  <c r="AY8" i="49"/>
  <c r="AZ11" i="49"/>
  <c r="AY11" i="49"/>
  <c r="AV11" i="49"/>
  <c r="AU23" i="49"/>
  <c r="AY23" i="49"/>
  <c r="AV2" i="49"/>
  <c r="AZ2" i="49"/>
  <c r="AW2" i="49"/>
  <c r="AV30" i="49"/>
  <c r="AZ30" i="49"/>
  <c r="AU30" i="49"/>
  <c r="AY30" i="49"/>
  <c r="AX12" i="49"/>
  <c r="AZ12" i="49"/>
  <c r="AY12" i="49"/>
  <c r="AU11" i="49"/>
  <c r="AX11" i="49"/>
  <c r="AY7" i="49"/>
  <c r="AV7" i="49"/>
  <c r="AV5" i="49"/>
  <c r="AX23" i="49"/>
  <c r="G30" i="31"/>
  <c r="G32" i="31" s="1"/>
  <c r="AS26" i="49"/>
  <c r="BA26" i="49"/>
  <c r="AS25" i="49"/>
  <c r="BA25" i="49"/>
  <c r="AT22" i="49"/>
  <c r="BB22" i="49"/>
  <c r="AT21" i="49"/>
  <c r="AS21" i="49"/>
  <c r="BA21" i="49"/>
  <c r="AT20" i="49"/>
  <c r="AS20" i="49"/>
  <c r="BA20" i="49"/>
  <c r="AT11" i="49"/>
  <c r="BB11" i="49"/>
  <c r="AT9" i="49"/>
  <c r="BB9" i="49"/>
  <c r="AT7" i="49"/>
  <c r="BB7" i="49"/>
  <c r="AS7" i="49"/>
  <c r="BA7" i="49"/>
  <c r="AS3" i="49"/>
  <c r="BA3" i="49"/>
  <c r="AT4" i="49"/>
  <c r="BB4" i="49"/>
  <c r="AT6" i="49"/>
  <c r="BB6" i="49"/>
  <c r="AY2" i="49"/>
  <c r="AS31" i="49"/>
  <c r="AT30" i="49"/>
  <c r="BB30" i="49"/>
  <c r="AS29" i="49"/>
  <c r="BA29" i="49"/>
  <c r="AW17" i="49"/>
  <c r="C11" i="44"/>
  <c r="J8" i="48" s="1"/>
  <c r="H10" i="1"/>
  <c r="C14" i="44"/>
  <c r="J11" i="48" s="1"/>
  <c r="C16" i="44"/>
  <c r="J13" i="48" s="1"/>
  <c r="H17" i="1"/>
  <c r="J17" i="1" s="1"/>
  <c r="C18" i="44"/>
  <c r="J15" i="48" s="1"/>
  <c r="W5" i="45"/>
  <c r="C20" i="44"/>
  <c r="J17" i="48" s="1"/>
  <c r="H20" i="1"/>
  <c r="J20" i="1" s="1"/>
  <c r="C21" i="44"/>
  <c r="J18" i="48" s="1"/>
  <c r="H21" i="1"/>
  <c r="J21" i="1" s="1"/>
  <c r="C22" i="44"/>
  <c r="H25" i="1"/>
  <c r="J25" i="1" s="1"/>
  <c r="C26" i="44"/>
  <c r="BI25" i="49"/>
  <c r="AQ25" i="49"/>
  <c r="T25" i="49"/>
  <c r="S25" i="49"/>
  <c r="O25" i="49"/>
  <c r="N25" i="49"/>
  <c r="AK25" i="49"/>
  <c r="AH25" i="49"/>
  <c r="AE25" i="49"/>
  <c r="Y28" i="44"/>
  <c r="X25" i="49" s="1"/>
  <c r="AP25" i="49"/>
  <c r="AM25" i="49"/>
  <c r="M28" i="44"/>
  <c r="L25" i="49" s="1"/>
  <c r="G28" i="44"/>
  <c r="F25" i="49" s="1"/>
  <c r="AA5" i="45"/>
  <c r="C29" i="44"/>
  <c r="J26" i="48" s="1"/>
  <c r="H28" i="1"/>
  <c r="J28" i="1" s="1"/>
  <c r="AV9" i="1"/>
  <c r="BK32" i="49"/>
  <c r="BL32" i="49"/>
  <c r="AQ32" i="49"/>
  <c r="BC32" i="49"/>
  <c r="N32" i="49"/>
  <c r="Q32" i="49"/>
  <c r="R32" i="49"/>
  <c r="S32" i="49"/>
  <c r="U32" i="49"/>
  <c r="V32" i="49"/>
  <c r="W32" i="49"/>
  <c r="M32" i="49"/>
  <c r="AF32" i="49"/>
  <c r="AG32" i="49"/>
  <c r="AH32" i="49"/>
  <c r="AJ32" i="49"/>
  <c r="AK32" i="49"/>
  <c r="BJ31" i="49"/>
  <c r="BL31" i="49"/>
  <c r="AN31" i="49"/>
  <c r="N31" i="49"/>
  <c r="O31" i="49"/>
  <c r="P31" i="49"/>
  <c r="R31" i="49"/>
  <c r="T31" i="49"/>
  <c r="V31" i="49"/>
  <c r="Y31" i="49"/>
  <c r="AL10" i="49"/>
  <c r="BB20" i="1"/>
  <c r="BD20" i="1"/>
  <c r="BF5" i="1"/>
  <c r="BE5" i="1"/>
  <c r="BD5" i="1"/>
  <c r="AV13" i="1"/>
  <c r="BI10" i="49"/>
  <c r="BJ10" i="49"/>
  <c r="BK10" i="49"/>
  <c r="O10" i="49"/>
  <c r="Q10" i="49"/>
  <c r="T10" i="49"/>
  <c r="U10" i="49"/>
  <c r="V10" i="49"/>
  <c r="W10" i="49"/>
  <c r="Y10" i="49"/>
  <c r="AY27" i="1"/>
  <c r="AQ27" i="1"/>
  <c r="AX27" i="1"/>
  <c r="BL20" i="49"/>
  <c r="BK20" i="49"/>
  <c r="BJ20" i="49"/>
  <c r="BC14" i="1"/>
  <c r="BD14" i="1"/>
  <c r="BE14" i="1"/>
  <c r="BF14" i="1"/>
  <c r="BG14" i="1"/>
  <c r="BC11" i="49"/>
  <c r="AN11" i="49"/>
  <c r="N11" i="49"/>
  <c r="O11" i="49"/>
  <c r="P11" i="49"/>
  <c r="R11" i="49"/>
  <c r="T11" i="49"/>
  <c r="U11" i="49"/>
  <c r="W11" i="49"/>
  <c r="BB13" i="1"/>
  <c r="BC13" i="1"/>
  <c r="BD13" i="1"/>
  <c r="BE13" i="1"/>
  <c r="BF13" i="1"/>
  <c r="BG13" i="1"/>
  <c r="Y14" i="44"/>
  <c r="AV10" i="1"/>
  <c r="AZ10" i="1"/>
  <c r="BA10" i="1"/>
  <c r="BB10" i="1"/>
  <c r="BC10" i="1"/>
  <c r="BE10" i="1"/>
  <c r="BG10" i="1"/>
  <c r="AD8" i="49"/>
  <c r="AE8" i="49"/>
  <c r="AF8" i="49"/>
  <c r="AG8" i="49"/>
  <c r="N8" i="49"/>
  <c r="P8" i="49"/>
  <c r="Q8" i="49"/>
  <c r="S8" i="49"/>
  <c r="T8" i="49"/>
  <c r="V8" i="49"/>
  <c r="W8" i="49"/>
  <c r="Y8" i="49"/>
  <c r="BL8" i="49"/>
  <c r="BC4" i="49"/>
  <c r="AT6" i="1"/>
  <c r="BA6" i="1"/>
  <c r="BC6" i="1"/>
  <c r="BG6" i="1"/>
  <c r="M4" i="49"/>
  <c r="P4" i="49"/>
  <c r="Q4" i="49"/>
  <c r="R4" i="49"/>
  <c r="S4" i="49"/>
  <c r="T4" i="49"/>
  <c r="U4" i="49"/>
  <c r="W4" i="49"/>
  <c r="Y4" i="49"/>
  <c r="BJ4" i="49"/>
  <c r="BL4" i="49"/>
  <c r="AF9" i="49"/>
  <c r="N22" i="49"/>
  <c r="O22" i="49"/>
  <c r="U22" i="49"/>
  <c r="V22" i="49"/>
  <c r="W22" i="49"/>
  <c r="Y22" i="49"/>
  <c r="BF19" i="1"/>
  <c r="BG19" i="1"/>
  <c r="AV19" i="1"/>
  <c r="Y14" i="49"/>
  <c r="Y9" i="49"/>
  <c r="W9" i="49"/>
  <c r="U9" i="49"/>
  <c r="P9" i="49"/>
  <c r="Y7" i="49"/>
  <c r="W7" i="49"/>
  <c r="V7" i="49"/>
  <c r="T7" i="49"/>
  <c r="S7" i="49"/>
  <c r="R7" i="49"/>
  <c r="Q7" i="49"/>
  <c r="Y6" i="49"/>
  <c r="W6" i="49"/>
  <c r="V6" i="49"/>
  <c r="U6" i="49"/>
  <c r="T6" i="49"/>
  <c r="S6" i="49"/>
  <c r="R6" i="49"/>
  <c r="O6" i="49"/>
  <c r="N6" i="49"/>
  <c r="M6" i="49"/>
  <c r="AL5" i="49"/>
  <c r="Y5" i="49"/>
  <c r="U5" i="49"/>
  <c r="S5" i="49"/>
  <c r="BI11" i="49"/>
  <c r="BJ11" i="49"/>
  <c r="BK11" i="49"/>
  <c r="BI9" i="49"/>
  <c r="BJ9" i="49"/>
  <c r="BK9" i="49"/>
  <c r="D32" i="1"/>
  <c r="D31" i="1"/>
  <c r="D30" i="1"/>
  <c r="D29" i="1"/>
  <c r="D28" i="1"/>
  <c r="D27" i="1"/>
  <c r="D26" i="1"/>
  <c r="D25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D4" i="1"/>
  <c r="L33" i="44"/>
  <c r="K30" i="49" s="1"/>
  <c r="M33" i="44"/>
  <c r="L30" i="49" s="1"/>
  <c r="BL29" i="49"/>
  <c r="BK29" i="49"/>
  <c r="BJ29" i="49"/>
  <c r="BH29" i="49"/>
  <c r="AN29" i="49"/>
  <c r="Y29" i="49"/>
  <c r="V29" i="49"/>
  <c r="T29" i="49"/>
  <c r="R29" i="49"/>
  <c r="P29" i="49"/>
  <c r="O29" i="49"/>
  <c r="AK29" i="49"/>
  <c r="AH29" i="49"/>
  <c r="BG31" i="1"/>
  <c r="BF31" i="1"/>
  <c r="BD31" i="1"/>
  <c r="BA31" i="1"/>
  <c r="AZ31" i="1"/>
  <c r="AV31" i="1"/>
  <c r="BL28" i="49"/>
  <c r="BJ28" i="49"/>
  <c r="BI28" i="49"/>
  <c r="BC28" i="49"/>
  <c r="Y28" i="49"/>
  <c r="W28" i="49"/>
  <c r="V28" i="49"/>
  <c r="U28" i="49"/>
  <c r="T28" i="49"/>
  <c r="R28" i="49"/>
  <c r="P28" i="49"/>
  <c r="N28" i="49"/>
  <c r="BF30" i="1"/>
  <c r="BD30" i="1"/>
  <c r="AP30" i="1"/>
  <c r="BL27" i="49"/>
  <c r="BI27" i="49"/>
  <c r="BC27" i="49"/>
  <c r="Y27" i="49"/>
  <c r="W27" i="49"/>
  <c r="U27" i="49"/>
  <c r="S27" i="49"/>
  <c r="Q27" i="49"/>
  <c r="P27" i="49"/>
  <c r="N27" i="49"/>
  <c r="BD29" i="1"/>
  <c r="BC29" i="1"/>
  <c r="BL26" i="49"/>
  <c r="BK26" i="49"/>
  <c r="BJ26" i="49"/>
  <c r="AN26" i="49"/>
  <c r="Y26" i="49"/>
  <c r="U26" i="49"/>
  <c r="Q26" i="49"/>
  <c r="N26" i="49"/>
  <c r="M26" i="49"/>
  <c r="BG28" i="1"/>
  <c r="BF28" i="1"/>
  <c r="BC28" i="1"/>
  <c r="BB28" i="1"/>
  <c r="BA28" i="1"/>
  <c r="BF27" i="1"/>
  <c r="BE27" i="1"/>
  <c r="BC27" i="1"/>
  <c r="BA27" i="1"/>
  <c r="BH27" i="1"/>
  <c r="BI24" i="49"/>
  <c r="T24" i="49"/>
  <c r="S24" i="49"/>
  <c r="R24" i="49"/>
  <c r="Q24" i="49"/>
  <c r="P24" i="49"/>
  <c r="BG26" i="1"/>
  <c r="BF26" i="1"/>
  <c r="BE26" i="1"/>
  <c r="BD26" i="1"/>
  <c r="BC26" i="1"/>
  <c r="BB26" i="1"/>
  <c r="BA26" i="1"/>
  <c r="AV26" i="1"/>
  <c r="AN23" i="49"/>
  <c r="BK22" i="49"/>
  <c r="BJ22" i="49"/>
  <c r="BI22" i="49"/>
  <c r="BC22" i="49"/>
  <c r="M22" i="49"/>
  <c r="BJ21" i="49"/>
  <c r="BI21" i="49"/>
  <c r="AN21" i="49"/>
  <c r="W21" i="49"/>
  <c r="V21" i="49"/>
  <c r="U21" i="49"/>
  <c r="T21" i="49"/>
  <c r="R21" i="49"/>
  <c r="BI20" i="49"/>
  <c r="AN20" i="49"/>
  <c r="Y20" i="49"/>
  <c r="W20" i="49"/>
  <c r="T20" i="49"/>
  <c r="BF22" i="1"/>
  <c r="BA22" i="1"/>
  <c r="BL19" i="49"/>
  <c r="BK19" i="49"/>
  <c r="BI19" i="49"/>
  <c r="AN19" i="49"/>
  <c r="Y19" i="49"/>
  <c r="W19" i="49"/>
  <c r="V19" i="49"/>
  <c r="R19" i="49"/>
  <c r="N19" i="49"/>
  <c r="BL18" i="49"/>
  <c r="BK18" i="49"/>
  <c r="AO18" i="49"/>
  <c r="W18" i="49"/>
  <c r="V18" i="49"/>
  <c r="T18" i="49"/>
  <c r="Y21" i="44"/>
  <c r="X18" i="49" s="1"/>
  <c r="BC20" i="1"/>
  <c r="L21" i="44"/>
  <c r="K18" i="49" s="1"/>
  <c r="BL17" i="49"/>
  <c r="Y17" i="49"/>
  <c r="R17" i="49"/>
  <c r="P17" i="49"/>
  <c r="AJ17" i="49"/>
  <c r="AE17" i="49"/>
  <c r="BL16" i="49"/>
  <c r="BI16" i="49"/>
  <c r="AN16" i="49"/>
  <c r="Q16" i="49"/>
  <c r="O16" i="49"/>
  <c r="M16" i="49"/>
  <c r="AG16" i="49"/>
  <c r="AD16" i="49"/>
  <c r="BE18" i="1"/>
  <c r="BD18" i="1"/>
  <c r="BL15" i="49"/>
  <c r="BJ15" i="49"/>
  <c r="BD17" i="1"/>
  <c r="BC17" i="1"/>
  <c r="BA17" i="1"/>
  <c r="BL14" i="49"/>
  <c r="BI14" i="49"/>
  <c r="AQ14" i="49"/>
  <c r="BF16" i="1"/>
  <c r="BD16" i="1"/>
  <c r="BH11" i="49"/>
  <c r="AH10" i="49"/>
  <c r="AG10" i="49"/>
  <c r="BG12" i="1"/>
  <c r="BF12" i="1"/>
  <c r="BE12" i="1"/>
  <c r="BD12" i="1"/>
  <c r="BB12" i="1"/>
  <c r="BA12" i="1"/>
  <c r="AZ12" i="1"/>
  <c r="AV12" i="1"/>
  <c r="BC9" i="49"/>
  <c r="AJ9" i="49"/>
  <c r="AI9" i="49"/>
  <c r="AH9" i="49"/>
  <c r="AG9" i="49"/>
  <c r="AE9" i="49"/>
  <c r="Y12" i="44"/>
  <c r="BG11" i="1"/>
  <c r="BF11" i="1"/>
  <c r="BE11" i="1"/>
  <c r="BD11" i="1"/>
  <c r="BC11" i="1"/>
  <c r="BA11" i="1"/>
  <c r="AV11" i="1"/>
  <c r="BK7" i="49"/>
  <c r="AN7" i="49"/>
  <c r="Y10" i="44"/>
  <c r="X7" i="49" s="1"/>
  <c r="BG9" i="1"/>
  <c r="BF9" i="1"/>
  <c r="BE9" i="1"/>
  <c r="BD9" i="1"/>
  <c r="BC9" i="1"/>
  <c r="BB9" i="1"/>
  <c r="AZ9" i="1"/>
  <c r="BI6" i="49"/>
  <c r="BK6" i="49"/>
  <c r="BC6" i="49"/>
  <c r="BA8" i="1"/>
  <c r="BB8" i="1"/>
  <c r="BC8" i="1"/>
  <c r="BE8" i="1"/>
  <c r="BF8" i="1"/>
  <c r="BG8" i="1"/>
  <c r="AZ8" i="1"/>
  <c r="AV8" i="1"/>
  <c r="BI5" i="49"/>
  <c r="BJ5" i="49"/>
  <c r="BL5" i="49"/>
  <c r="BC5" i="49"/>
  <c r="BB7" i="1"/>
  <c r="BD7" i="1"/>
  <c r="BE7" i="1"/>
  <c r="BG7" i="1"/>
  <c r="AV7" i="1"/>
  <c r="AF17" i="49"/>
  <c r="BC3" i="49"/>
  <c r="AO3" i="49"/>
  <c r="BC2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M5" i="44"/>
  <c r="L2" i="49" s="1"/>
  <c r="S25" i="1"/>
  <c r="S22" i="1"/>
  <c r="U22" i="1" s="1"/>
  <c r="S7" i="1"/>
  <c r="S9" i="1"/>
  <c r="S12" i="1"/>
  <c r="U12" i="1" s="1"/>
  <c r="S13" i="1"/>
  <c r="S14" i="1"/>
  <c r="S15" i="1"/>
  <c r="U15" i="1" s="1"/>
  <c r="S16" i="1"/>
  <c r="U16" i="1" s="1"/>
  <c r="S18" i="1"/>
  <c r="S20" i="1"/>
  <c r="S31" i="1"/>
  <c r="U31" i="1" s="1"/>
  <c r="S27" i="1"/>
  <c r="S19" i="1"/>
  <c r="S10" i="1"/>
  <c r="S8" i="1"/>
  <c r="U8" i="1" s="1"/>
  <c r="S17" i="1"/>
  <c r="S26" i="1"/>
  <c r="S28" i="1"/>
  <c r="U28" i="1" s="1"/>
  <c r="S29" i="1"/>
  <c r="U29" i="1" s="1"/>
  <c r="S32" i="1"/>
  <c r="S23" i="1"/>
  <c r="U23" i="1" s="1"/>
  <c r="S6" i="1"/>
  <c r="S5" i="1"/>
  <c r="F18" i="35"/>
  <c r="D18" i="35"/>
  <c r="F17" i="35"/>
  <c r="D17" i="35"/>
  <c r="F16" i="35"/>
  <c r="D16" i="35"/>
  <c r="F15" i="35"/>
  <c r="D15" i="35"/>
  <c r="F14" i="35"/>
  <c r="D14" i="35"/>
  <c r="F13" i="35"/>
  <c r="D13" i="35"/>
  <c r="F12" i="35"/>
  <c r="D12" i="35"/>
  <c r="F11" i="35"/>
  <c r="D11" i="35"/>
  <c r="F10" i="35"/>
  <c r="D10" i="35"/>
  <c r="F9" i="35"/>
  <c r="D9" i="35"/>
  <c r="F8" i="35"/>
  <c r="D8" i="35"/>
  <c r="F7" i="35"/>
  <c r="D7" i="35"/>
  <c r="F6" i="35"/>
  <c r="D6" i="35"/>
  <c r="F5" i="35"/>
  <c r="D5" i="35"/>
  <c r="F4" i="35"/>
  <c r="D4" i="35"/>
  <c r="J12" i="35"/>
  <c r="J4" i="35"/>
  <c r="AM36" i="1"/>
  <c r="C36" i="1"/>
  <c r="B36" i="1"/>
  <c r="J13" i="35"/>
  <c r="H8" i="35"/>
  <c r="J8" i="35"/>
  <c r="M8" i="35"/>
  <c r="I8" i="35"/>
  <c r="L8" i="35"/>
  <c r="J7" i="35"/>
  <c r="J9" i="35"/>
  <c r="J10" i="35"/>
  <c r="J11" i="35"/>
  <c r="J5" i="35"/>
  <c r="E8" i="35"/>
  <c r="J15" i="35"/>
  <c r="BK3" i="49"/>
  <c r="BJ3" i="49"/>
  <c r="R3" i="49"/>
  <c r="P3" i="49"/>
  <c r="O3" i="49"/>
  <c r="W3" i="49"/>
  <c r="N3" i="49"/>
  <c r="AD3" i="49"/>
  <c r="M3" i="49"/>
  <c r="BL3" i="49"/>
  <c r="T3" i="49"/>
  <c r="BC21" i="1"/>
  <c r="BA21" i="1"/>
  <c r="BG21" i="1"/>
  <c r="BE33" i="1"/>
  <c r="AN34" i="1"/>
  <c r="AX33" i="1"/>
  <c r="BC31" i="49"/>
  <c r="BD33" i="1"/>
  <c r="AU33" i="1"/>
  <c r="BG33" i="1"/>
  <c r="BI31" i="49"/>
  <c r="H34" i="44"/>
  <c r="G31" i="49" s="1"/>
  <c r="AP33" i="1"/>
  <c r="AQ33" i="1"/>
  <c r="G34" i="44"/>
  <c r="F31" i="49" s="1"/>
  <c r="AW33" i="1"/>
  <c r="K34" i="44"/>
  <c r="J31" i="49" s="1"/>
  <c r="BA33" i="1"/>
  <c r="BB33" i="1"/>
  <c r="AL31" i="49"/>
  <c r="BC33" i="1"/>
  <c r="L34" i="44"/>
  <c r="K31" i="49" s="1"/>
  <c r="BH33" i="1"/>
  <c r="AZ28" i="1"/>
  <c r="AN30" i="49"/>
  <c r="AE29" i="45"/>
  <c r="AO29" i="49"/>
  <c r="AP32" i="49"/>
  <c r="AM19" i="49"/>
  <c r="AP28" i="49"/>
  <c r="AR32" i="49"/>
  <c r="AM6" i="49"/>
  <c r="AM7" i="49"/>
  <c r="AM9" i="49"/>
  <c r="P29" i="45"/>
  <c r="AO14" i="49"/>
  <c r="AM21" i="49"/>
  <c r="AD29" i="45"/>
  <c r="AO28" i="49"/>
  <c r="AR4" i="49"/>
  <c r="AP11" i="49"/>
  <c r="E29" i="45"/>
  <c r="AR6" i="49"/>
  <c r="AM32" i="49"/>
  <c r="AR3" i="49"/>
  <c r="AM10" i="49"/>
  <c r="AR9" i="49"/>
  <c r="AM15" i="49"/>
  <c r="AR16" i="49"/>
  <c r="AM17" i="49"/>
  <c r="AR27" i="49"/>
  <c r="M27" i="45"/>
  <c r="BF11" i="49" s="1"/>
  <c r="AR11" i="49"/>
  <c r="V29" i="45"/>
  <c r="AO20" i="49"/>
  <c r="AB29" i="45"/>
  <c r="AO26" i="49"/>
  <c r="AM14" i="49"/>
  <c r="AM4" i="49"/>
  <c r="AR5" i="49"/>
  <c r="AP7" i="49"/>
  <c r="AP9" i="49"/>
  <c r="U29" i="45"/>
  <c r="AO19" i="49"/>
  <c r="AR22" i="49"/>
  <c r="I8" i="44"/>
  <c r="H5" i="49" s="1"/>
  <c r="K10" i="44"/>
  <c r="F8" i="44"/>
  <c r="H8" i="44"/>
  <c r="G5" i="49" s="1"/>
  <c r="BC7" i="1"/>
  <c r="K9" i="44"/>
  <c r="J6" i="49" s="1"/>
  <c r="L12" i="44"/>
  <c r="K9" i="49" s="1"/>
  <c r="M24" i="44"/>
  <c r="L21" i="49" s="1"/>
  <c r="H27" i="44"/>
  <c r="G24" i="49" s="1"/>
  <c r="L31" i="44"/>
  <c r="K28" i="49" s="1"/>
  <c r="F32" i="44"/>
  <c r="E29" i="49" s="1"/>
  <c r="G15" i="44"/>
  <c r="F12" i="49" s="1"/>
  <c r="I25" i="44"/>
  <c r="H22" i="49" s="1"/>
  <c r="J9" i="44"/>
  <c r="I6" i="49" s="1"/>
  <c r="F5" i="45"/>
  <c r="H25" i="44"/>
  <c r="G22" i="49" s="1"/>
  <c r="K6" i="44"/>
  <c r="J3" i="49" s="1"/>
  <c r="M30" i="44"/>
  <c r="L27" i="49" s="1"/>
  <c r="M9" i="44"/>
  <c r="L6" i="49" s="1"/>
  <c r="I10" i="44"/>
  <c r="L10" i="44"/>
  <c r="I12" i="44"/>
  <c r="H9" i="49" s="1"/>
  <c r="I31" i="44"/>
  <c r="H28" i="49" s="1"/>
  <c r="F31" i="44"/>
  <c r="K32" i="44"/>
  <c r="J29" i="49" s="1"/>
  <c r="M7" i="44"/>
  <c r="L4" i="49" s="1"/>
  <c r="H15" i="44"/>
  <c r="G12" i="49" s="1"/>
  <c r="M14" i="44"/>
  <c r="L11" i="49" s="1"/>
  <c r="L6" i="44"/>
  <c r="K3" i="49" s="1"/>
  <c r="F29" i="44"/>
  <c r="L9" i="44"/>
  <c r="K6" i="49" s="1"/>
  <c r="G9" i="44"/>
  <c r="H10" i="44"/>
  <c r="G7" i="49" s="1"/>
  <c r="H12" i="44"/>
  <c r="G9" i="49" s="1"/>
  <c r="M27" i="44"/>
  <c r="L24" i="49" s="1"/>
  <c r="L11" i="44"/>
  <c r="K8" i="49" s="1"/>
  <c r="I15" i="44"/>
  <c r="H12" i="49" s="1"/>
  <c r="K33" i="44"/>
  <c r="J30" i="49" s="1"/>
  <c r="M16" i="44"/>
  <c r="L13" i="49" s="1"/>
  <c r="J8" i="44"/>
  <c r="I5" i="49" s="1"/>
  <c r="H9" i="44"/>
  <c r="G6" i="49" s="1"/>
  <c r="G10" i="44"/>
  <c r="G12" i="44"/>
  <c r="F9" i="49" s="1"/>
  <c r="K27" i="44"/>
  <c r="J24" i="49" s="1"/>
  <c r="K25" i="44"/>
  <c r="J22" i="49" s="1"/>
  <c r="H7" i="44"/>
  <c r="G4" i="49" s="1"/>
  <c r="J11" i="44"/>
  <c r="I8" i="49"/>
  <c r="H14" i="44"/>
  <c r="G11" i="49" s="1"/>
  <c r="I6" i="44"/>
  <c r="H3" i="49" s="1"/>
  <c r="M6" i="44"/>
  <c r="J24" i="44"/>
  <c r="I21" i="49" s="1"/>
  <c r="M11" i="44"/>
  <c r="L8" i="49"/>
  <c r="M8" i="44"/>
  <c r="L5" i="49" s="1"/>
  <c r="M32" i="44"/>
  <c r="L29" i="49" s="1"/>
  <c r="F9" i="44"/>
  <c r="E6" i="49" s="1"/>
  <c r="I9" i="44"/>
  <c r="H6" i="49" s="1"/>
  <c r="M10" i="44"/>
  <c r="M12" i="44"/>
  <c r="L9" i="49"/>
  <c r="I18" i="44"/>
  <c r="L30" i="44"/>
  <c r="K27" i="49" s="1"/>
  <c r="L25" i="44"/>
  <c r="K22" i="49" s="1"/>
  <c r="L14" i="44"/>
  <c r="K11" i="49" s="1"/>
  <c r="J15" i="44"/>
  <c r="I12" i="49" s="1"/>
  <c r="H6" i="44"/>
  <c r="G3" i="49" s="1"/>
  <c r="H24" i="44"/>
  <c r="G21" i="49" s="1"/>
  <c r="L27" i="44"/>
  <c r="K24" i="49" s="1"/>
  <c r="L8" i="44"/>
  <c r="K5" i="49" s="1"/>
  <c r="F10" i="44"/>
  <c r="E7" i="49" s="1"/>
  <c r="F12" i="44"/>
  <c r="E9" i="49" s="1"/>
  <c r="K12" i="44"/>
  <c r="J9" i="49" s="1"/>
  <c r="L16" i="44"/>
  <c r="K13" i="49" s="1"/>
  <c r="L17" i="44"/>
  <c r="K14" i="49" s="1"/>
  <c r="H18" i="44"/>
  <c r="G15" i="49" s="1"/>
  <c r="M17" i="44"/>
  <c r="L14" i="49" s="1"/>
  <c r="H20" i="44"/>
  <c r="G17" i="49" s="1"/>
  <c r="M25" i="44"/>
  <c r="L22" i="49" s="1"/>
  <c r="L7" i="44"/>
  <c r="K4" i="49" s="1"/>
  <c r="G6" i="44"/>
  <c r="J5" i="44"/>
  <c r="BC19" i="1"/>
  <c r="I20" i="44"/>
  <c r="H17" i="49" s="1"/>
  <c r="K11" i="44"/>
  <c r="J8" i="49" s="1"/>
  <c r="F11" i="44"/>
  <c r="K5" i="44"/>
  <c r="F14" i="44"/>
  <c r="E11" i="49" s="1"/>
  <c r="M26" i="44"/>
  <c r="L23" i="49" s="1"/>
  <c r="I7" i="44"/>
  <c r="H4" i="49" s="1"/>
  <c r="I14" i="44"/>
  <c r="H11" i="49" s="1"/>
  <c r="K29" i="44"/>
  <c r="J26" i="49" s="1"/>
  <c r="H26" i="44"/>
  <c r="G23" i="49" s="1"/>
  <c r="G7" i="44"/>
  <c r="F4" i="49" s="1"/>
  <c r="G14" i="44"/>
  <c r="F11" i="49" s="1"/>
  <c r="L26" i="44"/>
  <c r="K23" i="49" s="1"/>
  <c r="I11" i="44"/>
  <c r="J6" i="44"/>
  <c r="I3" i="49" s="1"/>
  <c r="H5" i="44"/>
  <c r="F5" i="44"/>
  <c r="E2" i="49" s="1"/>
  <c r="K8" i="44"/>
  <c r="J5" i="49" s="1"/>
  <c r="K7" i="44"/>
  <c r="J4" i="49" s="1"/>
  <c r="F7" i="44"/>
  <c r="H11" i="44"/>
  <c r="G16" i="44"/>
  <c r="F13" i="49" s="1"/>
  <c r="K14" i="44"/>
  <c r="J11" i="49" s="1"/>
  <c r="I5" i="44"/>
  <c r="L5" i="44"/>
  <c r="J10" i="44"/>
  <c r="I7" i="49" s="1"/>
  <c r="J12" i="44"/>
  <c r="I9" i="49" s="1"/>
  <c r="M19" i="44"/>
  <c r="L16" i="49" s="1"/>
  <c r="K22" i="44"/>
  <c r="J19" i="49" s="1"/>
  <c r="H33" i="44"/>
  <c r="G30" i="49" s="1"/>
  <c r="G8" i="44"/>
  <c r="F5" i="49" s="1"/>
  <c r="G11" i="44"/>
  <c r="F8" i="49" s="1"/>
  <c r="H29" i="44"/>
  <c r="G26" i="49" s="1"/>
  <c r="G17" i="44"/>
  <c r="F14" i="49" s="1"/>
  <c r="J14" i="44"/>
  <c r="I11" i="49" s="1"/>
  <c r="F6" i="44"/>
  <c r="AD5" i="49"/>
  <c r="AH5" i="49"/>
  <c r="AJ6" i="49"/>
  <c r="AF6" i="49"/>
  <c r="AD7" i="49"/>
  <c r="AH7" i="49"/>
  <c r="AG4" i="49"/>
  <c r="AI5" i="49"/>
  <c r="AE5" i="49"/>
  <c r="AK6" i="49"/>
  <c r="AG6" i="49"/>
  <c r="AG7" i="49"/>
  <c r="AK7" i="49"/>
  <c r="AD4" i="49"/>
  <c r="AJ5" i="49"/>
  <c r="AF5" i="49"/>
  <c r="AH6" i="49"/>
  <c r="AF7" i="49"/>
  <c r="AJ7" i="49"/>
  <c r="AI4" i="49"/>
  <c r="AE4" i="49"/>
  <c r="AI6" i="49"/>
  <c r="AI7" i="49"/>
  <c r="AF4" i="49"/>
  <c r="G8" i="1"/>
  <c r="Y30" i="44"/>
  <c r="X27" i="49" s="1"/>
  <c r="Y31" i="44"/>
  <c r="X28" i="49" s="1"/>
  <c r="Y29" i="44"/>
  <c r="Y17" i="44"/>
  <c r="X14" i="49" s="1"/>
  <c r="Y18" i="44"/>
  <c r="X15" i="49" s="1"/>
  <c r="BB17" i="1"/>
  <c r="BB16" i="1"/>
  <c r="AV17" i="1"/>
  <c r="Y6" i="44"/>
  <c r="X3" i="49" s="1"/>
  <c r="AV5" i="1"/>
  <c r="T29" i="45"/>
  <c r="BA23" i="1"/>
  <c r="BA24" i="1"/>
  <c r="AE11" i="49"/>
  <c r="AD11" i="49"/>
  <c r="BA25" i="1"/>
  <c r="BE25" i="1"/>
  <c r="AD30" i="49"/>
  <c r="BF24" i="1"/>
  <c r="AD31" i="49"/>
  <c r="AH19" i="49"/>
  <c r="BG23" i="1"/>
  <c r="BD25" i="1"/>
  <c r="AE14" i="49"/>
  <c r="AE19" i="49"/>
  <c r="BG24" i="1"/>
  <c r="AV6" i="1"/>
  <c r="AE18" i="49"/>
  <c r="BF23" i="1"/>
  <c r="AE21" i="49"/>
  <c r="AD22" i="49"/>
  <c r="BL23" i="49"/>
  <c r="BC23" i="49"/>
  <c r="Y23" i="49"/>
  <c r="W23" i="49"/>
  <c r="V23" i="49"/>
  <c r="T23" i="49"/>
  <c r="R23" i="49"/>
  <c r="Q23" i="49"/>
  <c r="O23" i="49"/>
  <c r="BC25" i="1"/>
  <c r="BB25" i="1"/>
  <c r="BC24" i="1"/>
  <c r="BB24" i="1"/>
  <c r="BB23" i="1"/>
  <c r="AV23" i="1"/>
  <c r="Y16" i="44"/>
  <c r="X13" i="49" s="1"/>
  <c r="AK11" i="49"/>
  <c r="AJ11" i="49"/>
  <c r="AH11" i="49"/>
  <c r="AG11" i="49"/>
  <c r="AF11" i="49"/>
  <c r="BG4" i="1"/>
  <c r="AX4" i="1"/>
  <c r="BH4" i="1"/>
  <c r="BF4" i="1"/>
  <c r="AW4" i="1"/>
  <c r="Y5" i="44"/>
  <c r="AY4" i="1"/>
  <c r="AK31" i="49"/>
  <c r="AJ31" i="49"/>
  <c r="AI31" i="49"/>
  <c r="AH31" i="49"/>
  <c r="AG31" i="49"/>
  <c r="AD29" i="49"/>
  <c r="AV29" i="1"/>
  <c r="AH28" i="49"/>
  <c r="AF28" i="49"/>
  <c r="AE27" i="49"/>
  <c r="AD27" i="49"/>
  <c r="AH27" i="49"/>
  <c r="AG27" i="49"/>
  <c r="AK27" i="49"/>
  <c r="AI26" i="49"/>
  <c r="AG26" i="49"/>
  <c r="AK26" i="49"/>
  <c r="AF26" i="49"/>
  <c r="AJ26" i="49"/>
  <c r="AG24" i="49"/>
  <c r="AK24" i="49"/>
  <c r="AE24" i="49"/>
  <c r="AD24" i="49"/>
  <c r="AH24" i="49"/>
  <c r="AJ22" i="49"/>
  <c r="AH22" i="49"/>
  <c r="AF22" i="49"/>
  <c r="AK21" i="49"/>
  <c r="AI21" i="49"/>
  <c r="AH21" i="49"/>
  <c r="AK20" i="49"/>
  <c r="AG20" i="49"/>
  <c r="AJ19" i="49"/>
  <c r="AK18" i="49"/>
  <c r="AJ18" i="49"/>
  <c r="AI18" i="49"/>
  <c r="I17" i="35"/>
  <c r="I16" i="35"/>
  <c r="AI14" i="49"/>
  <c r="AG14" i="49"/>
  <c r="AF14" i="49"/>
  <c r="BG32" i="1"/>
  <c r="AF30" i="49"/>
  <c r="BI30" i="49"/>
  <c r="AV32" i="1"/>
  <c r="BF32" i="1"/>
  <c r="AI30" i="49"/>
  <c r="BL30" i="49"/>
  <c r="V30" i="49"/>
  <c r="R30" i="49"/>
  <c r="D5" i="45"/>
  <c r="M30" i="49"/>
  <c r="S30" i="49"/>
  <c r="O30" i="49"/>
  <c r="T30" i="49"/>
  <c r="P30" i="49"/>
  <c r="AT24" i="1"/>
  <c r="BK13" i="49"/>
  <c r="BD15" i="1"/>
  <c r="S13" i="49"/>
  <c r="BL13" i="49"/>
  <c r="BI13" i="49"/>
  <c r="N12" i="49"/>
  <c r="V12" i="49"/>
  <c r="BI12" i="49"/>
  <c r="Q12" i="49"/>
  <c r="U12" i="49"/>
  <c r="BL12" i="49"/>
  <c r="P12" i="49"/>
  <c r="Y12" i="49"/>
  <c r="AV14" i="1"/>
  <c r="BK12" i="49"/>
  <c r="T5" i="45"/>
  <c r="G5" i="45"/>
  <c r="M5" i="45"/>
  <c r="AQ6" i="49"/>
  <c r="BE21" i="1"/>
  <c r="L5" i="45"/>
  <c r="X5" i="45"/>
  <c r="P5" i="45"/>
  <c r="K5" i="45"/>
  <c r="O5" i="45"/>
  <c r="R5" i="45"/>
  <c r="S5" i="45"/>
  <c r="V5" i="45"/>
  <c r="AB5" i="45"/>
  <c r="AE5" i="45"/>
  <c r="AQ10" i="49"/>
  <c r="AV18" i="1"/>
  <c r="AQ18" i="49"/>
  <c r="BE24" i="1"/>
  <c r="AQ8" i="49"/>
  <c r="H5" i="45"/>
  <c r="I5" i="45"/>
  <c r="N5" i="45"/>
  <c r="Q5" i="45"/>
  <c r="BE6" i="1"/>
  <c r="J5" i="45"/>
  <c r="BF6" i="1"/>
  <c r="BF7" i="1"/>
  <c r="G6" i="45"/>
  <c r="AQ5" i="49"/>
  <c r="F6" i="45"/>
  <c r="AY7" i="44"/>
  <c r="AH5" i="45"/>
  <c r="AG5" i="45"/>
  <c r="AF5" i="45"/>
  <c r="AQ31" i="49"/>
  <c r="BE29" i="1"/>
  <c r="AQ26" i="49"/>
  <c r="Y5" i="45"/>
  <c r="Z5" i="45"/>
  <c r="AQ21" i="49"/>
  <c r="AQ2" i="49"/>
  <c r="D6" i="45"/>
  <c r="AQ3" i="49"/>
  <c r="E5" i="45"/>
  <c r="I4" i="35"/>
  <c r="AP7" i="1"/>
  <c r="AR7" i="1"/>
  <c r="AP8" i="1"/>
  <c r="AW8" i="1"/>
  <c r="AS9" i="1"/>
  <c r="AX9" i="1"/>
  <c r="BH9" i="1"/>
  <c r="AR11" i="1"/>
  <c r="AY12" i="1"/>
  <c r="AT12" i="1"/>
  <c r="AX12" i="1"/>
  <c r="BH12" i="1"/>
  <c r="I12" i="35"/>
  <c r="AK10" i="49"/>
  <c r="AU18" i="1"/>
  <c r="AX20" i="1"/>
  <c r="BH20" i="1"/>
  <c r="AP22" i="1"/>
  <c r="AU23" i="1"/>
  <c r="AT25" i="1"/>
  <c r="AX25" i="1"/>
  <c r="BH25" i="1"/>
  <c r="AT26" i="1"/>
  <c r="AX26" i="1"/>
  <c r="BH26" i="1"/>
  <c r="AX30" i="1"/>
  <c r="BH30" i="1"/>
  <c r="AP31" i="1"/>
  <c r="AX32" i="1"/>
  <c r="AX16" i="1"/>
  <c r="AT16" i="1"/>
  <c r="AY16" i="1"/>
  <c r="AX19" i="1"/>
  <c r="AS19" i="1"/>
  <c r="AY24" i="1"/>
  <c r="AN8" i="44"/>
  <c r="BG5" i="49" s="1"/>
  <c r="I7" i="35"/>
  <c r="AK4" i="49"/>
  <c r="BD6" i="1"/>
  <c r="BH6" i="1"/>
  <c r="AX6" i="1"/>
  <c r="I10" i="35"/>
  <c r="AK8" i="49"/>
  <c r="BH10" i="1"/>
  <c r="AX10" i="1"/>
  <c r="AT10" i="1"/>
  <c r="BH13" i="1"/>
  <c r="AX14" i="1"/>
  <c r="AT14" i="1"/>
  <c r="AW13" i="1"/>
  <c r="AR5" i="1"/>
  <c r="AU28" i="1"/>
  <c r="AX7" i="1"/>
  <c r="BH7" i="1"/>
  <c r="AX8" i="1"/>
  <c r="AT8" i="1"/>
  <c r="AY8" i="1"/>
  <c r="AR9" i="1"/>
  <c r="AW9" i="1"/>
  <c r="AP12" i="1"/>
  <c r="AS12" i="1"/>
  <c r="AX17" i="1"/>
  <c r="AT18" i="1"/>
  <c r="AX18" i="1"/>
  <c r="AW20" i="1"/>
  <c r="AU21" i="1"/>
  <c r="AY23" i="1"/>
  <c r="AT23" i="1"/>
  <c r="AX23" i="1"/>
  <c r="AP24" i="1"/>
  <c r="AW25" i="1"/>
  <c r="AW26" i="1"/>
  <c r="AS30" i="1"/>
  <c r="AZ30" i="1"/>
  <c r="AS32" i="1"/>
  <c r="AU16" i="1"/>
  <c r="AU19" i="1"/>
  <c r="AQ6" i="1"/>
  <c r="AU10" i="1"/>
  <c r="AQ10" i="1"/>
  <c r="AU14" i="1"/>
  <c r="AQ14" i="1"/>
  <c r="AW15" i="1"/>
  <c r="AX13" i="1"/>
  <c r="AT13" i="1"/>
  <c r="BH5" i="1"/>
  <c r="I5" i="35"/>
  <c r="AT7" i="1"/>
  <c r="AU8" i="1"/>
  <c r="AQ9" i="1"/>
  <c r="AY11" i="1"/>
  <c r="AT11" i="1"/>
  <c r="AX11" i="1"/>
  <c r="BH11" i="1"/>
  <c r="AS17" i="1"/>
  <c r="AW17" i="1"/>
  <c r="AX21" i="1"/>
  <c r="AU22" i="1"/>
  <c r="AR25" i="1"/>
  <c r="AR32" i="1"/>
  <c r="AW24" i="1"/>
  <c r="AQ7" i="1"/>
  <c r="AR6" i="1"/>
  <c r="AN7" i="44"/>
  <c r="BG4" i="49" s="1"/>
  <c r="AR10" i="1"/>
  <c r="AR14" i="1"/>
  <c r="AX15" i="1"/>
  <c r="AT15" i="1"/>
  <c r="AY15" i="1"/>
  <c r="AU13" i="1"/>
  <c r="AQ13" i="1"/>
  <c r="AP5" i="1"/>
  <c r="AT5" i="1"/>
  <c r="AX5" i="1"/>
  <c r="AW29" i="1"/>
  <c r="AW28" i="1"/>
  <c r="AS28" i="1"/>
  <c r="AR8" i="1"/>
  <c r="BH8" i="1"/>
  <c r="AT9" i="1"/>
  <c r="AS11" i="1"/>
  <c r="AW11" i="1"/>
  <c r="I11" i="35"/>
  <c r="AK9" i="49"/>
  <c r="AP13" i="1"/>
  <c r="AP15" i="1"/>
  <c r="AR17" i="1"/>
  <c r="AQ20" i="1"/>
  <c r="AU20" i="1"/>
  <c r="AW21" i="1"/>
  <c r="AX22" i="1"/>
  <c r="AU25" i="1"/>
  <c r="AP29" i="1"/>
  <c r="AQ30" i="1"/>
  <c r="AY31" i="1"/>
  <c r="AT31" i="1"/>
  <c r="AX31" i="1"/>
  <c r="AR19" i="1"/>
  <c r="AX24" i="1"/>
  <c r="BH24" i="1"/>
  <c r="AW7" i="1"/>
  <c r="AP6" i="1"/>
  <c r="AW10" i="1"/>
  <c r="AP10" i="1"/>
  <c r="AS14" i="1"/>
  <c r="BH14" i="1"/>
  <c r="AU15" i="1"/>
  <c r="AQ15" i="1"/>
  <c r="AX29" i="1"/>
  <c r="AT29" i="1"/>
  <c r="AY29" i="1"/>
  <c r="AX28" i="1"/>
  <c r="AW30" i="1"/>
  <c r="AW31" i="1"/>
  <c r="H18" i="35"/>
  <c r="AL17" i="49"/>
  <c r="AL24" i="49"/>
  <c r="M16" i="35"/>
  <c r="O32" i="49"/>
  <c r="BG20" i="1"/>
  <c r="BH26" i="49"/>
  <c r="AL9" i="49"/>
  <c r="M15" i="35"/>
  <c r="M13" i="49"/>
  <c r="M10" i="35"/>
  <c r="M8" i="49"/>
  <c r="P15" i="49"/>
  <c r="H11" i="35"/>
  <c r="K11" i="35" s="1"/>
  <c r="BH14" i="49"/>
  <c r="BH30" i="49"/>
  <c r="M14" i="35"/>
  <c r="AL12" i="49"/>
  <c r="BH32" i="49"/>
  <c r="AN5" i="44"/>
  <c r="BG2" i="49" s="1"/>
  <c r="H12" i="35"/>
  <c r="BH12" i="49"/>
  <c r="AL18" i="49"/>
  <c r="BH21" i="49"/>
  <c r="AL28" i="49"/>
  <c r="O5" i="49"/>
  <c r="P5" i="49"/>
  <c r="AL6" i="49"/>
  <c r="M13" i="35"/>
  <c r="M11" i="49"/>
  <c r="AL22" i="49"/>
  <c r="H7" i="35"/>
  <c r="H10" i="35"/>
  <c r="K10" i="35" s="1"/>
  <c r="BH15" i="49"/>
  <c r="BH16" i="49"/>
  <c r="AL16" i="49"/>
  <c r="Y15" i="49"/>
  <c r="U15" i="49"/>
  <c r="Q15" i="49"/>
  <c r="M18" i="35"/>
  <c r="M17" i="35"/>
  <c r="N15" i="49"/>
  <c r="L4" i="1"/>
  <c r="P36" i="1"/>
  <c r="U9" i="1"/>
  <c r="AS4" i="1"/>
  <c r="U7" i="1"/>
  <c r="BB32" i="1"/>
  <c r="AR23" i="1"/>
  <c r="BB19" i="1"/>
  <c r="T36" i="1"/>
  <c r="AS27" i="1"/>
  <c r="AY26" i="1"/>
  <c r="BG30" i="1"/>
  <c r="BB27" i="1"/>
  <c r="U26" i="1"/>
  <c r="E9" i="35"/>
  <c r="U25" i="1"/>
  <c r="U18" i="1"/>
  <c r="U14" i="1"/>
  <c r="U32" i="1"/>
  <c r="D36" i="1"/>
  <c r="I36" i="1"/>
  <c r="BB15" i="1"/>
  <c r="U13" i="1"/>
  <c r="AU12" i="1"/>
  <c r="M11" i="35"/>
  <c r="BB11" i="1"/>
  <c r="BF10" i="1"/>
  <c r="BA14" i="1"/>
  <c r="AQ5" i="1"/>
  <c r="AY13" i="1"/>
  <c r="L17" i="35"/>
  <c r="O17" i="35" s="1"/>
  <c r="AP4" i="1"/>
  <c r="AQ18" i="1"/>
  <c r="BA13" i="1"/>
  <c r="AR13" i="1"/>
  <c r="BM13" i="1" s="1"/>
  <c r="AQ23" i="1"/>
  <c r="AR26" i="1"/>
  <c r="AP28" i="1"/>
  <c r="BC4" i="1"/>
  <c r="BL4" i="1" s="1"/>
  <c r="U20" i="1"/>
  <c r="AZ11" i="1"/>
  <c r="AW12" i="1"/>
  <c r="AP19" i="1"/>
  <c r="BH29" i="1"/>
  <c r="AS10" i="1"/>
  <c r="AU30" i="1"/>
  <c r="AP23" i="1"/>
  <c r="BE23" i="1"/>
  <c r="BC30" i="1"/>
  <c r="M12" i="35"/>
  <c r="E5" i="47"/>
  <c r="AY10" i="1"/>
  <c r="AR4" i="1"/>
  <c r="BB18" i="1"/>
  <c r="BB36" i="1" s="1"/>
  <c r="AY22" i="1"/>
  <c r="U27" i="1"/>
  <c r="U10" i="1"/>
  <c r="U5" i="1"/>
  <c r="M36" i="1"/>
  <c r="BA9" i="1"/>
  <c r="M9" i="35"/>
  <c r="O9" i="35" s="1"/>
  <c r="AP9" i="1"/>
  <c r="AS8" i="1"/>
  <c r="AR12" i="1"/>
  <c r="S36" i="1"/>
  <c r="U17" i="1"/>
  <c r="AP11" i="1"/>
  <c r="BH15" i="1"/>
  <c r="AY25" i="1"/>
  <c r="BD28" i="1"/>
  <c r="BB14" i="1"/>
  <c r="AS24" i="1"/>
  <c r="AW27" i="1"/>
  <c r="L18" i="35"/>
  <c r="U19" i="1"/>
  <c r="AY9" i="1"/>
  <c r="K8" i="35"/>
  <c r="H4" i="35"/>
  <c r="K4" i="35" s="1"/>
  <c r="AQ11" i="1"/>
  <c r="AP21" i="1"/>
  <c r="BB21" i="1"/>
  <c r="AU11" i="1"/>
  <c r="AP14" i="1"/>
  <c r="AV25" i="1"/>
  <c r="AQ8" i="1"/>
  <c r="BC12" i="1"/>
  <c r="AS13" i="1"/>
  <c r="AU9" i="1"/>
  <c r="AE9" i="1" s="1"/>
  <c r="AQ12" i="1"/>
  <c r="BH16" i="1"/>
  <c r="BH17" i="1"/>
  <c r="E7" i="35"/>
  <c r="G7" i="35" s="1"/>
  <c r="M6" i="35"/>
  <c r="BA7" i="1"/>
  <c r="AZ7" i="1"/>
  <c r="AU7" i="1"/>
  <c r="AS7" i="1"/>
  <c r="BL7" i="1" s="1"/>
  <c r="AY7" i="1"/>
  <c r="L7" i="1"/>
  <c r="M7" i="35"/>
  <c r="BB6" i="1"/>
  <c r="AZ6" i="1"/>
  <c r="AW6" i="1"/>
  <c r="AU6" i="1"/>
  <c r="AE6" i="1" s="1"/>
  <c r="AS6" i="1"/>
  <c r="AY6" i="1"/>
  <c r="L6" i="1"/>
  <c r="E4" i="47"/>
  <c r="M5" i="35"/>
  <c r="BB5" i="1"/>
  <c r="BA4" i="1"/>
  <c r="AW5" i="1"/>
  <c r="AU5" i="1"/>
  <c r="AS5" i="1"/>
  <c r="AY5" i="1"/>
  <c r="E3" i="47"/>
  <c r="AZ4" i="1"/>
  <c r="AT4" i="1"/>
  <c r="AQ4" i="1"/>
  <c r="M4" i="35"/>
  <c r="BE4" i="1"/>
  <c r="BD4" i="1"/>
  <c r="BB4" i="1"/>
  <c r="AV4" i="1"/>
  <c r="AU4" i="1"/>
  <c r="E2" i="47"/>
  <c r="BB31" i="1"/>
  <c r="BH32" i="1"/>
  <c r="AZ32" i="1"/>
  <c r="AW32" i="1"/>
  <c r="AU32" i="1"/>
  <c r="AT32" i="1"/>
  <c r="AY32" i="1"/>
  <c r="X26" i="49"/>
  <c r="K7" i="49"/>
  <c r="J7" i="49"/>
  <c r="H7" i="49"/>
  <c r="F7" i="49"/>
  <c r="L7" i="49"/>
  <c r="E28" i="49"/>
  <c r="E26" i="49"/>
  <c r="E8" i="49"/>
  <c r="E4" i="49"/>
  <c r="E3" i="49"/>
  <c r="J2" i="49"/>
  <c r="AF3" i="49"/>
  <c r="AJ3" i="49"/>
  <c r="L3" i="49"/>
  <c r="AL3" i="49"/>
  <c r="AG3" i="49"/>
  <c r="G2" i="49"/>
  <c r="BH8" i="49"/>
  <c r="BH7" i="49"/>
  <c r="AZ21" i="1"/>
  <c r="H33" i="1"/>
  <c r="J33" i="1" s="1"/>
  <c r="C34" i="44"/>
  <c r="BH3" i="49"/>
  <c r="BH4" i="49"/>
  <c r="AR31" i="49"/>
  <c r="Y34" i="1"/>
  <c r="AN18" i="1"/>
  <c r="F24" i="45"/>
  <c r="BD4" i="49" s="1"/>
  <c r="BJ2" i="49"/>
  <c r="AE2" i="49"/>
  <c r="AF2" i="49"/>
  <c r="B9" i="44"/>
  <c r="K2" i="49"/>
  <c r="Y2" i="49"/>
  <c r="AJ2" i="49"/>
  <c r="H2" i="49"/>
  <c r="V2" i="49"/>
  <c r="U2" i="49"/>
  <c r="P2" i="49"/>
  <c r="AK2" i="49"/>
  <c r="AL2" i="49"/>
  <c r="AG2" i="49"/>
  <c r="W2" i="49"/>
  <c r="Q2" i="49"/>
  <c r="I2" i="49"/>
  <c r="R2" i="49"/>
  <c r="M2" i="49"/>
  <c r="AH2" i="49"/>
  <c r="BI2" i="49"/>
  <c r="BH2" i="49"/>
  <c r="AD2" i="49"/>
  <c r="D24" i="45"/>
  <c r="BD2" i="49" s="1"/>
  <c r="BC2" i="49"/>
  <c r="AQ9" i="49"/>
  <c r="AR23" i="49"/>
  <c r="AM23" i="49"/>
  <c r="AR30" i="49"/>
  <c r="D29" i="45"/>
  <c r="AO2" i="49"/>
  <c r="AP10" i="49"/>
  <c r="AP2" i="49"/>
  <c r="AP27" i="49"/>
  <c r="AF29" i="45"/>
  <c r="AM11" i="49"/>
  <c r="AR2" i="49"/>
  <c r="AM2" i="49"/>
  <c r="AN11" i="1"/>
  <c r="AN22" i="1"/>
  <c r="H9" i="35"/>
  <c r="I9" i="35"/>
  <c r="I22" i="44"/>
  <c r="H19" i="49" s="1"/>
  <c r="G22" i="44"/>
  <c r="F19" i="49" s="1"/>
  <c r="F22" i="44"/>
  <c r="E19" i="49" s="1"/>
  <c r="AN10" i="1"/>
  <c r="AN13" i="1"/>
  <c r="J7" i="44"/>
  <c r="I4" i="49" s="1"/>
  <c r="S11" i="1"/>
  <c r="U11" i="1" s="1"/>
  <c r="E6" i="47"/>
  <c r="I6" i="35"/>
  <c r="H6" i="35"/>
  <c r="H5" i="35"/>
  <c r="H17" i="35"/>
  <c r="K17" i="35" s="1"/>
  <c r="AN8" i="1"/>
  <c r="I13" i="35"/>
  <c r="AK13" i="49"/>
  <c r="AN5" i="1"/>
  <c r="AE23" i="49"/>
  <c r="AJ23" i="49"/>
  <c r="AI23" i="49"/>
  <c r="AH23" i="49"/>
  <c r="AF23" i="49"/>
  <c r="I14" i="35"/>
  <c r="H13" i="35"/>
  <c r="H15" i="35"/>
  <c r="L5" i="1"/>
  <c r="Y5" i="1"/>
  <c r="AN6" i="44"/>
  <c r="BG3" i="49" s="1"/>
  <c r="AH12" i="49"/>
  <c r="AJ12" i="49"/>
  <c r="AF12" i="49"/>
  <c r="BF20" i="1"/>
  <c r="AJ5" i="1"/>
  <c r="K12" i="35"/>
  <c r="K7" i="35"/>
  <c r="AE13" i="1"/>
  <c r="BO8" i="1"/>
  <c r="AS21" i="1"/>
  <c r="AS20" i="1"/>
  <c r="O4" i="1"/>
  <c r="R4" i="1" s="1"/>
  <c r="I2" i="47"/>
  <c r="BB22" i="1"/>
  <c r="BL6" i="1"/>
  <c r="BM7" i="1"/>
  <c r="O6" i="1"/>
  <c r="Y11" i="1"/>
  <c r="K7" i="1"/>
  <c r="AE11" i="1"/>
  <c r="K6" i="1"/>
  <c r="K5" i="1"/>
  <c r="AD4" i="1"/>
  <c r="AE4" i="1"/>
  <c r="K4" i="1"/>
  <c r="H6" i="45"/>
  <c r="H24" i="45" s="1"/>
  <c r="BD6" i="49" s="1"/>
  <c r="H34" i="1"/>
  <c r="K34" i="1" s="1"/>
  <c r="C35" i="44"/>
  <c r="J32" i="48" s="1"/>
  <c r="G9" i="1"/>
  <c r="D9" i="44"/>
  <c r="AN9" i="44"/>
  <c r="BG6" i="49" s="1"/>
  <c r="L8" i="1"/>
  <c r="G6" i="47" s="1"/>
  <c r="B10" i="44"/>
  <c r="BL8" i="1"/>
  <c r="BK8" i="1"/>
  <c r="BM8" i="1"/>
  <c r="G3" i="47"/>
  <c r="AT6" i="44"/>
  <c r="N5" i="1"/>
  <c r="Q4" i="1"/>
  <c r="I6" i="45"/>
  <c r="E10" i="44"/>
  <c r="E9" i="44"/>
  <c r="O8" i="1"/>
  <c r="G10" i="1"/>
  <c r="B11" i="44"/>
  <c r="K10" i="1"/>
  <c r="N8" i="1"/>
  <c r="D11" i="44"/>
  <c r="AN11" i="44"/>
  <c r="BG8" i="49" s="1"/>
  <c r="L10" i="1"/>
  <c r="D10" i="44"/>
  <c r="AN10" i="44"/>
  <c r="BG7" i="49" s="1"/>
  <c r="L9" i="1"/>
  <c r="G7" i="47" s="1"/>
  <c r="O9" i="1"/>
  <c r="Q9" i="1" s="1"/>
  <c r="B12" i="44"/>
  <c r="G11" i="1"/>
  <c r="E8" i="47"/>
  <c r="N9" i="1"/>
  <c r="G12" i="1"/>
  <c r="G13" i="1"/>
  <c r="K6" i="45"/>
  <c r="K24" i="45" s="1"/>
  <c r="BD9" i="49" s="1"/>
  <c r="L6" i="45"/>
  <c r="L24" i="45" s="1"/>
  <c r="BD10" i="49" s="1"/>
  <c r="AN13" i="44"/>
  <c r="BG10" i="49" s="1"/>
  <c r="L11" i="1"/>
  <c r="AN12" i="44"/>
  <c r="BG9" i="49" s="1"/>
  <c r="D12" i="44"/>
  <c r="B13" i="44"/>
  <c r="B14" i="44"/>
  <c r="E13" i="44"/>
  <c r="O12" i="1"/>
  <c r="R12" i="1" s="1"/>
  <c r="L12" i="1"/>
  <c r="D13" i="44"/>
  <c r="E11" i="47"/>
  <c r="BL13" i="1"/>
  <c r="K13" i="1"/>
  <c r="M6" i="45"/>
  <c r="G16" i="1"/>
  <c r="D14" i="44"/>
  <c r="AN14" i="44"/>
  <c r="L13" i="1"/>
  <c r="N13" i="1" s="1"/>
  <c r="D15" i="44"/>
  <c r="E18" i="47"/>
  <c r="K20" i="1"/>
  <c r="B17" i="44"/>
  <c r="B18" i="44"/>
  <c r="G17" i="1"/>
  <c r="AN15" i="44"/>
  <c r="L14" i="1"/>
  <c r="G12" i="47" s="1"/>
  <c r="O6" i="45"/>
  <c r="AN16" i="44"/>
  <c r="N14" i="1"/>
  <c r="G19" i="1"/>
  <c r="AN18" i="44"/>
  <c r="BG15" i="49" s="1"/>
  <c r="L17" i="1"/>
  <c r="N17" i="1" s="1"/>
  <c r="D18" i="44"/>
  <c r="B22" i="44"/>
  <c r="L19" i="1"/>
  <c r="G17" i="47" s="1"/>
  <c r="E23" i="47"/>
  <c r="K25" i="1"/>
  <c r="S6" i="45"/>
  <c r="E20" i="44"/>
  <c r="O19" i="1"/>
  <c r="G23" i="1"/>
  <c r="B24" i="44"/>
  <c r="L21" i="1"/>
  <c r="G19" i="47" s="1"/>
  <c r="E26" i="47"/>
  <c r="K28" i="1"/>
  <c r="V6" i="45"/>
  <c r="V24" i="45" s="1"/>
  <c r="BD20" i="49" s="1"/>
  <c r="AN23" i="44"/>
  <c r="BG20" i="49" s="1"/>
  <c r="G26" i="1"/>
  <c r="B27" i="44"/>
  <c r="AN24" i="44"/>
  <c r="BG21" i="49" s="1"/>
  <c r="D24" i="44"/>
  <c r="L23" i="1"/>
  <c r="G21" i="47" s="1"/>
  <c r="X6" i="45"/>
  <c r="X24" i="45" s="1"/>
  <c r="BD22" i="49" s="1"/>
  <c r="B28" i="44"/>
  <c r="L24" i="1"/>
  <c r="G28" i="1"/>
  <c r="B29" i="44"/>
  <c r="AN26" i="44"/>
  <c r="G29" i="1"/>
  <c r="AN27" i="44"/>
  <c r="D27" i="44"/>
  <c r="L26" i="1"/>
  <c r="N26" i="1" s="1"/>
  <c r="B31" i="44"/>
  <c r="G30" i="1"/>
  <c r="AN29" i="44"/>
  <c r="AT29" i="44" s="1"/>
  <c r="BM26" i="49" s="1"/>
  <c r="L28" i="1"/>
  <c r="N28" i="1" s="1"/>
  <c r="D29" i="44"/>
  <c r="AN30" i="44"/>
  <c r="L29" i="1"/>
  <c r="G27" i="47" s="1"/>
  <c r="D30" i="44"/>
  <c r="AD6" i="45"/>
  <c r="AN31" i="44"/>
  <c r="L30" i="1"/>
  <c r="G28" i="47" s="1"/>
  <c r="D31" i="44"/>
  <c r="BG27" i="49"/>
  <c r="N29" i="1"/>
  <c r="AE6" i="45"/>
  <c r="AE24" i="45" s="1"/>
  <c r="BD29" i="49" s="1"/>
  <c r="AF6" i="45"/>
  <c r="D32" i="44"/>
  <c r="J85" i="2"/>
  <c r="AG6" i="45"/>
  <c r="AG24" i="45" s="1"/>
  <c r="BD31" i="49" s="1"/>
  <c r="D34" i="44"/>
  <c r="J90" i="3"/>
  <c r="J90" i="2"/>
  <c r="J83" i="5"/>
  <c r="J83" i="3"/>
  <c r="J83" i="4"/>
  <c r="J90" i="28"/>
  <c r="H88" i="50"/>
  <c r="J88" i="50" s="1"/>
  <c r="J87" i="2"/>
  <c r="AC23" i="49"/>
  <c r="AC18" i="49"/>
  <c r="J75" i="2"/>
  <c r="J77" i="2"/>
  <c r="J76" i="2"/>
  <c r="J74" i="2"/>
  <c r="H89" i="50"/>
  <c r="J89" i="50" s="1"/>
  <c r="J83" i="2"/>
  <c r="H75" i="50"/>
  <c r="J75" i="50" s="1"/>
  <c r="H77" i="50"/>
  <c r="J77" i="50" s="1"/>
  <c r="H63" i="50"/>
  <c r="J63" i="50" s="1"/>
  <c r="H76" i="50"/>
  <c r="J76" i="50" s="1"/>
  <c r="AH6" i="45"/>
  <c r="AC31" i="49"/>
  <c r="J86" i="3"/>
  <c r="J86" i="2"/>
  <c r="J104" i="2"/>
  <c r="J82" i="2"/>
  <c r="J84" i="2"/>
  <c r="J88" i="2"/>
  <c r="J102" i="2"/>
  <c r="J91" i="2"/>
  <c r="J100" i="2"/>
  <c r="J63" i="2"/>
  <c r="J65" i="2"/>
  <c r="K33" i="1"/>
  <c r="E31" i="47"/>
  <c r="J103" i="2"/>
  <c r="J105" i="2"/>
  <c r="J101" i="2"/>
  <c r="J68" i="11"/>
  <c r="J68" i="9"/>
  <c r="J68" i="10"/>
  <c r="J68" i="7"/>
  <c r="J68" i="8"/>
  <c r="J68" i="5"/>
  <c r="J68" i="33"/>
  <c r="J68" i="3"/>
  <c r="J68" i="4"/>
  <c r="J66" i="3"/>
  <c r="J70" i="2"/>
  <c r="J66" i="2"/>
  <c r="J64" i="2"/>
  <c r="J68" i="2"/>
  <c r="I18" i="17"/>
  <c r="I7" i="31"/>
  <c r="I15" i="29"/>
  <c r="I15" i="25"/>
  <c r="I18" i="15"/>
  <c r="I15" i="27"/>
  <c r="I18" i="24"/>
  <c r="I18" i="23"/>
  <c r="I15" i="31"/>
  <c r="I18" i="28"/>
  <c r="I18" i="33"/>
  <c r="I15" i="30"/>
  <c r="I18" i="43"/>
  <c r="I18" i="8"/>
  <c r="I15" i="40"/>
  <c r="I18" i="31"/>
  <c r="I15" i="24"/>
  <c r="I7" i="43"/>
  <c r="I7" i="29"/>
  <c r="I15" i="15"/>
  <c r="I7" i="17"/>
  <c r="I15" i="23"/>
  <c r="I7" i="40"/>
  <c r="I15" i="20"/>
  <c r="I15" i="9"/>
  <c r="I18" i="40"/>
  <c r="I15" i="17"/>
  <c r="I16" i="50"/>
  <c r="I7" i="27"/>
  <c r="I18" i="30"/>
  <c r="I15" i="28"/>
  <c r="I7" i="13"/>
  <c r="I15" i="33"/>
  <c r="I15" i="11"/>
  <c r="I18" i="11"/>
  <c r="I7" i="9"/>
  <c r="I7" i="20"/>
  <c r="I18" i="19"/>
  <c r="I18" i="16"/>
  <c r="I7" i="8"/>
  <c r="I18" i="7"/>
  <c r="I15" i="19"/>
  <c r="I18" i="12"/>
  <c r="I7" i="24"/>
  <c r="I18" i="14"/>
  <c r="I18" i="21"/>
  <c r="I15" i="21"/>
  <c r="I18" i="13"/>
  <c r="I7" i="14"/>
  <c r="I18" i="25"/>
  <c r="I7" i="18"/>
  <c r="I7" i="12"/>
  <c r="I15" i="12"/>
  <c r="I7" i="23"/>
  <c r="I7" i="16"/>
  <c r="I7" i="25"/>
  <c r="I7" i="10"/>
  <c r="I18" i="18"/>
  <c r="I7" i="19"/>
  <c r="I18" i="10"/>
  <c r="I15" i="13"/>
  <c r="I15" i="4"/>
  <c r="I15" i="43"/>
  <c r="I18" i="5"/>
  <c r="I15" i="8"/>
  <c r="I15" i="5"/>
  <c r="I15" i="18"/>
  <c r="I7" i="28"/>
  <c r="I18" i="9"/>
  <c r="I18" i="4"/>
  <c r="I18" i="27"/>
  <c r="I18" i="20"/>
  <c r="I18" i="29"/>
  <c r="I15" i="10"/>
  <c r="I7" i="11"/>
  <c r="I7" i="15"/>
  <c r="I7" i="22"/>
  <c r="I19" i="50"/>
  <c r="I15" i="7"/>
  <c r="I7" i="4"/>
  <c r="I7" i="50"/>
  <c r="I15" i="14"/>
  <c r="I7" i="7"/>
  <c r="I15" i="22"/>
  <c r="I18" i="22"/>
  <c r="I15" i="16"/>
  <c r="I7" i="5"/>
  <c r="I7" i="33"/>
  <c r="J27" i="2"/>
  <c r="J30" i="2"/>
  <c r="J31" i="2"/>
  <c r="J38" i="2"/>
  <c r="J37" i="2"/>
  <c r="J42" i="2"/>
  <c r="J43" i="2"/>
  <c r="J45" i="2"/>
  <c r="J44" i="2"/>
  <c r="J39" i="2"/>
  <c r="J36" i="2"/>
  <c r="J46" i="2"/>
  <c r="J50" i="2"/>
  <c r="J58" i="2"/>
  <c r="J57" i="2"/>
  <c r="J51" i="2"/>
  <c r="J54" i="2"/>
  <c r="J52" i="2"/>
  <c r="G5" i="44"/>
  <c r="F2" i="49" s="1"/>
  <c r="J55" i="2"/>
  <c r="J46" i="3"/>
  <c r="J37" i="3"/>
  <c r="J45" i="3"/>
  <c r="J36" i="3"/>
  <c r="J42" i="3"/>
  <c r="J44" i="3"/>
  <c r="J58" i="3"/>
  <c r="J52" i="3"/>
  <c r="J54" i="3"/>
  <c r="G12" i="4"/>
  <c r="G11" i="4"/>
  <c r="J7" i="4"/>
  <c r="J18" i="4"/>
  <c r="J45" i="4"/>
  <c r="J37" i="4"/>
  <c r="J42" i="4"/>
  <c r="J46" i="4"/>
  <c r="J52" i="4"/>
  <c r="G12" i="5"/>
  <c r="G11" i="5"/>
  <c r="J46" i="5"/>
  <c r="J37" i="5"/>
  <c r="J42" i="5"/>
  <c r="J45" i="5"/>
  <c r="J52" i="5"/>
  <c r="G11" i="9"/>
  <c r="G11" i="21"/>
  <c r="G13" i="21" s="1"/>
  <c r="G11" i="33"/>
  <c r="G11" i="27"/>
  <c r="G12" i="10"/>
  <c r="G12" i="16"/>
  <c r="G11" i="16"/>
  <c r="G12" i="31"/>
  <c r="G12" i="8"/>
  <c r="G11" i="40"/>
  <c r="G11" i="10"/>
  <c r="G11" i="18"/>
  <c r="G12" i="25"/>
  <c r="G11" i="28"/>
  <c r="G12" i="11"/>
  <c r="G12" i="21"/>
  <c r="G12" i="23"/>
  <c r="G12" i="22"/>
  <c r="G12" i="19"/>
  <c r="G12" i="17"/>
  <c r="G11" i="31"/>
  <c r="G11" i="29"/>
  <c r="G12" i="29"/>
  <c r="G12" i="28"/>
  <c r="G11" i="25"/>
  <c r="G12" i="20"/>
  <c r="G11" i="15"/>
  <c r="G12" i="27"/>
  <c r="G12" i="30"/>
  <c r="G11" i="12"/>
  <c r="G11" i="11"/>
  <c r="G13" i="11" s="1"/>
  <c r="G11" i="43"/>
  <c r="G12" i="18"/>
  <c r="G11" i="14"/>
  <c r="G11" i="8"/>
  <c r="G12" i="12"/>
  <c r="G12" i="13"/>
  <c r="G11" i="23"/>
  <c r="G11" i="24"/>
  <c r="G11" i="30"/>
  <c r="G12" i="43"/>
  <c r="G12" i="33"/>
  <c r="G12" i="15"/>
  <c r="G12" i="40"/>
  <c r="G11" i="7"/>
  <c r="G12" i="9"/>
  <c r="G12" i="7"/>
  <c r="G14" i="50"/>
  <c r="I14" i="50" s="1"/>
  <c r="J42" i="33"/>
  <c r="J45" i="33"/>
  <c r="J46" i="33"/>
  <c r="J37" i="33"/>
  <c r="J52" i="33"/>
  <c r="J37" i="7"/>
  <c r="J46" i="7"/>
  <c r="J42" i="7"/>
  <c r="J52" i="7"/>
  <c r="J42" i="8"/>
  <c r="J46" i="8"/>
  <c r="J52" i="8"/>
  <c r="J42" i="9"/>
  <c r="J46" i="9"/>
  <c r="J52" i="9"/>
  <c r="J42" i="10"/>
  <c r="J52" i="10"/>
  <c r="J42" i="11"/>
  <c r="J52" i="11"/>
  <c r="J42" i="12"/>
  <c r="J52" i="12"/>
  <c r="J52" i="13"/>
  <c r="J52" i="14"/>
  <c r="Y4" i="1" l="1"/>
  <c r="J128" i="2"/>
  <c r="H128" i="3"/>
  <c r="H128" i="4" s="1"/>
  <c r="BC8" i="49"/>
  <c r="AR8" i="49"/>
  <c r="G22" i="1"/>
  <c r="B23" i="44"/>
  <c r="H97" i="2"/>
  <c r="J97" i="2" s="1"/>
  <c r="E4" i="35"/>
  <c r="G4" i="35" s="1"/>
  <c r="H19" i="3"/>
  <c r="J19" i="3" s="1"/>
  <c r="E30" i="3"/>
  <c r="G30" i="3" s="1"/>
  <c r="H30" i="3" s="1"/>
  <c r="J30" i="3" s="1"/>
  <c r="E6" i="45"/>
  <c r="H84" i="4"/>
  <c r="J84" i="4" s="1"/>
  <c r="J84" i="3"/>
  <c r="H94" i="2"/>
  <c r="J94" i="2" s="1"/>
  <c r="G95" i="2"/>
  <c r="H95" i="2" s="1"/>
  <c r="J95" i="2" s="1"/>
  <c r="G20" i="24"/>
  <c r="Z6" i="45"/>
  <c r="Z24" i="45" s="1"/>
  <c r="BD24" i="49" s="1"/>
  <c r="E12" i="44"/>
  <c r="O11" i="1"/>
  <c r="H8" i="3"/>
  <c r="J8" i="3" s="1"/>
  <c r="I9" i="3" s="1"/>
  <c r="E29" i="2"/>
  <c r="G29" i="2" s="1"/>
  <c r="H29" i="2" s="1"/>
  <c r="J29" i="2" s="1"/>
  <c r="S4" i="1"/>
  <c r="U4" i="1" s="1"/>
  <c r="H24" i="2"/>
  <c r="E29" i="28"/>
  <c r="G29" i="28" s="1"/>
  <c r="S30" i="1"/>
  <c r="U30" i="1" s="1"/>
  <c r="G20" i="14"/>
  <c r="P6" i="45"/>
  <c r="P24" i="45" s="1"/>
  <c r="BD14" i="49" s="1"/>
  <c r="H35" i="3"/>
  <c r="J35" i="3" s="1"/>
  <c r="J35" i="2"/>
  <c r="K13" i="35"/>
  <c r="U36" i="1"/>
  <c r="G13" i="24"/>
  <c r="E27" i="19"/>
  <c r="G27" i="19" s="1"/>
  <c r="J145" i="2"/>
  <c r="G71" i="2"/>
  <c r="G71" i="3"/>
  <c r="L5" i="35" s="1"/>
  <c r="H162" i="3"/>
  <c r="G176" i="2"/>
  <c r="H176" i="2" s="1"/>
  <c r="J176" i="2" s="1"/>
  <c r="H89" i="2"/>
  <c r="J89" i="2" s="1"/>
  <c r="H45" i="7"/>
  <c r="AG11" i="1"/>
  <c r="AD34" i="1"/>
  <c r="H22" i="2"/>
  <c r="J22" i="2" s="1"/>
  <c r="AD33" i="44"/>
  <c r="AC30" i="49" s="1"/>
  <c r="BM6" i="1"/>
  <c r="BO10" i="1"/>
  <c r="H39" i="3"/>
  <c r="H56" i="2"/>
  <c r="J56" i="2" s="1"/>
  <c r="G96" i="33"/>
  <c r="G104" i="23"/>
  <c r="G102" i="23"/>
  <c r="G100" i="40"/>
  <c r="AY33" i="44"/>
  <c r="AO26" i="44"/>
  <c r="H74" i="23"/>
  <c r="H8" i="2"/>
  <c r="J8" i="2" s="1"/>
  <c r="I9" i="2" s="1"/>
  <c r="O8" i="2"/>
  <c r="AD31" i="44"/>
  <c r="AC28" i="49" s="1"/>
  <c r="H168" i="23"/>
  <c r="G99" i="50"/>
  <c r="AG4" i="1"/>
  <c r="AJ4" i="1" s="1"/>
  <c r="AO9" i="44"/>
  <c r="BH6" i="49" s="1"/>
  <c r="H50" i="3"/>
  <c r="J50" i="3" s="1"/>
  <c r="H132" i="3"/>
  <c r="G98" i="4"/>
  <c r="G99" i="4" s="1"/>
  <c r="AJ34" i="1"/>
  <c r="G94" i="9"/>
  <c r="G95" i="9" s="1"/>
  <c r="G104" i="12"/>
  <c r="AD20" i="44"/>
  <c r="AC17" i="49" s="1"/>
  <c r="G100" i="21"/>
  <c r="G102" i="22"/>
  <c r="G98" i="24"/>
  <c r="I33" i="44"/>
  <c r="H30" i="49" s="1"/>
  <c r="H130" i="3"/>
  <c r="H130" i="4" s="1"/>
  <c r="J130" i="4" s="1"/>
  <c r="G98" i="33"/>
  <c r="G99" i="33" s="1"/>
  <c r="G102" i="33"/>
  <c r="G103" i="33" s="1"/>
  <c r="AD9" i="44"/>
  <c r="AC6" i="49" s="1"/>
  <c r="G102" i="7"/>
  <c r="G103" i="7" s="1"/>
  <c r="G59" i="8"/>
  <c r="AD11" i="44"/>
  <c r="AC8" i="49" s="1"/>
  <c r="G186" i="10"/>
  <c r="G102" i="29"/>
  <c r="AD33" i="1"/>
  <c r="G13" i="4"/>
  <c r="BB7" i="44"/>
  <c r="BC7" i="44" s="1"/>
  <c r="O5" i="35"/>
  <c r="G187" i="9"/>
  <c r="H147" i="2"/>
  <c r="J147" i="2" s="1"/>
  <c r="H185" i="3"/>
  <c r="J185" i="3" s="1"/>
  <c r="G187" i="4"/>
  <c r="G100" i="5"/>
  <c r="G103" i="9"/>
  <c r="G99" i="31"/>
  <c r="G20" i="3"/>
  <c r="H9" i="2"/>
  <c r="G13" i="2"/>
  <c r="J129" i="2"/>
  <c r="H31" i="3"/>
  <c r="J31" i="3" s="1"/>
  <c r="G65" i="50"/>
  <c r="G105" i="8"/>
  <c r="H117" i="2"/>
  <c r="J117" i="2" s="1"/>
  <c r="H18" i="5"/>
  <c r="G101" i="8"/>
  <c r="G187" i="2"/>
  <c r="H187" i="2" s="1"/>
  <c r="H70" i="3"/>
  <c r="H29" i="3"/>
  <c r="J29" i="3" s="1"/>
  <c r="H55" i="3"/>
  <c r="AN26" i="1"/>
  <c r="I29" i="44"/>
  <c r="H182" i="3"/>
  <c r="H182" i="4" s="1"/>
  <c r="E30" i="23"/>
  <c r="G30" i="23" s="1"/>
  <c r="G19" i="23"/>
  <c r="Y6" i="45" s="1"/>
  <c r="Y24" i="45" s="1"/>
  <c r="BD23" i="49" s="1"/>
  <c r="G80" i="2"/>
  <c r="AH4" i="1"/>
  <c r="I11" i="45"/>
  <c r="I89" i="3"/>
  <c r="H56" i="3"/>
  <c r="H8" i="4"/>
  <c r="J8" i="4" s="1"/>
  <c r="G96" i="4"/>
  <c r="G59" i="7"/>
  <c r="G79" i="7"/>
  <c r="G104" i="16"/>
  <c r="I89" i="29"/>
  <c r="I34" i="44"/>
  <c r="H31" i="49" s="1"/>
  <c r="AD29" i="44"/>
  <c r="AC26" i="49" s="1"/>
  <c r="G105" i="10"/>
  <c r="H173" i="2"/>
  <c r="H77" i="3"/>
  <c r="G102" i="3"/>
  <c r="G103" i="3" s="1"/>
  <c r="H112" i="3"/>
  <c r="G99" i="11"/>
  <c r="G102" i="12"/>
  <c r="AV12" i="44"/>
  <c r="AY12" i="44" s="1"/>
  <c r="AZ14" i="44"/>
  <c r="G24" i="44"/>
  <c r="F21" i="49" s="1"/>
  <c r="G94" i="3"/>
  <c r="G95" i="3" s="1"/>
  <c r="H165" i="3"/>
  <c r="J165" i="3" s="1"/>
  <c r="G186" i="5"/>
  <c r="G79" i="33"/>
  <c r="G80" i="33" s="1"/>
  <c r="G186" i="7"/>
  <c r="G103" i="8"/>
  <c r="G186" i="8"/>
  <c r="I92" i="12"/>
  <c r="AD19" i="44"/>
  <c r="AC16" i="49" s="1"/>
  <c r="AZ17" i="49"/>
  <c r="G181" i="31"/>
  <c r="G189" i="31" s="1"/>
  <c r="G176" i="31"/>
  <c r="G153" i="31"/>
  <c r="I153" i="31" s="1"/>
  <c r="G125" i="31"/>
  <c r="I125" i="31" s="1"/>
  <c r="I87" i="31"/>
  <c r="G79" i="31"/>
  <c r="G80" i="31" s="1"/>
  <c r="AT35" i="44"/>
  <c r="G188" i="31"/>
  <c r="AS32" i="49"/>
  <c r="G71" i="31"/>
  <c r="AH9" i="45"/>
  <c r="K35" i="44"/>
  <c r="J32" i="49" s="1"/>
  <c r="AE34" i="1"/>
  <c r="G94" i="31"/>
  <c r="G95" i="31" s="1"/>
  <c r="AZ34" i="1"/>
  <c r="G59" i="31"/>
  <c r="G47" i="31"/>
  <c r="AH24" i="45"/>
  <c r="BD32" i="49" s="1"/>
  <c r="BG32" i="49"/>
  <c r="G13" i="31"/>
  <c r="G97" i="31"/>
  <c r="G34" i="1"/>
  <c r="G101" i="31"/>
  <c r="B35" i="44"/>
  <c r="G105" i="31"/>
  <c r="AZ32" i="49"/>
  <c r="AH27" i="45"/>
  <c r="BF32" i="49" s="1"/>
  <c r="G64" i="43"/>
  <c r="AX35" i="44"/>
  <c r="AY35" i="44" s="1"/>
  <c r="I91" i="50"/>
  <c r="AS33" i="1"/>
  <c r="BL33" i="1" s="1"/>
  <c r="L33" i="1"/>
  <c r="AN34" i="44"/>
  <c r="AT34" i="44" s="1"/>
  <c r="BM31" i="49" s="1"/>
  <c r="G186" i="43"/>
  <c r="AG23" i="45"/>
  <c r="G181" i="43"/>
  <c r="G189" i="43" s="1"/>
  <c r="AG18" i="45"/>
  <c r="AV31" i="49" s="1"/>
  <c r="G176" i="43"/>
  <c r="G135" i="43"/>
  <c r="I135" i="43" s="1"/>
  <c r="G125" i="43"/>
  <c r="I125" i="43" s="1"/>
  <c r="I92" i="43"/>
  <c r="AU34" i="44"/>
  <c r="AK33" i="1"/>
  <c r="AN33" i="1" s="1"/>
  <c r="AC34" i="44"/>
  <c r="AB31" i="49" s="1"/>
  <c r="I89" i="43"/>
  <c r="I87" i="30"/>
  <c r="AB32" i="1"/>
  <c r="AD32" i="1" s="1"/>
  <c r="G79" i="43"/>
  <c r="G80" i="43" s="1"/>
  <c r="AO33" i="1"/>
  <c r="AP31" i="49"/>
  <c r="AG30" i="45"/>
  <c r="AG25" i="45"/>
  <c r="BE31" i="49" s="1"/>
  <c r="AG29" i="45"/>
  <c r="AO31" i="49"/>
  <c r="G59" i="43"/>
  <c r="F34" i="44"/>
  <c r="E31" i="49" s="1"/>
  <c r="G94" i="43"/>
  <c r="G95" i="43" s="1"/>
  <c r="AZ33" i="1"/>
  <c r="BK33" i="1" s="1"/>
  <c r="G96" i="43"/>
  <c r="G97" i="43" s="1"/>
  <c r="J34" i="44"/>
  <c r="I31" i="49" s="1"/>
  <c r="AR33" i="1"/>
  <c r="BM33" i="1" s="1"/>
  <c r="G104" i="30"/>
  <c r="G105" i="30" s="1"/>
  <c r="M34" i="44"/>
  <c r="L31" i="49" s="1"/>
  <c r="G102" i="43"/>
  <c r="G103" i="43" s="1"/>
  <c r="AY33" i="1"/>
  <c r="G47" i="43"/>
  <c r="C33" i="44"/>
  <c r="H32" i="1"/>
  <c r="BL32" i="1"/>
  <c r="G101" i="43"/>
  <c r="G105" i="43"/>
  <c r="G33" i="1"/>
  <c r="B34" i="44"/>
  <c r="G186" i="29"/>
  <c r="G186" i="30"/>
  <c r="AF19" i="45"/>
  <c r="AW30" i="49" s="1"/>
  <c r="G176" i="30"/>
  <c r="G135" i="30"/>
  <c r="G125" i="30"/>
  <c r="I125" i="30" s="1"/>
  <c r="AI31" i="1"/>
  <c r="AJ31" i="1" s="1"/>
  <c r="AV32" i="44"/>
  <c r="AC32" i="44"/>
  <c r="AB29" i="49" s="1"/>
  <c r="X32" i="1"/>
  <c r="W32" i="1"/>
  <c r="AF10" i="45"/>
  <c r="AP30" i="49" s="1"/>
  <c r="G187" i="30"/>
  <c r="J33" i="44"/>
  <c r="I30" i="49" s="1"/>
  <c r="G96" i="30"/>
  <c r="G97" i="30" s="1"/>
  <c r="BA32" i="1"/>
  <c r="G33" i="44"/>
  <c r="L32" i="44"/>
  <c r="K29" i="49" s="1"/>
  <c r="BH31" i="1"/>
  <c r="AS31" i="1"/>
  <c r="BM32" i="1"/>
  <c r="AP32" i="1"/>
  <c r="G47" i="30"/>
  <c r="E28" i="30"/>
  <c r="G28" i="30" s="1"/>
  <c r="D33" i="44"/>
  <c r="AN33" i="44"/>
  <c r="L32" i="1"/>
  <c r="G30" i="47" s="1"/>
  <c r="G13" i="30"/>
  <c r="I13" i="30" s="1"/>
  <c r="G101" i="30"/>
  <c r="G32" i="1"/>
  <c r="B33" i="44"/>
  <c r="G103" i="30"/>
  <c r="G176" i="29"/>
  <c r="G135" i="28"/>
  <c r="I135" i="28" s="1"/>
  <c r="AN31" i="1"/>
  <c r="I92" i="29"/>
  <c r="H90" i="29"/>
  <c r="AX32" i="44"/>
  <c r="AY32" i="44" s="1"/>
  <c r="AI30" i="1"/>
  <c r="AJ30" i="1" s="1"/>
  <c r="I87" i="29"/>
  <c r="X31" i="1"/>
  <c r="AE11" i="45"/>
  <c r="AE30" i="45" s="1"/>
  <c r="AE31" i="45" s="1"/>
  <c r="G188" i="29"/>
  <c r="J32" i="44"/>
  <c r="I29" i="49" s="1"/>
  <c r="AU31" i="1"/>
  <c r="AR31" i="1"/>
  <c r="H32" i="44"/>
  <c r="G29" i="49" s="1"/>
  <c r="G104" i="29"/>
  <c r="G105" i="29" s="1"/>
  <c r="G32" i="44"/>
  <c r="F29" i="49" s="1"/>
  <c r="G94" i="29"/>
  <c r="G95" i="29" s="1"/>
  <c r="G94" i="28"/>
  <c r="G188" i="28"/>
  <c r="AR29" i="49"/>
  <c r="BC29" i="49"/>
  <c r="G187" i="28"/>
  <c r="AD5" i="45"/>
  <c r="AD24" i="45" s="1"/>
  <c r="BD28" i="49" s="1"/>
  <c r="L31" i="1"/>
  <c r="G29" i="47" s="1"/>
  <c r="AN32" i="44"/>
  <c r="AT32" i="44" s="1"/>
  <c r="B32" i="44"/>
  <c r="G101" i="29"/>
  <c r="G31" i="1"/>
  <c r="G103" i="29"/>
  <c r="AU30" i="44"/>
  <c r="I89" i="27"/>
  <c r="AJ29" i="1"/>
  <c r="AV30" i="44"/>
  <c r="I89" i="28"/>
  <c r="K31" i="44"/>
  <c r="J28" i="49" s="1"/>
  <c r="J31" i="44"/>
  <c r="I28" i="49" s="1"/>
  <c r="G31" i="44"/>
  <c r="F28" i="49" s="1"/>
  <c r="BA30" i="1"/>
  <c r="G104" i="28"/>
  <c r="G30" i="44"/>
  <c r="F27" i="49" s="1"/>
  <c r="G59" i="28"/>
  <c r="AE30" i="1"/>
  <c r="I30" i="44"/>
  <c r="H27" i="49" s="1"/>
  <c r="H31" i="44"/>
  <c r="G28" i="49" s="1"/>
  <c r="AQ29" i="1"/>
  <c r="G102" i="28"/>
  <c r="G103" i="28" s="1"/>
  <c r="AY30" i="1"/>
  <c r="M31" i="44"/>
  <c r="L28" i="49" s="1"/>
  <c r="G186" i="27"/>
  <c r="G186" i="28"/>
  <c r="X30" i="1"/>
  <c r="Y30" i="1" s="1"/>
  <c r="AD11" i="45"/>
  <c r="AC27" i="45"/>
  <c r="BF27" i="49" s="1"/>
  <c r="AO30" i="1"/>
  <c r="AO31" i="44"/>
  <c r="BH28" i="49" s="1"/>
  <c r="AC5" i="45"/>
  <c r="C31" i="44"/>
  <c r="J28" i="48" s="1"/>
  <c r="H30" i="1"/>
  <c r="AX27" i="49"/>
  <c r="G181" i="27"/>
  <c r="G189" i="27" s="1"/>
  <c r="BJ29" i="1"/>
  <c r="AM30" i="44"/>
  <c r="AL27" i="49" s="1"/>
  <c r="G125" i="27"/>
  <c r="I125" i="27" s="1"/>
  <c r="I92" i="27"/>
  <c r="AN28" i="1"/>
  <c r="AK29" i="1"/>
  <c r="AN29" i="1" s="1"/>
  <c r="I87" i="27"/>
  <c r="AT30" i="44"/>
  <c r="BM27" i="49" s="1"/>
  <c r="BH27" i="49"/>
  <c r="AT27" i="49"/>
  <c r="BB27" i="49"/>
  <c r="X29" i="1"/>
  <c r="BC26" i="49"/>
  <c r="AR26" i="49"/>
  <c r="AB27" i="45"/>
  <c r="BF26" i="49" s="1"/>
  <c r="AC30" i="45"/>
  <c r="AQ27" i="49"/>
  <c r="AO27" i="49"/>
  <c r="AC25" i="45"/>
  <c r="BE27" i="49" s="1"/>
  <c r="AC29" i="45"/>
  <c r="V29" i="1"/>
  <c r="BG29" i="1"/>
  <c r="BO29" i="1" s="1"/>
  <c r="G94" i="27"/>
  <c r="G95" i="27" s="1"/>
  <c r="J30" i="44"/>
  <c r="I27" i="49" s="1"/>
  <c r="H30" i="44"/>
  <c r="G27" i="49" s="1"/>
  <c r="F30" i="44"/>
  <c r="E27" i="49" s="1"/>
  <c r="AZ29" i="1"/>
  <c r="AR28" i="1"/>
  <c r="BM28" i="1" s="1"/>
  <c r="AR29" i="1"/>
  <c r="G47" i="27"/>
  <c r="G104" i="27"/>
  <c r="G26" i="47"/>
  <c r="G181" i="25"/>
  <c r="G189" i="25" s="1"/>
  <c r="G176" i="25"/>
  <c r="AZ26" i="49"/>
  <c r="AU29" i="44"/>
  <c r="AI27" i="1"/>
  <c r="I89" i="40"/>
  <c r="AW29" i="44"/>
  <c r="AY29" i="44" s="1"/>
  <c r="AH28" i="1"/>
  <c r="AJ28" i="1" s="1"/>
  <c r="AY28" i="44"/>
  <c r="I89" i="25"/>
  <c r="G64" i="40"/>
  <c r="J29" i="44"/>
  <c r="I26" i="49" s="1"/>
  <c r="BL28" i="1"/>
  <c r="L29" i="44"/>
  <c r="K26" i="49" s="1"/>
  <c r="G104" i="40"/>
  <c r="G105" i="40" s="1"/>
  <c r="AQ28" i="1"/>
  <c r="G29" i="44"/>
  <c r="F26" i="49" s="1"/>
  <c r="M29" i="44"/>
  <c r="L26" i="49" s="1"/>
  <c r="AA6" i="45"/>
  <c r="AA24" i="45" s="1"/>
  <c r="BD25" i="49" s="1"/>
  <c r="AN28" i="44"/>
  <c r="AA8" i="45"/>
  <c r="AN25" i="49" s="1"/>
  <c r="G64" i="25"/>
  <c r="AU28" i="44"/>
  <c r="AZ28" i="44" s="1"/>
  <c r="AK27" i="1"/>
  <c r="I92" i="25"/>
  <c r="AC27" i="44"/>
  <c r="AB24" i="49" s="1"/>
  <c r="AG27" i="1"/>
  <c r="AJ27" i="1" s="1"/>
  <c r="G188" i="25"/>
  <c r="Y27" i="1"/>
  <c r="BG27" i="1"/>
  <c r="K28" i="44"/>
  <c r="J25" i="49" s="1"/>
  <c r="AZ27" i="1"/>
  <c r="F28" i="44"/>
  <c r="E25" i="49" s="1"/>
  <c r="G94" i="25"/>
  <c r="G95" i="25" s="1"/>
  <c r="AU27" i="1"/>
  <c r="AE27" i="1" s="1"/>
  <c r="J28" i="44"/>
  <c r="I25" i="49" s="1"/>
  <c r="AR27" i="1"/>
  <c r="H28" i="44"/>
  <c r="G25" i="49" s="1"/>
  <c r="G100" i="25"/>
  <c r="G101" i="25" s="1"/>
  <c r="AP27" i="1"/>
  <c r="D28" i="44"/>
  <c r="L27" i="1"/>
  <c r="AZ8" i="49"/>
  <c r="J27" i="45"/>
  <c r="BF8" i="49" s="1"/>
  <c r="BA28" i="49"/>
  <c r="AS28" i="49"/>
  <c r="G7" i="1"/>
  <c r="B8" i="44"/>
  <c r="G59" i="3"/>
  <c r="AZ5" i="1"/>
  <c r="G98" i="3"/>
  <c r="G99" i="3" s="1"/>
  <c r="BC5" i="1"/>
  <c r="H57" i="3"/>
  <c r="BG5" i="1"/>
  <c r="AF6" i="44"/>
  <c r="AE3" i="49" s="1"/>
  <c r="AJ6" i="44"/>
  <c r="AI3" i="49" s="1"/>
  <c r="H121" i="3"/>
  <c r="AZ3" i="49"/>
  <c r="E27" i="45"/>
  <c r="BF3" i="49" s="1"/>
  <c r="V7" i="1"/>
  <c r="G9" i="45"/>
  <c r="G15" i="45"/>
  <c r="J6" i="35"/>
  <c r="AG7" i="1"/>
  <c r="AJ7" i="1" s="1"/>
  <c r="AV8" i="44"/>
  <c r="G21" i="45"/>
  <c r="G181" i="5"/>
  <c r="G189" i="5" s="1"/>
  <c r="G94" i="33"/>
  <c r="G95" i="33" s="1"/>
  <c r="G47" i="33"/>
  <c r="H9" i="45"/>
  <c r="V8" i="1"/>
  <c r="AG8" i="1"/>
  <c r="AV9" i="44"/>
  <c r="H22" i="45"/>
  <c r="AY6" i="49" s="1"/>
  <c r="G181" i="33"/>
  <c r="G189" i="33" s="1"/>
  <c r="AS10" i="44"/>
  <c r="BL7" i="49" s="1"/>
  <c r="G80" i="7"/>
  <c r="AW10" i="44"/>
  <c r="AH9" i="1"/>
  <c r="V10" i="1"/>
  <c r="J9" i="45"/>
  <c r="BA8" i="49"/>
  <c r="AS8" i="49"/>
  <c r="K21" i="45"/>
  <c r="G181" i="9"/>
  <c r="G189" i="9" s="1"/>
  <c r="AO13" i="44"/>
  <c r="BH10" i="49" s="1"/>
  <c r="AO12" i="1"/>
  <c r="AV13" i="44"/>
  <c r="I89" i="10"/>
  <c r="AG12" i="1"/>
  <c r="L21" i="45"/>
  <c r="AX10" i="49" s="1"/>
  <c r="G181" i="10"/>
  <c r="G189" i="10" s="1"/>
  <c r="G94" i="11"/>
  <c r="G95" i="11" s="1"/>
  <c r="AZ13" i="1"/>
  <c r="BA11" i="49"/>
  <c r="AS11" i="49"/>
  <c r="M19" i="45"/>
  <c r="AW11" i="49" s="1"/>
  <c r="G176" i="11"/>
  <c r="W14" i="1"/>
  <c r="N10" i="45"/>
  <c r="AP12" i="49" s="1"/>
  <c r="AO16" i="44"/>
  <c r="BH13" i="49" s="1"/>
  <c r="AO15" i="1"/>
  <c r="W16" i="1"/>
  <c r="P10" i="45"/>
  <c r="AP14" i="49" s="1"/>
  <c r="AG18" i="1"/>
  <c r="AC19" i="44"/>
  <c r="AB16" i="49" s="1"/>
  <c r="AV19" i="44"/>
  <c r="T23" i="45"/>
  <c r="G181" i="18"/>
  <c r="G189" i="18" s="1"/>
  <c r="BJ21" i="1"/>
  <c r="AM22" i="44"/>
  <c r="AL19" i="49" s="1"/>
  <c r="X11" i="45"/>
  <c r="AQ22" i="49" s="1"/>
  <c r="X24" i="1"/>
  <c r="I89" i="22"/>
  <c r="AV25" i="44"/>
  <c r="AG24" i="1"/>
  <c r="AC25" i="44"/>
  <c r="AB22" i="49" s="1"/>
  <c r="V6" i="44"/>
  <c r="U3" i="49" s="1"/>
  <c r="H147" i="3"/>
  <c r="G95" i="7"/>
  <c r="BI6" i="1"/>
  <c r="H165" i="4"/>
  <c r="J165" i="4" s="1"/>
  <c r="E27" i="9"/>
  <c r="G27" i="9" s="1"/>
  <c r="C12" i="44"/>
  <c r="J9" i="48" s="1"/>
  <c r="H11" i="1"/>
  <c r="G13" i="7"/>
  <c r="G13" i="8"/>
  <c r="I13" i="8" s="1"/>
  <c r="G13" i="29"/>
  <c r="I13" i="29" s="1"/>
  <c r="N30" i="1"/>
  <c r="BL34" i="1"/>
  <c r="K6" i="35"/>
  <c r="K5" i="35"/>
  <c r="BB11" i="44"/>
  <c r="O9" i="28"/>
  <c r="E27" i="16"/>
  <c r="G27" i="16" s="1"/>
  <c r="C19" i="44"/>
  <c r="J16" i="48" s="1"/>
  <c r="H18" i="1"/>
  <c r="Z28" i="1"/>
  <c r="AD28" i="1" s="1"/>
  <c r="I87" i="40"/>
  <c r="G13" i="12"/>
  <c r="I13" i="12" s="1"/>
  <c r="G13" i="28"/>
  <c r="I13" i="28" s="1"/>
  <c r="BI4" i="1"/>
  <c r="BM11" i="1"/>
  <c r="G47" i="3"/>
  <c r="G97" i="5"/>
  <c r="G101" i="5"/>
  <c r="BB3" i="49"/>
  <c r="AT3" i="49"/>
  <c r="J112" i="3"/>
  <c r="H112" i="4"/>
  <c r="J112" i="4" s="1"/>
  <c r="J132" i="3"/>
  <c r="H132" i="4"/>
  <c r="H132" i="5" s="1"/>
  <c r="F29" i="45"/>
  <c r="AO4" i="49"/>
  <c r="AO10" i="49"/>
  <c r="L29" i="45"/>
  <c r="BB13" i="49"/>
  <c r="AT13" i="49"/>
  <c r="BH25" i="49"/>
  <c r="H9" i="1"/>
  <c r="C10" i="44"/>
  <c r="J7" i="48" s="1"/>
  <c r="E27" i="7"/>
  <c r="G27" i="7" s="1"/>
  <c r="I9" i="4"/>
  <c r="BI10" i="1"/>
  <c r="G47" i="4"/>
  <c r="G186" i="4"/>
  <c r="G79" i="30"/>
  <c r="J150" i="5"/>
  <c r="G105" i="9"/>
  <c r="H164" i="5"/>
  <c r="H138" i="5"/>
  <c r="H179" i="3"/>
  <c r="G181" i="3"/>
  <c r="G189" i="3" s="1"/>
  <c r="G94" i="4"/>
  <c r="G105" i="5"/>
  <c r="H100" i="3"/>
  <c r="H102" i="3"/>
  <c r="H76" i="4"/>
  <c r="AI6" i="1"/>
  <c r="AJ6" i="1" s="1"/>
  <c r="H35" i="4"/>
  <c r="H58" i="4"/>
  <c r="J58" i="4" s="1"/>
  <c r="G186" i="3"/>
  <c r="G186" i="33"/>
  <c r="G47" i="7"/>
  <c r="G60" i="7" s="1"/>
  <c r="I59" i="7" s="1"/>
  <c r="G47" i="8"/>
  <c r="G96" i="8"/>
  <c r="E10" i="35" s="1"/>
  <c r="G10" i="35" s="1"/>
  <c r="AU25" i="44"/>
  <c r="I13" i="24"/>
  <c r="W9" i="45"/>
  <c r="G188" i="21"/>
  <c r="AR26" i="44"/>
  <c r="BK23" i="49" s="1"/>
  <c r="D6" i="44"/>
  <c r="G79" i="27"/>
  <c r="G79" i="25"/>
  <c r="G80" i="25" s="1"/>
  <c r="H150" i="7"/>
  <c r="J150" i="7" s="1"/>
  <c r="H129" i="4"/>
  <c r="J129" i="4" s="1"/>
  <c r="H95" i="3"/>
  <c r="J95" i="3" s="1"/>
  <c r="H133" i="4"/>
  <c r="J133" i="4" s="1"/>
  <c r="H116" i="3"/>
  <c r="G79" i="3"/>
  <c r="G80" i="3" s="1"/>
  <c r="H80" i="3" s="1"/>
  <c r="G176" i="5"/>
  <c r="H38" i="3"/>
  <c r="H74" i="3"/>
  <c r="H85" i="3"/>
  <c r="AV6" i="44"/>
  <c r="G101" i="7"/>
  <c r="V6" i="1"/>
  <c r="I87" i="33"/>
  <c r="H50" i="4"/>
  <c r="H54" i="4"/>
  <c r="H86" i="4"/>
  <c r="I89" i="5"/>
  <c r="AD8" i="1"/>
  <c r="G176" i="9"/>
  <c r="G176" i="10"/>
  <c r="G176" i="40"/>
  <c r="G47" i="28"/>
  <c r="G64" i="30"/>
  <c r="G98" i="43"/>
  <c r="G99" i="43" s="1"/>
  <c r="G71" i="40"/>
  <c r="G104" i="21"/>
  <c r="G176" i="17"/>
  <c r="AI13" i="1"/>
  <c r="AH14" i="1"/>
  <c r="AJ14" i="1" s="1"/>
  <c r="BJ14" i="1"/>
  <c r="AH17" i="1"/>
  <c r="BJ18" i="1"/>
  <c r="AX24" i="44"/>
  <c r="AI25" i="1"/>
  <c r="AI26" i="1"/>
  <c r="AW31" i="44"/>
  <c r="AY31" i="44" s="1"/>
  <c r="BJ31" i="1"/>
  <c r="AH33" i="1"/>
  <c r="AJ33" i="1" s="1"/>
  <c r="AA9" i="45"/>
  <c r="AA25" i="45" s="1"/>
  <c r="BE25" i="49" s="1"/>
  <c r="G153" i="28"/>
  <c r="I153" i="28" s="1"/>
  <c r="G153" i="27"/>
  <c r="I153" i="27" s="1"/>
  <c r="I92" i="18"/>
  <c r="I92" i="40"/>
  <c r="I92" i="16"/>
  <c r="G135" i="9"/>
  <c r="AG36" i="1"/>
  <c r="H167" i="5"/>
  <c r="H167" i="33" s="1"/>
  <c r="H167" i="7" s="1"/>
  <c r="H167" i="8" s="1"/>
  <c r="I92" i="17"/>
  <c r="AD25" i="44"/>
  <c r="AC22" i="49" s="1"/>
  <c r="G181" i="21"/>
  <c r="G189" i="21" s="1"/>
  <c r="G176" i="21"/>
  <c r="AQ26" i="44"/>
  <c r="BJ23" i="49" s="1"/>
  <c r="G8" i="35"/>
  <c r="G20" i="21"/>
  <c r="G103" i="22"/>
  <c r="E7" i="44"/>
  <c r="G187" i="14"/>
  <c r="G101" i="9"/>
  <c r="J119" i="3"/>
  <c r="J150" i="3"/>
  <c r="H122" i="4"/>
  <c r="H101" i="3"/>
  <c r="H123" i="3"/>
  <c r="G187" i="7"/>
  <c r="G64" i="33"/>
  <c r="G176" i="8"/>
  <c r="H139" i="3"/>
  <c r="H90" i="4"/>
  <c r="AW6" i="44"/>
  <c r="AW8" i="44"/>
  <c r="AU9" i="44"/>
  <c r="AZ9" i="44" s="1"/>
  <c r="H43" i="3"/>
  <c r="H7" i="5"/>
  <c r="G102" i="4"/>
  <c r="G103" i="4" s="1"/>
  <c r="G64" i="11"/>
  <c r="G176" i="20"/>
  <c r="G64" i="27"/>
  <c r="G71" i="27"/>
  <c r="BJ11" i="1"/>
  <c r="AI12" i="1"/>
  <c r="AX14" i="44"/>
  <c r="AY14" i="44" s="1"/>
  <c r="AU20" i="44"/>
  <c r="AG20" i="1"/>
  <c r="AK24" i="1"/>
  <c r="AX26" i="44"/>
  <c r="AX27" i="44"/>
  <c r="AO27" i="1"/>
  <c r="AW34" i="44"/>
  <c r="AY34" i="44" s="1"/>
  <c r="W22" i="1"/>
  <c r="X28" i="1"/>
  <c r="Y28" i="1" s="1"/>
  <c r="G188" i="27"/>
  <c r="G96" i="20"/>
  <c r="K24" i="44"/>
  <c r="G96" i="22"/>
  <c r="G97" i="22" s="1"/>
  <c r="K26" i="44"/>
  <c r="J23" i="49" s="1"/>
  <c r="I89" i="23"/>
  <c r="I89" i="24"/>
  <c r="AD31" i="1"/>
  <c r="AP26" i="44"/>
  <c r="BI23" i="49" s="1"/>
  <c r="H103" i="3"/>
  <c r="G99" i="7"/>
  <c r="H75" i="3"/>
  <c r="J75" i="3" s="1"/>
  <c r="H52" i="15"/>
  <c r="H29" i="4"/>
  <c r="G64" i="16"/>
  <c r="G64" i="23"/>
  <c r="G176" i="27"/>
  <c r="G64" i="29"/>
  <c r="G103" i="24"/>
  <c r="AX13" i="44"/>
  <c r="AU19" i="44"/>
  <c r="AZ19" i="44" s="1"/>
  <c r="X9" i="45"/>
  <c r="AO22" i="49" s="1"/>
  <c r="G64" i="14"/>
  <c r="AA36" i="1"/>
  <c r="G104" i="18"/>
  <c r="G187" i="21"/>
  <c r="AN27" i="1"/>
  <c r="G186" i="40"/>
  <c r="G96" i="27"/>
  <c r="G97" i="27" s="1"/>
  <c r="AD29" i="1"/>
  <c r="G135" i="27"/>
  <c r="I135" i="27" s="1"/>
  <c r="I87" i="23"/>
  <c r="Z17" i="45"/>
  <c r="AU24" i="49" s="1"/>
  <c r="G176" i="24"/>
  <c r="G135" i="24"/>
  <c r="I135" i="24" s="1"/>
  <c r="AU27" i="44"/>
  <c r="I92" i="24"/>
  <c r="AJ26" i="1"/>
  <c r="AV27" i="44"/>
  <c r="AC26" i="44"/>
  <c r="AB23" i="49" s="1"/>
  <c r="AG25" i="1"/>
  <c r="AD25" i="1"/>
  <c r="AO27" i="44"/>
  <c r="BH24" i="49" s="1"/>
  <c r="AO26" i="1"/>
  <c r="G79" i="24"/>
  <c r="G80" i="24" s="1"/>
  <c r="Z11" i="45"/>
  <c r="Z25" i="45" s="1"/>
  <c r="BE24" i="49" s="1"/>
  <c r="X26" i="1"/>
  <c r="Y26" i="1" s="1"/>
  <c r="G188" i="24"/>
  <c r="Z29" i="45"/>
  <c r="Z8" i="45"/>
  <c r="AN24" i="49" s="1"/>
  <c r="G64" i="24"/>
  <c r="J26" i="44"/>
  <c r="I23" i="49" s="1"/>
  <c r="BF25" i="1"/>
  <c r="BF35" i="1" s="1"/>
  <c r="BG25" i="1"/>
  <c r="G94" i="24"/>
  <c r="G95" i="24" s="1"/>
  <c r="AZ26" i="1"/>
  <c r="F27" i="44"/>
  <c r="E24" i="49" s="1"/>
  <c r="AU26" i="1"/>
  <c r="BI26" i="1" s="1"/>
  <c r="J27" i="44"/>
  <c r="I24" i="49" s="1"/>
  <c r="AS26" i="1"/>
  <c r="I27" i="44"/>
  <c r="H24" i="49" s="1"/>
  <c r="G101" i="23"/>
  <c r="G27" i="44"/>
  <c r="F24" i="49" s="1"/>
  <c r="G104" i="24"/>
  <c r="G105" i="24" s="1"/>
  <c r="AQ26" i="1"/>
  <c r="AP26" i="1"/>
  <c r="C27" i="44"/>
  <c r="H26" i="1"/>
  <c r="E24" i="47" s="1"/>
  <c r="AD23" i="1"/>
  <c r="G186" i="23"/>
  <c r="Y23" i="45"/>
  <c r="G181" i="23"/>
  <c r="G189" i="23" s="1"/>
  <c r="Y18" i="45"/>
  <c r="AV23" i="49" s="1"/>
  <c r="G176" i="23"/>
  <c r="G153" i="23"/>
  <c r="I153" i="23" s="1"/>
  <c r="AM26" i="44"/>
  <c r="AL23" i="49" s="1"/>
  <c r="BJ25" i="1"/>
  <c r="G135" i="23"/>
  <c r="G135" i="22"/>
  <c r="I135" i="22" s="1"/>
  <c r="I92" i="23"/>
  <c r="AK25" i="1"/>
  <c r="AN25" i="1" s="1"/>
  <c r="AU26" i="44"/>
  <c r="AZ26" i="44" s="1"/>
  <c r="AN24" i="1"/>
  <c r="AJ25" i="1"/>
  <c r="AV26" i="44"/>
  <c r="AY26" i="44" s="1"/>
  <c r="BH23" i="49"/>
  <c r="AO24" i="1"/>
  <c r="G79" i="23"/>
  <c r="AS22" i="49"/>
  <c r="BA22" i="49"/>
  <c r="X25" i="1"/>
  <c r="Y11" i="45"/>
  <c r="AQ23" i="49" s="1"/>
  <c r="G188" i="22"/>
  <c r="W24" i="1"/>
  <c r="Y24" i="1" s="1"/>
  <c r="X10" i="45"/>
  <c r="AP22" i="49" s="1"/>
  <c r="Y9" i="45"/>
  <c r="V25" i="1"/>
  <c r="G71" i="23"/>
  <c r="G64" i="22"/>
  <c r="BE22" i="1"/>
  <c r="AE22" i="1" s="1"/>
  <c r="G97" i="20"/>
  <c r="G104" i="22"/>
  <c r="J25" i="44"/>
  <c r="I22" i="49" s="1"/>
  <c r="AU24" i="1"/>
  <c r="AE24" i="1" s="1"/>
  <c r="I26" i="44"/>
  <c r="H23" i="49" s="1"/>
  <c r="AS25" i="1"/>
  <c r="BL25" i="1" s="1"/>
  <c r="G98" i="23"/>
  <c r="G99" i="23" s="1"/>
  <c r="G26" i="44"/>
  <c r="F23" i="49" s="1"/>
  <c r="AQ25" i="1"/>
  <c r="AP25" i="1"/>
  <c r="F26" i="44"/>
  <c r="E23" i="49" s="1"/>
  <c r="G94" i="23"/>
  <c r="G95" i="23" s="1"/>
  <c r="I135" i="23"/>
  <c r="E28" i="23"/>
  <c r="G28" i="23" s="1"/>
  <c r="L25" i="1"/>
  <c r="G23" i="47" s="1"/>
  <c r="D26" i="44"/>
  <c r="G13" i="23"/>
  <c r="I13" i="23" s="1"/>
  <c r="BM25" i="1"/>
  <c r="G103" i="23"/>
  <c r="G25" i="1"/>
  <c r="G105" i="23"/>
  <c r="B26" i="44"/>
  <c r="X21" i="45"/>
  <c r="G181" i="22"/>
  <c r="G189" i="22" s="1"/>
  <c r="G176" i="22"/>
  <c r="I92" i="22"/>
  <c r="AN23" i="1"/>
  <c r="AI24" i="1"/>
  <c r="AJ24" i="1" s="1"/>
  <c r="AX25" i="44"/>
  <c r="AY25" i="44" s="1"/>
  <c r="AD24" i="1"/>
  <c r="X30" i="45"/>
  <c r="X25" i="45"/>
  <c r="BE22" i="49" s="1"/>
  <c r="AO21" i="49"/>
  <c r="W29" i="45"/>
  <c r="X29" i="45"/>
  <c r="V23" i="1"/>
  <c r="G71" i="22"/>
  <c r="I24" i="44"/>
  <c r="H21" i="49" s="1"/>
  <c r="G94" i="22"/>
  <c r="G95" i="22" s="1"/>
  <c r="AZ24" i="1"/>
  <c r="G59" i="22"/>
  <c r="F25" i="44"/>
  <c r="E22" i="49" s="1"/>
  <c r="BO24" i="1"/>
  <c r="AS23" i="1"/>
  <c r="G100" i="22"/>
  <c r="G101" i="22" s="1"/>
  <c r="AQ24" i="1"/>
  <c r="G25" i="44"/>
  <c r="F22" i="49" s="1"/>
  <c r="D25" i="44"/>
  <c r="AN25" i="44"/>
  <c r="G13" i="22"/>
  <c r="I13" i="22" s="1"/>
  <c r="G24" i="1"/>
  <c r="B25" i="44"/>
  <c r="G186" i="20"/>
  <c r="W23" i="45"/>
  <c r="AZ21" i="49" s="1"/>
  <c r="AD24" i="44"/>
  <c r="AC21" i="49" s="1"/>
  <c r="BC21" i="49"/>
  <c r="AR21" i="49"/>
  <c r="G71" i="21"/>
  <c r="W23" i="1"/>
  <c r="W10" i="45"/>
  <c r="E24" i="44"/>
  <c r="O23" i="1"/>
  <c r="W6" i="45"/>
  <c r="W24" i="45" s="1"/>
  <c r="BD21" i="49" s="1"/>
  <c r="N23" i="1"/>
  <c r="BJ23" i="1"/>
  <c r="AM24" i="44"/>
  <c r="AL21" i="49" s="1"/>
  <c r="AG23" i="1"/>
  <c r="AJ23" i="1" s="1"/>
  <c r="I89" i="21"/>
  <c r="AV24" i="44"/>
  <c r="AY24" i="44" s="1"/>
  <c r="AC24" i="44"/>
  <c r="AB21" i="49" s="1"/>
  <c r="I87" i="21"/>
  <c r="G98" i="21"/>
  <c r="G99" i="21" s="1"/>
  <c r="G23" i="44"/>
  <c r="F20" i="49" s="1"/>
  <c r="BH23" i="1"/>
  <c r="G102" i="21"/>
  <c r="G103" i="21" s="1"/>
  <c r="L24" i="44"/>
  <c r="K21" i="49" s="1"/>
  <c r="F23" i="44"/>
  <c r="E20" i="49" s="1"/>
  <c r="F24" i="44"/>
  <c r="E21" i="49" s="1"/>
  <c r="AW23" i="1"/>
  <c r="J23" i="44"/>
  <c r="I20" i="49" s="1"/>
  <c r="G96" i="21"/>
  <c r="G97" i="21" s="1"/>
  <c r="E27" i="21"/>
  <c r="G27" i="21" s="1"/>
  <c r="H23" i="1"/>
  <c r="BM23" i="1" s="1"/>
  <c r="C24" i="44"/>
  <c r="J21" i="48" s="1"/>
  <c r="H22" i="1"/>
  <c r="C23" i="44"/>
  <c r="J20" i="48" s="1"/>
  <c r="H133" i="5"/>
  <c r="I9" i="47"/>
  <c r="BB6" i="44"/>
  <c r="BC6" i="44" s="1"/>
  <c r="F3" i="49"/>
  <c r="AX6" i="49"/>
  <c r="H27" i="45"/>
  <c r="BF6" i="49" s="1"/>
  <c r="K30" i="45"/>
  <c r="AS9" i="49"/>
  <c r="BA9" i="49"/>
  <c r="AT19" i="49"/>
  <c r="BB19" i="49"/>
  <c r="AT24" i="44"/>
  <c r="BL21" i="49"/>
  <c r="BC30" i="49"/>
  <c r="AR28" i="49"/>
  <c r="AH30" i="45"/>
  <c r="AT32" i="49"/>
  <c r="AH25" i="45"/>
  <c r="BE32" i="49" s="1"/>
  <c r="BB32" i="49"/>
  <c r="AT28" i="49"/>
  <c r="G13" i="25"/>
  <c r="BG31" i="49"/>
  <c r="Q19" i="1"/>
  <c r="I17" i="47"/>
  <c r="E27" i="25"/>
  <c r="G27" i="25" s="1"/>
  <c r="G32" i="25" s="1"/>
  <c r="H27" i="1"/>
  <c r="C28" i="44"/>
  <c r="J25" i="48" s="1"/>
  <c r="AS4" i="49"/>
  <c r="BA4" i="49"/>
  <c r="I27" i="45"/>
  <c r="BF7" i="49" s="1"/>
  <c r="AR7" i="49"/>
  <c r="BC7" i="49"/>
  <c r="G101" i="12"/>
  <c r="B15" i="44"/>
  <c r="AU2" i="49"/>
  <c r="AU17" i="49"/>
  <c r="G13" i="18"/>
  <c r="G13" i="27"/>
  <c r="I13" i="27" s="1"/>
  <c r="J167" i="22"/>
  <c r="H167" i="23"/>
  <c r="AT25" i="49"/>
  <c r="AA30" i="45"/>
  <c r="BB25" i="49"/>
  <c r="G13" i="10"/>
  <c r="I13" i="10" s="1"/>
  <c r="G187" i="8"/>
  <c r="J6" i="45"/>
  <c r="J24" i="45" s="1"/>
  <c r="BD8" i="49" s="1"/>
  <c r="AT8" i="49"/>
  <c r="BB8" i="49"/>
  <c r="AR10" i="49"/>
  <c r="BC10" i="49"/>
  <c r="L27" i="45"/>
  <c r="BF10" i="49" s="1"/>
  <c r="G153" i="43"/>
  <c r="I153" i="43" s="1"/>
  <c r="V34" i="44"/>
  <c r="U31" i="49" s="1"/>
  <c r="G13" i="40"/>
  <c r="I13" i="40" s="1"/>
  <c r="C25" i="44"/>
  <c r="J22" i="48" s="1"/>
  <c r="H24" i="1"/>
  <c r="E27" i="22"/>
  <c r="G27" i="22" s="1"/>
  <c r="X32" i="44"/>
  <c r="W29" i="49" s="1"/>
  <c r="G153" i="29"/>
  <c r="I153" i="29" s="1"/>
  <c r="R9" i="1"/>
  <c r="I7" i="47"/>
  <c r="AT10" i="49"/>
  <c r="BB10" i="49"/>
  <c r="L30" i="45"/>
  <c r="L25" i="45"/>
  <c r="BE10" i="49" s="1"/>
  <c r="BA23" i="49"/>
  <c r="AS23" i="49"/>
  <c r="V28" i="44"/>
  <c r="U25" i="49" s="1"/>
  <c r="G153" i="25"/>
  <c r="I153" i="25" s="1"/>
  <c r="T29" i="44"/>
  <c r="S26" i="49" s="1"/>
  <c r="G153" i="40"/>
  <c r="I153" i="40" s="1"/>
  <c r="G9" i="47"/>
  <c r="N11" i="1"/>
  <c r="H132" i="33"/>
  <c r="J132" i="5"/>
  <c r="AT23" i="49"/>
  <c r="BB23" i="49"/>
  <c r="Z30" i="1"/>
  <c r="AD30" i="1" s="1"/>
  <c r="AF30" i="1" s="1"/>
  <c r="I87" i="28"/>
  <c r="O8" i="35"/>
  <c r="G20" i="23"/>
  <c r="G99" i="22"/>
  <c r="J167" i="21"/>
  <c r="J132" i="4"/>
  <c r="J130" i="3"/>
  <c r="I89" i="50"/>
  <c r="G60" i="3"/>
  <c r="G135" i="3"/>
  <c r="I135" i="3" s="1"/>
  <c r="H19" i="4"/>
  <c r="J19" i="4" s="1"/>
  <c r="G59" i="33"/>
  <c r="G47" i="9"/>
  <c r="G59" i="9"/>
  <c r="AU21" i="44"/>
  <c r="G24" i="22"/>
  <c r="S24" i="1" s="1"/>
  <c r="U24" i="1" s="1"/>
  <c r="K9" i="35"/>
  <c r="BO32" i="1"/>
  <c r="BO13" i="1"/>
  <c r="J164" i="3"/>
  <c r="G105" i="50"/>
  <c r="G106" i="50" s="1"/>
  <c r="N49" i="4"/>
  <c r="BO11" i="1"/>
  <c r="G79" i="29"/>
  <c r="G80" i="29" s="1"/>
  <c r="AD8" i="44"/>
  <c r="AC5" i="49" s="1"/>
  <c r="G125" i="7"/>
  <c r="I125" i="7" s="1"/>
  <c r="G104" i="15"/>
  <c r="AF24" i="45"/>
  <c r="BD30" i="49" s="1"/>
  <c r="I24" i="45"/>
  <c r="BD7" i="49" s="1"/>
  <c r="G60" i="33"/>
  <c r="H115" i="3"/>
  <c r="K20" i="44"/>
  <c r="J17" i="49" s="1"/>
  <c r="BP8" i="1"/>
  <c r="AG31" i="45"/>
  <c r="G20" i="31"/>
  <c r="G102" i="50"/>
  <c r="H31" i="4"/>
  <c r="H79" i="3"/>
  <c r="H82" i="3"/>
  <c r="G135" i="33"/>
  <c r="I135" i="33" s="1"/>
  <c r="I21" i="44"/>
  <c r="H18" i="49" s="1"/>
  <c r="G186" i="25"/>
  <c r="AD22" i="44"/>
  <c r="AC19" i="49" s="1"/>
  <c r="AF34" i="1"/>
  <c r="O18" i="35"/>
  <c r="AE10" i="1"/>
  <c r="G100" i="50"/>
  <c r="G105" i="28"/>
  <c r="G105" i="22"/>
  <c r="J138" i="4"/>
  <c r="G20" i="5"/>
  <c r="G102" i="5"/>
  <c r="G103" i="5" s="1"/>
  <c r="H58" i="5"/>
  <c r="I92" i="5"/>
  <c r="AD23" i="44"/>
  <c r="AC20" i="49" s="1"/>
  <c r="BM5" i="1"/>
  <c r="BI34" i="1"/>
  <c r="G59" i="4"/>
  <c r="H8" i="5"/>
  <c r="J8" i="5" s="1"/>
  <c r="I135" i="9"/>
  <c r="G47" i="23"/>
  <c r="G47" i="29"/>
  <c r="G135" i="31"/>
  <c r="I135" i="31" s="1"/>
  <c r="H22" i="3"/>
  <c r="J22" i="3" s="1"/>
  <c r="G135" i="21"/>
  <c r="I135" i="21" s="1"/>
  <c r="G9" i="35"/>
  <c r="G187" i="23"/>
  <c r="H65" i="3"/>
  <c r="H83" i="33"/>
  <c r="AD14" i="44"/>
  <c r="AC11" i="49" s="1"/>
  <c r="AL36" i="1"/>
  <c r="G186" i="19"/>
  <c r="V27" i="45"/>
  <c r="BF20" i="49" s="1"/>
  <c r="AX20" i="49"/>
  <c r="I92" i="20"/>
  <c r="AU23" i="44"/>
  <c r="AW23" i="44"/>
  <c r="AH22" i="1"/>
  <c r="G79" i="20"/>
  <c r="G80" i="20" s="1"/>
  <c r="AR20" i="49"/>
  <c r="G187" i="20"/>
  <c r="G104" i="19"/>
  <c r="G105" i="19" s="1"/>
  <c r="BH22" i="1"/>
  <c r="AW22" i="1"/>
  <c r="K23" i="44"/>
  <c r="J20" i="49" s="1"/>
  <c r="G94" i="20"/>
  <c r="G95" i="20" s="1"/>
  <c r="G98" i="20"/>
  <c r="G99" i="20" s="1"/>
  <c r="I23" i="44"/>
  <c r="H20" i="49" s="1"/>
  <c r="AS22" i="1"/>
  <c r="BL22" i="1" s="1"/>
  <c r="H23" i="44"/>
  <c r="G20" i="49" s="1"/>
  <c r="AR22" i="1"/>
  <c r="G100" i="20"/>
  <c r="G101" i="20" s="1"/>
  <c r="G104" i="20"/>
  <c r="G105" i="20" s="1"/>
  <c r="AQ21" i="1"/>
  <c r="AQ22" i="1"/>
  <c r="E23" i="44"/>
  <c r="U5" i="45"/>
  <c r="U24" i="45" s="1"/>
  <c r="BD19" i="49" s="1"/>
  <c r="D23" i="44"/>
  <c r="AN22" i="44"/>
  <c r="BG19" i="49" s="1"/>
  <c r="N21" i="1"/>
  <c r="L22" i="1"/>
  <c r="N22" i="1" s="1"/>
  <c r="D22" i="44"/>
  <c r="G13" i="20"/>
  <c r="I13" i="20" s="1"/>
  <c r="G13" i="19"/>
  <c r="I13" i="19" s="1"/>
  <c r="G176" i="19"/>
  <c r="N22" i="44"/>
  <c r="M19" i="49" s="1"/>
  <c r="N21" i="44"/>
  <c r="M18" i="49" s="1"/>
  <c r="AU22" i="44"/>
  <c r="AZ22" i="44" s="1"/>
  <c r="I92" i="19"/>
  <c r="AH21" i="1"/>
  <c r="AV22" i="44"/>
  <c r="AY22" i="44" s="1"/>
  <c r="AG21" i="1"/>
  <c r="AC22" i="44"/>
  <c r="AB19" i="49" s="1"/>
  <c r="I89" i="19"/>
  <c r="Z21" i="1"/>
  <c r="AD21" i="1" s="1"/>
  <c r="I87" i="19"/>
  <c r="G79" i="19"/>
  <c r="G80" i="19" s="1"/>
  <c r="H80" i="19" s="1"/>
  <c r="AT22" i="44"/>
  <c r="U14" i="45"/>
  <c r="G71" i="19"/>
  <c r="AR19" i="49"/>
  <c r="BC18" i="49"/>
  <c r="AQ19" i="49"/>
  <c r="BL20" i="1"/>
  <c r="BA20" i="1"/>
  <c r="G21" i="44"/>
  <c r="F18" i="49" s="1"/>
  <c r="BH21" i="1"/>
  <c r="G59" i="19"/>
  <c r="G96" i="19"/>
  <c r="G97" i="19" s="1"/>
  <c r="AV21" i="1"/>
  <c r="BI21" i="1" s="1"/>
  <c r="J22" i="44"/>
  <c r="I19" i="49" s="1"/>
  <c r="G100" i="19"/>
  <c r="G101" i="19" s="1"/>
  <c r="H22" i="44"/>
  <c r="AR21" i="1"/>
  <c r="BM21" i="1" s="1"/>
  <c r="AY20" i="1"/>
  <c r="M22" i="44"/>
  <c r="L19" i="49" s="1"/>
  <c r="G47" i="19"/>
  <c r="K21" i="1"/>
  <c r="BL21" i="1"/>
  <c r="E19" i="47"/>
  <c r="G99" i="19"/>
  <c r="G95" i="19"/>
  <c r="G21" i="1"/>
  <c r="I20" i="47"/>
  <c r="R22" i="1"/>
  <c r="G13" i="33"/>
  <c r="G13" i="43"/>
  <c r="G13" i="9"/>
  <c r="G13" i="5"/>
  <c r="BG11" i="49"/>
  <c r="AT14" i="44"/>
  <c r="G8" i="47"/>
  <c r="N10" i="1"/>
  <c r="N6" i="1"/>
  <c r="G4" i="47"/>
  <c r="Q8" i="1"/>
  <c r="R8" i="1"/>
  <c r="I6" i="47"/>
  <c r="J10" i="1"/>
  <c r="BK10" i="1"/>
  <c r="BM10" i="1"/>
  <c r="BL10" i="1"/>
  <c r="O8" i="29"/>
  <c r="O12" i="29" s="1"/>
  <c r="C32" i="44"/>
  <c r="E27" i="29"/>
  <c r="G27" i="29" s="1"/>
  <c r="H31" i="1"/>
  <c r="BK31" i="1" s="1"/>
  <c r="J30" i="48"/>
  <c r="G22" i="47"/>
  <c r="N24" i="1"/>
  <c r="AE5" i="1"/>
  <c r="BO5" i="1"/>
  <c r="BK5" i="1"/>
  <c r="O26" i="1"/>
  <c r="E27" i="44"/>
  <c r="I13" i="21"/>
  <c r="BO4" i="1"/>
  <c r="BP4" i="1" s="1"/>
  <c r="BG24" i="49"/>
  <c r="BK30" i="1"/>
  <c r="BO30" i="1"/>
  <c r="BP30" i="1" s="1"/>
  <c r="BI30" i="1"/>
  <c r="J9" i="1"/>
  <c r="E7" i="47"/>
  <c r="K9" i="1"/>
  <c r="BL9" i="1"/>
  <c r="E5" i="49"/>
  <c r="BI9" i="1"/>
  <c r="AE18" i="1"/>
  <c r="AV36" i="1"/>
  <c r="BC11" i="44"/>
  <c r="G187" i="25"/>
  <c r="G20" i="25"/>
  <c r="J19" i="48"/>
  <c r="H138" i="33"/>
  <c r="J138" i="5"/>
  <c r="BK4" i="1"/>
  <c r="G187" i="24"/>
  <c r="E30" i="24"/>
  <c r="G30" i="24" s="1"/>
  <c r="E27" i="27"/>
  <c r="G27" i="27" s="1"/>
  <c r="C30" i="44"/>
  <c r="J27" i="48" s="1"/>
  <c r="G24" i="45"/>
  <c r="BD5" i="49" s="1"/>
  <c r="K8" i="1"/>
  <c r="J8" i="1"/>
  <c r="J34" i="1"/>
  <c r="BK34" i="1"/>
  <c r="G5" i="47"/>
  <c r="N7" i="1"/>
  <c r="BM32" i="49"/>
  <c r="BM34" i="1"/>
  <c r="BO31" i="1"/>
  <c r="BP31" i="1" s="1"/>
  <c r="BO9" i="1"/>
  <c r="G20" i="43"/>
  <c r="G187" i="43"/>
  <c r="BO34" i="1"/>
  <c r="BP34" i="1" s="1"/>
  <c r="E28" i="12"/>
  <c r="G28" i="12" s="1"/>
  <c r="G79" i="12"/>
  <c r="G80" i="12" s="1"/>
  <c r="BA29" i="44"/>
  <c r="G24" i="47"/>
  <c r="G20" i="47"/>
  <c r="M24" i="45"/>
  <c r="BD11" i="49" s="1"/>
  <c r="AT13" i="44"/>
  <c r="E32" i="47"/>
  <c r="BB10" i="44"/>
  <c r="BC10" i="44" s="1"/>
  <c r="BI25" i="1"/>
  <c r="BO33" i="1"/>
  <c r="BP33" i="1" s="1"/>
  <c r="AE33" i="1"/>
  <c r="AF33" i="1" s="1"/>
  <c r="AE8" i="1"/>
  <c r="AF8" i="1" s="1"/>
  <c r="BI5" i="1"/>
  <c r="H29" i="1"/>
  <c r="BB12" i="44"/>
  <c r="BC12" i="44" s="1"/>
  <c r="AE12" i="1"/>
  <c r="J5" i="48"/>
  <c r="O8" i="19"/>
  <c r="G187" i="11"/>
  <c r="G79" i="22"/>
  <c r="G80" i="22" s="1"/>
  <c r="E29" i="50"/>
  <c r="G29" i="50" s="1"/>
  <c r="G103" i="50"/>
  <c r="G104" i="50" s="1"/>
  <c r="H104" i="50" s="1"/>
  <c r="J104" i="50" s="1"/>
  <c r="H115" i="4"/>
  <c r="J115" i="3"/>
  <c r="G176" i="33"/>
  <c r="H18" i="45"/>
  <c r="AV6" i="49" s="1"/>
  <c r="I89" i="7"/>
  <c r="AG9" i="1"/>
  <c r="AJ9" i="1" s="1"/>
  <c r="AV10" i="44"/>
  <c r="AY10" i="44" s="1"/>
  <c r="AI10" i="1"/>
  <c r="AJ10" i="1" s="1"/>
  <c r="AX11" i="44"/>
  <c r="AY11" i="44" s="1"/>
  <c r="I90" i="8"/>
  <c r="G98" i="10"/>
  <c r="G99" i="10" s="1"/>
  <c r="G71" i="10"/>
  <c r="L12" i="35" s="1"/>
  <c r="O12" i="35" s="1"/>
  <c r="V12" i="1"/>
  <c r="L31" i="45"/>
  <c r="BI11" i="1"/>
  <c r="G32" i="23"/>
  <c r="H161" i="4"/>
  <c r="G176" i="3"/>
  <c r="H176" i="3" s="1"/>
  <c r="J176" i="3" s="1"/>
  <c r="H96" i="2"/>
  <c r="J96" i="2" s="1"/>
  <c r="H144" i="3"/>
  <c r="J144" i="2"/>
  <c r="I92" i="4"/>
  <c r="AK6" i="1"/>
  <c r="AN6" i="1" s="1"/>
  <c r="AU7" i="44"/>
  <c r="AZ7" i="44" s="1"/>
  <c r="G188" i="5"/>
  <c r="G71" i="5"/>
  <c r="L6" i="35" s="1"/>
  <c r="O6" i="35" s="1"/>
  <c r="G14" i="45"/>
  <c r="R9" i="44"/>
  <c r="Q6" i="49" s="1"/>
  <c r="G153" i="33"/>
  <c r="I153" i="33" s="1"/>
  <c r="I19" i="45"/>
  <c r="AW7" i="49" s="1"/>
  <c r="G176" i="7"/>
  <c r="G71" i="8"/>
  <c r="L10" i="35" s="1"/>
  <c r="O10" i="35" s="1"/>
  <c r="J10" i="45"/>
  <c r="H178" i="2"/>
  <c r="D21" i="45"/>
  <c r="G181" i="2"/>
  <c r="G96" i="3"/>
  <c r="H41" i="3"/>
  <c r="G104" i="3"/>
  <c r="H51" i="3"/>
  <c r="G187" i="3"/>
  <c r="G64" i="3"/>
  <c r="AP7" i="44"/>
  <c r="H75" i="4"/>
  <c r="G98" i="5"/>
  <c r="G99" i="5" s="1"/>
  <c r="G47" i="5"/>
  <c r="X22" i="1"/>
  <c r="Y22" i="1" s="1"/>
  <c r="V11" i="45"/>
  <c r="G188" i="20"/>
  <c r="AV23" i="44"/>
  <c r="I89" i="20"/>
  <c r="AG22" i="1"/>
  <c r="AJ22" i="1" s="1"/>
  <c r="R23" i="44"/>
  <c r="Q20" i="49" s="1"/>
  <c r="G153" i="20"/>
  <c r="I153" i="20" s="1"/>
  <c r="V22" i="45"/>
  <c r="AY20" i="49" s="1"/>
  <c r="G181" i="20"/>
  <c r="G189" i="20" s="1"/>
  <c r="H189" i="20" s="1"/>
  <c r="AH25" i="44"/>
  <c r="AG22" i="49" s="1"/>
  <c r="G125" i="22"/>
  <c r="I125" i="22" s="1"/>
  <c r="E28" i="24"/>
  <c r="G28" i="24" s="1"/>
  <c r="E30" i="10"/>
  <c r="G30" i="10" s="1"/>
  <c r="H118" i="4"/>
  <c r="H116" i="4"/>
  <c r="J116" i="3"/>
  <c r="F10" i="45"/>
  <c r="AP4" i="49" s="1"/>
  <c r="G71" i="4"/>
  <c r="W6" i="1"/>
  <c r="G176" i="4"/>
  <c r="F18" i="45"/>
  <c r="AV4" i="49" s="1"/>
  <c r="U21" i="45"/>
  <c r="G181" i="19"/>
  <c r="G189" i="19" s="1"/>
  <c r="G47" i="21"/>
  <c r="G94" i="21"/>
  <c r="T6" i="44"/>
  <c r="S3" i="49" s="1"/>
  <c r="Z14" i="44"/>
  <c r="Y11" i="49" s="1"/>
  <c r="G153" i="11"/>
  <c r="I153" i="11" s="1"/>
  <c r="Y8" i="44"/>
  <c r="X5" i="49" s="1"/>
  <c r="BI18" i="1"/>
  <c r="BB14" i="44"/>
  <c r="BC14" i="44" s="1"/>
  <c r="G20" i="8"/>
  <c r="H163" i="2"/>
  <c r="AD5" i="44"/>
  <c r="AC2" i="49" s="1"/>
  <c r="G71" i="33"/>
  <c r="H14" i="45"/>
  <c r="I89" i="33"/>
  <c r="AH8" i="1"/>
  <c r="AJ8" i="1" s="1"/>
  <c r="AW9" i="44"/>
  <c r="AY9" i="44" s="1"/>
  <c r="G71" i="20"/>
  <c r="AI11" i="1"/>
  <c r="AJ11" i="1" s="1"/>
  <c r="I90" i="9"/>
  <c r="G59" i="23"/>
  <c r="G60" i="23" s="1"/>
  <c r="I59" i="23" s="1"/>
  <c r="G96" i="23"/>
  <c r="G97" i="23" s="1"/>
  <c r="AE23" i="45"/>
  <c r="G181" i="29"/>
  <c r="G189" i="29" s="1"/>
  <c r="AL32" i="1"/>
  <c r="AN32" i="1" s="1"/>
  <c r="AU33" i="44"/>
  <c r="I92" i="30"/>
  <c r="AF21" i="45"/>
  <c r="G181" i="30"/>
  <c r="G189" i="30" s="1"/>
  <c r="G187" i="33"/>
  <c r="E30" i="33"/>
  <c r="G30" i="33" s="1"/>
  <c r="BI8" i="1"/>
  <c r="E24" i="45"/>
  <c r="BD3" i="49" s="1"/>
  <c r="E36" i="1"/>
  <c r="E30" i="20"/>
  <c r="G30" i="20" s="1"/>
  <c r="G32" i="20" s="1"/>
  <c r="E30" i="14"/>
  <c r="G30" i="14" s="1"/>
  <c r="G79" i="10"/>
  <c r="G80" i="10" s="1"/>
  <c r="E30" i="9"/>
  <c r="G30" i="9" s="1"/>
  <c r="H19" i="5"/>
  <c r="H140" i="2"/>
  <c r="P5" i="44"/>
  <c r="O2" i="49" s="1"/>
  <c r="T5" i="44"/>
  <c r="S2" i="49" s="1"/>
  <c r="H146" i="2"/>
  <c r="J146" i="2" s="1"/>
  <c r="BI13" i="1"/>
  <c r="BM9" i="1"/>
  <c r="BB9" i="44"/>
  <c r="BC9" i="44" s="1"/>
  <c r="BA5" i="1"/>
  <c r="AU35" i="44"/>
  <c r="E30" i="8"/>
  <c r="G30" i="8" s="1"/>
  <c r="G32" i="8" s="1"/>
  <c r="E7" i="45"/>
  <c r="AM3" i="49" s="1"/>
  <c r="D14" i="45"/>
  <c r="H69" i="2"/>
  <c r="I92" i="2"/>
  <c r="AU5" i="44"/>
  <c r="AZ5" i="44" s="1"/>
  <c r="H92" i="2"/>
  <c r="AL4" i="1"/>
  <c r="AN4" i="1" s="1"/>
  <c r="AI6" i="44"/>
  <c r="AH3" i="49" s="1"/>
  <c r="BJ7" i="1"/>
  <c r="BJ6" i="1"/>
  <c r="BO6" i="1" s="1"/>
  <c r="AM7" i="44"/>
  <c r="AL4" i="49" s="1"/>
  <c r="AM11" i="44"/>
  <c r="AL8" i="49" s="1"/>
  <c r="G135" i="8"/>
  <c r="I135" i="8" s="1"/>
  <c r="I13" i="3"/>
  <c r="K8" i="45"/>
  <c r="AN9" i="49" s="1"/>
  <c r="G64" i="9"/>
  <c r="E30" i="5"/>
  <c r="G30" i="5" s="1"/>
  <c r="H53" i="2"/>
  <c r="J53" i="2" s="1"/>
  <c r="G98" i="2"/>
  <c r="I87" i="10"/>
  <c r="Z12" i="1"/>
  <c r="AD12" i="1" s="1"/>
  <c r="AL12" i="1"/>
  <c r="I92" i="10"/>
  <c r="X13" i="1"/>
  <c r="Y13" i="1" s="1"/>
  <c r="M11" i="45"/>
  <c r="G95" i="50"/>
  <c r="G96" i="50" s="1"/>
  <c r="H64" i="3"/>
  <c r="H91" i="3"/>
  <c r="H120" i="2"/>
  <c r="J120" i="2" s="1"/>
  <c r="AO5" i="1"/>
  <c r="I90" i="4"/>
  <c r="G125" i="8"/>
  <c r="I125" i="8" s="1"/>
  <c r="G186" i="9"/>
  <c r="E27" i="3"/>
  <c r="G27" i="3" s="1"/>
  <c r="O8" i="3"/>
  <c r="H148" i="2"/>
  <c r="H62" i="2"/>
  <c r="H89" i="3"/>
  <c r="H114" i="3"/>
  <c r="G96" i="9"/>
  <c r="H36" i="4"/>
  <c r="H37" i="8"/>
  <c r="H53" i="3"/>
  <c r="AD10" i="44"/>
  <c r="AC7" i="49" s="1"/>
  <c r="J19" i="44"/>
  <c r="I16" i="49" s="1"/>
  <c r="H177" i="3"/>
  <c r="H177" i="4" s="1"/>
  <c r="H66" i="4"/>
  <c r="G125" i="4"/>
  <c r="I125" i="4" s="1"/>
  <c r="G135" i="4"/>
  <c r="I135" i="4" s="1"/>
  <c r="G103" i="12"/>
  <c r="H46" i="10"/>
  <c r="H141" i="2"/>
  <c r="H180" i="2"/>
  <c r="H63" i="3"/>
  <c r="D15" i="45"/>
  <c r="E10" i="45"/>
  <c r="I87" i="2"/>
  <c r="G125" i="2"/>
  <c r="I125" i="2" s="1"/>
  <c r="AD7" i="44"/>
  <c r="AC4" i="49" s="1"/>
  <c r="AZ25" i="44"/>
  <c r="Y16" i="1"/>
  <c r="G125" i="11"/>
  <c r="I125" i="11" s="1"/>
  <c r="H94" i="3"/>
  <c r="J94" i="3" s="1"/>
  <c r="H44" i="4"/>
  <c r="H88" i="3"/>
  <c r="G135" i="5"/>
  <c r="I92" i="33"/>
  <c r="G125" i="25"/>
  <c r="I125" i="25" s="1"/>
  <c r="G135" i="10"/>
  <c r="G186" i="12"/>
  <c r="J17" i="44"/>
  <c r="I14" i="49" s="1"/>
  <c r="AN16" i="1"/>
  <c r="H19" i="44"/>
  <c r="G16" i="49" s="1"/>
  <c r="G19" i="44"/>
  <c r="F16" i="49" s="1"/>
  <c r="G125" i="24"/>
  <c r="I125" i="24" s="1"/>
  <c r="G47" i="25"/>
  <c r="G96" i="28"/>
  <c r="G97" i="28" s="1"/>
  <c r="G100" i="28"/>
  <c r="G101" i="28" s="1"/>
  <c r="G96" i="29"/>
  <c r="G97" i="29" s="1"/>
  <c r="G98" i="30"/>
  <c r="G99" i="30" s="1"/>
  <c r="H11" i="3"/>
  <c r="AD16" i="44"/>
  <c r="AC13" i="49" s="1"/>
  <c r="G70" i="15"/>
  <c r="Q15" i="45" s="1"/>
  <c r="AY21" i="44"/>
  <c r="G96" i="25"/>
  <c r="G97" i="25" s="1"/>
  <c r="G104" i="25"/>
  <c r="G135" i="29"/>
  <c r="I135" i="29" s="1"/>
  <c r="H165" i="5"/>
  <c r="G186" i="16"/>
  <c r="AS17" i="49"/>
  <c r="AV17" i="49"/>
  <c r="G125" i="19"/>
  <c r="I125" i="19" s="1"/>
  <c r="G135" i="19"/>
  <c r="I135" i="19" s="1"/>
  <c r="H157" i="3"/>
  <c r="I89" i="11"/>
  <c r="G64" i="13"/>
  <c r="AD17" i="44"/>
  <c r="AC14" i="49" s="1"/>
  <c r="Z36" i="1"/>
  <c r="G102" i="19"/>
  <c r="G103" i="19" s="1"/>
  <c r="G47" i="22"/>
  <c r="G60" i="22" s="1"/>
  <c r="I59" i="22" s="1"/>
  <c r="AD28" i="44"/>
  <c r="AC25" i="49" s="1"/>
  <c r="J7" i="2"/>
  <c r="AX17" i="49"/>
  <c r="H155" i="3"/>
  <c r="G159" i="16"/>
  <c r="H158" i="3"/>
  <c r="H158" i="4" s="1"/>
  <c r="H158" i="5" s="1"/>
  <c r="J158" i="5" s="1"/>
  <c r="G186" i="11"/>
  <c r="H16" i="44"/>
  <c r="G47" i="20"/>
  <c r="G59" i="21"/>
  <c r="G47" i="24"/>
  <c r="G59" i="24"/>
  <c r="H152" i="3"/>
  <c r="H150" i="8"/>
  <c r="H156" i="3"/>
  <c r="G96" i="12"/>
  <c r="G97" i="12" s="1"/>
  <c r="G104" i="13"/>
  <c r="G153" i="22"/>
  <c r="I153" i="22" s="1"/>
  <c r="G96" i="24"/>
  <c r="G97" i="24" s="1"/>
  <c r="G159" i="13"/>
  <c r="F20" i="44"/>
  <c r="E17" i="49" s="1"/>
  <c r="K21" i="44"/>
  <c r="J18" i="49" s="1"/>
  <c r="I87" i="22"/>
  <c r="G94" i="30"/>
  <c r="G95" i="30" s="1"/>
  <c r="BG36" i="1"/>
  <c r="H157" i="22"/>
  <c r="J157" i="22" s="1"/>
  <c r="G186" i="18"/>
  <c r="G186" i="17"/>
  <c r="AZ18" i="49"/>
  <c r="T27" i="45"/>
  <c r="BF18" i="49" s="1"/>
  <c r="G176" i="18"/>
  <c r="G135" i="18"/>
  <c r="I135" i="18" s="1"/>
  <c r="G125" i="18"/>
  <c r="I125" i="18" s="1"/>
  <c r="AN20" i="1"/>
  <c r="AH20" i="1"/>
  <c r="AJ20" i="1" s="1"/>
  <c r="I89" i="18"/>
  <c r="AA20" i="1"/>
  <c r="AD20" i="1" s="1"/>
  <c r="I87" i="18"/>
  <c r="AZ20" i="44"/>
  <c r="BB18" i="49"/>
  <c r="AT18" i="49"/>
  <c r="BA18" i="49"/>
  <c r="AS18" i="49"/>
  <c r="G188" i="18"/>
  <c r="G71" i="18"/>
  <c r="W20" i="1"/>
  <c r="Y20" i="1" s="1"/>
  <c r="T10" i="45"/>
  <c r="S29" i="45"/>
  <c r="G187" i="17"/>
  <c r="G98" i="18"/>
  <c r="G99" i="18" s="1"/>
  <c r="G59" i="18"/>
  <c r="AZ19" i="1"/>
  <c r="AW19" i="1"/>
  <c r="G94" i="18"/>
  <c r="G95" i="18" s="1"/>
  <c r="G96" i="18"/>
  <c r="G97" i="18" s="1"/>
  <c r="AV20" i="1"/>
  <c r="BO20" i="1" s="1"/>
  <c r="J21" i="44"/>
  <c r="I18" i="49" s="1"/>
  <c r="AR20" i="1"/>
  <c r="BM20" i="1" s="1"/>
  <c r="H21" i="44"/>
  <c r="G18" i="49" s="1"/>
  <c r="G100" i="18"/>
  <c r="G101" i="18" s="1"/>
  <c r="G47" i="18"/>
  <c r="G102" i="18"/>
  <c r="G103" i="18" s="1"/>
  <c r="AP20" i="1"/>
  <c r="BK20" i="1" s="1"/>
  <c r="F21" i="44"/>
  <c r="E30" i="18"/>
  <c r="G30" i="18" s="1"/>
  <c r="G187" i="18"/>
  <c r="T6" i="45"/>
  <c r="T24" i="45" s="1"/>
  <c r="BD18" i="49" s="1"/>
  <c r="G20" i="18"/>
  <c r="R19" i="1"/>
  <c r="S24" i="45"/>
  <c r="BD17" i="49" s="1"/>
  <c r="D21" i="44"/>
  <c r="AN21" i="44"/>
  <c r="BG18" i="49" s="1"/>
  <c r="L20" i="1"/>
  <c r="H19" i="1"/>
  <c r="BM19" i="1" s="1"/>
  <c r="I13" i="18"/>
  <c r="G20" i="1"/>
  <c r="B21" i="44"/>
  <c r="G105" i="18"/>
  <c r="D35" i="1"/>
  <c r="F35" i="1"/>
  <c r="F37" i="1" s="1"/>
  <c r="F36" i="1"/>
  <c r="D20" i="44"/>
  <c r="E28" i="17"/>
  <c r="G28" i="17" s="1"/>
  <c r="G32" i="17" s="1"/>
  <c r="N19" i="1"/>
  <c r="G159" i="17"/>
  <c r="H159" i="17" s="1"/>
  <c r="J159" i="17" s="1"/>
  <c r="G135" i="17"/>
  <c r="I135" i="17" s="1"/>
  <c r="G125" i="17"/>
  <c r="AK19" i="1"/>
  <c r="AN19" i="1" s="1"/>
  <c r="AI19" i="1"/>
  <c r="AX20" i="44"/>
  <c r="AH18" i="1"/>
  <c r="AH36" i="1" s="1"/>
  <c r="I87" i="17"/>
  <c r="AC19" i="1"/>
  <c r="AD19" i="1" s="1"/>
  <c r="BA17" i="49"/>
  <c r="BC17" i="49"/>
  <c r="S27" i="45"/>
  <c r="AR17" i="49"/>
  <c r="S11" i="45"/>
  <c r="AQ17" i="49" s="1"/>
  <c r="X19" i="1"/>
  <c r="G71" i="17"/>
  <c r="X18" i="1"/>
  <c r="X36" i="1" s="1"/>
  <c r="G188" i="17"/>
  <c r="S8" i="45"/>
  <c r="AN17" i="49" s="1"/>
  <c r="G64" i="17"/>
  <c r="G96" i="17"/>
  <c r="G97" i="17" s="1"/>
  <c r="BE19" i="1"/>
  <c r="AE19" i="1" s="1"/>
  <c r="AF19" i="1" s="1"/>
  <c r="J20" i="44"/>
  <c r="I17" i="49" s="1"/>
  <c r="G96" i="16"/>
  <c r="E18" i="35" s="1"/>
  <c r="G18" i="35" s="1"/>
  <c r="G104" i="17"/>
  <c r="BA19" i="1"/>
  <c r="G20" i="44"/>
  <c r="F17" i="49" s="1"/>
  <c r="BA18" i="1"/>
  <c r="BA36" i="1" s="1"/>
  <c r="BH19" i="1"/>
  <c r="G59" i="17"/>
  <c r="AR18" i="1"/>
  <c r="G102" i="17"/>
  <c r="G103" i="17" s="1"/>
  <c r="AY19" i="1"/>
  <c r="BB16" i="49"/>
  <c r="AT16" i="49"/>
  <c r="G186" i="15"/>
  <c r="G181" i="16"/>
  <c r="G189" i="16" s="1"/>
  <c r="R23" i="45"/>
  <c r="R18" i="45"/>
  <c r="AV16" i="49" s="1"/>
  <c r="G176" i="16"/>
  <c r="AM18" i="44"/>
  <c r="AL15" i="49" s="1"/>
  <c r="G135" i="16"/>
  <c r="I135" i="16" s="1"/>
  <c r="G125" i="16"/>
  <c r="I125" i="16" s="1"/>
  <c r="I92" i="15"/>
  <c r="I90" i="16"/>
  <c r="AI18" i="1"/>
  <c r="AX19" i="44"/>
  <c r="AY19" i="44" s="1"/>
  <c r="I89" i="15"/>
  <c r="AC18" i="44"/>
  <c r="AB15" i="49" s="1"/>
  <c r="I89" i="16"/>
  <c r="AD18" i="1"/>
  <c r="AF18" i="1" s="1"/>
  <c r="AB36" i="1"/>
  <c r="I87" i="16"/>
  <c r="R14" i="45"/>
  <c r="I18" i="35"/>
  <c r="K18" i="35" s="1"/>
  <c r="AP16" i="49"/>
  <c r="R9" i="45"/>
  <c r="G71" i="16"/>
  <c r="J18" i="35" s="1"/>
  <c r="G188" i="16"/>
  <c r="H188" i="16" s="1"/>
  <c r="J188" i="16" s="1"/>
  <c r="V18" i="1"/>
  <c r="G16" i="47"/>
  <c r="N18" i="1"/>
  <c r="N36" i="1" s="1"/>
  <c r="D19" i="44"/>
  <c r="G79" i="16"/>
  <c r="G80" i="16" s="1"/>
  <c r="AN19" i="44"/>
  <c r="K18" i="44"/>
  <c r="J15" i="49" s="1"/>
  <c r="BF36" i="1"/>
  <c r="BE36" i="1"/>
  <c r="BD36" i="1"/>
  <c r="BH18" i="1"/>
  <c r="AZ18" i="1"/>
  <c r="AZ36" i="1" s="1"/>
  <c r="G59" i="16"/>
  <c r="K19" i="44"/>
  <c r="AW18" i="1"/>
  <c r="AT36" i="1"/>
  <c r="I19" i="44"/>
  <c r="H16" i="49" s="1"/>
  <c r="G98" i="16"/>
  <c r="G99" i="16" s="1"/>
  <c r="AS18" i="1"/>
  <c r="G100" i="16"/>
  <c r="G101" i="16" s="1"/>
  <c r="H39" i="44"/>
  <c r="G102" i="16"/>
  <c r="G103" i="16" s="1"/>
  <c r="E30" i="16"/>
  <c r="G30" i="16" s="1"/>
  <c r="G32" i="16" s="1"/>
  <c r="G187" i="16"/>
  <c r="G20" i="16"/>
  <c r="R6" i="45"/>
  <c r="R24" i="45" s="1"/>
  <c r="BD16" i="49" s="1"/>
  <c r="Q24" i="45"/>
  <c r="BD15" i="49" s="1"/>
  <c r="G47" i="16"/>
  <c r="G94" i="16"/>
  <c r="AP18" i="1"/>
  <c r="F19" i="44"/>
  <c r="E16" i="49" s="1"/>
  <c r="G13" i="16"/>
  <c r="I13" i="16" s="1"/>
  <c r="G18" i="1"/>
  <c r="B19" i="44"/>
  <c r="G176" i="15"/>
  <c r="AD18" i="44"/>
  <c r="AC15" i="49" s="1"/>
  <c r="G159" i="15"/>
  <c r="P18" i="44"/>
  <c r="O15" i="49" s="1"/>
  <c r="G153" i="15"/>
  <c r="I153" i="15" s="1"/>
  <c r="G125" i="15"/>
  <c r="I125" i="15" s="1"/>
  <c r="I92" i="14"/>
  <c r="AK17" i="1"/>
  <c r="AU18" i="44"/>
  <c r="AZ18" i="44" s="1"/>
  <c r="I90" i="15"/>
  <c r="AI17" i="1"/>
  <c r="AX18" i="44"/>
  <c r="AY18" i="44" s="1"/>
  <c r="G79" i="15"/>
  <c r="G80" i="15" s="1"/>
  <c r="AT18" i="44"/>
  <c r="BM15" i="49" s="1"/>
  <c r="BK15" i="49"/>
  <c r="BC15" i="49"/>
  <c r="AR15" i="49"/>
  <c r="P8" i="45"/>
  <c r="AN14" i="49" s="1"/>
  <c r="BI17" i="1"/>
  <c r="BO17" i="1"/>
  <c r="AU36" i="1"/>
  <c r="AE17" i="1"/>
  <c r="AE36" i="1" s="1"/>
  <c r="J18" i="44"/>
  <c r="G18" i="44"/>
  <c r="G104" i="14"/>
  <c r="AQ17" i="1"/>
  <c r="AQ36" i="1" s="1"/>
  <c r="M18" i="44"/>
  <c r="L15" i="49" s="1"/>
  <c r="AY17" i="1"/>
  <c r="G102" i="15"/>
  <c r="G103" i="15" s="1"/>
  <c r="G94" i="15"/>
  <c r="G95" i="15" s="1"/>
  <c r="AP17" i="1"/>
  <c r="F18" i="44"/>
  <c r="G13" i="15"/>
  <c r="I13" i="15" s="1"/>
  <c r="BM17" i="1"/>
  <c r="E15" i="47"/>
  <c r="H36" i="1"/>
  <c r="K17" i="1"/>
  <c r="P15" i="45"/>
  <c r="J16" i="35"/>
  <c r="G186" i="13"/>
  <c r="G153" i="14"/>
  <c r="I153" i="14" s="1"/>
  <c r="R17" i="44"/>
  <c r="Q14" i="49" s="1"/>
  <c r="BJ16" i="1"/>
  <c r="AB36" i="44"/>
  <c r="AB37" i="44"/>
  <c r="G135" i="14"/>
  <c r="I135" i="14" s="1"/>
  <c r="AU17" i="44"/>
  <c r="AZ17" i="44" s="1"/>
  <c r="AW17" i="44"/>
  <c r="AY17" i="44" s="1"/>
  <c r="AH16" i="1"/>
  <c r="AG16" i="1"/>
  <c r="I89" i="14"/>
  <c r="AC17" i="44"/>
  <c r="AB14" i="49" s="1"/>
  <c r="BK14" i="49"/>
  <c r="AR37" i="44"/>
  <c r="AR36" i="44"/>
  <c r="P13" i="45"/>
  <c r="G71" i="14"/>
  <c r="L16" i="35" s="1"/>
  <c r="O16" i="35" s="1"/>
  <c r="H16" i="35"/>
  <c r="K16" i="35" s="1"/>
  <c r="AR13" i="49"/>
  <c r="BA15" i="1"/>
  <c r="K17" i="44"/>
  <c r="J14" i="49" s="1"/>
  <c r="AW16" i="1"/>
  <c r="AE16" i="1"/>
  <c r="BI16" i="1"/>
  <c r="G98" i="14"/>
  <c r="G99" i="14" s="1"/>
  <c r="AS16" i="1"/>
  <c r="I17" i="44"/>
  <c r="H14" i="49" s="1"/>
  <c r="H17" i="44"/>
  <c r="G14" i="49" s="1"/>
  <c r="G94" i="14"/>
  <c r="F17" i="44"/>
  <c r="E14" i="49" s="1"/>
  <c r="AP16" i="1"/>
  <c r="O16" i="1"/>
  <c r="E17" i="44"/>
  <c r="O24" i="45"/>
  <c r="BD13" i="49" s="1"/>
  <c r="G13" i="14"/>
  <c r="I13" i="14" s="1"/>
  <c r="C17" i="44"/>
  <c r="J14" i="48" s="1"/>
  <c r="H16" i="1"/>
  <c r="H15" i="1"/>
  <c r="N15" i="45"/>
  <c r="O14" i="45"/>
  <c r="I15" i="35"/>
  <c r="K15" i="35" s="1"/>
  <c r="BC12" i="49"/>
  <c r="N27" i="45"/>
  <c r="BF12" i="49" s="1"/>
  <c r="AR12" i="49"/>
  <c r="H14" i="35"/>
  <c r="K14" i="35" s="1"/>
  <c r="H68" i="12"/>
  <c r="O27" i="45"/>
  <c r="BF13" i="49" s="1"/>
  <c r="AO12" i="49"/>
  <c r="N29" i="45"/>
  <c r="V14" i="1"/>
  <c r="Y14" i="1" s="1"/>
  <c r="G71" i="12"/>
  <c r="L14" i="35" s="1"/>
  <c r="O14" i="35" s="1"/>
  <c r="O9" i="45"/>
  <c r="G188" i="13"/>
  <c r="V15" i="1"/>
  <c r="Y15" i="1" s="1"/>
  <c r="G64" i="12"/>
  <c r="O7" i="45"/>
  <c r="AM13" i="49" s="1"/>
  <c r="G187" i="12"/>
  <c r="G176" i="12"/>
  <c r="AX13" i="49"/>
  <c r="G181" i="13"/>
  <c r="G189" i="13" s="1"/>
  <c r="O19" i="45"/>
  <c r="AW13" i="49" s="1"/>
  <c r="G176" i="13"/>
  <c r="AD15" i="44"/>
  <c r="AC12" i="49" s="1"/>
  <c r="AA13" i="49"/>
  <c r="Z36" i="44"/>
  <c r="Y13" i="49"/>
  <c r="X36" i="44"/>
  <c r="G153" i="13"/>
  <c r="I153" i="13" s="1"/>
  <c r="G153" i="12"/>
  <c r="I153" i="12" s="1"/>
  <c r="O16" i="44"/>
  <c r="N13" i="49" s="1"/>
  <c r="N15" i="44"/>
  <c r="M12" i="49" s="1"/>
  <c r="G135" i="12"/>
  <c r="I135" i="12" s="1"/>
  <c r="G135" i="13"/>
  <c r="I135" i="13" s="1"/>
  <c r="AL37" i="44"/>
  <c r="G125" i="13"/>
  <c r="AX16" i="44"/>
  <c r="I90" i="13"/>
  <c r="AI15" i="1"/>
  <c r="AX15" i="44"/>
  <c r="AY15" i="44" s="1"/>
  <c r="AG15" i="1"/>
  <c r="I89" i="12"/>
  <c r="AC16" i="44"/>
  <c r="AB13" i="49" s="1"/>
  <c r="I87" i="12"/>
  <c r="I87" i="13"/>
  <c r="AD14" i="1"/>
  <c r="AA15" i="1"/>
  <c r="AD15" i="1" s="1"/>
  <c r="AQ16" i="44"/>
  <c r="BJ13" i="49" s="1"/>
  <c r="G79" i="13"/>
  <c r="G80" i="13" s="1"/>
  <c r="H80" i="13" s="1"/>
  <c r="J80" i="13" s="1"/>
  <c r="K16" i="44"/>
  <c r="J13" i="49" s="1"/>
  <c r="BG15" i="1"/>
  <c r="G96" i="13"/>
  <c r="E15" i="35" s="1"/>
  <c r="G15" i="35" s="1"/>
  <c r="BC35" i="1"/>
  <c r="F16" i="44"/>
  <c r="E13" i="49" s="1"/>
  <c r="AZ15" i="1"/>
  <c r="G94" i="13"/>
  <c r="G95" i="13" s="1"/>
  <c r="F15" i="44"/>
  <c r="E12" i="49" s="1"/>
  <c r="G94" i="12"/>
  <c r="G95" i="12" s="1"/>
  <c r="K15" i="44"/>
  <c r="J12" i="49" s="1"/>
  <c r="J16" i="44"/>
  <c r="AV15" i="1"/>
  <c r="H42" i="13"/>
  <c r="E14" i="35"/>
  <c r="G14" i="35" s="1"/>
  <c r="AT35" i="1"/>
  <c r="I16" i="44"/>
  <c r="H13" i="49" s="1"/>
  <c r="G98" i="13"/>
  <c r="G99" i="13" s="1"/>
  <c r="AS15" i="1"/>
  <c r="G13" i="49"/>
  <c r="AR15" i="1"/>
  <c r="BM15" i="1" s="1"/>
  <c r="G100" i="13"/>
  <c r="G101" i="13" s="1"/>
  <c r="G105" i="12"/>
  <c r="AY14" i="1"/>
  <c r="G47" i="13"/>
  <c r="G20" i="12"/>
  <c r="N6" i="45"/>
  <c r="N24" i="45" s="1"/>
  <c r="BD12" i="49" s="1"/>
  <c r="D17" i="44"/>
  <c r="AN17" i="44"/>
  <c r="L16" i="1"/>
  <c r="BG13" i="49"/>
  <c r="L15" i="1"/>
  <c r="N15" i="1" s="1"/>
  <c r="D16" i="44"/>
  <c r="G13" i="13"/>
  <c r="I13" i="13" s="1"/>
  <c r="J12" i="48"/>
  <c r="H14" i="1"/>
  <c r="B16" i="44"/>
  <c r="G105" i="13"/>
  <c r="G15" i="1"/>
  <c r="I13" i="5"/>
  <c r="O10" i="5"/>
  <c r="I13" i="43"/>
  <c r="I13" i="25"/>
  <c r="I13" i="33"/>
  <c r="P12" i="33"/>
  <c r="I60" i="33"/>
  <c r="I13" i="11"/>
  <c r="I13" i="9"/>
  <c r="I13" i="4"/>
  <c r="O12" i="4"/>
  <c r="G13" i="17"/>
  <c r="N32" i="1"/>
  <c r="N12" i="1"/>
  <c r="G10" i="47"/>
  <c r="BK6" i="1"/>
  <c r="N4" i="1"/>
  <c r="G2" i="47"/>
  <c r="M2" i="47" s="1"/>
  <c r="AE29" i="1"/>
  <c r="AF29" i="1" s="1"/>
  <c r="BI29" i="1"/>
  <c r="O31" i="1"/>
  <c r="E32" i="44"/>
  <c r="AT31" i="44"/>
  <c r="BG28" i="49"/>
  <c r="BM22" i="1"/>
  <c r="BB35" i="1"/>
  <c r="M6" i="47"/>
  <c r="AE28" i="1"/>
  <c r="AF28" i="1" s="1"/>
  <c r="BO28" i="1"/>
  <c r="BP28" i="1" s="1"/>
  <c r="BK28" i="1"/>
  <c r="BI28" i="1"/>
  <c r="AX35" i="1"/>
  <c r="G32" i="43"/>
  <c r="BG26" i="49"/>
  <c r="BG12" i="49"/>
  <c r="AT15" i="44"/>
  <c r="BL5" i="1"/>
  <c r="BO14" i="1"/>
  <c r="AE14" i="1"/>
  <c r="BI14" i="1"/>
  <c r="BK14" i="1"/>
  <c r="BG23" i="49"/>
  <c r="AT26" i="44"/>
  <c r="BI31" i="1"/>
  <c r="BI41" i="1" s="1"/>
  <c r="AE31" i="1"/>
  <c r="AF31" i="1" s="1"/>
  <c r="O30" i="1"/>
  <c r="BG25" i="49"/>
  <c r="M7" i="47"/>
  <c r="BI32" i="1"/>
  <c r="AE32" i="1"/>
  <c r="BK13" i="1"/>
  <c r="E31" i="50"/>
  <c r="G31" i="50" s="1"/>
  <c r="G21" i="50"/>
  <c r="BN9" i="1"/>
  <c r="E30" i="40"/>
  <c r="G30" i="40" s="1"/>
  <c r="AB6" i="45"/>
  <c r="G20" i="40"/>
  <c r="G187" i="40"/>
  <c r="BB5" i="44"/>
  <c r="L36" i="1"/>
  <c r="G15" i="47"/>
  <c r="J31" i="48"/>
  <c r="BB34" i="44"/>
  <c r="AE23" i="1"/>
  <c r="AF23" i="1" s="1"/>
  <c r="BI23" i="1"/>
  <c r="R6" i="1"/>
  <c r="I4" i="47"/>
  <c r="M4" i="47" s="1"/>
  <c r="Q6" i="1"/>
  <c r="BM4" i="1"/>
  <c r="BD35" i="1"/>
  <c r="E30" i="27"/>
  <c r="G30" i="27" s="1"/>
  <c r="G187" i="27"/>
  <c r="AC6" i="45"/>
  <c r="G20" i="27"/>
  <c r="N20" i="1"/>
  <c r="G18" i="47"/>
  <c r="BM3" i="49"/>
  <c r="AF4" i="1"/>
  <c r="BQ4" i="1"/>
  <c r="BI7" i="1"/>
  <c r="BO7" i="1"/>
  <c r="AE7" i="1"/>
  <c r="BK7" i="1"/>
  <c r="AB24" i="45"/>
  <c r="BD26" i="49" s="1"/>
  <c r="X2" i="49"/>
  <c r="Y36" i="44"/>
  <c r="Y37" i="44"/>
  <c r="J27" i="49"/>
  <c r="BO12" i="1"/>
  <c r="BP12" i="1" s="1"/>
  <c r="U6" i="1"/>
  <c r="G8" i="49"/>
  <c r="H8" i="49"/>
  <c r="H15" i="49"/>
  <c r="G19" i="49"/>
  <c r="F6" i="49"/>
  <c r="J21" i="49"/>
  <c r="L12" i="49"/>
  <c r="F30" i="49"/>
  <c r="X9" i="49"/>
  <c r="X11" i="49"/>
  <c r="J23" i="48"/>
  <c r="E30" i="30"/>
  <c r="G30" i="30" s="1"/>
  <c r="E30" i="29"/>
  <c r="G30" i="29" s="1"/>
  <c r="G32" i="24"/>
  <c r="G101" i="40"/>
  <c r="G95" i="40"/>
  <c r="G99" i="40"/>
  <c r="E30" i="21"/>
  <c r="G30" i="21" s="1"/>
  <c r="E30" i="22"/>
  <c r="G30" i="22" s="1"/>
  <c r="G32" i="22" s="1"/>
  <c r="G187" i="22"/>
  <c r="G99" i="27"/>
  <c r="G103" i="27"/>
  <c r="G105" i="27"/>
  <c r="BG17" i="49"/>
  <c r="G11" i="47"/>
  <c r="I10" i="47"/>
  <c r="BK11" i="1"/>
  <c r="BK9" i="1"/>
  <c r="G20" i="30"/>
  <c r="G32" i="47"/>
  <c r="G99" i="28"/>
  <c r="G95" i="28"/>
  <c r="BI33" i="1"/>
  <c r="G187" i="29"/>
  <c r="E30" i="28"/>
  <c r="G30" i="28" s="1"/>
  <c r="G20" i="22"/>
  <c r="G95" i="21"/>
  <c r="G105" i="21"/>
  <c r="G101" i="21"/>
  <c r="Q26" i="1"/>
  <c r="G20" i="19"/>
  <c r="G187" i="19"/>
  <c r="E30" i="19"/>
  <c r="G30" i="19" s="1"/>
  <c r="Q12" i="1"/>
  <c r="BI12" i="1"/>
  <c r="H26" i="49"/>
  <c r="BC36" i="1"/>
  <c r="O10" i="29"/>
  <c r="Q23" i="1"/>
  <c r="BL17" i="1"/>
  <c r="AB12" i="49"/>
  <c r="J4" i="48"/>
  <c r="G105" i="25"/>
  <c r="G99" i="24"/>
  <c r="J4" i="45"/>
  <c r="J3" i="48"/>
  <c r="M4" i="45" s="1"/>
  <c r="G33" i="48"/>
  <c r="O15" i="29"/>
  <c r="G99" i="25"/>
  <c r="G95" i="16"/>
  <c r="G105" i="16"/>
  <c r="G97" i="16"/>
  <c r="O8" i="18"/>
  <c r="E27" i="18"/>
  <c r="G27" i="18" s="1"/>
  <c r="G80" i="30"/>
  <c r="G101" i="17"/>
  <c r="E27" i="15"/>
  <c r="G27" i="15" s="1"/>
  <c r="N7" i="15"/>
  <c r="G105" i="17"/>
  <c r="G187" i="15"/>
  <c r="G20" i="15"/>
  <c r="E30" i="15"/>
  <c r="G30" i="15" s="1"/>
  <c r="G105" i="14"/>
  <c r="G95" i="14"/>
  <c r="G103" i="14"/>
  <c r="B33" i="48"/>
  <c r="G80" i="27"/>
  <c r="E28" i="27"/>
  <c r="G28" i="27" s="1"/>
  <c r="G79" i="14"/>
  <c r="E28" i="14"/>
  <c r="G28" i="14" s="1"/>
  <c r="G32" i="9"/>
  <c r="G32" i="13"/>
  <c r="G105" i="15"/>
  <c r="G99" i="15"/>
  <c r="G20" i="13"/>
  <c r="G187" i="13"/>
  <c r="H184" i="5"/>
  <c r="J184" i="4"/>
  <c r="T22" i="44"/>
  <c r="S19" i="49" s="1"/>
  <c r="G153" i="19"/>
  <c r="I153" i="19" s="1"/>
  <c r="E28" i="4"/>
  <c r="G28" i="4" s="1"/>
  <c r="G32" i="4" s="1"/>
  <c r="G79" i="4"/>
  <c r="F23" i="45"/>
  <c r="G181" i="4"/>
  <c r="G94" i="5"/>
  <c r="G59" i="5"/>
  <c r="AO7" i="1"/>
  <c r="AO8" i="44"/>
  <c r="G79" i="5"/>
  <c r="G80" i="5" s="1"/>
  <c r="H84" i="5"/>
  <c r="Z7" i="1"/>
  <c r="I87" i="5"/>
  <c r="G125" i="5"/>
  <c r="I125" i="5" s="1"/>
  <c r="H112" i="5"/>
  <c r="O8" i="44"/>
  <c r="N5" i="49" s="1"/>
  <c r="H165" i="33"/>
  <c r="J165" i="5"/>
  <c r="S22" i="45"/>
  <c r="AY17" i="49" s="1"/>
  <c r="G181" i="17"/>
  <c r="T8" i="45"/>
  <c r="AN18" i="49" s="1"/>
  <c r="G64" i="18"/>
  <c r="AO20" i="1"/>
  <c r="AO21" i="44"/>
  <c r="G79" i="18"/>
  <c r="G153" i="18"/>
  <c r="I153" i="18" s="1"/>
  <c r="O21" i="44"/>
  <c r="N18" i="49" s="1"/>
  <c r="R6" i="44"/>
  <c r="H142" i="3"/>
  <c r="H152" i="4"/>
  <c r="J152" i="3"/>
  <c r="U8" i="44"/>
  <c r="T5" i="49" s="1"/>
  <c r="S11" i="44"/>
  <c r="R8" i="49" s="1"/>
  <c r="G153" i="8"/>
  <c r="H150" i="9"/>
  <c r="J150" i="8"/>
  <c r="G79" i="28"/>
  <c r="H158" i="50"/>
  <c r="J158" i="50" s="1"/>
  <c r="G181" i="50"/>
  <c r="H181" i="50" s="1"/>
  <c r="J181" i="50" s="1"/>
  <c r="G174" i="50"/>
  <c r="H171" i="50"/>
  <c r="J171" i="50" s="1"/>
  <c r="G32" i="33"/>
  <c r="H166" i="22"/>
  <c r="E28" i="28"/>
  <c r="G28" i="28" s="1"/>
  <c r="E30" i="12"/>
  <c r="G30" i="12" s="1"/>
  <c r="J162" i="3"/>
  <c r="H162" i="4"/>
  <c r="G79" i="40"/>
  <c r="H33" i="48"/>
  <c r="E27" i="12"/>
  <c r="G27" i="12" s="1"/>
  <c r="E27" i="11"/>
  <c r="G27" i="11" s="1"/>
  <c r="E28" i="21"/>
  <c r="G28" i="21" s="1"/>
  <c r="G79" i="21"/>
  <c r="G80" i="9"/>
  <c r="I59" i="33"/>
  <c r="H130" i="5"/>
  <c r="G72" i="50"/>
  <c r="G180" i="50"/>
  <c r="H180" i="50" s="1"/>
  <c r="J180" i="50" s="1"/>
  <c r="H154" i="50"/>
  <c r="J154" i="50" s="1"/>
  <c r="H149" i="5"/>
  <c r="J149" i="4"/>
  <c r="H151" i="7"/>
  <c r="J151" i="33"/>
  <c r="I86" i="50"/>
  <c r="G32" i="5"/>
  <c r="G187" i="10"/>
  <c r="G103" i="10"/>
  <c r="N7" i="10"/>
  <c r="G60" i="50"/>
  <c r="H175" i="4"/>
  <c r="J175" i="3"/>
  <c r="H119" i="5"/>
  <c r="J119" i="4"/>
  <c r="H168" i="50"/>
  <c r="J168" i="50" s="1"/>
  <c r="G169" i="50"/>
  <c r="H169" i="50" s="1"/>
  <c r="J169" i="50" s="1"/>
  <c r="G97" i="33"/>
  <c r="G100" i="10"/>
  <c r="G96" i="10"/>
  <c r="AM14" i="44"/>
  <c r="AL11" i="49" s="1"/>
  <c r="G135" i="11"/>
  <c r="AA36" i="44"/>
  <c r="AA37" i="44"/>
  <c r="G102" i="13"/>
  <c r="G59" i="13"/>
  <c r="AA16" i="1"/>
  <c r="AD16" i="1" s="1"/>
  <c r="I87" i="14"/>
  <c r="G100" i="15"/>
  <c r="G47" i="15"/>
  <c r="G96" i="15"/>
  <c r="G59" i="15"/>
  <c r="Q10" i="45"/>
  <c r="G71" i="15"/>
  <c r="W17" i="1"/>
  <c r="W36" i="1" s="1"/>
  <c r="H174" i="3"/>
  <c r="H145" i="4"/>
  <c r="J128" i="3"/>
  <c r="J183" i="3"/>
  <c r="G97" i="50"/>
  <c r="G81" i="50"/>
  <c r="G32" i="7"/>
  <c r="G60" i="4"/>
  <c r="I60" i="4" s="1"/>
  <c r="AS9" i="44"/>
  <c r="BL6" i="49" s="1"/>
  <c r="AH37" i="44"/>
  <c r="AH36" i="44"/>
  <c r="G48" i="50"/>
  <c r="H40" i="2"/>
  <c r="G47" i="2"/>
  <c r="AC5" i="1"/>
  <c r="H87" i="3"/>
  <c r="J87" i="3" s="1"/>
  <c r="I87" i="3"/>
  <c r="G179" i="50"/>
  <c r="H179" i="50" s="1"/>
  <c r="J179" i="50" s="1"/>
  <c r="H176" i="50"/>
  <c r="J176" i="50" s="1"/>
  <c r="H183" i="5"/>
  <c r="H131" i="4"/>
  <c r="O7" i="9"/>
  <c r="J187" i="2"/>
  <c r="H187" i="3"/>
  <c r="H144" i="4"/>
  <c r="J144" i="4" s="1"/>
  <c r="J144" i="3"/>
  <c r="H143" i="4"/>
  <c r="G95" i="4"/>
  <c r="H95" i="4" s="1"/>
  <c r="J95" i="4" s="1"/>
  <c r="H94" i="4"/>
  <c r="J94" i="4" s="1"/>
  <c r="H30" i="4"/>
  <c r="J148" i="2"/>
  <c r="H148" i="3"/>
  <c r="G60" i="8"/>
  <c r="J113" i="2"/>
  <c r="H113" i="3"/>
  <c r="H8" i="33"/>
  <c r="G135" i="2"/>
  <c r="V36" i="44"/>
  <c r="V37" i="44"/>
  <c r="AL36" i="44"/>
  <c r="N8" i="44"/>
  <c r="G153" i="5"/>
  <c r="I153" i="5" s="1"/>
  <c r="W36" i="44"/>
  <c r="W37" i="44"/>
  <c r="G153" i="4"/>
  <c r="I153" i="4" s="1"/>
  <c r="O7" i="44"/>
  <c r="N4" i="49" s="1"/>
  <c r="I87" i="8"/>
  <c r="AA10" i="1"/>
  <c r="AE31" i="44"/>
  <c r="AD28" i="49" s="1"/>
  <c r="G125" i="28"/>
  <c r="I125" i="28" s="1"/>
  <c r="AC6" i="1"/>
  <c r="AD6" i="1" s="1"/>
  <c r="H87" i="4"/>
  <c r="G188" i="7"/>
  <c r="V9" i="1"/>
  <c r="I9" i="45"/>
  <c r="AP10" i="44"/>
  <c r="AT10" i="44" s="1"/>
  <c r="I87" i="7"/>
  <c r="Z9" i="1"/>
  <c r="AQ11" i="44"/>
  <c r="X37" i="44"/>
  <c r="AF9" i="44"/>
  <c r="AE6" i="49" s="1"/>
  <c r="G125" i="33"/>
  <c r="I125" i="33" s="1"/>
  <c r="W8" i="1"/>
  <c r="Y8" i="1" s="1"/>
  <c r="G188" i="33"/>
  <c r="H10" i="45"/>
  <c r="AQ9" i="44"/>
  <c r="G188" i="2"/>
  <c r="H188" i="2" s="1"/>
  <c r="H188" i="3" s="1"/>
  <c r="J188" i="3" s="1"/>
  <c r="H67" i="2"/>
  <c r="H78" i="2"/>
  <c r="AS5" i="44"/>
  <c r="I135" i="5"/>
  <c r="AB9" i="1"/>
  <c r="AB35" i="1" s="1"/>
  <c r="AK9" i="1"/>
  <c r="AU10" i="44"/>
  <c r="AZ10" i="44" s="1"/>
  <c r="AM10" i="44"/>
  <c r="G135" i="7"/>
  <c r="G7" i="45"/>
  <c r="AM5" i="49" s="1"/>
  <c r="G187" i="5"/>
  <c r="G153" i="7"/>
  <c r="I153" i="7" s="1"/>
  <c r="Q10" i="44"/>
  <c r="P7" i="49" s="1"/>
  <c r="G188" i="8"/>
  <c r="X10" i="1"/>
  <c r="Y10" i="1" s="1"/>
  <c r="G59" i="10"/>
  <c r="G47" i="12"/>
  <c r="G98" i="12"/>
  <c r="G59" i="12"/>
  <c r="I90" i="27"/>
  <c r="AX30" i="44"/>
  <c r="AJ37" i="44"/>
  <c r="AJ36" i="44"/>
  <c r="P9" i="33"/>
  <c r="G47" i="11"/>
  <c r="G104" i="11"/>
  <c r="G102" i="20"/>
  <c r="G59" i="20"/>
  <c r="G79" i="8"/>
  <c r="U36" i="44"/>
  <c r="AU6" i="44"/>
  <c r="I92" i="3"/>
  <c r="W7" i="1"/>
  <c r="G10" i="45"/>
  <c r="O19" i="44"/>
  <c r="N16" i="49" s="1"/>
  <c r="G153" i="16"/>
  <c r="I153" i="16" s="1"/>
  <c r="G47" i="17"/>
  <c r="G98" i="17"/>
  <c r="I125" i="17"/>
  <c r="G94" i="17"/>
  <c r="G59" i="2"/>
  <c r="H59" i="2" s="1"/>
  <c r="J59" i="2" s="1"/>
  <c r="H49" i="2"/>
  <c r="G153" i="2"/>
  <c r="O5" i="44"/>
  <c r="G186" i="2"/>
  <c r="H186" i="2" s="1"/>
  <c r="G153" i="3"/>
  <c r="I153" i="3" s="1"/>
  <c r="G153" i="9"/>
  <c r="I153" i="9" s="1"/>
  <c r="I135" i="10"/>
  <c r="G47" i="10"/>
  <c r="G94" i="10"/>
  <c r="G102" i="11"/>
  <c r="G59" i="11"/>
  <c r="O11" i="45"/>
  <c r="G71" i="13"/>
  <c r="G96" i="14"/>
  <c r="G47" i="14"/>
  <c r="G100" i="14"/>
  <c r="G59" i="14"/>
  <c r="W21" i="1"/>
  <c r="Y21" i="1" s="1"/>
  <c r="G188" i="19"/>
  <c r="AO22" i="1"/>
  <c r="AO23" i="44"/>
  <c r="AF23" i="44"/>
  <c r="AE20" i="49" s="1"/>
  <c r="G125" i="20"/>
  <c r="I125" i="20" s="1"/>
  <c r="AE24" i="44"/>
  <c r="AD21" i="49" s="1"/>
  <c r="G125" i="21"/>
  <c r="I125" i="21" s="1"/>
  <c r="W18" i="45"/>
  <c r="AV21" i="49" s="1"/>
  <c r="AE26" i="44"/>
  <c r="AD23" i="49" s="1"/>
  <c r="G125" i="23"/>
  <c r="I125" i="23" s="1"/>
  <c r="Z26" i="1"/>
  <c r="AD26" i="1" s="1"/>
  <c r="I87" i="24"/>
  <c r="G59" i="25"/>
  <c r="G102" i="25"/>
  <c r="G47" i="40"/>
  <c r="G102" i="40"/>
  <c r="G59" i="40"/>
  <c r="G96" i="40"/>
  <c r="X6" i="1"/>
  <c r="G188" i="4"/>
  <c r="F11" i="45"/>
  <c r="I87" i="4"/>
  <c r="AL7" i="1"/>
  <c r="AU8" i="44"/>
  <c r="G188" i="9"/>
  <c r="K9" i="45"/>
  <c r="G71" i="9"/>
  <c r="G125" i="10"/>
  <c r="I125" i="10" s="1"/>
  <c r="AK13" i="44"/>
  <c r="G96" i="11"/>
  <c r="AE15" i="44"/>
  <c r="G125" i="12"/>
  <c r="I125" i="12" s="1"/>
  <c r="T36" i="44"/>
  <c r="G125" i="3"/>
  <c r="I125" i="3" s="1"/>
  <c r="N12" i="44"/>
  <c r="M9" i="49" s="1"/>
  <c r="AG13" i="1"/>
  <c r="AU24" i="44"/>
  <c r="AZ24" i="44" s="1"/>
  <c r="V33" i="1"/>
  <c r="Y33" i="1" s="1"/>
  <c r="I87" i="43"/>
  <c r="AK14" i="1"/>
  <c r="AN14" i="1" s="1"/>
  <c r="AU15" i="44"/>
  <c r="AZ15" i="44" s="1"/>
  <c r="I89" i="13"/>
  <c r="AV16" i="44"/>
  <c r="BJ15" i="1"/>
  <c r="AM16" i="44"/>
  <c r="AL13" i="49" s="1"/>
  <c r="AE17" i="44"/>
  <c r="AD14" i="49" s="1"/>
  <c r="G125" i="14"/>
  <c r="I125" i="14" s="1"/>
  <c r="BJ22" i="1"/>
  <c r="AM23" i="44"/>
  <c r="AL20" i="49" s="1"/>
  <c r="G135" i="20"/>
  <c r="G59" i="27"/>
  <c r="G100" i="27"/>
  <c r="G71" i="43"/>
  <c r="G188" i="43"/>
  <c r="AU12" i="44"/>
  <c r="I92" i="9"/>
  <c r="G188" i="10"/>
  <c r="X12" i="1"/>
  <c r="Y12" i="1" s="1"/>
  <c r="AK12" i="1"/>
  <c r="AN12" i="1" s="1"/>
  <c r="AU13" i="44"/>
  <c r="AZ13" i="44" s="1"/>
  <c r="AH15" i="1"/>
  <c r="AW16" i="44"/>
  <c r="V17" i="1"/>
  <c r="G188" i="15"/>
  <c r="Q9" i="45"/>
  <c r="Q21" i="45"/>
  <c r="G181" i="15"/>
  <c r="G71" i="25"/>
  <c r="AA13" i="45"/>
  <c r="AP20" i="44"/>
  <c r="BI17" i="49" s="1"/>
  <c r="G79" i="17"/>
  <c r="G80" i="17" s="1"/>
  <c r="H80" i="17" s="1"/>
  <c r="Z23" i="45"/>
  <c r="AZ24" i="49" s="1"/>
  <c r="G181" i="24"/>
  <c r="AD7" i="45"/>
  <c r="AM28" i="49" s="1"/>
  <c r="G64" i="28"/>
  <c r="AK30" i="1"/>
  <c r="AN30" i="1" s="1"/>
  <c r="AU31" i="44"/>
  <c r="I92" i="28"/>
  <c r="AF14" i="45"/>
  <c r="G188" i="30"/>
  <c r="G71" i="30"/>
  <c r="O13" i="44"/>
  <c r="N10" i="49" s="1"/>
  <c r="G153" i="10"/>
  <c r="I153" i="10" s="1"/>
  <c r="G188" i="12"/>
  <c r="N14" i="45"/>
  <c r="P22" i="45"/>
  <c r="AY14" i="49" s="1"/>
  <c r="G181" i="14"/>
  <c r="W19" i="1"/>
  <c r="S10" i="45"/>
  <c r="G188" i="23"/>
  <c r="W25" i="1"/>
  <c r="Y10" i="45"/>
  <c r="N27" i="44"/>
  <c r="M24" i="49" s="1"/>
  <c r="G153" i="24"/>
  <c r="I153" i="24" s="1"/>
  <c r="G135" i="25"/>
  <c r="BJ27" i="1"/>
  <c r="G135" i="40"/>
  <c r="AM29" i="44"/>
  <c r="AL26" i="49" s="1"/>
  <c r="AD23" i="45"/>
  <c r="G181" i="28"/>
  <c r="G98" i="29"/>
  <c r="G59" i="29"/>
  <c r="AG32" i="44"/>
  <c r="G125" i="29"/>
  <c r="I125" i="29" s="1"/>
  <c r="I90" i="30"/>
  <c r="AI32" i="1"/>
  <c r="R33" i="44"/>
  <c r="Q30" i="49" s="1"/>
  <c r="G153" i="30"/>
  <c r="I153" i="30" s="1"/>
  <c r="G59" i="30"/>
  <c r="I92" i="21"/>
  <c r="G125" i="9"/>
  <c r="I125" i="9" s="1"/>
  <c r="AL15" i="1"/>
  <c r="AN15" i="1" s="1"/>
  <c r="AU16" i="44"/>
  <c r="AZ16" i="44" s="1"/>
  <c r="I92" i="13"/>
  <c r="AC17" i="1"/>
  <c r="I87" i="15"/>
  <c r="N20" i="44"/>
  <c r="M17" i="49" s="1"/>
  <c r="G153" i="17"/>
  <c r="I153" i="17" s="1"/>
  <c r="O24" i="44"/>
  <c r="N21" i="49" s="1"/>
  <c r="G153" i="21"/>
  <c r="I153" i="21" s="1"/>
  <c r="Z27" i="1"/>
  <c r="AD27" i="1" s="1"/>
  <c r="I87" i="25"/>
  <c r="AF29" i="44"/>
  <c r="AE26" i="49" s="1"/>
  <c r="G125" i="40"/>
  <c r="I125" i="40" s="1"/>
  <c r="G71" i="29"/>
  <c r="W31" i="1"/>
  <c r="G181" i="11"/>
  <c r="I135" i="30"/>
  <c r="AO11" i="1"/>
  <c r="AO12" i="44"/>
  <c r="Z11" i="1"/>
  <c r="AD11" i="1" s="1"/>
  <c r="AF11" i="1" s="1"/>
  <c r="I87" i="9"/>
  <c r="AD13" i="44"/>
  <c r="G71" i="11"/>
  <c r="G188" i="11"/>
  <c r="M9" i="45"/>
  <c r="Z13" i="1"/>
  <c r="AD13" i="1" s="1"/>
  <c r="BP13" i="1" s="1"/>
  <c r="I87" i="11"/>
  <c r="G188" i="14"/>
  <c r="P14" i="45"/>
  <c r="G135" i="15"/>
  <c r="I135" i="15" s="1"/>
  <c r="AG19" i="1"/>
  <c r="AJ19" i="1" s="1"/>
  <c r="AV20" i="44"/>
  <c r="AY20" i="44" s="1"/>
  <c r="I89" i="17"/>
  <c r="AC22" i="1"/>
  <c r="AD22" i="1" s="1"/>
  <c r="I87" i="20"/>
  <c r="Z13" i="45"/>
  <c r="G71" i="24"/>
  <c r="AB15" i="45"/>
  <c r="G188" i="40"/>
  <c r="G159" i="14"/>
  <c r="G20" i="11"/>
  <c r="H177" i="5"/>
  <c r="J177" i="4"/>
  <c r="J9" i="2"/>
  <c r="H9" i="3"/>
  <c r="J23" i="2"/>
  <c r="H23" i="3"/>
  <c r="J127" i="3"/>
  <c r="H127" i="4"/>
  <c r="H166" i="5"/>
  <c r="H166" i="33" s="1"/>
  <c r="H166" i="7" s="1"/>
  <c r="J134" i="2"/>
  <c r="H134" i="3"/>
  <c r="H182" i="5"/>
  <c r="J182" i="4"/>
  <c r="J12" i="2"/>
  <c r="H12" i="3"/>
  <c r="J12" i="3" s="1"/>
  <c r="H167" i="9"/>
  <c r="J167" i="8"/>
  <c r="J155" i="3"/>
  <c r="H155" i="4"/>
  <c r="H168" i="8"/>
  <c r="J168" i="7"/>
  <c r="H15" i="2"/>
  <c r="E28" i="2"/>
  <c r="G28" i="2" s="1"/>
  <c r="H28" i="2" s="1"/>
  <c r="G24" i="19"/>
  <c r="Z37" i="44"/>
  <c r="J167" i="7"/>
  <c r="H10" i="3"/>
  <c r="G8" i="10"/>
  <c r="N9" i="10"/>
  <c r="H157" i="4"/>
  <c r="H157" i="5" s="1"/>
  <c r="J182" i="3"/>
  <c r="H158" i="43"/>
  <c r="H157" i="43"/>
  <c r="H157" i="23"/>
  <c r="J157" i="23" s="1"/>
  <c r="H158" i="22"/>
  <c r="J158" i="22" s="1"/>
  <c r="J158" i="21"/>
  <c r="BB15" i="49" l="1"/>
  <c r="AT15" i="49"/>
  <c r="H56" i="4"/>
  <c r="J56" i="3"/>
  <c r="J24" i="2"/>
  <c r="H24" i="3"/>
  <c r="AC36" i="44"/>
  <c r="AI37" i="44"/>
  <c r="BI24" i="1"/>
  <c r="AF14" i="1"/>
  <c r="BL15" i="1"/>
  <c r="BN8" i="1"/>
  <c r="G97" i="8"/>
  <c r="AE25" i="1"/>
  <c r="I30" i="45"/>
  <c r="AQ7" i="49"/>
  <c r="H55" i="4"/>
  <c r="J55" i="3"/>
  <c r="BP14" i="1"/>
  <c r="AY27" i="44"/>
  <c r="H185" i="4"/>
  <c r="H168" i="24"/>
  <c r="J168" i="23"/>
  <c r="H71" i="2"/>
  <c r="L4" i="35"/>
  <c r="O4" i="35" s="1"/>
  <c r="AI36" i="44"/>
  <c r="BK24" i="1"/>
  <c r="H70" i="4"/>
  <c r="J70" i="3"/>
  <c r="R11" i="1"/>
  <c r="Q11" i="1"/>
  <c r="AI36" i="1"/>
  <c r="BK21" i="1"/>
  <c r="H77" i="4"/>
  <c r="J77" i="3"/>
  <c r="H13" i="2"/>
  <c r="I13" i="2"/>
  <c r="J128" i="4"/>
  <c r="H128" i="5"/>
  <c r="H173" i="3"/>
  <c r="J173" i="2"/>
  <c r="G97" i="4"/>
  <c r="E6" i="35"/>
  <c r="G6" i="35" s="1"/>
  <c r="H45" i="8"/>
  <c r="J45" i="7"/>
  <c r="Y23" i="1"/>
  <c r="H117" i="3"/>
  <c r="H18" i="33"/>
  <c r="J18" i="5"/>
  <c r="H20" i="3"/>
  <c r="E6" i="44"/>
  <c r="O5" i="1"/>
  <c r="H39" i="4"/>
  <c r="J39" i="3"/>
  <c r="BA35" i="44"/>
  <c r="AO32" i="49"/>
  <c r="AH29" i="45"/>
  <c r="AH31" i="45" s="1"/>
  <c r="BB35" i="44"/>
  <c r="BC35" i="44" s="1"/>
  <c r="G60" i="31"/>
  <c r="I59" i="31" s="1"/>
  <c r="I13" i="31"/>
  <c r="G31" i="47"/>
  <c r="N33" i="1"/>
  <c r="BA34" i="44"/>
  <c r="BC34" i="44"/>
  <c r="B37" i="44"/>
  <c r="AG27" i="45"/>
  <c r="BF31" i="49" s="1"/>
  <c r="AZ31" i="49"/>
  <c r="AF32" i="1"/>
  <c r="BP32" i="1"/>
  <c r="BB33" i="44"/>
  <c r="BC33" i="44" s="1"/>
  <c r="G60" i="43"/>
  <c r="I60" i="43" s="1"/>
  <c r="J32" i="1"/>
  <c r="K32" i="1"/>
  <c r="E30" i="47"/>
  <c r="BK32" i="1"/>
  <c r="Y32" i="1"/>
  <c r="AT33" i="44"/>
  <c r="BG30" i="49"/>
  <c r="BG29" i="49"/>
  <c r="AN37" i="44"/>
  <c r="H90" i="30"/>
  <c r="J90" i="29"/>
  <c r="AQ29" i="49"/>
  <c r="AE25" i="45"/>
  <c r="BE29" i="49" s="1"/>
  <c r="Y31" i="1"/>
  <c r="BM29" i="49"/>
  <c r="BA32" i="44"/>
  <c r="N31" i="1"/>
  <c r="B36" i="44"/>
  <c r="G60" i="28"/>
  <c r="I60" i="28" s="1"/>
  <c r="AD30" i="45"/>
  <c r="AD31" i="45" s="1"/>
  <c r="AQ28" i="49"/>
  <c r="AD25" i="45"/>
  <c r="BE28" i="49" s="1"/>
  <c r="AC24" i="45"/>
  <c r="BD27" i="49" s="1"/>
  <c r="E28" i="47"/>
  <c r="BL30" i="1"/>
  <c r="BM30" i="1"/>
  <c r="K30" i="1"/>
  <c r="J30" i="1"/>
  <c r="BB31" i="44"/>
  <c r="BC31" i="44" s="1"/>
  <c r="Y29" i="1"/>
  <c r="AC31" i="45"/>
  <c r="BB29" i="44"/>
  <c r="BC29" i="44" s="1"/>
  <c r="BB30" i="44"/>
  <c r="BC30" i="44" s="1"/>
  <c r="L36" i="44"/>
  <c r="L37" i="44"/>
  <c r="AF27" i="1"/>
  <c r="AT28" i="44"/>
  <c r="BA28" i="44" s="1"/>
  <c r="BG35" i="1"/>
  <c r="BB28" i="44"/>
  <c r="BC28" i="44" s="1"/>
  <c r="BO27" i="1"/>
  <c r="BP27" i="1" s="1"/>
  <c r="BI27" i="1"/>
  <c r="BK27" i="1"/>
  <c r="N27" i="1"/>
  <c r="G25" i="47"/>
  <c r="H29" i="5"/>
  <c r="J29" i="4"/>
  <c r="H139" i="4"/>
  <c r="J139" i="3"/>
  <c r="H123" i="4"/>
  <c r="J123" i="3"/>
  <c r="H85" i="4"/>
  <c r="J85" i="3"/>
  <c r="H35" i="5"/>
  <c r="J35" i="4"/>
  <c r="H102" i="4"/>
  <c r="J102" i="3"/>
  <c r="J11" i="1"/>
  <c r="BN11" i="1" s="1"/>
  <c r="BL11" i="1"/>
  <c r="K11" i="1"/>
  <c r="E9" i="47"/>
  <c r="M9" i="47" s="1"/>
  <c r="AO6" i="49"/>
  <c r="H29" i="45"/>
  <c r="AX5" i="49"/>
  <c r="G27" i="45"/>
  <c r="BF5" i="49" s="1"/>
  <c r="BB5" i="49"/>
  <c r="AT5" i="49"/>
  <c r="AJ12" i="1"/>
  <c r="G80" i="23"/>
  <c r="H43" i="4"/>
  <c r="J43" i="3"/>
  <c r="H90" i="5"/>
  <c r="J90" i="4"/>
  <c r="H50" i="5"/>
  <c r="J50" i="4"/>
  <c r="J164" i="5"/>
  <c r="H164" i="33"/>
  <c r="I60" i="7"/>
  <c r="I13" i="7"/>
  <c r="H147" i="4"/>
  <c r="J147" i="3"/>
  <c r="H117" i="4"/>
  <c r="J117" i="3"/>
  <c r="BO23" i="1"/>
  <c r="AY6" i="44"/>
  <c r="BA6" i="44" s="1"/>
  <c r="H52" i="16"/>
  <c r="J52" i="15"/>
  <c r="H103" i="4"/>
  <c r="J103" i="4" s="1"/>
  <c r="J103" i="3"/>
  <c r="H7" i="33"/>
  <c r="J7" i="5"/>
  <c r="I9" i="5" s="1"/>
  <c r="J122" i="4"/>
  <c r="H122" i="5"/>
  <c r="AO25" i="49"/>
  <c r="AA29" i="45"/>
  <c r="H54" i="5"/>
  <c r="J54" i="4"/>
  <c r="H38" i="4"/>
  <c r="J38" i="3"/>
  <c r="H76" i="5"/>
  <c r="J76" i="4"/>
  <c r="K27" i="45"/>
  <c r="BF9" i="49" s="1"/>
  <c r="AX9" i="49"/>
  <c r="H57" i="4"/>
  <c r="J57" i="3"/>
  <c r="Q36" i="44"/>
  <c r="H129" i="5"/>
  <c r="AY13" i="44"/>
  <c r="H101" i="4"/>
  <c r="J101" i="3"/>
  <c r="H86" i="5"/>
  <c r="J86" i="4"/>
  <c r="H74" i="4"/>
  <c r="J74" i="3"/>
  <c r="H100" i="4"/>
  <c r="J100" i="3"/>
  <c r="H179" i="4"/>
  <c r="J179" i="3"/>
  <c r="J18" i="1"/>
  <c r="J36" i="1" s="1"/>
  <c r="K18" i="1"/>
  <c r="K36" i="1" s="1"/>
  <c r="E16" i="47"/>
  <c r="AO8" i="49"/>
  <c r="J29" i="45"/>
  <c r="AO5" i="49"/>
  <c r="G29" i="45"/>
  <c r="J121" i="3"/>
  <c r="H121" i="4"/>
  <c r="H103" i="5"/>
  <c r="H103" i="33" s="1"/>
  <c r="AA31" i="45"/>
  <c r="BP29" i="1"/>
  <c r="AY8" i="44"/>
  <c r="AF25" i="1"/>
  <c r="AZ27" i="44"/>
  <c r="AT27" i="44"/>
  <c r="AQ24" i="49"/>
  <c r="Z30" i="45"/>
  <c r="Z31" i="45" s="1"/>
  <c r="BO25" i="1"/>
  <c r="BP25" i="1" s="1"/>
  <c r="BK25" i="1"/>
  <c r="BO26" i="1"/>
  <c r="BP26" i="1" s="1"/>
  <c r="BK26" i="1"/>
  <c r="AE26" i="1"/>
  <c r="AF26" i="1" s="1"/>
  <c r="AU35" i="1"/>
  <c r="N25" i="1"/>
  <c r="J24" i="48"/>
  <c r="BB27" i="44"/>
  <c r="BC27" i="44" s="1"/>
  <c r="J26" i="1"/>
  <c r="BN26" i="1" s="1"/>
  <c r="BM26" i="1"/>
  <c r="K26" i="1"/>
  <c r="BL26" i="1"/>
  <c r="BP23" i="1"/>
  <c r="Y27" i="45"/>
  <c r="BF23" i="49" s="1"/>
  <c r="AZ23" i="49"/>
  <c r="AO23" i="49"/>
  <c r="Y29" i="45"/>
  <c r="Y25" i="1"/>
  <c r="BE35" i="1"/>
  <c r="BK22" i="1"/>
  <c r="BI22" i="1"/>
  <c r="BO22" i="1"/>
  <c r="BP22" i="1" s="1"/>
  <c r="BB25" i="44"/>
  <c r="BC25" i="44" s="1"/>
  <c r="BB26" i="44"/>
  <c r="BC26" i="44" s="1"/>
  <c r="X27" i="45"/>
  <c r="BF22" i="49" s="1"/>
  <c r="AX22" i="49"/>
  <c r="AF24" i="1"/>
  <c r="BP24" i="1"/>
  <c r="X31" i="45"/>
  <c r="BB24" i="44"/>
  <c r="BC24" i="44" s="1"/>
  <c r="BG22" i="49"/>
  <c r="AT25" i="44"/>
  <c r="BK23" i="1"/>
  <c r="W27" i="45"/>
  <c r="BF21" i="49" s="1"/>
  <c r="W30" i="45"/>
  <c r="W31" i="45" s="1"/>
  <c r="W25" i="45"/>
  <c r="BE21" i="49" s="1"/>
  <c r="AP21" i="49"/>
  <c r="I21" i="47"/>
  <c r="R23" i="1"/>
  <c r="H158" i="23"/>
  <c r="J158" i="23" s="1"/>
  <c r="J23" i="1"/>
  <c r="BN23" i="1" s="1"/>
  <c r="E21" i="47"/>
  <c r="BL23" i="1"/>
  <c r="K23" i="1"/>
  <c r="J22" i="1"/>
  <c r="BN22" i="1" s="1"/>
  <c r="K22" i="1"/>
  <c r="E20" i="47"/>
  <c r="M20" i="47" s="1"/>
  <c r="J133" i="5"/>
  <c r="H133" i="33"/>
  <c r="H157" i="24"/>
  <c r="J157" i="24" s="1"/>
  <c r="H58" i="33"/>
  <c r="J58" i="5"/>
  <c r="G60" i="9"/>
  <c r="K24" i="1"/>
  <c r="BM24" i="1"/>
  <c r="J24" i="1"/>
  <c r="BL24" i="1"/>
  <c r="E22" i="47"/>
  <c r="H82" i="4"/>
  <c r="J82" i="3"/>
  <c r="H22" i="4"/>
  <c r="H83" i="7"/>
  <c r="J83" i="33"/>
  <c r="E8" i="44"/>
  <c r="O7" i="1"/>
  <c r="BA24" i="44"/>
  <c r="BM21" i="49"/>
  <c r="H65" i="4"/>
  <c r="J65" i="3"/>
  <c r="H31" i="5"/>
  <c r="J31" i="4"/>
  <c r="H132" i="7"/>
  <c r="J132" i="33"/>
  <c r="BI19" i="1"/>
  <c r="BO19" i="1"/>
  <c r="BP19" i="1" s="1"/>
  <c r="I59" i="3"/>
  <c r="I60" i="3"/>
  <c r="E26" i="44"/>
  <c r="O25" i="1"/>
  <c r="J167" i="23"/>
  <c r="H167" i="24"/>
  <c r="J27" i="1"/>
  <c r="K27" i="1"/>
  <c r="BL27" i="1"/>
  <c r="E25" i="47"/>
  <c r="BM27" i="1"/>
  <c r="O34" i="1"/>
  <c r="E35" i="44"/>
  <c r="AY23" i="44"/>
  <c r="AF22" i="1"/>
  <c r="BB22" i="44"/>
  <c r="BC22" i="44" s="1"/>
  <c r="H37" i="44"/>
  <c r="BB23" i="44"/>
  <c r="BC23" i="44" s="1"/>
  <c r="F38" i="1"/>
  <c r="AJ21" i="1"/>
  <c r="BA22" i="44"/>
  <c r="BP20" i="1"/>
  <c r="BM19" i="49"/>
  <c r="AS19" i="49"/>
  <c r="BA19" i="49"/>
  <c r="U30" i="45"/>
  <c r="U31" i="45" s="1"/>
  <c r="U25" i="45"/>
  <c r="BE19" i="49" s="1"/>
  <c r="BA35" i="1"/>
  <c r="G60" i="19"/>
  <c r="I59" i="19" s="1"/>
  <c r="AE21" i="1"/>
  <c r="AF21" i="1" s="1"/>
  <c r="BO21" i="1"/>
  <c r="BP21" i="1" s="1"/>
  <c r="AY35" i="1"/>
  <c r="AN36" i="44"/>
  <c r="J141" i="2"/>
  <c r="H141" i="3"/>
  <c r="H62" i="3"/>
  <c r="J62" i="2"/>
  <c r="D30" i="45"/>
  <c r="D31" i="45" s="1"/>
  <c r="AS2" i="49"/>
  <c r="BA2" i="49"/>
  <c r="D25" i="45"/>
  <c r="BE2" i="49" s="1"/>
  <c r="J140" i="2"/>
  <c r="H140" i="3"/>
  <c r="L7" i="35"/>
  <c r="O7" i="35" s="1"/>
  <c r="J178" i="2"/>
  <c r="H178" i="3"/>
  <c r="G60" i="24"/>
  <c r="H46" i="11"/>
  <c r="J46" i="10"/>
  <c r="H53" i="4"/>
  <c r="J53" i="3"/>
  <c r="H120" i="3"/>
  <c r="H19" i="33"/>
  <c r="J19" i="5"/>
  <c r="J189" i="20"/>
  <c r="H189" i="21"/>
  <c r="V30" i="45"/>
  <c r="V31" i="45" s="1"/>
  <c r="AQ20" i="49"/>
  <c r="V25" i="45"/>
  <c r="BE20" i="49" s="1"/>
  <c r="J30" i="45"/>
  <c r="J31" i="45" s="1"/>
  <c r="AP8" i="49"/>
  <c r="J25" i="45"/>
  <c r="BE8" i="49" s="1"/>
  <c r="J161" i="4"/>
  <c r="H161" i="5"/>
  <c r="E28" i="44"/>
  <c r="O27" i="1"/>
  <c r="BM11" i="49"/>
  <c r="BA14" i="44"/>
  <c r="AS35" i="1"/>
  <c r="BI20" i="1"/>
  <c r="J11" i="3"/>
  <c r="H11" i="4"/>
  <c r="H88" i="4"/>
  <c r="J88" i="3"/>
  <c r="H37" i="9"/>
  <c r="J37" i="8"/>
  <c r="H91" i="4"/>
  <c r="J91" i="3"/>
  <c r="AF27" i="45"/>
  <c r="BF30" i="49" s="1"/>
  <c r="AX30" i="49"/>
  <c r="AS6" i="49"/>
  <c r="BA6" i="49"/>
  <c r="G60" i="21"/>
  <c r="H51" i="4"/>
  <c r="J51" i="3"/>
  <c r="E34" i="44"/>
  <c r="O33" i="1"/>
  <c r="J31" i="1"/>
  <c r="E29" i="47"/>
  <c r="K31" i="1"/>
  <c r="BL31" i="1"/>
  <c r="AQ35" i="1"/>
  <c r="BK19" i="1"/>
  <c r="H44" i="5"/>
  <c r="J44" i="4"/>
  <c r="H36" i="5"/>
  <c r="J36" i="4"/>
  <c r="G32" i="3"/>
  <c r="H27" i="3"/>
  <c r="H64" i="4"/>
  <c r="J64" i="3"/>
  <c r="G99" i="2"/>
  <c r="H99" i="2" s="1"/>
  <c r="H98" i="2"/>
  <c r="J116" i="4"/>
  <c r="H116" i="5"/>
  <c r="H104" i="3"/>
  <c r="G105" i="3"/>
  <c r="H105" i="3" s="1"/>
  <c r="E30" i="45"/>
  <c r="E31" i="45" s="1"/>
  <c r="E25" i="45"/>
  <c r="BE3" i="49" s="1"/>
  <c r="AP3" i="49"/>
  <c r="H92" i="3"/>
  <c r="J92" i="2"/>
  <c r="AX19" i="49"/>
  <c r="U27" i="45"/>
  <c r="BF19" i="49" s="1"/>
  <c r="H118" i="5"/>
  <c r="J118" i="4"/>
  <c r="H41" i="4"/>
  <c r="J41" i="3"/>
  <c r="J29" i="1"/>
  <c r="K29" i="1"/>
  <c r="BL29" i="1"/>
  <c r="BM29" i="1"/>
  <c r="E27" i="47"/>
  <c r="BK29" i="1"/>
  <c r="BM10" i="49"/>
  <c r="BA13" i="44"/>
  <c r="J29" i="48"/>
  <c r="BB32" i="44"/>
  <c r="BC32" i="44" s="1"/>
  <c r="I60" i="22"/>
  <c r="H156" i="4"/>
  <c r="J156" i="3"/>
  <c r="AT2" i="49"/>
  <c r="BB2" i="49"/>
  <c r="BB17" i="49"/>
  <c r="AT17" i="49"/>
  <c r="H66" i="5"/>
  <c r="J66" i="4"/>
  <c r="E11" i="35"/>
  <c r="G11" i="35" s="1"/>
  <c r="G97" i="9"/>
  <c r="M30" i="45"/>
  <c r="AQ11" i="49"/>
  <c r="J163" i="2"/>
  <c r="H163" i="3"/>
  <c r="H96" i="3"/>
  <c r="G97" i="3"/>
  <c r="H97" i="3" s="1"/>
  <c r="E5" i="35"/>
  <c r="G5" i="35" s="1"/>
  <c r="H115" i="5"/>
  <c r="J115" i="4"/>
  <c r="H188" i="4"/>
  <c r="AJ16" i="1"/>
  <c r="H63" i="4"/>
  <c r="J63" i="3"/>
  <c r="J114" i="3"/>
  <c r="H114" i="4"/>
  <c r="H176" i="4"/>
  <c r="H75" i="5"/>
  <c r="J75" i="4"/>
  <c r="H181" i="2"/>
  <c r="G189" i="2"/>
  <c r="H189" i="2" s="1"/>
  <c r="H138" i="7"/>
  <c r="J138" i="33"/>
  <c r="BB8" i="44"/>
  <c r="BC8" i="44" s="1"/>
  <c r="BM31" i="1"/>
  <c r="BK15" i="1"/>
  <c r="J180" i="2"/>
  <c r="H180" i="3"/>
  <c r="H89" i="4"/>
  <c r="J89" i="3"/>
  <c r="H69" i="3"/>
  <c r="J69" i="2"/>
  <c r="AZ29" i="49"/>
  <c r="AE27" i="45"/>
  <c r="BF29" i="49" s="1"/>
  <c r="E11" i="44"/>
  <c r="O10" i="1"/>
  <c r="H146" i="3"/>
  <c r="BI4" i="49"/>
  <c r="AT7" i="44"/>
  <c r="AX2" i="49"/>
  <c r="D27" i="45"/>
  <c r="BF2" i="49" s="1"/>
  <c r="AS5" i="49"/>
  <c r="BA5" i="49"/>
  <c r="AF12" i="1"/>
  <c r="I24" i="47"/>
  <c r="M24" i="47" s="1"/>
  <c r="R26" i="1"/>
  <c r="I60" i="23"/>
  <c r="Y19" i="1"/>
  <c r="T30" i="45"/>
  <c r="T31" i="45" s="1"/>
  <c r="T25" i="45"/>
  <c r="BE18" i="49" s="1"/>
  <c r="AP18" i="49"/>
  <c r="G37" i="44"/>
  <c r="G60" i="18"/>
  <c r="I59" i="18" s="1"/>
  <c r="AW35" i="1"/>
  <c r="AE20" i="1"/>
  <c r="AF20" i="1" s="1"/>
  <c r="BB21" i="44"/>
  <c r="BC21" i="44" s="1"/>
  <c r="AP35" i="1"/>
  <c r="E18" i="49"/>
  <c r="O20" i="1"/>
  <c r="E21" i="44"/>
  <c r="J19" i="1"/>
  <c r="BN19" i="1" s="1"/>
  <c r="K19" i="1"/>
  <c r="E17" i="47"/>
  <c r="M17" i="47" s="1"/>
  <c r="BL19" i="1"/>
  <c r="D37" i="44"/>
  <c r="AJ18" i="1"/>
  <c r="Y18" i="1"/>
  <c r="BB20" i="44"/>
  <c r="BC20" i="44" s="1"/>
  <c r="BH35" i="1"/>
  <c r="AR36" i="1"/>
  <c r="BM18" i="1"/>
  <c r="AZ16" i="49"/>
  <c r="R27" i="45"/>
  <c r="BF16" i="49" s="1"/>
  <c r="BA16" i="49"/>
  <c r="AS16" i="49"/>
  <c r="R30" i="45"/>
  <c r="H188" i="17"/>
  <c r="H188" i="18" s="1"/>
  <c r="J188" i="18" s="1"/>
  <c r="AO16" i="49"/>
  <c r="R25" i="45"/>
  <c r="BE16" i="49" s="1"/>
  <c r="R29" i="45"/>
  <c r="AT19" i="44"/>
  <c r="BG16" i="49"/>
  <c r="J36" i="44"/>
  <c r="G60" i="16"/>
  <c r="I59" i="16" s="1"/>
  <c r="BK18" i="1"/>
  <c r="K39" i="44"/>
  <c r="J16" i="49"/>
  <c r="BO18" i="1"/>
  <c r="BP18" i="1" s="1"/>
  <c r="AW36" i="1"/>
  <c r="AS36" i="1"/>
  <c r="BL18" i="1"/>
  <c r="BL36" i="1" s="1"/>
  <c r="I39" i="44"/>
  <c r="BB19" i="44"/>
  <c r="BC19" i="44" s="1"/>
  <c r="M36" i="44"/>
  <c r="E19" i="44"/>
  <c r="O18" i="1"/>
  <c r="G35" i="1"/>
  <c r="P36" i="44"/>
  <c r="P37" i="44"/>
  <c r="AN17" i="1"/>
  <c r="AN36" i="1" s="1"/>
  <c r="AK36" i="1"/>
  <c r="AJ17" i="1"/>
  <c r="BA18" i="44"/>
  <c r="G36" i="44"/>
  <c r="F36" i="44"/>
  <c r="BO16" i="1"/>
  <c r="BP16" i="1" s="1"/>
  <c r="I15" i="49"/>
  <c r="J39" i="44"/>
  <c r="F15" i="49"/>
  <c r="G39" i="44"/>
  <c r="M37" i="44"/>
  <c r="AP36" i="1"/>
  <c r="BK17" i="1"/>
  <c r="E15" i="49"/>
  <c r="F39" i="44"/>
  <c r="BB18" i="44"/>
  <c r="BC18" i="44" s="1"/>
  <c r="BB14" i="49"/>
  <c r="AT14" i="49"/>
  <c r="AC37" i="44"/>
  <c r="BC14" i="49"/>
  <c r="P27" i="45"/>
  <c r="BF14" i="49" s="1"/>
  <c r="AR14" i="49"/>
  <c r="AZ35" i="1"/>
  <c r="BB17" i="44"/>
  <c r="BC17" i="44" s="1"/>
  <c r="K36" i="44"/>
  <c r="AR35" i="1"/>
  <c r="H36" i="44"/>
  <c r="R16" i="1"/>
  <c r="Q16" i="1"/>
  <c r="I14" i="47"/>
  <c r="L35" i="1"/>
  <c r="G13" i="47"/>
  <c r="J16" i="1"/>
  <c r="E14" i="47"/>
  <c r="K16" i="1"/>
  <c r="BK16" i="1"/>
  <c r="BL16" i="1"/>
  <c r="BM16" i="1"/>
  <c r="J15" i="1"/>
  <c r="E13" i="47"/>
  <c r="K15" i="1"/>
  <c r="BB12" i="49"/>
  <c r="AT12" i="49"/>
  <c r="AS13" i="49"/>
  <c r="BA13" i="49"/>
  <c r="H68" i="13"/>
  <c r="J68" i="12"/>
  <c r="AO13" i="49"/>
  <c r="O29" i="45"/>
  <c r="AT16" i="44"/>
  <c r="BM13" i="49" s="1"/>
  <c r="K37" i="44"/>
  <c r="G97" i="13"/>
  <c r="G60" i="13"/>
  <c r="I60" i="13" s="1"/>
  <c r="F37" i="44"/>
  <c r="BB15" i="44"/>
  <c r="BC15" i="44" s="1"/>
  <c r="H42" i="14"/>
  <c r="J42" i="13"/>
  <c r="J37" i="44"/>
  <c r="I13" i="49"/>
  <c r="AV35" i="1"/>
  <c r="AE15" i="1"/>
  <c r="AF15" i="1" s="1"/>
  <c r="BI15" i="1"/>
  <c r="I37" i="44"/>
  <c r="I36" i="44"/>
  <c r="BB16" i="44"/>
  <c r="BC16" i="44" s="1"/>
  <c r="E15" i="44"/>
  <c r="O14" i="1"/>
  <c r="BG14" i="49"/>
  <c r="AT17" i="44"/>
  <c r="D36" i="44"/>
  <c r="N16" i="1"/>
  <c r="G14" i="47"/>
  <c r="J14" i="1"/>
  <c r="E12" i="47"/>
  <c r="BM14" i="1"/>
  <c r="K14" i="1"/>
  <c r="BL14" i="1"/>
  <c r="J157" i="5"/>
  <c r="H157" i="33"/>
  <c r="BM7" i="49"/>
  <c r="BA10" i="44"/>
  <c r="J15" i="2"/>
  <c r="I16" i="2" s="1"/>
  <c r="I16" i="31" s="1"/>
  <c r="H15" i="3"/>
  <c r="J9" i="3"/>
  <c r="H9" i="4"/>
  <c r="G189" i="24"/>
  <c r="L11" i="35"/>
  <c r="O11" i="35" s="1"/>
  <c r="G97" i="14"/>
  <c r="E16" i="35"/>
  <c r="G16" i="35" s="1"/>
  <c r="G60" i="20"/>
  <c r="H167" i="10"/>
  <c r="J167" i="9"/>
  <c r="G189" i="11"/>
  <c r="AG36" i="44"/>
  <c r="AG37" i="44"/>
  <c r="AF29" i="49"/>
  <c r="Q29" i="45"/>
  <c r="AO15" i="49"/>
  <c r="Q25" i="45"/>
  <c r="BE15" i="49" s="1"/>
  <c r="K25" i="45"/>
  <c r="BE9" i="49" s="1"/>
  <c r="K29" i="45"/>
  <c r="K31" i="45" s="1"/>
  <c r="AO9" i="49"/>
  <c r="G97" i="40"/>
  <c r="AZ23" i="44"/>
  <c r="BH20" i="49"/>
  <c r="AT23" i="44"/>
  <c r="G30" i="45"/>
  <c r="G31" i="45" s="1"/>
  <c r="AP5" i="49"/>
  <c r="G25" i="45"/>
  <c r="BE5" i="49" s="1"/>
  <c r="G103" i="20"/>
  <c r="I29" i="45"/>
  <c r="I31" i="45" s="1"/>
  <c r="I25" i="45"/>
  <c r="BE7" i="49" s="1"/>
  <c r="AO7" i="49"/>
  <c r="J10" i="3"/>
  <c r="H10" i="4"/>
  <c r="J168" i="8"/>
  <c r="H168" i="9"/>
  <c r="J166" i="7"/>
  <c r="H166" i="8"/>
  <c r="L13" i="35"/>
  <c r="O13" i="35" s="1"/>
  <c r="G60" i="29"/>
  <c r="G189" i="14"/>
  <c r="AF30" i="45"/>
  <c r="AF31" i="45" s="1"/>
  <c r="AF25" i="45"/>
  <c r="BE30" i="49" s="1"/>
  <c r="AS30" i="49"/>
  <c r="BA30" i="49"/>
  <c r="T37" i="44"/>
  <c r="O25" i="45"/>
  <c r="BE13" i="49" s="1"/>
  <c r="O30" i="45"/>
  <c r="AQ13" i="49"/>
  <c r="J186" i="2"/>
  <c r="H186" i="3"/>
  <c r="G95" i="17"/>
  <c r="W35" i="1"/>
  <c r="Y7" i="1"/>
  <c r="G105" i="11"/>
  <c r="AQ36" i="44"/>
  <c r="AQ37" i="44"/>
  <c r="AT9" i="44"/>
  <c r="BJ6" i="49"/>
  <c r="BJ8" i="49"/>
  <c r="AT11" i="44"/>
  <c r="V35" i="1"/>
  <c r="Y9" i="1"/>
  <c r="G61" i="50"/>
  <c r="AP15" i="49"/>
  <c r="Q30" i="45"/>
  <c r="H119" i="33"/>
  <c r="J119" i="5"/>
  <c r="G80" i="21"/>
  <c r="G80" i="40"/>
  <c r="S37" i="44"/>
  <c r="AO35" i="1"/>
  <c r="G32" i="27"/>
  <c r="O17" i="1"/>
  <c r="E18" i="44"/>
  <c r="G32" i="30"/>
  <c r="BC5" i="44"/>
  <c r="AF13" i="1"/>
  <c r="J127" i="4"/>
  <c r="H127" i="5"/>
  <c r="V36" i="1"/>
  <c r="Y17" i="1"/>
  <c r="G103" i="40"/>
  <c r="O36" i="44"/>
  <c r="O37" i="44"/>
  <c r="N2" i="49"/>
  <c r="G60" i="11"/>
  <c r="G99" i="12"/>
  <c r="AP6" i="49"/>
  <c r="H25" i="45"/>
  <c r="BE6" i="49" s="1"/>
  <c r="H30" i="45"/>
  <c r="H31" i="45" s="1"/>
  <c r="AD9" i="1"/>
  <c r="H30" i="5"/>
  <c r="J30" i="4"/>
  <c r="H187" i="4"/>
  <c r="J187" i="4" s="1"/>
  <c r="J187" i="3"/>
  <c r="G60" i="2"/>
  <c r="H47" i="2"/>
  <c r="J145" i="4"/>
  <c r="H145" i="5"/>
  <c r="AF16" i="1"/>
  <c r="I135" i="11"/>
  <c r="H130" i="33"/>
  <c r="J130" i="5"/>
  <c r="J162" i="4"/>
  <c r="H162" i="5"/>
  <c r="H144" i="5"/>
  <c r="G189" i="17"/>
  <c r="G60" i="5"/>
  <c r="G32" i="14"/>
  <c r="E25" i="44"/>
  <c r="O24" i="1"/>
  <c r="AT20" i="44"/>
  <c r="O29" i="1"/>
  <c r="E30" i="44"/>
  <c r="BP11" i="1"/>
  <c r="G32" i="2"/>
  <c r="H32" i="2" s="1"/>
  <c r="AD36" i="44"/>
  <c r="AD37" i="44"/>
  <c r="AC10" i="49"/>
  <c r="G99" i="29"/>
  <c r="Y30" i="45"/>
  <c r="Y31" i="45" s="1"/>
  <c r="Y25" i="45"/>
  <c r="BE23" i="49" s="1"/>
  <c r="AP23" i="49"/>
  <c r="AW36" i="44"/>
  <c r="AW37" i="44"/>
  <c r="AE36" i="44"/>
  <c r="AE37" i="44"/>
  <c r="AD12" i="49"/>
  <c r="AU36" i="44"/>
  <c r="AU37" i="44"/>
  <c r="AZ6" i="44"/>
  <c r="I59" i="8"/>
  <c r="I60" i="8"/>
  <c r="H40" i="3"/>
  <c r="J40" i="2"/>
  <c r="J174" i="3"/>
  <c r="H174" i="4"/>
  <c r="G97" i="15"/>
  <c r="E17" i="35"/>
  <c r="G17" i="35" s="1"/>
  <c r="H175" i="5"/>
  <c r="J175" i="4"/>
  <c r="G32" i="11"/>
  <c r="G32" i="28"/>
  <c r="Z35" i="1"/>
  <c r="AD7" i="1"/>
  <c r="AF7" i="1" s="1"/>
  <c r="G95" i="5"/>
  <c r="H95" i="5" s="1"/>
  <c r="H94" i="5"/>
  <c r="G80" i="14"/>
  <c r="BA15" i="44"/>
  <c r="BM12" i="49"/>
  <c r="G60" i="30"/>
  <c r="H158" i="31"/>
  <c r="J158" i="43"/>
  <c r="P25" i="45"/>
  <c r="BE14" i="49" s="1"/>
  <c r="AS14" i="49"/>
  <c r="BA14" i="49"/>
  <c r="P30" i="45"/>
  <c r="P31" i="45" s="1"/>
  <c r="G60" i="40"/>
  <c r="H153" i="2"/>
  <c r="I153" i="2"/>
  <c r="G60" i="12"/>
  <c r="H87" i="5"/>
  <c r="J87" i="4"/>
  <c r="H182" i="33"/>
  <c r="J182" i="5"/>
  <c r="J177" i="5"/>
  <c r="H177" i="33"/>
  <c r="Z27" i="45"/>
  <c r="BF24" i="49" s="1"/>
  <c r="BC24" i="49"/>
  <c r="AR24" i="49"/>
  <c r="AD17" i="1"/>
  <c r="AC36" i="1"/>
  <c r="AD27" i="45"/>
  <c r="BF28" i="49" s="1"/>
  <c r="AZ28" i="49"/>
  <c r="AR25" i="49"/>
  <c r="BC25" i="49"/>
  <c r="AA27" i="45"/>
  <c r="BF25" i="49" s="1"/>
  <c r="G97" i="11"/>
  <c r="E13" i="35"/>
  <c r="G13" i="35" s="1"/>
  <c r="G103" i="25"/>
  <c r="AF36" i="44"/>
  <c r="BP6" i="1"/>
  <c r="AF6" i="1"/>
  <c r="Q37" i="44"/>
  <c r="H166" i="23"/>
  <c r="J166" i="22"/>
  <c r="J150" i="9"/>
  <c r="H150" i="10"/>
  <c r="G80" i="18"/>
  <c r="H84" i="33"/>
  <c r="J84" i="5"/>
  <c r="E16" i="44"/>
  <c r="O15" i="1"/>
  <c r="O21" i="1"/>
  <c r="E22" i="44"/>
  <c r="G33" i="50"/>
  <c r="BA26" i="44"/>
  <c r="BM23" i="49"/>
  <c r="R31" i="1"/>
  <c r="I29" i="47"/>
  <c r="Q31" i="1"/>
  <c r="BN31" i="1" s="1"/>
  <c r="H157" i="31"/>
  <c r="J157" i="43"/>
  <c r="AT26" i="49"/>
  <c r="BB26" i="49"/>
  <c r="AB25" i="45"/>
  <c r="BE26" i="49" s="1"/>
  <c r="AB30" i="45"/>
  <c r="AB31" i="45" s="1"/>
  <c r="G189" i="28"/>
  <c r="N30" i="45"/>
  <c r="N31" i="45" s="1"/>
  <c r="N25" i="45"/>
  <c r="BE12" i="49" s="1"/>
  <c r="AS12" i="49"/>
  <c r="BA12" i="49"/>
  <c r="AN7" i="1"/>
  <c r="AL35" i="1"/>
  <c r="G103" i="11"/>
  <c r="G99" i="17"/>
  <c r="AH35" i="1"/>
  <c r="AJ15" i="1"/>
  <c r="G95" i="10"/>
  <c r="G60" i="17"/>
  <c r="I60" i="17" s="1"/>
  <c r="I135" i="7"/>
  <c r="AS37" i="44"/>
  <c r="AS36" i="44"/>
  <c r="BL2" i="49"/>
  <c r="AT5" i="44"/>
  <c r="E29" i="19"/>
  <c r="G29" i="19" s="1"/>
  <c r="S21" i="1"/>
  <c r="J155" i="4"/>
  <c r="H155" i="5"/>
  <c r="J23" i="3"/>
  <c r="H23" i="4"/>
  <c r="O13" i="1"/>
  <c r="E14" i="44"/>
  <c r="AZ12" i="44"/>
  <c r="BH9" i="49"/>
  <c r="AT12" i="44"/>
  <c r="AI35" i="1"/>
  <c r="AJ32" i="1"/>
  <c r="G101" i="27"/>
  <c r="BJ35" i="1"/>
  <c r="BO15" i="1"/>
  <c r="BP15" i="1" s="1"/>
  <c r="AG35" i="1"/>
  <c r="AJ13" i="1"/>
  <c r="AK37" i="44"/>
  <c r="AK36" i="44"/>
  <c r="AJ10" i="49"/>
  <c r="AQ4" i="49"/>
  <c r="F30" i="45"/>
  <c r="F31" i="45" s="1"/>
  <c r="F25" i="45"/>
  <c r="BE4" i="49" s="1"/>
  <c r="G60" i="25"/>
  <c r="G101" i="14"/>
  <c r="G60" i="10"/>
  <c r="AF37" i="44"/>
  <c r="U37" i="44"/>
  <c r="AM37" i="44"/>
  <c r="AM36" i="44"/>
  <c r="AL7" i="49"/>
  <c r="H78" i="3"/>
  <c r="J78" i="2"/>
  <c r="H135" i="2"/>
  <c r="I135" i="2"/>
  <c r="H59" i="3"/>
  <c r="G103" i="13"/>
  <c r="G97" i="10"/>
  <c r="E12" i="35"/>
  <c r="G12" i="35" s="1"/>
  <c r="H151" i="8"/>
  <c r="J151" i="7"/>
  <c r="J152" i="4"/>
  <c r="H152" i="5"/>
  <c r="AZ21" i="44"/>
  <c r="AT21" i="44"/>
  <c r="BH18" i="49"/>
  <c r="J165" i="33"/>
  <c r="H165" i="7"/>
  <c r="G189" i="4"/>
  <c r="G32" i="21"/>
  <c r="R30" i="1"/>
  <c r="Q30" i="1"/>
  <c r="I28" i="47"/>
  <c r="BN4" i="1"/>
  <c r="H28" i="3"/>
  <c r="J28" i="3" s="1"/>
  <c r="J28" i="2"/>
  <c r="G60" i="27"/>
  <c r="AV36" i="44"/>
  <c r="AV37" i="44"/>
  <c r="AY16" i="44"/>
  <c r="J188" i="4"/>
  <c r="H188" i="5"/>
  <c r="J188" i="5" s="1"/>
  <c r="G60" i="14"/>
  <c r="H49" i="3"/>
  <c r="J49" i="2"/>
  <c r="G80" i="8"/>
  <c r="H80" i="8" s="1"/>
  <c r="AX36" i="44"/>
  <c r="AX37" i="44"/>
  <c r="AY30" i="44"/>
  <c r="BA30" i="44" s="1"/>
  <c r="H67" i="3"/>
  <c r="J67" i="2"/>
  <c r="AP37" i="44"/>
  <c r="AP36" i="44"/>
  <c r="BI7" i="49"/>
  <c r="H8" i="7"/>
  <c r="J8" i="33"/>
  <c r="H143" i="5"/>
  <c r="J143" i="4"/>
  <c r="H131" i="5"/>
  <c r="J131" i="4"/>
  <c r="G98" i="50"/>
  <c r="G60" i="15"/>
  <c r="G80" i="28"/>
  <c r="H142" i="4"/>
  <c r="J142" i="3"/>
  <c r="G32" i="15"/>
  <c r="O28" i="1"/>
  <c r="E29" i="44"/>
  <c r="E27" i="10"/>
  <c r="G27" i="10" s="1"/>
  <c r="H12" i="1"/>
  <c r="C13" i="44"/>
  <c r="H134" i="4"/>
  <c r="J134" i="3"/>
  <c r="I135" i="40"/>
  <c r="G189" i="15"/>
  <c r="H158" i="24"/>
  <c r="M29" i="45"/>
  <c r="AO11" i="49"/>
  <c r="M25" i="45"/>
  <c r="BE11" i="49" s="1"/>
  <c r="X35" i="1"/>
  <c r="Y6" i="1"/>
  <c r="AA35" i="1"/>
  <c r="AD10" i="1"/>
  <c r="N36" i="44"/>
  <c r="N37" i="44"/>
  <c r="M5" i="49"/>
  <c r="H113" i="4"/>
  <c r="J113" i="3"/>
  <c r="J148" i="3"/>
  <c r="H148" i="4"/>
  <c r="G101" i="15"/>
  <c r="G101" i="10"/>
  <c r="H149" i="33"/>
  <c r="J149" i="5"/>
  <c r="G32" i="12"/>
  <c r="R36" i="44"/>
  <c r="R37" i="44"/>
  <c r="Q3" i="49"/>
  <c r="F27" i="45"/>
  <c r="BF4" i="49" s="1"/>
  <c r="AZ4" i="49"/>
  <c r="G32" i="18"/>
  <c r="BN6" i="1"/>
  <c r="BA31" i="44"/>
  <c r="BM28" i="49"/>
  <c r="I13" i="17"/>
  <c r="H12" i="4"/>
  <c r="H158" i="33"/>
  <c r="S25" i="45"/>
  <c r="BE17" i="49" s="1"/>
  <c r="S30" i="45"/>
  <c r="S31" i="45" s="1"/>
  <c r="AP17" i="49"/>
  <c r="AX15" i="49"/>
  <c r="Q27" i="45"/>
  <c r="BF15" i="49" s="1"/>
  <c r="I135" i="20"/>
  <c r="I135" i="25"/>
  <c r="L15" i="35"/>
  <c r="O15" i="35" s="1"/>
  <c r="AN9" i="1"/>
  <c r="AK35" i="1"/>
  <c r="H183" i="33"/>
  <c r="J183" i="5"/>
  <c r="AD5" i="1"/>
  <c r="AC35" i="1"/>
  <c r="I59" i="4"/>
  <c r="J17" i="35"/>
  <c r="H174" i="50"/>
  <c r="J174" i="50" s="1"/>
  <c r="G182" i="50"/>
  <c r="H182" i="50" s="1"/>
  <c r="J182" i="50" s="1"/>
  <c r="S36" i="44"/>
  <c r="H112" i="33"/>
  <c r="J112" i="5"/>
  <c r="AO36" i="44"/>
  <c r="AO37" i="44"/>
  <c r="BH5" i="49"/>
  <c r="AT8" i="44"/>
  <c r="AZ8" i="44"/>
  <c r="H79" i="4"/>
  <c r="H79" i="5" s="1"/>
  <c r="H79" i="33" s="1"/>
  <c r="H79" i="7" s="1"/>
  <c r="H79" i="8" s="1"/>
  <c r="H79" i="9" s="1"/>
  <c r="H79" i="10" s="1"/>
  <c r="H79" i="11" s="1"/>
  <c r="H79" i="12" s="1"/>
  <c r="H79" i="13" s="1"/>
  <c r="G80" i="4"/>
  <c r="H80" i="4" s="1"/>
  <c r="H80" i="5" s="1"/>
  <c r="H184" i="33"/>
  <c r="J184" i="5"/>
  <c r="O32" i="1"/>
  <c r="E33" i="44"/>
  <c r="G32" i="29"/>
  <c r="G32" i="40"/>
  <c r="BM25" i="49"/>
  <c r="H18" i="7" l="1"/>
  <c r="J18" i="33"/>
  <c r="J173" i="3"/>
  <c r="H173" i="4"/>
  <c r="H71" i="3"/>
  <c r="J71" i="2"/>
  <c r="J103" i="5"/>
  <c r="J128" i="5"/>
  <c r="H128" i="33"/>
  <c r="J168" i="24"/>
  <c r="H168" i="25"/>
  <c r="H24" i="4"/>
  <c r="J24" i="3"/>
  <c r="M21" i="47"/>
  <c r="J39" i="4"/>
  <c r="H39" i="5"/>
  <c r="H185" i="5"/>
  <c r="J185" i="4"/>
  <c r="BI35" i="1"/>
  <c r="I3" i="47"/>
  <c r="M3" i="47" s="1"/>
  <c r="R5" i="1"/>
  <c r="Q5" i="1"/>
  <c r="BN5" i="1" s="1"/>
  <c r="H45" i="9"/>
  <c r="J45" i="8"/>
  <c r="J13" i="2"/>
  <c r="H13" i="3"/>
  <c r="J70" i="4"/>
  <c r="H70" i="5"/>
  <c r="H56" i="5"/>
  <c r="J56" i="4"/>
  <c r="J20" i="3"/>
  <c r="I20" i="3" s="1"/>
  <c r="H20" i="4"/>
  <c r="J77" i="4"/>
  <c r="H77" i="5"/>
  <c r="M31" i="45"/>
  <c r="H55" i="5"/>
  <c r="J55" i="4"/>
  <c r="I60" i="31"/>
  <c r="I59" i="43"/>
  <c r="BM30" i="49"/>
  <c r="BA33" i="44"/>
  <c r="H90" i="43"/>
  <c r="J90" i="30"/>
  <c r="M28" i="47"/>
  <c r="M29" i="47"/>
  <c r="I59" i="28"/>
  <c r="BN30" i="1"/>
  <c r="H38" i="5"/>
  <c r="J38" i="4"/>
  <c r="H7" i="7"/>
  <c r="J7" i="33"/>
  <c r="I9" i="33" s="1"/>
  <c r="H52" i="17"/>
  <c r="J52" i="16"/>
  <c r="J102" i="4"/>
  <c r="H102" i="5"/>
  <c r="H85" i="5"/>
  <c r="J85" i="4"/>
  <c r="J139" i="4"/>
  <c r="H139" i="5"/>
  <c r="H29" i="33"/>
  <c r="J29" i="5"/>
  <c r="J179" i="4"/>
  <c r="H179" i="5"/>
  <c r="J74" i="4"/>
  <c r="H74" i="5"/>
  <c r="H101" i="5"/>
  <c r="J101" i="4"/>
  <c r="J129" i="5"/>
  <c r="H129" i="33"/>
  <c r="J147" i="4"/>
  <c r="H147" i="5"/>
  <c r="H90" i="33"/>
  <c r="J90" i="5"/>
  <c r="H57" i="5"/>
  <c r="J57" i="4"/>
  <c r="J76" i="5"/>
  <c r="H76" i="33"/>
  <c r="H54" i="33"/>
  <c r="J54" i="5"/>
  <c r="H164" i="7"/>
  <c r="J164" i="33"/>
  <c r="H35" i="33"/>
  <c r="J35" i="5"/>
  <c r="H123" i="5"/>
  <c r="J123" i="4"/>
  <c r="J121" i="4"/>
  <c r="H121" i="5"/>
  <c r="H100" i="5"/>
  <c r="J100" i="4"/>
  <c r="H86" i="33"/>
  <c r="J86" i="5"/>
  <c r="J122" i="5"/>
  <c r="H122" i="33"/>
  <c r="J117" i="4"/>
  <c r="H117" i="5"/>
  <c r="H50" i="33"/>
  <c r="J50" i="5"/>
  <c r="H43" i="5"/>
  <c r="J43" i="4"/>
  <c r="N35" i="1"/>
  <c r="H157" i="25"/>
  <c r="H157" i="40" s="1"/>
  <c r="H157" i="27" s="1"/>
  <c r="H157" i="28" s="1"/>
  <c r="J157" i="28" s="1"/>
  <c r="BA27" i="44"/>
  <c r="BM24" i="49"/>
  <c r="BA25" i="44"/>
  <c r="BM22" i="49"/>
  <c r="J133" i="33"/>
  <c r="H133" i="7"/>
  <c r="O31" i="45"/>
  <c r="H83" i="8"/>
  <c r="J83" i="7"/>
  <c r="H65" i="5"/>
  <c r="J65" i="4"/>
  <c r="H22" i="5"/>
  <c r="J22" i="4"/>
  <c r="J167" i="24"/>
  <c r="H167" i="25"/>
  <c r="H82" i="5"/>
  <c r="J82" i="4"/>
  <c r="I59" i="9"/>
  <c r="I60" i="9"/>
  <c r="Q31" i="45"/>
  <c r="I32" i="47"/>
  <c r="Q34" i="1"/>
  <c r="BN34" i="1" s="1"/>
  <c r="R34" i="1"/>
  <c r="H188" i="33"/>
  <c r="J132" i="7"/>
  <c r="H132" i="8"/>
  <c r="I5" i="47"/>
  <c r="M5" i="47" s="1"/>
  <c r="Q7" i="1"/>
  <c r="BN7" i="1" s="1"/>
  <c r="R7" i="1"/>
  <c r="H103" i="7"/>
  <c r="J103" i="33"/>
  <c r="H58" i="7"/>
  <c r="J58" i="33"/>
  <c r="R25" i="1"/>
  <c r="I23" i="47"/>
  <c r="M23" i="47" s="1"/>
  <c r="Q25" i="1"/>
  <c r="BN25" i="1" s="1"/>
  <c r="H31" i="33"/>
  <c r="J31" i="5"/>
  <c r="I60" i="19"/>
  <c r="BA7" i="44"/>
  <c r="BM4" i="49"/>
  <c r="H69" i="4"/>
  <c r="J69" i="3"/>
  <c r="H63" i="5"/>
  <c r="J63" i="4"/>
  <c r="H96" i="4"/>
  <c r="J96" i="3"/>
  <c r="H66" i="33"/>
  <c r="J66" i="5"/>
  <c r="H104" i="4"/>
  <c r="J104" i="3"/>
  <c r="H98" i="3"/>
  <c r="J98" i="2"/>
  <c r="I31" i="47"/>
  <c r="M31" i="47" s="1"/>
  <c r="R33" i="1"/>
  <c r="Q33" i="1"/>
  <c r="BN33" i="1" s="1"/>
  <c r="J178" i="3"/>
  <c r="H178" i="4"/>
  <c r="H75" i="33"/>
  <c r="J75" i="5"/>
  <c r="H163" i="4"/>
  <c r="J163" i="3"/>
  <c r="H92" i="4"/>
  <c r="J92" i="3"/>
  <c r="H99" i="3"/>
  <c r="J99" i="2"/>
  <c r="H44" i="33"/>
  <c r="J44" i="5"/>
  <c r="H120" i="4"/>
  <c r="J120" i="3"/>
  <c r="H146" i="4"/>
  <c r="J146" i="3"/>
  <c r="H89" i="5"/>
  <c r="J89" i="4"/>
  <c r="H176" i="5"/>
  <c r="J176" i="4"/>
  <c r="H91" i="5"/>
  <c r="J91" i="4"/>
  <c r="R10" i="1"/>
  <c r="Q10" i="1"/>
  <c r="BN10" i="1" s="1"/>
  <c r="I8" i="47"/>
  <c r="M8" i="47" s="1"/>
  <c r="J180" i="3"/>
  <c r="H180" i="4"/>
  <c r="H41" i="5"/>
  <c r="J41" i="4"/>
  <c r="H116" i="33"/>
  <c r="J116" i="5"/>
  <c r="H64" i="5"/>
  <c r="J64" i="4"/>
  <c r="H51" i="5"/>
  <c r="J51" i="4"/>
  <c r="H161" i="33"/>
  <c r="J161" i="5"/>
  <c r="H189" i="22"/>
  <c r="J189" i="21"/>
  <c r="H53" i="5"/>
  <c r="J53" i="4"/>
  <c r="H62" i="4"/>
  <c r="J62" i="3"/>
  <c r="H27" i="4"/>
  <c r="J27" i="3"/>
  <c r="I60" i="21"/>
  <c r="I59" i="21"/>
  <c r="H37" i="10"/>
  <c r="J37" i="9"/>
  <c r="H140" i="4"/>
  <c r="J140" i="3"/>
  <c r="H141" i="4"/>
  <c r="J141" i="3"/>
  <c r="J138" i="7"/>
  <c r="H138" i="8"/>
  <c r="H114" i="5"/>
  <c r="J114" i="4"/>
  <c r="H115" i="33"/>
  <c r="J115" i="5"/>
  <c r="H118" i="33"/>
  <c r="J118" i="5"/>
  <c r="H46" i="12"/>
  <c r="J46" i="11"/>
  <c r="H189" i="4"/>
  <c r="J189" i="2"/>
  <c r="H189" i="3"/>
  <c r="J189" i="3" s="1"/>
  <c r="J156" i="4"/>
  <c r="H156" i="5"/>
  <c r="H88" i="5"/>
  <c r="J88" i="4"/>
  <c r="H19" i="7"/>
  <c r="J19" i="33"/>
  <c r="I60" i="24"/>
  <c r="I59" i="24"/>
  <c r="BF17" i="49"/>
  <c r="J181" i="2"/>
  <c r="H181" i="3"/>
  <c r="J97" i="3"/>
  <c r="H97" i="4"/>
  <c r="H105" i="4"/>
  <c r="J105" i="3"/>
  <c r="H36" i="33"/>
  <c r="J36" i="5"/>
  <c r="J11" i="4"/>
  <c r="H11" i="5"/>
  <c r="I25" i="47"/>
  <c r="M25" i="47" s="1"/>
  <c r="Q27" i="1"/>
  <c r="BN27" i="1" s="1"/>
  <c r="R27" i="1"/>
  <c r="I60" i="18"/>
  <c r="R20" i="1"/>
  <c r="I18" i="47"/>
  <c r="M18" i="47" s="1"/>
  <c r="Q20" i="1"/>
  <c r="BN20" i="1" s="1"/>
  <c r="AJ36" i="1"/>
  <c r="J188" i="17"/>
  <c r="Y35" i="1"/>
  <c r="Y36" i="1"/>
  <c r="R31" i="45"/>
  <c r="BA19" i="44"/>
  <c r="BM16" i="49"/>
  <c r="BO36" i="1"/>
  <c r="I60" i="16"/>
  <c r="BK36" i="1"/>
  <c r="I16" i="47"/>
  <c r="M16" i="47" s="1"/>
  <c r="Q18" i="1"/>
  <c r="BN18" i="1" s="1"/>
  <c r="R18" i="1"/>
  <c r="M14" i="47"/>
  <c r="BN16" i="1"/>
  <c r="H68" i="14"/>
  <c r="J68" i="13"/>
  <c r="BO35" i="1"/>
  <c r="AE35" i="1"/>
  <c r="I59" i="13"/>
  <c r="H42" i="15"/>
  <c r="J42" i="14"/>
  <c r="I12" i="47"/>
  <c r="M12" i="47" s="1"/>
  <c r="R14" i="1"/>
  <c r="Q14" i="1"/>
  <c r="BN14" i="1" s="1"/>
  <c r="BM14" i="49"/>
  <c r="BA17" i="44"/>
  <c r="J79" i="13"/>
  <c r="H79" i="14"/>
  <c r="H79" i="15" s="1"/>
  <c r="H142" i="5"/>
  <c r="J142" i="4"/>
  <c r="AY36" i="44"/>
  <c r="AY37" i="44"/>
  <c r="BA16" i="44"/>
  <c r="AF5" i="1"/>
  <c r="AD35" i="1"/>
  <c r="BP5" i="1"/>
  <c r="J158" i="33"/>
  <c r="H158" i="7"/>
  <c r="J12" i="4"/>
  <c r="H12" i="5"/>
  <c r="J184" i="33"/>
  <c r="H184" i="7"/>
  <c r="H183" i="7"/>
  <c r="J183" i="33"/>
  <c r="BB13" i="44"/>
  <c r="J10" i="48"/>
  <c r="C36" i="44"/>
  <c r="C37" i="44"/>
  <c r="J152" i="5"/>
  <c r="H152" i="33"/>
  <c r="I59" i="25"/>
  <c r="I60" i="25"/>
  <c r="H23" i="5"/>
  <c r="J23" i="4"/>
  <c r="J166" i="23"/>
  <c r="H166" i="24"/>
  <c r="J182" i="33"/>
  <c r="H182" i="7"/>
  <c r="H95" i="33"/>
  <c r="J95" i="5"/>
  <c r="H40" i="4"/>
  <c r="J40" i="3"/>
  <c r="R29" i="1"/>
  <c r="Q29" i="1"/>
  <c r="BN29" i="1" s="1"/>
  <c r="I27" i="47"/>
  <c r="M27" i="47" s="1"/>
  <c r="I59" i="5"/>
  <c r="I60" i="5"/>
  <c r="J145" i="5"/>
  <c r="H145" i="33"/>
  <c r="H30" i="33"/>
  <c r="J30" i="5"/>
  <c r="BM8" i="49"/>
  <c r="BA11" i="44"/>
  <c r="H112" i="7"/>
  <c r="J112" i="33"/>
  <c r="J158" i="24"/>
  <c r="H158" i="25"/>
  <c r="H158" i="40" s="1"/>
  <c r="H158" i="27" s="1"/>
  <c r="I59" i="15"/>
  <c r="I60" i="15"/>
  <c r="BM17" i="49"/>
  <c r="BA20" i="44"/>
  <c r="H162" i="33"/>
  <c r="J162" i="5"/>
  <c r="J166" i="8"/>
  <c r="H166" i="9"/>
  <c r="BA23" i="44"/>
  <c r="BM20" i="49"/>
  <c r="J155" i="5"/>
  <c r="H155" i="33"/>
  <c r="BP7" i="1"/>
  <c r="BP9" i="1"/>
  <c r="AF9" i="1"/>
  <c r="I59" i="11"/>
  <c r="I60" i="11"/>
  <c r="H28" i="4"/>
  <c r="H167" i="11"/>
  <c r="J167" i="10"/>
  <c r="J12" i="1"/>
  <c r="E10" i="47"/>
  <c r="M10" i="47" s="1"/>
  <c r="BK12" i="1"/>
  <c r="BK35" i="1" s="1"/>
  <c r="K12" i="1"/>
  <c r="K35" i="1" s="1"/>
  <c r="BM12" i="1"/>
  <c r="BM35" i="1" s="1"/>
  <c r="BL12" i="1"/>
  <c r="BL35" i="1" s="1"/>
  <c r="H35" i="1"/>
  <c r="H37" i="1" s="1"/>
  <c r="H135" i="3"/>
  <c r="J135" i="2"/>
  <c r="H130" i="7"/>
  <c r="J130" i="33"/>
  <c r="G32" i="10"/>
  <c r="H67" i="4"/>
  <c r="J67" i="3"/>
  <c r="J189" i="4"/>
  <c r="H189" i="5"/>
  <c r="BA12" i="44"/>
  <c r="BM9" i="49"/>
  <c r="I30" i="47"/>
  <c r="M30" i="47" s="1"/>
  <c r="R32" i="1"/>
  <c r="Q32" i="1"/>
  <c r="BN32" i="1" s="1"/>
  <c r="J165" i="7"/>
  <c r="H165" i="8"/>
  <c r="J84" i="33"/>
  <c r="H84" i="7"/>
  <c r="I59" i="40"/>
  <c r="I60" i="40"/>
  <c r="I59" i="30"/>
  <c r="I60" i="30"/>
  <c r="H47" i="3"/>
  <c r="J47" i="2"/>
  <c r="I60" i="50"/>
  <c r="I61" i="50"/>
  <c r="BM6" i="49"/>
  <c r="BA9" i="44"/>
  <c r="H168" i="10"/>
  <c r="J168" i="9"/>
  <c r="I59" i="20"/>
  <c r="I60" i="20"/>
  <c r="J113" i="4"/>
  <c r="H113" i="5"/>
  <c r="BA8" i="44"/>
  <c r="BM5" i="49"/>
  <c r="H49" i="4"/>
  <c r="J49" i="3"/>
  <c r="I59" i="10"/>
  <c r="I60" i="10"/>
  <c r="U21" i="1"/>
  <c r="U35" i="1" s="1"/>
  <c r="S35" i="1"/>
  <c r="AN35" i="1"/>
  <c r="H87" i="33"/>
  <c r="J87" i="5"/>
  <c r="H174" i="5"/>
  <c r="J174" i="4"/>
  <c r="AZ36" i="44"/>
  <c r="AZ37" i="44"/>
  <c r="J32" i="2"/>
  <c r="H32" i="3"/>
  <c r="H60" i="2"/>
  <c r="I59" i="2"/>
  <c r="I60" i="2"/>
  <c r="Q21" i="1"/>
  <c r="R21" i="1"/>
  <c r="I19" i="47"/>
  <c r="M19" i="47" s="1"/>
  <c r="I26" i="47"/>
  <c r="M26" i="47" s="1"/>
  <c r="Q28" i="1"/>
  <c r="BN28" i="1" s="1"/>
  <c r="R28" i="1"/>
  <c r="I60" i="14"/>
  <c r="I59" i="14"/>
  <c r="I60" i="27"/>
  <c r="I59" i="27"/>
  <c r="H78" i="4"/>
  <c r="J78" i="3"/>
  <c r="E37" i="44"/>
  <c r="E36" i="44"/>
  <c r="H150" i="11"/>
  <c r="J150" i="10"/>
  <c r="H177" i="7"/>
  <c r="J177" i="33"/>
  <c r="J144" i="5"/>
  <c r="H144" i="33"/>
  <c r="J127" i="5"/>
  <c r="H127" i="33"/>
  <c r="Q17" i="1"/>
  <c r="I15" i="47"/>
  <c r="M15" i="47" s="1"/>
  <c r="R17" i="1"/>
  <c r="O36" i="1"/>
  <c r="I59" i="29"/>
  <c r="I60" i="29"/>
  <c r="H10" i="5"/>
  <c r="J10" i="4"/>
  <c r="H9" i="5"/>
  <c r="J9" i="4"/>
  <c r="H8" i="8"/>
  <c r="J8" i="7"/>
  <c r="H151" i="9"/>
  <c r="J151" i="8"/>
  <c r="I11" i="47"/>
  <c r="M11" i="47" s="1"/>
  <c r="Q13" i="1"/>
  <c r="R13" i="1"/>
  <c r="O35" i="1"/>
  <c r="G32" i="19"/>
  <c r="J175" i="5"/>
  <c r="H175" i="33"/>
  <c r="I22" i="47"/>
  <c r="M22" i="47" s="1"/>
  <c r="Q24" i="1"/>
  <c r="BN24" i="1" s="1"/>
  <c r="R24" i="1"/>
  <c r="H187" i="5"/>
  <c r="H186" i="4"/>
  <c r="J186" i="3"/>
  <c r="J157" i="33"/>
  <c r="H157" i="7"/>
  <c r="H143" i="33"/>
  <c r="J143" i="5"/>
  <c r="BP17" i="1"/>
  <c r="AF17" i="1"/>
  <c r="AF36" i="1" s="1"/>
  <c r="AD36" i="1"/>
  <c r="H149" i="7"/>
  <c r="J149" i="33"/>
  <c r="AF10" i="1"/>
  <c r="BP10" i="1"/>
  <c r="BA21" i="44"/>
  <c r="BM18" i="49"/>
  <c r="I59" i="17"/>
  <c r="J148" i="4"/>
  <c r="H148" i="5"/>
  <c r="J134" i="4"/>
  <c r="H134" i="5"/>
  <c r="J131" i="5"/>
  <c r="H131" i="33"/>
  <c r="J59" i="3"/>
  <c r="H59" i="4"/>
  <c r="AJ35" i="1"/>
  <c r="BA5" i="44"/>
  <c r="BM2" i="49"/>
  <c r="AT37" i="44"/>
  <c r="AT36" i="44"/>
  <c r="I13" i="47"/>
  <c r="M13" i="47" s="1"/>
  <c r="R15" i="1"/>
  <c r="Q15" i="1"/>
  <c r="BN15" i="1" s="1"/>
  <c r="I59" i="12"/>
  <c r="I60" i="12"/>
  <c r="H94" i="33"/>
  <c r="J94" i="5"/>
  <c r="H188" i="19"/>
  <c r="H119" i="7"/>
  <c r="J119" i="33"/>
  <c r="J15" i="3"/>
  <c r="I16" i="3" s="1"/>
  <c r="H15" i="4"/>
  <c r="J20" i="4" l="1"/>
  <c r="I20" i="4" s="1"/>
  <c r="H20" i="5"/>
  <c r="H39" i="33"/>
  <c r="J39" i="5"/>
  <c r="H45" i="10"/>
  <c r="J45" i="9"/>
  <c r="H56" i="33"/>
  <c r="J56" i="5"/>
  <c r="J71" i="3"/>
  <c r="H71" i="4"/>
  <c r="H55" i="33"/>
  <c r="J55" i="5"/>
  <c r="H70" i="33"/>
  <c r="J70" i="5"/>
  <c r="H24" i="5"/>
  <c r="J24" i="4"/>
  <c r="H173" i="5"/>
  <c r="J173" i="4"/>
  <c r="J168" i="25"/>
  <c r="H168" i="40"/>
  <c r="H77" i="33"/>
  <c r="J77" i="5"/>
  <c r="J13" i="3"/>
  <c r="H13" i="4"/>
  <c r="H185" i="33"/>
  <c r="J185" i="5"/>
  <c r="H128" i="7"/>
  <c r="J128" i="33"/>
  <c r="H18" i="8"/>
  <c r="J18" i="7"/>
  <c r="J90" i="43"/>
  <c r="H90" i="31"/>
  <c r="J90" i="31" s="1"/>
  <c r="H50" i="7"/>
  <c r="J50" i="33"/>
  <c r="J86" i="33"/>
  <c r="H86" i="7"/>
  <c r="H123" i="33"/>
  <c r="J123" i="5"/>
  <c r="H164" i="8"/>
  <c r="J164" i="7"/>
  <c r="H90" i="7"/>
  <c r="J90" i="33"/>
  <c r="H29" i="7"/>
  <c r="J29" i="33"/>
  <c r="H85" i="33"/>
  <c r="J85" i="5"/>
  <c r="H52" i="18"/>
  <c r="J52" i="17"/>
  <c r="H38" i="33"/>
  <c r="J38" i="5"/>
  <c r="J122" i="33"/>
  <c r="H122" i="7"/>
  <c r="H121" i="33"/>
  <c r="J121" i="5"/>
  <c r="J76" i="33"/>
  <c r="H76" i="7"/>
  <c r="J129" i="33"/>
  <c r="H129" i="7"/>
  <c r="J74" i="5"/>
  <c r="H74" i="33"/>
  <c r="H43" i="33"/>
  <c r="J43" i="5"/>
  <c r="H100" i="33"/>
  <c r="J100" i="5"/>
  <c r="H35" i="7"/>
  <c r="J35" i="33"/>
  <c r="H54" i="7"/>
  <c r="J54" i="33"/>
  <c r="H57" i="33"/>
  <c r="J57" i="5"/>
  <c r="J101" i="5"/>
  <c r="H101" i="33"/>
  <c r="H7" i="8"/>
  <c r="J7" i="7"/>
  <c r="I9" i="7" s="1"/>
  <c r="H117" i="33"/>
  <c r="J117" i="5"/>
  <c r="H147" i="33"/>
  <c r="J147" i="5"/>
  <c r="J179" i="5"/>
  <c r="H179" i="33"/>
  <c r="J139" i="5"/>
  <c r="H139" i="33"/>
  <c r="J102" i="5"/>
  <c r="H102" i="33"/>
  <c r="J157" i="27"/>
  <c r="H133" i="8"/>
  <c r="J133" i="7"/>
  <c r="H132" i="9"/>
  <c r="J132" i="8"/>
  <c r="H22" i="33"/>
  <c r="J22" i="5"/>
  <c r="H58" i="8"/>
  <c r="J58" i="7"/>
  <c r="H65" i="33"/>
  <c r="J65" i="5"/>
  <c r="J103" i="7"/>
  <c r="H103" i="8"/>
  <c r="J188" i="33"/>
  <c r="H188" i="7"/>
  <c r="H82" i="33"/>
  <c r="J82" i="5"/>
  <c r="H83" i="9"/>
  <c r="J83" i="8"/>
  <c r="H31" i="7"/>
  <c r="J31" i="33"/>
  <c r="H167" i="40"/>
  <c r="J167" i="25"/>
  <c r="H36" i="7"/>
  <c r="J36" i="33"/>
  <c r="J156" i="5"/>
  <c r="H156" i="33"/>
  <c r="H46" i="13"/>
  <c r="J46" i="12"/>
  <c r="H114" i="33"/>
  <c r="J114" i="5"/>
  <c r="H189" i="23"/>
  <c r="J189" i="22"/>
  <c r="J116" i="33"/>
  <c r="H116" i="7"/>
  <c r="H120" i="5"/>
  <c r="J120" i="4"/>
  <c r="H163" i="5"/>
  <c r="J163" i="4"/>
  <c r="J138" i="8"/>
  <c r="H138" i="9"/>
  <c r="H37" i="11"/>
  <c r="J37" i="10"/>
  <c r="H96" i="5"/>
  <c r="J96" i="4"/>
  <c r="H62" i="5"/>
  <c r="J62" i="4"/>
  <c r="J161" i="33"/>
  <c r="H161" i="7"/>
  <c r="H41" i="33"/>
  <c r="J41" i="5"/>
  <c r="H44" i="7"/>
  <c r="J44" i="33"/>
  <c r="J75" i="33"/>
  <c r="H75" i="7"/>
  <c r="J180" i="4"/>
  <c r="H180" i="5"/>
  <c r="H91" i="33"/>
  <c r="J91" i="5"/>
  <c r="H89" i="33"/>
  <c r="J89" i="5"/>
  <c r="H178" i="5"/>
  <c r="J178" i="4"/>
  <c r="J98" i="3"/>
  <c r="H98" i="4"/>
  <c r="H63" i="33"/>
  <c r="J63" i="5"/>
  <c r="H105" i="5"/>
  <c r="J105" i="4"/>
  <c r="J118" i="33"/>
  <c r="H118" i="7"/>
  <c r="H51" i="33"/>
  <c r="J51" i="5"/>
  <c r="J99" i="3"/>
  <c r="H99" i="4"/>
  <c r="H11" i="33"/>
  <c r="J11" i="5"/>
  <c r="H97" i="5"/>
  <c r="J97" i="4"/>
  <c r="H19" i="8"/>
  <c r="J19" i="7"/>
  <c r="J141" i="4"/>
  <c r="H141" i="5"/>
  <c r="J27" i="4"/>
  <c r="H27" i="5"/>
  <c r="J146" i="4"/>
  <c r="H146" i="5"/>
  <c r="J104" i="4"/>
  <c r="H104" i="5"/>
  <c r="H69" i="5"/>
  <c r="J69" i="4"/>
  <c r="J115" i="33"/>
  <c r="H115" i="7"/>
  <c r="H53" i="33"/>
  <c r="J53" i="5"/>
  <c r="H64" i="33"/>
  <c r="J64" i="5"/>
  <c r="H92" i="5"/>
  <c r="J92" i="4"/>
  <c r="J181" i="3"/>
  <c r="H181" i="4"/>
  <c r="H88" i="33"/>
  <c r="J88" i="5"/>
  <c r="H140" i="5"/>
  <c r="J140" i="4"/>
  <c r="J176" i="5"/>
  <c r="H176" i="33"/>
  <c r="H66" i="7"/>
  <c r="J66" i="33"/>
  <c r="R36" i="1"/>
  <c r="H68" i="15"/>
  <c r="J68" i="14"/>
  <c r="BP35" i="1"/>
  <c r="H42" i="16"/>
  <c r="J42" i="15"/>
  <c r="H131" i="7"/>
  <c r="J131" i="33"/>
  <c r="J127" i="33"/>
  <c r="H127" i="7"/>
  <c r="H78" i="5"/>
  <c r="J78" i="4"/>
  <c r="H87" i="7"/>
  <c r="J87" i="33"/>
  <c r="H47" i="4"/>
  <c r="J47" i="3"/>
  <c r="H135" i="4"/>
  <c r="J135" i="3"/>
  <c r="BN12" i="1"/>
  <c r="J35" i="1"/>
  <c r="H112" i="8"/>
  <c r="J112" i="7"/>
  <c r="J182" i="7"/>
  <c r="H182" i="8"/>
  <c r="H184" i="8"/>
  <c r="J184" i="7"/>
  <c r="J158" i="7"/>
  <c r="H158" i="8"/>
  <c r="BA37" i="44"/>
  <c r="BA36" i="44"/>
  <c r="J151" i="9"/>
  <c r="H151" i="10"/>
  <c r="H144" i="7"/>
  <c r="J144" i="33"/>
  <c r="H30" i="7"/>
  <c r="J30" i="33"/>
  <c r="H189" i="33"/>
  <c r="J189" i="5"/>
  <c r="H167" i="12"/>
  <c r="J167" i="11"/>
  <c r="J155" i="33"/>
  <c r="H155" i="7"/>
  <c r="H166" i="10"/>
  <c r="J166" i="9"/>
  <c r="J145" i="33"/>
  <c r="H145" i="7"/>
  <c r="H15" i="5"/>
  <c r="J15" i="4"/>
  <c r="I16" i="4" s="1"/>
  <c r="J119" i="7"/>
  <c r="H119" i="8"/>
  <c r="J59" i="4"/>
  <c r="H59" i="5"/>
  <c r="H174" i="33"/>
  <c r="J174" i="5"/>
  <c r="H40" i="5"/>
  <c r="J40" i="4"/>
  <c r="H166" i="25"/>
  <c r="J166" i="24"/>
  <c r="J186" i="4"/>
  <c r="H186" i="5"/>
  <c r="J143" i="33"/>
  <c r="H143" i="7"/>
  <c r="H84" i="8"/>
  <c r="J84" i="7"/>
  <c r="J134" i="5"/>
  <c r="H134" i="33"/>
  <c r="J175" i="33"/>
  <c r="H175" i="7"/>
  <c r="J9" i="5"/>
  <c r="H9" i="33"/>
  <c r="J187" i="5"/>
  <c r="H187" i="33"/>
  <c r="J150" i="11"/>
  <c r="H150" i="12"/>
  <c r="H165" i="9"/>
  <c r="J165" i="8"/>
  <c r="J12" i="5"/>
  <c r="H12" i="33"/>
  <c r="AF35" i="1"/>
  <c r="H188" i="20"/>
  <c r="J188" i="19"/>
  <c r="H148" i="33"/>
  <c r="J148" i="5"/>
  <c r="R35" i="1"/>
  <c r="J8" i="8"/>
  <c r="H8" i="9"/>
  <c r="H10" i="33"/>
  <c r="J10" i="5"/>
  <c r="J60" i="2"/>
  <c r="H60" i="3"/>
  <c r="J49" i="4"/>
  <c r="H49" i="5"/>
  <c r="H113" i="33"/>
  <c r="J113" i="5"/>
  <c r="H67" i="5"/>
  <c r="J67" i="4"/>
  <c r="J28" i="4"/>
  <c r="H28" i="5"/>
  <c r="H162" i="7"/>
  <c r="J162" i="33"/>
  <c r="H158" i="28"/>
  <c r="J158" i="28" s="1"/>
  <c r="J158" i="27"/>
  <c r="BC13" i="44"/>
  <c r="BB36" i="44"/>
  <c r="BB37" i="44"/>
  <c r="H168" i="11"/>
  <c r="J168" i="10"/>
  <c r="H130" i="8"/>
  <c r="J130" i="7"/>
  <c r="J142" i="5"/>
  <c r="H142" i="33"/>
  <c r="H94" i="7"/>
  <c r="J94" i="33"/>
  <c r="J157" i="7"/>
  <c r="H157" i="8"/>
  <c r="BN13" i="1"/>
  <c r="Q35" i="1"/>
  <c r="J32" i="3"/>
  <c r="H32" i="4"/>
  <c r="J95" i="33"/>
  <c r="H95" i="7"/>
  <c r="H23" i="33"/>
  <c r="J23" i="5"/>
  <c r="J152" i="33"/>
  <c r="H152" i="7"/>
  <c r="H183" i="8"/>
  <c r="J183" i="7"/>
  <c r="J79" i="15"/>
  <c r="H79" i="16"/>
  <c r="H79" i="17" s="1"/>
  <c r="H79" i="18" s="1"/>
  <c r="H79" i="19" s="1"/>
  <c r="H79" i="20" s="1"/>
  <c r="H79" i="21" s="1"/>
  <c r="H79" i="22" s="1"/>
  <c r="Q36" i="1"/>
  <c r="BN17" i="1"/>
  <c r="BN36" i="1" s="1"/>
  <c r="J177" i="7"/>
  <c r="H177" i="8"/>
  <c r="BN21" i="1"/>
  <c r="H149" i="8"/>
  <c r="J149" i="7"/>
  <c r="H24" i="33" l="1"/>
  <c r="J24" i="5"/>
  <c r="H56" i="7"/>
  <c r="J56" i="33"/>
  <c r="H18" i="9"/>
  <c r="J18" i="8"/>
  <c r="H77" i="7"/>
  <c r="J77" i="33"/>
  <c r="H70" i="7"/>
  <c r="J70" i="33"/>
  <c r="H45" i="11"/>
  <c r="J45" i="10"/>
  <c r="J168" i="40"/>
  <c r="H168" i="27"/>
  <c r="J13" i="4"/>
  <c r="H13" i="5"/>
  <c r="H128" i="8"/>
  <c r="J128" i="7"/>
  <c r="H55" i="7"/>
  <c r="J55" i="33"/>
  <c r="H39" i="7"/>
  <c r="J39" i="33"/>
  <c r="H71" i="5"/>
  <c r="J71" i="4"/>
  <c r="J20" i="5"/>
  <c r="I20" i="5" s="1"/>
  <c r="H20" i="33"/>
  <c r="J185" i="33"/>
  <c r="H185" i="7"/>
  <c r="J173" i="5"/>
  <c r="H173" i="33"/>
  <c r="H147" i="7"/>
  <c r="J147" i="33"/>
  <c r="J7" i="8"/>
  <c r="I9" i="8" s="1"/>
  <c r="H7" i="9"/>
  <c r="H57" i="7"/>
  <c r="J57" i="33"/>
  <c r="H35" i="8"/>
  <c r="J35" i="7"/>
  <c r="H100" i="7"/>
  <c r="J100" i="33"/>
  <c r="H43" i="7"/>
  <c r="J43" i="33"/>
  <c r="H121" i="7"/>
  <c r="J121" i="33"/>
  <c r="H38" i="7"/>
  <c r="J38" i="33"/>
  <c r="H85" i="7"/>
  <c r="J85" i="33"/>
  <c r="H90" i="8"/>
  <c r="J90" i="7"/>
  <c r="H123" i="7"/>
  <c r="J123" i="33"/>
  <c r="H50" i="8"/>
  <c r="J50" i="7"/>
  <c r="H139" i="7"/>
  <c r="J139" i="33"/>
  <c r="H129" i="8"/>
  <c r="J129" i="7"/>
  <c r="H117" i="7"/>
  <c r="J117" i="33"/>
  <c r="H54" i="8"/>
  <c r="J54" i="7"/>
  <c r="H52" i="19"/>
  <c r="J52" i="18"/>
  <c r="H29" i="8"/>
  <c r="J29" i="7"/>
  <c r="J164" i="8"/>
  <c r="H164" i="9"/>
  <c r="H79" i="23"/>
  <c r="H79" i="24" s="1"/>
  <c r="H79" i="25" s="1"/>
  <c r="J79" i="25" s="1"/>
  <c r="H102" i="7"/>
  <c r="J102" i="33"/>
  <c r="J179" i="33"/>
  <c r="H179" i="7"/>
  <c r="H101" i="7"/>
  <c r="J101" i="33"/>
  <c r="J74" i="33"/>
  <c r="H74" i="7"/>
  <c r="H76" i="8"/>
  <c r="J76" i="7"/>
  <c r="H122" i="8"/>
  <c r="J122" i="7"/>
  <c r="J86" i="7"/>
  <c r="H86" i="8"/>
  <c r="H133" i="9"/>
  <c r="J133" i="8"/>
  <c r="J82" i="33"/>
  <c r="H82" i="7"/>
  <c r="J188" i="7"/>
  <c r="H188" i="8"/>
  <c r="J167" i="40"/>
  <c r="H167" i="27"/>
  <c r="H58" i="9"/>
  <c r="J58" i="8"/>
  <c r="H103" i="9"/>
  <c r="J103" i="8"/>
  <c r="H31" i="8"/>
  <c r="J31" i="7"/>
  <c r="H22" i="7"/>
  <c r="J22" i="33"/>
  <c r="H83" i="10"/>
  <c r="J83" i="9"/>
  <c r="J65" i="33"/>
  <c r="H65" i="7"/>
  <c r="J132" i="9"/>
  <c r="H132" i="10"/>
  <c r="H104" i="33"/>
  <c r="J104" i="5"/>
  <c r="H141" i="33"/>
  <c r="J141" i="5"/>
  <c r="H99" i="5"/>
  <c r="J99" i="4"/>
  <c r="H75" i="8"/>
  <c r="J75" i="7"/>
  <c r="H66" i="8"/>
  <c r="J66" i="7"/>
  <c r="H88" i="7"/>
  <c r="J88" i="33"/>
  <c r="J64" i="33"/>
  <c r="H64" i="7"/>
  <c r="H178" i="33"/>
  <c r="J178" i="5"/>
  <c r="H62" i="33"/>
  <c r="J62" i="5"/>
  <c r="H37" i="12"/>
  <c r="J37" i="11"/>
  <c r="H120" i="33"/>
  <c r="J120" i="5"/>
  <c r="J114" i="33"/>
  <c r="H114" i="7"/>
  <c r="J176" i="33"/>
  <c r="H176" i="7"/>
  <c r="J181" i="4"/>
  <c r="H181" i="5"/>
  <c r="J138" i="9"/>
  <c r="H138" i="10"/>
  <c r="H53" i="7"/>
  <c r="J53" i="33"/>
  <c r="J19" i="8"/>
  <c r="H19" i="9"/>
  <c r="H51" i="7"/>
  <c r="J51" i="33"/>
  <c r="H105" i="33"/>
  <c r="J105" i="5"/>
  <c r="H89" i="7"/>
  <c r="J89" i="33"/>
  <c r="H44" i="8"/>
  <c r="J44" i="7"/>
  <c r="H46" i="14"/>
  <c r="J46" i="13"/>
  <c r="J115" i="7"/>
  <c r="H115" i="8"/>
  <c r="J116" i="7"/>
  <c r="H116" i="8"/>
  <c r="J156" i="33"/>
  <c r="H156" i="7"/>
  <c r="H146" i="33"/>
  <c r="J146" i="5"/>
  <c r="J97" i="5"/>
  <c r="H97" i="33"/>
  <c r="H63" i="7"/>
  <c r="J63" i="33"/>
  <c r="J91" i="33"/>
  <c r="H91" i="7"/>
  <c r="H41" i="7"/>
  <c r="J41" i="33"/>
  <c r="J96" i="5"/>
  <c r="H96" i="33"/>
  <c r="J27" i="5"/>
  <c r="H27" i="33"/>
  <c r="J118" i="7"/>
  <c r="H118" i="8"/>
  <c r="H98" i="5"/>
  <c r="J98" i="4"/>
  <c r="J180" i="5"/>
  <c r="H180" i="33"/>
  <c r="J161" i="7"/>
  <c r="H161" i="8"/>
  <c r="J140" i="5"/>
  <c r="H140" i="33"/>
  <c r="H92" i="33"/>
  <c r="J92" i="5"/>
  <c r="H69" i="33"/>
  <c r="J69" i="5"/>
  <c r="J11" i="33"/>
  <c r="H11" i="7"/>
  <c r="J163" i="5"/>
  <c r="H163" i="33"/>
  <c r="J189" i="23"/>
  <c r="H189" i="24"/>
  <c r="H36" i="8"/>
  <c r="J36" i="7"/>
  <c r="BN35" i="1"/>
  <c r="H68" i="16"/>
  <c r="J68" i="15"/>
  <c r="H42" i="17"/>
  <c r="J42" i="16"/>
  <c r="H49" i="33"/>
  <c r="J49" i="5"/>
  <c r="H174" i="7"/>
  <c r="J174" i="33"/>
  <c r="H168" i="12"/>
  <c r="J168" i="11"/>
  <c r="H182" i="9"/>
  <c r="J182" i="8"/>
  <c r="BC37" i="44"/>
  <c r="BC36" i="44"/>
  <c r="H188" i="21"/>
  <c r="J188" i="20"/>
  <c r="J149" i="8"/>
  <c r="H149" i="9"/>
  <c r="J152" i="7"/>
  <c r="H152" i="8"/>
  <c r="J32" i="4"/>
  <c r="H32" i="5"/>
  <c r="J142" i="33"/>
  <c r="H142" i="7"/>
  <c r="H162" i="8"/>
  <c r="J162" i="7"/>
  <c r="H165" i="10"/>
  <c r="J165" i="9"/>
  <c r="J155" i="7"/>
  <c r="H155" i="8"/>
  <c r="J151" i="10"/>
  <c r="H151" i="11"/>
  <c r="H127" i="8"/>
  <c r="J127" i="7"/>
  <c r="J60" i="3"/>
  <c r="H60" i="4"/>
  <c r="J12" i="33"/>
  <c r="H12" i="7"/>
  <c r="H15" i="33"/>
  <c r="J15" i="5"/>
  <c r="I16" i="5" s="1"/>
  <c r="H130" i="9"/>
  <c r="J130" i="8"/>
  <c r="J112" i="8"/>
  <c r="H112" i="9"/>
  <c r="J158" i="8"/>
  <c r="H158" i="9"/>
  <c r="J150" i="12"/>
  <c r="H150" i="13"/>
  <c r="J134" i="33"/>
  <c r="H134" i="7"/>
  <c r="H47" i="5"/>
  <c r="J47" i="4"/>
  <c r="H131" i="8"/>
  <c r="J131" i="7"/>
  <c r="H175" i="8"/>
  <c r="J175" i="7"/>
  <c r="H189" i="7"/>
  <c r="J189" i="33"/>
  <c r="H143" i="8"/>
  <c r="J143" i="7"/>
  <c r="H59" i="33"/>
  <c r="J59" i="5"/>
  <c r="H23" i="7"/>
  <c r="J23" i="33"/>
  <c r="J28" i="5"/>
  <c r="H28" i="33"/>
  <c r="H177" i="9"/>
  <c r="J177" i="8"/>
  <c r="J95" i="7"/>
  <c r="H95" i="8"/>
  <c r="J157" i="8"/>
  <c r="H157" i="9"/>
  <c r="J113" i="33"/>
  <c r="H113" i="7"/>
  <c r="J10" i="33"/>
  <c r="H10" i="7"/>
  <c r="J186" i="5"/>
  <c r="H186" i="33"/>
  <c r="J119" i="8"/>
  <c r="H119" i="9"/>
  <c r="J145" i="7"/>
  <c r="H145" i="8"/>
  <c r="J8" i="9"/>
  <c r="H8" i="10"/>
  <c r="H87" i="8"/>
  <c r="J87" i="7"/>
  <c r="H166" i="40"/>
  <c r="J166" i="25"/>
  <c r="J148" i="33"/>
  <c r="H148" i="7"/>
  <c r="H167" i="13"/>
  <c r="J167" i="12"/>
  <c r="J30" i="7"/>
  <c r="H30" i="8"/>
  <c r="H184" i="9"/>
  <c r="J184" i="8"/>
  <c r="H67" i="33"/>
  <c r="J67" i="5"/>
  <c r="H183" i="9"/>
  <c r="J183" i="8"/>
  <c r="H94" i="8"/>
  <c r="J94" i="7"/>
  <c r="H187" i="7"/>
  <c r="J187" i="33"/>
  <c r="H9" i="7"/>
  <c r="J9" i="33"/>
  <c r="H84" i="9"/>
  <c r="J84" i="8"/>
  <c r="H40" i="33"/>
  <c r="J40" i="5"/>
  <c r="J166" i="10"/>
  <c r="H166" i="11"/>
  <c r="J144" i="7"/>
  <c r="H144" i="8"/>
  <c r="H135" i="5"/>
  <c r="J135" i="4"/>
  <c r="J78" i="5"/>
  <c r="H78" i="33"/>
  <c r="J13" i="5" l="1"/>
  <c r="H13" i="33"/>
  <c r="H71" i="33"/>
  <c r="J71" i="5"/>
  <c r="H77" i="8"/>
  <c r="J77" i="7"/>
  <c r="H173" i="7"/>
  <c r="J173" i="33"/>
  <c r="J168" i="27"/>
  <c r="H168" i="28"/>
  <c r="J39" i="7"/>
  <c r="H39" i="8"/>
  <c r="H18" i="10"/>
  <c r="J18" i="9"/>
  <c r="J185" i="7"/>
  <c r="H185" i="8"/>
  <c r="H55" i="8"/>
  <c r="J55" i="7"/>
  <c r="H45" i="12"/>
  <c r="J45" i="11"/>
  <c r="J56" i="7"/>
  <c r="H56" i="8"/>
  <c r="H20" i="7"/>
  <c r="J20" i="33"/>
  <c r="I20" i="33" s="1"/>
  <c r="J128" i="8"/>
  <c r="H128" i="9"/>
  <c r="J70" i="7"/>
  <c r="H70" i="8"/>
  <c r="H24" i="7"/>
  <c r="J24" i="33"/>
  <c r="H79" i="40"/>
  <c r="H79" i="27" s="1"/>
  <c r="H79" i="28" s="1"/>
  <c r="H79" i="29" s="1"/>
  <c r="H79" i="30" s="1"/>
  <c r="H79" i="43" s="1"/>
  <c r="H79" i="31" s="1"/>
  <c r="J76" i="8"/>
  <c r="H76" i="9"/>
  <c r="J101" i="7"/>
  <c r="H101" i="8"/>
  <c r="H102" i="8"/>
  <c r="J102" i="7"/>
  <c r="J52" i="19"/>
  <c r="H52" i="20"/>
  <c r="J117" i="7"/>
  <c r="H117" i="8"/>
  <c r="H139" i="8"/>
  <c r="J139" i="7"/>
  <c r="H123" i="8"/>
  <c r="J123" i="7"/>
  <c r="J85" i="7"/>
  <c r="H85" i="8"/>
  <c r="H121" i="8"/>
  <c r="J121" i="7"/>
  <c r="H100" i="8"/>
  <c r="J100" i="7"/>
  <c r="H57" i="8"/>
  <c r="J57" i="7"/>
  <c r="H147" i="8"/>
  <c r="J147" i="7"/>
  <c r="H86" i="9"/>
  <c r="J86" i="8"/>
  <c r="H164" i="10"/>
  <c r="J164" i="9"/>
  <c r="H122" i="9"/>
  <c r="J122" i="8"/>
  <c r="H29" i="9"/>
  <c r="J29" i="8"/>
  <c r="H54" i="9"/>
  <c r="J54" i="8"/>
  <c r="H129" i="9"/>
  <c r="J129" i="8"/>
  <c r="H50" i="9"/>
  <c r="J50" i="8"/>
  <c r="J90" i="8"/>
  <c r="H90" i="9"/>
  <c r="H38" i="8"/>
  <c r="J38" i="7"/>
  <c r="H43" i="8"/>
  <c r="J43" i="7"/>
  <c r="H35" i="9"/>
  <c r="J35" i="8"/>
  <c r="H74" i="8"/>
  <c r="J74" i="7"/>
  <c r="J179" i="7"/>
  <c r="H179" i="8"/>
  <c r="J7" i="9"/>
  <c r="I9" i="9" s="1"/>
  <c r="H7" i="10"/>
  <c r="H133" i="10"/>
  <c r="J133" i="9"/>
  <c r="H167" i="28"/>
  <c r="J167" i="27"/>
  <c r="H22" i="8"/>
  <c r="J22" i="7"/>
  <c r="J132" i="10"/>
  <c r="H132" i="11"/>
  <c r="J188" i="8"/>
  <c r="H188" i="9"/>
  <c r="H31" i="9"/>
  <c r="J31" i="8"/>
  <c r="H65" i="8"/>
  <c r="J65" i="7"/>
  <c r="H82" i="8"/>
  <c r="J82" i="7"/>
  <c r="J103" i="9"/>
  <c r="H103" i="10"/>
  <c r="H83" i="11"/>
  <c r="J83" i="10"/>
  <c r="H58" i="10"/>
  <c r="J58" i="9"/>
  <c r="J11" i="7"/>
  <c r="H11" i="8"/>
  <c r="H161" i="9"/>
  <c r="J161" i="8"/>
  <c r="J27" i="33"/>
  <c r="H27" i="7"/>
  <c r="H64" i="8"/>
  <c r="J64" i="7"/>
  <c r="H36" i="9"/>
  <c r="J36" i="8"/>
  <c r="H63" i="8"/>
  <c r="J63" i="7"/>
  <c r="H51" i="8"/>
  <c r="J51" i="7"/>
  <c r="J120" i="33"/>
  <c r="H120" i="7"/>
  <c r="J189" i="24"/>
  <c r="H189" i="25"/>
  <c r="J97" i="33"/>
  <c r="H97" i="7"/>
  <c r="J19" i="9"/>
  <c r="H19" i="10"/>
  <c r="J181" i="5"/>
  <c r="H181" i="33"/>
  <c r="J180" i="33"/>
  <c r="H180" i="7"/>
  <c r="H69" i="7"/>
  <c r="J69" i="33"/>
  <c r="J146" i="33"/>
  <c r="H146" i="7"/>
  <c r="H44" i="9"/>
  <c r="J44" i="8"/>
  <c r="H37" i="13"/>
  <c r="J37" i="12"/>
  <c r="H88" i="8"/>
  <c r="J88" i="7"/>
  <c r="H99" i="33"/>
  <c r="J99" i="5"/>
  <c r="J96" i="33"/>
  <c r="H96" i="7"/>
  <c r="H163" i="7"/>
  <c r="J163" i="33"/>
  <c r="J156" i="7"/>
  <c r="H156" i="8"/>
  <c r="J115" i="8"/>
  <c r="H115" i="9"/>
  <c r="J176" i="7"/>
  <c r="H176" i="8"/>
  <c r="H92" i="7"/>
  <c r="J92" i="33"/>
  <c r="H98" i="33"/>
  <c r="J98" i="5"/>
  <c r="H41" i="8"/>
  <c r="J41" i="7"/>
  <c r="H89" i="8"/>
  <c r="J89" i="7"/>
  <c r="H53" i="8"/>
  <c r="J53" i="7"/>
  <c r="H62" i="7"/>
  <c r="J62" i="33"/>
  <c r="H66" i="9"/>
  <c r="J66" i="8"/>
  <c r="J141" i="33"/>
  <c r="H141" i="7"/>
  <c r="J140" i="33"/>
  <c r="H140" i="7"/>
  <c r="H118" i="9"/>
  <c r="J118" i="8"/>
  <c r="H91" i="8"/>
  <c r="J91" i="7"/>
  <c r="J116" i="8"/>
  <c r="H116" i="9"/>
  <c r="H138" i="11"/>
  <c r="J138" i="10"/>
  <c r="H114" i="8"/>
  <c r="J114" i="7"/>
  <c r="H46" i="15"/>
  <c r="J46" i="14"/>
  <c r="H105" i="7"/>
  <c r="J105" i="33"/>
  <c r="J178" i="33"/>
  <c r="H178" i="7"/>
  <c r="H75" i="9"/>
  <c r="J75" i="8"/>
  <c r="H104" i="7"/>
  <c r="J104" i="33"/>
  <c r="H68" i="17"/>
  <c r="J68" i="16"/>
  <c r="H42" i="18"/>
  <c r="J42" i="17"/>
  <c r="H189" i="8"/>
  <c r="J189" i="7"/>
  <c r="J166" i="11"/>
  <c r="H166" i="12"/>
  <c r="J148" i="7"/>
  <c r="H148" i="8"/>
  <c r="J113" i="7"/>
  <c r="H113" i="8"/>
  <c r="J95" i="8"/>
  <c r="H95" i="9"/>
  <c r="J150" i="13"/>
  <c r="H150" i="14"/>
  <c r="J60" i="4"/>
  <c r="H60" i="5"/>
  <c r="J32" i="5"/>
  <c r="H32" i="33"/>
  <c r="H94" i="9"/>
  <c r="J94" i="8"/>
  <c r="H184" i="10"/>
  <c r="J184" i="9"/>
  <c r="H23" i="8"/>
  <c r="J23" i="7"/>
  <c r="H165" i="11"/>
  <c r="J165" i="10"/>
  <c r="J162" i="8"/>
  <c r="H162" i="9"/>
  <c r="H188" i="22"/>
  <c r="J188" i="21"/>
  <c r="H182" i="10"/>
  <c r="J182" i="9"/>
  <c r="H49" i="7"/>
  <c r="J49" i="33"/>
  <c r="J30" i="8"/>
  <c r="H30" i="9"/>
  <c r="J145" i="8"/>
  <c r="H145" i="9"/>
  <c r="J152" i="8"/>
  <c r="H152" i="9"/>
  <c r="H84" i="10"/>
  <c r="J84" i="9"/>
  <c r="H127" i="9"/>
  <c r="J127" i="8"/>
  <c r="H47" i="33"/>
  <c r="J47" i="5"/>
  <c r="H15" i="7"/>
  <c r="J15" i="33"/>
  <c r="I16" i="33" s="1"/>
  <c r="J135" i="5"/>
  <c r="H135" i="33"/>
  <c r="H177" i="10"/>
  <c r="J177" i="9"/>
  <c r="J130" i="9"/>
  <c r="H130" i="10"/>
  <c r="H119" i="10"/>
  <c r="J119" i="9"/>
  <c r="J183" i="9"/>
  <c r="H183" i="10"/>
  <c r="H87" i="9"/>
  <c r="J87" i="8"/>
  <c r="H59" i="7"/>
  <c r="J59" i="33"/>
  <c r="H175" i="9"/>
  <c r="J175" i="8"/>
  <c r="H28" i="7"/>
  <c r="J28" i="33"/>
  <c r="H112" i="10"/>
  <c r="J112" i="9"/>
  <c r="J151" i="11"/>
  <c r="H151" i="12"/>
  <c r="J155" i="8"/>
  <c r="H155" i="9"/>
  <c r="H9" i="8"/>
  <c r="J9" i="7"/>
  <c r="H67" i="7"/>
  <c r="J67" i="33"/>
  <c r="H167" i="14"/>
  <c r="J167" i="13"/>
  <c r="H166" i="27"/>
  <c r="J166" i="40"/>
  <c r="J143" i="8"/>
  <c r="H143" i="9"/>
  <c r="H78" i="7"/>
  <c r="J78" i="33"/>
  <c r="H144" i="9"/>
  <c r="J144" i="8"/>
  <c r="J8" i="10"/>
  <c r="H8" i="11"/>
  <c r="J186" i="33"/>
  <c r="H186" i="7"/>
  <c r="H10" i="8"/>
  <c r="J10" i="7"/>
  <c r="J157" i="9"/>
  <c r="H157" i="10"/>
  <c r="H134" i="8"/>
  <c r="J134" i="7"/>
  <c r="J158" i="9"/>
  <c r="H158" i="10"/>
  <c r="J12" i="7"/>
  <c r="H12" i="8"/>
  <c r="H142" i="8"/>
  <c r="J142" i="7"/>
  <c r="H149" i="10"/>
  <c r="J149" i="9"/>
  <c r="H168" i="13"/>
  <c r="J168" i="12"/>
  <c r="J174" i="7"/>
  <c r="H174" i="8"/>
  <c r="H40" i="7"/>
  <c r="J40" i="33"/>
  <c r="H131" i="9"/>
  <c r="J131" i="8"/>
  <c r="J187" i="7"/>
  <c r="H187" i="8"/>
  <c r="H20" i="8" l="1"/>
  <c r="J20" i="7"/>
  <c r="I20" i="7" s="1"/>
  <c r="H173" i="8"/>
  <c r="J173" i="7"/>
  <c r="H56" i="9"/>
  <c r="J56" i="8"/>
  <c r="H24" i="8"/>
  <c r="J24" i="7"/>
  <c r="H18" i="11"/>
  <c r="J18" i="10"/>
  <c r="H77" i="9"/>
  <c r="J77" i="8"/>
  <c r="H70" i="9"/>
  <c r="J70" i="8"/>
  <c r="H39" i="9"/>
  <c r="J39" i="8"/>
  <c r="H185" i="9"/>
  <c r="J185" i="8"/>
  <c r="H45" i="13"/>
  <c r="J45" i="12"/>
  <c r="H71" i="7"/>
  <c r="J71" i="33"/>
  <c r="J128" i="9"/>
  <c r="H128" i="10"/>
  <c r="H168" i="29"/>
  <c r="J168" i="28"/>
  <c r="H13" i="7"/>
  <c r="J13" i="33"/>
  <c r="H55" i="9"/>
  <c r="J55" i="8"/>
  <c r="H35" i="10"/>
  <c r="J35" i="9"/>
  <c r="H38" i="9"/>
  <c r="J38" i="8"/>
  <c r="H50" i="10"/>
  <c r="J50" i="9"/>
  <c r="H54" i="10"/>
  <c r="J54" i="9"/>
  <c r="H29" i="10"/>
  <c r="J29" i="9"/>
  <c r="H164" i="11"/>
  <c r="J164" i="10"/>
  <c r="J147" i="8"/>
  <c r="H147" i="9"/>
  <c r="H100" i="9"/>
  <c r="J100" i="8"/>
  <c r="J139" i="8"/>
  <c r="H139" i="9"/>
  <c r="J102" i="8"/>
  <c r="H102" i="9"/>
  <c r="J179" i="8"/>
  <c r="H179" i="9"/>
  <c r="H85" i="9"/>
  <c r="J85" i="8"/>
  <c r="H76" i="10"/>
  <c r="J76" i="9"/>
  <c r="H74" i="9"/>
  <c r="J74" i="8"/>
  <c r="H43" i="9"/>
  <c r="J43" i="8"/>
  <c r="J129" i="9"/>
  <c r="H129" i="10"/>
  <c r="J122" i="9"/>
  <c r="H122" i="10"/>
  <c r="H86" i="10"/>
  <c r="J86" i="9"/>
  <c r="H57" i="9"/>
  <c r="J57" i="8"/>
  <c r="J121" i="8"/>
  <c r="H121" i="9"/>
  <c r="J123" i="8"/>
  <c r="H123" i="9"/>
  <c r="J7" i="10"/>
  <c r="I9" i="10" s="1"/>
  <c r="H7" i="11"/>
  <c r="J90" i="9"/>
  <c r="H90" i="10"/>
  <c r="H117" i="9"/>
  <c r="J117" i="8"/>
  <c r="H52" i="21"/>
  <c r="J52" i="20"/>
  <c r="H101" i="9"/>
  <c r="J101" i="8"/>
  <c r="J133" i="10"/>
  <c r="H133" i="11"/>
  <c r="J188" i="9"/>
  <c r="H188" i="10"/>
  <c r="J103" i="10"/>
  <c r="H103" i="11"/>
  <c r="J132" i="11"/>
  <c r="H132" i="12"/>
  <c r="H58" i="11"/>
  <c r="J58" i="10"/>
  <c r="H82" i="9"/>
  <c r="J82" i="8"/>
  <c r="H83" i="12"/>
  <c r="J83" i="11"/>
  <c r="H65" i="9"/>
  <c r="J65" i="8"/>
  <c r="H22" i="9"/>
  <c r="J22" i="8"/>
  <c r="H31" i="10"/>
  <c r="J31" i="9"/>
  <c r="H167" i="29"/>
  <c r="J167" i="28"/>
  <c r="H140" i="8"/>
  <c r="J140" i="7"/>
  <c r="J156" i="8"/>
  <c r="H156" i="9"/>
  <c r="H146" i="8"/>
  <c r="J146" i="7"/>
  <c r="J19" i="10"/>
  <c r="H19" i="11"/>
  <c r="H104" i="8"/>
  <c r="J104" i="7"/>
  <c r="H46" i="16"/>
  <c r="J46" i="15"/>
  <c r="J138" i="11"/>
  <c r="H138" i="12"/>
  <c r="H53" i="9"/>
  <c r="J53" i="8"/>
  <c r="H98" i="7"/>
  <c r="J98" i="33"/>
  <c r="H88" i="9"/>
  <c r="J88" i="8"/>
  <c r="H64" i="9"/>
  <c r="J64" i="8"/>
  <c r="J116" i="9"/>
  <c r="H116" i="10"/>
  <c r="H141" i="8"/>
  <c r="J141" i="7"/>
  <c r="J97" i="7"/>
  <c r="H97" i="8"/>
  <c r="H27" i="8"/>
  <c r="J27" i="7"/>
  <c r="H75" i="10"/>
  <c r="J75" i="9"/>
  <c r="H89" i="9"/>
  <c r="J89" i="8"/>
  <c r="H92" i="8"/>
  <c r="J92" i="7"/>
  <c r="J163" i="7"/>
  <c r="H163" i="8"/>
  <c r="H37" i="14"/>
  <c r="J37" i="13"/>
  <c r="H69" i="8"/>
  <c r="J69" i="7"/>
  <c r="H51" i="9"/>
  <c r="J51" i="8"/>
  <c r="H63" i="9"/>
  <c r="J63" i="8"/>
  <c r="J178" i="7"/>
  <c r="H178" i="8"/>
  <c r="H176" i="9"/>
  <c r="J176" i="8"/>
  <c r="H96" i="8"/>
  <c r="J96" i="7"/>
  <c r="H180" i="8"/>
  <c r="J180" i="7"/>
  <c r="J189" i="25"/>
  <c r="H189" i="40"/>
  <c r="H91" i="9"/>
  <c r="J91" i="8"/>
  <c r="H66" i="10"/>
  <c r="J66" i="9"/>
  <c r="H44" i="10"/>
  <c r="J44" i="9"/>
  <c r="H36" i="10"/>
  <c r="J36" i="9"/>
  <c r="H161" i="10"/>
  <c r="J161" i="9"/>
  <c r="J115" i="9"/>
  <c r="H115" i="10"/>
  <c r="H181" i="7"/>
  <c r="J181" i="33"/>
  <c r="H120" i="8"/>
  <c r="J120" i="7"/>
  <c r="H11" i="9"/>
  <c r="J11" i="8"/>
  <c r="H105" i="8"/>
  <c r="J105" i="7"/>
  <c r="H114" i="9"/>
  <c r="J114" i="8"/>
  <c r="J118" i="9"/>
  <c r="H118" i="10"/>
  <c r="H62" i="8"/>
  <c r="J62" i="7"/>
  <c r="H41" i="9"/>
  <c r="J41" i="8"/>
  <c r="J99" i="33"/>
  <c r="H99" i="7"/>
  <c r="H68" i="18"/>
  <c r="J68" i="17"/>
  <c r="H42" i="19"/>
  <c r="J42" i="18"/>
  <c r="J142" i="8"/>
  <c r="H142" i="9"/>
  <c r="H134" i="9"/>
  <c r="J134" i="8"/>
  <c r="H67" i="8"/>
  <c r="J67" i="7"/>
  <c r="H112" i="11"/>
  <c r="J112" i="10"/>
  <c r="H84" i="11"/>
  <c r="J84" i="10"/>
  <c r="J174" i="8"/>
  <c r="H174" i="9"/>
  <c r="H155" i="10"/>
  <c r="J155" i="9"/>
  <c r="J95" i="9"/>
  <c r="H95" i="10"/>
  <c r="H131" i="10"/>
  <c r="J131" i="9"/>
  <c r="J149" i="10"/>
  <c r="H149" i="11"/>
  <c r="H78" i="8"/>
  <c r="J78" i="7"/>
  <c r="H9" i="9"/>
  <c r="J9" i="8"/>
  <c r="H175" i="10"/>
  <c r="J175" i="9"/>
  <c r="J177" i="10"/>
  <c r="H177" i="11"/>
  <c r="H47" i="7"/>
  <c r="J47" i="33"/>
  <c r="H189" i="9"/>
  <c r="J189" i="8"/>
  <c r="J187" i="8"/>
  <c r="H187" i="9"/>
  <c r="J8" i="11"/>
  <c r="H8" i="12"/>
  <c r="H143" i="10"/>
  <c r="J143" i="9"/>
  <c r="H151" i="13"/>
  <c r="J151" i="12"/>
  <c r="J135" i="33"/>
  <c r="H135" i="7"/>
  <c r="H152" i="10"/>
  <c r="J152" i="9"/>
  <c r="J60" i="5"/>
  <c r="H60" i="33"/>
  <c r="J113" i="8"/>
  <c r="H113" i="9"/>
  <c r="H59" i="8"/>
  <c r="J59" i="7"/>
  <c r="H166" i="28"/>
  <c r="J166" i="27"/>
  <c r="J165" i="11"/>
  <c r="H165" i="12"/>
  <c r="H148" i="9"/>
  <c r="J148" i="8"/>
  <c r="H119" i="11"/>
  <c r="J119" i="10"/>
  <c r="H49" i="8"/>
  <c r="J49" i="7"/>
  <c r="J158" i="10"/>
  <c r="H158" i="11"/>
  <c r="J157" i="10"/>
  <c r="H157" i="11"/>
  <c r="J145" i="9"/>
  <c r="H145" i="10"/>
  <c r="H167" i="15"/>
  <c r="J167" i="14"/>
  <c r="J127" i="9"/>
  <c r="H127" i="10"/>
  <c r="J182" i="10"/>
  <c r="H182" i="11"/>
  <c r="H23" i="9"/>
  <c r="J23" i="8"/>
  <c r="H184" i="11"/>
  <c r="J184" i="10"/>
  <c r="H130" i="11"/>
  <c r="J130" i="10"/>
  <c r="J30" i="9"/>
  <c r="H30" i="10"/>
  <c r="J32" i="33"/>
  <c r="H32" i="7"/>
  <c r="H166" i="13"/>
  <c r="J166" i="12"/>
  <c r="H40" i="8"/>
  <c r="J40" i="7"/>
  <c r="H10" i="9"/>
  <c r="J10" i="8"/>
  <c r="H28" i="8"/>
  <c r="J28" i="7"/>
  <c r="H15" i="8"/>
  <c r="J15" i="7"/>
  <c r="I16" i="7" s="1"/>
  <c r="J188" i="22"/>
  <c r="H188" i="23"/>
  <c r="J94" i="9"/>
  <c r="H94" i="10"/>
  <c r="J186" i="7"/>
  <c r="H186" i="8"/>
  <c r="J183" i="10"/>
  <c r="H183" i="11"/>
  <c r="H162" i="10"/>
  <c r="J162" i="9"/>
  <c r="H150" i="15"/>
  <c r="J150" i="14"/>
  <c r="H168" i="14"/>
  <c r="J168" i="13"/>
  <c r="J144" i="9"/>
  <c r="H144" i="10"/>
  <c r="H87" i="10"/>
  <c r="J87" i="9"/>
  <c r="H12" i="9"/>
  <c r="J12" i="8"/>
  <c r="J128" i="10" l="1"/>
  <c r="H128" i="11"/>
  <c r="H39" i="10"/>
  <c r="J39" i="9"/>
  <c r="H24" i="9"/>
  <c r="J24" i="8"/>
  <c r="H55" i="10"/>
  <c r="J55" i="9"/>
  <c r="H71" i="8"/>
  <c r="J71" i="7"/>
  <c r="H70" i="10"/>
  <c r="J70" i="9"/>
  <c r="J56" i="9"/>
  <c r="H56" i="10"/>
  <c r="J13" i="7"/>
  <c r="H13" i="8"/>
  <c r="J45" i="13"/>
  <c r="H45" i="14"/>
  <c r="J77" i="9"/>
  <c r="H77" i="10"/>
  <c r="H173" i="9"/>
  <c r="J173" i="8"/>
  <c r="J168" i="29"/>
  <c r="H168" i="30"/>
  <c r="H185" i="10"/>
  <c r="J185" i="9"/>
  <c r="H18" i="12"/>
  <c r="J18" i="11"/>
  <c r="J20" i="8"/>
  <c r="I20" i="8" s="1"/>
  <c r="H20" i="9"/>
  <c r="J52" i="21"/>
  <c r="H52" i="22"/>
  <c r="H57" i="10"/>
  <c r="J57" i="9"/>
  <c r="J74" i="9"/>
  <c r="H74" i="10"/>
  <c r="J85" i="9"/>
  <c r="H85" i="10"/>
  <c r="H29" i="11"/>
  <c r="J29" i="10"/>
  <c r="H50" i="11"/>
  <c r="J50" i="10"/>
  <c r="H35" i="11"/>
  <c r="J35" i="10"/>
  <c r="J90" i="10"/>
  <c r="H90" i="11"/>
  <c r="J123" i="9"/>
  <c r="H123" i="10"/>
  <c r="J122" i="10"/>
  <c r="H122" i="11"/>
  <c r="J129" i="10"/>
  <c r="H129" i="11"/>
  <c r="J102" i="9"/>
  <c r="H102" i="10"/>
  <c r="J139" i="9"/>
  <c r="H139" i="10"/>
  <c r="H147" i="10"/>
  <c r="J147" i="9"/>
  <c r="H101" i="10"/>
  <c r="J101" i="9"/>
  <c r="J117" i="9"/>
  <c r="H117" i="10"/>
  <c r="J86" i="10"/>
  <c r="H86" i="11"/>
  <c r="H43" i="10"/>
  <c r="J43" i="9"/>
  <c r="J76" i="10"/>
  <c r="H76" i="11"/>
  <c r="J100" i="9"/>
  <c r="H100" i="10"/>
  <c r="H164" i="12"/>
  <c r="J164" i="11"/>
  <c r="H54" i="11"/>
  <c r="J54" i="10"/>
  <c r="J38" i="9"/>
  <c r="H38" i="10"/>
  <c r="J7" i="11"/>
  <c r="I9" i="11" s="1"/>
  <c r="H7" i="12"/>
  <c r="H121" i="10"/>
  <c r="J121" i="9"/>
  <c r="J179" i="9"/>
  <c r="H179" i="10"/>
  <c r="H133" i="12"/>
  <c r="J133" i="11"/>
  <c r="H22" i="10"/>
  <c r="J22" i="9"/>
  <c r="J58" i="11"/>
  <c r="H58" i="12"/>
  <c r="J132" i="12"/>
  <c r="H132" i="13"/>
  <c r="H167" i="30"/>
  <c r="J167" i="29"/>
  <c r="J65" i="9"/>
  <c r="H65" i="10"/>
  <c r="J103" i="11"/>
  <c r="H103" i="12"/>
  <c r="H31" i="11"/>
  <c r="J31" i="10"/>
  <c r="H83" i="13"/>
  <c r="J83" i="12"/>
  <c r="J188" i="10"/>
  <c r="H188" i="11"/>
  <c r="J82" i="9"/>
  <c r="H82" i="10"/>
  <c r="J115" i="10"/>
  <c r="H115" i="11"/>
  <c r="J97" i="8"/>
  <c r="H97" i="9"/>
  <c r="J19" i="11"/>
  <c r="H19" i="12"/>
  <c r="H41" i="10"/>
  <c r="J41" i="9"/>
  <c r="H105" i="9"/>
  <c r="J105" i="8"/>
  <c r="J176" i="9"/>
  <c r="H176" i="10"/>
  <c r="H69" i="9"/>
  <c r="J69" i="8"/>
  <c r="H89" i="10"/>
  <c r="J89" i="9"/>
  <c r="J53" i="9"/>
  <c r="H53" i="10"/>
  <c r="J189" i="40"/>
  <c r="H189" i="27"/>
  <c r="H178" i="9"/>
  <c r="J178" i="8"/>
  <c r="H138" i="13"/>
  <c r="J138" i="12"/>
  <c r="H62" i="9"/>
  <c r="J62" i="8"/>
  <c r="H11" i="10"/>
  <c r="J11" i="9"/>
  <c r="H161" i="11"/>
  <c r="J161" i="10"/>
  <c r="H66" i="11"/>
  <c r="J66" i="10"/>
  <c r="H37" i="15"/>
  <c r="J37" i="14"/>
  <c r="J141" i="8"/>
  <c r="H141" i="9"/>
  <c r="J146" i="8"/>
  <c r="H146" i="9"/>
  <c r="J118" i="10"/>
  <c r="H118" i="11"/>
  <c r="H163" i="9"/>
  <c r="J163" i="8"/>
  <c r="H116" i="11"/>
  <c r="J116" i="10"/>
  <c r="H156" i="10"/>
  <c r="J156" i="9"/>
  <c r="H120" i="9"/>
  <c r="J120" i="8"/>
  <c r="H36" i="11"/>
  <c r="J36" i="10"/>
  <c r="H91" i="10"/>
  <c r="J91" i="9"/>
  <c r="H180" i="9"/>
  <c r="J180" i="8"/>
  <c r="H63" i="10"/>
  <c r="J63" i="9"/>
  <c r="J75" i="10"/>
  <c r="H75" i="11"/>
  <c r="H88" i="10"/>
  <c r="J88" i="9"/>
  <c r="H46" i="17"/>
  <c r="J46" i="16"/>
  <c r="H99" i="8"/>
  <c r="J99" i="7"/>
  <c r="H114" i="10"/>
  <c r="J114" i="9"/>
  <c r="J181" i="7"/>
  <c r="H181" i="8"/>
  <c r="H44" i="11"/>
  <c r="J44" i="10"/>
  <c r="H96" i="9"/>
  <c r="J96" i="8"/>
  <c r="H51" i="10"/>
  <c r="J51" i="9"/>
  <c r="H92" i="9"/>
  <c r="J92" i="8"/>
  <c r="J27" i="8"/>
  <c r="H27" i="9"/>
  <c r="H64" i="10"/>
  <c r="J64" i="9"/>
  <c r="J98" i="7"/>
  <c r="H98" i="8"/>
  <c r="J104" i="8"/>
  <c r="H104" i="9"/>
  <c r="J140" i="8"/>
  <c r="H140" i="9"/>
  <c r="H68" i="19"/>
  <c r="J68" i="18"/>
  <c r="H42" i="20"/>
  <c r="J42" i="19"/>
  <c r="J184" i="11"/>
  <c r="H184" i="12"/>
  <c r="J127" i="10"/>
  <c r="H127" i="11"/>
  <c r="J145" i="10"/>
  <c r="H145" i="11"/>
  <c r="J60" i="33"/>
  <c r="H60" i="7"/>
  <c r="J177" i="11"/>
  <c r="H177" i="12"/>
  <c r="J95" i="10"/>
  <c r="H95" i="11"/>
  <c r="J174" i="9"/>
  <c r="H174" i="10"/>
  <c r="H87" i="11"/>
  <c r="J87" i="10"/>
  <c r="H168" i="15"/>
  <c r="J168" i="14"/>
  <c r="J28" i="8"/>
  <c r="H28" i="9"/>
  <c r="H40" i="9"/>
  <c r="J40" i="8"/>
  <c r="H130" i="12"/>
  <c r="J130" i="11"/>
  <c r="H23" i="10"/>
  <c r="J23" i="9"/>
  <c r="H49" i="9"/>
  <c r="J49" i="8"/>
  <c r="H166" i="29"/>
  <c r="J166" i="28"/>
  <c r="H152" i="11"/>
  <c r="J152" i="10"/>
  <c r="J151" i="13"/>
  <c r="H151" i="14"/>
  <c r="H67" i="9"/>
  <c r="J67" i="8"/>
  <c r="H188" i="24"/>
  <c r="J188" i="23"/>
  <c r="H32" i="8"/>
  <c r="J32" i="7"/>
  <c r="J187" i="9"/>
  <c r="H187" i="10"/>
  <c r="H149" i="12"/>
  <c r="J149" i="11"/>
  <c r="H59" i="9"/>
  <c r="J59" i="8"/>
  <c r="J143" i="10"/>
  <c r="H143" i="11"/>
  <c r="J175" i="10"/>
  <c r="H175" i="11"/>
  <c r="J150" i="15"/>
  <c r="H150" i="16"/>
  <c r="H119" i="12"/>
  <c r="J119" i="11"/>
  <c r="H113" i="10"/>
  <c r="J113" i="9"/>
  <c r="H144" i="11"/>
  <c r="J144" i="10"/>
  <c r="J183" i="11"/>
  <c r="H183" i="12"/>
  <c r="H30" i="11"/>
  <c r="J30" i="10"/>
  <c r="H12" i="10"/>
  <c r="J12" i="9"/>
  <c r="H148" i="10"/>
  <c r="J148" i="9"/>
  <c r="J182" i="11"/>
  <c r="H182" i="12"/>
  <c r="J158" i="11"/>
  <c r="H158" i="12"/>
  <c r="J135" i="7"/>
  <c r="H135" i="8"/>
  <c r="H8" i="13"/>
  <c r="J8" i="12"/>
  <c r="H10" i="10"/>
  <c r="J10" i="9"/>
  <c r="J166" i="13"/>
  <c r="H166" i="14"/>
  <c r="J189" i="9"/>
  <c r="H189" i="10"/>
  <c r="H84" i="12"/>
  <c r="J84" i="11"/>
  <c r="H134" i="10"/>
  <c r="J134" i="9"/>
  <c r="J186" i="8"/>
  <c r="H186" i="9"/>
  <c r="J157" i="11"/>
  <c r="H157" i="12"/>
  <c r="H165" i="13"/>
  <c r="J165" i="12"/>
  <c r="H142" i="10"/>
  <c r="J142" i="9"/>
  <c r="J47" i="7"/>
  <c r="H47" i="8"/>
  <c r="J9" i="9"/>
  <c r="H9" i="10"/>
  <c r="H78" i="9"/>
  <c r="J78" i="8"/>
  <c r="H131" i="11"/>
  <c r="J131" i="10"/>
  <c r="J155" i="10"/>
  <c r="H155" i="11"/>
  <c r="J112" i="11"/>
  <c r="H112" i="12"/>
  <c r="H162" i="11"/>
  <c r="J162" i="10"/>
  <c r="H167" i="16"/>
  <c r="J167" i="15"/>
  <c r="H94" i="11"/>
  <c r="J94" i="10"/>
  <c r="J15" i="8"/>
  <c r="I16" i="8" s="1"/>
  <c r="H15" i="9"/>
  <c r="H168" i="43" l="1"/>
  <c r="J168" i="30"/>
  <c r="H13" i="9"/>
  <c r="J13" i="8"/>
  <c r="H55" i="11"/>
  <c r="J55" i="10"/>
  <c r="H20" i="10"/>
  <c r="J20" i="9"/>
  <c r="I20" i="9" s="1"/>
  <c r="H56" i="11"/>
  <c r="J56" i="10"/>
  <c r="H173" i="10"/>
  <c r="J173" i="9"/>
  <c r="H24" i="10"/>
  <c r="J24" i="9"/>
  <c r="H77" i="11"/>
  <c r="J77" i="10"/>
  <c r="J18" i="12"/>
  <c r="H18" i="13"/>
  <c r="H70" i="11"/>
  <c r="J70" i="10"/>
  <c r="H39" i="11"/>
  <c r="J39" i="10"/>
  <c r="J45" i="14"/>
  <c r="H45" i="15"/>
  <c r="H128" i="12"/>
  <c r="J128" i="11"/>
  <c r="H185" i="11"/>
  <c r="J185" i="10"/>
  <c r="J71" i="8"/>
  <c r="H71" i="9"/>
  <c r="H121" i="11"/>
  <c r="J121" i="10"/>
  <c r="H164" i="13"/>
  <c r="J164" i="12"/>
  <c r="H43" i="11"/>
  <c r="J43" i="10"/>
  <c r="J101" i="10"/>
  <c r="H101" i="11"/>
  <c r="H35" i="12"/>
  <c r="J35" i="11"/>
  <c r="H29" i="12"/>
  <c r="J29" i="11"/>
  <c r="J38" i="10"/>
  <c r="H38" i="11"/>
  <c r="J86" i="11"/>
  <c r="H86" i="12"/>
  <c r="H139" i="11"/>
  <c r="J139" i="10"/>
  <c r="J129" i="11"/>
  <c r="H129" i="12"/>
  <c r="J123" i="10"/>
  <c r="H123" i="11"/>
  <c r="J74" i="10"/>
  <c r="H74" i="11"/>
  <c r="H52" i="23"/>
  <c r="J52" i="22"/>
  <c r="H54" i="12"/>
  <c r="J54" i="11"/>
  <c r="H147" i="11"/>
  <c r="J147" i="10"/>
  <c r="H50" i="12"/>
  <c r="J50" i="11"/>
  <c r="H57" i="11"/>
  <c r="J57" i="10"/>
  <c r="J179" i="10"/>
  <c r="H179" i="11"/>
  <c r="H7" i="13"/>
  <c r="J7" i="12"/>
  <c r="I9" i="12" s="1"/>
  <c r="J100" i="10"/>
  <c r="H100" i="11"/>
  <c r="J76" i="11"/>
  <c r="H76" i="12"/>
  <c r="J117" i="10"/>
  <c r="H117" i="11"/>
  <c r="H102" i="11"/>
  <c r="J102" i="10"/>
  <c r="H122" i="12"/>
  <c r="J122" i="11"/>
  <c r="J90" i="11"/>
  <c r="H90" i="12"/>
  <c r="H85" i="11"/>
  <c r="J85" i="10"/>
  <c r="J133" i="12"/>
  <c r="H133" i="13"/>
  <c r="H83" i="14"/>
  <c r="J83" i="13"/>
  <c r="H167" i="43"/>
  <c r="J167" i="30"/>
  <c r="H82" i="11"/>
  <c r="J82" i="10"/>
  <c r="J132" i="13"/>
  <c r="H132" i="14"/>
  <c r="J31" i="11"/>
  <c r="H31" i="12"/>
  <c r="J103" i="12"/>
  <c r="H103" i="13"/>
  <c r="J58" i="12"/>
  <c r="H58" i="13"/>
  <c r="J188" i="11"/>
  <c r="H188" i="12"/>
  <c r="J65" i="10"/>
  <c r="H65" i="11"/>
  <c r="H22" i="11"/>
  <c r="J22" i="10"/>
  <c r="J118" i="11"/>
  <c r="H118" i="12"/>
  <c r="H53" i="11"/>
  <c r="J53" i="10"/>
  <c r="J19" i="12"/>
  <c r="H19" i="13"/>
  <c r="H99" i="9"/>
  <c r="J99" i="8"/>
  <c r="H63" i="11"/>
  <c r="J63" i="10"/>
  <c r="H120" i="10"/>
  <c r="J120" i="9"/>
  <c r="J11" i="10"/>
  <c r="H11" i="11"/>
  <c r="H104" i="10"/>
  <c r="J104" i="9"/>
  <c r="J27" i="9"/>
  <c r="H27" i="10"/>
  <c r="H92" i="10"/>
  <c r="J92" i="9"/>
  <c r="H44" i="12"/>
  <c r="J44" i="11"/>
  <c r="H46" i="18"/>
  <c r="J46" i="17"/>
  <c r="H180" i="10"/>
  <c r="J180" i="9"/>
  <c r="J156" i="10"/>
  <c r="H156" i="11"/>
  <c r="H37" i="16"/>
  <c r="J37" i="15"/>
  <c r="H62" i="10"/>
  <c r="J62" i="9"/>
  <c r="H178" i="10"/>
  <c r="J178" i="9"/>
  <c r="H89" i="11"/>
  <c r="J89" i="10"/>
  <c r="J140" i="9"/>
  <c r="H140" i="10"/>
  <c r="J98" i="8"/>
  <c r="H98" i="9"/>
  <c r="H181" i="9"/>
  <c r="J181" i="8"/>
  <c r="H146" i="10"/>
  <c r="J146" i="9"/>
  <c r="H189" i="28"/>
  <c r="J189" i="27"/>
  <c r="H97" i="10"/>
  <c r="J97" i="9"/>
  <c r="H51" i="11"/>
  <c r="J51" i="10"/>
  <c r="H88" i="11"/>
  <c r="J88" i="10"/>
  <c r="H91" i="11"/>
  <c r="J91" i="10"/>
  <c r="H116" i="12"/>
  <c r="J116" i="11"/>
  <c r="H66" i="12"/>
  <c r="J66" i="11"/>
  <c r="H69" i="10"/>
  <c r="J69" i="9"/>
  <c r="J105" i="9"/>
  <c r="H105" i="10"/>
  <c r="H75" i="12"/>
  <c r="J75" i="11"/>
  <c r="H141" i="10"/>
  <c r="J141" i="9"/>
  <c r="H176" i="11"/>
  <c r="J176" i="10"/>
  <c r="J115" i="11"/>
  <c r="H115" i="12"/>
  <c r="J64" i="10"/>
  <c r="H64" i="11"/>
  <c r="H96" i="10"/>
  <c r="J96" i="9"/>
  <c r="H114" i="11"/>
  <c r="J114" i="10"/>
  <c r="J36" i="11"/>
  <c r="H36" i="12"/>
  <c r="J163" i="9"/>
  <c r="H163" i="10"/>
  <c r="J161" i="11"/>
  <c r="H161" i="12"/>
  <c r="H138" i="14"/>
  <c r="J138" i="13"/>
  <c r="H41" i="11"/>
  <c r="J41" i="10"/>
  <c r="H68" i="20"/>
  <c r="J68" i="19"/>
  <c r="H42" i="21"/>
  <c r="J42" i="20"/>
  <c r="J15" i="9"/>
  <c r="I16" i="9" s="1"/>
  <c r="H15" i="10"/>
  <c r="J157" i="12"/>
  <c r="H157" i="13"/>
  <c r="H145" i="12"/>
  <c r="J145" i="11"/>
  <c r="J167" i="16"/>
  <c r="H167" i="17"/>
  <c r="J167" i="17" s="1"/>
  <c r="J131" i="11"/>
  <c r="H131" i="12"/>
  <c r="H84" i="13"/>
  <c r="J84" i="12"/>
  <c r="H10" i="11"/>
  <c r="J10" i="10"/>
  <c r="J148" i="10"/>
  <c r="H148" i="11"/>
  <c r="J30" i="11"/>
  <c r="H30" i="12"/>
  <c r="H168" i="16"/>
  <c r="J168" i="15"/>
  <c r="J158" i="12"/>
  <c r="H158" i="13"/>
  <c r="J183" i="12"/>
  <c r="H183" i="13"/>
  <c r="H151" i="15"/>
  <c r="J151" i="14"/>
  <c r="J177" i="12"/>
  <c r="H177" i="13"/>
  <c r="J127" i="11"/>
  <c r="H127" i="12"/>
  <c r="H162" i="12"/>
  <c r="J162" i="11"/>
  <c r="H78" i="10"/>
  <c r="J78" i="9"/>
  <c r="J113" i="10"/>
  <c r="H113" i="11"/>
  <c r="J32" i="8"/>
  <c r="H32" i="9"/>
  <c r="H67" i="10"/>
  <c r="J67" i="9"/>
  <c r="H49" i="10"/>
  <c r="J49" i="9"/>
  <c r="H40" i="10"/>
  <c r="J40" i="9"/>
  <c r="H87" i="12"/>
  <c r="J87" i="11"/>
  <c r="H9" i="11"/>
  <c r="J9" i="10"/>
  <c r="H186" i="10"/>
  <c r="J186" i="9"/>
  <c r="J182" i="12"/>
  <c r="H182" i="13"/>
  <c r="J28" i="9"/>
  <c r="H28" i="10"/>
  <c r="J60" i="7"/>
  <c r="H60" i="8"/>
  <c r="H94" i="12"/>
  <c r="J94" i="11"/>
  <c r="H112" i="13"/>
  <c r="J112" i="12"/>
  <c r="H174" i="11"/>
  <c r="J174" i="10"/>
  <c r="H142" i="11"/>
  <c r="J142" i="10"/>
  <c r="H165" i="14"/>
  <c r="J165" i="13"/>
  <c r="J8" i="13"/>
  <c r="H8" i="14"/>
  <c r="H144" i="12"/>
  <c r="J144" i="11"/>
  <c r="J59" i="9"/>
  <c r="H59" i="10"/>
  <c r="H149" i="13"/>
  <c r="J149" i="12"/>
  <c r="H188" i="25"/>
  <c r="J188" i="24"/>
  <c r="H152" i="12"/>
  <c r="J152" i="11"/>
  <c r="H23" i="11"/>
  <c r="J23" i="10"/>
  <c r="J155" i="11"/>
  <c r="H155" i="12"/>
  <c r="H47" i="9"/>
  <c r="J47" i="8"/>
  <c r="J189" i="10"/>
  <c r="H189" i="11"/>
  <c r="J166" i="14"/>
  <c r="H166" i="15"/>
  <c r="J135" i="8"/>
  <c r="H135" i="9"/>
  <c r="H150" i="17"/>
  <c r="J150" i="16"/>
  <c r="J175" i="11"/>
  <c r="H175" i="12"/>
  <c r="J95" i="11"/>
  <c r="H95" i="12"/>
  <c r="H184" i="13"/>
  <c r="J184" i="12"/>
  <c r="J134" i="10"/>
  <c r="H134" i="11"/>
  <c r="J12" i="10"/>
  <c r="H12" i="11"/>
  <c r="H119" i="13"/>
  <c r="J119" i="12"/>
  <c r="J166" i="29"/>
  <c r="H166" i="30"/>
  <c r="H130" i="13"/>
  <c r="J130" i="12"/>
  <c r="H143" i="12"/>
  <c r="J143" i="11"/>
  <c r="J187" i="10"/>
  <c r="H187" i="11"/>
  <c r="H45" i="16" l="1"/>
  <c r="J45" i="15"/>
  <c r="J77" i="11"/>
  <c r="H77" i="12"/>
  <c r="J20" i="10"/>
  <c r="I20" i="10" s="1"/>
  <c r="H20" i="11"/>
  <c r="J39" i="11"/>
  <c r="H39" i="12"/>
  <c r="H24" i="11"/>
  <c r="J24" i="10"/>
  <c r="J55" i="11"/>
  <c r="H55" i="12"/>
  <c r="H71" i="10"/>
  <c r="J71" i="9"/>
  <c r="J185" i="11"/>
  <c r="H185" i="12"/>
  <c r="H70" i="12"/>
  <c r="J70" i="11"/>
  <c r="H173" i="11"/>
  <c r="J173" i="10"/>
  <c r="H13" i="10"/>
  <c r="J13" i="9"/>
  <c r="H18" i="14"/>
  <c r="J18" i="13"/>
  <c r="H128" i="13"/>
  <c r="J128" i="12"/>
  <c r="H56" i="12"/>
  <c r="J56" i="11"/>
  <c r="H168" i="31"/>
  <c r="J168" i="31" s="1"/>
  <c r="J168" i="43"/>
  <c r="J102" i="11"/>
  <c r="H102" i="12"/>
  <c r="J7" i="13"/>
  <c r="I9" i="13" s="1"/>
  <c r="H7" i="14"/>
  <c r="H57" i="12"/>
  <c r="J57" i="11"/>
  <c r="J147" i="11"/>
  <c r="H147" i="12"/>
  <c r="H54" i="13"/>
  <c r="J54" i="12"/>
  <c r="J35" i="12"/>
  <c r="H35" i="13"/>
  <c r="J43" i="11"/>
  <c r="H43" i="12"/>
  <c r="J121" i="11"/>
  <c r="H121" i="12"/>
  <c r="J90" i="12"/>
  <c r="H90" i="13"/>
  <c r="J76" i="12"/>
  <c r="H76" i="13"/>
  <c r="J74" i="11"/>
  <c r="H74" i="12"/>
  <c r="J129" i="12"/>
  <c r="H129" i="13"/>
  <c r="J86" i="12"/>
  <c r="H86" i="13"/>
  <c r="H38" i="12"/>
  <c r="J38" i="11"/>
  <c r="H85" i="12"/>
  <c r="J85" i="11"/>
  <c r="J122" i="12"/>
  <c r="H122" i="13"/>
  <c r="J50" i="12"/>
  <c r="H50" i="13"/>
  <c r="J52" i="23"/>
  <c r="H52" i="24"/>
  <c r="J139" i="11"/>
  <c r="H139" i="12"/>
  <c r="H29" i="13"/>
  <c r="J29" i="12"/>
  <c r="J164" i="13"/>
  <c r="H164" i="14"/>
  <c r="H117" i="12"/>
  <c r="J117" i="11"/>
  <c r="H100" i="12"/>
  <c r="J100" i="11"/>
  <c r="H179" i="12"/>
  <c r="J179" i="11"/>
  <c r="J123" i="11"/>
  <c r="H123" i="12"/>
  <c r="J101" i="11"/>
  <c r="H101" i="12"/>
  <c r="J133" i="13"/>
  <c r="H133" i="14"/>
  <c r="J132" i="14"/>
  <c r="H132" i="15"/>
  <c r="H58" i="14"/>
  <c r="J58" i="13"/>
  <c r="J103" i="13"/>
  <c r="H103" i="14"/>
  <c r="H22" i="12"/>
  <c r="J22" i="11"/>
  <c r="H82" i="12"/>
  <c r="J82" i="11"/>
  <c r="H65" i="12"/>
  <c r="J65" i="11"/>
  <c r="J167" i="43"/>
  <c r="H167" i="31"/>
  <c r="J167" i="31" s="1"/>
  <c r="H188" i="13"/>
  <c r="J188" i="12"/>
  <c r="H31" i="13"/>
  <c r="J31" i="12"/>
  <c r="H83" i="15"/>
  <c r="J83" i="14"/>
  <c r="H163" i="11"/>
  <c r="J163" i="10"/>
  <c r="H64" i="12"/>
  <c r="J64" i="11"/>
  <c r="H19" i="14"/>
  <c r="J19" i="13"/>
  <c r="H41" i="12"/>
  <c r="J41" i="11"/>
  <c r="H75" i="13"/>
  <c r="J75" i="12"/>
  <c r="H66" i="13"/>
  <c r="J66" i="12"/>
  <c r="H51" i="12"/>
  <c r="J51" i="11"/>
  <c r="J181" i="9"/>
  <c r="H181" i="10"/>
  <c r="H89" i="12"/>
  <c r="J89" i="11"/>
  <c r="H44" i="13"/>
  <c r="J44" i="12"/>
  <c r="H104" i="11"/>
  <c r="J104" i="10"/>
  <c r="J120" i="10"/>
  <c r="H120" i="11"/>
  <c r="H36" i="13"/>
  <c r="J36" i="12"/>
  <c r="J115" i="12"/>
  <c r="H115" i="13"/>
  <c r="J105" i="10"/>
  <c r="H105" i="11"/>
  <c r="H98" i="10"/>
  <c r="J98" i="9"/>
  <c r="J156" i="11"/>
  <c r="H156" i="12"/>
  <c r="J116" i="12"/>
  <c r="H116" i="13"/>
  <c r="J97" i="10"/>
  <c r="H97" i="11"/>
  <c r="J178" i="10"/>
  <c r="H178" i="11"/>
  <c r="H92" i="11"/>
  <c r="J92" i="10"/>
  <c r="H63" i="12"/>
  <c r="J63" i="11"/>
  <c r="H140" i="11"/>
  <c r="J140" i="10"/>
  <c r="J27" i="10"/>
  <c r="H27" i="11"/>
  <c r="J11" i="11"/>
  <c r="H11" i="12"/>
  <c r="J138" i="14"/>
  <c r="H138" i="15"/>
  <c r="J114" i="11"/>
  <c r="H114" i="12"/>
  <c r="J176" i="11"/>
  <c r="H176" i="12"/>
  <c r="H69" i="11"/>
  <c r="J69" i="10"/>
  <c r="H91" i="12"/>
  <c r="J91" i="11"/>
  <c r="J189" i="28"/>
  <c r="H189" i="29"/>
  <c r="H62" i="11"/>
  <c r="J62" i="10"/>
  <c r="J180" i="10"/>
  <c r="H180" i="11"/>
  <c r="H99" i="10"/>
  <c r="J99" i="9"/>
  <c r="H53" i="12"/>
  <c r="J53" i="11"/>
  <c r="J161" i="12"/>
  <c r="H161" i="13"/>
  <c r="H118" i="13"/>
  <c r="J118" i="12"/>
  <c r="J96" i="10"/>
  <c r="H96" i="11"/>
  <c r="H141" i="11"/>
  <c r="J141" i="10"/>
  <c r="H88" i="12"/>
  <c r="J88" i="11"/>
  <c r="J146" i="10"/>
  <c r="H146" i="11"/>
  <c r="H37" i="17"/>
  <c r="J37" i="16"/>
  <c r="H46" i="19"/>
  <c r="J46" i="18"/>
  <c r="H68" i="21"/>
  <c r="J68" i="20"/>
  <c r="H42" i="22"/>
  <c r="J42" i="21"/>
  <c r="J47" i="9"/>
  <c r="H47" i="10"/>
  <c r="H142" i="12"/>
  <c r="J142" i="11"/>
  <c r="H94" i="13"/>
  <c r="J94" i="12"/>
  <c r="H49" i="11"/>
  <c r="J49" i="10"/>
  <c r="J187" i="11"/>
  <c r="H187" i="12"/>
  <c r="J175" i="12"/>
  <c r="H175" i="13"/>
  <c r="J155" i="12"/>
  <c r="H155" i="13"/>
  <c r="J8" i="14"/>
  <c r="H8" i="15"/>
  <c r="J158" i="13"/>
  <c r="H158" i="14"/>
  <c r="H131" i="13"/>
  <c r="J131" i="12"/>
  <c r="H184" i="14"/>
  <c r="J184" i="13"/>
  <c r="J152" i="12"/>
  <c r="H152" i="13"/>
  <c r="H87" i="13"/>
  <c r="J87" i="12"/>
  <c r="H67" i="11"/>
  <c r="J67" i="10"/>
  <c r="H78" i="11"/>
  <c r="J78" i="10"/>
  <c r="J134" i="11"/>
  <c r="H134" i="12"/>
  <c r="H189" i="12"/>
  <c r="J189" i="11"/>
  <c r="J59" i="10"/>
  <c r="H59" i="11"/>
  <c r="J28" i="10"/>
  <c r="H28" i="11"/>
  <c r="J32" i="9"/>
  <c r="H32" i="10"/>
  <c r="H148" i="12"/>
  <c r="J148" i="11"/>
  <c r="H151" i="16"/>
  <c r="J151" i="15"/>
  <c r="H130" i="14"/>
  <c r="J130" i="13"/>
  <c r="H40" i="11"/>
  <c r="J40" i="10"/>
  <c r="J166" i="30"/>
  <c r="H166" i="43"/>
  <c r="H10" i="12"/>
  <c r="J10" i="11"/>
  <c r="H143" i="13"/>
  <c r="J143" i="12"/>
  <c r="H150" i="18"/>
  <c r="J150" i="17"/>
  <c r="J174" i="11"/>
  <c r="H174" i="12"/>
  <c r="H162" i="13"/>
  <c r="J162" i="12"/>
  <c r="H84" i="14"/>
  <c r="J84" i="13"/>
  <c r="H12" i="12"/>
  <c r="J12" i="11"/>
  <c r="J95" i="12"/>
  <c r="H95" i="13"/>
  <c r="J135" i="9"/>
  <c r="H135" i="10"/>
  <c r="H113" i="12"/>
  <c r="J113" i="11"/>
  <c r="H157" i="14"/>
  <c r="J157" i="13"/>
  <c r="H23" i="12"/>
  <c r="J23" i="11"/>
  <c r="J188" i="25"/>
  <c r="H188" i="40"/>
  <c r="H165" i="15"/>
  <c r="J165" i="14"/>
  <c r="H186" i="11"/>
  <c r="J186" i="10"/>
  <c r="H182" i="14"/>
  <c r="J182" i="13"/>
  <c r="J127" i="12"/>
  <c r="H127" i="13"/>
  <c r="H183" i="14"/>
  <c r="J183" i="13"/>
  <c r="H15" i="11"/>
  <c r="J15" i="10"/>
  <c r="I16" i="10" s="1"/>
  <c r="J9" i="11"/>
  <c r="H9" i="12"/>
  <c r="H144" i="13"/>
  <c r="J144" i="12"/>
  <c r="H168" i="17"/>
  <c r="J168" i="17" s="1"/>
  <c r="J168" i="16"/>
  <c r="H145" i="13"/>
  <c r="J145" i="12"/>
  <c r="J166" i="15"/>
  <c r="H166" i="16"/>
  <c r="H60" i="9"/>
  <c r="J60" i="8"/>
  <c r="H177" i="14"/>
  <c r="J177" i="13"/>
  <c r="J30" i="12"/>
  <c r="H30" i="13"/>
  <c r="J119" i="13"/>
  <c r="H119" i="14"/>
  <c r="J149" i="13"/>
  <c r="H149" i="14"/>
  <c r="J112" i="13"/>
  <c r="H112" i="14"/>
  <c r="H185" i="13" l="1"/>
  <c r="J185" i="12"/>
  <c r="H39" i="13"/>
  <c r="J39" i="12"/>
  <c r="H18" i="15"/>
  <c r="J18" i="14"/>
  <c r="H20" i="12"/>
  <c r="J20" i="11"/>
  <c r="I20" i="11" s="1"/>
  <c r="J13" i="10"/>
  <c r="H13" i="11"/>
  <c r="J71" i="10"/>
  <c r="H71" i="11"/>
  <c r="H55" i="13"/>
  <c r="J55" i="12"/>
  <c r="J77" i="12"/>
  <c r="H77" i="13"/>
  <c r="H56" i="13"/>
  <c r="J56" i="12"/>
  <c r="J173" i="11"/>
  <c r="H173" i="12"/>
  <c r="H128" i="14"/>
  <c r="J128" i="13"/>
  <c r="J70" i="12"/>
  <c r="H70" i="13"/>
  <c r="H24" i="12"/>
  <c r="J24" i="11"/>
  <c r="H45" i="17"/>
  <c r="J45" i="16"/>
  <c r="H179" i="13"/>
  <c r="J179" i="12"/>
  <c r="J117" i="12"/>
  <c r="H117" i="13"/>
  <c r="H29" i="14"/>
  <c r="J29" i="13"/>
  <c r="H85" i="13"/>
  <c r="J85" i="12"/>
  <c r="J54" i="13"/>
  <c r="H54" i="14"/>
  <c r="J57" i="12"/>
  <c r="H57" i="13"/>
  <c r="J52" i="24"/>
  <c r="H52" i="25"/>
  <c r="J50" i="13"/>
  <c r="H50" i="14"/>
  <c r="J86" i="13"/>
  <c r="H86" i="14"/>
  <c r="J74" i="12"/>
  <c r="H74" i="13"/>
  <c r="J90" i="13"/>
  <c r="H90" i="14"/>
  <c r="J43" i="12"/>
  <c r="H43" i="13"/>
  <c r="H102" i="13"/>
  <c r="J102" i="12"/>
  <c r="J100" i="12"/>
  <c r="H100" i="13"/>
  <c r="J38" i="12"/>
  <c r="H38" i="13"/>
  <c r="J101" i="12"/>
  <c r="H101" i="13"/>
  <c r="H123" i="13"/>
  <c r="J123" i="12"/>
  <c r="H164" i="15"/>
  <c r="J164" i="14"/>
  <c r="J139" i="12"/>
  <c r="H139" i="13"/>
  <c r="H122" i="14"/>
  <c r="J122" i="13"/>
  <c r="J129" i="13"/>
  <c r="H129" i="14"/>
  <c r="J76" i="13"/>
  <c r="H76" i="14"/>
  <c r="J121" i="12"/>
  <c r="H121" i="13"/>
  <c r="J35" i="13"/>
  <c r="H35" i="14"/>
  <c r="H147" i="13"/>
  <c r="J147" i="12"/>
  <c r="J7" i="14"/>
  <c r="I9" i="14" s="1"/>
  <c r="H7" i="15"/>
  <c r="J133" i="14"/>
  <c r="H133" i="15"/>
  <c r="J22" i="12"/>
  <c r="H22" i="13"/>
  <c r="H103" i="15"/>
  <c r="J103" i="14"/>
  <c r="H83" i="16"/>
  <c r="J83" i="15"/>
  <c r="H31" i="14"/>
  <c r="J31" i="13"/>
  <c r="H65" i="13"/>
  <c r="J65" i="12"/>
  <c r="H58" i="15"/>
  <c r="J58" i="14"/>
  <c r="J132" i="15"/>
  <c r="H132" i="16"/>
  <c r="H188" i="14"/>
  <c r="J188" i="14" s="1"/>
  <c r="J188" i="13"/>
  <c r="H82" i="13"/>
  <c r="J82" i="12"/>
  <c r="H41" i="13"/>
  <c r="J41" i="12"/>
  <c r="J146" i="11"/>
  <c r="H146" i="12"/>
  <c r="J96" i="11"/>
  <c r="H96" i="12"/>
  <c r="J161" i="13"/>
  <c r="H161" i="14"/>
  <c r="H176" i="13"/>
  <c r="J176" i="12"/>
  <c r="J27" i="11"/>
  <c r="H27" i="12"/>
  <c r="J105" i="11"/>
  <c r="H105" i="12"/>
  <c r="H37" i="18"/>
  <c r="J37" i="17"/>
  <c r="H98" i="11"/>
  <c r="J98" i="10"/>
  <c r="H163" i="12"/>
  <c r="J163" i="11"/>
  <c r="J62" i="11"/>
  <c r="H62" i="12"/>
  <c r="H92" i="12"/>
  <c r="J92" i="11"/>
  <c r="H104" i="12"/>
  <c r="J104" i="11"/>
  <c r="J51" i="12"/>
  <c r="H51" i="13"/>
  <c r="H19" i="15"/>
  <c r="J19" i="14"/>
  <c r="J141" i="11"/>
  <c r="H141" i="12"/>
  <c r="H189" i="30"/>
  <c r="J189" i="29"/>
  <c r="J114" i="12"/>
  <c r="H114" i="13"/>
  <c r="H178" i="12"/>
  <c r="J178" i="11"/>
  <c r="J115" i="13"/>
  <c r="H115" i="14"/>
  <c r="J53" i="12"/>
  <c r="H53" i="13"/>
  <c r="H140" i="12"/>
  <c r="J140" i="11"/>
  <c r="H66" i="14"/>
  <c r="J66" i="13"/>
  <c r="H138" i="16"/>
  <c r="J138" i="15"/>
  <c r="J97" i="11"/>
  <c r="H97" i="12"/>
  <c r="J156" i="12"/>
  <c r="H156" i="13"/>
  <c r="J88" i="12"/>
  <c r="H88" i="13"/>
  <c r="H46" i="20"/>
  <c r="J46" i="19"/>
  <c r="J99" i="10"/>
  <c r="H99" i="11"/>
  <c r="J91" i="12"/>
  <c r="H91" i="13"/>
  <c r="H63" i="13"/>
  <c r="J63" i="12"/>
  <c r="H36" i="14"/>
  <c r="J36" i="13"/>
  <c r="J89" i="12"/>
  <c r="H89" i="13"/>
  <c r="H75" i="14"/>
  <c r="J75" i="13"/>
  <c r="H64" i="13"/>
  <c r="J64" i="12"/>
  <c r="J118" i="13"/>
  <c r="H118" i="14"/>
  <c r="H44" i="14"/>
  <c r="J44" i="13"/>
  <c r="J180" i="11"/>
  <c r="H180" i="12"/>
  <c r="H11" i="13"/>
  <c r="J11" i="12"/>
  <c r="H116" i="14"/>
  <c r="J116" i="13"/>
  <c r="H120" i="12"/>
  <c r="J120" i="11"/>
  <c r="J181" i="10"/>
  <c r="H181" i="11"/>
  <c r="H69" i="12"/>
  <c r="J69" i="11"/>
  <c r="H68" i="22"/>
  <c r="J68" i="21"/>
  <c r="H42" i="23"/>
  <c r="J42" i="22"/>
  <c r="H40" i="12"/>
  <c r="J40" i="11"/>
  <c r="H94" i="14"/>
  <c r="J94" i="13"/>
  <c r="J30" i="13"/>
  <c r="H30" i="14"/>
  <c r="J182" i="14"/>
  <c r="H182" i="15"/>
  <c r="J59" i="11"/>
  <c r="H59" i="12"/>
  <c r="H112" i="15"/>
  <c r="J112" i="14"/>
  <c r="H183" i="15"/>
  <c r="J183" i="14"/>
  <c r="H188" i="27"/>
  <c r="J188" i="40"/>
  <c r="J95" i="13"/>
  <c r="H95" i="14"/>
  <c r="H166" i="31"/>
  <c r="J166" i="31" s="1"/>
  <c r="J166" i="43"/>
  <c r="J32" i="10"/>
  <c r="H32" i="11"/>
  <c r="J152" i="13"/>
  <c r="H152" i="14"/>
  <c r="H8" i="16"/>
  <c r="J8" i="15"/>
  <c r="J127" i="13"/>
  <c r="H127" i="14"/>
  <c r="H189" i="13"/>
  <c r="J189" i="12"/>
  <c r="J149" i="14"/>
  <c r="H149" i="15"/>
  <c r="J145" i="13"/>
  <c r="H145" i="14"/>
  <c r="J187" i="12"/>
  <c r="H187" i="13"/>
  <c r="J47" i="10"/>
  <c r="H47" i="11"/>
  <c r="J60" i="9"/>
  <c r="H60" i="10"/>
  <c r="J9" i="12"/>
  <c r="H9" i="13"/>
  <c r="H186" i="12"/>
  <c r="J186" i="11"/>
  <c r="H23" i="13"/>
  <c r="J23" i="12"/>
  <c r="H113" i="13"/>
  <c r="J113" i="12"/>
  <c r="J12" i="12"/>
  <c r="H12" i="13"/>
  <c r="H162" i="14"/>
  <c r="J162" i="13"/>
  <c r="H10" i="13"/>
  <c r="J10" i="12"/>
  <c r="H151" i="17"/>
  <c r="J151" i="16"/>
  <c r="H78" i="12"/>
  <c r="J78" i="11"/>
  <c r="H87" i="14"/>
  <c r="J87" i="13"/>
  <c r="H184" i="15"/>
  <c r="J184" i="14"/>
  <c r="H49" i="12"/>
  <c r="J49" i="11"/>
  <c r="J177" i="14"/>
  <c r="H177" i="15"/>
  <c r="J143" i="13"/>
  <c r="H143" i="14"/>
  <c r="H130" i="15"/>
  <c r="J130" i="14"/>
  <c r="H67" i="12"/>
  <c r="J67" i="11"/>
  <c r="J144" i="13"/>
  <c r="H144" i="14"/>
  <c r="H155" i="14"/>
  <c r="J155" i="13"/>
  <c r="H119" i="15"/>
  <c r="J119" i="14"/>
  <c r="H166" i="17"/>
  <c r="J166" i="17" s="1"/>
  <c r="J166" i="16"/>
  <c r="H174" i="13"/>
  <c r="J174" i="12"/>
  <c r="H28" i="12"/>
  <c r="J28" i="11"/>
  <c r="J134" i="12"/>
  <c r="H134" i="13"/>
  <c r="J175" i="13"/>
  <c r="H175" i="14"/>
  <c r="J148" i="12"/>
  <c r="H148" i="13"/>
  <c r="H131" i="14"/>
  <c r="J131" i="13"/>
  <c r="H15" i="12"/>
  <c r="J15" i="11"/>
  <c r="I16" i="11" s="1"/>
  <c r="J135" i="10"/>
  <c r="H135" i="11"/>
  <c r="J158" i="14"/>
  <c r="H158" i="15"/>
  <c r="H165" i="16"/>
  <c r="J165" i="15"/>
  <c r="J157" i="14"/>
  <c r="H157" i="15"/>
  <c r="H84" i="15"/>
  <c r="J84" i="14"/>
  <c r="J150" i="18"/>
  <c r="H150" i="19"/>
  <c r="J142" i="12"/>
  <c r="H142" i="13"/>
  <c r="H70" i="14" l="1"/>
  <c r="J70" i="13"/>
  <c r="J77" i="13"/>
  <c r="H77" i="14"/>
  <c r="J20" i="12"/>
  <c r="I20" i="12" s="1"/>
  <c r="H20" i="13"/>
  <c r="J128" i="14"/>
  <c r="H128" i="15"/>
  <c r="H55" i="14"/>
  <c r="J55" i="13"/>
  <c r="H18" i="16"/>
  <c r="J18" i="15"/>
  <c r="H173" i="13"/>
  <c r="J173" i="12"/>
  <c r="H71" i="12"/>
  <c r="J71" i="11"/>
  <c r="H45" i="18"/>
  <c r="J45" i="17"/>
  <c r="H39" i="14"/>
  <c r="J39" i="13"/>
  <c r="J13" i="11"/>
  <c r="H13" i="12"/>
  <c r="H24" i="13"/>
  <c r="J24" i="12"/>
  <c r="H56" i="14"/>
  <c r="J56" i="13"/>
  <c r="H185" i="14"/>
  <c r="J185" i="13"/>
  <c r="J147" i="13"/>
  <c r="H147" i="14"/>
  <c r="J123" i="13"/>
  <c r="H123" i="14"/>
  <c r="H29" i="15"/>
  <c r="J29" i="14"/>
  <c r="J179" i="13"/>
  <c r="H179" i="14"/>
  <c r="J121" i="13"/>
  <c r="H121" i="14"/>
  <c r="J129" i="14"/>
  <c r="H129" i="15"/>
  <c r="J139" i="13"/>
  <c r="H139" i="14"/>
  <c r="H38" i="14"/>
  <c r="J38" i="13"/>
  <c r="H100" i="14"/>
  <c r="J100" i="13"/>
  <c r="J43" i="13"/>
  <c r="H43" i="14"/>
  <c r="J74" i="13"/>
  <c r="H74" i="14"/>
  <c r="J50" i="14"/>
  <c r="H50" i="15"/>
  <c r="J54" i="14"/>
  <c r="H54" i="15"/>
  <c r="J122" i="14"/>
  <c r="H122" i="15"/>
  <c r="J164" i="15"/>
  <c r="H164" i="16"/>
  <c r="J102" i="13"/>
  <c r="H102" i="14"/>
  <c r="H85" i="14"/>
  <c r="J85" i="13"/>
  <c r="H7" i="16"/>
  <c r="J7" i="15"/>
  <c r="I9" i="15" s="1"/>
  <c r="H35" i="15"/>
  <c r="J35" i="14"/>
  <c r="J76" i="14"/>
  <c r="H76" i="15"/>
  <c r="H101" i="14"/>
  <c r="J101" i="13"/>
  <c r="H90" i="15"/>
  <c r="J90" i="14"/>
  <c r="J86" i="14"/>
  <c r="H86" i="15"/>
  <c r="J52" i="25"/>
  <c r="H52" i="40"/>
  <c r="J57" i="13"/>
  <c r="H57" i="14"/>
  <c r="H117" i="14"/>
  <c r="J117" i="13"/>
  <c r="J133" i="15"/>
  <c r="H133" i="16"/>
  <c r="H83" i="17"/>
  <c r="J83" i="16"/>
  <c r="H58" i="16"/>
  <c r="J58" i="15"/>
  <c r="J103" i="15"/>
  <c r="H103" i="16"/>
  <c r="H132" i="17"/>
  <c r="J132" i="16"/>
  <c r="J82" i="13"/>
  <c r="H82" i="14"/>
  <c r="J65" i="13"/>
  <c r="H65" i="14"/>
  <c r="H22" i="14"/>
  <c r="J22" i="13"/>
  <c r="J31" i="14"/>
  <c r="H31" i="15"/>
  <c r="J189" i="30"/>
  <c r="H189" i="43"/>
  <c r="H37" i="19"/>
  <c r="J37" i="18"/>
  <c r="H88" i="14"/>
  <c r="J88" i="13"/>
  <c r="H115" i="15"/>
  <c r="J115" i="14"/>
  <c r="H141" i="13"/>
  <c r="J141" i="12"/>
  <c r="H105" i="13"/>
  <c r="J105" i="12"/>
  <c r="J96" i="12"/>
  <c r="H96" i="13"/>
  <c r="J69" i="12"/>
  <c r="H69" i="13"/>
  <c r="J11" i="13"/>
  <c r="H11" i="14"/>
  <c r="J64" i="13"/>
  <c r="H64" i="14"/>
  <c r="J63" i="13"/>
  <c r="H63" i="14"/>
  <c r="J66" i="14"/>
  <c r="H66" i="15"/>
  <c r="J163" i="12"/>
  <c r="H163" i="13"/>
  <c r="H116" i="15"/>
  <c r="J116" i="14"/>
  <c r="H36" i="15"/>
  <c r="J36" i="14"/>
  <c r="H138" i="17"/>
  <c r="J138" i="16"/>
  <c r="H181" i="12"/>
  <c r="J181" i="11"/>
  <c r="H180" i="13"/>
  <c r="J180" i="12"/>
  <c r="H91" i="14"/>
  <c r="J91" i="13"/>
  <c r="J156" i="13"/>
  <c r="H156" i="14"/>
  <c r="H27" i="13"/>
  <c r="J27" i="12"/>
  <c r="H146" i="13"/>
  <c r="J146" i="12"/>
  <c r="H19" i="16"/>
  <c r="J19" i="15"/>
  <c r="H140" i="13"/>
  <c r="J140" i="12"/>
  <c r="H178" i="13"/>
  <c r="J178" i="12"/>
  <c r="H92" i="13"/>
  <c r="J92" i="12"/>
  <c r="J98" i="11"/>
  <c r="H98" i="12"/>
  <c r="H89" i="14"/>
  <c r="J89" i="13"/>
  <c r="J99" i="11"/>
  <c r="H99" i="12"/>
  <c r="J97" i="12"/>
  <c r="H97" i="13"/>
  <c r="H53" i="14"/>
  <c r="J53" i="13"/>
  <c r="H114" i="14"/>
  <c r="J114" i="13"/>
  <c r="H51" i="14"/>
  <c r="J51" i="13"/>
  <c r="H62" i="13"/>
  <c r="J62" i="12"/>
  <c r="H75" i="15"/>
  <c r="J75" i="14"/>
  <c r="H120" i="13"/>
  <c r="J120" i="12"/>
  <c r="H44" i="15"/>
  <c r="J44" i="14"/>
  <c r="H176" i="14"/>
  <c r="J176" i="13"/>
  <c r="H41" i="14"/>
  <c r="J41" i="13"/>
  <c r="H46" i="21"/>
  <c r="J46" i="20"/>
  <c r="J118" i="14"/>
  <c r="H118" i="15"/>
  <c r="H161" i="15"/>
  <c r="J161" i="14"/>
  <c r="H104" i="13"/>
  <c r="J104" i="12"/>
  <c r="H68" i="23"/>
  <c r="J68" i="22"/>
  <c r="H42" i="24"/>
  <c r="J42" i="23"/>
  <c r="J127" i="14"/>
  <c r="H127" i="15"/>
  <c r="H152" i="15"/>
  <c r="J152" i="14"/>
  <c r="J59" i="12"/>
  <c r="H59" i="13"/>
  <c r="J157" i="15"/>
  <c r="H157" i="16"/>
  <c r="H87" i="15"/>
  <c r="J87" i="14"/>
  <c r="H10" i="14"/>
  <c r="J10" i="13"/>
  <c r="H23" i="14"/>
  <c r="J23" i="13"/>
  <c r="H183" i="16"/>
  <c r="J183" i="15"/>
  <c r="J148" i="13"/>
  <c r="H148" i="14"/>
  <c r="J134" i="13"/>
  <c r="H134" i="14"/>
  <c r="H144" i="15"/>
  <c r="J144" i="14"/>
  <c r="H177" i="16"/>
  <c r="J177" i="15"/>
  <c r="J60" i="10"/>
  <c r="H60" i="11"/>
  <c r="J95" i="14"/>
  <c r="H95" i="15"/>
  <c r="J30" i="14"/>
  <c r="H30" i="15"/>
  <c r="H165" i="17"/>
  <c r="J165" i="16"/>
  <c r="H119" i="16"/>
  <c r="J119" i="15"/>
  <c r="H78" i="13"/>
  <c r="J78" i="12"/>
  <c r="H151" i="18"/>
  <c r="J151" i="17"/>
  <c r="H162" i="15"/>
  <c r="J162" i="14"/>
  <c r="H186" i="13"/>
  <c r="J186" i="12"/>
  <c r="J189" i="13"/>
  <c r="H189" i="14"/>
  <c r="H112" i="16"/>
  <c r="J112" i="15"/>
  <c r="H40" i="13"/>
  <c r="J40" i="12"/>
  <c r="H135" i="18"/>
  <c r="H135" i="17"/>
  <c r="H135" i="19"/>
  <c r="J135" i="11"/>
  <c r="H135" i="24"/>
  <c r="H135" i="16"/>
  <c r="H135" i="13"/>
  <c r="H135" i="23"/>
  <c r="H135" i="12"/>
  <c r="J135" i="12" s="1"/>
  <c r="H135" i="22"/>
  <c r="H135" i="20"/>
  <c r="J12" i="13"/>
  <c r="H12" i="14"/>
  <c r="J47" i="11"/>
  <c r="H47" i="12"/>
  <c r="H145" i="15"/>
  <c r="J145" i="14"/>
  <c r="J32" i="11"/>
  <c r="H32" i="12"/>
  <c r="H182" i="16"/>
  <c r="J182" i="15"/>
  <c r="H150" i="20"/>
  <c r="J150" i="19"/>
  <c r="J131" i="14"/>
  <c r="H131" i="15"/>
  <c r="J28" i="12"/>
  <c r="H28" i="13"/>
  <c r="H155" i="15"/>
  <c r="J155" i="14"/>
  <c r="H130" i="16"/>
  <c r="J130" i="15"/>
  <c r="H49" i="13"/>
  <c r="J49" i="12"/>
  <c r="H94" i="15"/>
  <c r="J94" i="14"/>
  <c r="H142" i="14"/>
  <c r="J142" i="13"/>
  <c r="J158" i="15"/>
  <c r="H158" i="16"/>
  <c r="H175" i="15"/>
  <c r="J175" i="14"/>
  <c r="H143" i="15"/>
  <c r="J143" i="14"/>
  <c r="H9" i="14"/>
  <c r="J9" i="13"/>
  <c r="J187" i="13"/>
  <c r="H187" i="14"/>
  <c r="H149" i="16"/>
  <c r="J149" i="15"/>
  <c r="H84" i="16"/>
  <c r="J84" i="15"/>
  <c r="H15" i="13"/>
  <c r="J15" i="12"/>
  <c r="I16" i="12" s="1"/>
  <c r="H174" i="14"/>
  <c r="J174" i="13"/>
  <c r="H67" i="13"/>
  <c r="J67" i="12"/>
  <c r="H184" i="16"/>
  <c r="J184" i="15"/>
  <c r="H113" i="14"/>
  <c r="J113" i="13"/>
  <c r="J8" i="16"/>
  <c r="H8" i="17"/>
  <c r="J188" i="27"/>
  <c r="H188" i="28"/>
  <c r="H128" i="16" l="1"/>
  <c r="J128" i="15"/>
  <c r="J13" i="12"/>
  <c r="H13" i="13"/>
  <c r="H20" i="14"/>
  <c r="J20" i="13"/>
  <c r="I20" i="13" s="1"/>
  <c r="J173" i="13"/>
  <c r="H173" i="14"/>
  <c r="H24" i="14"/>
  <c r="J24" i="13"/>
  <c r="J77" i="14"/>
  <c r="H77" i="15"/>
  <c r="J71" i="12"/>
  <c r="H71" i="13"/>
  <c r="J185" i="14"/>
  <c r="H185" i="15"/>
  <c r="H39" i="15"/>
  <c r="J39" i="14"/>
  <c r="J18" i="16"/>
  <c r="H18" i="17"/>
  <c r="H56" i="15"/>
  <c r="J56" i="14"/>
  <c r="H45" i="19"/>
  <c r="J45" i="18"/>
  <c r="J55" i="14"/>
  <c r="H55" i="15"/>
  <c r="J70" i="14"/>
  <c r="H70" i="15"/>
  <c r="H7" i="17"/>
  <c r="J7" i="16"/>
  <c r="I9" i="16" s="1"/>
  <c r="H100" i="15"/>
  <c r="J100" i="14"/>
  <c r="H29" i="16"/>
  <c r="J29" i="15"/>
  <c r="J57" i="14"/>
  <c r="H57" i="15"/>
  <c r="J86" i="15"/>
  <c r="H86" i="16"/>
  <c r="J76" i="15"/>
  <c r="H76" i="16"/>
  <c r="J102" i="14"/>
  <c r="H102" i="15"/>
  <c r="J122" i="15"/>
  <c r="H122" i="16"/>
  <c r="J74" i="14"/>
  <c r="H74" i="15"/>
  <c r="J139" i="14"/>
  <c r="H139" i="15"/>
  <c r="H121" i="15"/>
  <c r="J121" i="14"/>
  <c r="H147" i="15"/>
  <c r="J147" i="14"/>
  <c r="H117" i="15"/>
  <c r="J117" i="14"/>
  <c r="J90" i="15"/>
  <c r="H90" i="16"/>
  <c r="H101" i="15"/>
  <c r="J101" i="14"/>
  <c r="J35" i="15"/>
  <c r="H35" i="16"/>
  <c r="J85" i="14"/>
  <c r="H85" i="15"/>
  <c r="H38" i="15"/>
  <c r="J38" i="14"/>
  <c r="J52" i="40"/>
  <c r="H52" i="27"/>
  <c r="H164" i="17"/>
  <c r="J164" i="16"/>
  <c r="H54" i="16"/>
  <c r="J54" i="15"/>
  <c r="H50" i="16"/>
  <c r="J50" i="15"/>
  <c r="H43" i="15"/>
  <c r="J43" i="14"/>
  <c r="J129" i="15"/>
  <c r="H129" i="16"/>
  <c r="J179" i="14"/>
  <c r="H179" i="15"/>
  <c r="J123" i="14"/>
  <c r="H123" i="15"/>
  <c r="J133" i="16"/>
  <c r="H133" i="17"/>
  <c r="J22" i="14"/>
  <c r="H22" i="15"/>
  <c r="H132" i="18"/>
  <c r="J132" i="17"/>
  <c r="H103" i="17"/>
  <c r="J103" i="16"/>
  <c r="H65" i="15"/>
  <c r="J65" i="14"/>
  <c r="H58" i="17"/>
  <c r="J58" i="16"/>
  <c r="H31" i="16"/>
  <c r="J31" i="15"/>
  <c r="J82" i="14"/>
  <c r="H82" i="15"/>
  <c r="H83" i="18"/>
  <c r="J83" i="17"/>
  <c r="H44" i="16"/>
  <c r="J44" i="15"/>
  <c r="H180" i="14"/>
  <c r="J180" i="13"/>
  <c r="J116" i="15"/>
  <c r="H116" i="16"/>
  <c r="J99" i="12"/>
  <c r="H99" i="13"/>
  <c r="H163" i="14"/>
  <c r="J163" i="13"/>
  <c r="H11" i="15"/>
  <c r="J11" i="14"/>
  <c r="H46" i="22"/>
  <c r="J46" i="21"/>
  <c r="J92" i="13"/>
  <c r="H92" i="14"/>
  <c r="J104" i="13"/>
  <c r="H104" i="14"/>
  <c r="H41" i="15"/>
  <c r="J41" i="14"/>
  <c r="H120" i="14"/>
  <c r="J120" i="13"/>
  <c r="H114" i="15"/>
  <c r="J114" i="14"/>
  <c r="H178" i="14"/>
  <c r="J178" i="13"/>
  <c r="J27" i="13"/>
  <c r="H27" i="14"/>
  <c r="H181" i="13"/>
  <c r="J181" i="12"/>
  <c r="H141" i="14"/>
  <c r="J141" i="13"/>
  <c r="H37" i="20"/>
  <c r="J37" i="19"/>
  <c r="H51" i="15"/>
  <c r="J51" i="14"/>
  <c r="H156" i="15"/>
  <c r="J156" i="14"/>
  <c r="H66" i="16"/>
  <c r="J66" i="15"/>
  <c r="H69" i="14"/>
  <c r="J69" i="13"/>
  <c r="J96" i="13"/>
  <c r="H96" i="14"/>
  <c r="H176" i="15"/>
  <c r="J176" i="14"/>
  <c r="H75" i="16"/>
  <c r="J75" i="15"/>
  <c r="J140" i="13"/>
  <c r="H140" i="14"/>
  <c r="J138" i="17"/>
  <c r="H138" i="18"/>
  <c r="H115" i="16"/>
  <c r="J115" i="15"/>
  <c r="H118" i="16"/>
  <c r="J118" i="15"/>
  <c r="J97" i="13"/>
  <c r="H97" i="14"/>
  <c r="H98" i="13"/>
  <c r="J98" i="12"/>
  <c r="H63" i="15"/>
  <c r="J63" i="14"/>
  <c r="H133" i="50"/>
  <c r="J133" i="50" s="1"/>
  <c r="J189" i="43"/>
  <c r="H189" i="31"/>
  <c r="J189" i="31" s="1"/>
  <c r="H161" i="16"/>
  <c r="J161" i="15"/>
  <c r="H89" i="15"/>
  <c r="J89" i="14"/>
  <c r="J62" i="13"/>
  <c r="H62" i="14"/>
  <c r="J19" i="16"/>
  <c r="H19" i="17"/>
  <c r="H91" i="15"/>
  <c r="J91" i="14"/>
  <c r="H36" i="16"/>
  <c r="J36" i="15"/>
  <c r="H105" i="14"/>
  <c r="J105" i="13"/>
  <c r="H88" i="15"/>
  <c r="J88" i="14"/>
  <c r="J53" i="14"/>
  <c r="H53" i="15"/>
  <c r="H64" i="15"/>
  <c r="J64" i="14"/>
  <c r="H146" i="14"/>
  <c r="J146" i="13"/>
  <c r="H68" i="24"/>
  <c r="J68" i="23"/>
  <c r="H42" i="25"/>
  <c r="J42" i="24"/>
  <c r="H135" i="27"/>
  <c r="H135" i="31"/>
  <c r="H135" i="28"/>
  <c r="H135" i="43"/>
  <c r="H135" i="30"/>
  <c r="H135" i="29"/>
  <c r="J135" i="29" s="1"/>
  <c r="H135" i="40"/>
  <c r="H135" i="25"/>
  <c r="J162" i="15"/>
  <c r="H162" i="16"/>
  <c r="H23" i="15"/>
  <c r="J23" i="14"/>
  <c r="H113" i="15"/>
  <c r="J113" i="14"/>
  <c r="H67" i="14"/>
  <c r="J67" i="13"/>
  <c r="H143" i="16"/>
  <c r="J143" i="15"/>
  <c r="H142" i="15"/>
  <c r="J142" i="14"/>
  <c r="J155" i="15"/>
  <c r="H155" i="16"/>
  <c r="J189" i="14"/>
  <c r="H189" i="15"/>
  <c r="J60" i="11"/>
  <c r="H60" i="12"/>
  <c r="J148" i="14"/>
  <c r="H148" i="15"/>
  <c r="J59" i="13"/>
  <c r="H59" i="14"/>
  <c r="H131" i="16"/>
  <c r="J131" i="15"/>
  <c r="H165" i="18"/>
  <c r="J165" i="17"/>
  <c r="H188" i="29"/>
  <c r="J188" i="28"/>
  <c r="H12" i="15"/>
  <c r="J12" i="14"/>
  <c r="H112" i="17"/>
  <c r="J112" i="16"/>
  <c r="J151" i="18"/>
  <c r="H151" i="19"/>
  <c r="H10" i="15"/>
  <c r="J10" i="14"/>
  <c r="H47" i="13"/>
  <c r="J47" i="12"/>
  <c r="H40" i="14"/>
  <c r="J40" i="13"/>
  <c r="H119" i="17"/>
  <c r="J119" i="16"/>
  <c r="J183" i="16"/>
  <c r="H183" i="17"/>
  <c r="H149" i="17"/>
  <c r="J149" i="16"/>
  <c r="H175" i="16"/>
  <c r="J175" i="15"/>
  <c r="H49" i="14"/>
  <c r="J49" i="13"/>
  <c r="H182" i="17"/>
  <c r="J182" i="16"/>
  <c r="H30" i="16"/>
  <c r="J30" i="15"/>
  <c r="J8" i="17"/>
  <c r="H8" i="18"/>
  <c r="J158" i="16"/>
  <c r="H158" i="17"/>
  <c r="J15" i="13"/>
  <c r="I16" i="13" s="1"/>
  <c r="H15" i="14"/>
  <c r="H94" i="16"/>
  <c r="J94" i="15"/>
  <c r="H130" i="17"/>
  <c r="J130" i="16"/>
  <c r="H127" i="16"/>
  <c r="J127" i="15"/>
  <c r="J187" i="14"/>
  <c r="H187" i="15"/>
  <c r="H135" i="14"/>
  <c r="J135" i="14" s="1"/>
  <c r="J135" i="13"/>
  <c r="J186" i="13"/>
  <c r="H186" i="14"/>
  <c r="J144" i="15"/>
  <c r="H144" i="16"/>
  <c r="H87" i="16"/>
  <c r="J87" i="15"/>
  <c r="J28" i="13"/>
  <c r="H28" i="14"/>
  <c r="J32" i="12"/>
  <c r="H32" i="13"/>
  <c r="H78" i="14"/>
  <c r="J78" i="13"/>
  <c r="J177" i="16"/>
  <c r="H177" i="17"/>
  <c r="J152" i="15"/>
  <c r="H152" i="16"/>
  <c r="J184" i="16"/>
  <c r="H184" i="17"/>
  <c r="H174" i="15"/>
  <c r="J174" i="14"/>
  <c r="H84" i="17"/>
  <c r="J84" i="16"/>
  <c r="H9" i="15"/>
  <c r="J9" i="14"/>
  <c r="H150" i="21"/>
  <c r="J150" i="20"/>
  <c r="J145" i="15"/>
  <c r="H145" i="16"/>
  <c r="J95" i="15"/>
  <c r="H95" i="16"/>
  <c r="J134" i="14"/>
  <c r="H134" i="15"/>
  <c r="J157" i="16"/>
  <c r="H157" i="17"/>
  <c r="H185" i="16" l="1"/>
  <c r="J185" i="15"/>
  <c r="J173" i="14"/>
  <c r="H173" i="15"/>
  <c r="J45" i="19"/>
  <c r="H45" i="20"/>
  <c r="H71" i="14"/>
  <c r="J71" i="13"/>
  <c r="H56" i="16"/>
  <c r="J56" i="15"/>
  <c r="J20" i="14"/>
  <c r="I20" i="14" s="1"/>
  <c r="H20" i="15"/>
  <c r="J70" i="15"/>
  <c r="H70" i="16"/>
  <c r="H18" i="18"/>
  <c r="J18" i="17"/>
  <c r="J77" i="15"/>
  <c r="H77" i="16"/>
  <c r="H13" i="14"/>
  <c r="J13" i="13"/>
  <c r="J55" i="15"/>
  <c r="H55" i="16"/>
  <c r="H39" i="16"/>
  <c r="J39" i="15"/>
  <c r="H24" i="15"/>
  <c r="J24" i="14"/>
  <c r="H128" i="17"/>
  <c r="J128" i="16"/>
  <c r="H43" i="16"/>
  <c r="J43" i="15"/>
  <c r="J54" i="16"/>
  <c r="H54" i="17"/>
  <c r="H101" i="16"/>
  <c r="J101" i="15"/>
  <c r="J117" i="15"/>
  <c r="H117" i="16"/>
  <c r="J121" i="15"/>
  <c r="H121" i="16"/>
  <c r="H29" i="17"/>
  <c r="J29" i="16"/>
  <c r="J7" i="17"/>
  <c r="I9" i="17" s="1"/>
  <c r="H7" i="18"/>
  <c r="J179" i="15"/>
  <c r="H179" i="16"/>
  <c r="J52" i="27"/>
  <c r="H52" i="28"/>
  <c r="J85" i="15"/>
  <c r="H85" i="16"/>
  <c r="J74" i="15"/>
  <c r="H74" i="16"/>
  <c r="J122" i="16"/>
  <c r="H122" i="17"/>
  <c r="J76" i="16"/>
  <c r="H76" i="17"/>
  <c r="J86" i="16"/>
  <c r="H86" i="17"/>
  <c r="H50" i="17"/>
  <c r="J50" i="16"/>
  <c r="J164" i="17"/>
  <c r="H164" i="18"/>
  <c r="J38" i="15"/>
  <c r="H38" i="16"/>
  <c r="H147" i="16"/>
  <c r="J147" i="15"/>
  <c r="J100" i="15"/>
  <c r="H100" i="16"/>
  <c r="J123" i="15"/>
  <c r="H123" i="16"/>
  <c r="H129" i="17"/>
  <c r="J129" i="16"/>
  <c r="H35" i="17"/>
  <c r="J35" i="16"/>
  <c r="J90" i="16"/>
  <c r="H90" i="17"/>
  <c r="J139" i="15"/>
  <c r="H139" i="16"/>
  <c r="J102" i="15"/>
  <c r="H102" i="16"/>
  <c r="H57" i="16"/>
  <c r="J57" i="15"/>
  <c r="J133" i="17"/>
  <c r="H133" i="18"/>
  <c r="H65" i="16"/>
  <c r="J65" i="15"/>
  <c r="H103" i="18"/>
  <c r="J103" i="17"/>
  <c r="H82" i="16"/>
  <c r="J82" i="15"/>
  <c r="H31" i="17"/>
  <c r="J31" i="16"/>
  <c r="H132" i="19"/>
  <c r="J132" i="18"/>
  <c r="J22" i="15"/>
  <c r="H22" i="16"/>
  <c r="H83" i="19"/>
  <c r="J83" i="18"/>
  <c r="H58" i="18"/>
  <c r="J58" i="17"/>
  <c r="J62" i="14"/>
  <c r="H62" i="15"/>
  <c r="H44" i="17"/>
  <c r="J44" i="16"/>
  <c r="H64" i="16"/>
  <c r="J64" i="15"/>
  <c r="J161" i="16"/>
  <c r="H161" i="17"/>
  <c r="J97" i="14"/>
  <c r="H97" i="15"/>
  <c r="J140" i="14"/>
  <c r="H140" i="15"/>
  <c r="H116" i="17"/>
  <c r="J116" i="16"/>
  <c r="J114" i="15"/>
  <c r="H114" i="16"/>
  <c r="H53" i="16"/>
  <c r="J53" i="15"/>
  <c r="H69" i="15"/>
  <c r="J69" i="14"/>
  <c r="H51" i="16"/>
  <c r="J51" i="15"/>
  <c r="J181" i="13"/>
  <c r="H181" i="14"/>
  <c r="H120" i="15"/>
  <c r="J120" i="14"/>
  <c r="H46" i="23"/>
  <c r="J46" i="22"/>
  <c r="J98" i="13"/>
  <c r="H98" i="14"/>
  <c r="H146" i="15"/>
  <c r="J146" i="14"/>
  <c r="H36" i="17"/>
  <c r="J36" i="16"/>
  <c r="J27" i="14"/>
  <c r="H27" i="15"/>
  <c r="H66" i="17"/>
  <c r="J66" i="16"/>
  <c r="H41" i="16"/>
  <c r="J41" i="15"/>
  <c r="H88" i="16"/>
  <c r="J88" i="15"/>
  <c r="J91" i="15"/>
  <c r="H91" i="16"/>
  <c r="H104" i="15"/>
  <c r="J104" i="14"/>
  <c r="J118" i="16"/>
  <c r="H118" i="17"/>
  <c r="H37" i="21"/>
  <c r="J37" i="20"/>
  <c r="J11" i="15"/>
  <c r="H11" i="16"/>
  <c r="H19" i="18"/>
  <c r="J19" i="17"/>
  <c r="J63" i="15"/>
  <c r="H63" i="16"/>
  <c r="H115" i="17"/>
  <c r="J115" i="16"/>
  <c r="H176" i="16"/>
  <c r="J176" i="15"/>
  <c r="J156" i="15"/>
  <c r="H156" i="16"/>
  <c r="H141" i="15"/>
  <c r="J141" i="14"/>
  <c r="H178" i="15"/>
  <c r="J178" i="14"/>
  <c r="H163" i="15"/>
  <c r="J163" i="14"/>
  <c r="H75" i="17"/>
  <c r="J75" i="16"/>
  <c r="H180" i="15"/>
  <c r="J180" i="14"/>
  <c r="J105" i="14"/>
  <c r="H105" i="15"/>
  <c r="H89" i="16"/>
  <c r="J89" i="15"/>
  <c r="H138" i="19"/>
  <c r="J138" i="18"/>
  <c r="H96" i="15"/>
  <c r="J96" i="14"/>
  <c r="H92" i="15"/>
  <c r="J92" i="14"/>
  <c r="J99" i="13"/>
  <c r="H99" i="14"/>
  <c r="H68" i="25"/>
  <c r="J68" i="24"/>
  <c r="H42" i="40"/>
  <c r="J42" i="25"/>
  <c r="J9" i="15"/>
  <c r="H9" i="16"/>
  <c r="H143" i="17"/>
  <c r="J143" i="16"/>
  <c r="H177" i="18"/>
  <c r="J177" i="17"/>
  <c r="J187" i="15"/>
  <c r="H187" i="16"/>
  <c r="H15" i="15"/>
  <c r="J15" i="14"/>
  <c r="I16" i="14" s="1"/>
  <c r="J59" i="14"/>
  <c r="H59" i="15"/>
  <c r="H150" i="22"/>
  <c r="J150" i="21"/>
  <c r="H112" i="18"/>
  <c r="J112" i="17"/>
  <c r="H131" i="17"/>
  <c r="J131" i="16"/>
  <c r="J95" i="16"/>
  <c r="H95" i="17"/>
  <c r="H84" i="18"/>
  <c r="J84" i="17"/>
  <c r="H87" i="17"/>
  <c r="J87" i="16"/>
  <c r="H175" i="17"/>
  <c r="J175" i="16"/>
  <c r="H119" i="18"/>
  <c r="J119" i="17"/>
  <c r="J12" i="15"/>
  <c r="H12" i="16"/>
  <c r="J188" i="29"/>
  <c r="H188" i="30"/>
  <c r="J94" i="16"/>
  <c r="H94" i="17"/>
  <c r="J182" i="17"/>
  <c r="H182" i="18"/>
  <c r="J113" i="15"/>
  <c r="H113" i="16"/>
  <c r="J157" i="17"/>
  <c r="H157" i="18"/>
  <c r="H152" i="17"/>
  <c r="J152" i="16"/>
  <c r="H189" i="16"/>
  <c r="J189" i="15"/>
  <c r="J135" i="43"/>
  <c r="H87" i="50"/>
  <c r="J87" i="50" s="1"/>
  <c r="H174" i="16"/>
  <c r="J174" i="15"/>
  <c r="H78" i="15"/>
  <c r="J78" i="14"/>
  <c r="H49" i="15"/>
  <c r="J49" i="14"/>
  <c r="H145" i="17"/>
  <c r="J145" i="16"/>
  <c r="H184" i="18"/>
  <c r="J184" i="17"/>
  <c r="J32" i="13"/>
  <c r="H32" i="14"/>
  <c r="H144" i="17"/>
  <c r="J144" i="16"/>
  <c r="H186" i="15"/>
  <c r="J186" i="14"/>
  <c r="J158" i="17"/>
  <c r="H158" i="18"/>
  <c r="J151" i="19"/>
  <c r="H151" i="20"/>
  <c r="H148" i="16"/>
  <c r="J148" i="15"/>
  <c r="H162" i="17"/>
  <c r="J162" i="16"/>
  <c r="H130" i="18"/>
  <c r="J130" i="17"/>
  <c r="J30" i="16"/>
  <c r="H30" i="17"/>
  <c r="H40" i="15"/>
  <c r="J40" i="14"/>
  <c r="H165" i="19"/>
  <c r="J165" i="18"/>
  <c r="H23" i="16"/>
  <c r="J23" i="15"/>
  <c r="J127" i="16"/>
  <c r="H127" i="17"/>
  <c r="J47" i="13"/>
  <c r="H47" i="14"/>
  <c r="H10" i="16"/>
  <c r="J10" i="15"/>
  <c r="H142" i="16"/>
  <c r="J142" i="15"/>
  <c r="H67" i="15"/>
  <c r="J67" i="14"/>
  <c r="J149" i="17"/>
  <c r="H149" i="18"/>
  <c r="H134" i="16"/>
  <c r="J134" i="15"/>
  <c r="H135" i="15"/>
  <c r="J135" i="15" s="1"/>
  <c r="H28" i="15"/>
  <c r="J28" i="14"/>
  <c r="J8" i="18"/>
  <c r="H8" i="19"/>
  <c r="H183" i="18"/>
  <c r="J183" i="17"/>
  <c r="J60" i="12"/>
  <c r="H60" i="13"/>
  <c r="J155" i="16"/>
  <c r="H155" i="17"/>
  <c r="H24" i="16" l="1"/>
  <c r="J24" i="15"/>
  <c r="H39" i="17"/>
  <c r="J39" i="16"/>
  <c r="H18" i="19"/>
  <c r="J18" i="18"/>
  <c r="J71" i="14"/>
  <c r="H71" i="15"/>
  <c r="J55" i="16"/>
  <c r="H55" i="17"/>
  <c r="J70" i="16"/>
  <c r="H70" i="17"/>
  <c r="H45" i="21"/>
  <c r="J45" i="20"/>
  <c r="H20" i="16"/>
  <c r="J20" i="15"/>
  <c r="I20" i="15" s="1"/>
  <c r="H173" i="16"/>
  <c r="J173" i="15"/>
  <c r="J128" i="17"/>
  <c r="H128" i="18"/>
  <c r="J13" i="14"/>
  <c r="H13" i="15"/>
  <c r="J77" i="16"/>
  <c r="H77" i="17"/>
  <c r="H56" i="17"/>
  <c r="J56" i="16"/>
  <c r="H185" i="17"/>
  <c r="J185" i="16"/>
  <c r="J129" i="17"/>
  <c r="H129" i="18"/>
  <c r="J50" i="17"/>
  <c r="H50" i="18"/>
  <c r="J101" i="16"/>
  <c r="H101" i="17"/>
  <c r="J43" i="16"/>
  <c r="H43" i="17"/>
  <c r="J90" i="17"/>
  <c r="H90" i="18"/>
  <c r="J100" i="16"/>
  <c r="H100" i="17"/>
  <c r="J38" i="16"/>
  <c r="H38" i="17"/>
  <c r="J76" i="17"/>
  <c r="H76" i="18"/>
  <c r="J74" i="16"/>
  <c r="H74" i="17"/>
  <c r="J52" i="28"/>
  <c r="H52" i="29"/>
  <c r="J7" i="18"/>
  <c r="I9" i="18" s="1"/>
  <c r="H7" i="19"/>
  <c r="J121" i="16"/>
  <c r="H121" i="17"/>
  <c r="H57" i="17"/>
  <c r="J57" i="16"/>
  <c r="J35" i="17"/>
  <c r="H35" i="18"/>
  <c r="J147" i="16"/>
  <c r="H147" i="17"/>
  <c r="H29" i="18"/>
  <c r="J29" i="17"/>
  <c r="H102" i="17"/>
  <c r="J102" i="16"/>
  <c r="H139" i="17"/>
  <c r="J139" i="16"/>
  <c r="H123" i="17"/>
  <c r="J123" i="16"/>
  <c r="H164" i="19"/>
  <c r="J164" i="18"/>
  <c r="H86" i="18"/>
  <c r="J86" i="17"/>
  <c r="J122" i="17"/>
  <c r="H122" i="18"/>
  <c r="J85" i="16"/>
  <c r="H85" i="17"/>
  <c r="J179" i="16"/>
  <c r="H179" i="17"/>
  <c r="J117" i="16"/>
  <c r="H117" i="17"/>
  <c r="J54" i="17"/>
  <c r="H54" i="18"/>
  <c r="J133" i="18"/>
  <c r="H133" i="19"/>
  <c r="H82" i="17"/>
  <c r="J82" i="16"/>
  <c r="J22" i="16"/>
  <c r="H22" i="17"/>
  <c r="H83" i="20"/>
  <c r="J83" i="19"/>
  <c r="J103" i="18"/>
  <c r="H103" i="19"/>
  <c r="H132" i="20"/>
  <c r="J132" i="19"/>
  <c r="H65" i="17"/>
  <c r="J65" i="16"/>
  <c r="H58" i="19"/>
  <c r="J58" i="18"/>
  <c r="H31" i="18"/>
  <c r="J31" i="17"/>
  <c r="J176" i="16"/>
  <c r="H176" i="17"/>
  <c r="H88" i="17"/>
  <c r="J88" i="16"/>
  <c r="J11" i="16"/>
  <c r="H11" i="17"/>
  <c r="H161" i="18"/>
  <c r="J161" i="17"/>
  <c r="H51" i="17"/>
  <c r="J51" i="16"/>
  <c r="H96" i="16"/>
  <c r="J96" i="15"/>
  <c r="J180" i="15"/>
  <c r="H180" i="16"/>
  <c r="J178" i="15"/>
  <c r="H178" i="16"/>
  <c r="J115" i="17"/>
  <c r="H115" i="18"/>
  <c r="H104" i="16"/>
  <c r="J104" i="15"/>
  <c r="J41" i="16"/>
  <c r="H41" i="17"/>
  <c r="H36" i="18"/>
  <c r="J36" i="17"/>
  <c r="H46" i="24"/>
  <c r="J46" i="23"/>
  <c r="H69" i="16"/>
  <c r="J69" i="15"/>
  <c r="J163" i="15"/>
  <c r="H163" i="16"/>
  <c r="H63" i="17"/>
  <c r="J63" i="16"/>
  <c r="H138" i="20"/>
  <c r="J138" i="19"/>
  <c r="H64" i="17"/>
  <c r="J64" i="16"/>
  <c r="H99" i="15"/>
  <c r="J99" i="14"/>
  <c r="J156" i="16"/>
  <c r="H156" i="17"/>
  <c r="J118" i="17"/>
  <c r="H118" i="18"/>
  <c r="H91" i="17"/>
  <c r="J91" i="16"/>
  <c r="H27" i="16"/>
  <c r="J27" i="15"/>
  <c r="H98" i="15"/>
  <c r="J98" i="14"/>
  <c r="J181" i="14"/>
  <c r="H181" i="15"/>
  <c r="J114" i="16"/>
  <c r="H114" i="17"/>
  <c r="H140" i="16"/>
  <c r="J140" i="15"/>
  <c r="H66" i="18"/>
  <c r="J66" i="17"/>
  <c r="J120" i="15"/>
  <c r="H120" i="16"/>
  <c r="H116" i="18"/>
  <c r="J116" i="17"/>
  <c r="H89" i="17"/>
  <c r="J89" i="16"/>
  <c r="J19" i="18"/>
  <c r="H19" i="19"/>
  <c r="H44" i="18"/>
  <c r="J44" i="17"/>
  <c r="H75" i="18"/>
  <c r="J75" i="17"/>
  <c r="J141" i="15"/>
  <c r="H141" i="16"/>
  <c r="H37" i="22"/>
  <c r="J37" i="21"/>
  <c r="H146" i="16"/>
  <c r="J146" i="15"/>
  <c r="J53" i="16"/>
  <c r="H53" i="17"/>
  <c r="H105" i="16"/>
  <c r="J105" i="15"/>
  <c r="J97" i="15"/>
  <c r="H97" i="16"/>
  <c r="J62" i="15"/>
  <c r="H62" i="16"/>
  <c r="J92" i="15"/>
  <c r="H92" i="16"/>
  <c r="H68" i="40"/>
  <c r="J68" i="25"/>
  <c r="H42" i="27"/>
  <c r="J42" i="40"/>
  <c r="H155" i="18"/>
  <c r="J155" i="17"/>
  <c r="H130" i="19"/>
  <c r="J130" i="18"/>
  <c r="H150" i="23"/>
  <c r="J150" i="22"/>
  <c r="J12" i="16"/>
  <c r="H12" i="17"/>
  <c r="J187" i="16"/>
  <c r="H187" i="17"/>
  <c r="H23" i="17"/>
  <c r="J23" i="16"/>
  <c r="H186" i="16"/>
  <c r="J186" i="15"/>
  <c r="J131" i="17"/>
  <c r="H131" i="18"/>
  <c r="J60" i="13"/>
  <c r="H60" i="14"/>
  <c r="H134" i="17"/>
  <c r="J134" i="16"/>
  <c r="J165" i="19"/>
  <c r="H165" i="20"/>
  <c r="H144" i="18"/>
  <c r="J144" i="17"/>
  <c r="H145" i="18"/>
  <c r="J145" i="17"/>
  <c r="H175" i="18"/>
  <c r="J175" i="17"/>
  <c r="H87" i="18"/>
  <c r="J87" i="17"/>
  <c r="J112" i="18"/>
  <c r="H112" i="19"/>
  <c r="H148" i="17"/>
  <c r="J148" i="16"/>
  <c r="J189" i="16"/>
  <c r="H189" i="17"/>
  <c r="H119" i="19"/>
  <c r="J119" i="18"/>
  <c r="H151" i="21"/>
  <c r="J151" i="20"/>
  <c r="J32" i="14"/>
  <c r="H32" i="15"/>
  <c r="H95" i="18"/>
  <c r="J95" i="17"/>
  <c r="H59" i="16"/>
  <c r="J59" i="15"/>
  <c r="J149" i="18"/>
  <c r="H149" i="19"/>
  <c r="H127" i="18"/>
  <c r="J127" i="17"/>
  <c r="H30" i="18"/>
  <c r="J30" i="17"/>
  <c r="J158" i="18"/>
  <c r="H158" i="19"/>
  <c r="J158" i="19" s="1"/>
  <c r="J157" i="18"/>
  <c r="H157" i="19"/>
  <c r="J157" i="19" s="1"/>
  <c r="H182" i="19"/>
  <c r="J182" i="18"/>
  <c r="H67" i="16"/>
  <c r="J67" i="15"/>
  <c r="H177" i="19"/>
  <c r="J177" i="18"/>
  <c r="H183" i="19"/>
  <c r="J183" i="18"/>
  <c r="J8" i="19"/>
  <c r="H8" i="20"/>
  <c r="H142" i="17"/>
  <c r="J142" i="16"/>
  <c r="J10" i="16"/>
  <c r="H10" i="17"/>
  <c r="H162" i="18"/>
  <c r="J162" i="17"/>
  <c r="J184" i="18"/>
  <c r="H184" i="19"/>
  <c r="H49" i="16"/>
  <c r="J49" i="15"/>
  <c r="H174" i="17"/>
  <c r="J174" i="16"/>
  <c r="H84" i="19"/>
  <c r="J84" i="18"/>
  <c r="H15" i="16"/>
  <c r="J15" i="15"/>
  <c r="I16" i="15" s="1"/>
  <c r="H143" i="18"/>
  <c r="J143" i="17"/>
  <c r="H40" i="16"/>
  <c r="J40" i="15"/>
  <c r="H78" i="16"/>
  <c r="J78" i="15"/>
  <c r="J152" i="17"/>
  <c r="H152" i="18"/>
  <c r="H28" i="16"/>
  <c r="J28" i="15"/>
  <c r="J47" i="14"/>
  <c r="H47" i="15"/>
  <c r="J113" i="16"/>
  <c r="H113" i="17"/>
  <c r="H94" i="18"/>
  <c r="J94" i="17"/>
  <c r="J188" i="30"/>
  <c r="H188" i="43"/>
  <c r="H9" i="17"/>
  <c r="J9" i="16"/>
  <c r="H56" i="18" l="1"/>
  <c r="J56" i="17"/>
  <c r="J173" i="16"/>
  <c r="H173" i="17"/>
  <c r="H24" i="17"/>
  <c r="J24" i="16"/>
  <c r="J77" i="17"/>
  <c r="H77" i="18"/>
  <c r="H71" i="16"/>
  <c r="J71" i="15"/>
  <c r="J20" i="16"/>
  <c r="I20" i="16" s="1"/>
  <c r="H20" i="17"/>
  <c r="J13" i="15"/>
  <c r="H13" i="16"/>
  <c r="H45" i="22"/>
  <c r="J45" i="21"/>
  <c r="J18" i="19"/>
  <c r="H18" i="20"/>
  <c r="J128" i="18"/>
  <c r="H128" i="19"/>
  <c r="J70" i="17"/>
  <c r="H70" i="18"/>
  <c r="J185" i="17"/>
  <c r="H185" i="18"/>
  <c r="H39" i="18"/>
  <c r="J39" i="17"/>
  <c r="J55" i="17"/>
  <c r="H55" i="18"/>
  <c r="J86" i="18"/>
  <c r="H86" i="19"/>
  <c r="H123" i="18"/>
  <c r="J123" i="17"/>
  <c r="J102" i="17"/>
  <c r="H102" i="18"/>
  <c r="J57" i="17"/>
  <c r="H57" i="18"/>
  <c r="J117" i="17"/>
  <c r="H117" i="18"/>
  <c r="J85" i="17"/>
  <c r="H85" i="18"/>
  <c r="H147" i="18"/>
  <c r="J147" i="17"/>
  <c r="J7" i="19"/>
  <c r="I9" i="19" s="1"/>
  <c r="H7" i="20"/>
  <c r="H74" i="18"/>
  <c r="J74" i="17"/>
  <c r="J38" i="17"/>
  <c r="H38" i="18"/>
  <c r="J90" i="18"/>
  <c r="H90" i="19"/>
  <c r="J101" i="17"/>
  <c r="H101" i="18"/>
  <c r="J129" i="18"/>
  <c r="H129" i="19"/>
  <c r="J164" i="19"/>
  <c r="H164" i="20"/>
  <c r="J139" i="17"/>
  <c r="H139" i="18"/>
  <c r="J29" i="18"/>
  <c r="H29" i="19"/>
  <c r="J54" i="18"/>
  <c r="H54" i="19"/>
  <c r="J179" i="17"/>
  <c r="H179" i="18"/>
  <c r="J122" i="18"/>
  <c r="H122" i="19"/>
  <c r="J35" i="18"/>
  <c r="H35" i="19"/>
  <c r="J121" i="17"/>
  <c r="H121" i="18"/>
  <c r="J52" i="29"/>
  <c r="H52" i="30"/>
  <c r="H76" i="19"/>
  <c r="J76" i="18"/>
  <c r="J100" i="17"/>
  <c r="H100" i="18"/>
  <c r="J43" i="17"/>
  <c r="H43" i="18"/>
  <c r="J50" i="18"/>
  <c r="H50" i="19"/>
  <c r="J133" i="19"/>
  <c r="H133" i="20"/>
  <c r="J103" i="19"/>
  <c r="H103" i="20"/>
  <c r="H31" i="19"/>
  <c r="J31" i="18"/>
  <c r="H58" i="20"/>
  <c r="J58" i="19"/>
  <c r="H83" i="21"/>
  <c r="J83" i="20"/>
  <c r="H22" i="18"/>
  <c r="J22" i="17"/>
  <c r="H65" i="18"/>
  <c r="J65" i="17"/>
  <c r="J132" i="20"/>
  <c r="H132" i="21"/>
  <c r="H82" i="18"/>
  <c r="J82" i="17"/>
  <c r="H161" i="19"/>
  <c r="J161" i="18"/>
  <c r="J97" i="16"/>
  <c r="H97" i="17"/>
  <c r="H53" i="18"/>
  <c r="J53" i="17"/>
  <c r="H115" i="19"/>
  <c r="J115" i="18"/>
  <c r="H105" i="17"/>
  <c r="J105" i="16"/>
  <c r="J75" i="18"/>
  <c r="H75" i="19"/>
  <c r="H89" i="18"/>
  <c r="J89" i="17"/>
  <c r="J140" i="16"/>
  <c r="H140" i="17"/>
  <c r="H27" i="17"/>
  <c r="J27" i="16"/>
  <c r="J99" i="15"/>
  <c r="H99" i="16"/>
  <c r="J63" i="17"/>
  <c r="H63" i="18"/>
  <c r="H46" i="25"/>
  <c r="J46" i="24"/>
  <c r="H51" i="18"/>
  <c r="J51" i="17"/>
  <c r="H104" i="17"/>
  <c r="J104" i="16"/>
  <c r="J114" i="17"/>
  <c r="H114" i="18"/>
  <c r="H178" i="17"/>
  <c r="J178" i="16"/>
  <c r="H11" i="18"/>
  <c r="J11" i="17"/>
  <c r="H146" i="17"/>
  <c r="J146" i="16"/>
  <c r="H44" i="19"/>
  <c r="J44" i="18"/>
  <c r="H116" i="19"/>
  <c r="J116" i="18"/>
  <c r="H91" i="18"/>
  <c r="J91" i="17"/>
  <c r="H92" i="17"/>
  <c r="J92" i="16"/>
  <c r="H19" i="20"/>
  <c r="J19" i="19"/>
  <c r="H120" i="17"/>
  <c r="J120" i="16"/>
  <c r="H181" i="16"/>
  <c r="J181" i="15"/>
  <c r="J118" i="18"/>
  <c r="H118" i="19"/>
  <c r="H163" i="17"/>
  <c r="J163" i="16"/>
  <c r="H41" i="18"/>
  <c r="J41" i="17"/>
  <c r="H180" i="17"/>
  <c r="J180" i="16"/>
  <c r="H36" i="19"/>
  <c r="J36" i="18"/>
  <c r="H37" i="23"/>
  <c r="J37" i="22"/>
  <c r="H88" i="18"/>
  <c r="J88" i="17"/>
  <c r="J64" i="17"/>
  <c r="H64" i="18"/>
  <c r="H62" i="17"/>
  <c r="J62" i="16"/>
  <c r="J141" i="16"/>
  <c r="H141" i="17"/>
  <c r="J156" i="17"/>
  <c r="H156" i="18"/>
  <c r="H176" i="18"/>
  <c r="J176" i="17"/>
  <c r="J66" i="18"/>
  <c r="H66" i="19"/>
  <c r="H98" i="16"/>
  <c r="J98" i="15"/>
  <c r="H138" i="21"/>
  <c r="J138" i="20"/>
  <c r="H69" i="17"/>
  <c r="J69" i="16"/>
  <c r="H96" i="17"/>
  <c r="J96" i="16"/>
  <c r="H68" i="27"/>
  <c r="J68" i="40"/>
  <c r="H42" i="28"/>
  <c r="J42" i="27"/>
  <c r="H47" i="16"/>
  <c r="J47" i="15"/>
  <c r="H94" i="19"/>
  <c r="J94" i="18"/>
  <c r="J177" i="19"/>
  <c r="H177" i="20"/>
  <c r="H67" i="17"/>
  <c r="J67" i="16"/>
  <c r="J127" i="18"/>
  <c r="H127" i="19"/>
  <c r="J95" i="18"/>
  <c r="H95" i="19"/>
  <c r="H119" i="20"/>
  <c r="J119" i="19"/>
  <c r="H175" i="19"/>
  <c r="J175" i="18"/>
  <c r="J186" i="16"/>
  <c r="H186" i="17"/>
  <c r="J152" i="18"/>
  <c r="H152" i="19"/>
  <c r="J149" i="19"/>
  <c r="H149" i="20"/>
  <c r="J32" i="15"/>
  <c r="H32" i="16"/>
  <c r="H189" i="18"/>
  <c r="J189" i="17"/>
  <c r="H112" i="20"/>
  <c r="J112" i="19"/>
  <c r="J165" i="20"/>
  <c r="H165" i="21"/>
  <c r="H113" i="18"/>
  <c r="J113" i="17"/>
  <c r="H9" i="18"/>
  <c r="J9" i="17"/>
  <c r="H28" i="17"/>
  <c r="J28" i="16"/>
  <c r="J143" i="18"/>
  <c r="H143" i="19"/>
  <c r="H84" i="20"/>
  <c r="J84" i="19"/>
  <c r="H162" i="19"/>
  <c r="J162" i="18"/>
  <c r="J142" i="17"/>
  <c r="H142" i="18"/>
  <c r="H23" i="18"/>
  <c r="J23" i="17"/>
  <c r="H8" i="21"/>
  <c r="J8" i="20"/>
  <c r="J187" i="17"/>
  <c r="H187" i="18"/>
  <c r="H130" i="20"/>
  <c r="J130" i="19"/>
  <c r="H78" i="17"/>
  <c r="J78" i="16"/>
  <c r="H15" i="17"/>
  <c r="J15" i="16"/>
  <c r="I16" i="16" s="1"/>
  <c r="J174" i="17"/>
  <c r="H174" i="18"/>
  <c r="H59" i="17"/>
  <c r="J59" i="16"/>
  <c r="J151" i="21"/>
  <c r="H151" i="22"/>
  <c r="J145" i="18"/>
  <c r="H145" i="19"/>
  <c r="J134" i="17"/>
  <c r="H134" i="18"/>
  <c r="J150" i="23"/>
  <c r="H150" i="24"/>
  <c r="J60" i="14"/>
  <c r="H60" i="15"/>
  <c r="H188" i="31"/>
  <c r="J188" i="31" s="1"/>
  <c r="J188" i="43"/>
  <c r="H132" i="50"/>
  <c r="J132" i="50" s="1"/>
  <c r="H40" i="17"/>
  <c r="J40" i="16"/>
  <c r="J49" i="16"/>
  <c r="H49" i="17"/>
  <c r="H183" i="20"/>
  <c r="J183" i="19"/>
  <c r="H182" i="20"/>
  <c r="J182" i="19"/>
  <c r="J30" i="18"/>
  <c r="H30" i="19"/>
  <c r="J148" i="17"/>
  <c r="H148" i="18"/>
  <c r="H87" i="19"/>
  <c r="J87" i="18"/>
  <c r="H144" i="19"/>
  <c r="J144" i="18"/>
  <c r="H184" i="20"/>
  <c r="J184" i="19"/>
  <c r="H10" i="18"/>
  <c r="J10" i="17"/>
  <c r="H131" i="19"/>
  <c r="J131" i="18"/>
  <c r="J12" i="17"/>
  <c r="H12" i="18"/>
  <c r="H155" i="19"/>
  <c r="J155" i="18"/>
  <c r="H185" i="19" l="1"/>
  <c r="J185" i="18"/>
  <c r="J77" i="18"/>
  <c r="H77" i="19"/>
  <c r="H45" i="23"/>
  <c r="J45" i="22"/>
  <c r="J70" i="18"/>
  <c r="H70" i="19"/>
  <c r="H13" i="17"/>
  <c r="J13" i="16"/>
  <c r="H24" i="18"/>
  <c r="J24" i="17"/>
  <c r="J55" i="18"/>
  <c r="H55" i="19"/>
  <c r="J128" i="19"/>
  <c r="H128" i="20"/>
  <c r="H20" i="18"/>
  <c r="J20" i="17"/>
  <c r="I20" i="17" s="1"/>
  <c r="J173" i="17"/>
  <c r="H173" i="18"/>
  <c r="J18" i="20"/>
  <c r="H18" i="21"/>
  <c r="J39" i="18"/>
  <c r="H39" i="19"/>
  <c r="H71" i="17"/>
  <c r="J71" i="16"/>
  <c r="H56" i="19"/>
  <c r="J56" i="18"/>
  <c r="J74" i="18"/>
  <c r="H74" i="19"/>
  <c r="J147" i="18"/>
  <c r="H147" i="19"/>
  <c r="J43" i="18"/>
  <c r="H43" i="19"/>
  <c r="J100" i="18"/>
  <c r="H100" i="19"/>
  <c r="J52" i="30"/>
  <c r="H52" i="43"/>
  <c r="J35" i="19"/>
  <c r="H35" i="20"/>
  <c r="J179" i="18"/>
  <c r="H179" i="19"/>
  <c r="J29" i="19"/>
  <c r="H29" i="20"/>
  <c r="J164" i="20"/>
  <c r="H164" i="21"/>
  <c r="J101" i="18"/>
  <c r="H101" i="19"/>
  <c r="J90" i="19"/>
  <c r="H90" i="20"/>
  <c r="J117" i="18"/>
  <c r="H117" i="19"/>
  <c r="J102" i="18"/>
  <c r="H102" i="19"/>
  <c r="H86" i="20"/>
  <c r="J86" i="19"/>
  <c r="J76" i="19"/>
  <c r="H76" i="20"/>
  <c r="J123" i="18"/>
  <c r="H123" i="19"/>
  <c r="J50" i="19"/>
  <c r="H50" i="20"/>
  <c r="H121" i="19"/>
  <c r="J121" i="18"/>
  <c r="J122" i="19"/>
  <c r="H122" i="20"/>
  <c r="J54" i="19"/>
  <c r="H54" i="20"/>
  <c r="J139" i="18"/>
  <c r="H139" i="19"/>
  <c r="J129" i="19"/>
  <c r="H129" i="20"/>
  <c r="J38" i="18"/>
  <c r="H38" i="19"/>
  <c r="H7" i="21"/>
  <c r="J7" i="20"/>
  <c r="I9" i="20" s="1"/>
  <c r="H85" i="19"/>
  <c r="J85" i="18"/>
  <c r="J57" i="18"/>
  <c r="H57" i="19"/>
  <c r="J133" i="20"/>
  <c r="H133" i="21"/>
  <c r="J132" i="21"/>
  <c r="H132" i="22"/>
  <c r="H83" i="22"/>
  <c r="J83" i="21"/>
  <c r="H58" i="21"/>
  <c r="J58" i="20"/>
  <c r="H65" i="19"/>
  <c r="J65" i="18"/>
  <c r="H31" i="20"/>
  <c r="J31" i="19"/>
  <c r="J103" i="20"/>
  <c r="H103" i="21"/>
  <c r="H82" i="19"/>
  <c r="J82" i="18"/>
  <c r="H22" i="19"/>
  <c r="J22" i="18"/>
  <c r="H64" i="19"/>
  <c r="J64" i="18"/>
  <c r="J63" i="18"/>
  <c r="H63" i="19"/>
  <c r="H138" i="22"/>
  <c r="J138" i="21"/>
  <c r="H176" i="19"/>
  <c r="J176" i="18"/>
  <c r="H37" i="24"/>
  <c r="J37" i="23"/>
  <c r="J163" i="17"/>
  <c r="H163" i="18"/>
  <c r="J19" i="20"/>
  <c r="H19" i="21"/>
  <c r="H146" i="18"/>
  <c r="J146" i="17"/>
  <c r="H89" i="19"/>
  <c r="J89" i="18"/>
  <c r="J115" i="19"/>
  <c r="H115" i="20"/>
  <c r="H156" i="19"/>
  <c r="J156" i="18"/>
  <c r="H118" i="20"/>
  <c r="J118" i="19"/>
  <c r="H99" i="17"/>
  <c r="J99" i="16"/>
  <c r="H75" i="20"/>
  <c r="J75" i="19"/>
  <c r="H98" i="17"/>
  <c r="J98" i="16"/>
  <c r="H88" i="19"/>
  <c r="J88" i="18"/>
  <c r="H36" i="20"/>
  <c r="J36" i="19"/>
  <c r="H91" i="19"/>
  <c r="J91" i="18"/>
  <c r="H11" i="19"/>
  <c r="J11" i="18"/>
  <c r="H104" i="18"/>
  <c r="J104" i="17"/>
  <c r="J53" i="18"/>
  <c r="H53" i="19"/>
  <c r="H66" i="20"/>
  <c r="J66" i="19"/>
  <c r="J141" i="17"/>
  <c r="H141" i="18"/>
  <c r="J97" i="17"/>
  <c r="H97" i="18"/>
  <c r="H96" i="18"/>
  <c r="J96" i="17"/>
  <c r="H180" i="18"/>
  <c r="J180" i="17"/>
  <c r="J181" i="16"/>
  <c r="H181" i="17"/>
  <c r="H92" i="18"/>
  <c r="J92" i="17"/>
  <c r="H116" i="20"/>
  <c r="J116" i="19"/>
  <c r="H178" i="18"/>
  <c r="J178" i="17"/>
  <c r="H51" i="19"/>
  <c r="J51" i="18"/>
  <c r="H27" i="18"/>
  <c r="J27" i="17"/>
  <c r="H105" i="18"/>
  <c r="J105" i="17"/>
  <c r="H114" i="19"/>
  <c r="J114" i="18"/>
  <c r="H140" i="18"/>
  <c r="J140" i="17"/>
  <c r="H69" i="18"/>
  <c r="J69" i="17"/>
  <c r="J62" i="17"/>
  <c r="H62" i="18"/>
  <c r="H41" i="19"/>
  <c r="J41" i="18"/>
  <c r="H120" i="18"/>
  <c r="J120" i="17"/>
  <c r="H44" i="20"/>
  <c r="J44" i="19"/>
  <c r="H46" i="40"/>
  <c r="J46" i="25"/>
  <c r="J161" i="19"/>
  <c r="H161" i="20"/>
  <c r="J68" i="27"/>
  <c r="H68" i="28"/>
  <c r="H42" i="29"/>
  <c r="J42" i="28"/>
  <c r="J148" i="18"/>
  <c r="H148" i="19"/>
  <c r="H49" i="18"/>
  <c r="J49" i="17"/>
  <c r="J150" i="24"/>
  <c r="H150" i="25"/>
  <c r="J174" i="18"/>
  <c r="H174" i="19"/>
  <c r="H142" i="19"/>
  <c r="J142" i="18"/>
  <c r="J143" i="19"/>
  <c r="H143" i="20"/>
  <c r="J186" i="17"/>
  <c r="H186" i="18"/>
  <c r="H182" i="21"/>
  <c r="J182" i="20"/>
  <c r="H189" i="19"/>
  <c r="J189" i="19" s="1"/>
  <c r="J189" i="18"/>
  <c r="H175" i="20"/>
  <c r="J175" i="19"/>
  <c r="J155" i="19"/>
  <c r="H155" i="20"/>
  <c r="J145" i="19"/>
  <c r="H145" i="20"/>
  <c r="J32" i="16"/>
  <c r="H32" i="17"/>
  <c r="J95" i="19"/>
  <c r="H95" i="20"/>
  <c r="H177" i="21"/>
  <c r="J177" i="20"/>
  <c r="H10" i="19"/>
  <c r="J10" i="18"/>
  <c r="H40" i="18"/>
  <c r="J40" i="17"/>
  <c r="H15" i="18"/>
  <c r="J15" i="17"/>
  <c r="I16" i="17" s="1"/>
  <c r="H8" i="22"/>
  <c r="J8" i="21"/>
  <c r="J23" i="18"/>
  <c r="H23" i="19"/>
  <c r="J162" i="19"/>
  <c r="H162" i="20"/>
  <c r="H28" i="18"/>
  <c r="J28" i="17"/>
  <c r="H144" i="20"/>
  <c r="J144" i="19"/>
  <c r="H151" i="23"/>
  <c r="J151" i="22"/>
  <c r="H165" i="22"/>
  <c r="J165" i="21"/>
  <c r="J149" i="20"/>
  <c r="H149" i="21"/>
  <c r="J127" i="19"/>
  <c r="H127" i="20"/>
  <c r="J184" i="20"/>
  <c r="H184" i="21"/>
  <c r="H87" i="20"/>
  <c r="J87" i="19"/>
  <c r="J183" i="20"/>
  <c r="H183" i="21"/>
  <c r="H78" i="18"/>
  <c r="J78" i="17"/>
  <c r="J130" i="20"/>
  <c r="H130" i="21"/>
  <c r="H9" i="19"/>
  <c r="J9" i="18"/>
  <c r="H94" i="20"/>
  <c r="J94" i="19"/>
  <c r="J30" i="19"/>
  <c r="H30" i="20"/>
  <c r="H60" i="16"/>
  <c r="J60" i="15"/>
  <c r="H134" i="19"/>
  <c r="J134" i="18"/>
  <c r="J187" i="18"/>
  <c r="H187" i="19"/>
  <c r="J152" i="19"/>
  <c r="H152" i="20"/>
  <c r="J12" i="18"/>
  <c r="H12" i="19"/>
  <c r="H131" i="20"/>
  <c r="J131" i="19"/>
  <c r="H59" i="18"/>
  <c r="J59" i="17"/>
  <c r="H84" i="21"/>
  <c r="J84" i="20"/>
  <c r="H113" i="19"/>
  <c r="J113" i="18"/>
  <c r="H112" i="21"/>
  <c r="J112" i="20"/>
  <c r="J119" i="20"/>
  <c r="H119" i="21"/>
  <c r="H67" i="18"/>
  <c r="J67" i="17"/>
  <c r="J47" i="16"/>
  <c r="H47" i="17"/>
  <c r="J71" i="17" l="1"/>
  <c r="H71" i="18"/>
  <c r="J20" i="18"/>
  <c r="I20" i="18" s="1"/>
  <c r="H20" i="19"/>
  <c r="J13" i="17"/>
  <c r="H13" i="18"/>
  <c r="H185" i="20"/>
  <c r="J185" i="19"/>
  <c r="H39" i="20"/>
  <c r="J39" i="19"/>
  <c r="H128" i="21"/>
  <c r="J128" i="20"/>
  <c r="J70" i="19"/>
  <c r="H70" i="20"/>
  <c r="H18" i="22"/>
  <c r="J18" i="21"/>
  <c r="J55" i="19"/>
  <c r="H55" i="20"/>
  <c r="J45" i="23"/>
  <c r="H45" i="24"/>
  <c r="J173" i="18"/>
  <c r="H173" i="19"/>
  <c r="J77" i="19"/>
  <c r="H77" i="20"/>
  <c r="J24" i="18"/>
  <c r="H24" i="19"/>
  <c r="J56" i="19"/>
  <c r="H56" i="20"/>
  <c r="J85" i="19"/>
  <c r="H85" i="20"/>
  <c r="J121" i="19"/>
  <c r="H121" i="20"/>
  <c r="J38" i="19"/>
  <c r="H38" i="20"/>
  <c r="J129" i="20"/>
  <c r="H129" i="21"/>
  <c r="J54" i="20"/>
  <c r="H54" i="21"/>
  <c r="J50" i="20"/>
  <c r="H50" i="21"/>
  <c r="J76" i="20"/>
  <c r="H76" i="21"/>
  <c r="H102" i="20"/>
  <c r="J102" i="19"/>
  <c r="H90" i="21"/>
  <c r="J90" i="20"/>
  <c r="J164" i="21"/>
  <c r="H164" i="22"/>
  <c r="H179" i="20"/>
  <c r="J179" i="19"/>
  <c r="H52" i="31"/>
  <c r="J52" i="31" s="1"/>
  <c r="H53" i="50"/>
  <c r="J53" i="50" s="1"/>
  <c r="J52" i="43"/>
  <c r="J43" i="19"/>
  <c r="H43" i="20"/>
  <c r="J74" i="19"/>
  <c r="H74" i="20"/>
  <c r="J7" i="21"/>
  <c r="I9" i="21" s="1"/>
  <c r="H7" i="22"/>
  <c r="J86" i="20"/>
  <c r="H86" i="21"/>
  <c r="J57" i="19"/>
  <c r="H57" i="20"/>
  <c r="H139" i="20"/>
  <c r="J139" i="19"/>
  <c r="H122" i="21"/>
  <c r="J122" i="20"/>
  <c r="H123" i="20"/>
  <c r="J123" i="19"/>
  <c r="H117" i="20"/>
  <c r="J117" i="19"/>
  <c r="J101" i="19"/>
  <c r="H101" i="20"/>
  <c r="J29" i="20"/>
  <c r="H29" i="21"/>
  <c r="J35" i="20"/>
  <c r="H35" i="21"/>
  <c r="J100" i="19"/>
  <c r="H100" i="20"/>
  <c r="H147" i="20"/>
  <c r="J147" i="19"/>
  <c r="H133" i="22"/>
  <c r="J133" i="21"/>
  <c r="J82" i="19"/>
  <c r="H82" i="20"/>
  <c r="J103" i="21"/>
  <c r="H103" i="22"/>
  <c r="H58" i="22"/>
  <c r="J58" i="21"/>
  <c r="H31" i="21"/>
  <c r="J31" i="20"/>
  <c r="H83" i="23"/>
  <c r="J83" i="22"/>
  <c r="H132" i="23"/>
  <c r="J132" i="22"/>
  <c r="H22" i="20"/>
  <c r="J22" i="19"/>
  <c r="H65" i="20"/>
  <c r="J65" i="19"/>
  <c r="J53" i="19"/>
  <c r="H53" i="20"/>
  <c r="H115" i="21"/>
  <c r="J115" i="20"/>
  <c r="J19" i="21"/>
  <c r="H19" i="22"/>
  <c r="H44" i="21"/>
  <c r="J44" i="20"/>
  <c r="J140" i="18"/>
  <c r="H140" i="19"/>
  <c r="J27" i="18"/>
  <c r="H27" i="19"/>
  <c r="H92" i="19"/>
  <c r="J92" i="18"/>
  <c r="H96" i="19"/>
  <c r="J96" i="18"/>
  <c r="H75" i="21"/>
  <c r="J75" i="20"/>
  <c r="H138" i="23"/>
  <c r="J138" i="22"/>
  <c r="H62" i="19"/>
  <c r="J62" i="18"/>
  <c r="J181" i="17"/>
  <c r="H181" i="18"/>
  <c r="H97" i="19"/>
  <c r="J97" i="18"/>
  <c r="H163" i="19"/>
  <c r="J163" i="18"/>
  <c r="J63" i="19"/>
  <c r="H63" i="20"/>
  <c r="H114" i="20"/>
  <c r="J114" i="19"/>
  <c r="J51" i="19"/>
  <c r="H51" i="20"/>
  <c r="H104" i="19"/>
  <c r="J104" i="18"/>
  <c r="J36" i="20"/>
  <c r="H36" i="21"/>
  <c r="H99" i="18"/>
  <c r="J99" i="17"/>
  <c r="H89" i="20"/>
  <c r="J89" i="19"/>
  <c r="H161" i="21"/>
  <c r="J161" i="20"/>
  <c r="J141" i="18"/>
  <c r="H141" i="19"/>
  <c r="J120" i="18"/>
  <c r="H120" i="19"/>
  <c r="H69" i="19"/>
  <c r="J69" i="18"/>
  <c r="H178" i="19"/>
  <c r="J178" i="18"/>
  <c r="H180" i="19"/>
  <c r="J180" i="18"/>
  <c r="H11" i="20"/>
  <c r="J11" i="19"/>
  <c r="J88" i="19"/>
  <c r="H88" i="20"/>
  <c r="H118" i="21"/>
  <c r="J118" i="20"/>
  <c r="H37" i="25"/>
  <c r="J37" i="24"/>
  <c r="H46" i="27"/>
  <c r="J46" i="40"/>
  <c r="H41" i="20"/>
  <c r="J41" i="19"/>
  <c r="H105" i="19"/>
  <c r="J105" i="18"/>
  <c r="H116" i="21"/>
  <c r="J116" i="20"/>
  <c r="H66" i="21"/>
  <c r="J66" i="20"/>
  <c r="J91" i="19"/>
  <c r="H91" i="20"/>
  <c r="J98" i="17"/>
  <c r="H98" i="18"/>
  <c r="H156" i="20"/>
  <c r="J156" i="19"/>
  <c r="J146" i="18"/>
  <c r="H146" i="19"/>
  <c r="H176" i="20"/>
  <c r="J176" i="19"/>
  <c r="H64" i="20"/>
  <c r="J64" i="19"/>
  <c r="J68" i="28"/>
  <c r="H68" i="29"/>
  <c r="H42" i="30"/>
  <c r="J42" i="29"/>
  <c r="J113" i="19"/>
  <c r="H113" i="20"/>
  <c r="H59" i="19"/>
  <c r="J59" i="18"/>
  <c r="J134" i="19"/>
  <c r="H134" i="20"/>
  <c r="H78" i="19"/>
  <c r="J78" i="18"/>
  <c r="H23" i="20"/>
  <c r="J23" i="19"/>
  <c r="J186" i="18"/>
  <c r="H186" i="19"/>
  <c r="J152" i="20"/>
  <c r="H152" i="21"/>
  <c r="H183" i="22"/>
  <c r="J183" i="21"/>
  <c r="H175" i="21"/>
  <c r="J175" i="20"/>
  <c r="H47" i="18"/>
  <c r="J47" i="17"/>
  <c r="J60" i="16"/>
  <c r="H60" i="17"/>
  <c r="H165" i="23"/>
  <c r="J165" i="22"/>
  <c r="H144" i="21"/>
  <c r="J144" i="20"/>
  <c r="H67" i="19"/>
  <c r="J67" i="18"/>
  <c r="H119" i="22"/>
  <c r="J119" i="21"/>
  <c r="J187" i="19"/>
  <c r="H187" i="20"/>
  <c r="J30" i="20"/>
  <c r="H30" i="21"/>
  <c r="H28" i="19"/>
  <c r="J28" i="18"/>
  <c r="H8" i="23"/>
  <c r="J8" i="22"/>
  <c r="H40" i="19"/>
  <c r="J40" i="18"/>
  <c r="H10" i="20"/>
  <c r="J10" i="19"/>
  <c r="H177" i="22"/>
  <c r="J177" i="21"/>
  <c r="H182" i="22"/>
  <c r="J182" i="21"/>
  <c r="H49" i="19"/>
  <c r="J49" i="18"/>
  <c r="H84" i="22"/>
  <c r="J84" i="21"/>
  <c r="J131" i="20"/>
  <c r="H131" i="21"/>
  <c r="H9" i="20"/>
  <c r="J9" i="19"/>
  <c r="H162" i="21"/>
  <c r="J162" i="20"/>
  <c r="J95" i="20"/>
  <c r="H95" i="21"/>
  <c r="J155" i="20"/>
  <c r="H155" i="21"/>
  <c r="H143" i="21"/>
  <c r="J143" i="20"/>
  <c r="J174" i="19"/>
  <c r="H174" i="20"/>
  <c r="H148" i="20"/>
  <c r="J148" i="19"/>
  <c r="H12" i="20"/>
  <c r="J12" i="19"/>
  <c r="H130" i="22"/>
  <c r="J130" i="21"/>
  <c r="J127" i="20"/>
  <c r="H127" i="21"/>
  <c r="H15" i="19"/>
  <c r="J15" i="18"/>
  <c r="I16" i="18" s="1"/>
  <c r="J112" i="21"/>
  <c r="H112" i="22"/>
  <c r="H94" i="21"/>
  <c r="J94" i="20"/>
  <c r="H87" i="21"/>
  <c r="J87" i="20"/>
  <c r="H151" i="24"/>
  <c r="J151" i="23"/>
  <c r="J32" i="17"/>
  <c r="H32" i="18"/>
  <c r="J145" i="20"/>
  <c r="H145" i="21"/>
  <c r="H150" i="40"/>
  <c r="J150" i="25"/>
  <c r="H184" i="22"/>
  <c r="J184" i="21"/>
  <c r="H149" i="22"/>
  <c r="J149" i="21"/>
  <c r="H142" i="20"/>
  <c r="J142" i="19"/>
  <c r="J77" i="20" l="1"/>
  <c r="H77" i="21"/>
  <c r="H18" i="23"/>
  <c r="J18" i="22"/>
  <c r="H185" i="21"/>
  <c r="J185" i="20"/>
  <c r="J173" i="19"/>
  <c r="H173" i="20"/>
  <c r="J70" i="20"/>
  <c r="H70" i="21"/>
  <c r="J13" i="18"/>
  <c r="H13" i="19"/>
  <c r="J56" i="20"/>
  <c r="H56" i="21"/>
  <c r="H45" i="25"/>
  <c r="J45" i="24"/>
  <c r="J20" i="19"/>
  <c r="I20" i="19" s="1"/>
  <c r="H20" i="20"/>
  <c r="J128" i="21"/>
  <c r="H128" i="22"/>
  <c r="H24" i="20"/>
  <c r="J24" i="19"/>
  <c r="J55" i="20"/>
  <c r="H55" i="21"/>
  <c r="J71" i="18"/>
  <c r="H71" i="19"/>
  <c r="H39" i="21"/>
  <c r="J39" i="20"/>
  <c r="H35" i="22"/>
  <c r="J35" i="21"/>
  <c r="H101" i="21"/>
  <c r="J101" i="20"/>
  <c r="J86" i="21"/>
  <c r="H86" i="22"/>
  <c r="J74" i="20"/>
  <c r="H74" i="21"/>
  <c r="J74" i="21" s="1"/>
  <c r="H179" i="21"/>
  <c r="J179" i="20"/>
  <c r="J90" i="21"/>
  <c r="H90" i="22"/>
  <c r="H117" i="21"/>
  <c r="J117" i="20"/>
  <c r="H139" i="21"/>
  <c r="J139" i="20"/>
  <c r="J76" i="21"/>
  <c r="H76" i="22"/>
  <c r="J54" i="21"/>
  <c r="H54" i="22"/>
  <c r="J38" i="20"/>
  <c r="H38" i="21"/>
  <c r="J85" i="20"/>
  <c r="H85" i="21"/>
  <c r="J100" i="20"/>
  <c r="H100" i="21"/>
  <c r="J29" i="21"/>
  <c r="H29" i="22"/>
  <c r="J57" i="20"/>
  <c r="H57" i="21"/>
  <c r="J7" i="22"/>
  <c r="I9" i="22" s="1"/>
  <c r="H7" i="23"/>
  <c r="J43" i="20"/>
  <c r="H43" i="21"/>
  <c r="J102" i="20"/>
  <c r="H102" i="21"/>
  <c r="J147" i="20"/>
  <c r="H147" i="21"/>
  <c r="H123" i="21"/>
  <c r="J123" i="20"/>
  <c r="J122" i="21"/>
  <c r="H122" i="22"/>
  <c r="H164" i="23"/>
  <c r="J164" i="22"/>
  <c r="J50" i="21"/>
  <c r="H50" i="22"/>
  <c r="J129" i="21"/>
  <c r="H129" i="22"/>
  <c r="J121" i="20"/>
  <c r="H121" i="21"/>
  <c r="J133" i="22"/>
  <c r="H133" i="23"/>
  <c r="H22" i="21"/>
  <c r="J22" i="20"/>
  <c r="H58" i="23"/>
  <c r="J58" i="22"/>
  <c r="J132" i="23"/>
  <c r="H132" i="24"/>
  <c r="J103" i="22"/>
  <c r="H103" i="23"/>
  <c r="H83" i="24"/>
  <c r="J83" i="23"/>
  <c r="H82" i="21"/>
  <c r="J82" i="20"/>
  <c r="H65" i="21"/>
  <c r="J65" i="20"/>
  <c r="J31" i="21"/>
  <c r="H31" i="22"/>
  <c r="H146" i="20"/>
  <c r="J146" i="19"/>
  <c r="J120" i="19"/>
  <c r="H120" i="20"/>
  <c r="H51" i="21"/>
  <c r="J51" i="20"/>
  <c r="H66" i="22"/>
  <c r="J66" i="21"/>
  <c r="H41" i="21"/>
  <c r="J41" i="20"/>
  <c r="H37" i="40"/>
  <c r="J37" i="25"/>
  <c r="H11" i="21"/>
  <c r="J11" i="20"/>
  <c r="H89" i="21"/>
  <c r="J89" i="20"/>
  <c r="H163" i="20"/>
  <c r="J163" i="19"/>
  <c r="H138" i="24"/>
  <c r="J138" i="23"/>
  <c r="H92" i="20"/>
  <c r="J92" i="19"/>
  <c r="H44" i="22"/>
  <c r="J44" i="21"/>
  <c r="J141" i="19"/>
  <c r="H141" i="20"/>
  <c r="H27" i="20"/>
  <c r="J27" i="19"/>
  <c r="J19" i="22"/>
  <c r="H19" i="23"/>
  <c r="H156" i="21"/>
  <c r="J156" i="20"/>
  <c r="H116" i="22"/>
  <c r="J116" i="21"/>
  <c r="H46" i="28"/>
  <c r="J46" i="27"/>
  <c r="H180" i="20"/>
  <c r="J180" i="19"/>
  <c r="H99" i="19"/>
  <c r="J99" i="18"/>
  <c r="H114" i="21"/>
  <c r="J114" i="20"/>
  <c r="H97" i="20"/>
  <c r="J97" i="19"/>
  <c r="H75" i="22"/>
  <c r="H75" i="23" s="1"/>
  <c r="J75" i="21"/>
  <c r="H98" i="19"/>
  <c r="J98" i="18"/>
  <c r="J36" i="21"/>
  <c r="H36" i="22"/>
  <c r="J181" i="18"/>
  <c r="H181" i="19"/>
  <c r="H140" i="20"/>
  <c r="J140" i="19"/>
  <c r="J64" i="20"/>
  <c r="H64" i="21"/>
  <c r="J105" i="19"/>
  <c r="H105" i="20"/>
  <c r="J118" i="21"/>
  <c r="H118" i="22"/>
  <c r="H178" i="20"/>
  <c r="J178" i="19"/>
  <c r="H115" i="22"/>
  <c r="J115" i="21"/>
  <c r="H91" i="21"/>
  <c r="J91" i="20"/>
  <c r="J88" i="20"/>
  <c r="H88" i="21"/>
  <c r="H63" i="21"/>
  <c r="J63" i="20"/>
  <c r="H53" i="21"/>
  <c r="J53" i="20"/>
  <c r="H176" i="21"/>
  <c r="J176" i="20"/>
  <c r="H69" i="20"/>
  <c r="J69" i="19"/>
  <c r="H161" i="22"/>
  <c r="J161" i="21"/>
  <c r="J104" i="19"/>
  <c r="H104" i="20"/>
  <c r="H62" i="20"/>
  <c r="J62" i="19"/>
  <c r="J96" i="19"/>
  <c r="H96" i="20"/>
  <c r="H68" i="30"/>
  <c r="J68" i="29"/>
  <c r="H42" i="43"/>
  <c r="J42" i="30"/>
  <c r="H151" i="25"/>
  <c r="J151" i="24"/>
  <c r="J148" i="20"/>
  <c r="H148" i="21"/>
  <c r="H131" i="22"/>
  <c r="J131" i="21"/>
  <c r="H186" i="20"/>
  <c r="J186" i="19"/>
  <c r="J32" i="18"/>
  <c r="H32" i="19"/>
  <c r="H174" i="21"/>
  <c r="J174" i="20"/>
  <c r="H84" i="23"/>
  <c r="J84" i="22"/>
  <c r="J177" i="22"/>
  <c r="H177" i="23"/>
  <c r="H28" i="20"/>
  <c r="J28" i="19"/>
  <c r="H165" i="24"/>
  <c r="J165" i="23"/>
  <c r="H183" i="23"/>
  <c r="J183" i="22"/>
  <c r="H78" i="20"/>
  <c r="J78" i="19"/>
  <c r="H149" i="23"/>
  <c r="J149" i="22"/>
  <c r="H87" i="22"/>
  <c r="J87" i="21"/>
  <c r="J130" i="22"/>
  <c r="H130" i="23"/>
  <c r="H162" i="22"/>
  <c r="J162" i="21"/>
  <c r="J155" i="21"/>
  <c r="H155" i="22"/>
  <c r="H49" i="20"/>
  <c r="J49" i="19"/>
  <c r="J10" i="20"/>
  <c r="H10" i="21"/>
  <c r="H119" i="23"/>
  <c r="J119" i="22"/>
  <c r="J59" i="19"/>
  <c r="H59" i="20"/>
  <c r="J74" i="22"/>
  <c r="H184" i="23"/>
  <c r="J184" i="22"/>
  <c r="H150" i="27"/>
  <c r="J150" i="40"/>
  <c r="H15" i="20"/>
  <c r="J15" i="19"/>
  <c r="I16" i="19" s="1"/>
  <c r="H143" i="22"/>
  <c r="J143" i="21"/>
  <c r="J30" i="21"/>
  <c r="H30" i="22"/>
  <c r="J152" i="21"/>
  <c r="H152" i="22"/>
  <c r="J112" i="22"/>
  <c r="H112" i="23"/>
  <c r="H127" i="22"/>
  <c r="J127" i="21"/>
  <c r="J182" i="22"/>
  <c r="H182" i="23"/>
  <c r="H40" i="20"/>
  <c r="J40" i="19"/>
  <c r="H67" i="20"/>
  <c r="J67" i="19"/>
  <c r="H47" i="19"/>
  <c r="J47" i="18"/>
  <c r="H175" i="22"/>
  <c r="J175" i="21"/>
  <c r="H23" i="21"/>
  <c r="J23" i="20"/>
  <c r="H94" i="22"/>
  <c r="J94" i="21"/>
  <c r="H12" i="21"/>
  <c r="J12" i="20"/>
  <c r="J187" i="20"/>
  <c r="H187" i="21"/>
  <c r="H60" i="18"/>
  <c r="J60" i="17"/>
  <c r="H134" i="21"/>
  <c r="J134" i="20"/>
  <c r="H113" i="21"/>
  <c r="J113" i="20"/>
  <c r="H142" i="21"/>
  <c r="J142" i="20"/>
  <c r="H145" i="22"/>
  <c r="J145" i="21"/>
  <c r="H95" i="22"/>
  <c r="J95" i="21"/>
  <c r="J9" i="20"/>
  <c r="H9" i="21"/>
  <c r="J8" i="23"/>
  <c r="H8" i="24"/>
  <c r="J144" i="21"/>
  <c r="H144" i="22"/>
  <c r="J55" i="21" l="1"/>
  <c r="H55" i="22"/>
  <c r="H173" i="21"/>
  <c r="J173" i="20"/>
  <c r="H45" i="40"/>
  <c r="J45" i="25"/>
  <c r="H56" i="22"/>
  <c r="J56" i="21"/>
  <c r="J24" i="20"/>
  <c r="H24" i="21"/>
  <c r="H185" i="22"/>
  <c r="J185" i="21"/>
  <c r="J128" i="22"/>
  <c r="H128" i="23"/>
  <c r="H13" i="20"/>
  <c r="J13" i="19"/>
  <c r="H39" i="22"/>
  <c r="J39" i="21"/>
  <c r="H18" i="24"/>
  <c r="J18" i="23"/>
  <c r="H71" i="20"/>
  <c r="J71" i="19"/>
  <c r="J20" i="20"/>
  <c r="I20" i="20" s="1"/>
  <c r="H20" i="21"/>
  <c r="H70" i="22"/>
  <c r="J70" i="21"/>
  <c r="J77" i="21"/>
  <c r="H77" i="22"/>
  <c r="J139" i="21"/>
  <c r="H139" i="22"/>
  <c r="H35" i="23"/>
  <c r="J35" i="22"/>
  <c r="J121" i="21"/>
  <c r="H121" i="22"/>
  <c r="H50" i="23"/>
  <c r="J50" i="22"/>
  <c r="J122" i="22"/>
  <c r="H122" i="23"/>
  <c r="H147" i="22"/>
  <c r="J147" i="21"/>
  <c r="J43" i="21"/>
  <c r="H43" i="22"/>
  <c r="J57" i="21"/>
  <c r="H57" i="22"/>
  <c r="J29" i="22"/>
  <c r="H29" i="23"/>
  <c r="J85" i="21"/>
  <c r="H85" i="22"/>
  <c r="J54" i="22"/>
  <c r="H54" i="23"/>
  <c r="J90" i="22"/>
  <c r="H90" i="23"/>
  <c r="J164" i="23"/>
  <c r="H164" i="24"/>
  <c r="J123" i="21"/>
  <c r="H123" i="22"/>
  <c r="H117" i="22"/>
  <c r="J117" i="21"/>
  <c r="J179" i="21"/>
  <c r="H179" i="22"/>
  <c r="H101" i="22"/>
  <c r="J101" i="21"/>
  <c r="J129" i="22"/>
  <c r="H129" i="23"/>
  <c r="J102" i="21"/>
  <c r="H102" i="22"/>
  <c r="J7" i="23"/>
  <c r="I9" i="23" s="1"/>
  <c r="H7" i="24"/>
  <c r="J100" i="21"/>
  <c r="H100" i="22"/>
  <c r="J38" i="21"/>
  <c r="H38" i="22"/>
  <c r="H76" i="23"/>
  <c r="J76" i="22"/>
  <c r="H86" i="23"/>
  <c r="J86" i="22"/>
  <c r="J133" i="23"/>
  <c r="H133" i="24"/>
  <c r="H22" i="22"/>
  <c r="J22" i="21"/>
  <c r="H65" i="22"/>
  <c r="J65" i="21"/>
  <c r="H132" i="25"/>
  <c r="J132" i="24"/>
  <c r="H82" i="22"/>
  <c r="J82" i="21"/>
  <c r="H83" i="25"/>
  <c r="J83" i="24"/>
  <c r="H58" i="24"/>
  <c r="J58" i="23"/>
  <c r="H31" i="23"/>
  <c r="J31" i="22"/>
  <c r="H103" i="24"/>
  <c r="J103" i="23"/>
  <c r="H53" i="22"/>
  <c r="J53" i="21"/>
  <c r="H46" i="29"/>
  <c r="J46" i="28"/>
  <c r="J138" i="24"/>
  <c r="H138" i="25"/>
  <c r="H88" i="22"/>
  <c r="J88" i="21"/>
  <c r="H118" i="23"/>
  <c r="J118" i="22"/>
  <c r="J181" i="19"/>
  <c r="H181" i="20"/>
  <c r="H180" i="21"/>
  <c r="J180" i="20"/>
  <c r="H156" i="22"/>
  <c r="J156" i="21"/>
  <c r="H89" i="22"/>
  <c r="J89" i="21"/>
  <c r="J104" i="20"/>
  <c r="H104" i="21"/>
  <c r="J105" i="20"/>
  <c r="H105" i="21"/>
  <c r="J36" i="22"/>
  <c r="H36" i="23"/>
  <c r="H19" i="24"/>
  <c r="J19" i="23"/>
  <c r="H62" i="21"/>
  <c r="J62" i="20"/>
  <c r="H66" i="23"/>
  <c r="J66" i="22"/>
  <c r="J176" i="21"/>
  <c r="H176" i="22"/>
  <c r="J97" i="20"/>
  <c r="H97" i="21"/>
  <c r="H92" i="21"/>
  <c r="J92" i="20"/>
  <c r="H11" i="22"/>
  <c r="J11" i="21"/>
  <c r="H51" i="22"/>
  <c r="J51" i="21"/>
  <c r="J75" i="22"/>
  <c r="H44" i="23"/>
  <c r="J44" i="22"/>
  <c r="H64" i="22"/>
  <c r="J64" i="21"/>
  <c r="J120" i="20"/>
  <c r="H120" i="21"/>
  <c r="H91" i="22"/>
  <c r="J91" i="21"/>
  <c r="H114" i="22"/>
  <c r="J114" i="21"/>
  <c r="J27" i="20"/>
  <c r="H27" i="21"/>
  <c r="H37" i="27"/>
  <c r="J37" i="40"/>
  <c r="J96" i="20"/>
  <c r="H96" i="21"/>
  <c r="J141" i="20"/>
  <c r="H141" i="21"/>
  <c r="J161" i="22"/>
  <c r="H161" i="23"/>
  <c r="H69" i="21"/>
  <c r="J69" i="20"/>
  <c r="H63" i="22"/>
  <c r="J63" i="21"/>
  <c r="H115" i="23"/>
  <c r="J115" i="22"/>
  <c r="H178" i="21"/>
  <c r="J178" i="20"/>
  <c r="H140" i="21"/>
  <c r="J140" i="20"/>
  <c r="H98" i="20"/>
  <c r="J98" i="19"/>
  <c r="J99" i="19"/>
  <c r="H99" i="20"/>
  <c r="J116" i="22"/>
  <c r="H116" i="23"/>
  <c r="H163" i="21"/>
  <c r="J163" i="20"/>
  <c r="H41" i="22"/>
  <c r="J41" i="21"/>
  <c r="J146" i="20"/>
  <c r="H146" i="21"/>
  <c r="H68" i="43"/>
  <c r="J68" i="30"/>
  <c r="H42" i="31"/>
  <c r="J42" i="31" s="1"/>
  <c r="H43" i="50"/>
  <c r="J43" i="50" s="1"/>
  <c r="J42" i="43"/>
  <c r="J145" i="22"/>
  <c r="H145" i="23"/>
  <c r="J113" i="21"/>
  <c r="H113" i="22"/>
  <c r="H94" i="23"/>
  <c r="J94" i="22"/>
  <c r="H182" i="24"/>
  <c r="J182" i="23"/>
  <c r="H30" i="23"/>
  <c r="J30" i="22"/>
  <c r="H10" i="22"/>
  <c r="J10" i="21"/>
  <c r="H130" i="24"/>
  <c r="J130" i="23"/>
  <c r="J32" i="19"/>
  <c r="H32" i="20"/>
  <c r="H144" i="23"/>
  <c r="J144" i="22"/>
  <c r="H175" i="23"/>
  <c r="J175" i="22"/>
  <c r="J127" i="22"/>
  <c r="H127" i="23"/>
  <c r="H74" i="24"/>
  <c r="J74" i="23"/>
  <c r="H149" i="24"/>
  <c r="J149" i="23"/>
  <c r="J28" i="20"/>
  <c r="H28" i="21"/>
  <c r="H134" i="22"/>
  <c r="J134" i="21"/>
  <c r="H60" i="19"/>
  <c r="J60" i="18"/>
  <c r="H112" i="24"/>
  <c r="J112" i="23"/>
  <c r="J152" i="22"/>
  <c r="H152" i="23"/>
  <c r="H177" i="24"/>
  <c r="J177" i="23"/>
  <c r="J8" i="24"/>
  <c r="H8" i="25"/>
  <c r="H47" i="20"/>
  <c r="J47" i="19"/>
  <c r="H49" i="21"/>
  <c r="J49" i="20"/>
  <c r="J131" i="22"/>
  <c r="H131" i="23"/>
  <c r="H95" i="23"/>
  <c r="J95" i="22"/>
  <c r="J23" i="21"/>
  <c r="H23" i="22"/>
  <c r="H59" i="21"/>
  <c r="J59" i="20"/>
  <c r="H155" i="23"/>
  <c r="J155" i="22"/>
  <c r="J148" i="21"/>
  <c r="H148" i="22"/>
  <c r="J187" i="21"/>
  <c r="H187" i="22"/>
  <c r="H67" i="21"/>
  <c r="J67" i="20"/>
  <c r="H143" i="23"/>
  <c r="J143" i="22"/>
  <c r="J150" i="27"/>
  <c r="H150" i="28"/>
  <c r="H119" i="24"/>
  <c r="J119" i="23"/>
  <c r="J162" i="22"/>
  <c r="H162" i="23"/>
  <c r="H78" i="21"/>
  <c r="J78" i="20"/>
  <c r="H84" i="24"/>
  <c r="J84" i="23"/>
  <c r="H186" i="21"/>
  <c r="J186" i="20"/>
  <c r="H151" i="40"/>
  <c r="J151" i="25"/>
  <c r="H142" i="22"/>
  <c r="J142" i="21"/>
  <c r="J12" i="21"/>
  <c r="H12" i="22"/>
  <c r="H9" i="22"/>
  <c r="J9" i="21"/>
  <c r="H40" i="21"/>
  <c r="J40" i="20"/>
  <c r="H15" i="21"/>
  <c r="J15" i="20"/>
  <c r="I16" i="20" s="1"/>
  <c r="H184" i="24"/>
  <c r="J184" i="23"/>
  <c r="H87" i="23"/>
  <c r="J87" i="22"/>
  <c r="J183" i="23"/>
  <c r="H183" i="24"/>
  <c r="J165" i="24"/>
  <c r="H165" i="25"/>
  <c r="J174" i="21"/>
  <c r="H174" i="22"/>
  <c r="H24" i="22" l="1"/>
  <c r="J24" i="21"/>
  <c r="J20" i="21"/>
  <c r="I20" i="21" s="1"/>
  <c r="H20" i="22"/>
  <c r="J13" i="20"/>
  <c r="H13" i="21"/>
  <c r="H56" i="23"/>
  <c r="J56" i="22"/>
  <c r="H71" i="21"/>
  <c r="J71" i="20"/>
  <c r="H45" i="27"/>
  <c r="J45" i="40"/>
  <c r="H77" i="23"/>
  <c r="J77" i="22"/>
  <c r="J128" i="23"/>
  <c r="H128" i="24"/>
  <c r="H18" i="25"/>
  <c r="J18" i="24"/>
  <c r="J185" i="22"/>
  <c r="H185" i="23"/>
  <c r="H173" i="22"/>
  <c r="J173" i="21"/>
  <c r="J55" i="22"/>
  <c r="H55" i="23"/>
  <c r="J70" i="22"/>
  <c r="H70" i="23"/>
  <c r="H39" i="23"/>
  <c r="J39" i="22"/>
  <c r="J76" i="23"/>
  <c r="H76" i="24"/>
  <c r="H101" i="23"/>
  <c r="J101" i="22"/>
  <c r="J117" i="22"/>
  <c r="H117" i="23"/>
  <c r="H100" i="23"/>
  <c r="J100" i="22"/>
  <c r="J102" i="22"/>
  <c r="H102" i="23"/>
  <c r="J123" i="22"/>
  <c r="H123" i="23"/>
  <c r="J54" i="23"/>
  <c r="H54" i="24"/>
  <c r="J29" i="23"/>
  <c r="H29" i="24"/>
  <c r="H43" i="23"/>
  <c r="J43" i="22"/>
  <c r="J122" i="23"/>
  <c r="H122" i="24"/>
  <c r="J121" i="22"/>
  <c r="H121" i="23"/>
  <c r="H139" i="23"/>
  <c r="J139" i="22"/>
  <c r="H86" i="24"/>
  <c r="J86" i="23"/>
  <c r="H147" i="23"/>
  <c r="J147" i="22"/>
  <c r="J50" i="23"/>
  <c r="H50" i="24"/>
  <c r="J35" i="23"/>
  <c r="H35" i="24"/>
  <c r="J38" i="22"/>
  <c r="H38" i="23"/>
  <c r="H7" i="25"/>
  <c r="J7" i="24"/>
  <c r="I9" i="24" s="1"/>
  <c r="J129" i="23"/>
  <c r="H129" i="24"/>
  <c r="J179" i="22"/>
  <c r="H179" i="23"/>
  <c r="H164" i="25"/>
  <c r="J164" i="24"/>
  <c r="J90" i="23"/>
  <c r="H90" i="24"/>
  <c r="J85" i="22"/>
  <c r="H85" i="23"/>
  <c r="J57" i="22"/>
  <c r="H57" i="23"/>
  <c r="H133" i="25"/>
  <c r="J133" i="24"/>
  <c r="H22" i="23"/>
  <c r="J22" i="22"/>
  <c r="H103" i="25"/>
  <c r="J103" i="24"/>
  <c r="H82" i="23"/>
  <c r="J82" i="22"/>
  <c r="H31" i="24"/>
  <c r="J31" i="23"/>
  <c r="J132" i="25"/>
  <c r="H132" i="40"/>
  <c r="H58" i="25"/>
  <c r="J58" i="24"/>
  <c r="H83" i="40"/>
  <c r="J83" i="25"/>
  <c r="H65" i="23"/>
  <c r="J65" i="22"/>
  <c r="H96" i="22"/>
  <c r="J96" i="21"/>
  <c r="J97" i="21"/>
  <c r="H97" i="22"/>
  <c r="H104" i="22"/>
  <c r="J104" i="21"/>
  <c r="J181" i="20"/>
  <c r="H181" i="21"/>
  <c r="H138" i="40"/>
  <c r="J138" i="25"/>
  <c r="J41" i="22"/>
  <c r="H41" i="23"/>
  <c r="J98" i="20"/>
  <c r="H98" i="21"/>
  <c r="J63" i="22"/>
  <c r="H63" i="23"/>
  <c r="H64" i="23"/>
  <c r="J64" i="22"/>
  <c r="H51" i="23"/>
  <c r="J51" i="22"/>
  <c r="H62" i="22"/>
  <c r="J62" i="21"/>
  <c r="J163" i="21"/>
  <c r="H163" i="22"/>
  <c r="J140" i="21"/>
  <c r="H140" i="22"/>
  <c r="H69" i="22"/>
  <c r="J69" i="21"/>
  <c r="H37" i="28"/>
  <c r="J37" i="27"/>
  <c r="H91" i="23"/>
  <c r="J91" i="22"/>
  <c r="H44" i="24"/>
  <c r="J44" i="23"/>
  <c r="H11" i="23"/>
  <c r="J11" i="22"/>
  <c r="H19" i="25"/>
  <c r="J19" i="24"/>
  <c r="H89" i="23"/>
  <c r="J89" i="22"/>
  <c r="H118" i="24"/>
  <c r="J118" i="23"/>
  <c r="H46" i="30"/>
  <c r="J46" i="29"/>
  <c r="J116" i="23"/>
  <c r="H116" i="24"/>
  <c r="J161" i="23"/>
  <c r="H161" i="24"/>
  <c r="J27" i="21"/>
  <c r="H27" i="22"/>
  <c r="H176" i="23"/>
  <c r="J176" i="22"/>
  <c r="H36" i="24"/>
  <c r="J36" i="23"/>
  <c r="H178" i="22"/>
  <c r="J178" i="21"/>
  <c r="H75" i="24"/>
  <c r="J75" i="23"/>
  <c r="H92" i="22"/>
  <c r="J92" i="21"/>
  <c r="H156" i="23"/>
  <c r="J156" i="22"/>
  <c r="H88" i="23"/>
  <c r="J88" i="22"/>
  <c r="H146" i="22"/>
  <c r="J146" i="21"/>
  <c r="J99" i="20"/>
  <c r="H99" i="21"/>
  <c r="H141" i="22"/>
  <c r="J141" i="21"/>
  <c r="J120" i="21"/>
  <c r="H120" i="22"/>
  <c r="H105" i="22"/>
  <c r="J105" i="21"/>
  <c r="H115" i="24"/>
  <c r="J115" i="23"/>
  <c r="H114" i="23"/>
  <c r="J114" i="22"/>
  <c r="J66" i="23"/>
  <c r="H66" i="24"/>
  <c r="J180" i="21"/>
  <c r="H180" i="22"/>
  <c r="H53" i="23"/>
  <c r="J53" i="22"/>
  <c r="H68" i="31"/>
  <c r="J68" i="31" s="1"/>
  <c r="J68" i="43"/>
  <c r="H142" i="23"/>
  <c r="J142" i="22"/>
  <c r="H186" i="22"/>
  <c r="J186" i="21"/>
  <c r="H143" i="24"/>
  <c r="J143" i="23"/>
  <c r="H59" i="22"/>
  <c r="J59" i="21"/>
  <c r="J95" i="23"/>
  <c r="H95" i="24"/>
  <c r="J8" i="25"/>
  <c r="H8" i="40"/>
  <c r="H28" i="22"/>
  <c r="J28" i="21"/>
  <c r="H87" i="24"/>
  <c r="J87" i="23"/>
  <c r="H184" i="25"/>
  <c r="J184" i="24"/>
  <c r="H40" i="22"/>
  <c r="J40" i="21"/>
  <c r="H148" i="23"/>
  <c r="J148" i="22"/>
  <c r="H112" i="25"/>
  <c r="J112" i="24"/>
  <c r="J60" i="19"/>
  <c r="H60" i="20"/>
  <c r="H74" i="25"/>
  <c r="J74" i="24"/>
  <c r="H175" i="24"/>
  <c r="J175" i="23"/>
  <c r="H130" i="25"/>
  <c r="J130" i="24"/>
  <c r="J30" i="23"/>
  <c r="H30" i="24"/>
  <c r="H84" i="25"/>
  <c r="J84" i="24"/>
  <c r="J174" i="22"/>
  <c r="H174" i="23"/>
  <c r="H15" i="22"/>
  <c r="J15" i="21"/>
  <c r="I16" i="21" s="1"/>
  <c r="J9" i="22"/>
  <c r="H9" i="23"/>
  <c r="J12" i="22"/>
  <c r="H12" i="23"/>
  <c r="H23" i="23"/>
  <c r="J23" i="22"/>
  <c r="H131" i="24"/>
  <c r="J131" i="23"/>
  <c r="H49" i="22"/>
  <c r="J49" i="21"/>
  <c r="J134" i="22"/>
  <c r="H134" i="23"/>
  <c r="H144" i="24"/>
  <c r="J144" i="23"/>
  <c r="H182" i="25"/>
  <c r="J182" i="24"/>
  <c r="J165" i="25"/>
  <c r="H165" i="40"/>
  <c r="J119" i="24"/>
  <c r="H119" i="25"/>
  <c r="J113" i="22"/>
  <c r="H113" i="23"/>
  <c r="J150" i="28"/>
  <c r="H150" i="29"/>
  <c r="H149" i="25"/>
  <c r="J149" i="24"/>
  <c r="H183" i="25"/>
  <c r="J183" i="24"/>
  <c r="H151" i="27"/>
  <c r="J151" i="40"/>
  <c r="H78" i="22"/>
  <c r="J78" i="21"/>
  <c r="H67" i="22"/>
  <c r="J67" i="21"/>
  <c r="H155" i="24"/>
  <c r="H155" i="25" s="1"/>
  <c r="J155" i="23"/>
  <c r="J152" i="23"/>
  <c r="H152" i="24"/>
  <c r="J127" i="23"/>
  <c r="H127" i="24"/>
  <c r="J32" i="20"/>
  <c r="H32" i="21"/>
  <c r="H145" i="24"/>
  <c r="J145" i="23"/>
  <c r="H162" i="24"/>
  <c r="J162" i="23"/>
  <c r="J187" i="22"/>
  <c r="H187" i="23"/>
  <c r="H47" i="21"/>
  <c r="J47" i="20"/>
  <c r="J177" i="24"/>
  <c r="H177" i="25"/>
  <c r="H10" i="23"/>
  <c r="J10" i="22"/>
  <c r="H94" i="24"/>
  <c r="J94" i="23"/>
  <c r="J55" i="23" l="1"/>
  <c r="H55" i="24"/>
  <c r="H128" i="25"/>
  <c r="J128" i="24"/>
  <c r="J70" i="23"/>
  <c r="H70" i="24"/>
  <c r="H56" i="24"/>
  <c r="J56" i="23"/>
  <c r="J13" i="21"/>
  <c r="H13" i="22"/>
  <c r="H173" i="23"/>
  <c r="J173" i="22"/>
  <c r="J77" i="23"/>
  <c r="H77" i="24"/>
  <c r="H185" i="24"/>
  <c r="J185" i="23"/>
  <c r="J20" i="22"/>
  <c r="I20" i="22" s="1"/>
  <c r="H20" i="23"/>
  <c r="J39" i="23"/>
  <c r="H39" i="24"/>
  <c r="J45" i="27"/>
  <c r="H45" i="28"/>
  <c r="H18" i="40"/>
  <c r="J18" i="25"/>
  <c r="H71" i="22"/>
  <c r="J71" i="21"/>
  <c r="H24" i="23"/>
  <c r="J24" i="22"/>
  <c r="J164" i="25"/>
  <c r="H164" i="40"/>
  <c r="H7" i="40"/>
  <c r="J7" i="25"/>
  <c r="I9" i="25" s="1"/>
  <c r="H147" i="24"/>
  <c r="J147" i="23"/>
  <c r="J139" i="23"/>
  <c r="H139" i="24"/>
  <c r="J85" i="23"/>
  <c r="H85" i="24"/>
  <c r="J179" i="23"/>
  <c r="H179" i="24"/>
  <c r="J35" i="24"/>
  <c r="H35" i="25"/>
  <c r="J122" i="24"/>
  <c r="H122" i="25"/>
  <c r="J29" i="24"/>
  <c r="H29" i="25"/>
  <c r="H102" i="24"/>
  <c r="J102" i="23"/>
  <c r="J117" i="23"/>
  <c r="H117" i="24"/>
  <c r="J76" i="24"/>
  <c r="H76" i="25"/>
  <c r="J86" i="24"/>
  <c r="H86" i="25"/>
  <c r="J43" i="23"/>
  <c r="H43" i="24"/>
  <c r="J100" i="23"/>
  <c r="H100" i="24"/>
  <c r="J101" i="23"/>
  <c r="H101" i="24"/>
  <c r="H57" i="24"/>
  <c r="J57" i="23"/>
  <c r="J90" i="24"/>
  <c r="H90" i="25"/>
  <c r="H129" i="25"/>
  <c r="J129" i="24"/>
  <c r="J38" i="23"/>
  <c r="H38" i="24"/>
  <c r="J50" i="24"/>
  <c r="H50" i="25"/>
  <c r="J121" i="23"/>
  <c r="H121" i="24"/>
  <c r="J54" i="24"/>
  <c r="H54" i="25"/>
  <c r="J123" i="23"/>
  <c r="H123" i="24"/>
  <c r="H133" i="40"/>
  <c r="J133" i="25"/>
  <c r="H83" i="27"/>
  <c r="J83" i="40"/>
  <c r="H31" i="25"/>
  <c r="J31" i="24"/>
  <c r="H82" i="24"/>
  <c r="J82" i="23"/>
  <c r="H103" i="40"/>
  <c r="J103" i="25"/>
  <c r="H132" i="27"/>
  <c r="J132" i="40"/>
  <c r="H58" i="40"/>
  <c r="J58" i="25"/>
  <c r="H65" i="24"/>
  <c r="J65" i="23"/>
  <c r="J22" i="23"/>
  <c r="H22" i="24"/>
  <c r="H120" i="23"/>
  <c r="J120" i="22"/>
  <c r="H63" i="24"/>
  <c r="J63" i="23"/>
  <c r="J181" i="21"/>
  <c r="H181" i="22"/>
  <c r="H114" i="24"/>
  <c r="J114" i="23"/>
  <c r="J75" i="24"/>
  <c r="H75" i="25"/>
  <c r="J176" i="23"/>
  <c r="H176" i="24"/>
  <c r="H46" i="43"/>
  <c r="J46" i="30"/>
  <c r="J11" i="23"/>
  <c r="H11" i="24"/>
  <c r="H69" i="23"/>
  <c r="J69" i="22"/>
  <c r="H62" i="23"/>
  <c r="J62" i="22"/>
  <c r="H180" i="23"/>
  <c r="J180" i="22"/>
  <c r="J27" i="22"/>
  <c r="H27" i="23"/>
  <c r="H140" i="23"/>
  <c r="J140" i="22"/>
  <c r="H98" i="22"/>
  <c r="J98" i="21"/>
  <c r="H115" i="25"/>
  <c r="J115" i="24"/>
  <c r="J141" i="22"/>
  <c r="H141" i="23"/>
  <c r="H88" i="24"/>
  <c r="J88" i="23"/>
  <c r="J118" i="24"/>
  <c r="H118" i="25"/>
  <c r="H44" i="25"/>
  <c r="J44" i="24"/>
  <c r="H51" i="24"/>
  <c r="J51" i="23"/>
  <c r="H104" i="23"/>
  <c r="J104" i="22"/>
  <c r="H66" i="25"/>
  <c r="J66" i="24"/>
  <c r="J99" i="21"/>
  <c r="H99" i="22"/>
  <c r="H161" i="25"/>
  <c r="J161" i="24"/>
  <c r="J163" i="22"/>
  <c r="H163" i="23"/>
  <c r="H41" i="24"/>
  <c r="J41" i="23"/>
  <c r="J97" i="22"/>
  <c r="H97" i="23"/>
  <c r="J105" i="22"/>
  <c r="H105" i="23"/>
  <c r="H156" i="24"/>
  <c r="J156" i="23"/>
  <c r="J178" i="22"/>
  <c r="H178" i="23"/>
  <c r="J89" i="23"/>
  <c r="H89" i="24"/>
  <c r="J91" i="23"/>
  <c r="H91" i="24"/>
  <c r="H64" i="24"/>
  <c r="J64" i="23"/>
  <c r="H116" i="25"/>
  <c r="J116" i="24"/>
  <c r="H53" i="24"/>
  <c r="J53" i="23"/>
  <c r="H146" i="23"/>
  <c r="J146" i="22"/>
  <c r="J92" i="22"/>
  <c r="H92" i="23"/>
  <c r="H36" i="25"/>
  <c r="J36" i="24"/>
  <c r="J19" i="25"/>
  <c r="H19" i="40"/>
  <c r="J37" i="28"/>
  <c r="H37" i="29"/>
  <c r="J138" i="40"/>
  <c r="H138" i="27"/>
  <c r="H96" i="23"/>
  <c r="J96" i="22"/>
  <c r="H151" i="28"/>
  <c r="J151" i="27"/>
  <c r="H144" i="25"/>
  <c r="J144" i="24"/>
  <c r="H23" i="24"/>
  <c r="J23" i="23"/>
  <c r="H15" i="23"/>
  <c r="J15" i="22"/>
  <c r="I16" i="22" s="1"/>
  <c r="H74" i="40"/>
  <c r="J74" i="25"/>
  <c r="H87" i="25"/>
  <c r="J87" i="24"/>
  <c r="H59" i="23"/>
  <c r="J59" i="22"/>
  <c r="J187" i="23"/>
  <c r="H187" i="24"/>
  <c r="H150" i="30"/>
  <c r="J150" i="29"/>
  <c r="J119" i="25"/>
  <c r="H119" i="40"/>
  <c r="J165" i="40"/>
  <c r="H165" i="27"/>
  <c r="J30" i="24"/>
  <c r="H30" i="25"/>
  <c r="H60" i="21"/>
  <c r="J60" i="20"/>
  <c r="H145" i="25"/>
  <c r="J145" i="24"/>
  <c r="H155" i="40"/>
  <c r="J155" i="25"/>
  <c r="H183" i="40"/>
  <c r="J183" i="25"/>
  <c r="H149" i="40"/>
  <c r="J149" i="25"/>
  <c r="H28" i="23"/>
  <c r="J28" i="22"/>
  <c r="H143" i="25"/>
  <c r="J143" i="24"/>
  <c r="H177" i="40"/>
  <c r="J177" i="25"/>
  <c r="J32" i="21"/>
  <c r="H32" i="22"/>
  <c r="H113" i="24"/>
  <c r="J113" i="23"/>
  <c r="J12" i="23"/>
  <c r="H12" i="24"/>
  <c r="J174" i="23"/>
  <c r="H174" i="24"/>
  <c r="H8" i="27"/>
  <c r="J8" i="40"/>
  <c r="H152" i="25"/>
  <c r="J152" i="24"/>
  <c r="H94" i="25"/>
  <c r="J94" i="24"/>
  <c r="H162" i="25"/>
  <c r="J162" i="24"/>
  <c r="H67" i="23"/>
  <c r="J67" i="22"/>
  <c r="H49" i="23"/>
  <c r="J49" i="22"/>
  <c r="H84" i="40"/>
  <c r="J84" i="25"/>
  <c r="H130" i="40"/>
  <c r="J130" i="25"/>
  <c r="J112" i="25"/>
  <c r="H112" i="40"/>
  <c r="H148" i="24"/>
  <c r="J148" i="23"/>
  <c r="H40" i="23"/>
  <c r="J40" i="22"/>
  <c r="H186" i="23"/>
  <c r="J186" i="22"/>
  <c r="J134" i="23"/>
  <c r="H134" i="24"/>
  <c r="J9" i="23"/>
  <c r="H9" i="24"/>
  <c r="J95" i="24"/>
  <c r="H95" i="25"/>
  <c r="J127" i="24"/>
  <c r="H127" i="25"/>
  <c r="J10" i="23"/>
  <c r="H10" i="24"/>
  <c r="H47" i="22"/>
  <c r="J47" i="21"/>
  <c r="J78" i="22"/>
  <c r="H182" i="40"/>
  <c r="J182" i="25"/>
  <c r="H131" i="25"/>
  <c r="J131" i="24"/>
  <c r="H175" i="25"/>
  <c r="J175" i="24"/>
  <c r="J184" i="25"/>
  <c r="H184" i="40"/>
  <c r="H142" i="24"/>
  <c r="J142" i="23"/>
  <c r="H18" i="27" l="1"/>
  <c r="J18" i="40"/>
  <c r="J185" i="24"/>
  <c r="H185" i="25"/>
  <c r="H56" i="25"/>
  <c r="J56" i="24"/>
  <c r="H45" i="29"/>
  <c r="J45" i="28"/>
  <c r="J77" i="24"/>
  <c r="H77" i="25"/>
  <c r="J70" i="24"/>
  <c r="H70" i="25"/>
  <c r="H39" i="25"/>
  <c r="J39" i="24"/>
  <c r="H24" i="24"/>
  <c r="J24" i="23"/>
  <c r="H173" i="24"/>
  <c r="J173" i="23"/>
  <c r="H128" i="40"/>
  <c r="J128" i="25"/>
  <c r="J20" i="23"/>
  <c r="I20" i="23" s="1"/>
  <c r="H20" i="24"/>
  <c r="H13" i="23"/>
  <c r="J13" i="22"/>
  <c r="J55" i="24"/>
  <c r="H55" i="25"/>
  <c r="J71" i="22"/>
  <c r="H71" i="23"/>
  <c r="J129" i="25"/>
  <c r="H129" i="40"/>
  <c r="H102" i="25"/>
  <c r="J102" i="24"/>
  <c r="J147" i="24"/>
  <c r="H147" i="25"/>
  <c r="J54" i="25"/>
  <c r="H54" i="40"/>
  <c r="J50" i="25"/>
  <c r="H50" i="40"/>
  <c r="J90" i="25"/>
  <c r="H90" i="40"/>
  <c r="H101" i="25"/>
  <c r="J101" i="24"/>
  <c r="J43" i="24"/>
  <c r="H43" i="25"/>
  <c r="J76" i="25"/>
  <c r="H76" i="40"/>
  <c r="J29" i="25"/>
  <c r="H29" i="40"/>
  <c r="H35" i="40"/>
  <c r="J35" i="25"/>
  <c r="J85" i="24"/>
  <c r="H85" i="25"/>
  <c r="H164" i="27"/>
  <c r="J164" i="40"/>
  <c r="J57" i="24"/>
  <c r="H57" i="25"/>
  <c r="J7" i="40"/>
  <c r="I9" i="40" s="1"/>
  <c r="H7" i="27"/>
  <c r="J123" i="24"/>
  <c r="H123" i="25"/>
  <c r="J121" i="24"/>
  <c r="H121" i="25"/>
  <c r="J38" i="24"/>
  <c r="H38" i="25"/>
  <c r="H100" i="25"/>
  <c r="J100" i="24"/>
  <c r="J86" i="25"/>
  <c r="H86" i="40"/>
  <c r="H117" i="25"/>
  <c r="J117" i="24"/>
  <c r="J122" i="25"/>
  <c r="H122" i="40"/>
  <c r="J179" i="24"/>
  <c r="H179" i="25"/>
  <c r="J139" i="24"/>
  <c r="H139" i="25"/>
  <c r="H133" i="27"/>
  <c r="J133" i="40"/>
  <c r="H65" i="25"/>
  <c r="J65" i="24"/>
  <c r="H58" i="27"/>
  <c r="J58" i="40"/>
  <c r="H82" i="25"/>
  <c r="J82" i="24"/>
  <c r="H132" i="28"/>
  <c r="J132" i="27"/>
  <c r="H31" i="40"/>
  <c r="J31" i="25"/>
  <c r="H22" i="25"/>
  <c r="J22" i="24"/>
  <c r="J103" i="40"/>
  <c r="H103" i="27"/>
  <c r="H83" i="28"/>
  <c r="J83" i="27"/>
  <c r="H138" i="28"/>
  <c r="J138" i="27"/>
  <c r="H163" i="24"/>
  <c r="J163" i="23"/>
  <c r="H176" i="25"/>
  <c r="J176" i="24"/>
  <c r="H36" i="40"/>
  <c r="J36" i="25"/>
  <c r="J53" i="24"/>
  <c r="H53" i="25"/>
  <c r="H64" i="25"/>
  <c r="J64" i="24"/>
  <c r="H156" i="25"/>
  <c r="J156" i="24"/>
  <c r="H104" i="24"/>
  <c r="J104" i="23"/>
  <c r="J98" i="22"/>
  <c r="H98" i="23"/>
  <c r="J62" i="23"/>
  <c r="H62" i="24"/>
  <c r="J63" i="24"/>
  <c r="H63" i="25"/>
  <c r="J92" i="23"/>
  <c r="H92" i="24"/>
  <c r="H91" i="25"/>
  <c r="J91" i="24"/>
  <c r="J105" i="23"/>
  <c r="H105" i="24"/>
  <c r="H75" i="40"/>
  <c r="J75" i="25"/>
  <c r="H161" i="40"/>
  <c r="J161" i="25"/>
  <c r="H51" i="25"/>
  <c r="J51" i="24"/>
  <c r="H88" i="25"/>
  <c r="J88" i="24"/>
  <c r="H140" i="24"/>
  <c r="J140" i="23"/>
  <c r="H69" i="24"/>
  <c r="J69" i="23"/>
  <c r="J37" i="29"/>
  <c r="H37" i="30"/>
  <c r="H89" i="25"/>
  <c r="J89" i="24"/>
  <c r="H97" i="24"/>
  <c r="J97" i="23"/>
  <c r="J99" i="22"/>
  <c r="H99" i="23"/>
  <c r="J141" i="23"/>
  <c r="H141" i="24"/>
  <c r="J27" i="23"/>
  <c r="H27" i="24"/>
  <c r="H11" i="25"/>
  <c r="J11" i="24"/>
  <c r="H146" i="24"/>
  <c r="J146" i="23"/>
  <c r="H116" i="40"/>
  <c r="J116" i="25"/>
  <c r="H44" i="40"/>
  <c r="J44" i="25"/>
  <c r="J114" i="24"/>
  <c r="H114" i="25"/>
  <c r="J120" i="23"/>
  <c r="H120" i="24"/>
  <c r="H19" i="27"/>
  <c r="J19" i="40"/>
  <c r="H178" i="24"/>
  <c r="J178" i="23"/>
  <c r="H118" i="40"/>
  <c r="J118" i="25"/>
  <c r="H181" i="23"/>
  <c r="J181" i="22"/>
  <c r="H96" i="24"/>
  <c r="J96" i="23"/>
  <c r="H41" i="25"/>
  <c r="J41" i="24"/>
  <c r="H66" i="40"/>
  <c r="J66" i="25"/>
  <c r="H115" i="40"/>
  <c r="J115" i="25"/>
  <c r="H180" i="24"/>
  <c r="J180" i="23"/>
  <c r="H46" i="31"/>
  <c r="J46" i="31" s="1"/>
  <c r="J46" i="43"/>
  <c r="H47" i="50"/>
  <c r="J47" i="50" s="1"/>
  <c r="J186" i="23"/>
  <c r="H186" i="24"/>
  <c r="H130" i="27"/>
  <c r="J130" i="40"/>
  <c r="H94" i="40"/>
  <c r="J94" i="25"/>
  <c r="H28" i="24"/>
  <c r="J28" i="23"/>
  <c r="H155" i="27"/>
  <c r="J155" i="40"/>
  <c r="H60" i="22"/>
  <c r="J60" i="21"/>
  <c r="H87" i="40"/>
  <c r="J87" i="25"/>
  <c r="J144" i="25"/>
  <c r="H144" i="40"/>
  <c r="J95" i="25"/>
  <c r="H95" i="40"/>
  <c r="H9" i="25"/>
  <c r="J9" i="24"/>
  <c r="H32" i="23"/>
  <c r="J32" i="22"/>
  <c r="J30" i="25"/>
  <c r="H30" i="40"/>
  <c r="H40" i="24"/>
  <c r="J40" i="23"/>
  <c r="H84" i="27"/>
  <c r="J84" i="40"/>
  <c r="H67" i="24"/>
  <c r="J67" i="23"/>
  <c r="H152" i="40"/>
  <c r="J152" i="25"/>
  <c r="H145" i="40"/>
  <c r="J145" i="25"/>
  <c r="J150" i="30"/>
  <c r="H150" i="43"/>
  <c r="H15" i="24"/>
  <c r="J15" i="23"/>
  <c r="I16" i="23" s="1"/>
  <c r="H175" i="40"/>
  <c r="J175" i="25"/>
  <c r="H78" i="24"/>
  <c r="J78" i="23"/>
  <c r="H134" i="25"/>
  <c r="J134" i="24"/>
  <c r="J187" i="24"/>
  <c r="H187" i="25"/>
  <c r="H142" i="25"/>
  <c r="J142" i="24"/>
  <c r="H184" i="27"/>
  <c r="J184" i="40"/>
  <c r="H47" i="23"/>
  <c r="J47" i="22"/>
  <c r="J148" i="24"/>
  <c r="H148" i="25"/>
  <c r="J8" i="27"/>
  <c r="H8" i="28"/>
  <c r="J177" i="40"/>
  <c r="H177" i="27"/>
  <c r="J149" i="40"/>
  <c r="H149" i="27"/>
  <c r="H74" i="27"/>
  <c r="J74" i="40"/>
  <c r="H23" i="25"/>
  <c r="J23" i="24"/>
  <c r="H151" i="29"/>
  <c r="J151" i="28"/>
  <c r="H131" i="40"/>
  <c r="J131" i="25"/>
  <c r="J10" i="24"/>
  <c r="H10" i="25"/>
  <c r="H112" i="27"/>
  <c r="J112" i="40"/>
  <c r="H174" i="25"/>
  <c r="J174" i="24"/>
  <c r="H165" i="28"/>
  <c r="J165" i="27"/>
  <c r="H49" i="24"/>
  <c r="J49" i="23"/>
  <c r="J162" i="25"/>
  <c r="H162" i="40"/>
  <c r="H113" i="25"/>
  <c r="J113" i="24"/>
  <c r="J143" i="25"/>
  <c r="H143" i="40"/>
  <c r="H183" i="27"/>
  <c r="J183" i="40"/>
  <c r="H59" i="24"/>
  <c r="J59" i="23"/>
  <c r="H182" i="27"/>
  <c r="J182" i="40"/>
  <c r="H127" i="40"/>
  <c r="J127" i="25"/>
  <c r="H12" i="25"/>
  <c r="J12" i="24"/>
  <c r="H119" i="27"/>
  <c r="J119" i="40"/>
  <c r="J13" i="23" l="1"/>
  <c r="H13" i="24"/>
  <c r="H24" i="25"/>
  <c r="J24" i="24"/>
  <c r="H45" i="30"/>
  <c r="J45" i="29"/>
  <c r="J20" i="24"/>
  <c r="I20" i="24" s="1"/>
  <c r="H20" i="25"/>
  <c r="H39" i="40"/>
  <c r="J39" i="25"/>
  <c r="H56" i="40"/>
  <c r="J56" i="25"/>
  <c r="H71" i="24"/>
  <c r="J71" i="23"/>
  <c r="J70" i="25"/>
  <c r="H70" i="40"/>
  <c r="H185" i="40"/>
  <c r="J185" i="25"/>
  <c r="J128" i="40"/>
  <c r="H128" i="27"/>
  <c r="J55" i="25"/>
  <c r="H55" i="40"/>
  <c r="J77" i="25"/>
  <c r="H77" i="40"/>
  <c r="H173" i="25"/>
  <c r="J173" i="24"/>
  <c r="H18" i="28"/>
  <c r="J18" i="27"/>
  <c r="H164" i="28"/>
  <c r="J164" i="27"/>
  <c r="H35" i="27"/>
  <c r="J35" i="40"/>
  <c r="H101" i="40"/>
  <c r="J101" i="25"/>
  <c r="J179" i="25"/>
  <c r="H179" i="40"/>
  <c r="J86" i="40"/>
  <c r="H86" i="27"/>
  <c r="J121" i="25"/>
  <c r="H121" i="40"/>
  <c r="J7" i="27"/>
  <c r="I9" i="27" s="1"/>
  <c r="H7" i="28"/>
  <c r="J76" i="40"/>
  <c r="H76" i="27"/>
  <c r="H50" i="27"/>
  <c r="J50" i="40"/>
  <c r="J147" i="25"/>
  <c r="H147" i="40"/>
  <c r="J129" i="40"/>
  <c r="H129" i="27"/>
  <c r="J117" i="25"/>
  <c r="H117" i="40"/>
  <c r="J100" i="25"/>
  <c r="H100" i="40"/>
  <c r="H102" i="40"/>
  <c r="J102" i="25"/>
  <c r="J139" i="25"/>
  <c r="H139" i="40"/>
  <c r="J122" i="40"/>
  <c r="H122" i="27"/>
  <c r="J38" i="25"/>
  <c r="H38" i="40"/>
  <c r="J123" i="25"/>
  <c r="H123" i="40"/>
  <c r="J57" i="25"/>
  <c r="H57" i="40"/>
  <c r="J85" i="25"/>
  <c r="H85" i="40"/>
  <c r="J29" i="40"/>
  <c r="H29" i="27"/>
  <c r="J43" i="25"/>
  <c r="H43" i="40"/>
  <c r="J90" i="40"/>
  <c r="H90" i="27"/>
  <c r="J90" i="27" s="1"/>
  <c r="J54" i="40"/>
  <c r="H54" i="27"/>
  <c r="J133" i="27"/>
  <c r="H133" i="28"/>
  <c r="J103" i="27"/>
  <c r="H103" i="28"/>
  <c r="H82" i="40"/>
  <c r="J82" i="25"/>
  <c r="H22" i="40"/>
  <c r="J22" i="25"/>
  <c r="H58" i="28"/>
  <c r="J58" i="27"/>
  <c r="J31" i="40"/>
  <c r="H31" i="27"/>
  <c r="H83" i="29"/>
  <c r="J83" i="28"/>
  <c r="J132" i="28"/>
  <c r="H132" i="29"/>
  <c r="H65" i="40"/>
  <c r="J65" i="25"/>
  <c r="H41" i="40"/>
  <c r="J41" i="25"/>
  <c r="J181" i="23"/>
  <c r="H181" i="24"/>
  <c r="J146" i="24"/>
  <c r="H146" i="25"/>
  <c r="J51" i="25"/>
  <c r="H51" i="40"/>
  <c r="J105" i="24"/>
  <c r="H105" i="25"/>
  <c r="J63" i="25"/>
  <c r="H63" i="40"/>
  <c r="J114" i="25"/>
  <c r="H114" i="40"/>
  <c r="H104" i="25"/>
  <c r="J104" i="24"/>
  <c r="H36" i="27"/>
  <c r="J36" i="40"/>
  <c r="H180" i="25"/>
  <c r="J180" i="24"/>
  <c r="J118" i="40"/>
  <c r="H118" i="27"/>
  <c r="J11" i="25"/>
  <c r="H11" i="40"/>
  <c r="H97" i="25"/>
  <c r="J97" i="24"/>
  <c r="H69" i="25"/>
  <c r="J69" i="24"/>
  <c r="H161" i="27"/>
  <c r="J161" i="40"/>
  <c r="H62" i="25"/>
  <c r="J62" i="24"/>
  <c r="J27" i="24"/>
  <c r="H27" i="25"/>
  <c r="H91" i="40"/>
  <c r="J91" i="25"/>
  <c r="J156" i="25"/>
  <c r="H156" i="40"/>
  <c r="H176" i="40"/>
  <c r="J176" i="25"/>
  <c r="H115" i="27"/>
  <c r="J115" i="40"/>
  <c r="J178" i="24"/>
  <c r="H178" i="25"/>
  <c r="H44" i="27"/>
  <c r="J44" i="40"/>
  <c r="H89" i="40"/>
  <c r="J89" i="25"/>
  <c r="H140" i="25"/>
  <c r="J140" i="24"/>
  <c r="H98" i="24"/>
  <c r="J98" i="23"/>
  <c r="J141" i="24"/>
  <c r="H141" i="25"/>
  <c r="H37" i="43"/>
  <c r="J37" i="30"/>
  <c r="H64" i="40"/>
  <c r="J64" i="25"/>
  <c r="H163" i="25"/>
  <c r="J163" i="24"/>
  <c r="H66" i="27"/>
  <c r="J66" i="40"/>
  <c r="H96" i="25"/>
  <c r="J96" i="24"/>
  <c r="J19" i="27"/>
  <c r="H19" i="28"/>
  <c r="H116" i="27"/>
  <c r="J116" i="40"/>
  <c r="H88" i="40"/>
  <c r="J88" i="25"/>
  <c r="J92" i="24"/>
  <c r="H92" i="25"/>
  <c r="H53" i="40"/>
  <c r="J53" i="25"/>
  <c r="H120" i="25"/>
  <c r="J120" i="24"/>
  <c r="H99" i="24"/>
  <c r="J99" i="23"/>
  <c r="H75" i="27"/>
  <c r="J75" i="40"/>
  <c r="H138" i="29"/>
  <c r="J138" i="28"/>
  <c r="J165" i="28"/>
  <c r="H165" i="29"/>
  <c r="H23" i="40"/>
  <c r="J23" i="25"/>
  <c r="H142" i="40"/>
  <c r="J142" i="25"/>
  <c r="J95" i="40"/>
  <c r="H95" i="27"/>
  <c r="J60" i="22"/>
  <c r="H60" i="23"/>
  <c r="J28" i="24"/>
  <c r="H28" i="25"/>
  <c r="J130" i="27"/>
  <c r="H130" i="28"/>
  <c r="J12" i="25"/>
  <c r="H12" i="40"/>
  <c r="H182" i="28"/>
  <c r="J182" i="27"/>
  <c r="J59" i="24"/>
  <c r="H59" i="25"/>
  <c r="H113" i="40"/>
  <c r="J113" i="25"/>
  <c r="J8" i="28"/>
  <c r="H8" i="29"/>
  <c r="J134" i="25"/>
  <c r="H134" i="40"/>
  <c r="H186" i="25"/>
  <c r="J186" i="24"/>
  <c r="H162" i="27"/>
  <c r="J162" i="40"/>
  <c r="H112" i="28"/>
  <c r="J112" i="27"/>
  <c r="H74" i="28"/>
  <c r="J74" i="27"/>
  <c r="J155" i="27"/>
  <c r="H155" i="28"/>
  <c r="H94" i="27"/>
  <c r="J94" i="40"/>
  <c r="H127" i="27"/>
  <c r="J127" i="40"/>
  <c r="H183" i="28"/>
  <c r="J183" i="27"/>
  <c r="J187" i="25"/>
  <c r="H187" i="40"/>
  <c r="H78" i="25"/>
  <c r="J78" i="24"/>
  <c r="H15" i="25"/>
  <c r="J15" i="24"/>
  <c r="I16" i="24" s="1"/>
  <c r="H84" i="28"/>
  <c r="J84" i="27"/>
  <c r="J32" i="23"/>
  <c r="H32" i="24"/>
  <c r="H144" i="27"/>
  <c r="J144" i="40"/>
  <c r="J131" i="40"/>
  <c r="H131" i="27"/>
  <c r="H47" i="24"/>
  <c r="J47" i="23"/>
  <c r="J150" i="43"/>
  <c r="H150" i="31"/>
  <c r="J150" i="31" s="1"/>
  <c r="H102" i="50"/>
  <c r="J102" i="50" s="1"/>
  <c r="J119" i="27"/>
  <c r="H119" i="28"/>
  <c r="H49" i="25"/>
  <c r="J49" i="24"/>
  <c r="J10" i="25"/>
  <c r="H10" i="40"/>
  <c r="J149" i="27"/>
  <c r="H149" i="28"/>
  <c r="H175" i="27"/>
  <c r="J175" i="40"/>
  <c r="J152" i="40"/>
  <c r="H152" i="27"/>
  <c r="H40" i="25"/>
  <c r="J40" i="24"/>
  <c r="H143" i="27"/>
  <c r="J143" i="40"/>
  <c r="H174" i="40"/>
  <c r="J174" i="25"/>
  <c r="H151" i="30"/>
  <c r="J151" i="29"/>
  <c r="H184" i="28"/>
  <c r="J184" i="27"/>
  <c r="J30" i="40"/>
  <c r="H30" i="27"/>
  <c r="H87" i="27"/>
  <c r="J87" i="40"/>
  <c r="J177" i="27"/>
  <c r="H177" i="28"/>
  <c r="J148" i="25"/>
  <c r="H148" i="40"/>
  <c r="J145" i="40"/>
  <c r="H145" i="27"/>
  <c r="H67" i="25"/>
  <c r="J67" i="24"/>
  <c r="J9" i="25"/>
  <c r="H9" i="40"/>
  <c r="J77" i="40" l="1"/>
  <c r="H77" i="27"/>
  <c r="H70" i="27"/>
  <c r="J70" i="40"/>
  <c r="J20" i="25"/>
  <c r="I20" i="25" s="1"/>
  <c r="H20" i="40"/>
  <c r="J55" i="40"/>
  <c r="H55" i="27"/>
  <c r="J71" i="24"/>
  <c r="H71" i="25"/>
  <c r="H45" i="43"/>
  <c r="J45" i="30"/>
  <c r="H128" i="28"/>
  <c r="J128" i="27"/>
  <c r="J18" i="28"/>
  <c r="H18" i="29"/>
  <c r="H56" i="27"/>
  <c r="J56" i="40"/>
  <c r="H24" i="40"/>
  <c r="J24" i="25"/>
  <c r="J13" i="24"/>
  <c r="H13" i="25"/>
  <c r="H173" i="40"/>
  <c r="J173" i="25"/>
  <c r="J185" i="40"/>
  <c r="H185" i="27"/>
  <c r="H39" i="27"/>
  <c r="J39" i="40"/>
  <c r="J50" i="27"/>
  <c r="H50" i="28"/>
  <c r="H35" i="28"/>
  <c r="J35" i="27"/>
  <c r="H29" i="28"/>
  <c r="J29" i="27"/>
  <c r="J57" i="40"/>
  <c r="H57" i="27"/>
  <c r="J38" i="40"/>
  <c r="H38" i="27"/>
  <c r="J139" i="40"/>
  <c r="H139" i="27"/>
  <c r="H100" i="27"/>
  <c r="J100" i="40"/>
  <c r="J129" i="27"/>
  <c r="H129" i="28"/>
  <c r="H7" i="29"/>
  <c r="J7" i="28"/>
  <c r="I9" i="28" s="1"/>
  <c r="H179" i="27"/>
  <c r="J179" i="40"/>
  <c r="H102" i="27"/>
  <c r="J102" i="40"/>
  <c r="H101" i="27"/>
  <c r="J101" i="40"/>
  <c r="J164" i="28"/>
  <c r="H164" i="29"/>
  <c r="J54" i="27"/>
  <c r="H54" i="28"/>
  <c r="J43" i="40"/>
  <c r="H43" i="27"/>
  <c r="J85" i="40"/>
  <c r="H85" i="27"/>
  <c r="H123" i="27"/>
  <c r="J123" i="40"/>
  <c r="H122" i="28"/>
  <c r="J122" i="27"/>
  <c r="H117" i="27"/>
  <c r="J117" i="40"/>
  <c r="J147" i="40"/>
  <c r="H147" i="27"/>
  <c r="J76" i="27"/>
  <c r="H76" i="28"/>
  <c r="H121" i="27"/>
  <c r="J121" i="40"/>
  <c r="J86" i="27"/>
  <c r="H86" i="28"/>
  <c r="H133" i="29"/>
  <c r="J133" i="28"/>
  <c r="H132" i="30"/>
  <c r="J132" i="29"/>
  <c r="H58" i="29"/>
  <c r="J58" i="28"/>
  <c r="H83" i="30"/>
  <c r="J83" i="29"/>
  <c r="H22" i="27"/>
  <c r="J22" i="40"/>
  <c r="H31" i="28"/>
  <c r="J31" i="27"/>
  <c r="H82" i="27"/>
  <c r="J82" i="40"/>
  <c r="H103" i="29"/>
  <c r="J103" i="28"/>
  <c r="J65" i="40"/>
  <c r="H65" i="27"/>
  <c r="H92" i="40"/>
  <c r="J92" i="25"/>
  <c r="H178" i="40"/>
  <c r="J178" i="25"/>
  <c r="J156" i="40"/>
  <c r="H156" i="27"/>
  <c r="H118" i="28"/>
  <c r="J118" i="27"/>
  <c r="H51" i="27"/>
  <c r="J51" i="40"/>
  <c r="J96" i="25"/>
  <c r="H96" i="40"/>
  <c r="H37" i="31"/>
  <c r="J37" i="31" s="1"/>
  <c r="J37" i="43"/>
  <c r="H38" i="50"/>
  <c r="J38" i="50" s="1"/>
  <c r="H161" i="28"/>
  <c r="J161" i="27"/>
  <c r="J104" i="25"/>
  <c r="H104" i="40"/>
  <c r="J141" i="25"/>
  <c r="H141" i="40"/>
  <c r="H114" i="27"/>
  <c r="J114" i="40"/>
  <c r="J146" i="25"/>
  <c r="H146" i="40"/>
  <c r="H138" i="30"/>
  <c r="J138" i="29"/>
  <c r="H99" i="25"/>
  <c r="J99" i="24"/>
  <c r="J88" i="40"/>
  <c r="H88" i="27"/>
  <c r="H66" i="28"/>
  <c r="J66" i="27"/>
  <c r="H140" i="40"/>
  <c r="J140" i="25"/>
  <c r="H91" i="27"/>
  <c r="J91" i="40"/>
  <c r="H69" i="40"/>
  <c r="J69" i="25"/>
  <c r="J27" i="25"/>
  <c r="H27" i="40"/>
  <c r="J63" i="40"/>
  <c r="H63" i="27"/>
  <c r="J181" i="24"/>
  <c r="H181" i="25"/>
  <c r="H120" i="40"/>
  <c r="J120" i="25"/>
  <c r="H116" i="28"/>
  <c r="J116" i="27"/>
  <c r="H163" i="40"/>
  <c r="J163" i="25"/>
  <c r="J89" i="40"/>
  <c r="H89" i="27"/>
  <c r="J115" i="27"/>
  <c r="H115" i="28"/>
  <c r="J97" i="25"/>
  <c r="H97" i="40"/>
  <c r="H180" i="40"/>
  <c r="J180" i="25"/>
  <c r="J19" i="28"/>
  <c r="H19" i="29"/>
  <c r="H11" i="27"/>
  <c r="J11" i="40"/>
  <c r="J105" i="25"/>
  <c r="H105" i="40"/>
  <c r="H75" i="28"/>
  <c r="J75" i="27"/>
  <c r="H53" i="27"/>
  <c r="J53" i="40"/>
  <c r="H64" i="27"/>
  <c r="J64" i="40"/>
  <c r="H98" i="25"/>
  <c r="J98" i="24"/>
  <c r="H44" i="28"/>
  <c r="J44" i="27"/>
  <c r="J176" i="40"/>
  <c r="H176" i="27"/>
  <c r="H62" i="40"/>
  <c r="J62" i="25"/>
  <c r="H36" i="28"/>
  <c r="J36" i="27"/>
  <c r="H41" i="27"/>
  <c r="J41" i="40"/>
  <c r="J9" i="40"/>
  <c r="H9" i="27"/>
  <c r="H148" i="27"/>
  <c r="J148" i="40"/>
  <c r="H78" i="40"/>
  <c r="J78" i="25"/>
  <c r="J127" i="27"/>
  <c r="H127" i="28"/>
  <c r="H112" i="29"/>
  <c r="J112" i="28"/>
  <c r="J59" i="25"/>
  <c r="H59" i="40"/>
  <c r="J130" i="28"/>
  <c r="H130" i="29"/>
  <c r="J95" i="27"/>
  <c r="H95" i="28"/>
  <c r="H87" i="28"/>
  <c r="J87" i="27"/>
  <c r="H184" i="29"/>
  <c r="J184" i="28"/>
  <c r="H143" i="28"/>
  <c r="J143" i="27"/>
  <c r="H175" i="28"/>
  <c r="J175" i="27"/>
  <c r="H177" i="29"/>
  <c r="J177" i="28"/>
  <c r="J30" i="27"/>
  <c r="H30" i="28"/>
  <c r="J149" i="28"/>
  <c r="H149" i="29"/>
  <c r="H47" i="25"/>
  <c r="J47" i="24"/>
  <c r="H84" i="29"/>
  <c r="J84" i="28"/>
  <c r="H162" i="28"/>
  <c r="J162" i="27"/>
  <c r="J8" i="29"/>
  <c r="H8" i="30"/>
  <c r="J28" i="25"/>
  <c r="H28" i="40"/>
  <c r="J187" i="40"/>
  <c r="H187" i="27"/>
  <c r="J182" i="28"/>
  <c r="H182" i="29"/>
  <c r="J10" i="40"/>
  <c r="H10" i="27"/>
  <c r="H119" i="29"/>
  <c r="J119" i="28"/>
  <c r="J144" i="27"/>
  <c r="H144" i="28"/>
  <c r="J183" i="28"/>
  <c r="H183" i="29"/>
  <c r="H94" i="28"/>
  <c r="J94" i="27"/>
  <c r="J186" i="25"/>
  <c r="H186" i="40"/>
  <c r="J12" i="40"/>
  <c r="H12" i="27"/>
  <c r="H60" i="24"/>
  <c r="J60" i="23"/>
  <c r="H165" i="30"/>
  <c r="J165" i="29"/>
  <c r="J151" i="30"/>
  <c r="H151" i="43"/>
  <c r="H40" i="40"/>
  <c r="J40" i="25"/>
  <c r="J32" i="24"/>
  <c r="H32" i="25"/>
  <c r="J155" i="28"/>
  <c r="H155" i="29"/>
  <c r="H142" i="27"/>
  <c r="J142" i="40"/>
  <c r="J145" i="27"/>
  <c r="H145" i="28"/>
  <c r="J152" i="27"/>
  <c r="H152" i="28"/>
  <c r="H15" i="40"/>
  <c r="J15" i="25"/>
  <c r="I16" i="25" s="1"/>
  <c r="H74" i="29"/>
  <c r="J74" i="28"/>
  <c r="H134" i="27"/>
  <c r="J134" i="40"/>
  <c r="H67" i="40"/>
  <c r="J67" i="25"/>
  <c r="H174" i="27"/>
  <c r="J174" i="40"/>
  <c r="H49" i="40"/>
  <c r="J49" i="25"/>
  <c r="H131" i="28"/>
  <c r="J131" i="27"/>
  <c r="H113" i="27"/>
  <c r="J113" i="40"/>
  <c r="H23" i="27"/>
  <c r="J23" i="40"/>
  <c r="J18" i="29" l="1"/>
  <c r="H18" i="30"/>
  <c r="J55" i="27"/>
  <c r="H55" i="28"/>
  <c r="J173" i="40"/>
  <c r="H173" i="27"/>
  <c r="J13" i="25"/>
  <c r="H13" i="40"/>
  <c r="J20" i="40"/>
  <c r="I20" i="40" s="1"/>
  <c r="H20" i="27"/>
  <c r="H128" i="29"/>
  <c r="J128" i="28"/>
  <c r="J39" i="27"/>
  <c r="H39" i="28"/>
  <c r="H24" i="27"/>
  <c r="J24" i="40"/>
  <c r="H46" i="50"/>
  <c r="J46" i="50" s="1"/>
  <c r="J45" i="43"/>
  <c r="H45" i="31"/>
  <c r="J45" i="31" s="1"/>
  <c r="J70" i="27"/>
  <c r="H70" i="28"/>
  <c r="H185" i="28"/>
  <c r="J185" i="27"/>
  <c r="H71" i="40"/>
  <c r="J71" i="25"/>
  <c r="J77" i="27"/>
  <c r="H77" i="28"/>
  <c r="H56" i="28"/>
  <c r="J56" i="27"/>
  <c r="J117" i="27"/>
  <c r="H117" i="28"/>
  <c r="J123" i="27"/>
  <c r="H123" i="28"/>
  <c r="J102" i="27"/>
  <c r="H102" i="28"/>
  <c r="H179" i="28"/>
  <c r="J179" i="27"/>
  <c r="J7" i="29"/>
  <c r="I9" i="29" s="1"/>
  <c r="H7" i="30"/>
  <c r="J100" i="27"/>
  <c r="H100" i="28"/>
  <c r="J29" i="28"/>
  <c r="H29" i="29"/>
  <c r="J86" i="28"/>
  <c r="H86" i="29"/>
  <c r="J76" i="28"/>
  <c r="H76" i="29"/>
  <c r="J43" i="27"/>
  <c r="H43" i="28"/>
  <c r="H164" i="30"/>
  <c r="J164" i="29"/>
  <c r="H38" i="28"/>
  <c r="J38" i="27"/>
  <c r="J50" i="28"/>
  <c r="H50" i="29"/>
  <c r="J121" i="27"/>
  <c r="H121" i="28"/>
  <c r="H122" i="29"/>
  <c r="J122" i="28"/>
  <c r="H101" i="28"/>
  <c r="J101" i="27"/>
  <c r="H35" i="29"/>
  <c r="J35" i="28"/>
  <c r="H147" i="28"/>
  <c r="J147" i="27"/>
  <c r="J85" i="27"/>
  <c r="H85" i="28"/>
  <c r="J54" i="28"/>
  <c r="H54" i="29"/>
  <c r="H129" i="29"/>
  <c r="J129" i="28"/>
  <c r="H139" i="28"/>
  <c r="J139" i="27"/>
  <c r="J57" i="27"/>
  <c r="H57" i="28"/>
  <c r="J133" i="29"/>
  <c r="H133" i="30"/>
  <c r="H65" i="28"/>
  <c r="J65" i="27"/>
  <c r="J22" i="27"/>
  <c r="H22" i="28"/>
  <c r="J103" i="29"/>
  <c r="H103" i="30"/>
  <c r="H83" i="43"/>
  <c r="J83" i="30"/>
  <c r="H82" i="28"/>
  <c r="J82" i="27"/>
  <c r="H58" i="30"/>
  <c r="J58" i="29"/>
  <c r="J31" i="28"/>
  <c r="H31" i="29"/>
  <c r="J132" i="30"/>
  <c r="H132" i="43"/>
  <c r="H53" i="28"/>
  <c r="J53" i="27"/>
  <c r="H120" i="27"/>
  <c r="J120" i="40"/>
  <c r="H66" i="29"/>
  <c r="J66" i="28"/>
  <c r="J88" i="27"/>
  <c r="H88" i="28"/>
  <c r="H104" i="27"/>
  <c r="J104" i="40"/>
  <c r="J118" i="28"/>
  <c r="H118" i="29"/>
  <c r="H41" i="28"/>
  <c r="J41" i="27"/>
  <c r="H44" i="29"/>
  <c r="J44" i="28"/>
  <c r="H75" i="29"/>
  <c r="J75" i="28"/>
  <c r="J180" i="40"/>
  <c r="H180" i="27"/>
  <c r="H69" i="27"/>
  <c r="J69" i="40"/>
  <c r="H114" i="28"/>
  <c r="J114" i="27"/>
  <c r="H96" i="27"/>
  <c r="J96" i="40"/>
  <c r="H156" i="28"/>
  <c r="J156" i="27"/>
  <c r="J105" i="40"/>
  <c r="H105" i="27"/>
  <c r="J97" i="40"/>
  <c r="H97" i="27"/>
  <c r="H181" i="40"/>
  <c r="J181" i="25"/>
  <c r="J36" i="28"/>
  <c r="H36" i="29"/>
  <c r="J98" i="25"/>
  <c r="H98" i="40"/>
  <c r="H163" i="27"/>
  <c r="J163" i="40"/>
  <c r="H91" i="28"/>
  <c r="J91" i="27"/>
  <c r="J99" i="25"/>
  <c r="H99" i="40"/>
  <c r="H161" i="29"/>
  <c r="J161" i="28"/>
  <c r="H115" i="29"/>
  <c r="J115" i="28"/>
  <c r="J63" i="27"/>
  <c r="H63" i="28"/>
  <c r="J178" i="40"/>
  <c r="H178" i="27"/>
  <c r="H62" i="27"/>
  <c r="J62" i="40"/>
  <c r="J64" i="27"/>
  <c r="H64" i="28"/>
  <c r="H11" i="28"/>
  <c r="J11" i="27"/>
  <c r="J116" i="28"/>
  <c r="H116" i="29"/>
  <c r="J140" i="40"/>
  <c r="H140" i="27"/>
  <c r="H138" i="43"/>
  <c r="J138" i="30"/>
  <c r="J176" i="27"/>
  <c r="H176" i="28"/>
  <c r="J19" i="29"/>
  <c r="H19" i="30"/>
  <c r="J89" i="27"/>
  <c r="H89" i="28"/>
  <c r="J27" i="40"/>
  <c r="H27" i="27"/>
  <c r="J146" i="40"/>
  <c r="H146" i="27"/>
  <c r="H141" i="27"/>
  <c r="J141" i="40"/>
  <c r="H51" i="28"/>
  <c r="J51" i="27"/>
  <c r="H92" i="27"/>
  <c r="J92" i="40"/>
  <c r="H23" i="28"/>
  <c r="J23" i="27"/>
  <c r="H131" i="29"/>
  <c r="J131" i="28"/>
  <c r="H174" i="28"/>
  <c r="J174" i="27"/>
  <c r="H74" i="30"/>
  <c r="J74" i="29"/>
  <c r="J60" i="24"/>
  <c r="H60" i="25"/>
  <c r="H162" i="29"/>
  <c r="J162" i="28"/>
  <c r="H87" i="29"/>
  <c r="J87" i="28"/>
  <c r="J59" i="40"/>
  <c r="H59" i="27"/>
  <c r="J145" i="28"/>
  <c r="H145" i="29"/>
  <c r="J32" i="25"/>
  <c r="H32" i="40"/>
  <c r="H12" i="28"/>
  <c r="J12" i="27"/>
  <c r="J28" i="40"/>
  <c r="H28" i="27"/>
  <c r="H67" i="27"/>
  <c r="J67" i="40"/>
  <c r="H94" i="29"/>
  <c r="J94" i="28"/>
  <c r="J47" i="25"/>
  <c r="H47" i="40"/>
  <c r="J177" i="29"/>
  <c r="H177" i="30"/>
  <c r="H175" i="29"/>
  <c r="J175" i="28"/>
  <c r="J127" i="28"/>
  <c r="H127" i="29"/>
  <c r="J183" i="29"/>
  <c r="H183" i="30"/>
  <c r="H182" i="30"/>
  <c r="J182" i="29"/>
  <c r="J8" i="30"/>
  <c r="H8" i="43"/>
  <c r="J134" i="27"/>
  <c r="H134" i="28"/>
  <c r="J15" i="40"/>
  <c r="I16" i="40" s="1"/>
  <c r="H15" i="27"/>
  <c r="H142" i="28"/>
  <c r="J142" i="27"/>
  <c r="J119" i="29"/>
  <c r="H119" i="30"/>
  <c r="H143" i="29"/>
  <c r="J143" i="28"/>
  <c r="H95" i="29"/>
  <c r="J95" i="28"/>
  <c r="J152" i="28"/>
  <c r="H152" i="29"/>
  <c r="J155" i="29"/>
  <c r="H155" i="30"/>
  <c r="H186" i="27"/>
  <c r="J186" i="40"/>
  <c r="J10" i="27"/>
  <c r="H10" i="28"/>
  <c r="J187" i="27"/>
  <c r="H187" i="28"/>
  <c r="J149" i="29"/>
  <c r="H149" i="30"/>
  <c r="H148" i="28"/>
  <c r="J148" i="27"/>
  <c r="H113" i="28"/>
  <c r="J113" i="27"/>
  <c r="H49" i="27"/>
  <c r="J49" i="40"/>
  <c r="H40" i="27"/>
  <c r="J40" i="40"/>
  <c r="H165" i="43"/>
  <c r="J165" i="30"/>
  <c r="H84" i="30"/>
  <c r="J84" i="29"/>
  <c r="H184" i="30"/>
  <c r="J184" i="29"/>
  <c r="H130" i="30"/>
  <c r="J130" i="29"/>
  <c r="H9" i="28"/>
  <c r="J9" i="27"/>
  <c r="H151" i="31"/>
  <c r="J151" i="31" s="1"/>
  <c r="J151" i="43"/>
  <c r="H144" i="29"/>
  <c r="J144" i="28"/>
  <c r="J30" i="28"/>
  <c r="H30" i="29"/>
  <c r="H112" i="30"/>
  <c r="J112" i="29"/>
  <c r="H78" i="27"/>
  <c r="J78" i="40"/>
  <c r="J71" i="40" l="1"/>
  <c r="H71" i="27"/>
  <c r="J13" i="40"/>
  <c r="H13" i="27"/>
  <c r="H24" i="28"/>
  <c r="J24" i="27"/>
  <c r="J185" i="28"/>
  <c r="H185" i="29"/>
  <c r="J39" i="28"/>
  <c r="H39" i="29"/>
  <c r="J173" i="27"/>
  <c r="H173" i="28"/>
  <c r="H70" i="29"/>
  <c r="J70" i="28"/>
  <c r="H56" i="29"/>
  <c r="J56" i="28"/>
  <c r="J55" i="28"/>
  <c r="H55" i="29"/>
  <c r="J77" i="28"/>
  <c r="H77" i="29"/>
  <c r="H128" i="30"/>
  <c r="J128" i="29"/>
  <c r="J20" i="27"/>
  <c r="I20" i="27" s="1"/>
  <c r="H20" i="28"/>
  <c r="J18" i="30"/>
  <c r="H18" i="43"/>
  <c r="H129" i="30"/>
  <c r="J129" i="29"/>
  <c r="J147" i="28"/>
  <c r="H147" i="29"/>
  <c r="J122" i="29"/>
  <c r="H122" i="30"/>
  <c r="J164" i="30"/>
  <c r="H164" i="43"/>
  <c r="J57" i="28"/>
  <c r="H57" i="29"/>
  <c r="J54" i="29"/>
  <c r="H54" i="30"/>
  <c r="J50" i="29"/>
  <c r="H50" i="30"/>
  <c r="J76" i="29"/>
  <c r="H76" i="30"/>
  <c r="J29" i="29"/>
  <c r="H29" i="30"/>
  <c r="H7" i="43"/>
  <c r="J7" i="30"/>
  <c r="I9" i="30" s="1"/>
  <c r="J102" i="28"/>
  <c r="H102" i="29"/>
  <c r="J117" i="28"/>
  <c r="H117" i="29"/>
  <c r="J139" i="28"/>
  <c r="H139" i="29"/>
  <c r="H35" i="30"/>
  <c r="J35" i="29"/>
  <c r="J101" i="28"/>
  <c r="H101" i="29"/>
  <c r="J38" i="28"/>
  <c r="H38" i="29"/>
  <c r="J179" i="28"/>
  <c r="H179" i="29"/>
  <c r="J85" i="28"/>
  <c r="H85" i="29"/>
  <c r="H121" i="29"/>
  <c r="J121" i="28"/>
  <c r="J43" i="28"/>
  <c r="H43" i="29"/>
  <c r="J86" i="29"/>
  <c r="H86" i="30"/>
  <c r="J100" i="28"/>
  <c r="H100" i="29"/>
  <c r="J123" i="28"/>
  <c r="H123" i="29"/>
  <c r="J133" i="30"/>
  <c r="H133" i="43"/>
  <c r="H31" i="30"/>
  <c r="J31" i="29"/>
  <c r="J132" i="43"/>
  <c r="H132" i="31"/>
  <c r="J132" i="31" s="1"/>
  <c r="H84" i="50"/>
  <c r="J84" i="50" s="1"/>
  <c r="H83" i="31"/>
  <c r="J83" i="31" s="1"/>
  <c r="J83" i="43"/>
  <c r="H103" i="43"/>
  <c r="J103" i="30"/>
  <c r="H22" i="29"/>
  <c r="J22" i="28"/>
  <c r="H58" i="43"/>
  <c r="J58" i="30"/>
  <c r="H82" i="29"/>
  <c r="J82" i="28"/>
  <c r="J65" i="28"/>
  <c r="H65" i="29"/>
  <c r="H89" i="29"/>
  <c r="J89" i="28"/>
  <c r="H64" i="29"/>
  <c r="J64" i="28"/>
  <c r="J63" i="28"/>
  <c r="H63" i="29"/>
  <c r="H98" i="27"/>
  <c r="J98" i="40"/>
  <c r="J105" i="27"/>
  <c r="H105" i="28"/>
  <c r="H51" i="29"/>
  <c r="J51" i="28"/>
  <c r="J138" i="43"/>
  <c r="H138" i="31"/>
  <c r="J138" i="31" s="1"/>
  <c r="H90" i="50"/>
  <c r="J90" i="50" s="1"/>
  <c r="H69" i="28"/>
  <c r="J69" i="27"/>
  <c r="H41" i="29"/>
  <c r="J41" i="28"/>
  <c r="H19" i="43"/>
  <c r="J19" i="30"/>
  <c r="J140" i="27"/>
  <c r="H140" i="28"/>
  <c r="J99" i="40"/>
  <c r="H99" i="27"/>
  <c r="H36" i="30"/>
  <c r="J36" i="29"/>
  <c r="H180" i="28"/>
  <c r="J180" i="27"/>
  <c r="J118" i="29"/>
  <c r="H118" i="30"/>
  <c r="H141" i="28"/>
  <c r="J141" i="27"/>
  <c r="H62" i="28"/>
  <c r="J62" i="27"/>
  <c r="H115" i="30"/>
  <c r="J115" i="29"/>
  <c r="J156" i="28"/>
  <c r="H156" i="29"/>
  <c r="H66" i="30"/>
  <c r="J66" i="29"/>
  <c r="H146" i="28"/>
  <c r="J146" i="27"/>
  <c r="H176" i="29"/>
  <c r="J176" i="28"/>
  <c r="H116" i="30"/>
  <c r="J116" i="29"/>
  <c r="H178" i="28"/>
  <c r="J178" i="27"/>
  <c r="H91" i="29"/>
  <c r="J91" i="28"/>
  <c r="H181" i="27"/>
  <c r="J181" i="40"/>
  <c r="H96" i="28"/>
  <c r="J96" i="27"/>
  <c r="H75" i="30"/>
  <c r="J75" i="29"/>
  <c r="H104" i="28"/>
  <c r="J104" i="27"/>
  <c r="H120" i="28"/>
  <c r="J120" i="27"/>
  <c r="J27" i="27"/>
  <c r="H27" i="28"/>
  <c r="J97" i="27"/>
  <c r="H97" i="28"/>
  <c r="H88" i="29"/>
  <c r="J88" i="28"/>
  <c r="H92" i="28"/>
  <c r="J92" i="27"/>
  <c r="H11" i="29"/>
  <c r="J11" i="28"/>
  <c r="H161" i="30"/>
  <c r="J161" i="29"/>
  <c r="J163" i="27"/>
  <c r="H163" i="28"/>
  <c r="H114" i="29"/>
  <c r="J114" i="28"/>
  <c r="H44" i="30"/>
  <c r="J44" i="29"/>
  <c r="H53" i="29"/>
  <c r="J53" i="28"/>
  <c r="H49" i="28"/>
  <c r="J49" i="27"/>
  <c r="J187" i="28"/>
  <c r="H187" i="29"/>
  <c r="H155" i="43"/>
  <c r="J155" i="30"/>
  <c r="H119" i="43"/>
  <c r="J119" i="30"/>
  <c r="H134" i="29"/>
  <c r="J134" i="28"/>
  <c r="J28" i="27"/>
  <c r="H28" i="28"/>
  <c r="H184" i="43"/>
  <c r="J184" i="30"/>
  <c r="H165" i="31"/>
  <c r="J165" i="31" s="1"/>
  <c r="J165" i="43"/>
  <c r="H148" i="29"/>
  <c r="J148" i="28"/>
  <c r="J143" i="29"/>
  <c r="H143" i="30"/>
  <c r="H182" i="43"/>
  <c r="J182" i="30"/>
  <c r="H94" i="30"/>
  <c r="J94" i="29"/>
  <c r="H113" i="29"/>
  <c r="J113" i="28"/>
  <c r="J10" i="28"/>
  <c r="H10" i="29"/>
  <c r="H152" i="30"/>
  <c r="J152" i="29"/>
  <c r="J183" i="30"/>
  <c r="H183" i="43"/>
  <c r="J175" i="29"/>
  <c r="H175" i="30"/>
  <c r="H59" i="28"/>
  <c r="J59" i="27"/>
  <c r="J60" i="25"/>
  <c r="H60" i="40"/>
  <c r="H40" i="28"/>
  <c r="J40" i="27"/>
  <c r="H177" i="43"/>
  <c r="J177" i="30"/>
  <c r="H12" i="29"/>
  <c r="J12" i="28"/>
  <c r="H162" i="30"/>
  <c r="J162" i="29"/>
  <c r="H174" i="29"/>
  <c r="J174" i="28"/>
  <c r="H78" i="28"/>
  <c r="J78" i="27"/>
  <c r="J30" i="29"/>
  <c r="H30" i="30"/>
  <c r="H127" i="30"/>
  <c r="J127" i="29"/>
  <c r="J32" i="40"/>
  <c r="H32" i="27"/>
  <c r="H112" i="43"/>
  <c r="J112" i="30"/>
  <c r="H9" i="29"/>
  <c r="J9" i="28"/>
  <c r="H84" i="43"/>
  <c r="J84" i="30"/>
  <c r="J142" i="28"/>
  <c r="H142" i="29"/>
  <c r="H47" i="27"/>
  <c r="J47" i="40"/>
  <c r="H87" i="30"/>
  <c r="J87" i="29"/>
  <c r="H131" i="30"/>
  <c r="J131" i="29"/>
  <c r="J149" i="30"/>
  <c r="H149" i="43"/>
  <c r="J15" i="27"/>
  <c r="I16" i="27" s="1"/>
  <c r="H15" i="28"/>
  <c r="H8" i="50"/>
  <c r="J8" i="50" s="1"/>
  <c r="J8" i="43"/>
  <c r="H8" i="31"/>
  <c r="J8" i="31" s="1"/>
  <c r="J145" i="29"/>
  <c r="H145" i="30"/>
  <c r="J144" i="29"/>
  <c r="H144" i="30"/>
  <c r="H130" i="43"/>
  <c r="J130" i="30"/>
  <c r="H186" i="28"/>
  <c r="J186" i="27"/>
  <c r="H95" i="30"/>
  <c r="J95" i="29"/>
  <c r="H67" i="28"/>
  <c r="J67" i="27"/>
  <c r="H74" i="43"/>
  <c r="J74" i="30"/>
  <c r="H23" i="29"/>
  <c r="J23" i="28"/>
  <c r="J20" i="28" l="1"/>
  <c r="I20" i="28" s="1"/>
  <c r="H20" i="29"/>
  <c r="H185" i="30"/>
  <c r="J185" i="29"/>
  <c r="H56" i="30"/>
  <c r="J56" i="29"/>
  <c r="H128" i="43"/>
  <c r="J128" i="30"/>
  <c r="J70" i="29"/>
  <c r="H70" i="30"/>
  <c r="J24" i="28"/>
  <c r="H24" i="29"/>
  <c r="J77" i="29"/>
  <c r="H77" i="30"/>
  <c r="H173" i="29"/>
  <c r="J173" i="28"/>
  <c r="H13" i="28"/>
  <c r="J13" i="27"/>
  <c r="H18" i="31"/>
  <c r="J18" i="31" s="1"/>
  <c r="J18" i="43"/>
  <c r="H19" i="50"/>
  <c r="J19" i="50" s="1"/>
  <c r="J55" i="29"/>
  <c r="H55" i="30"/>
  <c r="H39" i="30"/>
  <c r="J39" i="29"/>
  <c r="J71" i="27"/>
  <c r="H71" i="28"/>
  <c r="J121" i="29"/>
  <c r="H121" i="30"/>
  <c r="H7" i="50"/>
  <c r="J7" i="50" s="1"/>
  <c r="J7" i="43"/>
  <c r="I9" i="43" s="1"/>
  <c r="H7" i="31"/>
  <c r="J7" i="31" s="1"/>
  <c r="I9" i="31" s="1"/>
  <c r="H129" i="43"/>
  <c r="J129" i="30"/>
  <c r="H123" i="30"/>
  <c r="J123" i="29"/>
  <c r="H86" i="43"/>
  <c r="J86" i="30"/>
  <c r="J179" i="29"/>
  <c r="H179" i="30"/>
  <c r="J101" i="29"/>
  <c r="H101" i="30"/>
  <c r="J117" i="29"/>
  <c r="H117" i="30"/>
  <c r="J76" i="30"/>
  <c r="H76" i="43"/>
  <c r="J57" i="29"/>
  <c r="H57" i="30"/>
  <c r="J122" i="30"/>
  <c r="H122" i="43"/>
  <c r="J35" i="30"/>
  <c r="H35" i="43"/>
  <c r="J100" i="29"/>
  <c r="H100" i="30"/>
  <c r="J43" i="29"/>
  <c r="H43" i="30"/>
  <c r="J85" i="29"/>
  <c r="H85" i="30"/>
  <c r="J38" i="29"/>
  <c r="H38" i="30"/>
  <c r="J139" i="29"/>
  <c r="H139" i="30"/>
  <c r="J102" i="29"/>
  <c r="H102" i="30"/>
  <c r="J29" i="30"/>
  <c r="H29" i="43"/>
  <c r="J50" i="30"/>
  <c r="H50" i="43"/>
  <c r="J54" i="30"/>
  <c r="H54" i="43"/>
  <c r="H164" i="31"/>
  <c r="J164" i="31" s="1"/>
  <c r="J164" i="43"/>
  <c r="J147" i="29"/>
  <c r="H147" i="30"/>
  <c r="H85" i="50"/>
  <c r="J85" i="50" s="1"/>
  <c r="J133" i="43"/>
  <c r="H133" i="31"/>
  <c r="J133" i="31" s="1"/>
  <c r="J103" i="43"/>
  <c r="H103" i="31"/>
  <c r="J103" i="31" s="1"/>
  <c r="H58" i="31"/>
  <c r="J58" i="31" s="1"/>
  <c r="H59" i="50"/>
  <c r="J59" i="50" s="1"/>
  <c r="J58" i="43"/>
  <c r="H22" i="30"/>
  <c r="J22" i="29"/>
  <c r="J82" i="29"/>
  <c r="H82" i="30"/>
  <c r="H65" i="30"/>
  <c r="J65" i="29"/>
  <c r="J31" i="30"/>
  <c r="H31" i="43"/>
  <c r="H96" i="29"/>
  <c r="J96" i="28"/>
  <c r="H178" i="29"/>
  <c r="J178" i="28"/>
  <c r="J66" i="30"/>
  <c r="H66" i="43"/>
  <c r="H141" i="29"/>
  <c r="J141" i="28"/>
  <c r="J69" i="28"/>
  <c r="H69" i="29"/>
  <c r="H156" i="30"/>
  <c r="J156" i="29"/>
  <c r="H118" i="43"/>
  <c r="J118" i="30"/>
  <c r="H140" i="29"/>
  <c r="J140" i="28"/>
  <c r="H98" i="28"/>
  <c r="J98" i="27"/>
  <c r="J53" i="29"/>
  <c r="H53" i="30"/>
  <c r="H161" i="43"/>
  <c r="J161" i="30"/>
  <c r="H92" i="29"/>
  <c r="J92" i="28"/>
  <c r="H120" i="29"/>
  <c r="J120" i="28"/>
  <c r="J181" i="27"/>
  <c r="H181" i="28"/>
  <c r="H116" i="43"/>
  <c r="J116" i="30"/>
  <c r="J63" i="29"/>
  <c r="H63" i="30"/>
  <c r="H44" i="43"/>
  <c r="J44" i="30"/>
  <c r="J88" i="29"/>
  <c r="H88" i="30"/>
  <c r="H104" i="29"/>
  <c r="J104" i="28"/>
  <c r="H91" i="30"/>
  <c r="J91" i="29"/>
  <c r="J176" i="29"/>
  <c r="H176" i="30"/>
  <c r="H115" i="43"/>
  <c r="J115" i="30"/>
  <c r="H180" i="29"/>
  <c r="J180" i="28"/>
  <c r="H20" i="50"/>
  <c r="J20" i="50" s="1"/>
  <c r="H19" i="31"/>
  <c r="J19" i="31" s="1"/>
  <c r="J19" i="43"/>
  <c r="H97" i="29"/>
  <c r="J97" i="28"/>
  <c r="H51" i="30"/>
  <c r="J51" i="29"/>
  <c r="H64" i="30"/>
  <c r="J64" i="29"/>
  <c r="H114" i="30"/>
  <c r="J114" i="29"/>
  <c r="J11" i="29"/>
  <c r="H11" i="30"/>
  <c r="H75" i="43"/>
  <c r="J75" i="30"/>
  <c r="J146" i="28"/>
  <c r="H146" i="29"/>
  <c r="H62" i="29"/>
  <c r="J62" i="28"/>
  <c r="H36" i="43"/>
  <c r="J36" i="30"/>
  <c r="J41" i="29"/>
  <c r="H41" i="30"/>
  <c r="H105" i="29"/>
  <c r="J105" i="28"/>
  <c r="H163" i="29"/>
  <c r="J163" i="28"/>
  <c r="J27" i="28"/>
  <c r="H27" i="29"/>
  <c r="J99" i="27"/>
  <c r="H99" i="28"/>
  <c r="J89" i="29"/>
  <c r="H89" i="30"/>
  <c r="H142" i="30"/>
  <c r="J142" i="29"/>
  <c r="J10" i="29"/>
  <c r="H10" i="30"/>
  <c r="H23" i="30"/>
  <c r="J23" i="29"/>
  <c r="H87" i="43"/>
  <c r="J87" i="30"/>
  <c r="J9" i="29"/>
  <c r="H9" i="30"/>
  <c r="J174" i="29"/>
  <c r="H174" i="30"/>
  <c r="J148" i="29"/>
  <c r="H148" i="30"/>
  <c r="J28" i="28"/>
  <c r="H28" i="29"/>
  <c r="H119" i="31"/>
  <c r="J119" i="31" s="1"/>
  <c r="J119" i="43"/>
  <c r="H15" i="29"/>
  <c r="J15" i="28"/>
  <c r="I16" i="28" s="1"/>
  <c r="J59" i="28"/>
  <c r="H59" i="29"/>
  <c r="H175" i="43"/>
  <c r="J175" i="30"/>
  <c r="H144" i="43"/>
  <c r="J144" i="30"/>
  <c r="H145" i="43"/>
  <c r="J145" i="30"/>
  <c r="J112" i="43"/>
  <c r="H112" i="31"/>
  <c r="J112" i="31" s="1"/>
  <c r="J162" i="30"/>
  <c r="H162" i="43"/>
  <c r="H113" i="30"/>
  <c r="J113" i="29"/>
  <c r="H94" i="43"/>
  <c r="J94" i="30"/>
  <c r="H155" i="31"/>
  <c r="J155" i="31" s="1"/>
  <c r="J155" i="43"/>
  <c r="H130" i="31"/>
  <c r="J130" i="31" s="1"/>
  <c r="J130" i="43"/>
  <c r="J186" i="28"/>
  <c r="H186" i="29"/>
  <c r="H149" i="31"/>
  <c r="J149" i="31" s="1"/>
  <c r="J149" i="43"/>
  <c r="H101" i="50"/>
  <c r="J101" i="50" s="1"/>
  <c r="J127" i="30"/>
  <c r="H127" i="43"/>
  <c r="J30" i="30"/>
  <c r="H30" i="43"/>
  <c r="J183" i="43"/>
  <c r="H183" i="31"/>
  <c r="J183" i="31" s="1"/>
  <c r="J187" i="29"/>
  <c r="H187" i="30"/>
  <c r="J95" i="30"/>
  <c r="H95" i="43"/>
  <c r="J74" i="43"/>
  <c r="H74" i="31"/>
  <c r="J74" i="31" s="1"/>
  <c r="H12" i="30"/>
  <c r="J12" i="29"/>
  <c r="J182" i="43"/>
  <c r="H182" i="31"/>
  <c r="J182" i="31" s="1"/>
  <c r="H128" i="50"/>
  <c r="J128" i="50" s="1"/>
  <c r="J184" i="43"/>
  <c r="H184" i="31"/>
  <c r="J184" i="31" s="1"/>
  <c r="H67" i="29"/>
  <c r="J67" i="28"/>
  <c r="J32" i="27"/>
  <c r="H32" i="28"/>
  <c r="H40" i="29"/>
  <c r="J40" i="28"/>
  <c r="H143" i="43"/>
  <c r="J143" i="30"/>
  <c r="H131" i="43"/>
  <c r="J131" i="30"/>
  <c r="H47" i="28"/>
  <c r="J47" i="27"/>
  <c r="J84" i="43"/>
  <c r="H84" i="31"/>
  <c r="J84" i="31" s="1"/>
  <c r="H78" i="29"/>
  <c r="J78" i="28"/>
  <c r="J177" i="43"/>
  <c r="H177" i="31"/>
  <c r="J177" i="31" s="1"/>
  <c r="H121" i="50"/>
  <c r="J121" i="50" s="1"/>
  <c r="J60" i="40"/>
  <c r="H60" i="27"/>
  <c r="H152" i="43"/>
  <c r="J152" i="30"/>
  <c r="H134" i="30"/>
  <c r="J134" i="29"/>
  <c r="H49" i="29"/>
  <c r="J49" i="28"/>
  <c r="H39" i="43" l="1"/>
  <c r="J39" i="30"/>
  <c r="J55" i="30"/>
  <c r="H55" i="43"/>
  <c r="J173" i="29"/>
  <c r="H173" i="30"/>
  <c r="H128" i="31"/>
  <c r="J128" i="31" s="1"/>
  <c r="J128" i="43"/>
  <c r="H79" i="50"/>
  <c r="J79" i="50" s="1"/>
  <c r="J77" i="30"/>
  <c r="H77" i="43"/>
  <c r="J56" i="30"/>
  <c r="H56" i="43"/>
  <c r="H24" i="30"/>
  <c r="J24" i="29"/>
  <c r="J71" i="28"/>
  <c r="H71" i="29"/>
  <c r="H185" i="43"/>
  <c r="J185" i="30"/>
  <c r="H70" i="43"/>
  <c r="J70" i="30"/>
  <c r="J20" i="29"/>
  <c r="I20" i="29" s="1"/>
  <c r="H20" i="30"/>
  <c r="J13" i="28"/>
  <c r="H13" i="29"/>
  <c r="H50" i="31"/>
  <c r="J50" i="31" s="1"/>
  <c r="J50" i="43"/>
  <c r="H51" i="50"/>
  <c r="J51" i="50" s="1"/>
  <c r="J102" i="30"/>
  <c r="H102" i="43"/>
  <c r="H38" i="43"/>
  <c r="J38" i="30"/>
  <c r="J43" i="30"/>
  <c r="H43" i="43"/>
  <c r="H35" i="31"/>
  <c r="J35" i="31" s="1"/>
  <c r="J35" i="43"/>
  <c r="H36" i="50"/>
  <c r="J36" i="50" s="1"/>
  <c r="J57" i="30"/>
  <c r="H57" i="43"/>
  <c r="H117" i="43"/>
  <c r="J117" i="30"/>
  <c r="H101" i="43"/>
  <c r="J101" i="30"/>
  <c r="J123" i="30"/>
  <c r="H123" i="43"/>
  <c r="J121" i="30"/>
  <c r="H121" i="43"/>
  <c r="J147" i="30"/>
  <c r="H147" i="43"/>
  <c r="J54" i="43"/>
  <c r="H54" i="31"/>
  <c r="J54" i="31" s="1"/>
  <c r="H55" i="50"/>
  <c r="J55" i="50" s="1"/>
  <c r="H29" i="31"/>
  <c r="J29" i="31" s="1"/>
  <c r="H30" i="50"/>
  <c r="J30" i="50" s="1"/>
  <c r="J29" i="43"/>
  <c r="H139" i="43"/>
  <c r="J139" i="30"/>
  <c r="J85" i="30"/>
  <c r="H85" i="43"/>
  <c r="J100" i="30"/>
  <c r="H100" i="43"/>
  <c r="J122" i="43"/>
  <c r="H122" i="31"/>
  <c r="J122" i="31" s="1"/>
  <c r="H76" i="31"/>
  <c r="J76" i="31" s="1"/>
  <c r="J76" i="43"/>
  <c r="H179" i="43"/>
  <c r="J179" i="30"/>
  <c r="J86" i="43"/>
  <c r="H86" i="31"/>
  <c r="J86" i="31" s="1"/>
  <c r="J129" i="43"/>
  <c r="H80" i="50"/>
  <c r="H129" i="31"/>
  <c r="J129" i="31" s="1"/>
  <c r="J82" i="30"/>
  <c r="H82" i="43"/>
  <c r="J82" i="43" s="1"/>
  <c r="H22" i="43"/>
  <c r="J22" i="30"/>
  <c r="H31" i="31"/>
  <c r="J31" i="31" s="1"/>
  <c r="J31" i="43"/>
  <c r="H32" i="50"/>
  <c r="J32" i="50" s="1"/>
  <c r="J65" i="30"/>
  <c r="H65" i="43"/>
  <c r="H163" i="30"/>
  <c r="J163" i="29"/>
  <c r="J62" i="29"/>
  <c r="H62" i="30"/>
  <c r="H114" i="43"/>
  <c r="J114" i="30"/>
  <c r="H97" i="30"/>
  <c r="J97" i="29"/>
  <c r="H176" i="43"/>
  <c r="J176" i="30"/>
  <c r="J116" i="43"/>
  <c r="H116" i="31"/>
  <c r="J116" i="31" s="1"/>
  <c r="J161" i="43"/>
  <c r="H161" i="31"/>
  <c r="J161" i="31" s="1"/>
  <c r="H105" i="50"/>
  <c r="J105" i="50" s="1"/>
  <c r="J118" i="43"/>
  <c r="H118" i="31"/>
  <c r="J118" i="31" s="1"/>
  <c r="J89" i="30"/>
  <c r="H89" i="43"/>
  <c r="J146" i="29"/>
  <c r="H146" i="30"/>
  <c r="H181" i="29"/>
  <c r="J181" i="28"/>
  <c r="H53" i="43"/>
  <c r="J53" i="30"/>
  <c r="H105" i="30"/>
  <c r="J105" i="29"/>
  <c r="H64" i="43"/>
  <c r="J64" i="30"/>
  <c r="J156" i="30"/>
  <c r="H156" i="43"/>
  <c r="H178" i="30"/>
  <c r="J178" i="29"/>
  <c r="J99" i="28"/>
  <c r="J41" i="30"/>
  <c r="H41" i="43"/>
  <c r="H91" i="43"/>
  <c r="J91" i="30"/>
  <c r="H69" i="30"/>
  <c r="J69" i="29"/>
  <c r="H75" i="31"/>
  <c r="J75" i="31" s="1"/>
  <c r="J75" i="43"/>
  <c r="J51" i="30"/>
  <c r="H51" i="43"/>
  <c r="H44" i="31"/>
  <c r="J44" i="31" s="1"/>
  <c r="H45" i="50"/>
  <c r="J45" i="50" s="1"/>
  <c r="J44" i="43"/>
  <c r="H120" i="30"/>
  <c r="J120" i="29"/>
  <c r="J98" i="28"/>
  <c r="H98" i="29"/>
  <c r="H96" i="30"/>
  <c r="J96" i="29"/>
  <c r="J27" i="29"/>
  <c r="H27" i="30"/>
  <c r="H11" i="43"/>
  <c r="J11" i="30"/>
  <c r="J180" i="29"/>
  <c r="H180" i="30"/>
  <c r="H104" i="30"/>
  <c r="J104" i="29"/>
  <c r="J63" i="30"/>
  <c r="H63" i="43"/>
  <c r="H36" i="31"/>
  <c r="J36" i="31" s="1"/>
  <c r="H37" i="50"/>
  <c r="J37" i="50" s="1"/>
  <c r="J36" i="43"/>
  <c r="H88" i="43"/>
  <c r="J88" i="30"/>
  <c r="H92" i="30"/>
  <c r="J92" i="29"/>
  <c r="J140" i="29"/>
  <c r="H140" i="30"/>
  <c r="J141" i="29"/>
  <c r="H141" i="30"/>
  <c r="J115" i="43"/>
  <c r="H115" i="31"/>
  <c r="J115" i="31" s="1"/>
  <c r="J66" i="43"/>
  <c r="H66" i="31"/>
  <c r="J66" i="31" s="1"/>
  <c r="J131" i="43"/>
  <c r="H82" i="31"/>
  <c r="J82" i="31" s="1"/>
  <c r="H131" i="31"/>
  <c r="J131" i="31" s="1"/>
  <c r="H83" i="50"/>
  <c r="J83" i="50" s="1"/>
  <c r="J187" i="30"/>
  <c r="H187" i="43"/>
  <c r="J94" i="43"/>
  <c r="H94" i="31"/>
  <c r="J94" i="31" s="1"/>
  <c r="H64" i="50"/>
  <c r="J64" i="50" s="1"/>
  <c r="J145" i="43"/>
  <c r="H145" i="31"/>
  <c r="J145" i="31" s="1"/>
  <c r="H97" i="50"/>
  <c r="J97" i="50" s="1"/>
  <c r="H23" i="43"/>
  <c r="J23" i="30"/>
  <c r="J32" i="28"/>
  <c r="H32" i="29"/>
  <c r="H127" i="31"/>
  <c r="J127" i="31" s="1"/>
  <c r="J127" i="43"/>
  <c r="H78" i="50"/>
  <c r="J78" i="50" s="1"/>
  <c r="H186" i="30"/>
  <c r="J186" i="29"/>
  <c r="H174" i="43"/>
  <c r="J174" i="30"/>
  <c r="H10" i="43"/>
  <c r="J10" i="30"/>
  <c r="H78" i="30"/>
  <c r="J78" i="29"/>
  <c r="J143" i="43"/>
  <c r="H143" i="31"/>
  <c r="J143" i="31" s="1"/>
  <c r="H95" i="50"/>
  <c r="J95" i="50" s="1"/>
  <c r="H113" i="43"/>
  <c r="J113" i="30"/>
  <c r="J144" i="43"/>
  <c r="H144" i="31"/>
  <c r="J144" i="31" s="1"/>
  <c r="H96" i="50"/>
  <c r="J96" i="50" s="1"/>
  <c r="H15" i="30"/>
  <c r="J15" i="29"/>
  <c r="I16" i="29" s="1"/>
  <c r="J152" i="43"/>
  <c r="H152" i="31"/>
  <c r="J152" i="31" s="1"/>
  <c r="J12" i="30"/>
  <c r="H12" i="43"/>
  <c r="H162" i="31"/>
  <c r="J162" i="31" s="1"/>
  <c r="J162" i="43"/>
  <c r="H106" i="50"/>
  <c r="J106" i="50" s="1"/>
  <c r="J9" i="30"/>
  <c r="H9" i="43"/>
  <c r="H60" i="28"/>
  <c r="J60" i="27"/>
  <c r="H175" i="31"/>
  <c r="J175" i="31" s="1"/>
  <c r="H119" i="50"/>
  <c r="J119" i="50" s="1"/>
  <c r="J175" i="43"/>
  <c r="H49" i="30"/>
  <c r="J49" i="29"/>
  <c r="J59" i="29"/>
  <c r="H59" i="30"/>
  <c r="J28" i="29"/>
  <c r="H28" i="30"/>
  <c r="H47" i="29"/>
  <c r="J47" i="28"/>
  <c r="H40" i="30"/>
  <c r="J40" i="29"/>
  <c r="H67" i="30"/>
  <c r="J67" i="29"/>
  <c r="J95" i="43"/>
  <c r="H95" i="31"/>
  <c r="J95" i="31" s="1"/>
  <c r="H65" i="50"/>
  <c r="J65" i="50" s="1"/>
  <c r="H87" i="31"/>
  <c r="J87" i="31" s="1"/>
  <c r="J87" i="43"/>
  <c r="J134" i="30"/>
  <c r="H134" i="43"/>
  <c r="H30" i="31"/>
  <c r="J30" i="31" s="1"/>
  <c r="J30" i="43"/>
  <c r="H31" i="50"/>
  <c r="J31" i="50" s="1"/>
  <c r="H148" i="43"/>
  <c r="J148" i="30"/>
  <c r="H142" i="43"/>
  <c r="J142" i="30"/>
  <c r="H20" i="43" l="1"/>
  <c r="J20" i="30"/>
  <c r="I20" i="30" s="1"/>
  <c r="J24" i="30"/>
  <c r="H24" i="43"/>
  <c r="H173" i="43"/>
  <c r="J173" i="30"/>
  <c r="H56" i="31"/>
  <c r="J56" i="31" s="1"/>
  <c r="J56" i="43"/>
  <c r="H57" i="50"/>
  <c r="J57" i="50" s="1"/>
  <c r="J70" i="43"/>
  <c r="H70" i="31"/>
  <c r="J70" i="31" s="1"/>
  <c r="J55" i="43"/>
  <c r="H56" i="50"/>
  <c r="J56" i="50" s="1"/>
  <c r="H55" i="31"/>
  <c r="J55" i="31" s="1"/>
  <c r="J77" i="43"/>
  <c r="H77" i="31"/>
  <c r="J77" i="31" s="1"/>
  <c r="H185" i="31"/>
  <c r="J185" i="31" s="1"/>
  <c r="H129" i="50"/>
  <c r="J129" i="50" s="1"/>
  <c r="J185" i="43"/>
  <c r="H13" i="30"/>
  <c r="J13" i="29"/>
  <c r="J71" i="29"/>
  <c r="H71" i="30"/>
  <c r="J39" i="43"/>
  <c r="H39" i="31"/>
  <c r="J39" i="31" s="1"/>
  <c r="H40" i="50"/>
  <c r="J40" i="50" s="1"/>
  <c r="H179" i="31"/>
  <c r="J179" i="31" s="1"/>
  <c r="J179" i="43"/>
  <c r="H123" i="50"/>
  <c r="J123" i="50" s="1"/>
  <c r="H101" i="31"/>
  <c r="J101" i="31" s="1"/>
  <c r="J101" i="43"/>
  <c r="H71" i="50"/>
  <c r="J71" i="50" s="1"/>
  <c r="J43" i="43"/>
  <c r="H44" i="50"/>
  <c r="J44" i="50" s="1"/>
  <c r="H43" i="31"/>
  <c r="J43" i="31" s="1"/>
  <c r="H72" i="50"/>
  <c r="J72" i="50" s="1"/>
  <c r="H102" i="31"/>
  <c r="J102" i="31" s="1"/>
  <c r="J102" i="43"/>
  <c r="H85" i="31"/>
  <c r="J85" i="31" s="1"/>
  <c r="J85" i="43"/>
  <c r="J121" i="43"/>
  <c r="H121" i="31"/>
  <c r="J121" i="31" s="1"/>
  <c r="H58" i="50"/>
  <c r="J58" i="50" s="1"/>
  <c r="J57" i="43"/>
  <c r="H57" i="31"/>
  <c r="J57" i="31" s="1"/>
  <c r="H38" i="31"/>
  <c r="J38" i="31" s="1"/>
  <c r="J38" i="43"/>
  <c r="H39" i="50"/>
  <c r="J39" i="50" s="1"/>
  <c r="J139" i="43"/>
  <c r="H139" i="31"/>
  <c r="J139" i="31" s="1"/>
  <c r="H91" i="50"/>
  <c r="J91" i="50" s="1"/>
  <c r="J117" i="43"/>
  <c r="H117" i="31"/>
  <c r="J117" i="31" s="1"/>
  <c r="H70" i="50"/>
  <c r="J70" i="50" s="1"/>
  <c r="H100" i="31"/>
  <c r="J100" i="31" s="1"/>
  <c r="J100" i="43"/>
  <c r="H99" i="50"/>
  <c r="J99" i="50" s="1"/>
  <c r="H147" i="31"/>
  <c r="J147" i="31" s="1"/>
  <c r="J147" i="43"/>
  <c r="J123" i="43"/>
  <c r="H123" i="31"/>
  <c r="J123" i="31" s="1"/>
  <c r="H65" i="31"/>
  <c r="J65" i="31" s="1"/>
  <c r="J65" i="43"/>
  <c r="H22" i="31"/>
  <c r="J22" i="31" s="1"/>
  <c r="J22" i="43"/>
  <c r="H23" i="50"/>
  <c r="J23" i="50" s="1"/>
  <c r="H92" i="43"/>
  <c r="J92" i="30"/>
  <c r="J27" i="30"/>
  <c r="H27" i="43"/>
  <c r="H69" i="43"/>
  <c r="J69" i="30"/>
  <c r="H178" i="43"/>
  <c r="J178" i="30"/>
  <c r="H53" i="31"/>
  <c r="J53" i="31" s="1"/>
  <c r="H54" i="50"/>
  <c r="J54" i="50" s="1"/>
  <c r="J53" i="43"/>
  <c r="H104" i="43"/>
  <c r="J104" i="30"/>
  <c r="J156" i="43"/>
  <c r="H156" i="31"/>
  <c r="J156" i="31" s="1"/>
  <c r="H103" i="50"/>
  <c r="J103" i="50" s="1"/>
  <c r="J97" i="30"/>
  <c r="H97" i="43"/>
  <c r="J88" i="43"/>
  <c r="H88" i="31"/>
  <c r="J88" i="31" s="1"/>
  <c r="J180" i="30"/>
  <c r="H180" i="43"/>
  <c r="H91" i="31"/>
  <c r="J91" i="31" s="1"/>
  <c r="J91" i="43"/>
  <c r="H181" i="30"/>
  <c r="J181" i="29"/>
  <c r="H141" i="43"/>
  <c r="J141" i="30"/>
  <c r="H96" i="43"/>
  <c r="J96" i="30"/>
  <c r="H51" i="31"/>
  <c r="J51" i="31" s="1"/>
  <c r="J51" i="43"/>
  <c r="H52" i="50"/>
  <c r="J52" i="50" s="1"/>
  <c r="H41" i="31"/>
  <c r="J41" i="31" s="1"/>
  <c r="H42" i="50"/>
  <c r="J42" i="50" s="1"/>
  <c r="J41" i="43"/>
  <c r="J146" i="30"/>
  <c r="H146" i="43"/>
  <c r="J114" i="43"/>
  <c r="H114" i="31"/>
  <c r="J114" i="31" s="1"/>
  <c r="H98" i="30"/>
  <c r="J98" i="29"/>
  <c r="H64" i="31"/>
  <c r="J64" i="31" s="1"/>
  <c r="J64" i="43"/>
  <c r="H62" i="43"/>
  <c r="J62" i="30"/>
  <c r="H140" i="43"/>
  <c r="J140" i="30"/>
  <c r="J99" i="29"/>
  <c r="H99" i="30"/>
  <c r="J89" i="43"/>
  <c r="H89" i="31"/>
  <c r="J89" i="31" s="1"/>
  <c r="H63" i="31"/>
  <c r="J63" i="31" s="1"/>
  <c r="J63" i="43"/>
  <c r="H105" i="43"/>
  <c r="J105" i="30"/>
  <c r="H11" i="31"/>
  <c r="J11" i="31" s="1"/>
  <c r="J11" i="43"/>
  <c r="H11" i="50"/>
  <c r="H120" i="43"/>
  <c r="J120" i="30"/>
  <c r="H176" i="31"/>
  <c r="J176" i="31" s="1"/>
  <c r="J176" i="43"/>
  <c r="H120" i="50"/>
  <c r="J120" i="50" s="1"/>
  <c r="H163" i="43"/>
  <c r="J163" i="30"/>
  <c r="H148" i="31"/>
  <c r="J148" i="31" s="1"/>
  <c r="J148" i="43"/>
  <c r="H100" i="50"/>
  <c r="J100" i="50" s="1"/>
  <c r="H78" i="43"/>
  <c r="J78" i="30"/>
  <c r="H40" i="43"/>
  <c r="J40" i="30"/>
  <c r="H49" i="43"/>
  <c r="J49" i="30"/>
  <c r="J12" i="43"/>
  <c r="H12" i="31"/>
  <c r="J12" i="31" s="1"/>
  <c r="H12" i="50"/>
  <c r="H10" i="31"/>
  <c r="J10" i="31" s="1"/>
  <c r="H10" i="50"/>
  <c r="J10" i="43"/>
  <c r="J32" i="29"/>
  <c r="H32" i="30"/>
  <c r="H47" i="30"/>
  <c r="J47" i="29"/>
  <c r="J60" i="28"/>
  <c r="H60" i="29"/>
  <c r="J113" i="43"/>
  <c r="H113" i="31"/>
  <c r="J113" i="31" s="1"/>
  <c r="H28" i="43"/>
  <c r="J28" i="30"/>
  <c r="H9" i="50"/>
  <c r="J9" i="50" s="1"/>
  <c r="J9" i="43"/>
  <c r="H9" i="31"/>
  <c r="J9" i="31" s="1"/>
  <c r="J174" i="43"/>
  <c r="H174" i="31"/>
  <c r="J174" i="31" s="1"/>
  <c r="H118" i="50"/>
  <c r="J118" i="50" s="1"/>
  <c r="H23" i="31"/>
  <c r="J23" i="31" s="1"/>
  <c r="H24" i="50"/>
  <c r="J24" i="50" s="1"/>
  <c r="J23" i="43"/>
  <c r="J142" i="43"/>
  <c r="H142" i="31"/>
  <c r="J142" i="31" s="1"/>
  <c r="H59" i="43"/>
  <c r="J59" i="30"/>
  <c r="J15" i="30"/>
  <c r="I16" i="30" s="1"/>
  <c r="H15" i="43"/>
  <c r="H186" i="43"/>
  <c r="J186" i="30"/>
  <c r="H134" i="31"/>
  <c r="J134" i="31" s="1"/>
  <c r="J134" i="43"/>
  <c r="H86" i="50"/>
  <c r="J86" i="50" s="1"/>
  <c r="H67" i="43"/>
  <c r="J67" i="30"/>
  <c r="J187" i="43"/>
  <c r="H131" i="50"/>
  <c r="J131" i="50" s="1"/>
  <c r="H187" i="31"/>
  <c r="J187" i="31" s="1"/>
  <c r="J71" i="30" l="1"/>
  <c r="H71" i="43"/>
  <c r="H173" i="31"/>
  <c r="J173" i="31" s="1"/>
  <c r="J173" i="43"/>
  <c r="H117" i="50"/>
  <c r="J117" i="50" s="1"/>
  <c r="H13" i="43"/>
  <c r="J13" i="30"/>
  <c r="H24" i="31"/>
  <c r="J24" i="31" s="1"/>
  <c r="J24" i="43"/>
  <c r="H25" i="50"/>
  <c r="J25" i="50" s="1"/>
  <c r="H20" i="31"/>
  <c r="J20" i="31" s="1"/>
  <c r="I20" i="31" s="1"/>
  <c r="J20" i="43"/>
  <c r="I20" i="43" s="1"/>
  <c r="H21" i="50"/>
  <c r="J21" i="50" s="1"/>
  <c r="I21" i="50" s="1"/>
  <c r="J62" i="43"/>
  <c r="H62" i="31"/>
  <c r="J62" i="31" s="1"/>
  <c r="H178" i="31"/>
  <c r="J178" i="31" s="1"/>
  <c r="J178" i="43"/>
  <c r="H122" i="50"/>
  <c r="J122" i="50" s="1"/>
  <c r="H96" i="31"/>
  <c r="J96" i="31" s="1"/>
  <c r="J96" i="43"/>
  <c r="H66" i="50"/>
  <c r="J66" i="50" s="1"/>
  <c r="J69" i="43"/>
  <c r="H69" i="31"/>
  <c r="J69" i="31" s="1"/>
  <c r="H99" i="43"/>
  <c r="J99" i="30"/>
  <c r="H104" i="31"/>
  <c r="J104" i="31" s="1"/>
  <c r="J104" i="43"/>
  <c r="H28" i="50"/>
  <c r="J28" i="50" s="1"/>
  <c r="H27" i="31"/>
  <c r="J27" i="31" s="1"/>
  <c r="J27" i="43"/>
  <c r="H120" i="31"/>
  <c r="J120" i="31" s="1"/>
  <c r="J120" i="43"/>
  <c r="H163" i="31"/>
  <c r="J163" i="31" s="1"/>
  <c r="J163" i="43"/>
  <c r="H98" i="43"/>
  <c r="J98" i="30"/>
  <c r="H141" i="31"/>
  <c r="J141" i="31" s="1"/>
  <c r="J141" i="43"/>
  <c r="H93" i="50"/>
  <c r="J93" i="50" s="1"/>
  <c r="J180" i="43"/>
  <c r="H180" i="31"/>
  <c r="J180" i="31" s="1"/>
  <c r="H124" i="50"/>
  <c r="J124" i="50" s="1"/>
  <c r="J97" i="43"/>
  <c r="H97" i="31"/>
  <c r="J97" i="31" s="1"/>
  <c r="H67" i="50"/>
  <c r="J67" i="50" s="1"/>
  <c r="J146" i="43"/>
  <c r="H146" i="31"/>
  <c r="J146" i="31" s="1"/>
  <c r="H98" i="50"/>
  <c r="J98" i="50" s="1"/>
  <c r="J105" i="43"/>
  <c r="H105" i="31"/>
  <c r="J105" i="31" s="1"/>
  <c r="J140" i="43"/>
  <c r="H140" i="31"/>
  <c r="J140" i="31" s="1"/>
  <c r="H92" i="50"/>
  <c r="J92" i="50" s="1"/>
  <c r="J181" i="30"/>
  <c r="H181" i="43"/>
  <c r="J92" i="43"/>
  <c r="H92" i="31"/>
  <c r="J92" i="31" s="1"/>
  <c r="H49" i="31"/>
  <c r="J49" i="31" s="1"/>
  <c r="H50" i="50"/>
  <c r="J50" i="50" s="1"/>
  <c r="J49" i="43"/>
  <c r="H59" i="31"/>
  <c r="J59" i="31" s="1"/>
  <c r="J59" i="43"/>
  <c r="H60" i="50"/>
  <c r="J60" i="50" s="1"/>
  <c r="J60" i="29"/>
  <c r="H60" i="30"/>
  <c r="H40" i="31"/>
  <c r="J40" i="31" s="1"/>
  <c r="H41" i="50"/>
  <c r="J41" i="50" s="1"/>
  <c r="J40" i="43"/>
  <c r="J67" i="43"/>
  <c r="H67" i="31"/>
  <c r="J67" i="31" s="1"/>
  <c r="H47" i="43"/>
  <c r="J47" i="30"/>
  <c r="H78" i="31"/>
  <c r="J78" i="31" s="1"/>
  <c r="J78" i="43"/>
  <c r="J32" i="30"/>
  <c r="H32" i="43"/>
  <c r="H186" i="31"/>
  <c r="J186" i="31" s="1"/>
  <c r="H130" i="50"/>
  <c r="J130" i="50" s="1"/>
  <c r="J186" i="43"/>
  <c r="H15" i="31"/>
  <c r="J15" i="31" s="1"/>
  <c r="H16" i="50"/>
  <c r="J16" i="50" s="1"/>
  <c r="I17" i="50" s="1"/>
  <c r="J15" i="43"/>
  <c r="I16" i="43" s="1"/>
  <c r="H28" i="31"/>
  <c r="J28" i="31" s="1"/>
  <c r="H29" i="50"/>
  <c r="J29" i="50" s="1"/>
  <c r="J28" i="43"/>
  <c r="H13" i="31" l="1"/>
  <c r="J13" i="31" s="1"/>
  <c r="H14" i="50"/>
  <c r="J14" i="50" s="1"/>
  <c r="J13" i="43"/>
  <c r="H71" i="31"/>
  <c r="J71" i="31" s="1"/>
  <c r="J71" i="43"/>
  <c r="H98" i="31"/>
  <c r="J98" i="31" s="1"/>
  <c r="J98" i="43"/>
  <c r="H68" i="50"/>
  <c r="J68" i="50" s="1"/>
  <c r="H99" i="31"/>
  <c r="J99" i="31" s="1"/>
  <c r="H69" i="50"/>
  <c r="J69" i="50" s="1"/>
  <c r="J99" i="43"/>
  <c r="H181" i="31"/>
  <c r="J181" i="31" s="1"/>
  <c r="J181" i="43"/>
  <c r="H60" i="43"/>
  <c r="J60" i="30"/>
  <c r="H47" i="31"/>
  <c r="J47" i="31" s="1"/>
  <c r="J47" i="43"/>
  <c r="H48" i="50"/>
  <c r="J48" i="50" s="1"/>
  <c r="J32" i="43"/>
  <c r="H32" i="31"/>
  <c r="J32" i="31" s="1"/>
  <c r="H33" i="50"/>
  <c r="J33" i="50" s="1"/>
  <c r="H60" i="31" l="1"/>
  <c r="J60" i="31" s="1"/>
  <c r="J60" i="43"/>
  <c r="H61" i="50"/>
  <c r="J61" i="50" s="1"/>
</calcChain>
</file>

<file path=xl/sharedStrings.xml><?xml version="1.0" encoding="utf-8"?>
<sst xmlns="http://schemas.openxmlformats.org/spreadsheetml/2006/main" count="10758" uniqueCount="383">
  <si>
    <t>Date</t>
  </si>
  <si>
    <t>Min.Tem          (Degee)</t>
  </si>
  <si>
    <t>Avg.Temp     (Degree)</t>
  </si>
  <si>
    <t>Hum %</t>
  </si>
  <si>
    <t>Occu.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</si>
  <si>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</si>
  <si>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</si>
  <si>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</si>
  <si>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</si>
  <si>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</si>
  <si>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</si>
  <si>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</si>
  <si>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</si>
  <si>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</si>
  <si>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</si>
  <si>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</si>
  <si>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</si>
  <si>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</si>
  <si>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</si>
  <si>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</si>
  <si>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</si>
  <si>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</si>
  <si>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</si>
  <si>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</si>
  <si>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</si>
  <si>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</si>
  <si>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</si>
  <si>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</si>
  <si>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</si>
  <si>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</si>
  <si>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</si>
  <si>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</si>
  <si>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</si>
  <si>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</si>
  <si>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</si>
  <si>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</si>
  <si>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</si>
  <si>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</si>
  <si>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</si>
  <si>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</si>
  <si>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</si>
  <si>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</si>
  <si>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</si>
  <si>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</si>
  <si>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</si>
  <si>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</si>
  <si>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</si>
  <si>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</si>
  <si>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</si>
  <si>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</si>
  <si>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</si>
  <si>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</si>
  <si>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</si>
  <si>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</si>
  <si>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</si>
  <si>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</si>
  <si>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</si>
  <si>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</si>
  <si>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</si>
  <si>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</si>
  <si>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</si>
  <si>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</si>
  <si>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</si>
  <si>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</si>
  <si>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</si>
  <si>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</si>
  <si>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</si>
  <si>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</si>
  <si>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</si>
  <si>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</si>
  <si>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</si>
  <si>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</si>
  <si>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</si>
  <si>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</si>
  <si>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</si>
  <si>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</si>
  <si>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</si>
  <si>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</si>
  <si>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</si>
  <si>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</si>
  <si>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</si>
  <si>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</si>
  <si>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</si>
  <si>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</si>
  <si>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</si>
  <si>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</si>
  <si>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</si>
  <si>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</si>
  <si>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</si>
  <si>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</si>
  <si>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</si>
  <si>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</si>
  <si>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</si>
  <si>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</si>
  <si>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</si>
  <si>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</si>
  <si>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</si>
  <si>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</si>
  <si>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</si>
  <si>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</si>
  <si>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</si>
  <si>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</si>
  <si>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</si>
  <si>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</si>
  <si>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</si>
  <si>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</si>
  <si>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</si>
  <si>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</si>
  <si>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</si>
  <si>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</si>
  <si>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</si>
  <si>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</si>
  <si>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</si>
  <si>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</si>
  <si>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</si>
  <si>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</si>
  <si>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</si>
  <si>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</si>
  <si>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</si>
  <si>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</si>
  <si>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</si>
  <si>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</si>
  <si>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</si>
  <si>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</si>
  <si>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</si>
  <si>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</si>
  <si>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</si>
  <si>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</si>
  <si>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</si>
  <si>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</si>
  <si>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</si>
  <si>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</si>
  <si>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</si>
  <si>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</si>
  <si>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</si>
  <si>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</si>
  <si>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</si>
  <si>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</si>
  <si>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</si>
  <si>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</si>
  <si>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</si>
  <si>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</si>
  <si>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</si>
  <si>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</si>
  <si>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</si>
  <si>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</si>
  <si>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</si>
  <si>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</si>
  <si>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</si>
  <si>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</si>
  <si>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</si>
  <si>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</si>
  <si>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</si>
  <si>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</si>
  <si>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</si>
  <si>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</si>
  <si>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</si>
  <si>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</si>
  <si>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</si>
  <si>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</si>
  <si>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</si>
  <si>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</si>
  <si>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</si>
  <si>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</si>
  <si>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</si>
  <si>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</si>
  <si>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</si>
  <si>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</si>
  <si>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</si>
  <si>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</si>
  <si>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</si>
  <si>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</si>
  <si>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</si>
  <si>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</si>
  <si>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</si>
  <si>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</si>
  <si>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</si>
  <si>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</si>
  <si>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</si>
  <si>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</si>
  <si>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</si>
  <si>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</si>
  <si>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</si>
  <si>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>KWh</t>
  </si>
  <si>
    <t xml:space="preserve">5th floor spa 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</si>
  <si>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</si>
  <si>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</si>
  <si>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</si>
  <si>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</si>
  <si>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</si>
  <si>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</si>
  <si>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</si>
  <si>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</si>
  <si>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</si>
  <si>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</si>
  <si>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</si>
  <si>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</si>
  <si>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Lighting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</si>
  <si>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</si>
  <si>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</si>
  <si>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</si>
  <si>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</si>
  <si>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</si>
  <si>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</si>
  <si>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</si>
  <si>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</si>
  <si>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</si>
  <si>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</si>
  <si>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</si>
  <si>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</si>
  <si>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</si>
  <si>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</si>
  <si>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</si>
  <si>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</si>
  <si>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</si>
  <si>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</si>
  <si>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</si>
  <si>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</si>
  <si>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</si>
  <si>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</si>
  <si>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</si>
  <si>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</si>
  <si>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</si>
  <si>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</si>
  <si>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</si>
  <si>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</si>
  <si>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</si>
  <si>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</si>
  <si>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</si>
  <si>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</si>
  <si>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</si>
  <si>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</si>
  <si>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</si>
  <si>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</si>
  <si>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</si>
  <si>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</si>
  <si>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</si>
  <si>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</si>
  <si>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</si>
  <si>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</si>
  <si>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</si>
  <si>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</si>
  <si>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</si>
  <si>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</si>
  <si>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</si>
  <si>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</si>
  <si>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</si>
  <si>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</si>
  <si>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</si>
  <si>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</si>
  <si>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</si>
  <si>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</si>
  <si>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</si>
  <si>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</si>
  <si>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</si>
  <si>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</si>
  <si>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HWG3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</si>
  <si>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</si>
  <si>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</si>
  <si>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</si>
  <si>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</si>
  <si>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</si>
  <si>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</si>
  <si>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</si>
  <si>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</si>
  <si>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</si>
  <si>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</si>
  <si>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</si>
  <si>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</si>
  <si>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</si>
  <si>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</si>
  <si>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</si>
  <si>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</si>
  <si>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 xml:space="preserve">Total Covers Guests </t>
  </si>
  <si>
    <t>Cummulative %</t>
  </si>
  <si>
    <t>Total Room Nights</t>
  </si>
  <si>
    <t>Boiler3 (400Kg)</t>
  </si>
  <si>
    <t>20th Floor</t>
  </si>
  <si>
    <t>B1 Laundry</t>
  </si>
  <si>
    <t>R.o.plant</t>
  </si>
  <si>
    <t>Total Domestic Consumption</t>
  </si>
  <si>
    <t>Total STP Consumption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</si>
  <si>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</si>
  <si>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</si>
  <si>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</si>
  <si>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</si>
  <si>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</si>
  <si>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</si>
  <si>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</si>
  <si>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</si>
  <si>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</si>
  <si>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</si>
  <si>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</si>
  <si>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</si>
  <si>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</si>
  <si>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</si>
  <si>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</si>
  <si>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</si>
  <si>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</si>
  <si>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STP Production</t>
  </si>
  <si>
    <t>Total Domestic Water (Tanker (R.O) +BMC)</t>
  </si>
  <si>
    <t>Total Tanke(RO) + BMC</t>
  </si>
  <si>
    <t>Flush Tanker-Zone-1</t>
  </si>
  <si>
    <t xml:space="preserve">Prepaired by--- Devendra </t>
  </si>
  <si>
    <t>HT Kwh</t>
  </si>
  <si>
    <t>HT Kvah</t>
  </si>
  <si>
    <t xml:space="preserve">Water </t>
  </si>
  <si>
    <t>MGL Gas</t>
  </si>
  <si>
    <t>Transformer -Load</t>
  </si>
  <si>
    <t>20th Floor Project office</t>
  </si>
  <si>
    <t>Paid occ %</t>
  </si>
  <si>
    <t xml:space="preserve">10th floor energy meter reading </t>
  </si>
  <si>
    <t xml:space="preserve">25th floor energy meter reading </t>
  </si>
  <si>
    <t>Hotel Paid Occupancy Occ%</t>
  </si>
  <si>
    <t>Units (Kvah)</t>
  </si>
  <si>
    <t>KwH</t>
  </si>
  <si>
    <t>Average</t>
  </si>
  <si>
    <t>MAIN HVAC PANNEL SUB METER</t>
  </si>
  <si>
    <t xml:space="preserve">B1 HVAC Panel </t>
  </si>
  <si>
    <t xml:space="preserve">B2 HVAC Panel </t>
  </si>
  <si>
    <t xml:space="preserve">Sanqi  HVAC Panel </t>
  </si>
  <si>
    <t xml:space="preserve">5 th FLR  HVAC Panel </t>
  </si>
  <si>
    <t xml:space="preserve">20th Floor HVAC Panel </t>
  </si>
  <si>
    <t xml:space="preserve">Cooling Tower </t>
  </si>
  <si>
    <t>ELECTRICAL SUB METER S</t>
  </si>
  <si>
    <t xml:space="preserve">Main Power Panel </t>
  </si>
  <si>
    <t xml:space="preserve">sub readings </t>
  </si>
  <si>
    <t xml:space="preserve">25th floor energy meter </t>
  </si>
  <si>
    <t xml:space="preserve">10th floor energy meter </t>
  </si>
  <si>
    <t xml:space="preserve">Total gas consum </t>
  </si>
  <si>
    <t xml:space="preserve">Water   Sub  readings </t>
  </si>
  <si>
    <t xml:space="preserve"> ELECTRICAL DISTRIBUTION FEEDERS </t>
  </si>
  <si>
    <t>WATER DISTRIBUTION LINE</t>
  </si>
  <si>
    <t>GAS DISTRIBUTION BR.</t>
  </si>
  <si>
    <t>diff wrt feeder</t>
  </si>
  <si>
    <t>Var%</t>
  </si>
  <si>
    <t>Pump power panel ( WTP)</t>
  </si>
  <si>
    <t>Boiler power panel (boiler room)</t>
  </si>
  <si>
    <t>STP Electrical (STP plant)</t>
  </si>
  <si>
    <t>Swimmimg Pool Plant Panel ( LT room)</t>
  </si>
  <si>
    <t>20th PHE Pump Panel (20th flr)</t>
  </si>
  <si>
    <t>Cooling Tower (LT room)</t>
  </si>
  <si>
    <t>Cooling Tower (L T Room)</t>
  </si>
  <si>
    <t>5th Floor SPA</t>
  </si>
  <si>
    <t>Fire &amp; Emergency  Power Panel</t>
  </si>
  <si>
    <t>Elevator power Panel ( capacitor bank area )</t>
  </si>
  <si>
    <t>Emergency Power Panel ( capacitor bank area)</t>
  </si>
  <si>
    <t>Emergency Lighting  Panel ( capacitor bank area)</t>
  </si>
  <si>
    <t>Sanqi main.</t>
  </si>
  <si>
    <t>Prepaired by--- Ramesh</t>
  </si>
  <si>
    <t>10th floor</t>
  </si>
  <si>
    <t>25th floor</t>
  </si>
  <si>
    <t>10th floo</t>
  </si>
  <si>
    <t>KWH/Room</t>
  </si>
  <si>
    <t>Prepaired by--- Prakash</t>
  </si>
  <si>
    <t>Prepaired by--- Nilesh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</si>
  <si>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</si>
  <si>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Average </t>
  </si>
  <si>
    <t>7th floor</t>
  </si>
  <si>
    <t>Cooling Tower ( L.T. Room )</t>
  </si>
  <si>
    <t>sump pump power panel (WTP)</t>
  </si>
  <si>
    <t>Fire pump power panel (WTP)</t>
  </si>
  <si>
    <t>+</t>
  </si>
  <si>
    <t>Need to check</t>
  </si>
  <si>
    <t>meter need to check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</si>
  <si>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</si>
  <si>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</si>
  <si>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6th floor meeting room</t>
  </si>
  <si>
    <t xml:space="preserve">Emergency Power Panel ( capacitor bank area) </t>
  </si>
  <si>
    <t xml:space="preserve"> .</t>
  </si>
  <si>
    <t>Water Tanker strike 9thMay-10-11-12 May</t>
  </si>
  <si>
    <t xml:space="preserve">            </t>
  </si>
  <si>
    <t>Prepaired by---Dipak</t>
  </si>
  <si>
    <t>Prepaired by--- Dipak</t>
  </si>
  <si>
    <t>meter restart.</t>
  </si>
  <si>
    <t>previous reading inccorect</t>
  </si>
  <si>
    <t>previous reading not added</t>
  </si>
  <si>
    <t xml:space="preserve">                 </t>
  </si>
  <si>
    <t xml:space="preserve">Prepaired by--- Dipak </t>
  </si>
  <si>
    <t>`</t>
  </si>
  <si>
    <t>Prepaired by---Ramesh</t>
  </si>
  <si>
    <t xml:space="preserve">                                     </t>
  </si>
  <si>
    <t>Projrct Malpani Tankar- 08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</si>
</sst>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"/>
    <numFmt numFmtId="167" formatCode="0.0%"/>
    <numFmt numFmtId="168" formatCode="[$-809]d\ mmmm\ yyyy;@"/>
    <numFmt numFmtId="169" formatCode="0.0E+00"/>
    <numFmt numFmtId="170" formatCode="#,##0;[Red]#,##0"/>
    <numFmt numFmtId="171" formatCode="_(* #,##0_);_(* \(#,##0\);_(* &quot;-&quot;??_);_(@_)"/>
    <numFmt numFmtId="172" formatCode="[$-809]dd\ mmmm\ yyyy;@"/>
    <numFmt numFmtId="173" formatCode="0_ ;[Red]\-0\ "/>
    <numFmt numFmtId="174" formatCode="[$-14009]dd/mm/yy;@"/>
  </numFmts>
  <fonts count="97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sz val="11"/>
      <color indexed="8"/>
      <name val="Calibri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color theme="0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sz val="20"/>
      <color theme="1"/>
      <name val="Calibri"/>
      <family val="2"/>
      <scheme val="minor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20"/>
      <color theme="1"/>
      <name val="Cambria"/>
      <family val="1"/>
      <scheme val="maj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22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name val="Arial"/>
      <family val="2"/>
    </font>
    <font>
      <b/>
      <sz val="22"/>
      <name val="Arial Unicode MS"/>
      <family val="2"/>
    </font>
    <font>
      <b/>
      <sz val="20"/>
      <color rgb="FF7030A0"/>
      <name val="Arial Unicode MS"/>
      <family val="2"/>
    </font>
    <font>
      <b/>
      <sz val="18"/>
      <color rgb="FF7030A0"/>
      <name val="Arial Unicode MS"/>
      <family val="2"/>
    </font>
    <font>
      <b/>
      <i/>
      <sz val="20"/>
      <color rgb="FF7030A0"/>
      <name val="Arial"/>
      <family val="2"/>
    </font>
    <font>
      <b/>
      <sz val="12"/>
      <color theme="1"/>
      <name val="Arial"/>
      <family val="2"/>
    </font>
    <font>
      <b/>
      <sz val="8"/>
      <name val="Arial"/>
      <family val="2"/>
    </font>
    <font>
      <sz val="12"/>
      <color theme="1"/>
      <name val="Cambria"/>
      <family val="2"/>
      <scheme val="major"/>
    </font>
    <font>
      <sz val="12"/>
      <color rgb="FFFF0000"/>
      <name val="Cambria"/>
      <family val="2"/>
      <scheme val="major"/>
    </font>
    <font>
      <sz val="20"/>
      <color theme="1"/>
      <name val="Calibri"/>
      <family val="2"/>
    </font>
    <font>
      <b/>
      <sz val="20"/>
      <name val="Calibri"/>
      <family val="2"/>
    </font>
    <font>
      <sz val="20"/>
      <name val="Calibri"/>
      <family val="2"/>
    </font>
    <font>
      <b/>
      <sz val="20"/>
      <color theme="1"/>
      <name val="Calibri"/>
      <family val="2"/>
    </font>
    <font>
      <b/>
      <i/>
      <sz val="20"/>
      <name val="Arial Unicode MS"/>
      <family val="2"/>
    </font>
    <font>
      <sz val="18"/>
      <name val="Arial Unicode MS"/>
      <family val="2"/>
    </font>
    <font>
      <i/>
      <sz val="18"/>
      <color theme="0"/>
      <name val="Arial Unicode MS"/>
      <family val="2"/>
    </font>
    <font>
      <sz val="18"/>
      <color rgb="FF7030A0"/>
      <name val="Arial Unicode MS"/>
      <family val="2"/>
    </font>
    <font>
      <i/>
      <sz val="18"/>
      <name val="Arial Unicode MS"/>
      <family val="2"/>
    </font>
    <font>
      <sz val="18"/>
      <color indexed="8"/>
      <name val="Arial Unicode MS"/>
      <family val="2"/>
    </font>
    <font>
      <sz val="18"/>
      <color rgb="FFFF0000"/>
      <name val="Arial Unicode MS"/>
      <family val="2"/>
    </font>
    <font>
      <sz val="18"/>
      <color indexed="10"/>
      <name val="Arial Unicode MS"/>
      <family val="2"/>
    </font>
    <font>
      <i/>
      <sz val="18"/>
      <color rgb="FF7030A0"/>
      <name val="Arial Unicode MS"/>
      <family val="2"/>
    </font>
    <font>
      <b/>
      <sz val="18"/>
      <color rgb="FF00B050"/>
      <name val="Arial Unicode MS"/>
      <family val="2"/>
    </font>
    <font>
      <b/>
      <i/>
      <sz val="18"/>
      <name val="Arial Unicode MS"/>
      <family val="2"/>
    </font>
    <font>
      <sz val="22"/>
      <color theme="1"/>
      <name val="Calibri"/>
      <family val="2"/>
      <scheme val="minor"/>
    </font>
    <font>
      <sz val="22"/>
      <name val="Calibri"/>
      <family val="2"/>
      <scheme val="minor"/>
    </font>
    <font>
      <sz val="22"/>
      <color indexed="8"/>
      <name val="Calibri"/>
      <family val="2"/>
      <scheme val="minor"/>
    </font>
    <font>
      <sz val="22"/>
      <color rgb="FFFF0000"/>
      <name val="Calibri"/>
      <family val="2"/>
      <scheme val="minor"/>
    </font>
    <font>
      <sz val="22"/>
      <color rgb="FF00B050"/>
      <name val="Calibri"/>
      <family val="2"/>
      <scheme val="minor"/>
    </font>
    <font>
      <sz val="22"/>
      <color indexed="10"/>
      <name val="Calibri"/>
      <family val="2"/>
      <scheme val="minor"/>
    </font>
    <font>
      <i/>
      <sz val="22"/>
      <name val="Calibri"/>
      <family val="2"/>
      <scheme val="minor"/>
    </font>
    <font>
      <b/>
      <sz val="22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0">
    <xf numFmtId="0" fontId="0" fillId="0" borderId="0"/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3" fillId="0" borderId="0"/>
    <xf numFmtId="165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6" fillId="0" borderId="0"/>
    <xf numFmtId="165" fontId="16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3" fillId="0" borderId="0"/>
    <xf numFmtId="0" fontId="16" fillId="0" borderId="0"/>
    <xf numFmtId="0" fontId="16" fillId="0" borderId="0"/>
    <xf numFmtId="0" fontId="3" fillId="0" borderId="0"/>
    <xf numFmtId="0" fontId="2" fillId="0" borderId="0"/>
    <xf numFmtId="0" fontId="1" fillId="0" borderId="0"/>
    <xf numFmtId="0" fontId="1" fillId="0" borderId="0"/>
    <xf numFmtId="43" fontId="72" fillId="0" borderId="0" applyFont="0" applyFill="0" applyBorder="0" applyAlignment="0" applyProtection="0"/>
  </cellStyleXfs>
  <cellXfs count="988">
    <xf numFmtId="0" fontId="0" fillId="0" borderId="0" xfId="0"/>
    <xf numFmtId="0" fontId="5" fillId="0" borderId="1" xfId="1" applyFont="1" applyFill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3" borderId="1" xfId="1" applyNumberFormat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5" fillId="0" borderId="1" xfId="1" applyFont="1" applyFill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Fill="1" applyBorder="1" applyAlignment="1">
      <alignment vertical="top" wrapText="1"/>
    </xf>
    <xf numFmtId="0" fontId="9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0" fillId="0" borderId="1" xfId="1" applyFont="1" applyFill="1" applyBorder="1" applyAlignment="1">
      <alignment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vertical="center" wrapText="1"/>
    </xf>
    <xf numFmtId="0" fontId="12" fillId="7" borderId="1" xfId="1" applyFont="1" applyFill="1" applyBorder="1" applyAlignment="1">
      <alignment vertical="top" wrapText="1"/>
    </xf>
    <xf numFmtId="1" fontId="12" fillId="7" borderId="1" xfId="1" applyNumberFormat="1" applyFont="1" applyFill="1" applyBorder="1" applyAlignment="1">
      <alignment vertical="top" wrapText="1"/>
    </xf>
    <xf numFmtId="2" fontId="12" fillId="0" borderId="1" xfId="1" applyNumberFormat="1" applyFont="1" applyFill="1" applyBorder="1" applyAlignment="1">
      <alignment vertical="top" wrapText="1"/>
    </xf>
    <xf numFmtId="2" fontId="12" fillId="0" borderId="1" xfId="1" applyNumberFormat="1" applyFont="1" applyBorder="1" applyAlignment="1"/>
    <xf numFmtId="10" fontId="12" fillId="0" borderId="1" xfId="1" applyNumberFormat="1" applyFont="1" applyBorder="1" applyAlignment="1"/>
    <xf numFmtId="2" fontId="12" fillId="7" borderId="1" xfId="1" applyNumberFormat="1" applyFont="1" applyFill="1" applyBorder="1" applyAlignment="1"/>
    <xf numFmtId="1" fontId="13" fillId="0" borderId="1" xfId="1" applyNumberFormat="1" applyFont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1" fontId="12" fillId="0" borderId="1" xfId="1" applyNumberFormat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1" fontId="12" fillId="0" borderId="1" xfId="1" applyNumberFormat="1" applyFont="1" applyBorder="1" applyAlignment="1">
      <alignment vertical="center" wrapText="1"/>
    </xf>
    <xf numFmtId="0" fontId="12" fillId="0" borderId="1" xfId="1" applyNumberFormat="1" applyFont="1" applyBorder="1" applyAlignment="1">
      <alignment horizontal="center" vertical="center" wrapText="1"/>
    </xf>
    <xf numFmtId="1" fontId="12" fillId="0" borderId="1" xfId="1" applyNumberFormat="1" applyFont="1" applyBorder="1" applyAlignment="1"/>
    <xf numFmtId="1" fontId="3" fillId="0" borderId="0" xfId="1" applyNumberFormat="1" applyFont="1"/>
    <xf numFmtId="0" fontId="15" fillId="0" borderId="0" xfId="2" applyFont="1" applyAlignment="1" applyProtection="1"/>
    <xf numFmtId="0" fontId="0" fillId="0" borderId="0" xfId="0" applyFill="1"/>
    <xf numFmtId="1" fontId="0" fillId="0" borderId="0" xfId="0" applyNumberFormat="1"/>
    <xf numFmtId="0" fontId="3" fillId="0" borderId="1" xfId="1" applyFont="1" applyBorder="1" applyAlignment="1">
      <alignment vertical="center" wrapText="1"/>
    </xf>
    <xf numFmtId="0" fontId="7" fillId="11" borderId="1" xfId="1" applyFont="1" applyFill="1" applyBorder="1" applyAlignment="1">
      <alignment horizontal="center" vertical="center" wrapText="1"/>
    </xf>
    <xf numFmtId="0" fontId="12" fillId="11" borderId="1" xfId="1" applyFont="1" applyFill="1" applyBorder="1" applyAlignment="1">
      <alignment vertical="top" wrapText="1"/>
    </xf>
    <xf numFmtId="1" fontId="3" fillId="11" borderId="0" xfId="1" applyNumberFormat="1" applyFont="1" applyFill="1"/>
    <xf numFmtId="0" fontId="0" fillId="11" borderId="0" xfId="0" applyFill="1"/>
    <xf numFmtId="0" fontId="6" fillId="11" borderId="1" xfId="1" applyFont="1" applyFill="1" applyBorder="1" applyAlignment="1">
      <alignment horizontal="center" vertical="center" wrapText="1"/>
    </xf>
    <xf numFmtId="1" fontId="12" fillId="11" borderId="1" xfId="1" applyNumberFormat="1" applyFont="1" applyFill="1" applyBorder="1" applyAlignment="1">
      <alignment vertical="top" wrapText="1"/>
    </xf>
    <xf numFmtId="0" fontId="12" fillId="11" borderId="1" xfId="1" applyFont="1" applyFill="1" applyBorder="1" applyAlignment="1">
      <alignment horizontal="center"/>
    </xf>
    <xf numFmtId="166" fontId="12" fillId="11" borderId="1" xfId="1" applyNumberFormat="1" applyFont="1" applyFill="1" applyBorder="1" applyAlignment="1">
      <alignment horizontal="center"/>
    </xf>
    <xf numFmtId="2" fontId="12" fillId="11" borderId="1" xfId="1" applyNumberFormat="1" applyFont="1" applyFill="1" applyBorder="1" applyAlignment="1">
      <alignment vertical="top" wrapText="1"/>
    </xf>
    <xf numFmtId="1" fontId="12" fillId="11" borderId="1" xfId="1" applyNumberFormat="1" applyFont="1" applyFill="1" applyBorder="1" applyAlignment="1">
      <alignment horizontal="center" vertical="top" wrapText="1"/>
    </xf>
    <xf numFmtId="9" fontId="12" fillId="2" borderId="1" xfId="1" applyNumberFormat="1" applyFont="1" applyFill="1" applyBorder="1" applyAlignment="1">
      <alignment vertical="center" wrapText="1"/>
    </xf>
    <xf numFmtId="0" fontId="8" fillId="0" borderId="2" xfId="1" applyFont="1" applyBorder="1" applyAlignment="1">
      <alignment horizontal="center" vertical="center" wrapText="1"/>
    </xf>
    <xf numFmtId="2" fontId="12" fillId="0" borderId="2" xfId="1" applyNumberFormat="1" applyFont="1" applyBorder="1" applyAlignment="1"/>
    <xf numFmtId="0" fontId="9" fillId="0" borderId="16" xfId="1" applyFont="1" applyFill="1" applyBorder="1" applyAlignment="1">
      <alignment vertical="top" wrapText="1"/>
    </xf>
    <xf numFmtId="0" fontId="9" fillId="0" borderId="12" xfId="1" applyFont="1" applyFill="1" applyBorder="1" applyAlignment="1">
      <alignment vertical="top" wrapText="1"/>
    </xf>
    <xf numFmtId="1" fontId="12" fillId="2" borderId="16" xfId="1" applyNumberFormat="1" applyFont="1" applyFill="1" applyBorder="1" applyAlignment="1">
      <alignment vertical="center" wrapText="1"/>
    </xf>
    <xf numFmtId="1" fontId="12" fillId="2" borderId="12" xfId="1" applyNumberFormat="1" applyFont="1" applyFill="1" applyBorder="1" applyAlignment="1">
      <alignment vertical="center" wrapText="1"/>
    </xf>
    <xf numFmtId="0" fontId="21" fillId="0" borderId="0" xfId="0" applyFont="1"/>
    <xf numFmtId="0" fontId="21" fillId="0" borderId="0" xfId="0" applyFont="1" applyBorder="1"/>
    <xf numFmtId="166" fontId="20" fillId="2" borderId="0" xfId="5" applyNumberFormat="1" applyFont="1" applyFill="1" applyBorder="1" applyAlignment="1" applyProtection="1">
      <alignment horizontal="center"/>
    </xf>
    <xf numFmtId="1" fontId="12" fillId="2" borderId="3" xfId="1" applyNumberFormat="1" applyFont="1" applyFill="1" applyBorder="1" applyAlignment="1">
      <alignment vertical="center" wrapText="1"/>
    </xf>
    <xf numFmtId="0" fontId="22" fillId="2" borderId="0" xfId="3" applyFont="1" applyFill="1" applyBorder="1" applyAlignment="1">
      <alignment horizontal="center" vertical="center"/>
    </xf>
    <xf numFmtId="166" fontId="22" fillId="2" borderId="0" xfId="3" applyNumberFormat="1" applyFont="1" applyFill="1" applyBorder="1" applyAlignment="1">
      <alignment horizontal="center"/>
    </xf>
    <xf numFmtId="1" fontId="20" fillId="2" borderId="0" xfId="5" applyNumberFormat="1" applyFont="1" applyFill="1" applyBorder="1" applyAlignment="1" applyProtection="1">
      <alignment horizontal="center"/>
    </xf>
    <xf numFmtId="0" fontId="20" fillId="2" borderId="0" xfId="3" applyFont="1" applyFill="1" applyBorder="1" applyAlignment="1">
      <alignment horizontal="center"/>
    </xf>
    <xf numFmtId="0" fontId="23" fillId="0" borderId="0" xfId="0" applyFont="1"/>
    <xf numFmtId="0" fontId="23" fillId="0" borderId="0" xfId="0" applyFont="1" applyBorder="1"/>
    <xf numFmtId="0" fontId="25" fillId="0" borderId="0" xfId="0" applyFont="1" applyBorder="1"/>
    <xf numFmtId="0" fontId="25" fillId="0" borderId="0" xfId="0" applyFont="1"/>
    <xf numFmtId="166" fontId="24" fillId="2" borderId="0" xfId="5" applyNumberFormat="1" applyFont="1" applyFill="1" applyBorder="1" applyAlignment="1" applyProtection="1">
      <alignment horizontal="center"/>
    </xf>
    <xf numFmtId="0" fontId="26" fillId="0" borderId="0" xfId="4" applyFont="1"/>
    <xf numFmtId="1" fontId="23" fillId="0" borderId="0" xfId="0" applyNumberFormat="1" applyFont="1"/>
    <xf numFmtId="9" fontId="0" fillId="0" borderId="0" xfId="0" applyNumberFormat="1"/>
    <xf numFmtId="9" fontId="12" fillId="0" borderId="1" xfId="1" applyNumberFormat="1" applyFont="1" applyBorder="1" applyAlignment="1">
      <alignment vertical="center" wrapText="1"/>
    </xf>
    <xf numFmtId="0" fontId="9" fillId="0" borderId="2" xfId="1" applyFont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center" wrapText="1"/>
    </xf>
    <xf numFmtId="2" fontId="25" fillId="8" borderId="1" xfId="3" applyNumberFormat="1" applyFont="1" applyFill="1" applyBorder="1" applyAlignment="1">
      <alignment horizontal="center"/>
    </xf>
    <xf numFmtId="166" fontId="24" fillId="2" borderId="0" xfId="3" applyNumberFormat="1" applyFont="1" applyFill="1" applyBorder="1" applyAlignment="1">
      <alignment horizontal="center" vertical="center" wrapText="1" shrinkToFit="1"/>
    </xf>
    <xf numFmtId="0" fontId="24" fillId="2" borderId="0" xfId="3" applyFont="1" applyFill="1" applyBorder="1" applyAlignment="1">
      <alignment horizontal="center" vertical="center"/>
    </xf>
    <xf numFmtId="1" fontId="24" fillId="2" borderId="0" xfId="5" applyNumberFormat="1" applyFont="1" applyFill="1" applyBorder="1" applyAlignment="1" applyProtection="1">
      <alignment horizontal="center"/>
    </xf>
    <xf numFmtId="0" fontId="24" fillId="2" borderId="0" xfId="3" applyFont="1" applyFill="1" applyBorder="1" applyAlignment="1">
      <alignment horizontal="center"/>
    </xf>
    <xf numFmtId="166" fontId="24" fillId="2" borderId="0" xfId="3" applyNumberFormat="1" applyFont="1" applyFill="1" applyBorder="1" applyAlignment="1">
      <alignment horizontal="center"/>
    </xf>
    <xf numFmtId="0" fontId="27" fillId="0" borderId="22" xfId="4" applyFont="1" applyBorder="1" applyAlignment="1">
      <alignment vertical="center" wrapText="1"/>
    </xf>
    <xf numFmtId="0" fontId="27" fillId="0" borderId="18" xfId="4" applyFont="1" applyBorder="1" applyAlignment="1">
      <alignment vertical="center" wrapText="1"/>
    </xf>
    <xf numFmtId="1" fontId="6" fillId="0" borderId="1" xfId="1" applyNumberFormat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1" fontId="28" fillId="2" borderId="1" xfId="1" applyNumberFormat="1" applyFont="1" applyFill="1" applyBorder="1" applyAlignment="1">
      <alignment vertical="center" wrapText="1"/>
    </xf>
    <xf numFmtId="2" fontId="23" fillId="0" borderId="0" xfId="0" applyNumberFormat="1" applyFont="1"/>
    <xf numFmtId="0" fontId="30" fillId="0" borderId="0" xfId="0" applyFont="1"/>
    <xf numFmtId="0" fontId="30" fillId="0" borderId="0" xfId="0" applyFont="1" applyBorder="1"/>
    <xf numFmtId="0" fontId="29" fillId="0" borderId="1" xfId="0" applyFont="1" applyBorder="1"/>
    <xf numFmtId="1" fontId="29" fillId="0" borderId="1" xfId="0" applyNumberFormat="1" applyFont="1" applyBorder="1"/>
    <xf numFmtId="0" fontId="0" fillId="0" borderId="0" xfId="0" applyAlignment="1">
      <alignment vertical="center" wrapText="1"/>
    </xf>
    <xf numFmtId="0" fontId="29" fillId="0" borderId="1" xfId="0" applyFont="1" applyBorder="1" applyAlignment="1">
      <alignment vertical="center" wrapText="1"/>
    </xf>
    <xf numFmtId="0" fontId="37" fillId="0" borderId="0" xfId="0" applyFont="1"/>
    <xf numFmtId="2" fontId="38" fillId="8" borderId="1" xfId="3" applyNumberFormat="1" applyFont="1" applyFill="1" applyBorder="1" applyAlignment="1">
      <alignment horizontal="center"/>
    </xf>
    <xf numFmtId="0" fontId="41" fillId="0" borderId="0" xfId="0" applyFont="1"/>
    <xf numFmtId="0" fontId="39" fillId="0" borderId="0" xfId="0" applyFont="1"/>
    <xf numFmtId="0" fontId="31" fillId="8" borderId="1" xfId="3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/>
    </xf>
    <xf numFmtId="0" fontId="32" fillId="9" borderId="1" xfId="3" applyFont="1" applyFill="1" applyBorder="1" applyAlignment="1">
      <alignment horizontal="center" vertical="center"/>
    </xf>
    <xf numFmtId="10" fontId="32" fillId="9" borderId="1" xfId="3" applyNumberFormat="1" applyFont="1" applyFill="1" applyBorder="1" applyAlignment="1">
      <alignment horizontal="center"/>
    </xf>
    <xf numFmtId="1" fontId="32" fillId="9" borderId="1" xfId="3" applyNumberFormat="1" applyFont="1" applyFill="1" applyBorder="1" applyAlignment="1">
      <alignment horizontal="center"/>
    </xf>
    <xf numFmtId="2" fontId="32" fillId="9" borderId="1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center"/>
    </xf>
    <xf numFmtId="0" fontId="40" fillId="0" borderId="0" xfId="0" applyFont="1"/>
    <xf numFmtId="2" fontId="38" fillId="2" borderId="1" xfId="3" applyNumberFormat="1" applyFont="1" applyFill="1" applyBorder="1" applyAlignment="1">
      <alignment horizontal="center" vertical="center"/>
    </xf>
    <xf numFmtId="166" fontId="38" fillId="8" borderId="1" xfId="3" applyNumberFormat="1" applyFont="1" applyFill="1" applyBorder="1" applyAlignment="1">
      <alignment horizontal="center" wrapText="1" shrinkToFit="1"/>
    </xf>
    <xf numFmtId="2" fontId="38" fillId="8" borderId="1" xfId="3" applyNumberFormat="1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/>
    </xf>
    <xf numFmtId="1" fontId="38" fillId="2" borderId="1" xfId="5" applyNumberFormat="1" applyFont="1" applyFill="1" applyBorder="1" applyAlignment="1">
      <alignment horizontal="center" vertical="center"/>
    </xf>
    <xf numFmtId="0" fontId="38" fillId="2" borderId="1" xfId="3" applyNumberFormat="1" applyFont="1" applyFill="1" applyBorder="1" applyAlignment="1">
      <alignment horizontal="center"/>
    </xf>
    <xf numFmtId="2" fontId="38" fillId="8" borderId="7" xfId="3" applyNumberFormat="1" applyFont="1" applyFill="1" applyBorder="1" applyAlignment="1">
      <alignment horizontal="center"/>
    </xf>
    <xf numFmtId="1" fontId="38" fillId="2" borderId="6" xfId="5" applyNumberFormat="1" applyFont="1" applyFill="1" applyBorder="1" applyAlignment="1">
      <alignment horizontal="center" vertical="center"/>
    </xf>
    <xf numFmtId="1" fontId="38" fillId="2" borderId="7" xfId="3" applyNumberFormat="1" applyFont="1" applyFill="1" applyBorder="1" applyAlignment="1">
      <alignment horizontal="center"/>
    </xf>
    <xf numFmtId="0" fontId="38" fillId="0" borderId="1" xfId="4" applyFont="1" applyBorder="1" applyAlignment="1">
      <alignment horizontal="center"/>
    </xf>
    <xf numFmtId="2" fontId="38" fillId="8" borderId="1" xfId="3" applyNumberFormat="1" applyFont="1" applyFill="1" applyBorder="1" applyAlignment="1">
      <alignment horizontal="right"/>
    </xf>
    <xf numFmtId="1" fontId="38" fillId="8" borderId="1" xfId="5" applyNumberFormat="1" applyFont="1" applyFill="1" applyBorder="1" applyAlignment="1">
      <alignment horizontal="center" vertical="center"/>
    </xf>
    <xf numFmtId="2" fontId="38" fillId="2" borderId="1" xfId="3" applyNumberFormat="1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/>
    </xf>
    <xf numFmtId="0" fontId="44" fillId="0" borderId="1" xfId="4" applyFont="1" applyBorder="1" applyAlignment="1">
      <alignment horizontal="center"/>
    </xf>
    <xf numFmtId="0" fontId="38" fillId="2" borderId="1" xfId="4" applyFont="1" applyFill="1" applyBorder="1" applyAlignment="1">
      <alignment horizontal="center"/>
    </xf>
    <xf numFmtId="1" fontId="38" fillId="2" borderId="1" xfId="3" applyNumberFormat="1" applyFont="1" applyFill="1" applyBorder="1" applyAlignment="1">
      <alignment horizontal="center"/>
    </xf>
    <xf numFmtId="1" fontId="43" fillId="12" borderId="1" xfId="3" applyNumberFormat="1" applyFont="1" applyFill="1" applyBorder="1" applyAlignment="1">
      <alignment horizontal="center"/>
    </xf>
    <xf numFmtId="0" fontId="45" fillId="8" borderId="1" xfId="3" applyFont="1" applyFill="1" applyBorder="1" applyAlignment="1">
      <alignment horizontal="center"/>
    </xf>
    <xf numFmtId="166" fontId="45" fillId="8" borderId="1" xfId="5" applyNumberFormat="1" applyFont="1" applyFill="1" applyBorder="1" applyAlignment="1">
      <alignment horizontal="center" vertical="center"/>
    </xf>
    <xf numFmtId="0" fontId="45" fillId="2" borderId="1" xfId="4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 vertical="center"/>
    </xf>
    <xf numFmtId="1" fontId="38" fillId="12" borderId="1" xfId="3" applyNumberFormat="1" applyFont="1" applyFill="1" applyBorder="1" applyAlignment="1">
      <alignment horizontal="center" vertical="center"/>
    </xf>
    <xf numFmtId="0" fontId="46" fillId="12" borderId="1" xfId="3" applyFont="1" applyFill="1" applyBorder="1" applyAlignment="1">
      <alignment horizontal="center" vertical="center"/>
    </xf>
    <xf numFmtId="2" fontId="47" fillId="8" borderId="1" xfId="3" applyNumberFormat="1" applyFont="1" applyFill="1" applyBorder="1" applyAlignment="1">
      <alignment horizontal="center"/>
    </xf>
    <xf numFmtId="166" fontId="43" fillId="8" borderId="1" xfId="3" applyNumberFormat="1" applyFont="1" applyFill="1" applyBorder="1" applyAlignment="1">
      <alignment horizontal="center"/>
    </xf>
    <xf numFmtId="1" fontId="46" fillId="8" borderId="1" xfId="3" applyNumberFormat="1" applyFont="1" applyFill="1" applyBorder="1" applyAlignment="1">
      <alignment horizontal="center"/>
    </xf>
    <xf numFmtId="1" fontId="47" fillId="8" borderId="1" xfId="5" applyNumberFormat="1" applyFont="1" applyFill="1" applyBorder="1" applyAlignment="1">
      <alignment horizontal="center" vertical="center"/>
    </xf>
    <xf numFmtId="2" fontId="38" fillId="8" borderId="1" xfId="9" applyNumberFormat="1" applyFont="1" applyFill="1" applyBorder="1" applyAlignment="1">
      <alignment horizontal="center"/>
    </xf>
    <xf numFmtId="170" fontId="43" fillId="8" borderId="1" xfId="5" applyNumberFormat="1" applyFont="1" applyFill="1" applyBorder="1" applyAlignment="1" applyProtection="1">
      <alignment horizontal="center" vertical="center"/>
    </xf>
    <xf numFmtId="166" fontId="46" fillId="8" borderId="1" xfId="5" applyNumberFormat="1" applyFont="1" applyFill="1" applyBorder="1" applyAlignment="1" applyProtection="1">
      <alignment horizontal="center"/>
    </xf>
    <xf numFmtId="1" fontId="47" fillId="0" borderId="1" xfId="4" applyNumberFormat="1" applyFont="1" applyBorder="1" applyAlignment="1">
      <alignment horizontal="center"/>
    </xf>
    <xf numFmtId="2" fontId="46" fillId="8" borderId="1" xfId="3" applyNumberFormat="1" applyFont="1" applyFill="1" applyBorder="1" applyAlignment="1">
      <alignment horizontal="right"/>
    </xf>
    <xf numFmtId="1" fontId="47" fillId="8" borderId="1" xfId="3" applyNumberFormat="1" applyFont="1" applyFill="1" applyBorder="1" applyAlignment="1">
      <alignment horizontal="center" vertical="center"/>
    </xf>
    <xf numFmtId="0" fontId="45" fillId="2" borderId="1" xfId="3" applyFont="1" applyFill="1" applyBorder="1" applyAlignment="1">
      <alignment horizontal="center"/>
    </xf>
    <xf numFmtId="171" fontId="45" fillId="8" borderId="1" xfId="5" applyNumberFormat="1" applyFont="1" applyFill="1" applyBorder="1" applyAlignment="1" applyProtection="1">
      <alignment horizontal="center" vertical="center"/>
    </xf>
    <xf numFmtId="1" fontId="45" fillId="2" borderId="1" xfId="3" applyNumberFormat="1" applyFont="1" applyFill="1" applyBorder="1" applyAlignment="1">
      <alignment horizontal="center" vertical="top"/>
    </xf>
    <xf numFmtId="0" fontId="38" fillId="0" borderId="1" xfId="4" applyFont="1" applyBorder="1" applyAlignment="1">
      <alignment horizontal="center" vertical="center"/>
    </xf>
    <xf numFmtId="0" fontId="38" fillId="8" borderId="1" xfId="3" applyFont="1" applyFill="1" applyBorder="1" applyAlignment="1">
      <alignment horizontal="center" vertical="center"/>
    </xf>
    <xf numFmtId="0" fontId="44" fillId="2" borderId="1" xfId="4" applyFont="1" applyFill="1" applyBorder="1" applyAlignment="1">
      <alignment horizontal="center" wrapText="1"/>
    </xf>
    <xf numFmtId="0" fontId="44" fillId="0" borderId="1" xfId="4" applyFont="1" applyFill="1" applyBorder="1" applyAlignment="1">
      <alignment horizontal="center" wrapText="1"/>
    </xf>
    <xf numFmtId="0" fontId="44" fillId="0" borderId="1" xfId="4" applyFont="1" applyBorder="1" applyAlignment="1">
      <alignment horizontal="center" wrapText="1"/>
    </xf>
    <xf numFmtId="0" fontId="44" fillId="2" borderId="1" xfId="4" applyFont="1" applyFill="1" applyBorder="1" applyAlignment="1">
      <alignment horizontal="center"/>
    </xf>
    <xf numFmtId="0" fontId="38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/>
    </xf>
    <xf numFmtId="1" fontId="43" fillId="2" borderId="1" xfId="3" applyNumberFormat="1" applyFont="1" applyFill="1" applyBorder="1" applyAlignment="1">
      <alignment horizontal="center"/>
    </xf>
    <xf numFmtId="165" fontId="38" fillId="8" borderId="1" xfId="7" applyFont="1" applyFill="1" applyBorder="1" applyAlignment="1">
      <alignment horizontal="right" wrapText="1"/>
    </xf>
    <xf numFmtId="0" fontId="43" fillId="0" borderId="1" xfId="0" applyFont="1" applyBorder="1" applyAlignment="1">
      <alignment horizontal="center"/>
    </xf>
    <xf numFmtId="1" fontId="43" fillId="0" borderId="1" xfId="0" applyNumberFormat="1" applyFont="1" applyBorder="1" applyAlignment="1">
      <alignment horizontal="center"/>
    </xf>
    <xf numFmtId="0" fontId="43" fillId="0" borderId="1" xfId="0" applyFont="1" applyFill="1" applyBorder="1" applyAlignment="1">
      <alignment horizontal="center"/>
    </xf>
    <xf numFmtId="0" fontId="43" fillId="0" borderId="1" xfId="0" applyFont="1" applyFill="1" applyBorder="1"/>
    <xf numFmtId="1" fontId="43" fillId="0" borderId="1" xfId="0" applyNumberFormat="1" applyFont="1" applyFill="1" applyBorder="1" applyAlignment="1">
      <alignment horizontal="center"/>
    </xf>
    <xf numFmtId="0" fontId="43" fillId="0" borderId="0" xfId="0" applyFont="1"/>
    <xf numFmtId="1" fontId="43" fillId="0" borderId="0" xfId="0" applyNumberFormat="1" applyFont="1" applyAlignment="1">
      <alignment horizontal="center"/>
    </xf>
    <xf numFmtId="1" fontId="43" fillId="0" borderId="0" xfId="0" applyNumberFormat="1" applyFont="1"/>
    <xf numFmtId="1" fontId="38" fillId="12" borderId="1" xfId="5" applyNumberFormat="1" applyFont="1" applyFill="1" applyBorder="1" applyAlignment="1">
      <alignment horizontal="center"/>
    </xf>
    <xf numFmtId="0" fontId="44" fillId="0" borderId="1" xfId="4" applyFont="1" applyFill="1" applyBorder="1" applyAlignment="1">
      <alignment horizontal="center"/>
    </xf>
    <xf numFmtId="0" fontId="43" fillId="0" borderId="1" xfId="0" applyFont="1" applyBorder="1"/>
    <xf numFmtId="9" fontId="38" fillId="8" borderId="1" xfId="6" applyNumberFormat="1" applyFont="1" applyFill="1" applyBorder="1" applyAlignment="1">
      <alignment horizontal="center"/>
    </xf>
    <xf numFmtId="167" fontId="38" fillId="0" borderId="1" xfId="6" applyNumberFormat="1" applyFont="1" applyFill="1" applyBorder="1" applyAlignment="1"/>
    <xf numFmtId="1" fontId="38" fillId="8" borderId="1" xfId="5" applyNumberFormat="1" applyFont="1" applyFill="1" applyBorder="1" applyAlignment="1">
      <alignment horizontal="right"/>
    </xf>
    <xf numFmtId="0" fontId="48" fillId="0" borderId="0" xfId="0" applyFont="1"/>
    <xf numFmtId="1" fontId="48" fillId="0" borderId="0" xfId="0" applyNumberFormat="1" applyFont="1" applyAlignment="1">
      <alignment horizontal="center"/>
    </xf>
    <xf numFmtId="1" fontId="48" fillId="0" borderId="0" xfId="0" applyNumberFormat="1" applyFont="1"/>
    <xf numFmtId="2" fontId="19" fillId="8" borderId="9" xfId="3" applyNumberFormat="1" applyFont="1" applyFill="1" applyBorder="1" applyAlignment="1">
      <alignment horizontal="center"/>
    </xf>
    <xf numFmtId="166" fontId="38" fillId="8" borderId="12" xfId="3" applyNumberFormat="1" applyFont="1" applyFill="1" applyBorder="1" applyAlignment="1">
      <alignment horizontal="center" wrapText="1" shrinkToFit="1"/>
    </xf>
    <xf numFmtId="0" fontId="38" fillId="12" borderId="12" xfId="3" applyFont="1" applyFill="1" applyBorder="1" applyAlignment="1">
      <alignment horizontal="center"/>
    </xf>
    <xf numFmtId="1" fontId="38" fillId="8" borderId="12" xfId="5" applyNumberFormat="1" applyFont="1" applyFill="1" applyBorder="1" applyAlignment="1" applyProtection="1">
      <alignment horizontal="center"/>
    </xf>
    <xf numFmtId="1" fontId="38" fillId="2" borderId="12" xfId="5" applyNumberFormat="1" applyFont="1" applyFill="1" applyBorder="1" applyAlignment="1" applyProtection="1">
      <alignment horizontal="center"/>
    </xf>
    <xf numFmtId="1" fontId="38" fillId="12" borderId="12" xfId="3" applyNumberFormat="1" applyFont="1" applyFill="1" applyBorder="1" applyAlignment="1">
      <alignment horizontal="center" vertical="center"/>
    </xf>
    <xf numFmtId="1" fontId="43" fillId="0" borderId="12" xfId="0" applyNumberFormat="1" applyFont="1" applyBorder="1" applyAlignment="1">
      <alignment horizontal="center"/>
    </xf>
    <xf numFmtId="1" fontId="43" fillId="0" borderId="12" xfId="0" applyNumberFormat="1" applyFont="1" applyFill="1" applyBorder="1" applyAlignment="1">
      <alignment horizontal="center"/>
    </xf>
    <xf numFmtId="0" fontId="43" fillId="0" borderId="0" xfId="0" applyFont="1" applyBorder="1"/>
    <xf numFmtId="1" fontId="43" fillId="0" borderId="0" xfId="0" applyNumberFormat="1" applyFont="1" applyBorder="1" applyAlignment="1">
      <alignment horizontal="center"/>
    </xf>
    <xf numFmtId="1" fontId="43" fillId="0" borderId="24" xfId="0" applyNumberFormat="1" applyFont="1" applyBorder="1"/>
    <xf numFmtId="0" fontId="43" fillId="12" borderId="12" xfId="3" applyFont="1" applyFill="1" applyBorder="1" applyAlignment="1">
      <alignment horizontal="center"/>
    </xf>
    <xf numFmtId="1" fontId="38" fillId="12" borderId="12" xfId="5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center"/>
    </xf>
    <xf numFmtId="9" fontId="38" fillId="8" borderId="6" xfId="6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right"/>
    </xf>
    <xf numFmtId="1" fontId="38" fillId="8" borderId="17" xfId="5" applyNumberFormat="1" applyFont="1" applyFill="1" applyBorder="1" applyAlignment="1" applyProtection="1">
      <alignment horizontal="center"/>
    </xf>
    <xf numFmtId="9" fontId="32" fillId="9" borderId="16" xfId="3" applyNumberFormat="1" applyFont="1" applyFill="1" applyBorder="1" applyAlignment="1">
      <alignment horizontal="left"/>
    </xf>
    <xf numFmtId="0" fontId="33" fillId="0" borderId="1" xfId="4" applyFont="1" applyBorder="1" applyAlignment="1">
      <alignment horizontal="left"/>
    </xf>
    <xf numFmtId="168" fontId="32" fillId="9" borderId="16" xfId="3" applyNumberFormat="1" applyFont="1" applyFill="1" applyBorder="1" applyAlignment="1">
      <alignment horizontal="left"/>
    </xf>
    <xf numFmtId="0" fontId="32" fillId="9" borderId="16" xfId="3" applyFont="1" applyFill="1" applyBorder="1"/>
    <xf numFmtId="0" fontId="32" fillId="8" borderId="16" xfId="3" applyFont="1" applyFill="1" applyBorder="1" applyAlignment="1">
      <alignment horizontal="center" vertical="center"/>
    </xf>
    <xf numFmtId="0" fontId="32" fillId="8" borderId="16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center"/>
    </xf>
    <xf numFmtId="0" fontId="32" fillId="8" borderId="20" xfId="3" applyFont="1" applyFill="1" applyBorder="1" applyAlignment="1">
      <alignment horizontal="left" vertical="center"/>
    </xf>
    <xf numFmtId="0" fontId="32" fillId="8" borderId="5" xfId="3" applyFont="1" applyFill="1" applyBorder="1" applyAlignment="1">
      <alignment horizontal="left" vertical="center"/>
    </xf>
    <xf numFmtId="0" fontId="32" fillId="8" borderId="10" xfId="3" applyFont="1" applyFill="1" applyBorder="1" applyAlignment="1">
      <alignment horizontal="left" vertical="center"/>
    </xf>
    <xf numFmtId="169" fontId="32" fillId="8" borderId="16" xfId="3" applyNumberFormat="1" applyFont="1" applyFill="1" applyBorder="1" applyAlignment="1">
      <alignment vertical="center"/>
    </xf>
    <xf numFmtId="169" fontId="31" fillId="8" borderId="1" xfId="3" applyNumberFormat="1" applyFont="1" applyFill="1" applyBorder="1" applyAlignment="1">
      <alignment vertical="center"/>
    </xf>
    <xf numFmtId="0" fontId="32" fillId="13" borderId="16" xfId="3" applyFont="1" applyFill="1" applyBorder="1" applyAlignment="1">
      <alignment horizontal="center"/>
    </xf>
    <xf numFmtId="0" fontId="31" fillId="13" borderId="1" xfId="3" applyFont="1" applyFill="1" applyBorder="1" applyAlignment="1">
      <alignment horizontal="center"/>
    </xf>
    <xf numFmtId="0" fontId="32" fillId="2" borderId="16" xfId="3" applyFont="1" applyFill="1" applyBorder="1" applyAlignment="1">
      <alignment horizontal="left" vertical="center"/>
    </xf>
    <xf numFmtId="0" fontId="31" fillId="2" borderId="1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/>
    </xf>
    <xf numFmtId="0" fontId="32" fillId="13" borderId="16" xfId="3" applyFont="1" applyFill="1" applyBorder="1" applyAlignment="1">
      <alignment horizontal="center" vertical="center"/>
    </xf>
    <xf numFmtId="0" fontId="31" fillId="13" borderId="1" xfId="3" applyFont="1" applyFill="1" applyBorder="1" applyAlignment="1">
      <alignment horizontal="center" vertical="center"/>
    </xf>
    <xf numFmtId="0" fontId="42" fillId="2" borderId="13" xfId="3" applyFont="1" applyFill="1" applyBorder="1" applyAlignment="1">
      <alignment horizontal="center"/>
    </xf>
    <xf numFmtId="0" fontId="42" fillId="2" borderId="3" xfId="3" applyFont="1" applyFill="1" applyBorder="1" applyAlignment="1">
      <alignment horizontal="center"/>
    </xf>
    <xf numFmtId="0" fontId="42" fillId="2" borderId="4" xfId="3" applyFont="1" applyFill="1" applyBorder="1" applyAlignment="1">
      <alignment horizontal="center"/>
    </xf>
    <xf numFmtId="0" fontId="42" fillId="13" borderId="13" xfId="3" applyFont="1" applyFill="1" applyBorder="1" applyAlignment="1">
      <alignment horizontal="center"/>
    </xf>
    <xf numFmtId="0" fontId="42" fillId="13" borderId="3" xfId="3" applyFont="1" applyFill="1" applyBorder="1" applyAlignment="1">
      <alignment horizontal="center"/>
    </xf>
    <xf numFmtId="0" fontId="42" fillId="13" borderId="4" xfId="3" applyFont="1" applyFill="1" applyBorder="1" applyAlignment="1">
      <alignment horizontal="center"/>
    </xf>
    <xf numFmtId="0" fontId="32" fillId="12" borderId="16" xfId="3" applyFont="1" applyFill="1" applyBorder="1" applyAlignment="1">
      <alignment horizontal="left"/>
    </xf>
    <xf numFmtId="2" fontId="32" fillId="8" borderId="16" xfId="3" applyNumberFormat="1" applyFont="1" applyFill="1" applyBorder="1" applyAlignment="1">
      <alignment horizontal="left" vertical="center"/>
    </xf>
    <xf numFmtId="2" fontId="31" fillId="8" borderId="1" xfId="3" applyNumberFormat="1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justify"/>
    </xf>
    <xf numFmtId="9" fontId="38" fillId="9" borderId="1" xfId="4" applyNumberFormat="1" applyFont="1" applyFill="1" applyBorder="1"/>
    <xf numFmtId="0" fontId="38" fillId="9" borderId="1" xfId="3" applyFont="1" applyFill="1" applyBorder="1" applyAlignment="1"/>
    <xf numFmtId="1" fontId="32" fillId="9" borderId="12" xfId="3" applyNumberFormat="1" applyFont="1" applyFill="1" applyBorder="1" applyAlignment="1">
      <alignment horizontal="center" vertical="center"/>
    </xf>
    <xf numFmtId="0" fontId="32" fillId="9" borderId="1" xfId="3" applyFont="1" applyFill="1" applyBorder="1" applyAlignment="1">
      <alignment horizontal="left"/>
    </xf>
    <xf numFmtId="1" fontId="32" fillId="9" borderId="12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left"/>
    </xf>
    <xf numFmtId="0" fontId="38" fillId="8" borderId="7" xfId="3" applyFont="1" applyFill="1" applyBorder="1" applyAlignment="1">
      <alignment horizontal="center"/>
    </xf>
    <xf numFmtId="164" fontId="47" fillId="8" borderId="1" xfId="8" applyFont="1" applyFill="1" applyBorder="1" applyAlignment="1">
      <alignment horizontal="center"/>
    </xf>
    <xf numFmtId="0" fontId="47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 vertical="center"/>
    </xf>
    <xf numFmtId="0" fontId="43" fillId="0" borderId="4" xfId="0" applyFont="1" applyBorder="1" applyAlignment="1">
      <alignment horizontal="center"/>
    </xf>
    <xf numFmtId="0" fontId="48" fillId="0" borderId="4" xfId="0" applyFont="1" applyFill="1" applyBorder="1"/>
    <xf numFmtId="0" fontId="43" fillId="0" borderId="4" xfId="0" applyFont="1" applyFill="1" applyBorder="1" applyAlignment="1">
      <alignment horizontal="center"/>
    </xf>
    <xf numFmtId="0" fontId="38" fillId="8" borderId="6" xfId="3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/>
    </xf>
    <xf numFmtId="1" fontId="50" fillId="0" borderId="0" xfId="0" applyNumberFormat="1" applyFont="1"/>
    <xf numFmtId="0" fontId="43" fillId="0" borderId="1" xfId="3" applyFont="1" applyFill="1" applyBorder="1" applyAlignment="1">
      <alignment horizontal="center"/>
    </xf>
    <xf numFmtId="1" fontId="38" fillId="0" borderId="1" xfId="5" applyNumberFormat="1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/>
    </xf>
    <xf numFmtId="1" fontId="38" fillId="0" borderId="1" xfId="3" applyNumberFormat="1" applyFont="1" applyFill="1" applyBorder="1" applyAlignment="1">
      <alignment horizontal="center"/>
    </xf>
    <xf numFmtId="1" fontId="38" fillId="0" borderId="12" xfId="5" applyNumberFormat="1" applyFont="1" applyFill="1" applyBorder="1" applyAlignment="1" applyProtection="1">
      <alignment horizontal="center"/>
    </xf>
    <xf numFmtId="1" fontId="51" fillId="0" borderId="0" xfId="0" applyNumberFormat="1" applyFont="1" applyFill="1" applyAlignment="1">
      <alignment horizontal="center"/>
    </xf>
    <xf numFmtId="0" fontId="23" fillId="0" borderId="0" xfId="0" applyFont="1" applyAlignment="1">
      <alignment horizontal="center"/>
    </xf>
    <xf numFmtId="0" fontId="34" fillId="0" borderId="16" xfId="4" applyFont="1" applyFill="1" applyBorder="1"/>
    <xf numFmtId="0" fontId="35" fillId="0" borderId="1" xfId="0" applyFont="1" applyFill="1" applyBorder="1"/>
    <xf numFmtId="0" fontId="38" fillId="0" borderId="1" xfId="4" applyFont="1" applyFill="1" applyBorder="1"/>
    <xf numFmtId="0" fontId="37" fillId="0" borderId="1" xfId="0" applyFont="1" applyBorder="1"/>
    <xf numFmtId="0" fontId="39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29" fillId="10" borderId="1" xfId="0" applyFont="1" applyFill="1" applyBorder="1"/>
    <xf numFmtId="1" fontId="16" fillId="0" borderId="1" xfId="0" applyNumberFormat="1" applyFont="1" applyFill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6" fillId="0" borderId="22" xfId="0" applyFont="1" applyBorder="1" applyAlignment="1">
      <alignment horizontal="center" wrapText="1"/>
    </xf>
    <xf numFmtId="1" fontId="16" fillId="0" borderId="1" xfId="0" applyNumberFormat="1" applyFont="1" applyBorder="1" applyAlignment="1">
      <alignment horizontal="center" wrapText="1"/>
    </xf>
    <xf numFmtId="0" fontId="16" fillId="0" borderId="1" xfId="0" applyFont="1" applyFill="1" applyBorder="1" applyAlignment="1">
      <alignment horizontal="center" wrapText="1"/>
    </xf>
    <xf numFmtId="1" fontId="16" fillId="2" borderId="1" xfId="0" applyNumberFormat="1" applyFont="1" applyFill="1" applyBorder="1" applyAlignment="1">
      <alignment horizontal="center" wrapText="1"/>
    </xf>
    <xf numFmtId="1" fontId="54" fillId="0" borderId="1" xfId="0" applyNumberFormat="1" applyFont="1" applyFill="1" applyBorder="1" applyAlignment="1">
      <alignment horizontal="center" wrapText="1"/>
    </xf>
    <xf numFmtId="1" fontId="54" fillId="0" borderId="1" xfId="0" applyNumberFormat="1" applyFont="1" applyBorder="1" applyAlignment="1">
      <alignment horizontal="center" wrapText="1"/>
    </xf>
    <xf numFmtId="0" fontId="29" fillId="0" borderId="1" xfId="0" applyFont="1" applyFill="1" applyBorder="1" applyAlignment="1">
      <alignment vertical="center" wrapText="1"/>
    </xf>
    <xf numFmtId="0" fontId="29" fillId="0" borderId="1" xfId="0" applyFont="1" applyFill="1" applyBorder="1"/>
    <xf numFmtId="16" fontId="16" fillId="0" borderId="0" xfId="0" applyNumberFormat="1" applyFont="1" applyBorder="1" applyAlignment="1">
      <alignment horizontal="center" wrapText="1"/>
    </xf>
    <xf numFmtId="172" fontId="17" fillId="9" borderId="1" xfId="3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56" fillId="0" borderId="25" xfId="16" applyFont="1" applyBorder="1" applyAlignment="1">
      <alignment horizontal="center"/>
    </xf>
    <xf numFmtId="0" fontId="57" fillId="0" borderId="25" xfId="16" applyFont="1" applyBorder="1" applyAlignment="1">
      <alignment horizontal="center"/>
    </xf>
    <xf numFmtId="1" fontId="57" fillId="0" borderId="25" xfId="16" applyNumberFormat="1" applyFont="1" applyBorder="1" applyAlignment="1">
      <alignment horizontal="center"/>
    </xf>
    <xf numFmtId="1" fontId="56" fillId="0" borderId="25" xfId="16" applyNumberFormat="1" applyFont="1" applyBorder="1" applyAlignment="1">
      <alignment horizontal="center" wrapText="1"/>
    </xf>
    <xf numFmtId="0" fontId="56" fillId="0" borderId="25" xfId="16" applyFont="1" applyBorder="1" applyAlignment="1">
      <alignment horizontal="center" wrapText="1"/>
    </xf>
    <xf numFmtId="0" fontId="56" fillId="0" borderId="0" xfId="16" applyFont="1" applyAlignment="1">
      <alignment wrapText="1"/>
    </xf>
    <xf numFmtId="0" fontId="56" fillId="0" borderId="0" xfId="16" applyFont="1"/>
    <xf numFmtId="0" fontId="16" fillId="0" borderId="0" xfId="16" applyFont="1" applyAlignment="1">
      <alignment horizontal="center"/>
    </xf>
    <xf numFmtId="0" fontId="53" fillId="0" borderId="0" xfId="16" applyFont="1" applyAlignment="1">
      <alignment horizontal="center"/>
    </xf>
    <xf numFmtId="1" fontId="53" fillId="0" borderId="0" xfId="16" applyNumberFormat="1" applyFont="1" applyAlignment="1">
      <alignment horizontal="center"/>
    </xf>
    <xf numFmtId="1" fontId="2" fillId="0" borderId="0" xfId="16" applyNumberFormat="1" applyAlignment="1">
      <alignment horizontal="center"/>
    </xf>
    <xf numFmtId="2" fontId="2" fillId="0" borderId="0" xfId="16" applyNumberFormat="1" applyAlignment="1">
      <alignment horizontal="center"/>
    </xf>
    <xf numFmtId="2" fontId="2" fillId="0" borderId="0" xfId="16" applyNumberFormat="1"/>
    <xf numFmtId="0" fontId="2" fillId="0" borderId="0" xfId="16"/>
    <xf numFmtId="0" fontId="2" fillId="0" borderId="0" xfId="16" applyAlignment="1">
      <alignment horizontal="center"/>
    </xf>
    <xf numFmtId="1" fontId="56" fillId="0" borderId="1" xfId="16" applyNumberFormat="1" applyFont="1" applyBorder="1" applyAlignment="1">
      <alignment horizontal="center" wrapText="1"/>
    </xf>
    <xf numFmtId="1" fontId="58" fillId="0" borderId="1" xfId="0" applyNumberFormat="1" applyFont="1" applyBorder="1" applyAlignment="1">
      <alignment horizontal="center"/>
    </xf>
    <xf numFmtId="2" fontId="38" fillId="2" borderId="1" xfId="3" applyNumberFormat="1" applyFont="1" applyFill="1" applyBorder="1" applyAlignment="1">
      <alignment horizontal="right"/>
    </xf>
    <xf numFmtId="0" fontId="0" fillId="0" borderId="1" xfId="0" applyBorder="1" applyAlignment="1">
      <alignment wrapText="1"/>
    </xf>
    <xf numFmtId="0" fontId="56" fillId="0" borderId="5" xfId="17" applyFont="1" applyBorder="1"/>
    <xf numFmtId="0" fontId="57" fillId="0" borderId="5" xfId="17" applyFont="1" applyBorder="1" applyAlignment="1">
      <alignment horizontal="center"/>
    </xf>
    <xf numFmtId="0" fontId="56" fillId="0" borderId="0" xfId="17" applyFont="1"/>
    <xf numFmtId="0" fontId="16" fillId="0" borderId="0" xfId="18" applyFont="1" applyAlignment="1">
      <alignment horizontal="center"/>
    </xf>
    <xf numFmtId="0" fontId="52" fillId="0" borderId="0" xfId="17" applyFont="1" applyAlignment="1">
      <alignment horizontal="center"/>
    </xf>
    <xf numFmtId="0" fontId="1" fillId="0" borderId="0" xfId="17"/>
    <xf numFmtId="0" fontId="1" fillId="0" borderId="0" xfId="17" applyAlignment="1">
      <alignment horizontal="center"/>
    </xf>
    <xf numFmtId="1" fontId="59" fillId="0" borderId="5" xfId="17" applyNumberFormat="1" applyFont="1" applyFill="1" applyBorder="1" applyAlignment="1">
      <alignment horizontal="center" wrapText="1"/>
    </xf>
    <xf numFmtId="1" fontId="60" fillId="0" borderId="5" xfId="17" applyNumberFormat="1" applyFont="1" applyFill="1" applyBorder="1" applyAlignment="1">
      <alignment horizontal="center" wrapText="1"/>
    </xf>
    <xf numFmtId="1" fontId="61" fillId="0" borderId="5" xfId="17" applyNumberFormat="1" applyFont="1" applyFill="1" applyBorder="1" applyAlignment="1">
      <alignment horizontal="center" wrapText="1"/>
    </xf>
    <xf numFmtId="1" fontId="62" fillId="0" borderId="0" xfId="17" applyNumberFormat="1" applyFont="1" applyFill="1" applyAlignment="1">
      <alignment horizontal="center"/>
    </xf>
    <xf numFmtId="1" fontId="63" fillId="0" borderId="0" xfId="17" applyNumberFormat="1" applyFont="1" applyFill="1" applyAlignment="1">
      <alignment horizontal="center"/>
    </xf>
    <xf numFmtId="1" fontId="64" fillId="0" borderId="0" xfId="17" applyNumberFormat="1" applyFont="1" applyFill="1" applyAlignment="1">
      <alignment horizontal="center"/>
    </xf>
    <xf numFmtId="1" fontId="1" fillId="0" borderId="0" xfId="17" applyNumberFormat="1" applyFill="1" applyAlignment="1">
      <alignment horizontal="center"/>
    </xf>
    <xf numFmtId="0" fontId="1" fillId="0" borderId="0" xfId="17" applyFill="1" applyAlignment="1">
      <alignment horizontal="center"/>
    </xf>
    <xf numFmtId="0" fontId="1" fillId="0" borderId="0" xfId="17" applyFill="1"/>
    <xf numFmtId="1" fontId="60" fillId="10" borderId="5" xfId="17" applyNumberFormat="1" applyFont="1" applyFill="1" applyBorder="1" applyAlignment="1">
      <alignment horizontal="center" wrapText="1"/>
    </xf>
    <xf numFmtId="1" fontId="63" fillId="10" borderId="0" xfId="17" applyNumberFormat="1" applyFont="1" applyFill="1" applyAlignment="1">
      <alignment horizontal="center"/>
    </xf>
    <xf numFmtId="0" fontId="1" fillId="10" borderId="0" xfId="17" applyFill="1"/>
    <xf numFmtId="0" fontId="54" fillId="0" borderId="4" xfId="0" applyFont="1" applyBorder="1" applyAlignment="1">
      <alignment horizontal="center" vertical="top" wrapText="1"/>
    </xf>
    <xf numFmtId="0" fontId="16" fillId="0" borderId="18" xfId="0" applyNumberFormat="1" applyFont="1" applyBorder="1" applyAlignment="1">
      <alignment horizontal="center" wrapText="1"/>
    </xf>
    <xf numFmtId="1" fontId="16" fillId="0" borderId="18" xfId="0" applyNumberFormat="1" applyFont="1" applyBorder="1" applyAlignment="1">
      <alignment horizontal="center" wrapText="1"/>
    </xf>
    <xf numFmtId="1" fontId="56" fillId="0" borderId="27" xfId="16" applyNumberFormat="1" applyFont="1" applyFill="1" applyBorder="1" applyAlignment="1">
      <alignment horizontal="center" wrapText="1"/>
    </xf>
    <xf numFmtId="0" fontId="32" fillId="8" borderId="1" xfId="3" applyFont="1" applyFill="1" applyBorder="1" applyAlignment="1">
      <alignment horizontal="center"/>
    </xf>
    <xf numFmtId="0" fontId="37" fillId="0" borderId="1" xfId="0" applyFont="1" applyBorder="1" applyAlignment="1">
      <alignment horizontal="center"/>
    </xf>
    <xf numFmtId="1" fontId="32" fillId="2" borderId="1" xfId="5" applyNumberFormat="1" applyFont="1" applyFill="1" applyBorder="1" applyAlignment="1">
      <alignment horizontal="center" vertical="center"/>
    </xf>
    <xf numFmtId="0" fontId="1" fillId="2" borderId="0" xfId="17" applyFill="1"/>
    <xf numFmtId="0" fontId="11" fillId="0" borderId="0" xfId="0" applyFont="1"/>
    <xf numFmtId="0" fontId="11" fillId="15" borderId="0" xfId="0" applyFont="1" applyFill="1" applyBorder="1" applyAlignment="1">
      <alignment horizontal="center"/>
    </xf>
    <xf numFmtId="0" fontId="11" fillId="0" borderId="0" xfId="0" applyFont="1" applyFill="1"/>
    <xf numFmtId="1" fontId="11" fillId="0" borderId="0" xfId="0" applyNumberFormat="1" applyFont="1"/>
    <xf numFmtId="0" fontId="11" fillId="12" borderId="0" xfId="0" applyFont="1" applyFill="1"/>
    <xf numFmtId="0" fontId="11" fillId="0" borderId="0" xfId="0" applyNumberFormat="1" applyFont="1"/>
    <xf numFmtId="0" fontId="65" fillId="0" borderId="1" xfId="0" applyFont="1" applyBorder="1"/>
    <xf numFmtId="0" fontId="11" fillId="0" borderId="1" xfId="0" applyFont="1" applyBorder="1"/>
    <xf numFmtId="0" fontId="11" fillId="16" borderId="1" xfId="0" applyFont="1" applyFill="1" applyBorder="1"/>
    <xf numFmtId="0" fontId="11" fillId="0" borderId="0" xfId="0" applyFont="1" applyBorder="1"/>
    <xf numFmtId="0" fontId="37" fillId="0" borderId="1" xfId="0" applyFont="1" applyBorder="1" applyAlignment="1">
      <alignment horizontal="left"/>
    </xf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31" fillId="12" borderId="1" xfId="3" applyFont="1" applyFill="1" applyBorder="1" applyAlignment="1">
      <alignment horizontal="left"/>
    </xf>
    <xf numFmtId="1" fontId="43" fillId="0" borderId="1" xfId="0" applyNumberFormat="1" applyFont="1" applyBorder="1"/>
    <xf numFmtId="1" fontId="38" fillId="8" borderId="1" xfId="5" applyNumberFormat="1" applyFont="1" applyFill="1" applyBorder="1" applyAlignment="1" applyProtection="1">
      <alignment horizontal="center"/>
    </xf>
    <xf numFmtId="0" fontId="37" fillId="0" borderId="2" xfId="0" applyFont="1" applyBorder="1" applyAlignment="1"/>
    <xf numFmtId="0" fontId="37" fillId="0" borderId="3" xfId="0" applyFont="1" applyBorder="1" applyAlignment="1"/>
    <xf numFmtId="0" fontId="37" fillId="0" borderId="4" xfId="0" applyFont="1" applyBorder="1" applyAlignment="1"/>
    <xf numFmtId="0" fontId="37" fillId="2" borderId="0" xfId="0" applyFont="1" applyFill="1" applyBorder="1"/>
    <xf numFmtId="0" fontId="37" fillId="2" borderId="1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38" fillId="2" borderId="1" xfId="4" applyFont="1" applyFill="1" applyBorder="1"/>
    <xf numFmtId="1" fontId="38" fillId="2" borderId="1" xfId="5" applyNumberFormat="1" applyFont="1" applyFill="1" applyBorder="1" applyAlignment="1" applyProtection="1">
      <alignment horizontal="center"/>
    </xf>
    <xf numFmtId="0" fontId="24" fillId="17" borderId="3" xfId="3" applyFont="1" applyFill="1" applyBorder="1" applyAlignment="1">
      <alignment vertical="justify"/>
    </xf>
    <xf numFmtId="0" fontId="24" fillId="17" borderId="21" xfId="3" applyFont="1" applyFill="1" applyBorder="1" applyAlignment="1">
      <alignment vertical="justify"/>
    </xf>
    <xf numFmtId="0" fontId="38" fillId="17" borderId="1" xfId="3" applyFont="1" applyFill="1" applyBorder="1" applyAlignment="1">
      <alignment horizontal="center"/>
    </xf>
    <xf numFmtId="1" fontId="43" fillId="17" borderId="1" xfId="3" applyNumberFormat="1" applyFont="1" applyFill="1" applyBorder="1" applyAlignment="1">
      <alignment horizontal="center"/>
    </xf>
    <xf numFmtId="0" fontId="38" fillId="17" borderId="12" xfId="3" applyFont="1" applyFill="1" applyBorder="1" applyAlignment="1">
      <alignment horizontal="center"/>
    </xf>
    <xf numFmtId="0" fontId="43" fillId="17" borderId="1" xfId="3" applyFont="1" applyFill="1" applyBorder="1" applyAlignment="1">
      <alignment horizontal="center"/>
    </xf>
    <xf numFmtId="0" fontId="43" fillId="17" borderId="12" xfId="3" applyFont="1" applyFill="1" applyBorder="1" applyAlignment="1">
      <alignment horizontal="center"/>
    </xf>
    <xf numFmtId="1" fontId="50" fillId="2" borderId="0" xfId="0" applyNumberFormat="1" applyFont="1" applyFill="1"/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7" fillId="0" borderId="1" xfId="0" applyFont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1" fillId="12" borderId="1" xfId="3" applyFont="1" applyFill="1" applyBorder="1" applyAlignment="1">
      <alignment horizontal="left"/>
    </xf>
    <xf numFmtId="0" fontId="11" fillId="0" borderId="1" xfId="0" applyNumberFormat="1" applyFont="1" applyBorder="1"/>
    <xf numFmtId="2" fontId="11" fillId="0" borderId="1" xfId="0" applyNumberFormat="1" applyFont="1" applyBorder="1"/>
    <xf numFmtId="2" fontId="38" fillId="0" borderId="1" xfId="4" applyNumberFormat="1" applyFont="1" applyFill="1" applyBorder="1" applyAlignment="1">
      <alignment horizontal="center"/>
    </xf>
    <xf numFmtId="2" fontId="38" fillId="0" borderId="1" xfId="4" applyNumberFormat="1" applyFont="1" applyBorder="1" applyAlignment="1">
      <alignment horizontal="center"/>
    </xf>
    <xf numFmtId="0" fontId="38" fillId="0" borderId="1" xfId="4" applyFont="1" applyBorder="1"/>
    <xf numFmtId="166" fontId="45" fillId="2" borderId="1" xfId="5" applyNumberFormat="1" applyFont="1" applyFill="1" applyBorder="1" applyAlignment="1">
      <alignment horizontal="center" vertical="center"/>
    </xf>
    <xf numFmtId="1" fontId="46" fillId="2" borderId="1" xfId="5" applyNumberFormat="1" applyFont="1" applyFill="1" applyBorder="1" applyAlignment="1">
      <alignment horizontal="center" vertical="center"/>
    </xf>
    <xf numFmtId="1" fontId="38" fillId="2" borderId="7" xfId="5" applyNumberFormat="1" applyFont="1" applyFill="1" applyBorder="1" applyAlignment="1">
      <alignment horizontal="center" vertical="center"/>
    </xf>
    <xf numFmtId="0" fontId="38" fillId="0" borderId="0" xfId="4" applyFont="1" applyBorder="1" applyAlignment="1">
      <alignment horizontal="center"/>
    </xf>
    <xf numFmtId="0" fontId="16" fillId="0" borderId="1" xfId="0" applyNumberFormat="1" applyFont="1" applyBorder="1" applyAlignment="1">
      <alignment horizontal="center" wrapText="1"/>
    </xf>
    <xf numFmtId="2" fontId="38" fillId="8" borderId="0" xfId="3" applyNumberFormat="1" applyFont="1" applyFill="1" applyBorder="1" applyAlignment="1">
      <alignment horizontal="center"/>
    </xf>
    <xf numFmtId="0" fontId="38" fillId="0" borderId="0" xfId="3" applyFont="1" applyFill="1" applyBorder="1" applyAlignment="1">
      <alignment horizontal="center"/>
    </xf>
    <xf numFmtId="1" fontId="38" fillId="2" borderId="0" xfId="5" applyNumberFormat="1" applyFont="1" applyFill="1" applyBorder="1" applyAlignment="1">
      <alignment horizontal="center" vertical="center"/>
    </xf>
    <xf numFmtId="1" fontId="38" fillId="8" borderId="0" xfId="3" applyNumberFormat="1" applyFont="1" applyFill="1" applyBorder="1" applyAlignment="1">
      <alignment horizontal="center"/>
    </xf>
    <xf numFmtId="0" fontId="55" fillId="2" borderId="1" xfId="0" applyFont="1" applyFill="1" applyBorder="1" applyAlignment="1">
      <alignment horizontal="center"/>
    </xf>
    <xf numFmtId="0" fontId="36" fillId="0" borderId="0" xfId="4" applyFont="1" applyBorder="1" applyAlignment="1">
      <alignment horizontal="left"/>
    </xf>
    <xf numFmtId="1" fontId="38" fillId="8" borderId="0" xfId="5" applyNumberFormat="1" applyFont="1" applyFill="1" applyBorder="1" applyAlignment="1" applyProtection="1">
      <alignment horizontal="center"/>
    </xf>
    <xf numFmtId="0" fontId="38" fillId="0" borderId="5" xfId="4" applyFont="1" applyBorder="1" applyAlignment="1">
      <alignment horizontal="center"/>
    </xf>
    <xf numFmtId="2" fontId="38" fillId="8" borderId="5" xfId="3" applyNumberFormat="1" applyFont="1" applyFill="1" applyBorder="1" applyAlignment="1">
      <alignment horizontal="center"/>
    </xf>
    <xf numFmtId="0" fontId="38" fillId="0" borderId="5" xfId="3" applyFont="1" applyFill="1" applyBorder="1" applyAlignment="1">
      <alignment horizontal="center"/>
    </xf>
    <xf numFmtId="1" fontId="38" fillId="2" borderId="5" xfId="5" applyNumberFormat="1" applyFont="1" applyFill="1" applyBorder="1" applyAlignment="1">
      <alignment horizontal="center" vertical="center"/>
    </xf>
    <xf numFmtId="1" fontId="38" fillId="8" borderId="5" xfId="3" applyNumberFormat="1" applyFont="1" applyFill="1" applyBorder="1" applyAlignment="1">
      <alignment horizontal="center"/>
    </xf>
    <xf numFmtId="1" fontId="38" fillId="8" borderId="5" xfId="5" applyNumberFormat="1" applyFont="1" applyFill="1" applyBorder="1" applyAlignment="1" applyProtection="1">
      <alignment horizontal="center"/>
    </xf>
    <xf numFmtId="1" fontId="21" fillId="0" borderId="0" xfId="0" applyNumberFormat="1" applyFont="1"/>
    <xf numFmtId="0" fontId="43" fillId="2" borderId="1" xfId="0" applyFont="1" applyFill="1" applyBorder="1" applyAlignment="1">
      <alignment horizontal="center"/>
    </xf>
    <xf numFmtId="172" fontId="19" fillId="9" borderId="1" xfId="3" applyNumberFormat="1" applyFont="1" applyFill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1" fontId="48" fillId="0" borderId="1" xfId="0" applyNumberFormat="1" applyFont="1" applyFill="1" applyBorder="1" applyAlignment="1">
      <alignment horizontal="center"/>
    </xf>
    <xf numFmtId="0" fontId="48" fillId="0" borderId="1" xfId="0" applyFont="1" applyFill="1" applyBorder="1"/>
    <xf numFmtId="1" fontId="56" fillId="0" borderId="28" xfId="16" applyNumberFormat="1" applyFont="1" applyFill="1" applyBorder="1" applyAlignment="1">
      <alignment horizontal="center" wrapText="1"/>
    </xf>
    <xf numFmtId="1" fontId="2" fillId="0" borderId="1" xfId="16" applyNumberFormat="1" applyBorder="1" applyAlignment="1"/>
    <xf numFmtId="1" fontId="0" fillId="0" borderId="1" xfId="0" applyNumberFormat="1" applyBorder="1" applyAlignment="1"/>
    <xf numFmtId="1" fontId="0" fillId="0" borderId="0" xfId="0" applyNumberFormat="1" applyAlignment="1"/>
    <xf numFmtId="0" fontId="0" fillId="0" borderId="0" xfId="0" applyAlignment="1"/>
    <xf numFmtId="1" fontId="2" fillId="0" borderId="0" xfId="16" applyNumberFormat="1" applyAlignment="1"/>
    <xf numFmtId="0" fontId="0" fillId="0" borderId="1" xfId="0" applyBorder="1" applyAlignment="1"/>
    <xf numFmtId="0" fontId="37" fillId="0" borderId="1" xfId="0" applyFont="1" applyBorder="1" applyAlignment="1"/>
    <xf numFmtId="0" fontId="43" fillId="0" borderId="1" xfId="0" applyFont="1" applyBorder="1" applyAlignment="1"/>
    <xf numFmtId="0" fontId="37" fillId="2" borderId="1" xfId="0" applyFont="1" applyFill="1" applyBorder="1" applyAlignment="1">
      <alignment horizontal="center"/>
    </xf>
    <xf numFmtId="0" fontId="37" fillId="2" borderId="1" xfId="0" applyFont="1" applyFill="1" applyBorder="1"/>
    <xf numFmtId="0" fontId="37" fillId="12" borderId="1" xfId="0" applyFont="1" applyFill="1" applyBorder="1" applyAlignment="1">
      <alignment horizontal="left"/>
    </xf>
    <xf numFmtId="0" fontId="43" fillId="12" borderId="1" xfId="0" applyFont="1" applyFill="1" applyBorder="1"/>
    <xf numFmtId="2" fontId="38" fillId="12" borderId="1" xfId="3" applyNumberFormat="1" applyFont="1" applyFill="1" applyBorder="1" applyAlignment="1">
      <alignment horizontal="center"/>
    </xf>
    <xf numFmtId="1" fontId="43" fillId="12" borderId="1" xfId="0" applyNumberFormat="1" applyFont="1" applyFill="1" applyBorder="1" applyAlignment="1">
      <alignment horizontal="center"/>
    </xf>
    <xf numFmtId="1" fontId="43" fillId="12" borderId="1" xfId="0" applyNumberFormat="1" applyFont="1" applyFill="1" applyBorder="1"/>
    <xf numFmtId="0" fontId="43" fillId="12" borderId="0" xfId="0" applyFont="1" applyFill="1" applyBorder="1"/>
    <xf numFmtId="1" fontId="43" fillId="12" borderId="0" xfId="0" applyNumberFormat="1" applyFont="1" applyFill="1" applyBorder="1" applyAlignment="1">
      <alignment horizontal="center"/>
    </xf>
    <xf numFmtId="1" fontId="43" fillId="12" borderId="24" xfId="0" applyNumberFormat="1" applyFont="1" applyFill="1" applyBorder="1"/>
    <xf numFmtId="0" fontId="37" fillId="12" borderId="1" xfId="0" applyFont="1" applyFill="1" applyBorder="1" applyAlignment="1">
      <alignment horizontal="left"/>
    </xf>
    <xf numFmtId="0" fontId="40" fillId="11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1" fontId="38" fillId="12" borderId="1" xfId="3" applyNumberFormat="1" applyFont="1" applyFill="1" applyBorder="1" applyAlignment="1">
      <alignment horizontal="center"/>
    </xf>
    <xf numFmtId="166" fontId="0" fillId="0" borderId="0" xfId="0" applyNumberFormat="1"/>
    <xf numFmtId="0" fontId="44" fillId="10" borderId="1" xfId="4" applyFont="1" applyFill="1" applyBorder="1" applyAlignment="1">
      <alignment horizontal="center"/>
    </xf>
    <xf numFmtId="0" fontId="43" fillId="0" borderId="12" xfId="0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right"/>
    </xf>
    <xf numFmtId="1" fontId="38" fillId="0" borderId="1" xfId="5" applyNumberFormat="1" applyFont="1" applyFill="1" applyBorder="1" applyAlignment="1" applyProtection="1">
      <alignment horizontal="center"/>
    </xf>
    <xf numFmtId="0" fontId="23" fillId="0" borderId="0" xfId="0" applyFont="1" applyFill="1"/>
    <xf numFmtId="0" fontId="38" fillId="0" borderId="1" xfId="4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/>
    </xf>
    <xf numFmtId="0" fontId="43" fillId="0" borderId="0" xfId="0" applyFont="1" applyBorder="1" applyAlignment="1">
      <alignment horizontal="center"/>
    </xf>
    <xf numFmtId="0" fontId="48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43" fillId="12" borderId="0" xfId="0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center"/>
    </xf>
    <xf numFmtId="0" fontId="43" fillId="10" borderId="1" xfId="3" applyFont="1" applyFill="1" applyBorder="1" applyAlignment="1">
      <alignment horizontal="center"/>
    </xf>
    <xf numFmtId="0" fontId="38" fillId="2" borderId="1" xfId="4" applyFont="1" applyFill="1" applyBorder="1" applyAlignment="1">
      <alignment horizontal="center" vertical="center"/>
    </xf>
    <xf numFmtId="1" fontId="70" fillId="0" borderId="1" xfId="0" applyNumberFormat="1" applyFont="1" applyBorder="1"/>
    <xf numFmtId="0" fontId="40" fillId="0" borderId="1" xfId="0" applyFont="1" applyFill="1" applyBorder="1" applyAlignment="1">
      <alignment horizontal="center"/>
    </xf>
    <xf numFmtId="2" fontId="43" fillId="2" borderId="1" xfId="0" applyNumberFormat="1" applyFont="1" applyFill="1" applyBorder="1" applyAlignment="1">
      <alignment horizontal="center"/>
    </xf>
    <xf numFmtId="0" fontId="38" fillId="0" borderId="1" xfId="4" applyFont="1" applyFill="1" applyBorder="1" applyAlignment="1">
      <alignment horizontal="center" vertical="center"/>
    </xf>
    <xf numFmtId="1" fontId="40" fillId="0" borderId="1" xfId="0" applyNumberFormat="1" applyFont="1" applyFill="1" applyBorder="1" applyAlignment="1">
      <alignment horizontal="center"/>
    </xf>
    <xf numFmtId="0" fontId="43" fillId="10" borderId="1" xfId="0" applyFont="1" applyFill="1" applyBorder="1" applyAlignment="1">
      <alignment horizontal="center"/>
    </xf>
    <xf numFmtId="166" fontId="23" fillId="0" borderId="0" xfId="0" applyNumberFormat="1" applyFont="1"/>
    <xf numFmtId="0" fontId="37" fillId="12" borderId="18" xfId="0" applyFont="1" applyFill="1" applyBorder="1" applyAlignment="1">
      <alignment horizontal="left"/>
    </xf>
    <xf numFmtId="38" fontId="32" fillId="9" borderId="1" xfId="3" applyNumberFormat="1" applyFont="1" applyFill="1" applyBorder="1" applyAlignment="1">
      <alignment horizontal="center" vertical="center"/>
    </xf>
    <xf numFmtId="38" fontId="32" fillId="9" borderId="1" xfId="3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 wrapText="1" shrinkToFit="1"/>
    </xf>
    <xf numFmtId="38" fontId="38" fillId="12" borderId="1" xfId="3" applyNumberFormat="1" applyFont="1" applyFill="1" applyBorder="1" applyAlignment="1">
      <alignment horizontal="center" vertical="center"/>
    </xf>
    <xf numFmtId="38" fontId="38" fillId="2" borderId="1" xfId="5" applyNumberFormat="1" applyFont="1" applyFill="1" applyBorder="1" applyAlignment="1">
      <alignment horizontal="center" vertical="center"/>
    </xf>
    <xf numFmtId="38" fontId="38" fillId="2" borderId="6" xfId="5" applyNumberFormat="1" applyFont="1" applyFill="1" applyBorder="1" applyAlignment="1">
      <alignment horizontal="center" vertical="center"/>
    </xf>
    <xf numFmtId="38" fontId="38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/>
    </xf>
    <xf numFmtId="38" fontId="45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 vertical="center"/>
    </xf>
    <xf numFmtId="38" fontId="43" fillId="8" borderId="1" xfId="3" applyNumberFormat="1" applyFont="1" applyFill="1" applyBorder="1" applyAlignment="1">
      <alignment horizontal="center"/>
    </xf>
    <xf numFmtId="38" fontId="43" fillId="8" borderId="1" xfId="5" applyNumberFormat="1" applyFont="1" applyFill="1" applyBorder="1" applyAlignment="1" applyProtection="1">
      <alignment horizontal="center" vertical="center"/>
    </xf>
    <xf numFmtId="38" fontId="45" fillId="8" borderId="1" xfId="5" applyNumberFormat="1" applyFont="1" applyFill="1" applyBorder="1" applyAlignment="1" applyProtection="1">
      <alignment horizontal="center" vertical="center"/>
    </xf>
    <xf numFmtId="38" fontId="24" fillId="17" borderId="3" xfId="3" applyNumberFormat="1" applyFont="1" applyFill="1" applyBorder="1" applyAlignment="1">
      <alignment vertical="justify"/>
    </xf>
    <xf numFmtId="38" fontId="38" fillId="12" borderId="1" xfId="3" applyNumberFormat="1" applyFont="1" applyFill="1" applyBorder="1" applyAlignment="1">
      <alignment horizontal="center"/>
    </xf>
    <xf numFmtId="38" fontId="43" fillId="17" borderId="1" xfId="3" applyNumberFormat="1" applyFont="1" applyFill="1" applyBorder="1" applyAlignment="1">
      <alignment horizontal="center"/>
    </xf>
    <xf numFmtId="38" fontId="43" fillId="2" borderId="1" xfId="3" applyNumberFormat="1" applyFont="1" applyFill="1" applyBorder="1" applyAlignment="1">
      <alignment horizontal="center"/>
    </xf>
    <xf numFmtId="38" fontId="43" fillId="0" borderId="0" xfId="0" applyNumberFormat="1" applyFont="1" applyBorder="1"/>
    <xf numFmtId="38" fontId="38" fillId="12" borderId="1" xfId="5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/>
    </xf>
    <xf numFmtId="38" fontId="38" fillId="8" borderId="1" xfId="6" applyNumberFormat="1" applyFont="1" applyFill="1" applyBorder="1" applyAlignment="1">
      <alignment horizontal="center"/>
    </xf>
    <xf numFmtId="38" fontId="38" fillId="8" borderId="6" xfId="6" applyNumberFormat="1" applyFont="1" applyFill="1" applyBorder="1" applyAlignment="1">
      <alignment horizontal="center"/>
    </xf>
    <xf numFmtId="38" fontId="48" fillId="0" borderId="0" xfId="0" applyNumberFormat="1" applyFont="1"/>
    <xf numFmtId="38" fontId="43" fillId="0" borderId="0" xfId="0" applyNumberFormat="1" applyFont="1"/>
    <xf numFmtId="38" fontId="43" fillId="0" borderId="1" xfId="0" applyNumberFormat="1" applyFont="1" applyBorder="1"/>
    <xf numFmtId="38" fontId="32" fillId="2" borderId="1" xfId="5" applyNumberFormat="1" applyFont="1" applyFill="1" applyBorder="1" applyAlignment="1">
      <alignment horizontal="center" vertical="center"/>
    </xf>
    <xf numFmtId="38" fontId="38" fillId="2" borderId="0" xfId="5" applyNumberFormat="1" applyFont="1" applyFill="1" applyBorder="1" applyAlignment="1">
      <alignment horizontal="center" vertical="center"/>
    </xf>
    <xf numFmtId="38" fontId="38" fillId="0" borderId="1" xfId="3" applyNumberFormat="1" applyFont="1" applyFill="1" applyBorder="1" applyAlignment="1">
      <alignment horizontal="center"/>
    </xf>
    <xf numFmtId="38" fontId="43" fillId="0" borderId="1" xfId="0" applyNumberFormat="1" applyFont="1" applyBorder="1" applyAlignment="1">
      <alignment horizontal="center"/>
    </xf>
    <xf numFmtId="38" fontId="43" fillId="0" borderId="1" xfId="0" applyNumberFormat="1" applyFont="1" applyFill="1" applyBorder="1" applyAlignment="1">
      <alignment horizontal="center"/>
    </xf>
    <xf numFmtId="38" fontId="48" fillId="0" borderId="1" xfId="0" applyNumberFormat="1" applyFont="1" applyFill="1" applyBorder="1" applyAlignment="1">
      <alignment horizontal="center"/>
    </xf>
    <xf numFmtId="0" fontId="36" fillId="11" borderId="0" xfId="4" applyFont="1" applyFill="1" applyBorder="1" applyAlignment="1">
      <alignment horizontal="left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43" fillId="2" borderId="1" xfId="0" applyFont="1" applyFill="1" applyBorder="1"/>
    <xf numFmtId="1" fontId="38" fillId="0" borderId="1" xfId="0" applyNumberFormat="1" applyFont="1" applyFill="1" applyBorder="1" applyAlignment="1">
      <alignment horizontal="center"/>
    </xf>
    <xf numFmtId="0" fontId="38" fillId="0" borderId="1" xfId="0" applyFont="1" applyFill="1" applyBorder="1"/>
    <xf numFmtId="0" fontId="38" fillId="2" borderId="1" xfId="0" applyFont="1" applyFill="1" applyBorder="1" applyAlignment="1">
      <alignment horizontal="center"/>
    </xf>
    <xf numFmtId="2" fontId="38" fillId="2" borderId="1" xfId="4" applyNumberFormat="1" applyFont="1" applyFill="1" applyBorder="1" applyAlignment="1">
      <alignment horizontal="center"/>
    </xf>
    <xf numFmtId="0" fontId="23" fillId="10" borderId="0" xfId="0" applyFont="1" applyFill="1"/>
    <xf numFmtId="173" fontId="32" fillId="9" borderId="1" xfId="3" applyNumberFormat="1" applyFont="1" applyFill="1" applyBorder="1" applyAlignment="1">
      <alignment horizontal="center" vertical="center"/>
    </xf>
    <xf numFmtId="173" fontId="32" fillId="9" borderId="1" xfId="3" applyNumberFormat="1" applyFont="1" applyFill="1" applyBorder="1" applyAlignment="1">
      <alignment horizontal="center"/>
    </xf>
    <xf numFmtId="173" fontId="38" fillId="8" borderId="1" xfId="3" applyNumberFormat="1" applyFont="1" applyFill="1" applyBorder="1" applyAlignment="1">
      <alignment horizontal="center" wrapText="1" shrinkToFit="1"/>
    </xf>
    <xf numFmtId="173" fontId="38" fillId="12" borderId="1" xfId="3" applyNumberFormat="1" applyFont="1" applyFill="1" applyBorder="1" applyAlignment="1">
      <alignment horizontal="center" vertical="center"/>
    </xf>
    <xf numFmtId="173" fontId="38" fillId="2" borderId="1" xfId="5" applyNumberFormat="1" applyFont="1" applyFill="1" applyBorder="1" applyAlignment="1">
      <alignment horizontal="center" vertical="center"/>
    </xf>
    <xf numFmtId="173" fontId="38" fillId="2" borderId="6" xfId="5" applyNumberFormat="1" applyFont="1" applyFill="1" applyBorder="1" applyAlignment="1">
      <alignment horizontal="center" vertical="center"/>
    </xf>
    <xf numFmtId="173" fontId="38" fillId="8" borderId="1" xfId="5" applyNumberFormat="1" applyFont="1" applyFill="1" applyBorder="1" applyAlignment="1">
      <alignment horizontal="center" vertical="center"/>
    </xf>
    <xf numFmtId="173" fontId="43" fillId="12" borderId="1" xfId="3" applyNumberFormat="1" applyFont="1" applyFill="1" applyBorder="1" applyAlignment="1">
      <alignment horizontal="center"/>
    </xf>
    <xf numFmtId="173" fontId="45" fillId="8" borderId="1" xfId="5" applyNumberFormat="1" applyFont="1" applyFill="1" applyBorder="1" applyAlignment="1">
      <alignment horizontal="center" vertical="center"/>
    </xf>
    <xf numFmtId="173" fontId="43" fillId="12" borderId="1" xfId="3" applyNumberFormat="1" applyFont="1" applyFill="1" applyBorder="1" applyAlignment="1">
      <alignment horizontal="center" vertical="center"/>
    </xf>
    <xf numFmtId="173" fontId="43" fillId="8" borderId="1" xfId="3" applyNumberFormat="1" applyFont="1" applyFill="1" applyBorder="1" applyAlignment="1">
      <alignment horizontal="center"/>
    </xf>
    <xf numFmtId="173" fontId="43" fillId="8" borderId="1" xfId="5" applyNumberFormat="1" applyFont="1" applyFill="1" applyBorder="1" applyAlignment="1" applyProtection="1">
      <alignment horizontal="center" vertical="center"/>
    </xf>
    <xf numFmtId="173" fontId="45" fillId="8" borderId="1" xfId="5" applyNumberFormat="1" applyFont="1" applyFill="1" applyBorder="1" applyAlignment="1" applyProtection="1">
      <alignment horizontal="center" vertical="center"/>
    </xf>
    <xf numFmtId="173" fontId="24" fillId="17" borderId="3" xfId="3" applyNumberFormat="1" applyFont="1" applyFill="1" applyBorder="1" applyAlignment="1">
      <alignment vertical="justify"/>
    </xf>
    <xf numFmtId="173" fontId="38" fillId="12" borderId="1" xfId="3" applyNumberFormat="1" applyFont="1" applyFill="1" applyBorder="1" applyAlignment="1">
      <alignment horizontal="center"/>
    </xf>
    <xf numFmtId="173" fontId="43" fillId="17" borderId="1" xfId="3" applyNumberFormat="1" applyFont="1" applyFill="1" applyBorder="1" applyAlignment="1">
      <alignment horizontal="center"/>
    </xf>
    <xf numFmtId="173" fontId="43" fillId="2" borderId="1" xfId="3" applyNumberFormat="1" applyFont="1" applyFill="1" applyBorder="1" applyAlignment="1">
      <alignment horizontal="center"/>
    </xf>
    <xf numFmtId="173" fontId="43" fillId="0" borderId="0" xfId="0" applyNumberFormat="1" applyFont="1" applyBorder="1"/>
    <xf numFmtId="173" fontId="38" fillId="12" borderId="1" xfId="5" applyNumberFormat="1" applyFont="1" applyFill="1" applyBorder="1" applyAlignment="1">
      <alignment horizontal="center"/>
    </xf>
    <xf numFmtId="173" fontId="38" fillId="8" borderId="1" xfId="3" applyNumberFormat="1" applyFont="1" applyFill="1" applyBorder="1" applyAlignment="1">
      <alignment horizontal="center"/>
    </xf>
    <xf numFmtId="173" fontId="38" fillId="8" borderId="1" xfId="6" applyNumberFormat="1" applyFont="1" applyFill="1" applyBorder="1" applyAlignment="1">
      <alignment horizontal="center"/>
    </xf>
    <xf numFmtId="173" fontId="38" fillId="8" borderId="6" xfId="6" applyNumberFormat="1" applyFont="1" applyFill="1" applyBorder="1" applyAlignment="1">
      <alignment horizontal="center"/>
    </xf>
    <xf numFmtId="173" fontId="48" fillId="0" borderId="0" xfId="0" applyNumberFormat="1" applyFont="1"/>
    <xf numFmtId="173" fontId="43" fillId="0" borderId="0" xfId="0" applyNumberFormat="1" applyFont="1"/>
    <xf numFmtId="173" fontId="43" fillId="0" borderId="1" xfId="0" applyNumberFormat="1" applyFont="1" applyBorder="1"/>
    <xf numFmtId="173" fontId="32" fillId="2" borderId="1" xfId="5" applyNumberFormat="1" applyFont="1" applyFill="1" applyBorder="1" applyAlignment="1">
      <alignment horizontal="center" vertical="center"/>
    </xf>
    <xf numFmtId="173" fontId="38" fillId="2" borderId="0" xfId="5" applyNumberFormat="1" applyFont="1" applyFill="1" applyBorder="1" applyAlignment="1">
      <alignment horizontal="center" vertical="center"/>
    </xf>
    <xf numFmtId="173" fontId="38" fillId="0" borderId="1" xfId="3" applyNumberFormat="1" applyFont="1" applyFill="1" applyBorder="1" applyAlignment="1">
      <alignment horizontal="center"/>
    </xf>
    <xf numFmtId="173" fontId="43" fillId="0" borderId="1" xfId="0" applyNumberFormat="1" applyFont="1" applyBorder="1" applyAlignment="1">
      <alignment horizontal="center"/>
    </xf>
    <xf numFmtId="173" fontId="43" fillId="0" borderId="1" xfId="0" applyNumberFormat="1" applyFont="1" applyFill="1" applyBorder="1" applyAlignment="1">
      <alignment horizontal="center"/>
    </xf>
    <xf numFmtId="173" fontId="48" fillId="0" borderId="1" xfId="0" applyNumberFormat="1" applyFont="1" applyFill="1" applyBorder="1" applyAlignment="1">
      <alignment horizontal="center"/>
    </xf>
    <xf numFmtId="0" fontId="43" fillId="2" borderId="1" xfId="3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65" fillId="0" borderId="20" xfId="1" applyFont="1" applyFill="1" applyBorder="1" applyAlignment="1">
      <alignment horizontal="center" vertical="center" wrapText="1"/>
    </xf>
    <xf numFmtId="0" fontId="65" fillId="0" borderId="5" xfId="1" applyFont="1" applyFill="1" applyBorder="1" applyAlignment="1">
      <alignment horizontal="center" vertical="center" wrapText="1"/>
    </xf>
    <xf numFmtId="0" fontId="65" fillId="0" borderId="26" xfId="1" applyFont="1" applyFill="1" applyBorder="1" applyAlignment="1">
      <alignment horizontal="center" vertical="center" wrapText="1"/>
    </xf>
    <xf numFmtId="0" fontId="71" fillId="0" borderId="16" xfId="1" applyFont="1" applyFill="1" applyBorder="1" applyAlignment="1">
      <alignment vertical="top" wrapText="1"/>
    </xf>
    <xf numFmtId="0" fontId="71" fillId="0" borderId="1" xfId="1" applyFont="1" applyFill="1" applyBorder="1" applyAlignment="1">
      <alignment horizontal="center" vertical="top" wrapText="1"/>
    </xf>
    <xf numFmtId="0" fontId="71" fillId="0" borderId="12" xfId="1" applyFont="1" applyFill="1" applyBorder="1" applyAlignment="1">
      <alignment horizontal="center" vertical="top" wrapText="1"/>
    </xf>
    <xf numFmtId="1" fontId="11" fillId="2" borderId="16" xfId="1" applyNumberFormat="1" applyFont="1" applyFill="1" applyBorder="1" applyAlignment="1">
      <alignment vertical="center" wrapText="1"/>
    </xf>
    <xf numFmtId="1" fontId="65" fillId="0" borderId="0" xfId="1" applyNumberFormat="1" applyFont="1"/>
    <xf numFmtId="1" fontId="38" fillId="8" borderId="1" xfId="5" applyNumberFormat="1" applyFont="1" applyFill="1" applyBorder="1" applyAlignment="1">
      <alignment horizontal="center"/>
    </xf>
    <xf numFmtId="0" fontId="38" fillId="18" borderId="1" xfId="3" applyFont="1" applyFill="1" applyBorder="1" applyAlignment="1">
      <alignment horizontal="center"/>
    </xf>
    <xf numFmtId="0" fontId="38" fillId="18" borderId="1" xfId="4" applyFont="1" applyFill="1" applyBorder="1" applyAlignment="1">
      <alignment horizontal="center"/>
    </xf>
    <xf numFmtId="0" fontId="38" fillId="18" borderId="1" xfId="3" applyFont="1" applyFill="1" applyBorder="1" applyAlignment="1">
      <alignment horizontal="center" vertical="center"/>
    </xf>
    <xf numFmtId="0" fontId="38" fillId="19" borderId="1" xfId="4" applyFont="1" applyFill="1" applyBorder="1" applyAlignment="1">
      <alignment horizontal="center"/>
    </xf>
    <xf numFmtId="0" fontId="44" fillId="10" borderId="1" xfId="4" applyFont="1" applyFill="1" applyBorder="1" applyAlignment="1">
      <alignment horizontal="center" wrapText="1"/>
    </xf>
    <xf numFmtId="0" fontId="48" fillId="0" borderId="1" xfId="0" applyFont="1" applyFill="1" applyBorder="1" applyAlignment="1">
      <alignment horizontal="center"/>
    </xf>
    <xf numFmtId="1" fontId="38" fillId="0" borderId="6" xfId="5" applyNumberFormat="1" applyFont="1" applyFill="1" applyBorder="1" applyAlignment="1">
      <alignment horizontal="center" vertical="center"/>
    </xf>
    <xf numFmtId="38" fontId="38" fillId="0" borderId="1" xfId="5" applyNumberFormat="1" applyFont="1" applyFill="1" applyBorder="1" applyAlignment="1">
      <alignment horizontal="center" vertical="center"/>
    </xf>
    <xf numFmtId="2" fontId="23" fillId="10" borderId="0" xfId="0" applyNumberFormat="1" applyFont="1" applyFill="1"/>
    <xf numFmtId="0" fontId="31" fillId="2" borderId="1" xfId="3" applyFont="1" applyFill="1" applyBorder="1" applyAlignment="1">
      <alignment horizontal="center"/>
    </xf>
    <xf numFmtId="169" fontId="32" fillId="8" borderId="0" xfId="3" applyNumberFormat="1" applyFont="1" applyFill="1" applyBorder="1" applyAlignment="1">
      <alignment vertical="center"/>
    </xf>
    <xf numFmtId="0" fontId="32" fillId="8" borderId="0" xfId="3" applyFont="1" applyFill="1" applyBorder="1" applyAlignment="1">
      <alignment horizontal="left" vertical="center"/>
    </xf>
    <xf numFmtId="1" fontId="32" fillId="8" borderId="1" xfId="3" applyNumberFormat="1" applyFont="1" applyFill="1" applyBorder="1" applyAlignment="1">
      <alignment horizontal="center"/>
    </xf>
    <xf numFmtId="1" fontId="37" fillId="2" borderId="1" xfId="0" applyNumberFormat="1" applyFont="1" applyFill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2" fontId="46" fillId="8" borderId="1" xfId="3" applyNumberFormat="1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 vertical="justify"/>
    </xf>
    <xf numFmtId="0" fontId="24" fillId="17" borderId="21" xfId="3" applyFont="1" applyFill="1" applyBorder="1" applyAlignment="1">
      <alignment horizontal="center" vertical="justify"/>
    </xf>
    <xf numFmtId="165" fontId="38" fillId="8" borderId="1" xfId="7" applyFont="1" applyFill="1" applyBorder="1" applyAlignment="1">
      <alignment horizontal="center" wrapText="1"/>
    </xf>
    <xf numFmtId="1" fontId="43" fillId="0" borderId="24" xfId="0" applyNumberFormat="1" applyFont="1" applyBorder="1" applyAlignment="1">
      <alignment horizontal="center"/>
    </xf>
    <xf numFmtId="167" fontId="38" fillId="0" borderId="1" xfId="6" applyNumberFormat="1" applyFont="1" applyFill="1" applyBorder="1" applyAlignment="1">
      <alignment horizontal="center"/>
    </xf>
    <xf numFmtId="1" fontId="43" fillId="12" borderId="24" xfId="0" applyNumberFormat="1" applyFont="1" applyFill="1" applyBorder="1" applyAlignment="1">
      <alignment horizontal="center"/>
    </xf>
    <xf numFmtId="0" fontId="73" fillId="0" borderId="0" xfId="0" applyFont="1"/>
    <xf numFmtId="2" fontId="46" fillId="0" borderId="1" xfId="3" applyNumberFormat="1" applyFont="1" applyFill="1" applyBorder="1" applyAlignment="1">
      <alignment horizontal="right"/>
    </xf>
    <xf numFmtId="0" fontId="36" fillId="0" borderId="0" xfId="4" applyFont="1" applyFill="1" applyBorder="1" applyAlignment="1">
      <alignment horizontal="left"/>
    </xf>
    <xf numFmtId="0" fontId="38" fillId="0" borderId="0" xfId="4" applyFont="1" applyFill="1" applyBorder="1" applyAlignment="1">
      <alignment horizontal="center"/>
    </xf>
    <xf numFmtId="2" fontId="38" fillId="0" borderId="0" xfId="3" applyNumberFormat="1" applyFont="1" applyFill="1" applyBorder="1" applyAlignment="1">
      <alignment horizontal="center"/>
    </xf>
    <xf numFmtId="1" fontId="38" fillId="0" borderId="0" xfId="3" applyNumberFormat="1" applyFont="1" applyFill="1" applyBorder="1" applyAlignment="1">
      <alignment horizontal="center"/>
    </xf>
    <xf numFmtId="1" fontId="38" fillId="0" borderId="0" xfId="5" applyNumberFormat="1" applyFont="1" applyFill="1" applyBorder="1" applyAlignment="1" applyProtection="1">
      <alignment horizontal="center"/>
    </xf>
    <xf numFmtId="0" fontId="55" fillId="0" borderId="1" xfId="0" applyFont="1" applyFill="1" applyBorder="1" applyAlignment="1">
      <alignment horizontal="center"/>
    </xf>
    <xf numFmtId="2" fontId="44" fillId="0" borderId="1" xfId="4" applyNumberFormat="1" applyFont="1" applyBorder="1" applyAlignment="1">
      <alignment horizontal="center"/>
    </xf>
    <xf numFmtId="2" fontId="75" fillId="8" borderId="1" xfId="3" applyNumberFormat="1" applyFont="1" applyFill="1" applyBorder="1" applyAlignment="1">
      <alignment horizontal="center"/>
    </xf>
    <xf numFmtId="2" fontId="76" fillId="8" borderId="1" xfId="3" applyNumberFormat="1" applyFont="1" applyFill="1" applyBorder="1" applyAlignment="1">
      <alignment horizontal="center"/>
    </xf>
    <xf numFmtId="0" fontId="74" fillId="0" borderId="1" xfId="0" applyFont="1" applyBorder="1" applyAlignment="1">
      <alignment horizontal="center"/>
    </xf>
    <xf numFmtId="38" fontId="74" fillId="0" borderId="1" xfId="0" applyNumberFormat="1" applyFont="1" applyBorder="1" applyAlignment="1">
      <alignment horizontal="center"/>
    </xf>
    <xf numFmtId="173" fontId="38" fillId="0" borderId="1" xfId="5" applyNumberFormat="1" applyFont="1" applyFill="1" applyBorder="1" applyAlignment="1">
      <alignment horizontal="center" vertical="center"/>
    </xf>
    <xf numFmtId="173" fontId="38" fillId="0" borderId="0" xfId="5" applyNumberFormat="1" applyFont="1" applyFill="1" applyBorder="1" applyAlignment="1">
      <alignment horizontal="center" vertical="center"/>
    </xf>
    <xf numFmtId="173" fontId="43" fillId="12" borderId="0" xfId="0" applyNumberFormat="1" applyFont="1" applyFill="1" applyBorder="1"/>
    <xf numFmtId="1" fontId="38" fillId="10" borderId="1" xfId="5" applyNumberFormat="1" applyFont="1" applyFill="1" applyBorder="1" applyAlignment="1">
      <alignment horizontal="center" vertical="center"/>
    </xf>
    <xf numFmtId="38" fontId="43" fillId="12" borderId="0" xfId="0" applyNumberFormat="1" applyFont="1" applyFill="1" applyBorder="1"/>
    <xf numFmtId="0" fontId="43" fillId="10" borderId="1" xfId="0" applyFont="1" applyFill="1" applyBorder="1"/>
    <xf numFmtId="0" fontId="77" fillId="0" borderId="1" xfId="0" applyFont="1" applyBorder="1" applyAlignment="1">
      <alignment horizontal="center"/>
    </xf>
    <xf numFmtId="38" fontId="77" fillId="0" borderId="1" xfId="0" applyNumberFormat="1" applyFont="1" applyBorder="1" applyAlignment="1">
      <alignment horizontal="center"/>
    </xf>
    <xf numFmtId="0" fontId="0" fillId="10" borderId="0" xfId="0" applyFill="1"/>
    <xf numFmtId="2" fontId="37" fillId="0" borderId="1" xfId="0" applyNumberFormat="1" applyFont="1" applyFill="1" applyBorder="1" applyAlignment="1">
      <alignment horizontal="center"/>
    </xf>
    <xf numFmtId="2" fontId="43" fillId="0" borderId="1" xfId="0" applyNumberFormat="1" applyFont="1" applyFill="1" applyBorder="1" applyAlignment="1">
      <alignment horizontal="center"/>
    </xf>
    <xf numFmtId="0" fontId="38" fillId="8" borderId="12" xfId="5" applyNumberFormat="1" applyFont="1" applyFill="1" applyBorder="1" applyAlignment="1" applyProtection="1">
      <alignment horizontal="center"/>
    </xf>
    <xf numFmtId="0" fontId="37" fillId="0" borderId="4" xfId="0" applyFont="1" applyBorder="1" applyAlignment="1">
      <alignment horizontal="center"/>
    </xf>
    <xf numFmtId="0" fontId="40" fillId="2" borderId="1" xfId="0" applyFont="1" applyFill="1" applyBorder="1" applyAlignment="1">
      <alignment horizontal="left"/>
    </xf>
    <xf numFmtId="0" fontId="31" fillId="8" borderId="16" xfId="3" applyFont="1" applyFill="1" applyBorder="1" applyAlignment="1">
      <alignment horizontal="center" vertical="center"/>
    </xf>
    <xf numFmtId="166" fontId="78" fillId="2" borderId="0" xfId="3" applyNumberFormat="1" applyFont="1" applyFill="1" applyBorder="1" applyAlignment="1">
      <alignment horizontal="center" vertical="center" wrapText="1" shrinkToFit="1"/>
    </xf>
    <xf numFmtId="0" fontId="39" fillId="0" borderId="0" xfId="0" applyFont="1" applyBorder="1"/>
    <xf numFmtId="172" fontId="79" fillId="9" borderId="1" xfId="3" applyNumberFormat="1" applyFont="1" applyFill="1" applyBorder="1" applyAlignment="1">
      <alignment horizontal="center"/>
    </xf>
    <xf numFmtId="0" fontId="79" fillId="9" borderId="1" xfId="3" applyFont="1" applyFill="1" applyBorder="1" applyAlignment="1">
      <alignment horizontal="center"/>
    </xf>
    <xf numFmtId="0" fontId="79" fillId="9" borderId="1" xfId="3" applyFont="1" applyFill="1" applyBorder="1" applyAlignment="1">
      <alignment horizontal="left"/>
    </xf>
    <xf numFmtId="0" fontId="80" fillId="2" borderId="0" xfId="3" applyFont="1" applyFill="1" applyBorder="1" applyAlignment="1">
      <alignment horizontal="center" vertical="center"/>
    </xf>
    <xf numFmtId="0" fontId="40" fillId="0" borderId="0" xfId="0" applyFont="1" applyBorder="1"/>
    <xf numFmtId="9" fontId="79" fillId="9" borderId="1" xfId="3" applyNumberFormat="1" applyFont="1" applyFill="1" applyBorder="1" applyAlignment="1">
      <alignment horizontal="left"/>
    </xf>
    <xf numFmtId="166" fontId="80" fillId="2" borderId="0" xfId="3" applyNumberFormat="1" applyFont="1" applyFill="1" applyBorder="1" applyAlignment="1">
      <alignment horizontal="center"/>
    </xf>
    <xf numFmtId="0" fontId="82" fillId="2" borderId="0" xfId="3" applyFont="1" applyFill="1" applyBorder="1" applyAlignment="1">
      <alignment horizontal="center" vertical="center"/>
    </xf>
    <xf numFmtId="0" fontId="79" fillId="8" borderId="1" xfId="3" applyFont="1" applyFill="1" applyBorder="1" applyAlignment="1">
      <alignment horizontal="left" vertical="center"/>
    </xf>
    <xf numFmtId="0" fontId="40" fillId="0" borderId="1" xfId="0" applyFont="1" applyBorder="1"/>
    <xf numFmtId="2" fontId="79" fillId="8" borderId="9" xfId="3" applyNumberFormat="1" applyFont="1" applyFill="1" applyBorder="1" applyAlignment="1">
      <alignment horizontal="center"/>
    </xf>
    <xf numFmtId="2" fontId="40" fillId="0" borderId="0" xfId="0" applyNumberFormat="1" applyFont="1"/>
    <xf numFmtId="1" fontId="40" fillId="0" borderId="0" xfId="0" applyNumberFormat="1" applyFont="1"/>
    <xf numFmtId="0" fontId="79" fillId="8" borderId="5" xfId="3" applyFont="1" applyFill="1" applyBorder="1" applyAlignment="1">
      <alignment horizontal="left" vertical="center"/>
    </xf>
    <xf numFmtId="0" fontId="79" fillId="8" borderId="10" xfId="3" applyFont="1" applyFill="1" applyBorder="1" applyAlignment="1">
      <alignment horizontal="left" vertical="center"/>
    </xf>
    <xf numFmtId="2" fontId="79" fillId="8" borderId="1" xfId="3" applyNumberFormat="1" applyFont="1" applyFill="1" applyBorder="1" applyAlignment="1">
      <alignment horizontal="center"/>
    </xf>
    <xf numFmtId="169" fontId="79" fillId="8" borderId="1" xfId="3" applyNumberFormat="1" applyFont="1" applyFill="1" applyBorder="1" applyAlignment="1">
      <alignment vertical="center"/>
    </xf>
    <xf numFmtId="1" fontId="82" fillId="2" borderId="0" xfId="5" applyNumberFormat="1" applyFont="1" applyFill="1" applyBorder="1" applyAlignment="1" applyProtection="1">
      <alignment horizontal="center"/>
    </xf>
    <xf numFmtId="0" fontId="79" fillId="13" borderId="1" xfId="3" applyFont="1" applyFill="1" applyBorder="1" applyAlignment="1">
      <alignment horizontal="center"/>
    </xf>
    <xf numFmtId="0" fontId="82" fillId="2" borderId="0" xfId="3" applyFont="1" applyFill="1" applyBorder="1" applyAlignment="1">
      <alignment horizontal="center"/>
    </xf>
    <xf numFmtId="0" fontId="79" fillId="8" borderId="1" xfId="3" applyFont="1" applyFill="1" applyBorder="1" applyAlignment="1">
      <alignment horizontal="left"/>
    </xf>
    <xf numFmtId="0" fontId="79" fillId="2" borderId="1" xfId="3" applyFont="1" applyFill="1" applyBorder="1" applyAlignment="1">
      <alignment horizontal="left" vertical="center"/>
    </xf>
    <xf numFmtId="0" fontId="79" fillId="13" borderId="1" xfId="3" applyFont="1" applyFill="1" applyBorder="1" applyAlignment="1">
      <alignment horizontal="center" vertical="center"/>
    </xf>
    <xf numFmtId="0" fontId="85" fillId="2" borderId="3" xfId="3" applyFont="1" applyFill="1" applyBorder="1" applyAlignment="1">
      <alignment horizontal="center"/>
    </xf>
    <xf numFmtId="0" fontId="85" fillId="2" borderId="4" xfId="3" applyFont="1" applyFill="1" applyBorder="1" applyAlignment="1">
      <alignment horizontal="center"/>
    </xf>
    <xf numFmtId="0" fontId="85" fillId="13" borderId="3" xfId="3" applyFont="1" applyFill="1" applyBorder="1" applyAlignment="1">
      <alignment horizontal="center"/>
    </xf>
    <xf numFmtId="0" fontId="85" fillId="13" borderId="4" xfId="3" applyFont="1" applyFill="1" applyBorder="1" applyAlignment="1">
      <alignment horizontal="center"/>
    </xf>
    <xf numFmtId="0" fontId="79" fillId="12" borderId="1" xfId="3" applyFont="1" applyFill="1" applyBorder="1" applyAlignment="1">
      <alignment horizontal="left"/>
    </xf>
    <xf numFmtId="1" fontId="84" fillId="2" borderId="0" xfId="0" applyNumberFormat="1" applyFont="1" applyFill="1"/>
    <xf numFmtId="1" fontId="84" fillId="0" borderId="0" xfId="0" applyNumberFormat="1" applyFont="1"/>
    <xf numFmtId="2" fontId="79" fillId="8" borderId="1" xfId="3" applyNumberFormat="1" applyFont="1" applyFill="1" applyBorder="1" applyAlignment="1">
      <alignment horizontal="left" vertical="center"/>
    </xf>
    <xf numFmtId="0" fontId="79" fillId="8" borderId="1" xfId="3" applyFont="1" applyFill="1" applyBorder="1" applyAlignment="1">
      <alignment horizontal="left" vertical="justify"/>
    </xf>
    <xf numFmtId="166" fontId="82" fillId="2" borderId="0" xfId="5" applyNumberFormat="1" applyFont="1" applyFill="1" applyBorder="1" applyAlignment="1" applyProtection="1">
      <alignment horizontal="center"/>
    </xf>
    <xf numFmtId="0" fontId="79" fillId="0" borderId="0" xfId="0" applyFont="1" applyBorder="1"/>
    <xf numFmtId="0" fontId="79" fillId="0" borderId="0" xfId="0" applyFont="1"/>
    <xf numFmtId="166" fontId="82" fillId="2" borderId="0" xfId="3" applyNumberFormat="1" applyFont="1" applyFill="1" applyBorder="1" applyAlignment="1">
      <alignment horizontal="center"/>
    </xf>
    <xf numFmtId="0" fontId="40" fillId="0" borderId="1" xfId="0" applyFont="1" applyBorder="1" applyAlignment="1">
      <alignment horizontal="left"/>
    </xf>
    <xf numFmtId="0" fontId="40" fillId="0" borderId="0" xfId="4" applyFont="1"/>
    <xf numFmtId="0" fontId="40" fillId="0" borderId="0" xfId="0" applyFont="1" applyAlignment="1">
      <alignment horizontal="center"/>
    </xf>
    <xf numFmtId="0" fontId="40" fillId="0" borderId="3" xfId="0" applyFont="1" applyBorder="1" applyAlignment="1"/>
    <xf numFmtId="0" fontId="40" fillId="0" borderId="4" xfId="0" applyFont="1" applyBorder="1" applyAlignment="1"/>
    <xf numFmtId="1" fontId="40" fillId="0" borderId="0" xfId="0" applyNumberFormat="1" applyFont="1" applyFill="1" applyAlignment="1">
      <alignment horizontal="center"/>
    </xf>
    <xf numFmtId="0" fontId="84" fillId="0" borderId="1" xfId="0" applyFont="1" applyFill="1" applyBorder="1"/>
    <xf numFmtId="0" fontId="40" fillId="2" borderId="0" xfId="0" applyFont="1" applyFill="1" applyBorder="1"/>
    <xf numFmtId="0" fontId="40" fillId="12" borderId="1" xfId="0" applyFont="1" applyFill="1" applyBorder="1" applyAlignment="1">
      <alignment horizontal="left"/>
    </xf>
    <xf numFmtId="9" fontId="32" fillId="9" borderId="1" xfId="4" applyNumberFormat="1" applyFont="1" applyFill="1" applyBorder="1"/>
    <xf numFmtId="0" fontId="32" fillId="9" borderId="1" xfId="3" applyFont="1" applyFill="1" applyBorder="1" applyAlignment="1"/>
    <xf numFmtId="0" fontId="32" fillId="12" borderId="1" xfId="3" applyFont="1" applyFill="1" applyBorder="1" applyAlignment="1">
      <alignment horizontal="center" vertical="center"/>
    </xf>
    <xf numFmtId="0" fontId="32" fillId="8" borderId="7" xfId="3" applyFont="1" applyFill="1" applyBorder="1" applyAlignment="1">
      <alignment horizontal="center"/>
    </xf>
    <xf numFmtId="0" fontId="32" fillId="12" borderId="1" xfId="3" applyFont="1" applyFill="1" applyBorder="1" applyAlignment="1">
      <alignment horizontal="center"/>
    </xf>
    <xf numFmtId="0" fontId="32" fillId="2" borderId="1" xfId="3" applyFont="1" applyFill="1" applyBorder="1" applyAlignment="1">
      <alignment horizontal="center"/>
    </xf>
    <xf numFmtId="0" fontId="87" fillId="8" borderId="1" xfId="3" applyFont="1" applyFill="1" applyBorder="1" applyAlignment="1">
      <alignment horizontal="center"/>
    </xf>
    <xf numFmtId="0" fontId="32" fillId="8" borderId="1" xfId="3" applyFont="1" applyFill="1" applyBorder="1" applyAlignment="1">
      <alignment horizontal="center" vertical="center"/>
    </xf>
    <xf numFmtId="164" fontId="42" fillId="8" borderId="1" xfId="8" applyFont="1" applyFill="1" applyBorder="1" applyAlignment="1">
      <alignment horizontal="center"/>
    </xf>
    <xf numFmtId="0" fontId="42" fillId="8" borderId="1" xfId="3" applyFont="1" applyFill="1" applyBorder="1" applyAlignment="1">
      <alignment horizontal="center"/>
    </xf>
    <xf numFmtId="0" fontId="87" fillId="2" borderId="1" xfId="3" applyFont="1" applyFill="1" applyBorder="1" applyAlignment="1">
      <alignment horizontal="center"/>
    </xf>
    <xf numFmtId="0" fontId="88" fillId="17" borderId="3" xfId="3" applyFont="1" applyFill="1" applyBorder="1" applyAlignment="1">
      <alignment vertical="justify"/>
    </xf>
    <xf numFmtId="1" fontId="32" fillId="8" borderId="1" xfId="3" applyNumberFormat="1" applyFont="1" applyFill="1" applyBorder="1" applyAlignment="1">
      <alignment horizontal="center" vertical="center"/>
    </xf>
    <xf numFmtId="0" fontId="32" fillId="17" borderId="1" xfId="3" applyFont="1" applyFill="1" applyBorder="1" applyAlignment="1">
      <alignment horizontal="center"/>
    </xf>
    <xf numFmtId="0" fontId="37" fillId="0" borderId="0" xfId="0" applyFont="1" applyBorder="1"/>
    <xf numFmtId="0" fontId="32" fillId="8" borderId="6" xfId="3" applyFont="1" applyFill="1" applyBorder="1" applyAlignment="1">
      <alignment horizontal="center"/>
    </xf>
    <xf numFmtId="0" fontId="32" fillId="0" borderId="1" xfId="3" applyFont="1" applyFill="1" applyBorder="1" applyAlignment="1">
      <alignment horizontal="center"/>
    </xf>
    <xf numFmtId="0" fontId="32" fillId="0" borderId="1" xfId="4" applyFont="1" applyFill="1" applyBorder="1" applyAlignment="1">
      <alignment horizontal="center"/>
    </xf>
    <xf numFmtId="0" fontId="32" fillId="0" borderId="1" xfId="3" applyFont="1" applyFill="1" applyBorder="1" applyAlignment="1">
      <alignment horizontal="center" vertical="center"/>
    </xf>
    <xf numFmtId="0" fontId="32" fillId="0" borderId="0" xfId="4" applyFont="1" applyFill="1" applyBorder="1" applyAlignment="1">
      <alignment horizontal="center"/>
    </xf>
    <xf numFmtId="0" fontId="32" fillId="0" borderId="1" xfId="4" applyFont="1" applyBorder="1" applyAlignment="1">
      <alignment horizontal="center"/>
    </xf>
    <xf numFmtId="0" fontId="37" fillId="0" borderId="1" xfId="0" applyFont="1" applyFill="1" applyBorder="1"/>
    <xf numFmtId="0" fontId="32" fillId="0" borderId="1" xfId="4" applyFont="1" applyFill="1" applyBorder="1"/>
    <xf numFmtId="0" fontId="37" fillId="0" borderId="4" xfId="0" applyFont="1" applyFill="1" applyBorder="1"/>
    <xf numFmtId="0" fontId="37" fillId="0" borderId="4" xfId="0" applyFont="1" applyFill="1" applyBorder="1" applyAlignment="1">
      <alignment horizontal="center"/>
    </xf>
    <xf numFmtId="0" fontId="37" fillId="12" borderId="1" xfId="0" applyFont="1" applyFill="1" applyBorder="1"/>
    <xf numFmtId="0" fontId="90" fillId="9" borderId="1" xfId="3" applyFont="1" applyFill="1" applyBorder="1" applyAlignment="1">
      <alignment horizontal="center"/>
    </xf>
    <xf numFmtId="38" fontId="90" fillId="9" borderId="1" xfId="3" applyNumberFormat="1" applyFont="1" applyFill="1" applyBorder="1" applyAlignment="1">
      <alignment horizontal="center"/>
    </xf>
    <xf numFmtId="1" fontId="90" fillId="9" borderId="1" xfId="3" applyNumberFormat="1" applyFont="1" applyFill="1" applyBorder="1" applyAlignment="1">
      <alignment horizontal="center"/>
    </xf>
    <xf numFmtId="1" fontId="90" fillId="9" borderId="12" xfId="3" applyNumberFormat="1" applyFont="1" applyFill="1" applyBorder="1" applyAlignment="1">
      <alignment horizontal="center"/>
    </xf>
    <xf numFmtId="2" fontId="90" fillId="9" borderId="1" xfId="3" applyNumberFormat="1" applyFont="1" applyFill="1" applyBorder="1" applyAlignment="1">
      <alignment horizontal="center"/>
    </xf>
    <xf numFmtId="9" fontId="90" fillId="9" borderId="1" xfId="3" applyNumberFormat="1" applyFont="1" applyFill="1" applyBorder="1" applyAlignment="1">
      <alignment horizontal="center"/>
    </xf>
    <xf numFmtId="0" fontId="89" fillId="0" borderId="1" xfId="0" applyFont="1" applyFill="1" applyBorder="1" applyAlignment="1">
      <alignment horizontal="center"/>
    </xf>
    <xf numFmtId="1" fontId="90" fillId="8" borderId="1" xfId="3" applyNumberFormat="1" applyFont="1" applyFill="1" applyBorder="1" applyAlignment="1">
      <alignment horizontal="center"/>
    </xf>
    <xf numFmtId="0" fontId="90" fillId="12" borderId="1" xfId="3" applyFont="1" applyFill="1" applyBorder="1" applyAlignment="1">
      <alignment horizontal="center"/>
    </xf>
    <xf numFmtId="38" fontId="90" fillId="12" borderId="1" xfId="3" applyNumberFormat="1" applyFont="1" applyFill="1" applyBorder="1" applyAlignment="1">
      <alignment horizontal="center"/>
    </xf>
    <xf numFmtId="1" fontId="90" fillId="12" borderId="1" xfId="3" applyNumberFormat="1" applyFont="1" applyFill="1" applyBorder="1" applyAlignment="1">
      <alignment horizontal="center"/>
    </xf>
    <xf numFmtId="1" fontId="90" fillId="12" borderId="12" xfId="3" applyNumberFormat="1" applyFont="1" applyFill="1" applyBorder="1" applyAlignment="1">
      <alignment horizontal="center"/>
    </xf>
    <xf numFmtId="0" fontId="89" fillId="0" borderId="1" xfId="0" applyFont="1" applyBorder="1" applyAlignment="1">
      <alignment horizontal="center"/>
    </xf>
    <xf numFmtId="1" fontId="90" fillId="0" borderId="1" xfId="5" applyNumberFormat="1" applyFont="1" applyFill="1" applyBorder="1" applyAlignment="1">
      <alignment horizontal="center"/>
    </xf>
    <xf numFmtId="1" fontId="90" fillId="2" borderId="1" xfId="3" applyNumberFormat="1" applyFont="1" applyFill="1" applyBorder="1" applyAlignment="1">
      <alignment horizontal="center"/>
    </xf>
    <xf numFmtId="1" fontId="90" fillId="8" borderId="12" xfId="5" applyNumberFormat="1" applyFont="1" applyFill="1" applyBorder="1" applyAlignment="1" applyProtection="1">
      <alignment horizontal="center"/>
    </xf>
    <xf numFmtId="1" fontId="90" fillId="2" borderId="7" xfId="3" applyNumberFormat="1" applyFont="1" applyFill="1" applyBorder="1" applyAlignment="1">
      <alignment horizontal="center"/>
    </xf>
    <xf numFmtId="1" fontId="90" fillId="0" borderId="1" xfId="4" applyNumberFormat="1" applyFont="1" applyBorder="1" applyAlignment="1">
      <alignment horizontal="center"/>
    </xf>
    <xf numFmtId="1" fontId="90" fillId="2" borderId="1" xfId="5" applyNumberFormat="1" applyFont="1" applyFill="1" applyBorder="1" applyAlignment="1">
      <alignment horizontal="center"/>
    </xf>
    <xf numFmtId="1" fontId="89" fillId="12" borderId="1" xfId="3" applyNumberFormat="1" applyFont="1" applyFill="1" applyBorder="1" applyAlignment="1">
      <alignment horizontal="center"/>
    </xf>
    <xf numFmtId="1" fontId="91" fillId="2" borderId="1" xfId="4" applyNumberFormat="1" applyFont="1" applyFill="1" applyBorder="1" applyAlignment="1">
      <alignment horizontal="center"/>
    </xf>
    <xf numFmtId="1" fontId="92" fillId="2" borderId="1" xfId="5" applyNumberFormat="1" applyFont="1" applyFill="1" applyBorder="1" applyAlignment="1">
      <alignment horizontal="center"/>
    </xf>
    <xf numFmtId="1" fontId="90" fillId="2" borderId="1" xfId="4" applyNumberFormat="1" applyFont="1" applyFill="1" applyBorder="1" applyAlignment="1">
      <alignment horizontal="center"/>
    </xf>
    <xf numFmtId="1" fontId="90" fillId="2" borderId="12" xfId="5" applyNumberFormat="1" applyFont="1" applyFill="1" applyBorder="1" applyAlignment="1" applyProtection="1">
      <alignment horizontal="center"/>
    </xf>
    <xf numFmtId="1" fontId="91" fillId="0" borderId="1" xfId="4" applyNumberFormat="1" applyFont="1" applyBorder="1" applyAlignment="1">
      <alignment horizontal="center"/>
    </xf>
    <xf numFmtId="1" fontId="90" fillId="8" borderId="1" xfId="5" applyNumberFormat="1" applyFont="1" applyFill="1" applyBorder="1" applyAlignment="1">
      <alignment horizontal="center"/>
    </xf>
    <xf numFmtId="1" fontId="93" fillId="8" borderId="1" xfId="3" applyNumberFormat="1" applyFont="1" applyFill="1" applyBorder="1" applyAlignment="1">
      <alignment horizontal="center"/>
    </xf>
    <xf numFmtId="1" fontId="93" fillId="8" borderId="1" xfId="5" applyNumberFormat="1" applyFont="1" applyFill="1" applyBorder="1" applyAlignment="1">
      <alignment horizontal="center"/>
    </xf>
    <xf numFmtId="1" fontId="90" fillId="2" borderId="1" xfId="5" applyNumberFormat="1" applyFont="1" applyFill="1" applyBorder="1" applyAlignment="1" applyProtection="1">
      <alignment horizontal="center"/>
    </xf>
    <xf numFmtId="1" fontId="93" fillId="2" borderId="1" xfId="4" applyNumberFormat="1" applyFont="1" applyFill="1" applyBorder="1" applyAlignment="1">
      <alignment horizontal="center"/>
    </xf>
    <xf numFmtId="1" fontId="92" fillId="12" borderId="1" xfId="3" applyNumberFormat="1" applyFont="1" applyFill="1" applyBorder="1" applyAlignment="1">
      <alignment horizontal="center"/>
    </xf>
    <xf numFmtId="1" fontId="94" fillId="8" borderId="1" xfId="3" applyNumberFormat="1" applyFont="1" applyFill="1" applyBorder="1" applyAlignment="1">
      <alignment horizontal="center"/>
    </xf>
    <xf numFmtId="1" fontId="89" fillId="8" borderId="1" xfId="3" applyNumberFormat="1" applyFont="1" applyFill="1" applyBorder="1" applyAlignment="1">
      <alignment horizontal="center"/>
    </xf>
    <xf numFmtId="1" fontId="92" fillId="8" borderId="1" xfId="3" applyNumberFormat="1" applyFont="1" applyFill="1" applyBorder="1" applyAlignment="1">
      <alignment horizontal="center"/>
    </xf>
    <xf numFmtId="1" fontId="89" fillId="0" borderId="1" xfId="0" applyNumberFormat="1" applyFont="1" applyBorder="1" applyAlignment="1">
      <alignment horizontal="center"/>
    </xf>
    <xf numFmtId="2" fontId="90" fillId="8" borderId="1" xfId="9" applyNumberFormat="1" applyFont="1" applyFill="1" applyBorder="1" applyAlignment="1">
      <alignment horizontal="center"/>
    </xf>
    <xf numFmtId="1" fontId="89" fillId="8" borderId="1" xfId="5" applyNumberFormat="1" applyFont="1" applyFill="1" applyBorder="1" applyAlignment="1" applyProtection="1">
      <alignment horizontal="center"/>
    </xf>
    <xf numFmtId="1" fontId="92" fillId="8" borderId="1" xfId="5" applyNumberFormat="1" applyFont="1" applyFill="1" applyBorder="1" applyAlignment="1" applyProtection="1">
      <alignment horizontal="center"/>
    </xf>
    <xf numFmtId="1" fontId="93" fillId="2" borderId="1" xfId="3" applyNumberFormat="1" applyFont="1" applyFill="1" applyBorder="1" applyAlignment="1">
      <alignment horizontal="center"/>
    </xf>
    <xf numFmtId="43" fontId="93" fillId="8" borderId="1" xfId="19" applyFont="1" applyFill="1" applyBorder="1" applyAlignment="1" applyProtection="1">
      <alignment horizontal="center"/>
    </xf>
    <xf numFmtId="1" fontId="90" fillId="8" borderId="1" xfId="19" applyNumberFormat="1" applyFont="1" applyFill="1" applyBorder="1" applyAlignment="1">
      <alignment horizontal="center"/>
    </xf>
    <xf numFmtId="43" fontId="93" fillId="2" borderId="1" xfId="19" applyFont="1" applyFill="1" applyBorder="1" applyAlignment="1">
      <alignment horizontal="center"/>
    </xf>
    <xf numFmtId="1" fontId="90" fillId="8" borderId="12" xfId="19" applyNumberFormat="1" applyFont="1" applyFill="1" applyBorder="1" applyAlignment="1" applyProtection="1">
      <alignment horizontal="center"/>
    </xf>
    <xf numFmtId="1" fontId="95" fillId="17" borderId="3" xfId="3" applyNumberFormat="1" applyFont="1" applyFill="1" applyBorder="1" applyAlignment="1">
      <alignment horizontal="center"/>
    </xf>
    <xf numFmtId="1" fontId="95" fillId="17" borderId="21" xfId="3" applyNumberFormat="1" applyFont="1" applyFill="1" applyBorder="1" applyAlignment="1">
      <alignment horizontal="center"/>
    </xf>
    <xf numFmtId="1" fontId="90" fillId="17" borderId="1" xfId="3" applyNumberFormat="1" applyFont="1" applyFill="1" applyBorder="1" applyAlignment="1">
      <alignment horizontal="center"/>
    </xf>
    <xf numFmtId="1" fontId="89" fillId="17" borderId="1" xfId="3" applyNumberFormat="1" applyFont="1" applyFill="1" applyBorder="1" applyAlignment="1">
      <alignment horizontal="center"/>
    </xf>
    <xf numFmtId="1" fontId="90" fillId="17" borderId="12" xfId="3" applyNumberFormat="1" applyFont="1" applyFill="1" applyBorder="1" applyAlignment="1">
      <alignment horizontal="center"/>
    </xf>
    <xf numFmtId="0" fontId="91" fillId="0" borderId="1" xfId="4" applyFont="1" applyBorder="1" applyAlignment="1">
      <alignment horizontal="center"/>
    </xf>
    <xf numFmtId="38" fontId="90" fillId="2" borderId="1" xfId="5" applyNumberFormat="1" applyFont="1" applyFill="1" applyBorder="1" applyAlignment="1">
      <alignment horizontal="center"/>
    </xf>
    <xf numFmtId="2" fontId="90" fillId="8" borderId="1" xfId="3" applyNumberFormat="1" applyFont="1" applyFill="1" applyBorder="1" applyAlignment="1">
      <alignment horizontal="center"/>
    </xf>
    <xf numFmtId="0" fontId="90" fillId="2" borderId="1" xfId="3" applyFont="1" applyFill="1" applyBorder="1" applyAlignment="1">
      <alignment horizontal="center"/>
    </xf>
    <xf numFmtId="38" fontId="89" fillId="2" borderId="1" xfId="3" applyNumberFormat="1" applyFont="1" applyFill="1" applyBorder="1" applyAlignment="1">
      <alignment horizontal="center"/>
    </xf>
    <xf numFmtId="165" fontId="90" fillId="8" borderId="1" xfId="7" applyFont="1" applyFill="1" applyBorder="1" applyAlignment="1">
      <alignment horizontal="center" wrapText="1"/>
    </xf>
    <xf numFmtId="0" fontId="89" fillId="0" borderId="0" xfId="0" applyFont="1" applyBorder="1" applyAlignment="1">
      <alignment horizontal="center"/>
    </xf>
    <xf numFmtId="38" fontId="89" fillId="0" borderId="0" xfId="0" applyNumberFormat="1" applyFont="1" applyBorder="1" applyAlignment="1">
      <alignment horizontal="center"/>
    </xf>
    <xf numFmtId="1" fontId="89" fillId="0" borderId="0" xfId="0" applyNumberFormat="1" applyFont="1" applyBorder="1" applyAlignment="1">
      <alignment horizontal="center"/>
    </xf>
    <xf numFmtId="1" fontId="89" fillId="0" borderId="24" xfId="0" applyNumberFormat="1" applyFont="1" applyBorder="1" applyAlignment="1">
      <alignment horizontal="center"/>
    </xf>
    <xf numFmtId="0" fontId="90" fillId="17" borderId="1" xfId="3" applyFont="1" applyFill="1" applyBorder="1" applyAlignment="1">
      <alignment horizontal="center"/>
    </xf>
    <xf numFmtId="38" fontId="89" fillId="17" borderId="1" xfId="3" applyNumberFormat="1" applyFont="1" applyFill="1" applyBorder="1" applyAlignment="1">
      <alignment horizontal="center"/>
    </xf>
    <xf numFmtId="0" fontId="89" fillId="17" borderId="1" xfId="3" applyFont="1" applyFill="1" applyBorder="1" applyAlignment="1">
      <alignment horizontal="center"/>
    </xf>
    <xf numFmtId="1" fontId="89" fillId="17" borderId="12" xfId="3" applyNumberFormat="1" applyFont="1" applyFill="1" applyBorder="1" applyAlignment="1">
      <alignment horizontal="center"/>
    </xf>
    <xf numFmtId="0" fontId="90" fillId="2" borderId="1" xfId="4" applyFont="1" applyFill="1" applyBorder="1" applyAlignment="1">
      <alignment horizontal="center"/>
    </xf>
    <xf numFmtId="0" fontId="90" fillId="0" borderId="1" xfId="4" applyFont="1" applyBorder="1" applyAlignment="1">
      <alignment horizontal="center"/>
    </xf>
    <xf numFmtId="38" fontId="90" fillId="12" borderId="1" xfId="5" applyNumberFormat="1" applyFont="1" applyFill="1" applyBorder="1" applyAlignment="1">
      <alignment horizontal="center"/>
    </xf>
    <xf numFmtId="1" fontId="90" fillId="12" borderId="1" xfId="5" applyNumberFormat="1" applyFont="1" applyFill="1" applyBorder="1" applyAlignment="1">
      <alignment horizontal="center"/>
    </xf>
    <xf numFmtId="1" fontId="90" fillId="12" borderId="12" xfId="5" applyNumberFormat="1" applyFont="1" applyFill="1" applyBorder="1" applyAlignment="1">
      <alignment horizontal="center"/>
    </xf>
    <xf numFmtId="0" fontId="91" fillId="0" borderId="1" xfId="4" applyFont="1" applyFill="1" applyBorder="1" applyAlignment="1">
      <alignment horizontal="center"/>
    </xf>
    <xf numFmtId="38" fontId="90" fillId="0" borderId="1" xfId="5" applyNumberFormat="1" applyFont="1" applyFill="1" applyBorder="1" applyAlignment="1">
      <alignment horizontal="center"/>
    </xf>
    <xf numFmtId="38" fontId="89" fillId="0" borderId="1" xfId="0" applyNumberFormat="1" applyFont="1" applyBorder="1" applyAlignment="1">
      <alignment horizontal="center"/>
    </xf>
    <xf numFmtId="38" fontId="89" fillId="12" borderId="1" xfId="3" applyNumberFormat="1" applyFont="1" applyFill="1" applyBorder="1" applyAlignment="1">
      <alignment horizontal="center"/>
    </xf>
    <xf numFmtId="0" fontId="89" fillId="12" borderId="1" xfId="3" applyFont="1" applyFill="1" applyBorder="1" applyAlignment="1">
      <alignment horizontal="center"/>
    </xf>
    <xf numFmtId="1" fontId="89" fillId="12" borderId="12" xfId="3" applyNumberFormat="1" applyFont="1" applyFill="1" applyBorder="1" applyAlignment="1">
      <alignment horizontal="center"/>
    </xf>
    <xf numFmtId="0" fontId="90" fillId="8" borderId="1" xfId="3" applyFont="1" applyFill="1" applyBorder="1" applyAlignment="1">
      <alignment horizontal="center"/>
    </xf>
    <xf numFmtId="38" fontId="90" fillId="8" borderId="1" xfId="3" applyNumberFormat="1" applyFont="1" applyFill="1" applyBorder="1" applyAlignment="1">
      <alignment horizontal="center"/>
    </xf>
    <xf numFmtId="38" fontId="90" fillId="8" borderId="1" xfId="6" applyNumberFormat="1" applyFont="1" applyFill="1" applyBorder="1" applyAlignment="1">
      <alignment horizontal="center"/>
    </xf>
    <xf numFmtId="167" fontId="90" fillId="0" borderId="1" xfId="6" applyNumberFormat="1" applyFont="1" applyFill="1" applyBorder="1" applyAlignment="1">
      <alignment horizontal="center"/>
    </xf>
    <xf numFmtId="2" fontId="90" fillId="8" borderId="6" xfId="3" applyNumberFormat="1" applyFont="1" applyFill="1" applyBorder="1" applyAlignment="1">
      <alignment horizontal="center"/>
    </xf>
    <xf numFmtId="38" fontId="90" fillId="8" borderId="6" xfId="6" applyNumberFormat="1" applyFont="1" applyFill="1" applyBorder="1" applyAlignment="1">
      <alignment horizontal="center"/>
    </xf>
    <xf numFmtId="1" fontId="90" fillId="8" borderId="17" xfId="5" applyNumberFormat="1" applyFont="1" applyFill="1" applyBorder="1" applyAlignment="1" applyProtection="1">
      <alignment horizontal="center"/>
    </xf>
    <xf numFmtId="0" fontId="89" fillId="0" borderId="0" xfId="0" applyFont="1" applyAlignment="1">
      <alignment horizontal="center"/>
    </xf>
    <xf numFmtId="38" fontId="89" fillId="0" borderId="0" xfId="0" applyNumberFormat="1" applyFont="1" applyAlignment="1">
      <alignment horizontal="center"/>
    </xf>
    <xf numFmtId="1" fontId="89" fillId="0" borderId="0" xfId="0" applyNumberFormat="1" applyFont="1" applyAlignment="1">
      <alignment horizontal="center"/>
    </xf>
    <xf numFmtId="0" fontId="90" fillId="0" borderId="1" xfId="0" applyFont="1" applyBorder="1" applyAlignment="1">
      <alignment horizontal="center"/>
    </xf>
    <xf numFmtId="1" fontId="90" fillId="8" borderId="1" xfId="5" applyNumberFormat="1" applyFont="1" applyFill="1" applyBorder="1" applyAlignment="1" applyProtection="1">
      <alignment horizontal="center"/>
    </xf>
    <xf numFmtId="0" fontId="90" fillId="0" borderId="1" xfId="0" applyFont="1" applyFill="1" applyBorder="1" applyAlignment="1">
      <alignment horizontal="center"/>
    </xf>
    <xf numFmtId="0" fontId="91" fillId="2" borderId="1" xfId="4" applyFont="1" applyFill="1" applyBorder="1" applyAlignment="1">
      <alignment horizontal="center" wrapText="1"/>
    </xf>
    <xf numFmtId="0" fontId="91" fillId="0" borderId="1" xfId="4" applyFont="1" applyFill="1" applyBorder="1" applyAlignment="1">
      <alignment horizontal="center" wrapText="1"/>
    </xf>
    <xf numFmtId="0" fontId="91" fillId="0" borderId="1" xfId="4" applyFont="1" applyBorder="1" applyAlignment="1">
      <alignment horizontal="center" wrapText="1"/>
    </xf>
    <xf numFmtId="1" fontId="90" fillId="0" borderId="1" xfId="3" applyNumberFormat="1" applyFont="1" applyFill="1" applyBorder="1" applyAlignment="1">
      <alignment horizontal="center"/>
    </xf>
    <xf numFmtId="2" fontId="90" fillId="0" borderId="1" xfId="3" applyNumberFormat="1" applyFont="1" applyFill="1" applyBorder="1" applyAlignment="1">
      <alignment horizontal="center"/>
    </xf>
    <xf numFmtId="1" fontId="90" fillId="0" borderId="1" xfId="5" applyNumberFormat="1" applyFont="1" applyFill="1" applyBorder="1" applyAlignment="1" applyProtection="1">
      <alignment horizontal="center"/>
    </xf>
    <xf numFmtId="2" fontId="92" fillId="0" borderId="1" xfId="3" applyNumberFormat="1" applyFont="1" applyFill="1" applyBorder="1" applyAlignment="1">
      <alignment horizontal="center"/>
    </xf>
    <xf numFmtId="0" fontId="90" fillId="0" borderId="1" xfId="3" applyFont="1" applyFill="1" applyBorder="1" applyAlignment="1">
      <alignment horizontal="center"/>
    </xf>
    <xf numFmtId="0" fontId="90" fillId="0" borderId="0" xfId="3" applyFont="1" applyFill="1" applyBorder="1" applyAlignment="1">
      <alignment horizontal="center"/>
    </xf>
    <xf numFmtId="38" fontId="90" fillId="0" borderId="0" xfId="5" applyNumberFormat="1" applyFont="1" applyFill="1" applyBorder="1" applyAlignment="1">
      <alignment horizontal="center"/>
    </xf>
    <xf numFmtId="1" fontId="90" fillId="0" borderId="0" xfId="3" applyNumberFormat="1" applyFont="1" applyFill="1" applyBorder="1" applyAlignment="1">
      <alignment horizontal="center"/>
    </xf>
    <xf numFmtId="1" fontId="90" fillId="0" borderId="2" xfId="5" applyNumberFormat="1" applyFont="1" applyFill="1" applyBorder="1" applyAlignment="1" applyProtection="1">
      <alignment horizontal="center"/>
    </xf>
    <xf numFmtId="1" fontId="89" fillId="0" borderId="1" xfId="0" applyNumberFormat="1" applyFont="1" applyFill="1" applyBorder="1" applyAlignment="1">
      <alignment horizontal="center"/>
    </xf>
    <xf numFmtId="0" fontId="89" fillId="0" borderId="1" xfId="3" applyFont="1" applyFill="1" applyBorder="1" applyAlignment="1">
      <alignment horizontal="center"/>
    </xf>
    <xf numFmtId="38" fontId="90" fillId="0" borderId="1" xfId="3" applyNumberFormat="1" applyFont="1" applyFill="1" applyBorder="1" applyAlignment="1">
      <alignment horizontal="center"/>
    </xf>
    <xf numFmtId="1" fontId="90" fillId="0" borderId="12" xfId="5" applyNumberFormat="1" applyFont="1" applyFill="1" applyBorder="1" applyAlignment="1" applyProtection="1">
      <alignment horizontal="center"/>
    </xf>
    <xf numFmtId="1" fontId="89" fillId="0" borderId="12" xfId="0" applyNumberFormat="1" applyFont="1" applyBorder="1" applyAlignment="1">
      <alignment horizontal="center"/>
    </xf>
    <xf numFmtId="38" fontId="89" fillId="0" borderId="1" xfId="0" applyNumberFormat="1" applyFont="1" applyFill="1" applyBorder="1" applyAlignment="1">
      <alignment horizontal="center"/>
    </xf>
    <xf numFmtId="1" fontId="89" fillId="0" borderId="12" xfId="0" applyNumberFormat="1" applyFont="1" applyFill="1" applyBorder="1" applyAlignment="1">
      <alignment horizontal="center"/>
    </xf>
    <xf numFmtId="0" fontId="89" fillId="12" borderId="1" xfId="0" applyFont="1" applyFill="1" applyBorder="1" applyAlignment="1">
      <alignment horizontal="center"/>
    </xf>
    <xf numFmtId="38" fontId="89" fillId="12" borderId="1" xfId="0" applyNumberFormat="1" applyFont="1" applyFill="1" applyBorder="1" applyAlignment="1">
      <alignment horizontal="center"/>
    </xf>
    <xf numFmtId="1" fontId="89" fillId="12" borderId="1" xfId="0" applyNumberFormat="1" applyFont="1" applyFill="1" applyBorder="1" applyAlignment="1">
      <alignment horizontal="center"/>
    </xf>
    <xf numFmtId="2" fontId="96" fillId="2" borderId="1" xfId="3" applyNumberFormat="1" applyFont="1" applyFill="1" applyBorder="1" applyAlignment="1">
      <alignment horizontal="center"/>
    </xf>
    <xf numFmtId="38" fontId="96" fillId="8" borderId="1" xfId="3" applyNumberFormat="1" applyFont="1" applyFill="1" applyBorder="1" applyAlignment="1">
      <alignment horizontal="center" wrapText="1" shrinkToFit="1"/>
    </xf>
    <xf numFmtId="1" fontId="96" fillId="8" borderId="1" xfId="3" applyNumberFormat="1" applyFont="1" applyFill="1" applyBorder="1" applyAlignment="1">
      <alignment horizontal="center"/>
    </xf>
    <xf numFmtId="1" fontId="96" fillId="8" borderId="12" xfId="3" applyNumberFormat="1" applyFont="1" applyFill="1" applyBorder="1" applyAlignment="1">
      <alignment horizontal="center" wrapText="1" shrinkToFit="1"/>
    </xf>
    <xf numFmtId="2" fontId="44" fillId="0" borderId="1" xfId="4" applyNumberFormat="1" applyFont="1" applyFill="1" applyBorder="1" applyAlignment="1">
      <alignment horizontal="center" wrapText="1"/>
    </xf>
    <xf numFmtId="2" fontId="43" fillId="0" borderId="1" xfId="0" applyNumberFormat="1" applyFont="1" applyBorder="1" applyAlignment="1">
      <alignment horizontal="center"/>
    </xf>
    <xf numFmtId="2" fontId="44" fillId="0" borderId="1" xfId="4" applyNumberFormat="1" applyFont="1" applyFill="1" applyBorder="1" applyAlignment="1">
      <alignment horizontal="center"/>
    </xf>
    <xf numFmtId="1" fontId="91" fillId="0" borderId="1" xfId="4" applyNumberFormat="1" applyFont="1" applyFill="1" applyBorder="1" applyAlignment="1">
      <alignment horizontal="center"/>
    </xf>
    <xf numFmtId="1" fontId="90" fillId="0" borderId="1" xfId="4" applyNumberFormat="1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 vertical="center"/>
    </xf>
    <xf numFmtId="2" fontId="38" fillId="0" borderId="1" xfId="3" applyNumberFormat="1" applyFont="1" applyFill="1" applyBorder="1" applyAlignment="1">
      <alignment horizontal="center" vertical="center"/>
    </xf>
    <xf numFmtId="1" fontId="46" fillId="0" borderId="1" xfId="5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7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44" fillId="2" borderId="1" xfId="4" applyNumberFormat="1" applyFont="1" applyFill="1" applyBorder="1" applyAlignment="1">
      <alignment horizontal="center" wrapText="1"/>
    </xf>
    <xf numFmtId="16" fontId="4" fillId="2" borderId="0" xfId="1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center" vertical="center" wrapText="1"/>
    </xf>
    <xf numFmtId="0" fontId="3" fillId="0" borderId="11" xfId="1" applyFont="1" applyFill="1" applyBorder="1" applyAlignment="1">
      <alignment horizontal="center" vertical="center" wrapText="1"/>
    </xf>
    <xf numFmtId="0" fontId="3" fillId="0" borderId="15" xfId="1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11" fillId="13" borderId="5" xfId="0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65" fillId="0" borderId="14" xfId="1" applyFont="1" applyFill="1" applyBorder="1" applyAlignment="1">
      <alignment horizontal="center" vertical="center" wrapText="1"/>
    </xf>
    <xf numFmtId="0" fontId="65" fillId="0" borderId="11" xfId="1" applyFont="1" applyFill="1" applyBorder="1" applyAlignment="1">
      <alignment horizontal="center" vertical="center" wrapText="1"/>
    </xf>
    <xf numFmtId="0" fontId="65" fillId="0" borderId="15" xfId="1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/>
    </xf>
    <xf numFmtId="0" fontId="11" fillId="13" borderId="3" xfId="0" applyFont="1" applyFill="1" applyBorder="1" applyAlignment="1">
      <alignment horizontal="center"/>
    </xf>
    <xf numFmtId="0" fontId="83" fillId="0" borderId="2" xfId="4" applyFont="1" applyBorder="1" applyAlignment="1">
      <alignment horizontal="left"/>
    </xf>
    <xf numFmtId="0" fontId="83" fillId="0" borderId="3" xfId="4" applyFont="1" applyBorder="1" applyAlignment="1">
      <alignment horizontal="left"/>
    </xf>
    <xf numFmtId="0" fontId="83" fillId="0" borderId="4" xfId="4" applyFont="1" applyBorder="1" applyAlignment="1">
      <alignment horizontal="left"/>
    </xf>
    <xf numFmtId="0" fontId="83" fillId="0" borderId="2" xfId="4" applyFont="1" applyFill="1" applyBorder="1" applyAlignment="1">
      <alignment horizontal="center"/>
    </xf>
    <xf numFmtId="0" fontId="83" fillId="0" borderId="3" xfId="4" applyFont="1" applyFill="1" applyBorder="1" applyAlignment="1">
      <alignment horizontal="center"/>
    </xf>
    <xf numFmtId="0" fontId="83" fillId="0" borderId="4" xfId="4" applyFont="1" applyFill="1" applyBorder="1" applyAlignment="1">
      <alignment horizontal="center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40" fillId="2" borderId="13" xfId="0" applyFont="1" applyFill="1" applyBorder="1" applyAlignment="1">
      <alignment horizontal="left"/>
    </xf>
    <xf numFmtId="0" fontId="40" fillId="2" borderId="4" xfId="0" applyFont="1" applyFill="1" applyBorder="1" applyAlignment="1">
      <alignment horizontal="left"/>
    </xf>
    <xf numFmtId="0" fontId="41" fillId="2" borderId="13" xfId="0" applyFont="1" applyFill="1" applyBorder="1" applyAlignment="1">
      <alignment horizontal="left"/>
    </xf>
    <xf numFmtId="0" fontId="41" fillId="2" borderId="4" xfId="0" applyFont="1" applyFill="1" applyBorder="1" applyAlignment="1">
      <alignment horizontal="left"/>
    </xf>
    <xf numFmtId="0" fontId="40" fillId="12" borderId="13" xfId="0" applyFont="1" applyFill="1" applyBorder="1" applyAlignment="1">
      <alignment horizontal="left"/>
    </xf>
    <xf numFmtId="0" fontId="40" fillId="12" borderId="4" xfId="0" applyFont="1" applyFill="1" applyBorder="1" applyAlignment="1">
      <alignment horizontal="left"/>
    </xf>
    <xf numFmtId="0" fontId="79" fillId="2" borderId="20" xfId="0" applyFont="1" applyFill="1" applyBorder="1" applyAlignment="1">
      <alignment horizontal="center"/>
    </xf>
    <xf numFmtId="0" fontId="79" fillId="2" borderId="5" xfId="0" applyFont="1" applyFill="1" applyBorder="1" applyAlignment="1">
      <alignment horizontal="center"/>
    </xf>
    <xf numFmtId="0" fontId="40" fillId="12" borderId="1" xfId="0" applyFont="1" applyFill="1" applyBorder="1" applyAlignment="1">
      <alignment horizontal="center"/>
    </xf>
    <xf numFmtId="0" fontId="40" fillId="0" borderId="1" xfId="0" applyFont="1" applyBorder="1" applyAlignment="1">
      <alignment horizontal="left"/>
    </xf>
    <xf numFmtId="0" fontId="79" fillId="12" borderId="23" xfId="3" applyFont="1" applyFill="1" applyBorder="1" applyAlignment="1">
      <alignment horizontal="center" vertical="center"/>
    </xf>
    <xf numFmtId="0" fontId="79" fillId="12" borderId="0" xfId="3" applyFont="1" applyFill="1" applyBorder="1" applyAlignment="1">
      <alignment horizontal="center" vertical="center"/>
    </xf>
    <xf numFmtId="0" fontId="79" fillId="12" borderId="24" xfId="3" applyFont="1" applyFill="1" applyBorder="1" applyAlignment="1">
      <alignment horizontal="center" vertical="center"/>
    </xf>
    <xf numFmtId="0" fontId="40" fillId="2" borderId="3" xfId="0" applyFont="1" applyFill="1" applyBorder="1" applyAlignment="1">
      <alignment horizontal="left"/>
    </xf>
    <xf numFmtId="0" fontId="79" fillId="0" borderId="1" xfId="4" applyFont="1" applyBorder="1" applyAlignment="1">
      <alignment horizontal="left"/>
    </xf>
    <xf numFmtId="0" fontId="40" fillId="0" borderId="2" xfId="0" applyFont="1" applyBorder="1" applyAlignment="1">
      <alignment horizontal="left"/>
    </xf>
    <xf numFmtId="0" fontId="40" fillId="0" borderId="4" xfId="0" applyFont="1" applyBorder="1" applyAlignment="1">
      <alignment horizontal="left"/>
    </xf>
    <xf numFmtId="0" fontId="83" fillId="0" borderId="1" xfId="4" applyFont="1" applyFill="1" applyBorder="1" applyAlignment="1">
      <alignment horizontal="left"/>
    </xf>
    <xf numFmtId="0" fontId="40" fillId="0" borderId="3" xfId="0" applyFont="1" applyBorder="1" applyAlignment="1">
      <alignment horizontal="left"/>
    </xf>
    <xf numFmtId="0" fontId="40" fillId="2" borderId="2" xfId="0" applyFont="1" applyFill="1" applyBorder="1" applyAlignment="1">
      <alignment horizontal="left"/>
    </xf>
    <xf numFmtId="0" fontId="79" fillId="13" borderId="13" xfId="3" applyFont="1" applyFill="1" applyBorder="1" applyAlignment="1">
      <alignment horizontal="left"/>
    </xf>
    <xf numFmtId="0" fontId="79" fillId="13" borderId="3" xfId="3" applyFont="1" applyFill="1" applyBorder="1" applyAlignment="1">
      <alignment horizontal="left"/>
    </xf>
    <xf numFmtId="0" fontId="79" fillId="13" borderId="4" xfId="3" applyFont="1" applyFill="1" applyBorder="1" applyAlignment="1">
      <alignment horizontal="left"/>
    </xf>
    <xf numFmtId="0" fontId="40" fillId="0" borderId="2" xfId="0" applyFont="1" applyBorder="1" applyAlignment="1">
      <alignment horizontal="center"/>
    </xf>
    <xf numFmtId="0" fontId="40" fillId="0" borderId="3" xfId="0" applyFont="1" applyBorder="1" applyAlignment="1">
      <alignment horizontal="center"/>
    </xf>
    <xf numFmtId="0" fontId="40" fillId="0" borderId="4" xfId="0" applyFont="1" applyBorder="1" applyAlignment="1">
      <alignment horizontal="center"/>
    </xf>
    <xf numFmtId="0" fontId="79" fillId="8" borderId="13" xfId="3" applyFont="1" applyFill="1" applyBorder="1" applyAlignment="1">
      <alignment horizontal="left"/>
    </xf>
    <xf numFmtId="0" fontId="79" fillId="8" borderId="3" xfId="3" applyFont="1" applyFill="1" applyBorder="1" applyAlignment="1">
      <alignment horizontal="left"/>
    </xf>
    <xf numFmtId="0" fontId="79" fillId="8" borderId="4" xfId="3" applyFont="1" applyFill="1" applyBorder="1" applyAlignment="1">
      <alignment horizontal="left"/>
    </xf>
    <xf numFmtId="0" fontId="79" fillId="8" borderId="0" xfId="3" applyFont="1" applyFill="1" applyBorder="1" applyAlignment="1">
      <alignment vertical="center"/>
    </xf>
    <xf numFmtId="0" fontId="79" fillId="0" borderId="2" xfId="4" applyFont="1" applyBorder="1" applyAlignment="1">
      <alignment horizontal="left" vertical="center"/>
    </xf>
    <xf numFmtId="0" fontId="79" fillId="0" borderId="3" xfId="4" applyFont="1" applyBorder="1" applyAlignment="1">
      <alignment horizontal="left" vertical="center"/>
    </xf>
    <xf numFmtId="0" fontId="79" fillId="0" borderId="4" xfId="4" applyFont="1" applyBorder="1" applyAlignment="1">
      <alignment horizontal="left" vertical="center"/>
    </xf>
    <xf numFmtId="0" fontId="79" fillId="8" borderId="19" xfId="3" applyFont="1" applyFill="1" applyBorder="1" applyAlignment="1">
      <alignment horizontal="left"/>
    </xf>
    <xf numFmtId="0" fontId="79" fillId="8" borderId="8" xfId="3" applyFont="1" applyFill="1" applyBorder="1" applyAlignment="1">
      <alignment horizontal="left"/>
    </xf>
    <xf numFmtId="0" fontId="79" fillId="8" borderId="9" xfId="3" applyFont="1" applyFill="1" applyBorder="1" applyAlignment="1">
      <alignment horizontal="left"/>
    </xf>
    <xf numFmtId="0" fontId="40" fillId="12" borderId="0" xfId="0" applyFont="1" applyFill="1" applyAlignment="1">
      <alignment horizontal="center"/>
    </xf>
    <xf numFmtId="0" fontId="40" fillId="12" borderId="2" xfId="0" applyFont="1" applyFill="1" applyBorder="1" applyAlignment="1">
      <alignment horizontal="center"/>
    </xf>
    <xf numFmtId="0" fontId="40" fillId="12" borderId="3" xfId="0" applyFont="1" applyFill="1" applyBorder="1" applyAlignment="1">
      <alignment horizontal="center"/>
    </xf>
    <xf numFmtId="0" fontId="40" fillId="12" borderId="4" xfId="0" applyFont="1" applyFill="1" applyBorder="1" applyAlignment="1">
      <alignment horizontal="center"/>
    </xf>
    <xf numFmtId="0" fontId="79" fillId="12" borderId="13" xfId="3" applyFont="1" applyFill="1" applyBorder="1" applyAlignment="1">
      <alignment horizontal="center" vertical="center"/>
    </xf>
    <xf numFmtId="0" fontId="79" fillId="12" borderId="3" xfId="3" applyFont="1" applyFill="1" applyBorder="1" applyAlignment="1">
      <alignment horizontal="center" vertical="center"/>
    </xf>
    <xf numFmtId="0" fontId="79" fillId="12" borderId="4" xfId="3" applyFont="1" applyFill="1" applyBorder="1" applyAlignment="1">
      <alignment horizontal="center" vertical="center"/>
    </xf>
    <xf numFmtId="0" fontId="79" fillId="12" borderId="13" xfId="3" applyFont="1" applyFill="1" applyBorder="1" applyAlignment="1">
      <alignment horizontal="center"/>
    </xf>
    <xf numFmtId="0" fontId="79" fillId="12" borderId="3" xfId="3" applyFont="1" applyFill="1" applyBorder="1" applyAlignment="1">
      <alignment horizontal="center"/>
    </xf>
    <xf numFmtId="0" fontId="79" fillId="12" borderId="4" xfId="3" applyFont="1" applyFill="1" applyBorder="1" applyAlignment="1">
      <alignment horizontal="center"/>
    </xf>
    <xf numFmtId="0" fontId="81" fillId="17" borderId="13" xfId="3" applyFont="1" applyFill="1" applyBorder="1" applyAlignment="1">
      <alignment horizontal="center"/>
    </xf>
    <xf numFmtId="0" fontId="81" fillId="17" borderId="3" xfId="3" applyFont="1" applyFill="1" applyBorder="1" applyAlignment="1">
      <alignment horizontal="center"/>
    </xf>
    <xf numFmtId="0" fontId="81" fillId="17" borderId="4" xfId="3" applyFont="1" applyFill="1" applyBorder="1" applyAlignment="1">
      <alignment horizontal="center"/>
    </xf>
    <xf numFmtId="0" fontId="79" fillId="0" borderId="13" xfId="4" applyFont="1" applyBorder="1" applyAlignment="1">
      <alignment horizontal="left"/>
    </xf>
    <xf numFmtId="0" fontId="79" fillId="0" borderId="3" xfId="4" applyFont="1" applyBorder="1" applyAlignment="1">
      <alignment horizontal="left"/>
    </xf>
    <xf numFmtId="0" fontId="79" fillId="0" borderId="4" xfId="4" applyFont="1" applyBorder="1" applyAlignment="1">
      <alignment horizontal="left"/>
    </xf>
    <xf numFmtId="0" fontId="35" fillId="8" borderId="14" xfId="3" applyFont="1" applyFill="1" applyBorder="1" applyAlignment="1">
      <alignment horizontal="center"/>
    </xf>
    <xf numFmtId="0" fontId="35" fillId="8" borderId="11" xfId="3" applyFont="1" applyFill="1" applyBorder="1" applyAlignment="1">
      <alignment horizontal="center"/>
    </xf>
    <xf numFmtId="0" fontId="35" fillId="8" borderId="15" xfId="3" applyFont="1" applyFill="1" applyBorder="1" applyAlignment="1">
      <alignment horizontal="center"/>
    </xf>
    <xf numFmtId="0" fontId="81" fillId="12" borderId="13" xfId="3" applyFont="1" applyFill="1" applyBorder="1" applyAlignment="1">
      <alignment horizontal="center" vertical="center"/>
    </xf>
    <xf numFmtId="0" fontId="81" fillId="12" borderId="3" xfId="3" applyFont="1" applyFill="1" applyBorder="1" applyAlignment="1">
      <alignment horizontal="center" vertical="center"/>
    </xf>
    <xf numFmtId="0" fontId="81" fillId="12" borderId="4" xfId="3" applyFont="1" applyFill="1" applyBorder="1" applyAlignment="1">
      <alignment horizontal="center" vertical="center"/>
    </xf>
    <xf numFmtId="0" fontId="81" fillId="12" borderId="13" xfId="3" applyFont="1" applyFill="1" applyBorder="1" applyAlignment="1">
      <alignment horizontal="center"/>
    </xf>
    <xf numFmtId="0" fontId="81" fillId="12" borderId="3" xfId="3" applyFont="1" applyFill="1" applyBorder="1" applyAlignment="1">
      <alignment horizontal="center"/>
    </xf>
    <xf numFmtId="0" fontId="81" fillId="12" borderId="4" xfId="3" applyFont="1" applyFill="1" applyBorder="1" applyAlignment="1">
      <alignment horizontal="center"/>
    </xf>
    <xf numFmtId="0" fontId="90" fillId="9" borderId="2" xfId="3" applyFont="1" applyFill="1" applyBorder="1" applyAlignment="1">
      <alignment horizontal="center"/>
    </xf>
    <xf numFmtId="0" fontId="90" fillId="9" borderId="4" xfId="3" applyFont="1" applyFill="1" applyBorder="1" applyAlignment="1">
      <alignment horizontal="center"/>
    </xf>
    <xf numFmtId="0" fontId="86" fillId="17" borderId="13" xfId="3" applyFont="1" applyFill="1" applyBorder="1" applyAlignment="1">
      <alignment horizontal="center" vertical="center"/>
    </xf>
    <xf numFmtId="0" fontId="86" fillId="17" borderId="3" xfId="3" applyFont="1" applyFill="1" applyBorder="1" applyAlignment="1">
      <alignment horizontal="center" vertical="center"/>
    </xf>
    <xf numFmtId="0" fontId="40" fillId="0" borderId="13" xfId="0" applyFont="1" applyBorder="1" applyAlignment="1">
      <alignment horizontal="left"/>
    </xf>
    <xf numFmtId="0" fontId="83" fillId="0" borderId="2" xfId="4" applyFont="1" applyFill="1" applyBorder="1" applyAlignment="1">
      <alignment horizontal="left"/>
    </xf>
    <xf numFmtId="0" fontId="83" fillId="0" borderId="3" xfId="4" applyFont="1" applyFill="1" applyBorder="1" applyAlignment="1">
      <alignment horizontal="left"/>
    </xf>
    <xf numFmtId="0" fontId="83" fillId="0" borderId="4" xfId="4" applyFont="1" applyFill="1" applyBorder="1" applyAlignment="1">
      <alignment horizontal="left"/>
    </xf>
    <xf numFmtId="0" fontId="40" fillId="0" borderId="1" xfId="0" applyFont="1" applyFill="1" applyBorder="1" applyAlignment="1">
      <alignment horizontal="center"/>
    </xf>
    <xf numFmtId="0" fontId="79" fillId="0" borderId="1" xfId="4" applyFont="1" applyFill="1" applyBorder="1" applyAlignment="1">
      <alignment horizontal="left"/>
    </xf>
    <xf numFmtId="0" fontId="79" fillId="0" borderId="2" xfId="4" applyFont="1" applyFill="1" applyBorder="1" applyAlignment="1">
      <alignment horizontal="left"/>
    </xf>
    <xf numFmtId="0" fontId="79" fillId="0" borderId="3" xfId="4" applyFont="1" applyFill="1" applyBorder="1" applyAlignment="1">
      <alignment horizontal="left"/>
    </xf>
    <xf numFmtId="0" fontId="79" fillId="0" borderId="4" xfId="4" applyFont="1" applyFill="1" applyBorder="1" applyAlignment="1">
      <alignment horizontal="left"/>
    </xf>
    <xf numFmtId="0" fontId="36" fillId="0" borderId="1" xfId="4" applyFont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37" fillId="2" borderId="13" xfId="0" applyFont="1" applyFill="1" applyBorder="1" applyAlignment="1">
      <alignment horizontal="left"/>
    </xf>
    <xf numFmtId="0" fontId="37" fillId="2" borderId="4" xfId="0" applyFont="1" applyFill="1" applyBorder="1" applyAlignment="1">
      <alignment horizontal="left"/>
    </xf>
    <xf numFmtId="0" fontId="55" fillId="12" borderId="1" xfId="0" applyFont="1" applyFill="1" applyBorder="1" applyAlignment="1">
      <alignment horizontal="center"/>
    </xf>
    <xf numFmtId="0" fontId="37" fillId="0" borderId="1" xfId="0" applyFont="1" applyBorder="1" applyAlignment="1">
      <alignment horizontal="left"/>
    </xf>
    <xf numFmtId="0" fontId="66" fillId="12" borderId="23" xfId="3" applyFont="1" applyFill="1" applyBorder="1" applyAlignment="1">
      <alignment horizontal="center" vertical="center"/>
    </xf>
    <xf numFmtId="0" fontId="66" fillId="12" borderId="0" xfId="3" applyFont="1" applyFill="1" applyBorder="1" applyAlignment="1">
      <alignment horizontal="center" vertical="center"/>
    </xf>
    <xf numFmtId="0" fontId="66" fillId="12" borderId="24" xfId="3" applyFont="1" applyFill="1" applyBorder="1" applyAlignment="1">
      <alignment horizontal="center" vertical="center"/>
    </xf>
    <xf numFmtId="0" fontId="37" fillId="12" borderId="13" xfId="0" applyFont="1" applyFill="1" applyBorder="1" applyAlignment="1">
      <alignment horizontal="left"/>
    </xf>
    <xf numFmtId="0" fontId="37" fillId="12" borderId="4" xfId="0" applyFont="1" applyFill="1" applyBorder="1" applyAlignment="1">
      <alignment horizontal="left"/>
    </xf>
    <xf numFmtId="0" fontId="37" fillId="11" borderId="13" xfId="0" applyFont="1" applyFill="1" applyBorder="1" applyAlignment="1">
      <alignment horizontal="left"/>
    </xf>
    <xf numFmtId="0" fontId="37" fillId="11" borderId="4" xfId="0" applyFont="1" applyFill="1" applyBorder="1" applyAlignment="1">
      <alignment horizontal="left"/>
    </xf>
    <xf numFmtId="0" fontId="32" fillId="2" borderId="20" xfId="0" applyFont="1" applyFill="1" applyBorder="1" applyAlignment="1">
      <alignment horizontal="center"/>
    </xf>
    <xf numFmtId="0" fontId="32" fillId="2" borderId="5" xfId="0" applyFont="1" applyFill="1" applyBorder="1" applyAlignment="1">
      <alignment horizontal="center"/>
    </xf>
    <xf numFmtId="0" fontId="32" fillId="0" borderId="1" xfId="4" applyFont="1" applyBorder="1" applyAlignment="1">
      <alignment horizontal="left"/>
    </xf>
    <xf numFmtId="0" fontId="37" fillId="0" borderId="2" xfId="0" applyFont="1" applyBorder="1" applyAlignment="1">
      <alignment horizontal="left"/>
    </xf>
    <xf numFmtId="0" fontId="37" fillId="0" borderId="3" xfId="0" applyFont="1" applyBorder="1" applyAlignment="1">
      <alignment horizontal="left"/>
    </xf>
    <xf numFmtId="0" fontId="37" fillId="0" borderId="4" xfId="0" applyFont="1" applyBorder="1" applyAlignment="1">
      <alignment horizontal="left"/>
    </xf>
    <xf numFmtId="0" fontId="37" fillId="12" borderId="1" xfId="0" applyFont="1" applyFill="1" applyBorder="1" applyAlignment="1">
      <alignment horizontal="center"/>
    </xf>
    <xf numFmtId="0" fontId="37" fillId="0" borderId="2" xfId="0" applyFont="1" applyBorder="1" applyAlignment="1">
      <alignment horizontal="center"/>
    </xf>
    <xf numFmtId="0" fontId="37" fillId="0" borderId="3" xfId="0" applyFont="1" applyBorder="1" applyAlignment="1">
      <alignment horizontal="center"/>
    </xf>
    <xf numFmtId="0" fontId="37" fillId="0" borderId="4" xfId="0" applyFont="1" applyBorder="1" applyAlignment="1">
      <alignment horizontal="center"/>
    </xf>
    <xf numFmtId="0" fontId="32" fillId="0" borderId="2" xfId="4" applyFont="1" applyBorder="1" applyAlignment="1">
      <alignment horizontal="left" vertical="center"/>
    </xf>
    <xf numFmtId="0" fontId="32" fillId="0" borderId="3" xfId="4" applyFont="1" applyBorder="1" applyAlignment="1">
      <alignment horizontal="left" vertical="center"/>
    </xf>
    <xf numFmtId="0" fontId="32" fillId="0" borderId="4" xfId="4" applyFont="1" applyBorder="1" applyAlignment="1">
      <alignment horizontal="left" vertical="center"/>
    </xf>
    <xf numFmtId="0" fontId="55" fillId="12" borderId="0" xfId="0" applyFont="1" applyFill="1" applyAlignment="1">
      <alignment horizontal="center"/>
    </xf>
    <xf numFmtId="0" fontId="39" fillId="12" borderId="2" xfId="0" applyFont="1" applyFill="1" applyBorder="1" applyAlignment="1">
      <alignment horizontal="center"/>
    </xf>
    <xf numFmtId="0" fontId="39" fillId="12" borderId="3" xfId="0" applyFont="1" applyFill="1" applyBorder="1" applyAlignment="1">
      <alignment horizontal="center"/>
    </xf>
    <xf numFmtId="0" fontId="39" fillId="12" borderId="4" xfId="0" applyFont="1" applyFill="1" applyBorder="1" applyAlignment="1">
      <alignment horizontal="center"/>
    </xf>
    <xf numFmtId="0" fontId="32" fillId="8" borderId="19" xfId="3" applyFont="1" applyFill="1" applyBorder="1" applyAlignment="1">
      <alignment horizontal="left"/>
    </xf>
    <xf numFmtId="0" fontId="32" fillId="8" borderId="8" xfId="3" applyFont="1" applyFill="1" applyBorder="1" applyAlignment="1">
      <alignment horizontal="left"/>
    </xf>
    <xf numFmtId="0" fontId="32" fillId="8" borderId="9" xfId="3" applyFont="1" applyFill="1" applyBorder="1" applyAlignment="1">
      <alignment horizontal="left"/>
    </xf>
    <xf numFmtId="0" fontId="37" fillId="0" borderId="13" xfId="0" applyFont="1" applyBorder="1" applyAlignment="1">
      <alignment horizontal="left"/>
    </xf>
    <xf numFmtId="0" fontId="32" fillId="0" borderId="13" xfId="4" applyFont="1" applyBorder="1" applyAlignment="1">
      <alignment horizontal="left"/>
    </xf>
    <xf numFmtId="0" fontId="32" fillId="0" borderId="3" xfId="4" applyFont="1" applyBorder="1" applyAlignment="1">
      <alignment horizontal="left"/>
    </xf>
    <xf numFmtId="0" fontId="32" fillId="0" borderId="4" xfId="4" applyFont="1" applyBorder="1" applyAlignment="1">
      <alignment horizontal="left"/>
    </xf>
    <xf numFmtId="0" fontId="32" fillId="8" borderId="13" xfId="3" applyFont="1" applyFill="1" applyBorder="1" applyAlignment="1">
      <alignment horizontal="left"/>
    </xf>
    <xf numFmtId="0" fontId="32" fillId="8" borderId="3" xfId="3" applyFont="1" applyFill="1" applyBorder="1" applyAlignment="1">
      <alignment horizontal="left"/>
    </xf>
    <xf numFmtId="0" fontId="32" fillId="8" borderId="4" xfId="3" applyFont="1" applyFill="1" applyBorder="1" applyAlignment="1">
      <alignment horizontal="left"/>
    </xf>
    <xf numFmtId="0" fontId="31" fillId="12" borderId="13" xfId="3" applyFont="1" applyFill="1" applyBorder="1" applyAlignment="1">
      <alignment horizontal="center"/>
    </xf>
    <xf numFmtId="0" fontId="31" fillId="12" borderId="3" xfId="3" applyFont="1" applyFill="1" applyBorder="1" applyAlignment="1">
      <alignment horizontal="center"/>
    </xf>
    <xf numFmtId="0" fontId="31" fillId="12" borderId="4" xfId="3" applyFont="1" applyFill="1" applyBorder="1" applyAlignment="1">
      <alignment horizontal="center"/>
    </xf>
    <xf numFmtId="0" fontId="67" fillId="17" borderId="13" xfId="3" applyFont="1" applyFill="1" applyBorder="1" applyAlignment="1">
      <alignment horizontal="center"/>
    </xf>
    <xf numFmtId="0" fontId="67" fillId="17" borderId="3" xfId="3" applyFont="1" applyFill="1" applyBorder="1" applyAlignment="1">
      <alignment horizontal="center"/>
    </xf>
    <xf numFmtId="0" fontId="67" fillId="17" borderId="4" xfId="3" applyFont="1" applyFill="1" applyBorder="1" applyAlignment="1">
      <alignment horizontal="center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32" fillId="0" borderId="2" xfId="4" applyFont="1" applyBorder="1" applyAlignment="1">
      <alignment horizontal="left"/>
    </xf>
    <xf numFmtId="0" fontId="32" fillId="12" borderId="13" xfId="3" applyFont="1" applyFill="1" applyBorder="1" applyAlignment="1">
      <alignment horizontal="center" vertical="center"/>
    </xf>
    <xf numFmtId="0" fontId="32" fillId="12" borderId="3" xfId="3" applyFont="1" applyFill="1" applyBorder="1" applyAlignment="1">
      <alignment horizontal="center" vertical="center"/>
    </xf>
    <xf numFmtId="0" fontId="32" fillId="12" borderId="4" xfId="3" applyFont="1" applyFill="1" applyBorder="1" applyAlignment="1">
      <alignment horizontal="center" vertical="center"/>
    </xf>
    <xf numFmtId="0" fontId="31" fillId="8" borderId="0" xfId="3" applyFont="1" applyFill="1" applyBorder="1" applyAlignment="1">
      <alignment vertical="center"/>
    </xf>
    <xf numFmtId="0" fontId="49" fillId="8" borderId="14" xfId="3" applyFont="1" applyFill="1" applyBorder="1" applyAlignment="1">
      <alignment horizontal="center"/>
    </xf>
    <xf numFmtId="0" fontId="49" fillId="8" borderId="11" xfId="3" applyFont="1" applyFill="1" applyBorder="1" applyAlignment="1">
      <alignment horizontal="center"/>
    </xf>
    <xf numFmtId="0" fontId="49" fillId="8" borderId="15" xfId="3" applyFont="1" applyFill="1" applyBorder="1" applyAlignment="1">
      <alignment horizontal="center"/>
    </xf>
    <xf numFmtId="0" fontId="67" fillId="12" borderId="13" xfId="3" applyFont="1" applyFill="1" applyBorder="1" applyAlignment="1">
      <alignment horizontal="center" vertical="center"/>
    </xf>
    <xf numFmtId="0" fontId="67" fillId="12" borderId="3" xfId="3" applyFont="1" applyFill="1" applyBorder="1" applyAlignment="1">
      <alignment horizontal="center" vertical="center"/>
    </xf>
    <xf numFmtId="0" fontId="67" fillId="12" borderId="4" xfId="3" applyFont="1" applyFill="1" applyBorder="1" applyAlignment="1">
      <alignment horizontal="center" vertical="center"/>
    </xf>
    <xf numFmtId="0" fontId="67" fillId="12" borderId="13" xfId="3" applyFont="1" applyFill="1" applyBorder="1" applyAlignment="1">
      <alignment horizontal="center"/>
    </xf>
    <xf numFmtId="0" fontId="67" fillId="12" borderId="3" xfId="3" applyFont="1" applyFill="1" applyBorder="1" applyAlignment="1">
      <alignment horizontal="center"/>
    </xf>
    <xf numFmtId="0" fontId="67" fillId="12" borderId="4" xfId="3" applyFont="1" applyFill="1" applyBorder="1" applyAlignment="1">
      <alignment horizontal="center"/>
    </xf>
    <xf numFmtId="0" fontId="32" fillId="9" borderId="2" xfId="3" applyFont="1" applyFill="1" applyBorder="1" applyAlignment="1">
      <alignment horizontal="center"/>
    </xf>
    <xf numFmtId="0" fontId="32" fillId="9" borderId="4" xfId="3" applyFont="1" applyFill="1" applyBorder="1" applyAlignment="1">
      <alignment horizontal="center"/>
    </xf>
    <xf numFmtId="0" fontId="68" fillId="12" borderId="13" xfId="3" applyFont="1" applyFill="1" applyBorder="1" applyAlignment="1">
      <alignment horizontal="center" vertical="center"/>
    </xf>
    <xf numFmtId="0" fontId="68" fillId="12" borderId="3" xfId="3" applyFont="1" applyFill="1" applyBorder="1" applyAlignment="1">
      <alignment horizontal="center" vertical="center"/>
    </xf>
    <xf numFmtId="0" fontId="68" fillId="12" borderId="4" xfId="3" applyFont="1" applyFill="1" applyBorder="1" applyAlignment="1">
      <alignment horizontal="center" vertical="center"/>
    </xf>
    <xf numFmtId="0" fontId="69" fillId="17" borderId="13" xfId="3" applyFont="1" applyFill="1" applyBorder="1" applyAlignment="1">
      <alignment horizontal="center" vertical="center"/>
    </xf>
    <xf numFmtId="0" fontId="69" fillId="17" borderId="3" xfId="3" applyFont="1" applyFill="1" applyBorder="1" applyAlignment="1">
      <alignment horizontal="center" vertical="center"/>
    </xf>
    <xf numFmtId="0" fontId="68" fillId="17" borderId="13" xfId="3" applyFont="1" applyFill="1" applyBorder="1" applyAlignment="1">
      <alignment horizontal="center"/>
    </xf>
    <xf numFmtId="0" fontId="68" fillId="17" borderId="3" xfId="3" applyFont="1" applyFill="1" applyBorder="1" applyAlignment="1">
      <alignment horizontal="center"/>
    </xf>
    <xf numFmtId="0" fontId="68" fillId="17" borderId="4" xfId="3" applyFont="1" applyFill="1" applyBorder="1" applyAlignment="1">
      <alignment horizontal="center"/>
    </xf>
    <xf numFmtId="0" fontId="36" fillId="2" borderId="2" xfId="4" applyFont="1" applyFill="1" applyBorder="1" applyAlignment="1">
      <alignment horizontal="left"/>
    </xf>
    <xf numFmtId="0" fontId="36" fillId="2" borderId="3" xfId="4" applyFont="1" applyFill="1" applyBorder="1" applyAlignment="1">
      <alignment horizontal="left"/>
    </xf>
    <xf numFmtId="0" fontId="36" fillId="2" borderId="4" xfId="4" applyFont="1" applyFill="1" applyBorder="1" applyAlignment="1">
      <alignment horizontal="left"/>
    </xf>
    <xf numFmtId="0" fontId="36" fillId="2" borderId="1" xfId="4" applyFont="1" applyFill="1" applyBorder="1" applyAlignment="1">
      <alignment horizontal="left"/>
    </xf>
    <xf numFmtId="0" fontId="37" fillId="2" borderId="2" xfId="0" applyFont="1" applyFill="1" applyBorder="1" applyAlignment="1">
      <alignment horizontal="left"/>
    </xf>
    <xf numFmtId="0" fontId="37" fillId="2" borderId="3" xfId="0" applyFont="1" applyFill="1" applyBorder="1" applyAlignment="1">
      <alignment horizontal="left"/>
    </xf>
    <xf numFmtId="0" fontId="36" fillId="0" borderId="2" xfId="4" applyFont="1" applyBorder="1" applyAlignment="1">
      <alignment horizontal="center"/>
    </xf>
    <xf numFmtId="0" fontId="36" fillId="0" borderId="3" xfId="4" applyFont="1" applyBorder="1" applyAlignment="1">
      <alignment horizontal="center"/>
    </xf>
    <xf numFmtId="0" fontId="36" fillId="0" borderId="4" xfId="4" applyFont="1" applyBorder="1" applyAlignment="1">
      <alignment horizontal="center"/>
    </xf>
    <xf numFmtId="0" fontId="40" fillId="2" borderId="1" xfId="0" applyFont="1" applyFill="1" applyBorder="1" applyAlignment="1">
      <alignment horizontal="left"/>
    </xf>
    <xf numFmtId="0" fontId="40" fillId="11" borderId="1" xfId="0" applyFont="1" applyFill="1" applyBorder="1" applyAlignment="1">
      <alignment horizontal="left"/>
    </xf>
    <xf numFmtId="0" fontId="32" fillId="2" borderId="1" xfId="0" applyFont="1" applyFill="1" applyBorder="1" applyAlignment="1">
      <alignment horizontal="center"/>
    </xf>
    <xf numFmtId="0" fontId="37" fillId="12" borderId="1" xfId="0" applyFont="1" applyFill="1" applyBorder="1" applyAlignment="1">
      <alignment horizontal="left"/>
    </xf>
    <xf numFmtId="0" fontId="37" fillId="2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0" fontId="37" fillId="0" borderId="0" xfId="0" applyFont="1" applyBorder="1" applyAlignment="1">
      <alignment horizontal="left"/>
    </xf>
    <xf numFmtId="0" fontId="37" fillId="0" borderId="2" xfId="0" applyFont="1" applyFill="1" applyBorder="1" applyAlignment="1">
      <alignment horizontal="left"/>
    </xf>
    <xf numFmtId="0" fontId="37" fillId="0" borderId="3" xfId="0" applyFont="1" applyFill="1" applyBorder="1" applyAlignment="1">
      <alignment horizontal="left"/>
    </xf>
    <xf numFmtId="0" fontId="37" fillId="0" borderId="4" xfId="0" applyFont="1" applyFill="1" applyBorder="1" applyAlignment="1">
      <alignment horizontal="left"/>
    </xf>
    <xf numFmtId="0" fontId="37" fillId="12" borderId="29" xfId="0" applyFont="1" applyFill="1" applyBorder="1" applyAlignment="1">
      <alignment horizontal="left"/>
    </xf>
    <xf numFmtId="0" fontId="37" fillId="12" borderId="30" xfId="0" applyFont="1" applyFill="1" applyBorder="1" applyAlignment="1">
      <alignment horizontal="left"/>
    </xf>
    <xf numFmtId="0" fontId="32" fillId="0" borderId="1" xfId="4" applyFont="1" applyFill="1" applyBorder="1" applyAlignment="1">
      <alignment horizontal="left"/>
    </xf>
    <xf numFmtId="0" fontId="36" fillId="0" borderId="1" xfId="4" applyFont="1" applyFill="1" applyBorder="1" applyAlignment="1">
      <alignment horizontal="left"/>
    </xf>
    <xf numFmtId="0" fontId="36" fillId="0" borderId="2" xfId="4" applyFont="1" applyFill="1" applyBorder="1" applyAlignment="1">
      <alignment horizontal="left"/>
    </xf>
    <xf numFmtId="0" fontId="36" fillId="0" borderId="3" xfId="4" applyFont="1" applyFill="1" applyBorder="1" applyAlignment="1">
      <alignment horizontal="left"/>
    </xf>
    <xf numFmtId="0" fontId="36" fillId="0" borderId="4" xfId="4" applyFont="1" applyFill="1" applyBorder="1" applyAlignment="1">
      <alignment horizontal="left"/>
    </xf>
    <xf numFmtId="0" fontId="32" fillId="0" borderId="2" xfId="4" applyFont="1" applyFill="1" applyBorder="1" applyAlignment="1">
      <alignment horizontal="left"/>
    </xf>
    <xf numFmtId="0" fontId="32" fillId="0" borderId="3" xfId="4" applyFont="1" applyFill="1" applyBorder="1" applyAlignment="1">
      <alignment horizontal="left"/>
    </xf>
    <xf numFmtId="0" fontId="32" fillId="0" borderId="4" xfId="4" applyFont="1" applyFill="1" applyBorder="1" applyAlignment="1">
      <alignment horizontal="left"/>
    </xf>
    <xf numFmtId="0" fontId="55" fillId="0" borderId="1" xfId="0" applyFont="1" applyFill="1" applyBorder="1" applyAlignment="1">
      <alignment horizontal="center"/>
    </xf>
    <xf numFmtId="0" fontId="40" fillId="0" borderId="13" xfId="0" applyFont="1" applyFill="1" applyBorder="1" applyAlignment="1">
      <alignment horizontal="left"/>
    </xf>
    <xf numFmtId="0" fontId="40" fillId="0" borderId="4" xfId="0" applyFont="1" applyFill="1" applyBorder="1" applyAlignment="1">
      <alignment horizontal="left"/>
    </xf>
    <xf numFmtId="0" fontId="36" fillId="0" borderId="2" xfId="4" applyFont="1" applyFill="1" applyBorder="1" applyAlignment="1">
      <alignment horizontal="center"/>
    </xf>
    <xf numFmtId="0" fontId="36" fillId="0" borderId="3" xfId="4" applyFont="1" applyFill="1" applyBorder="1" applyAlignment="1">
      <alignment horizontal="center"/>
    </xf>
    <xf numFmtId="0" fontId="36" fillId="0" borderId="4" xfId="4" applyFont="1" applyFill="1" applyBorder="1" applyAlignment="1">
      <alignment horizontal="center"/>
    </xf>
    <xf numFmtId="0" fontId="37" fillId="11" borderId="2" xfId="0" applyFont="1" applyFill="1" applyBorder="1" applyAlignment="1">
      <alignment horizontal="left"/>
    </xf>
    <xf numFmtId="0" fontId="37" fillId="11" borderId="3" xfId="0" applyFont="1" applyFill="1" applyBorder="1" applyAlignment="1">
      <alignment horizontal="left"/>
    </xf>
    <xf numFmtId="0" fontId="31" fillId="11" borderId="13" xfId="3" applyFont="1" applyFill="1" applyBorder="1" applyAlignment="1">
      <alignment horizontal="left"/>
    </xf>
    <xf numFmtId="0" fontId="31" fillId="11" borderId="3" xfId="3" applyFont="1" applyFill="1" applyBorder="1" applyAlignment="1">
      <alignment horizontal="left"/>
    </xf>
    <xf numFmtId="0" fontId="31" fillId="11" borderId="4" xfId="3" applyFont="1" applyFill="1" applyBorder="1" applyAlignment="1">
      <alignment horizontal="left"/>
    </xf>
    <xf numFmtId="0" fontId="40" fillId="11" borderId="3" xfId="0" applyFont="1" applyFill="1" applyBorder="1" applyAlignment="1">
      <alignment horizontal="left"/>
    </xf>
    <xf numFmtId="0" fontId="32" fillId="2" borderId="13" xfId="3" applyFont="1" applyFill="1" applyBorder="1" applyAlignment="1">
      <alignment horizontal="center" vertical="center"/>
    </xf>
    <xf numFmtId="0" fontId="32" fillId="2" borderId="3" xfId="3" applyFont="1" applyFill="1" applyBorder="1" applyAlignment="1">
      <alignment horizontal="center" vertical="center"/>
    </xf>
    <xf numFmtId="0" fontId="32" fillId="2" borderId="4" xfId="3" applyFont="1" applyFill="1" applyBorder="1" applyAlignment="1">
      <alignment horizontal="center" vertical="center"/>
    </xf>
    <xf numFmtId="0" fontId="32" fillId="8" borderId="13" xfId="3" applyFont="1" applyFill="1" applyBorder="1" applyAlignment="1">
      <alignment horizontal="left" vertical="center"/>
    </xf>
    <xf numFmtId="0" fontId="32" fillId="8" borderId="3" xfId="3" applyFont="1" applyFill="1" applyBorder="1" applyAlignment="1">
      <alignment horizontal="left" vertical="center"/>
    </xf>
    <xf numFmtId="0" fontId="32" fillId="8" borderId="4" xfId="3" applyFont="1" applyFill="1" applyBorder="1" applyAlignment="1">
      <alignment horizontal="left" vertical="center"/>
    </xf>
    <xf numFmtId="169" fontId="32" fillId="8" borderId="13" xfId="3" applyNumberFormat="1" applyFont="1" applyFill="1" applyBorder="1" applyAlignment="1">
      <alignment horizontal="left" vertical="center"/>
    </xf>
    <xf numFmtId="169" fontId="32" fillId="8" borderId="3" xfId="3" applyNumberFormat="1" applyFont="1" applyFill="1" applyBorder="1" applyAlignment="1">
      <alignment horizontal="left" vertical="center"/>
    </xf>
    <xf numFmtId="169" fontId="32" fillId="8" borderId="4" xfId="3" applyNumberFormat="1" applyFont="1" applyFill="1" applyBorder="1" applyAlignment="1">
      <alignment horizontal="left" vertical="center"/>
    </xf>
  </cellXfs>
  <cellStyles count="20">
    <cellStyle name="Comma" xfId="19" builtinId="3"/>
    <cellStyle name="Comma 2 2" xfId="10" xr:uid="{00000000-0005-0000-0000-000001000000}"/>
    <cellStyle name="Comma 2 3" xfId="5" xr:uid="{00000000-0005-0000-0000-000002000000}"/>
    <cellStyle name="Comma 3" xfId="7" xr:uid="{00000000-0005-0000-0000-000003000000}"/>
    <cellStyle name="Comma 3 2" xfId="11" xr:uid="{00000000-0005-0000-0000-000004000000}"/>
    <cellStyle name="Currency 2" xfId="8" xr:uid="{00000000-0005-0000-0000-000005000000}"/>
    <cellStyle name="Hyperlink" xfId="2" builtinId="8"/>
    <cellStyle name="Normal" xfId="0" builtinId="0"/>
    <cellStyle name="Normal 2" xfId="1" xr:uid="{00000000-0005-0000-0000-000008000000}"/>
    <cellStyle name="Normal 2 2" xfId="9" xr:uid="{00000000-0005-0000-0000-000009000000}"/>
    <cellStyle name="Normal 2 2 2" xfId="12" xr:uid="{00000000-0005-0000-0000-00000A000000}"/>
    <cellStyle name="Normal 2 2 2 2" xfId="13" xr:uid="{00000000-0005-0000-0000-00000B000000}"/>
    <cellStyle name="Normal 2 2 3" xfId="14" xr:uid="{00000000-0005-0000-0000-00000C000000}"/>
    <cellStyle name="Normal 2 3" xfId="3" xr:uid="{00000000-0005-0000-0000-00000D000000}"/>
    <cellStyle name="Normal 2 4" xfId="15" xr:uid="{00000000-0005-0000-0000-00000E000000}"/>
    <cellStyle name="Normal 3" xfId="4" xr:uid="{00000000-0005-0000-0000-00000F000000}"/>
    <cellStyle name="Normal 4" xfId="16" xr:uid="{00000000-0005-0000-0000-000010000000}"/>
    <cellStyle name="Normal 4 2" xfId="18" xr:uid="{00000000-0005-0000-0000-000011000000}"/>
    <cellStyle name="Normal 5" xfId="17" xr:uid="{00000000-0005-0000-0000-000012000000}"/>
    <cellStyle name="Percent 2" xfId="6" xr:uid="{00000000-0005-0000-0000-000013000000}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HLP'!$AD$4:$AD$35</c:f>
              <c:numCache>
                <c:formatCode>0</c:formatCode>
                <c:ptCount val="32"/>
                <c:pt idx="0">
                  <c:v>23.850000000000364</c:v>
                </c:pt>
                <c:pt idx="1">
                  <c:v>24.199999999999818</c:v>
                </c:pt>
                <c:pt idx="2">
                  <c:v>23.5</c:v>
                </c:pt>
                <c:pt idx="3">
                  <c:v>24</c:v>
                </c:pt>
                <c:pt idx="4">
                  <c:v>24.479999999999563</c:v>
                </c:pt>
                <c:pt idx="5">
                  <c:v>23.520000000000437</c:v>
                </c:pt>
                <c:pt idx="6">
                  <c:v>24</c:v>
                </c:pt>
                <c:pt idx="7">
                  <c:v>24</c:v>
                </c:pt>
                <c:pt idx="8">
                  <c:v>24.399999999999636</c:v>
                </c:pt>
                <c:pt idx="9">
                  <c:v>23.680000000000291</c:v>
                </c:pt>
                <c:pt idx="10">
                  <c:v>326.39999999999964</c:v>
                </c:pt>
                <c:pt idx="11">
                  <c:v>24.880000000000109</c:v>
                </c:pt>
                <c:pt idx="12">
                  <c:v>-276.35999999999967</c:v>
                </c:pt>
                <c:pt idx="13">
                  <c:v>24.080000000001746</c:v>
                </c:pt>
                <c:pt idx="14">
                  <c:v>24.369999999995343</c:v>
                </c:pt>
                <c:pt idx="15">
                  <c:v>24.020000000004075</c:v>
                </c:pt>
                <c:pt idx="16">
                  <c:v>23.529999999998836</c:v>
                </c:pt>
                <c:pt idx="17">
                  <c:v>24.44999999999709</c:v>
                </c:pt>
                <c:pt idx="18">
                  <c:v>23.55000000000291</c:v>
                </c:pt>
                <c:pt idx="19">
                  <c:v>24</c:v>
                </c:pt>
                <c:pt idx="20">
                  <c:v>23.650000000001455</c:v>
                </c:pt>
                <c:pt idx="21">
                  <c:v>24</c:v>
                </c:pt>
                <c:pt idx="22">
                  <c:v>25.549999999995634</c:v>
                </c:pt>
                <c:pt idx="23">
                  <c:v>24.290000000000873</c:v>
                </c:pt>
                <c:pt idx="24">
                  <c:v>23.680000000000291</c:v>
                </c:pt>
                <c:pt idx="25">
                  <c:v>24.060000000004948</c:v>
                </c:pt>
                <c:pt idx="26">
                  <c:v>24.489999999997963</c:v>
                </c:pt>
                <c:pt idx="27">
                  <c:v>24.930000000000291</c:v>
                </c:pt>
                <c:pt idx="28">
                  <c:v>24</c:v>
                </c:pt>
                <c:pt idx="29">
                  <c:v>24</c:v>
                </c:pt>
                <c:pt idx="30">
                  <c:v>28</c:v>
                </c:pt>
                <c:pt idx="31">
                  <c:v>753.20000000000164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/>
        <c:marker val="1"/>
        <c:smooth val="0"/>
        <c:axId val="175190400"/>
        <c:axId val="175191936"/>
      </c:lineChart>
      <c:catAx>
        <c:axId val="175190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191936"/>
        <c:crosses val="autoZero"/>
        <c:auto val="1"/>
        <c:lblAlgn val="ctr"/>
        <c:lblOffset val="100"/>
        <c:noMultiLvlLbl val="0"/>
      </c:catAx>
      <c:valAx>
        <c:axId val="175191936"/>
        <c:scaling>
          <c:orientation val="minMax"/>
          <c:max val="40"/>
          <c:min val="25"/>
        </c:scaling>
        <c:delete val="1"/>
        <c:axPos val="l"/>
        <c:numFmt formatCode="0" sourceLinked="1"/>
        <c:majorTickMark val="out"/>
        <c:minorTickMark val="none"/>
        <c:tickLblPos val="none"/>
        <c:crossAx val="175190400"/>
        <c:crosses val="autoZero"/>
        <c:crossBetween val="between"/>
        <c:majorUnit val="2"/>
      </c:valAx>
    </c:plotArea>
    <c:legend>
      <c:legendPos val="t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varyColors val="0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HLP'!$AJ$4:$AJ$35</c:f>
              <c:numCache>
                <c:formatCode>0</c:formatCode>
                <c:ptCount val="32"/>
                <c:pt idx="0">
                  <c:v>25.760000000012951</c:v>
                </c:pt>
                <c:pt idx="1">
                  <c:v>34.08999999999287</c:v>
                </c:pt>
                <c:pt idx="2">
                  <c:v>24.67000000000553</c:v>
                </c:pt>
                <c:pt idx="3">
                  <c:v>20.880000000004657</c:v>
                </c:pt>
                <c:pt idx="4">
                  <c:v>20.429999999993015</c:v>
                </c:pt>
                <c:pt idx="5">
                  <c:v>22</c:v>
                </c:pt>
                <c:pt idx="6">
                  <c:v>23</c:v>
                </c:pt>
                <c:pt idx="7">
                  <c:v>22.440000000002328</c:v>
                </c:pt>
                <c:pt idx="8">
                  <c:v>24.360000000000582</c:v>
                </c:pt>
                <c:pt idx="9">
                  <c:v>22.549999999991996</c:v>
                </c:pt>
                <c:pt idx="10">
                  <c:v>22.630000000008295</c:v>
                </c:pt>
                <c:pt idx="11">
                  <c:v>21.559999999997672</c:v>
                </c:pt>
                <c:pt idx="12">
                  <c:v>21.459999999999127</c:v>
                </c:pt>
                <c:pt idx="13">
                  <c:v>22</c:v>
                </c:pt>
                <c:pt idx="14">
                  <c:v>22.80000000000291</c:v>
                </c:pt>
                <c:pt idx="15">
                  <c:v>18.19999999999709</c:v>
                </c:pt>
                <c:pt idx="16">
                  <c:v>16</c:v>
                </c:pt>
                <c:pt idx="17">
                  <c:v>18.490000000001601</c:v>
                </c:pt>
                <c:pt idx="18">
                  <c:v>17.839999999996508</c:v>
                </c:pt>
                <c:pt idx="19">
                  <c:v>19.670000000001892</c:v>
                </c:pt>
                <c:pt idx="20">
                  <c:v>23.599999999998545</c:v>
                </c:pt>
                <c:pt idx="21">
                  <c:v>24.400000000001455</c:v>
                </c:pt>
                <c:pt idx="22">
                  <c:v>23.620000000002619</c:v>
                </c:pt>
                <c:pt idx="23">
                  <c:v>21.940000000002328</c:v>
                </c:pt>
                <c:pt idx="24">
                  <c:v>21.940000000002328</c:v>
                </c:pt>
                <c:pt idx="25">
                  <c:v>19.409999999988941</c:v>
                </c:pt>
                <c:pt idx="26">
                  <c:v>21.760000000002037</c:v>
                </c:pt>
                <c:pt idx="27">
                  <c:v>21.659999999996217</c:v>
                </c:pt>
                <c:pt idx="28">
                  <c:v>21.780000000013388</c:v>
                </c:pt>
                <c:pt idx="29">
                  <c:v>21.889999999992142</c:v>
                </c:pt>
                <c:pt idx="30">
                  <c:v>20</c:v>
                </c:pt>
                <c:pt idx="31">
                  <c:v>682.83000000000902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75225088"/>
        <c:axId val="155521024"/>
      </c:lineChart>
      <c:catAx>
        <c:axId val="175225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521024"/>
        <c:crosses val="autoZero"/>
        <c:auto val="1"/>
        <c:lblAlgn val="ctr"/>
        <c:lblOffset val="100"/>
        <c:noMultiLvlLbl val="0"/>
      </c:catAx>
      <c:valAx>
        <c:axId val="155521024"/>
        <c:scaling>
          <c:orientation val="minMax"/>
          <c:max val="30"/>
          <c:min val="5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225088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9564"/>
          <c:h val="8.8317037293400014E-2"/>
        </c:manualLayout>
      </c:layout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HLP'!$O$4:$O$35</c:f>
              <c:numCache>
                <c:formatCode>0</c:formatCode>
                <c:ptCount val="32"/>
                <c:pt idx="0">
                  <c:v>278</c:v>
                </c:pt>
                <c:pt idx="1">
                  <c:v>278</c:v>
                </c:pt>
                <c:pt idx="2">
                  <c:v>322</c:v>
                </c:pt>
                <c:pt idx="3">
                  <c:v>267</c:v>
                </c:pt>
                <c:pt idx="4">
                  <c:v>183</c:v>
                </c:pt>
                <c:pt idx="5">
                  <c:v>306</c:v>
                </c:pt>
                <c:pt idx="6">
                  <c:v>224</c:v>
                </c:pt>
                <c:pt idx="7">
                  <c:v>297</c:v>
                </c:pt>
                <c:pt idx="8">
                  <c:v>243</c:v>
                </c:pt>
                <c:pt idx="9">
                  <c:v>258</c:v>
                </c:pt>
                <c:pt idx="10">
                  <c:v>310</c:v>
                </c:pt>
                <c:pt idx="11">
                  <c:v>245</c:v>
                </c:pt>
                <c:pt idx="12">
                  <c:v>223</c:v>
                </c:pt>
                <c:pt idx="13">
                  <c:v>289</c:v>
                </c:pt>
                <c:pt idx="14">
                  <c:v>355</c:v>
                </c:pt>
                <c:pt idx="15">
                  <c:v>272</c:v>
                </c:pt>
                <c:pt idx="16">
                  <c:v>205</c:v>
                </c:pt>
                <c:pt idx="17">
                  <c:v>284</c:v>
                </c:pt>
                <c:pt idx="18">
                  <c:v>231</c:v>
                </c:pt>
                <c:pt idx="19">
                  <c:v>276</c:v>
                </c:pt>
                <c:pt idx="20">
                  <c:v>261</c:v>
                </c:pt>
                <c:pt idx="21">
                  <c:v>275</c:v>
                </c:pt>
                <c:pt idx="22">
                  <c:v>275</c:v>
                </c:pt>
                <c:pt idx="23">
                  <c:v>298</c:v>
                </c:pt>
                <c:pt idx="24">
                  <c:v>294</c:v>
                </c:pt>
                <c:pt idx="25">
                  <c:v>311</c:v>
                </c:pt>
                <c:pt idx="26">
                  <c:v>267</c:v>
                </c:pt>
                <c:pt idx="27">
                  <c:v>300</c:v>
                </c:pt>
                <c:pt idx="28">
                  <c:v>316</c:v>
                </c:pt>
                <c:pt idx="29">
                  <c:v>321</c:v>
                </c:pt>
                <c:pt idx="30">
                  <c:v>194</c:v>
                </c:pt>
                <c:pt idx="31">
                  <c:v>8458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/>
          <c:downBars/>
        </c:upDownBars>
        <c:marker val="1"/>
        <c:smooth val="0"/>
        <c:axId val="155546368"/>
        <c:axId val="155547904"/>
      </c:lineChart>
      <c:catAx>
        <c:axId val="155546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547904"/>
        <c:crosses val="autoZero"/>
        <c:auto val="1"/>
        <c:lblAlgn val="ctr"/>
        <c:lblOffset val="100"/>
        <c:noMultiLvlLbl val="0"/>
      </c:catAx>
      <c:valAx>
        <c:axId val="155547904"/>
        <c:scaling>
          <c:orientation val="minMax"/>
          <c:max val="350"/>
          <c:min val="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546368"/>
        <c:crosses val="autoZero"/>
        <c:crossBetween val="between"/>
        <c:minorUnit val="2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40556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60-41AC-BDD6-063EAD72D46A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60-41AC-BDD6-063EAD72D46A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60-41AC-BDD6-063EAD72D4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HLP'!$L$4:$L$35</c:f>
              <c:numCache>
                <c:formatCode>0</c:formatCode>
                <c:ptCount val="32"/>
                <c:pt idx="0">
                  <c:v>1177.1419999999925</c:v>
                </c:pt>
                <c:pt idx="1">
                  <c:v>1199.5</c:v>
                </c:pt>
                <c:pt idx="2">
                  <c:v>1202</c:v>
                </c:pt>
                <c:pt idx="3">
                  <c:v>1072</c:v>
                </c:pt>
                <c:pt idx="4">
                  <c:v>1031</c:v>
                </c:pt>
                <c:pt idx="5">
                  <c:v>1061</c:v>
                </c:pt>
                <c:pt idx="6">
                  <c:v>1141</c:v>
                </c:pt>
                <c:pt idx="7">
                  <c:v>1112</c:v>
                </c:pt>
                <c:pt idx="8">
                  <c:v>1155</c:v>
                </c:pt>
                <c:pt idx="9">
                  <c:v>1088</c:v>
                </c:pt>
                <c:pt idx="10">
                  <c:v>1166.4580000001006</c:v>
                </c:pt>
                <c:pt idx="11">
                  <c:v>1163.5219999998808</c:v>
                </c:pt>
                <c:pt idx="12">
                  <c:v>1140.0200000000186</c:v>
                </c:pt>
                <c:pt idx="13">
                  <c:v>1190</c:v>
                </c:pt>
                <c:pt idx="14">
                  <c:v>1011</c:v>
                </c:pt>
                <c:pt idx="15">
                  <c:v>1059</c:v>
                </c:pt>
                <c:pt idx="16">
                  <c:v>922</c:v>
                </c:pt>
                <c:pt idx="17">
                  <c:v>1106</c:v>
                </c:pt>
                <c:pt idx="18">
                  <c:v>1171.7999999998137</c:v>
                </c:pt>
                <c:pt idx="19">
                  <c:v>1194.2000000001863</c:v>
                </c:pt>
                <c:pt idx="20">
                  <c:v>1220</c:v>
                </c:pt>
                <c:pt idx="21">
                  <c:v>1281</c:v>
                </c:pt>
                <c:pt idx="22">
                  <c:v>1201</c:v>
                </c:pt>
                <c:pt idx="23">
                  <c:v>1139.910000000149</c:v>
                </c:pt>
                <c:pt idx="24">
                  <c:v>1187.8899999996647</c:v>
                </c:pt>
                <c:pt idx="25">
                  <c:v>1156.3700000001118</c:v>
                </c:pt>
                <c:pt idx="26">
                  <c:v>1160.8300000000745</c:v>
                </c:pt>
                <c:pt idx="27">
                  <c:v>1214</c:v>
                </c:pt>
                <c:pt idx="28">
                  <c:v>1033.1000000000931</c:v>
                </c:pt>
                <c:pt idx="29">
                  <c:v>1104.6529999999329</c:v>
                </c:pt>
                <c:pt idx="30">
                  <c:v>1110.9619999998249</c:v>
                </c:pt>
                <c:pt idx="31">
                  <c:v>35172.356999999844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781568"/>
        <c:axId val="176783360"/>
      </c:lineChart>
      <c:catAx>
        <c:axId val="176781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783360"/>
        <c:crosses val="autoZero"/>
        <c:auto val="1"/>
        <c:lblAlgn val="ctr"/>
        <c:lblOffset val="100"/>
        <c:noMultiLvlLbl val="0"/>
      </c:catAx>
      <c:valAx>
        <c:axId val="176783360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781568"/>
        <c:crosses val="autoZero"/>
        <c:crossBetween val="between"/>
        <c:minorUnit val="5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5744E-2"/>
                  <c:y val="-4.40044004400499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82-4948-A3B6-79164CB9A8BB}"/>
                </c:ext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82-4948-A3B6-79164CB9A8BB}"/>
                </c:ext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82-4948-A3B6-79164CB9A8BB}"/>
                </c:ext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2-4948-A3B6-79164CB9A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HLP'!$AS$4:$AS$35</c:f>
              <c:numCache>
                <c:formatCode>0</c:formatCode>
                <c:ptCount val="32"/>
                <c:pt idx="0">
                  <c:v>2801.9899999999907</c:v>
                </c:pt>
                <c:pt idx="1">
                  <c:v>2851.5600000000559</c:v>
                </c:pt>
                <c:pt idx="2">
                  <c:v>2805.5199999999022</c:v>
                </c:pt>
                <c:pt idx="3">
                  <c:v>2869.9300000000512</c:v>
                </c:pt>
                <c:pt idx="4">
                  <c:v>2895</c:v>
                </c:pt>
                <c:pt idx="5">
                  <c:v>2773</c:v>
                </c:pt>
                <c:pt idx="6">
                  <c:v>2864</c:v>
                </c:pt>
                <c:pt idx="7">
                  <c:v>2814</c:v>
                </c:pt>
                <c:pt idx="8">
                  <c:v>2799.1500000000233</c:v>
                </c:pt>
                <c:pt idx="9">
                  <c:v>2694.7199999999721</c:v>
                </c:pt>
                <c:pt idx="10">
                  <c:v>2815.8000000000466</c:v>
                </c:pt>
                <c:pt idx="11">
                  <c:v>2692.2299999999814</c:v>
                </c:pt>
                <c:pt idx="12">
                  <c:v>2910.0999999999767</c:v>
                </c:pt>
                <c:pt idx="13">
                  <c:v>2750.1899999999441</c:v>
                </c:pt>
                <c:pt idx="14">
                  <c:v>2641.6800000000512</c:v>
                </c:pt>
                <c:pt idx="15">
                  <c:v>2793.1300000000047</c:v>
                </c:pt>
                <c:pt idx="16">
                  <c:v>2759</c:v>
                </c:pt>
                <c:pt idx="17">
                  <c:v>2725</c:v>
                </c:pt>
                <c:pt idx="18">
                  <c:v>2754.6300000000047</c:v>
                </c:pt>
                <c:pt idx="19">
                  <c:v>2766.3699999999953</c:v>
                </c:pt>
                <c:pt idx="20">
                  <c:v>2740</c:v>
                </c:pt>
                <c:pt idx="21">
                  <c:v>2680</c:v>
                </c:pt>
                <c:pt idx="22">
                  <c:v>2702.6700000000419</c:v>
                </c:pt>
                <c:pt idx="23">
                  <c:v>2635.5999999999767</c:v>
                </c:pt>
                <c:pt idx="24">
                  <c:v>2764.7299999999814</c:v>
                </c:pt>
                <c:pt idx="25">
                  <c:v>2594.4699999999721</c:v>
                </c:pt>
                <c:pt idx="26">
                  <c:v>2809.5999999999767</c:v>
                </c:pt>
                <c:pt idx="27">
                  <c:v>2622.8000000000466</c:v>
                </c:pt>
                <c:pt idx="28">
                  <c:v>2866.7199999999721</c:v>
                </c:pt>
                <c:pt idx="29">
                  <c:v>2812</c:v>
                </c:pt>
                <c:pt idx="30">
                  <c:v>2840.4100000000326</c:v>
                </c:pt>
                <c:pt idx="31">
                  <c:v>85846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HLP'!$BC$4:$BC$33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-3.0000000027939677E-2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3.0000000027939677E-2</c:v>
                </c:pt>
                <c:pt idx="9">
                  <c:v>0</c:v>
                </c:pt>
                <c:pt idx="10">
                  <c:v>5.9999999939464033E-2</c:v>
                </c:pt>
                <c:pt idx="11">
                  <c:v>-5.9999999939464033E-2</c:v>
                </c:pt>
                <c:pt idx="12">
                  <c:v>-3.0000000027939677E-2</c:v>
                </c:pt>
                <c:pt idx="13">
                  <c:v>3.0000000027939677E-2</c:v>
                </c:pt>
                <c:pt idx="14">
                  <c:v>0</c:v>
                </c:pt>
                <c:pt idx="15">
                  <c:v>-3.0000000027939677E-2</c:v>
                </c:pt>
                <c:pt idx="16">
                  <c:v>0</c:v>
                </c:pt>
                <c:pt idx="17">
                  <c:v>0</c:v>
                </c:pt>
                <c:pt idx="18">
                  <c:v>3.0000000027939677E-2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3.0000000027939677E-2</c:v>
                </c:pt>
                <c:pt idx="26">
                  <c:v>0</c:v>
                </c:pt>
                <c:pt idx="27">
                  <c:v>0</c:v>
                </c:pt>
                <c:pt idx="28">
                  <c:v>-3.0000000027939677E-2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smooth val="0"/>
        <c:axId val="176829568"/>
        <c:axId val="176831104"/>
      </c:lineChart>
      <c:catAx>
        <c:axId val="176829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831104"/>
        <c:crosses val="autoZero"/>
        <c:auto val="1"/>
        <c:lblAlgn val="ctr"/>
        <c:lblOffset val="100"/>
        <c:noMultiLvlLbl val="0"/>
      </c:catAx>
      <c:valAx>
        <c:axId val="176831104"/>
        <c:scaling>
          <c:orientation val="minMax"/>
          <c:max val="9000"/>
          <c:min val="6000"/>
        </c:scaling>
        <c:delete val="0"/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829568"/>
        <c:crosses val="autoZero"/>
        <c:crossBetween val="between"/>
        <c:minorUnit val="50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3E-4A65-83A0-B64B8987BB0B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3E-4A65-83A0-B64B8987BB0B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3E-4A65-83A0-B64B8987BB0B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3E-4A65-83A0-B64B8987BB0B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3E-4A65-83A0-B64B8987B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HLP'!$AP$4:$AP$35</c:f>
              <c:numCache>
                <c:formatCode>0</c:formatCode>
                <c:ptCount val="32"/>
                <c:pt idx="0">
                  <c:v>2959.359999999986</c:v>
                </c:pt>
                <c:pt idx="1">
                  <c:v>2538.8800000000047</c:v>
                </c:pt>
                <c:pt idx="2">
                  <c:v>2965.7700000000186</c:v>
                </c:pt>
                <c:pt idx="3">
                  <c:v>2307</c:v>
                </c:pt>
                <c:pt idx="4">
                  <c:v>2575</c:v>
                </c:pt>
                <c:pt idx="5">
                  <c:v>2414</c:v>
                </c:pt>
                <c:pt idx="6">
                  <c:v>2461</c:v>
                </c:pt>
                <c:pt idx="7">
                  <c:v>2488</c:v>
                </c:pt>
                <c:pt idx="8">
                  <c:v>2402.1500000000233</c:v>
                </c:pt>
                <c:pt idx="9">
                  <c:v>2544.5799999999581</c:v>
                </c:pt>
                <c:pt idx="10">
                  <c:v>2554.140000000014</c:v>
                </c:pt>
                <c:pt idx="11">
                  <c:v>2588.5200000000186</c:v>
                </c:pt>
                <c:pt idx="12">
                  <c:v>2684.609999999986</c:v>
                </c:pt>
                <c:pt idx="13">
                  <c:v>2738.789999999979</c:v>
                </c:pt>
                <c:pt idx="14">
                  <c:v>3192.6100000000442</c:v>
                </c:pt>
                <c:pt idx="15">
                  <c:v>1881.5999999999767</c:v>
                </c:pt>
                <c:pt idx="16">
                  <c:v>2452</c:v>
                </c:pt>
                <c:pt idx="17">
                  <c:v>2431</c:v>
                </c:pt>
                <c:pt idx="18">
                  <c:v>2237.2700000000186</c:v>
                </c:pt>
                <c:pt idx="19">
                  <c:v>2251.7299999999814</c:v>
                </c:pt>
                <c:pt idx="20">
                  <c:v>2262</c:v>
                </c:pt>
                <c:pt idx="21">
                  <c:v>2197</c:v>
                </c:pt>
                <c:pt idx="22">
                  <c:v>2105.9899999999907</c:v>
                </c:pt>
                <c:pt idx="23">
                  <c:v>1984.640000000014</c:v>
                </c:pt>
                <c:pt idx="24">
                  <c:v>2042.3699999999953</c:v>
                </c:pt>
                <c:pt idx="25">
                  <c:v>2060.2700000000186</c:v>
                </c:pt>
                <c:pt idx="26">
                  <c:v>2172.4799999999814</c:v>
                </c:pt>
                <c:pt idx="27">
                  <c:v>2164.5200000000186</c:v>
                </c:pt>
                <c:pt idx="28">
                  <c:v>2667.2800000000279</c:v>
                </c:pt>
                <c:pt idx="29">
                  <c:v>2464.4499999999534</c:v>
                </c:pt>
                <c:pt idx="30">
                  <c:v>2749</c:v>
                </c:pt>
                <c:pt idx="31">
                  <c:v>75538.010000000009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864256"/>
        <c:axId val="176870144"/>
      </c:lineChart>
      <c:catAx>
        <c:axId val="176864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870144"/>
        <c:crosses val="autoZero"/>
        <c:auto val="1"/>
        <c:lblAlgn val="ctr"/>
        <c:lblOffset val="100"/>
        <c:noMultiLvlLbl val="0"/>
      </c:catAx>
      <c:valAx>
        <c:axId val="176870144"/>
        <c:scaling>
          <c:orientation val="minMax"/>
          <c:max val="5000"/>
          <c:min val="35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86425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0.92</c:v>
                </c:pt>
                <c:pt idx="1">
                  <c:v>0.46</c:v>
                </c:pt>
                <c:pt idx="2">
                  <c:v>0.8</c:v>
                </c:pt>
                <c:pt idx="3">
                  <c:v>1</c:v>
                </c:pt>
                <c:pt idx="4">
                  <c:v>0.81</c:v>
                </c:pt>
                <c:pt idx="5">
                  <c:v>0.8</c:v>
                </c:pt>
                <c:pt idx="6">
                  <c:v>0.84</c:v>
                </c:pt>
                <c:pt idx="7">
                  <c:v>0.74</c:v>
                </c:pt>
                <c:pt idx="8">
                  <c:v>0.49</c:v>
                </c:pt>
                <c:pt idx="9">
                  <c:v>0.91</c:v>
                </c:pt>
                <c:pt idx="10">
                  <c:v>0.5</c:v>
                </c:pt>
                <c:pt idx="11">
                  <c:v>0.49</c:v>
                </c:pt>
                <c:pt idx="12">
                  <c:v>0.49</c:v>
                </c:pt>
                <c:pt idx="13">
                  <c:v>0.5</c:v>
                </c:pt>
                <c:pt idx="14">
                  <c:v>0.5</c:v>
                </c:pt>
                <c:pt idx="15">
                  <c:v>0.83</c:v>
                </c:pt>
                <c:pt idx="16">
                  <c:v>0.91</c:v>
                </c:pt>
                <c:pt idx="17">
                  <c:v>0.82</c:v>
                </c:pt>
                <c:pt idx="18">
                  <c:v>0.82</c:v>
                </c:pt>
                <c:pt idx="19">
                  <c:v>0.87</c:v>
                </c:pt>
                <c:pt idx="20">
                  <c:v>0.95</c:v>
                </c:pt>
                <c:pt idx="21">
                  <c:v>0.9</c:v>
                </c:pt>
                <c:pt idx="22">
                  <c:v>0.78</c:v>
                </c:pt>
                <c:pt idx="23">
                  <c:v>0.41</c:v>
                </c:pt>
                <c:pt idx="24">
                  <c:v>0.3861</c:v>
                </c:pt>
                <c:pt idx="25">
                  <c:v>0.37</c:v>
                </c:pt>
                <c:pt idx="26">
                  <c:v>0.76</c:v>
                </c:pt>
                <c:pt idx="27">
                  <c:v>0.8</c:v>
                </c:pt>
                <c:pt idx="28">
                  <c:v>1</c:v>
                </c:pt>
                <c:pt idx="29">
                  <c:v>0.5</c:v>
                </c:pt>
                <c:pt idx="30">
                  <c:v>28</c:v>
                </c:pt>
                <c:pt idx="31">
                  <c:v>1.5921322580645161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718592"/>
        <c:axId val="176720128"/>
      </c:lineChart>
      <c:catAx>
        <c:axId val="176718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720128"/>
        <c:crosses val="autoZero"/>
        <c:auto val="1"/>
        <c:lblAlgn val="ctr"/>
        <c:lblOffset val="100"/>
        <c:noMultiLvlLbl val="0"/>
      </c:catAx>
      <c:valAx>
        <c:axId val="17672012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17671859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varyColors val="0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BC-4B8D-846C-BE863E4393CD}"/>
                </c:ext>
              </c:extLst>
            </c:dLbl>
            <c:dLbl>
              <c:idx val="1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BC-4B8D-846C-BE863E4393CD}"/>
                </c:ext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BC-4B8D-846C-BE863E4393CD}"/>
                </c:ext>
              </c:extLst>
            </c:dLbl>
            <c:dLbl>
              <c:idx val="3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BC-4B8D-846C-BE863E4393CD}"/>
                </c:ext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BC-4B8D-846C-BE863E4393CD}"/>
                </c:ext>
              </c:extLst>
            </c:dLbl>
            <c:dLbl>
              <c:idx val="5"/>
              <c:layout>
                <c:manualLayout>
                  <c:x val="-3.0349013657056216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BC-4B8D-846C-BE863E4393CD}"/>
                </c:ext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BC-4B8D-846C-BE863E4393CD}"/>
                </c:ext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BC-4B8D-846C-BE863E4393CD}"/>
                </c:ext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BC-4B8D-846C-BE863E4393CD}"/>
                </c:ext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BC-4B8D-846C-BE863E4393CD}"/>
                </c:ext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BC-4B8D-846C-BE863E4393CD}"/>
                </c:ext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BC-4B8D-846C-BE863E4393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HLP'!$H$4:$H$35</c:f>
              <c:numCache>
                <c:formatCode>0</c:formatCode>
                <c:ptCount val="32"/>
                <c:pt idx="0">
                  <c:v>21364</c:v>
                </c:pt>
                <c:pt idx="1">
                  <c:v>20873</c:v>
                </c:pt>
                <c:pt idx="2">
                  <c:v>21837</c:v>
                </c:pt>
                <c:pt idx="3">
                  <c:v>21196</c:v>
                </c:pt>
                <c:pt idx="4">
                  <c:v>21078</c:v>
                </c:pt>
                <c:pt idx="5">
                  <c:v>20586</c:v>
                </c:pt>
                <c:pt idx="6">
                  <c:v>21581</c:v>
                </c:pt>
                <c:pt idx="7">
                  <c:v>21598</c:v>
                </c:pt>
                <c:pt idx="8">
                  <c:v>20473</c:v>
                </c:pt>
                <c:pt idx="9">
                  <c:v>21756</c:v>
                </c:pt>
                <c:pt idx="10">
                  <c:v>21784</c:v>
                </c:pt>
                <c:pt idx="11">
                  <c:v>21436</c:v>
                </c:pt>
                <c:pt idx="12">
                  <c:v>22115</c:v>
                </c:pt>
                <c:pt idx="13">
                  <c:v>20896</c:v>
                </c:pt>
                <c:pt idx="14">
                  <c:v>20628.799999999988</c:v>
                </c:pt>
                <c:pt idx="15">
                  <c:v>21502.200000000012</c:v>
                </c:pt>
                <c:pt idx="16">
                  <c:v>20053</c:v>
                </c:pt>
                <c:pt idx="17">
                  <c:v>20452</c:v>
                </c:pt>
                <c:pt idx="18">
                  <c:v>21656</c:v>
                </c:pt>
                <c:pt idx="19">
                  <c:v>21411</c:v>
                </c:pt>
                <c:pt idx="20">
                  <c:v>20821</c:v>
                </c:pt>
                <c:pt idx="21">
                  <c:v>19708</c:v>
                </c:pt>
                <c:pt idx="22">
                  <c:v>20249</c:v>
                </c:pt>
                <c:pt idx="23">
                  <c:v>19443.510000000009</c:v>
                </c:pt>
                <c:pt idx="24">
                  <c:v>19705.400000000023</c:v>
                </c:pt>
                <c:pt idx="25">
                  <c:v>19770.319999999949</c:v>
                </c:pt>
                <c:pt idx="26">
                  <c:v>22441.119999999995</c:v>
                </c:pt>
                <c:pt idx="27">
                  <c:v>22309.650000000023</c:v>
                </c:pt>
                <c:pt idx="28">
                  <c:v>23194.300000000047</c:v>
                </c:pt>
                <c:pt idx="29">
                  <c:v>22328.699999999953</c:v>
                </c:pt>
                <c:pt idx="30">
                  <c:v>24006</c:v>
                </c:pt>
                <c:pt idx="31">
                  <c:v>658253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76978560"/>
        <c:axId val="176980352"/>
      </c:lineChart>
      <c:catAx>
        <c:axId val="176978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980352"/>
        <c:crosses val="autoZero"/>
        <c:auto val="1"/>
        <c:lblAlgn val="ctr"/>
        <c:lblOffset val="100"/>
        <c:noMultiLvlLbl val="0"/>
      </c:catAx>
      <c:valAx>
        <c:axId val="176980352"/>
        <c:scaling>
          <c:orientation val="minMax"/>
          <c:max val="34000"/>
          <c:min val="250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978560"/>
        <c:crosses val="autoZero"/>
        <c:crossBetween val="between"/>
        <c:majorUnit val="2000"/>
      </c:valAx>
    </c:plotArea>
    <c:plotVisOnly val="0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HLP'!$AN$4:$AN$33</c:f>
              <c:numCache>
                <c:formatCode>0</c:formatCode>
                <c:ptCount val="30"/>
                <c:pt idx="0">
                  <c:v>11.360000000000582</c:v>
                </c:pt>
                <c:pt idx="1">
                  <c:v>9.9299999999993815</c:v>
                </c:pt>
                <c:pt idx="2">
                  <c:v>13.660000000000764</c:v>
                </c:pt>
                <c:pt idx="3">
                  <c:v>10.359999999999673</c:v>
                </c:pt>
                <c:pt idx="4">
                  <c:v>11.789999999999964</c:v>
                </c:pt>
                <c:pt idx="5">
                  <c:v>11</c:v>
                </c:pt>
                <c:pt idx="6">
                  <c:v>10.760000000000218</c:v>
                </c:pt>
                <c:pt idx="7">
                  <c:v>11.239999999999782</c:v>
                </c:pt>
                <c:pt idx="8">
                  <c:v>10.449999999999818</c:v>
                </c:pt>
                <c:pt idx="9">
                  <c:v>10.630000000000109</c:v>
                </c:pt>
                <c:pt idx="10">
                  <c:v>11.720000000000255</c:v>
                </c:pt>
                <c:pt idx="11">
                  <c:v>11.199999999999818</c:v>
                </c:pt>
                <c:pt idx="12">
                  <c:v>11.6899999999996</c:v>
                </c:pt>
                <c:pt idx="13">
                  <c:v>11.660000000000764</c:v>
                </c:pt>
                <c:pt idx="14">
                  <c:v>10.909999999999854</c:v>
                </c:pt>
                <c:pt idx="15">
                  <c:v>12.739999999999782</c:v>
                </c:pt>
                <c:pt idx="16">
                  <c:v>11</c:v>
                </c:pt>
                <c:pt idx="17">
                  <c:v>10</c:v>
                </c:pt>
                <c:pt idx="18">
                  <c:v>12.470000000000255</c:v>
                </c:pt>
                <c:pt idx="19">
                  <c:v>11.529999999999745</c:v>
                </c:pt>
                <c:pt idx="20">
                  <c:v>12</c:v>
                </c:pt>
                <c:pt idx="21">
                  <c:v>12</c:v>
                </c:pt>
                <c:pt idx="22">
                  <c:v>10.340000000000146</c:v>
                </c:pt>
                <c:pt idx="23">
                  <c:v>11.130000000000109</c:v>
                </c:pt>
                <c:pt idx="24">
                  <c:v>12.309999999999491</c:v>
                </c:pt>
                <c:pt idx="25">
                  <c:v>12.360000000000582</c:v>
                </c:pt>
                <c:pt idx="26">
                  <c:v>11.049999999999272</c:v>
                </c:pt>
                <c:pt idx="27">
                  <c:v>11.6200000000008</c:v>
                </c:pt>
                <c:pt idx="28">
                  <c:v>11.699999999999818</c:v>
                </c:pt>
                <c:pt idx="29">
                  <c:v>9.4899999999997817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020928"/>
        <c:axId val="177022464"/>
      </c:lineChart>
      <c:catAx>
        <c:axId val="177020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022464"/>
        <c:crosses val="autoZero"/>
        <c:auto val="1"/>
        <c:lblAlgn val="ctr"/>
        <c:lblOffset val="100"/>
        <c:noMultiLvlLbl val="0"/>
      </c:catAx>
      <c:valAx>
        <c:axId val="177022464"/>
        <c:scaling>
          <c:orientation val="minMax"/>
          <c:max val="14"/>
          <c:min val="8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02092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/>
          </a:pPr>
          <a:endParaRPr lang="en-US"/>
        </a:p>
      </c:txPr>
    </c:title>
    <c:autoTitleDeleted val="0"/>
    <c:view3D>
      <c:rotX val="30"/>
      <c:hPercent val="100"/>
      <c:rotY val="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</c:plotArea>
    <c:legend>
      <c:legendPos val="t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828817210434806E-2"/>
          <c:y val="7.4487823818550514E-2"/>
          <c:w val="0.84489954093860065"/>
          <c:h val="0.79838984032443594"/>
        </c:manualLayout>
      </c:layout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303.23999999999978</c:v>
                </c:pt>
                <c:pt idx="1">
                  <c:v>303</c:v>
                </c:pt>
                <c:pt idx="2">
                  <c:v>307</c:v>
                </c:pt>
                <c:pt idx="3">
                  <c:v>307</c:v>
                </c:pt>
                <c:pt idx="4">
                  <c:v>299</c:v>
                </c:pt>
                <c:pt idx="5">
                  <c:v>300.48800000000028</c:v>
                </c:pt>
                <c:pt idx="6">
                  <c:v>293.61200000000008</c:v>
                </c:pt>
                <c:pt idx="7">
                  <c:v>990961</c:v>
                </c:pt>
                <c:pt idx="8">
                  <c:v>297.90000000002328</c:v>
                </c:pt>
                <c:pt idx="9">
                  <c:v>298</c:v>
                </c:pt>
                <c:pt idx="10">
                  <c:v>291</c:v>
                </c:pt>
                <c:pt idx="11">
                  <c:v>113</c:v>
                </c:pt>
                <c:pt idx="12">
                  <c:v>356</c:v>
                </c:pt>
                <c:pt idx="13">
                  <c:v>300</c:v>
                </c:pt>
                <c:pt idx="14">
                  <c:v>283</c:v>
                </c:pt>
                <c:pt idx="15">
                  <c:v>335</c:v>
                </c:pt>
                <c:pt idx="16">
                  <c:v>329</c:v>
                </c:pt>
                <c:pt idx="17">
                  <c:v>324</c:v>
                </c:pt>
                <c:pt idx="18">
                  <c:v>336</c:v>
                </c:pt>
                <c:pt idx="19">
                  <c:v>282.53399999999965</c:v>
                </c:pt>
                <c:pt idx="20">
                  <c:v>298.46600000000035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643.26000000000022</c:v>
                </c:pt>
                <c:pt idx="1">
                  <c:v>554.60000000000036</c:v>
                </c:pt>
                <c:pt idx="2">
                  <c:v>602</c:v>
                </c:pt>
                <c:pt idx="3">
                  <c:v>697</c:v>
                </c:pt>
                <c:pt idx="4">
                  <c:v>659</c:v>
                </c:pt>
                <c:pt idx="5">
                  <c:v>708.51199999999972</c:v>
                </c:pt>
                <c:pt idx="6">
                  <c:v>651.78799999999956</c:v>
                </c:pt>
                <c:pt idx="7">
                  <c:v>-989968.74199999985</c:v>
                </c:pt>
                <c:pt idx="8">
                  <c:v>692.62199999987206</c:v>
                </c:pt>
                <c:pt idx="9">
                  <c:v>686.42000000001281</c:v>
                </c:pt>
                <c:pt idx="10">
                  <c:v>733</c:v>
                </c:pt>
                <c:pt idx="11">
                  <c:v>764.80000000000291</c:v>
                </c:pt>
                <c:pt idx="12">
                  <c:v>554</c:v>
                </c:pt>
                <c:pt idx="13">
                  <c:v>489</c:v>
                </c:pt>
                <c:pt idx="14">
                  <c:v>653</c:v>
                </c:pt>
                <c:pt idx="15">
                  <c:v>682.29999999981374</c:v>
                </c:pt>
                <c:pt idx="16">
                  <c:v>697.70000000018626</c:v>
                </c:pt>
                <c:pt idx="17">
                  <c:v>729</c:v>
                </c:pt>
                <c:pt idx="18">
                  <c:v>767</c:v>
                </c:pt>
                <c:pt idx="19">
                  <c:v>746.46600000000035</c:v>
                </c:pt>
                <c:pt idx="20">
                  <c:v>690.44400000014866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65</c:v>
                </c:pt>
                <c:pt idx="1">
                  <c:v>130</c:v>
                </c:pt>
                <c:pt idx="2">
                  <c:v>100</c:v>
                </c:pt>
                <c:pt idx="3">
                  <c:v>90</c:v>
                </c:pt>
                <c:pt idx="4">
                  <c:v>106</c:v>
                </c:pt>
                <c:pt idx="5">
                  <c:v>107</c:v>
                </c:pt>
                <c:pt idx="6">
                  <c:v>103</c:v>
                </c:pt>
                <c:pt idx="7">
                  <c:v>122.20000000001164</c:v>
                </c:pt>
                <c:pt idx="8">
                  <c:v>116.79999999998836</c:v>
                </c:pt>
                <c:pt idx="9">
                  <c:v>102</c:v>
                </c:pt>
                <c:pt idx="10">
                  <c:v>112</c:v>
                </c:pt>
                <c:pt idx="11">
                  <c:v>93</c:v>
                </c:pt>
                <c:pt idx="12">
                  <c:v>101</c:v>
                </c:pt>
                <c:pt idx="13">
                  <c:v>82</c:v>
                </c:pt>
                <c:pt idx="14">
                  <c:v>117</c:v>
                </c:pt>
                <c:pt idx="15">
                  <c:v>102.5</c:v>
                </c:pt>
                <c:pt idx="16">
                  <c:v>108.5</c:v>
                </c:pt>
                <c:pt idx="17">
                  <c:v>102</c:v>
                </c:pt>
                <c:pt idx="18">
                  <c:v>114</c:v>
                </c:pt>
                <c:pt idx="19">
                  <c:v>110</c:v>
                </c:pt>
                <c:pt idx="20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388544"/>
        <c:axId val="177398528"/>
      </c:lineChart>
      <c:catAx>
        <c:axId val="17738854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77398528"/>
        <c:crosses val="autoZero"/>
        <c:auto val="1"/>
        <c:lblAlgn val="ctr"/>
        <c:lblOffset val="100"/>
        <c:noMultiLvlLbl val="0"/>
      </c:catAx>
      <c:valAx>
        <c:axId val="17739852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7738854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dLbls>
            <c:dLbl>
              <c:idx val="0"/>
              <c:layout>
                <c:manualLayout>
                  <c:x val="-1.8126888217540566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5-40EB-8609-4B8F01FF39E4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5-40EB-8609-4B8F01FF39E4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5-40EB-8609-4B8F01FF39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0.20634844400882035</c:v>
                </c:pt>
                <c:pt idx="1">
                  <c:v>4203.2700000000768</c:v>
                </c:pt>
                <c:pt idx="2">
                  <c:v>4668.1099999999278</c:v>
                </c:pt>
                <c:pt idx="3">
                  <c:v>4497.0600000000559</c:v>
                </c:pt>
                <c:pt idx="4">
                  <c:v>0</c:v>
                </c:pt>
                <c:pt idx="5">
                  <c:v>4307</c:v>
                </c:pt>
                <c:pt idx="6">
                  <c:v>4797</c:v>
                </c:pt>
                <c:pt idx="7">
                  <c:v>4796</c:v>
                </c:pt>
                <c:pt idx="8">
                  <c:v>3941.3099999999977</c:v>
                </c:pt>
                <c:pt idx="9">
                  <c:v>4480.539999999979</c:v>
                </c:pt>
                <c:pt idx="10">
                  <c:v>4569.710000000021</c:v>
                </c:pt>
                <c:pt idx="11">
                  <c:v>3166.2000000000698</c:v>
                </c:pt>
                <c:pt idx="12">
                  <c:v>2810.3799999999464</c:v>
                </c:pt>
                <c:pt idx="13">
                  <c:v>2290.109999999986</c:v>
                </c:pt>
                <c:pt idx="14">
                  <c:v>2576.7100000000792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80898432"/>
        <c:axId val="180908416"/>
      </c:lineChart>
      <c:lineChart>
        <c:grouping val="stacke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179221</c:v>
                </c:pt>
                <c:pt idx="1">
                  <c:v>200094</c:v>
                </c:pt>
                <c:pt idx="2">
                  <c:v>243127</c:v>
                </c:pt>
                <c:pt idx="3">
                  <c:v>221931</c:v>
                </c:pt>
                <c:pt idx="4">
                  <c:v>0</c:v>
                </c:pt>
                <c:pt idx="5">
                  <c:v>284791</c:v>
                </c:pt>
                <c:pt idx="6">
                  <c:v>306372</c:v>
                </c:pt>
                <c:pt idx="7">
                  <c:v>327970</c:v>
                </c:pt>
                <c:pt idx="8">
                  <c:v>348443</c:v>
                </c:pt>
                <c:pt idx="9">
                  <c:v>370199</c:v>
                </c:pt>
                <c:pt idx="10">
                  <c:v>391983</c:v>
                </c:pt>
                <c:pt idx="11">
                  <c:v>413419</c:v>
                </c:pt>
                <c:pt idx="12">
                  <c:v>435534</c:v>
                </c:pt>
                <c:pt idx="13">
                  <c:v>456430</c:v>
                </c:pt>
                <c:pt idx="14">
                  <c:v>477058.8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909952"/>
        <c:axId val="180911488"/>
      </c:lineChart>
      <c:catAx>
        <c:axId val="180898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908416"/>
        <c:crosses val="autoZero"/>
        <c:auto val="1"/>
        <c:lblAlgn val="ctr"/>
        <c:lblOffset val="100"/>
        <c:noMultiLvlLbl val="0"/>
      </c:catAx>
      <c:valAx>
        <c:axId val="180908416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898432"/>
        <c:crosses val="autoZero"/>
        <c:crossBetween val="between"/>
        <c:minorUnit val="50"/>
      </c:valAx>
      <c:catAx>
        <c:axId val="180909952"/>
        <c:scaling>
          <c:orientation val="minMax"/>
        </c:scaling>
        <c:delete val="1"/>
        <c:axPos val="b"/>
        <c:majorTickMark val="out"/>
        <c:minorTickMark val="none"/>
        <c:tickLblPos val="none"/>
        <c:crossAx val="180911488"/>
        <c:crosses val="autoZero"/>
        <c:auto val="1"/>
        <c:lblAlgn val="ctr"/>
        <c:lblOffset val="100"/>
        <c:noMultiLvlLbl val="0"/>
      </c:catAx>
      <c:valAx>
        <c:axId val="180911488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909952"/>
        <c:crosses val="max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9C-4A5D-8657-5B775079F214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9C-4A5D-8657-5B775079F214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9C-4A5D-8657-5B775079F214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C-4A5D-8657-5B775079F214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9C-4A5D-8657-5B775079F2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620096"/>
        <c:axId val="181621888"/>
      </c:lineChart>
      <c:catAx>
        <c:axId val="181620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621888"/>
        <c:crosses val="autoZero"/>
        <c:auto val="1"/>
        <c:lblAlgn val="ctr"/>
        <c:lblOffset val="100"/>
        <c:noMultiLvlLbl val="0"/>
      </c:catAx>
      <c:valAx>
        <c:axId val="181621888"/>
        <c:scaling>
          <c:orientation val="minMax"/>
          <c:max val="5000"/>
          <c:min val="35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62009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179221</c:v>
                </c:pt>
                <c:pt idx="1">
                  <c:v>200094</c:v>
                </c:pt>
                <c:pt idx="2">
                  <c:v>243127</c:v>
                </c:pt>
                <c:pt idx="3">
                  <c:v>221931</c:v>
                </c:pt>
                <c:pt idx="4">
                  <c:v>0</c:v>
                </c:pt>
                <c:pt idx="5">
                  <c:v>284791</c:v>
                </c:pt>
                <c:pt idx="6">
                  <c:v>306372</c:v>
                </c:pt>
                <c:pt idx="7">
                  <c:v>327970</c:v>
                </c:pt>
                <c:pt idx="8">
                  <c:v>348443</c:v>
                </c:pt>
                <c:pt idx="9">
                  <c:v>370199</c:v>
                </c:pt>
                <c:pt idx="10">
                  <c:v>391983</c:v>
                </c:pt>
                <c:pt idx="11">
                  <c:v>413419</c:v>
                </c:pt>
                <c:pt idx="12">
                  <c:v>435534</c:v>
                </c:pt>
                <c:pt idx="13">
                  <c:v>456430</c:v>
                </c:pt>
                <c:pt idx="14">
                  <c:v>477058.8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81659136"/>
        <c:axId val="181660672"/>
      </c:lineChart>
      <c:catAx>
        <c:axId val="181659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660672"/>
        <c:crosses val="autoZero"/>
        <c:auto val="1"/>
        <c:lblAlgn val="ctr"/>
        <c:lblOffset val="100"/>
        <c:noMultiLvlLbl val="0"/>
      </c:catAx>
      <c:valAx>
        <c:axId val="181660672"/>
        <c:scaling>
          <c:orientation val="minMax"/>
          <c:min val="1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65913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94735"/>
        </c:manualLayout>
      </c:layout>
      <c:lineChart>
        <c:grouping val="standard"/>
        <c:varyColors val="0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214</c:v>
                </c:pt>
                <c:pt idx="1">
                  <c:v>178</c:v>
                </c:pt>
                <c:pt idx="2">
                  <c:v>177</c:v>
                </c:pt>
                <c:pt idx="3">
                  <c:v>200</c:v>
                </c:pt>
                <c:pt idx="4">
                  <c:v>0</c:v>
                </c:pt>
                <c:pt idx="5">
                  <c:v>228</c:v>
                </c:pt>
                <c:pt idx="6">
                  <c:v>197</c:v>
                </c:pt>
                <c:pt idx="7">
                  <c:v>614</c:v>
                </c:pt>
                <c:pt idx="8">
                  <c:v>656</c:v>
                </c:pt>
                <c:pt idx="9">
                  <c:v>214</c:v>
                </c:pt>
                <c:pt idx="10">
                  <c:v>242</c:v>
                </c:pt>
                <c:pt idx="11">
                  <c:v>139</c:v>
                </c:pt>
                <c:pt idx="12">
                  <c:v>270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203136"/>
        <c:axId val="182204672"/>
      </c:lineChart>
      <c:lineChart>
        <c:grouping val="standar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179221</c:v>
                </c:pt>
                <c:pt idx="1">
                  <c:v>200094</c:v>
                </c:pt>
                <c:pt idx="2">
                  <c:v>243127</c:v>
                </c:pt>
                <c:pt idx="3">
                  <c:v>221931</c:v>
                </c:pt>
                <c:pt idx="4">
                  <c:v>0</c:v>
                </c:pt>
                <c:pt idx="5">
                  <c:v>284791</c:v>
                </c:pt>
                <c:pt idx="6">
                  <c:v>306372</c:v>
                </c:pt>
                <c:pt idx="7">
                  <c:v>327970</c:v>
                </c:pt>
                <c:pt idx="8">
                  <c:v>348443</c:v>
                </c:pt>
                <c:pt idx="9">
                  <c:v>370199</c:v>
                </c:pt>
                <c:pt idx="10">
                  <c:v>391983</c:v>
                </c:pt>
                <c:pt idx="11">
                  <c:v>413419</c:v>
                </c:pt>
                <c:pt idx="12">
                  <c:v>435534</c:v>
                </c:pt>
                <c:pt idx="13">
                  <c:v>456430</c:v>
                </c:pt>
                <c:pt idx="14">
                  <c:v>477058.8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226944"/>
        <c:axId val="182228480"/>
      </c:lineChart>
      <c:catAx>
        <c:axId val="182203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204672"/>
        <c:crosses val="autoZero"/>
        <c:auto val="1"/>
        <c:lblAlgn val="ctr"/>
        <c:lblOffset val="100"/>
        <c:noMultiLvlLbl val="0"/>
      </c:catAx>
      <c:valAx>
        <c:axId val="182204672"/>
        <c:scaling>
          <c:orientation val="minMax"/>
          <c:min val="6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203136"/>
        <c:crosses val="autoZero"/>
        <c:crossBetween val="between"/>
      </c:valAx>
      <c:catAx>
        <c:axId val="182226944"/>
        <c:scaling>
          <c:orientation val="minMax"/>
        </c:scaling>
        <c:delete val="1"/>
        <c:axPos val="b"/>
        <c:majorTickMark val="out"/>
        <c:minorTickMark val="none"/>
        <c:tickLblPos val="none"/>
        <c:crossAx val="182228480"/>
        <c:crosses val="autoZero"/>
        <c:auto val="1"/>
        <c:lblAlgn val="ctr"/>
        <c:lblOffset val="100"/>
        <c:noMultiLvlLbl val="0"/>
      </c:catAx>
      <c:valAx>
        <c:axId val="182228480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22694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varyColors val="0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33</c:v>
                </c:pt>
                <c:pt idx="1">
                  <c:v>12</c:v>
                </c:pt>
                <c:pt idx="2">
                  <c:v>30</c:v>
                </c:pt>
                <c:pt idx="3">
                  <c:v>31</c:v>
                </c:pt>
                <c:pt idx="4">
                  <c:v>0</c:v>
                </c:pt>
                <c:pt idx="5">
                  <c:v>25</c:v>
                </c:pt>
                <c:pt idx="6">
                  <c:v>29</c:v>
                </c:pt>
                <c:pt idx="7">
                  <c:v>21</c:v>
                </c:pt>
                <c:pt idx="8">
                  <c:v>16</c:v>
                </c:pt>
                <c:pt idx="9">
                  <c:v>26</c:v>
                </c:pt>
                <c:pt idx="10">
                  <c:v>24</c:v>
                </c:pt>
                <c:pt idx="11">
                  <c:v>19</c:v>
                </c:pt>
                <c:pt idx="12">
                  <c:v>17</c:v>
                </c:pt>
                <c:pt idx="13">
                  <c:v>14</c:v>
                </c:pt>
                <c:pt idx="14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10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0</c:v>
                </c:pt>
                <c:pt idx="5">
                  <c:v>11</c:v>
                </c:pt>
                <c:pt idx="6">
                  <c:v>5</c:v>
                </c:pt>
                <c:pt idx="7">
                  <c:v>14</c:v>
                </c:pt>
                <c:pt idx="8">
                  <c:v>7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26</c:v>
                </c:pt>
                <c:pt idx="13">
                  <c:v>239</c:v>
                </c:pt>
                <c:pt idx="14">
                  <c:v>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276096"/>
        <c:axId val="182277632"/>
      </c:lineChart>
      <c:lineChart>
        <c:grouping val="standard"/>
        <c:varyColors val="0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179221</c:v>
                </c:pt>
                <c:pt idx="1">
                  <c:v>200094</c:v>
                </c:pt>
                <c:pt idx="2">
                  <c:v>243127</c:v>
                </c:pt>
                <c:pt idx="3">
                  <c:v>221931</c:v>
                </c:pt>
                <c:pt idx="4">
                  <c:v>0</c:v>
                </c:pt>
                <c:pt idx="5">
                  <c:v>284791</c:v>
                </c:pt>
                <c:pt idx="6">
                  <c:v>306372</c:v>
                </c:pt>
                <c:pt idx="7">
                  <c:v>327970</c:v>
                </c:pt>
                <c:pt idx="8">
                  <c:v>348443</c:v>
                </c:pt>
                <c:pt idx="9">
                  <c:v>370199</c:v>
                </c:pt>
                <c:pt idx="10">
                  <c:v>391983</c:v>
                </c:pt>
                <c:pt idx="11">
                  <c:v>413419</c:v>
                </c:pt>
                <c:pt idx="12">
                  <c:v>435534</c:v>
                </c:pt>
                <c:pt idx="13">
                  <c:v>456430</c:v>
                </c:pt>
                <c:pt idx="14">
                  <c:v>477058.8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279168"/>
        <c:axId val="182285056"/>
      </c:lineChart>
      <c:catAx>
        <c:axId val="182276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277632"/>
        <c:crosses val="autoZero"/>
        <c:auto val="1"/>
        <c:lblAlgn val="ctr"/>
        <c:lblOffset val="100"/>
        <c:noMultiLvlLbl val="0"/>
      </c:catAx>
      <c:valAx>
        <c:axId val="182277632"/>
        <c:scaling>
          <c:orientation val="minMax"/>
          <c:min val="8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276096"/>
        <c:crosses val="autoZero"/>
        <c:crossBetween val="between"/>
        <c:majorUnit val="2"/>
      </c:valAx>
      <c:catAx>
        <c:axId val="182279168"/>
        <c:scaling>
          <c:orientation val="minMax"/>
        </c:scaling>
        <c:delete val="1"/>
        <c:axPos val="b"/>
        <c:majorTickMark val="out"/>
        <c:minorTickMark val="none"/>
        <c:tickLblPos val="none"/>
        <c:crossAx val="182285056"/>
        <c:crosses val="autoZero"/>
        <c:auto val="1"/>
        <c:lblAlgn val="ctr"/>
        <c:lblOffset val="100"/>
        <c:noMultiLvlLbl val="0"/>
      </c:catAx>
      <c:valAx>
        <c:axId val="182285056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279168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68</xdr:row>
      <xdr:rowOff>28575</xdr:rowOff>
    </xdr:from>
    <xdr:to>
      <xdr:col>26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323850</xdr:colOff>
      <xdr:row>82</xdr:row>
      <xdr:rowOff>0</xdr:rowOff>
    </xdr:from>
    <xdr:to>
      <xdr:col>26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11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11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285750</xdr:colOff>
      <xdr:row>53</xdr:row>
      <xdr:rowOff>95250</xdr:rowOff>
    </xdr:from>
    <xdr:to>
      <xdr:col>27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15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16328</xdr:colOff>
      <xdr:row>37</xdr:row>
      <xdr:rowOff>163285</xdr:rowOff>
    </xdr:from>
    <xdr:to>
      <xdr:col>24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11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11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47</xdr:row>
      <xdr:rowOff>108057</xdr:rowOff>
    </xdr:from>
    <xdr:to>
      <xdr:col>42</xdr:col>
      <xdr:colOff>313765</xdr:colOff>
      <xdr:row>61</xdr:row>
      <xdr:rowOff>27216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oe.ElKhoury\AppData\Local\Microsoft\Windows\INetCache\Content.Outlook\SR778SAZ\2FS%20Mumbai_HEP_Daily_Mar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C:\Users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workbookViewId="0">
      <selection activeCell="N11" sqref="N11"/>
    </sheetView>
  </sheetViews>
  <sheetFormatPr defaultColWidth="9" defaultRowHeight="15"/>
  <cols>
    <col min="1" max="1" width="9.6640625" style="279" customWidth="1"/>
    <col min="2" max="3" width="9" style="273"/>
    <col min="4" max="4" width="10.44140625" style="274" customWidth="1"/>
    <col min="5" max="5" width="9.77734375" style="275" customWidth="1"/>
    <col min="6" max="6" width="9.77734375" style="279" customWidth="1"/>
    <col min="7" max="10" width="9" style="279"/>
    <col min="11" max="12" width="9" style="275"/>
    <col min="13" max="13" width="0" style="278" hidden="1" customWidth="1"/>
    <col min="14" max="256" width="9" style="278"/>
    <col min="257" max="257" width="9.6640625" style="278" customWidth="1"/>
    <col min="258" max="259" width="9" style="278"/>
    <col min="260" max="260" width="10.44140625" style="278" customWidth="1"/>
    <col min="261" max="262" width="9.77734375" style="278" customWidth="1"/>
    <col min="263" max="268" width="9" style="278"/>
    <col min="269" max="269" width="0" style="278" hidden="1" customWidth="1"/>
    <col min="270" max="512" width="9" style="278"/>
    <col min="513" max="513" width="9.6640625" style="278" customWidth="1"/>
    <col min="514" max="515" width="9" style="278"/>
    <col min="516" max="516" width="10.44140625" style="278" customWidth="1"/>
    <col min="517" max="518" width="9.77734375" style="278" customWidth="1"/>
    <col min="519" max="524" width="9" style="278"/>
    <col min="525" max="525" width="0" style="278" hidden="1" customWidth="1"/>
    <col min="526" max="768" width="9" style="278"/>
    <col min="769" max="769" width="9.6640625" style="278" customWidth="1"/>
    <col min="770" max="771" width="9" style="278"/>
    <col min="772" max="772" width="10.44140625" style="278" customWidth="1"/>
    <col min="773" max="774" width="9.77734375" style="278" customWidth="1"/>
    <col min="775" max="780" width="9" style="278"/>
    <col min="781" max="781" width="0" style="278" hidden="1" customWidth="1"/>
    <col min="782" max="1024" width="9" style="278"/>
    <col min="1025" max="1025" width="9.6640625" style="278" customWidth="1"/>
    <col min="1026" max="1027" width="9" style="278"/>
    <col min="1028" max="1028" width="10.44140625" style="278" customWidth="1"/>
    <col min="1029" max="1030" width="9.77734375" style="278" customWidth="1"/>
    <col min="1031" max="1036" width="9" style="278"/>
    <col min="1037" max="1037" width="0" style="278" hidden="1" customWidth="1"/>
    <col min="1038" max="1280" width="9" style="278"/>
    <col min="1281" max="1281" width="9.6640625" style="278" customWidth="1"/>
    <col min="1282" max="1283" width="9" style="278"/>
    <col min="1284" max="1284" width="10.44140625" style="278" customWidth="1"/>
    <col min="1285" max="1286" width="9.77734375" style="278" customWidth="1"/>
    <col min="1287" max="1292" width="9" style="278"/>
    <col min="1293" max="1293" width="0" style="278" hidden="1" customWidth="1"/>
    <col min="1294" max="1536" width="9" style="278"/>
    <col min="1537" max="1537" width="9.6640625" style="278" customWidth="1"/>
    <col min="1538" max="1539" width="9" style="278"/>
    <col min="1540" max="1540" width="10.44140625" style="278" customWidth="1"/>
    <col min="1541" max="1542" width="9.77734375" style="278" customWidth="1"/>
    <col min="1543" max="1548" width="9" style="278"/>
    <col min="1549" max="1549" width="0" style="278" hidden="1" customWidth="1"/>
    <col min="1550" max="1792" width="9" style="278"/>
    <col min="1793" max="1793" width="9.6640625" style="278" customWidth="1"/>
    <col min="1794" max="1795" width="9" style="278"/>
    <col min="1796" max="1796" width="10.44140625" style="278" customWidth="1"/>
    <col min="1797" max="1798" width="9.77734375" style="278" customWidth="1"/>
    <col min="1799" max="1804" width="9" style="278"/>
    <col min="1805" max="1805" width="0" style="278" hidden="1" customWidth="1"/>
    <col min="1806" max="2048" width="9" style="278"/>
    <col min="2049" max="2049" width="9.6640625" style="278" customWidth="1"/>
    <col min="2050" max="2051" width="9" style="278"/>
    <col min="2052" max="2052" width="10.44140625" style="278" customWidth="1"/>
    <col min="2053" max="2054" width="9.77734375" style="278" customWidth="1"/>
    <col min="2055" max="2060" width="9" style="278"/>
    <col min="2061" max="2061" width="0" style="278" hidden="1" customWidth="1"/>
    <col min="2062" max="2304" width="9" style="278"/>
    <col min="2305" max="2305" width="9.6640625" style="278" customWidth="1"/>
    <col min="2306" max="2307" width="9" style="278"/>
    <col min="2308" max="2308" width="10.44140625" style="278" customWidth="1"/>
    <col min="2309" max="2310" width="9.77734375" style="278" customWidth="1"/>
    <col min="2311" max="2316" width="9" style="278"/>
    <col min="2317" max="2317" width="0" style="278" hidden="1" customWidth="1"/>
    <col min="2318" max="2560" width="9" style="278"/>
    <col min="2561" max="2561" width="9.6640625" style="278" customWidth="1"/>
    <col min="2562" max="2563" width="9" style="278"/>
    <col min="2564" max="2564" width="10.44140625" style="278" customWidth="1"/>
    <col min="2565" max="2566" width="9.77734375" style="278" customWidth="1"/>
    <col min="2567" max="2572" width="9" style="278"/>
    <col min="2573" max="2573" width="0" style="278" hidden="1" customWidth="1"/>
    <col min="2574" max="2816" width="9" style="278"/>
    <col min="2817" max="2817" width="9.6640625" style="278" customWidth="1"/>
    <col min="2818" max="2819" width="9" style="278"/>
    <col min="2820" max="2820" width="10.44140625" style="278" customWidth="1"/>
    <col min="2821" max="2822" width="9.77734375" style="278" customWidth="1"/>
    <col min="2823" max="2828" width="9" style="278"/>
    <col min="2829" max="2829" width="0" style="278" hidden="1" customWidth="1"/>
    <col min="2830" max="3072" width="9" style="278"/>
    <col min="3073" max="3073" width="9.6640625" style="278" customWidth="1"/>
    <col min="3074" max="3075" width="9" style="278"/>
    <col min="3076" max="3076" width="10.44140625" style="278" customWidth="1"/>
    <col min="3077" max="3078" width="9.77734375" style="278" customWidth="1"/>
    <col min="3079" max="3084" width="9" style="278"/>
    <col min="3085" max="3085" width="0" style="278" hidden="1" customWidth="1"/>
    <col min="3086" max="3328" width="9" style="278"/>
    <col min="3329" max="3329" width="9.6640625" style="278" customWidth="1"/>
    <col min="3330" max="3331" width="9" style="278"/>
    <col min="3332" max="3332" width="10.44140625" style="278" customWidth="1"/>
    <col min="3333" max="3334" width="9.77734375" style="278" customWidth="1"/>
    <col min="3335" max="3340" width="9" style="278"/>
    <col min="3341" max="3341" width="0" style="278" hidden="1" customWidth="1"/>
    <col min="3342" max="3584" width="9" style="278"/>
    <col min="3585" max="3585" width="9.6640625" style="278" customWidth="1"/>
    <col min="3586" max="3587" width="9" style="278"/>
    <col min="3588" max="3588" width="10.44140625" style="278" customWidth="1"/>
    <col min="3589" max="3590" width="9.77734375" style="278" customWidth="1"/>
    <col min="3591" max="3596" width="9" style="278"/>
    <col min="3597" max="3597" width="0" style="278" hidden="1" customWidth="1"/>
    <col min="3598" max="3840" width="9" style="278"/>
    <col min="3841" max="3841" width="9.6640625" style="278" customWidth="1"/>
    <col min="3842" max="3843" width="9" style="278"/>
    <col min="3844" max="3844" width="10.44140625" style="278" customWidth="1"/>
    <col min="3845" max="3846" width="9.77734375" style="278" customWidth="1"/>
    <col min="3847" max="3852" width="9" style="278"/>
    <col min="3853" max="3853" width="0" style="278" hidden="1" customWidth="1"/>
    <col min="3854" max="4096" width="9" style="278"/>
    <col min="4097" max="4097" width="9.6640625" style="278" customWidth="1"/>
    <col min="4098" max="4099" width="9" style="278"/>
    <col min="4100" max="4100" width="10.44140625" style="278" customWidth="1"/>
    <col min="4101" max="4102" width="9.77734375" style="278" customWidth="1"/>
    <col min="4103" max="4108" width="9" style="278"/>
    <col min="4109" max="4109" width="0" style="278" hidden="1" customWidth="1"/>
    <col min="4110" max="4352" width="9" style="278"/>
    <col min="4353" max="4353" width="9.6640625" style="278" customWidth="1"/>
    <col min="4354" max="4355" width="9" style="278"/>
    <col min="4356" max="4356" width="10.44140625" style="278" customWidth="1"/>
    <col min="4357" max="4358" width="9.77734375" style="278" customWidth="1"/>
    <col min="4359" max="4364" width="9" style="278"/>
    <col min="4365" max="4365" width="0" style="278" hidden="1" customWidth="1"/>
    <col min="4366" max="4608" width="9" style="278"/>
    <col min="4609" max="4609" width="9.6640625" style="278" customWidth="1"/>
    <col min="4610" max="4611" width="9" style="278"/>
    <col min="4612" max="4612" width="10.44140625" style="278" customWidth="1"/>
    <col min="4613" max="4614" width="9.77734375" style="278" customWidth="1"/>
    <col min="4615" max="4620" width="9" style="278"/>
    <col min="4621" max="4621" width="0" style="278" hidden="1" customWidth="1"/>
    <col min="4622" max="4864" width="9" style="278"/>
    <col min="4865" max="4865" width="9.6640625" style="278" customWidth="1"/>
    <col min="4866" max="4867" width="9" style="278"/>
    <col min="4868" max="4868" width="10.44140625" style="278" customWidth="1"/>
    <col min="4869" max="4870" width="9.77734375" style="278" customWidth="1"/>
    <col min="4871" max="4876" width="9" style="278"/>
    <col min="4877" max="4877" width="0" style="278" hidden="1" customWidth="1"/>
    <col min="4878" max="5120" width="9" style="278"/>
    <col min="5121" max="5121" width="9.6640625" style="278" customWidth="1"/>
    <col min="5122" max="5123" width="9" style="278"/>
    <col min="5124" max="5124" width="10.44140625" style="278" customWidth="1"/>
    <col min="5125" max="5126" width="9.77734375" style="278" customWidth="1"/>
    <col min="5127" max="5132" width="9" style="278"/>
    <col min="5133" max="5133" width="0" style="278" hidden="1" customWidth="1"/>
    <col min="5134" max="5376" width="9" style="278"/>
    <col min="5377" max="5377" width="9.6640625" style="278" customWidth="1"/>
    <col min="5378" max="5379" width="9" style="278"/>
    <col min="5380" max="5380" width="10.44140625" style="278" customWidth="1"/>
    <col min="5381" max="5382" width="9.77734375" style="278" customWidth="1"/>
    <col min="5383" max="5388" width="9" style="278"/>
    <col min="5389" max="5389" width="0" style="278" hidden="1" customWidth="1"/>
    <col min="5390" max="5632" width="9" style="278"/>
    <col min="5633" max="5633" width="9.6640625" style="278" customWidth="1"/>
    <col min="5634" max="5635" width="9" style="278"/>
    <col min="5636" max="5636" width="10.44140625" style="278" customWidth="1"/>
    <col min="5637" max="5638" width="9.77734375" style="278" customWidth="1"/>
    <col min="5639" max="5644" width="9" style="278"/>
    <col min="5645" max="5645" width="0" style="278" hidden="1" customWidth="1"/>
    <col min="5646" max="5888" width="9" style="278"/>
    <col min="5889" max="5889" width="9.6640625" style="278" customWidth="1"/>
    <col min="5890" max="5891" width="9" style="278"/>
    <col min="5892" max="5892" width="10.44140625" style="278" customWidth="1"/>
    <col min="5893" max="5894" width="9.77734375" style="278" customWidth="1"/>
    <col min="5895" max="5900" width="9" style="278"/>
    <col min="5901" max="5901" width="0" style="278" hidden="1" customWidth="1"/>
    <col min="5902" max="6144" width="9" style="278"/>
    <col min="6145" max="6145" width="9.6640625" style="278" customWidth="1"/>
    <col min="6146" max="6147" width="9" style="278"/>
    <col min="6148" max="6148" width="10.44140625" style="278" customWidth="1"/>
    <col min="6149" max="6150" width="9.77734375" style="278" customWidth="1"/>
    <col min="6151" max="6156" width="9" style="278"/>
    <col min="6157" max="6157" width="0" style="278" hidden="1" customWidth="1"/>
    <col min="6158" max="6400" width="9" style="278"/>
    <col min="6401" max="6401" width="9.6640625" style="278" customWidth="1"/>
    <col min="6402" max="6403" width="9" style="278"/>
    <col min="6404" max="6404" width="10.44140625" style="278" customWidth="1"/>
    <col min="6405" max="6406" width="9.77734375" style="278" customWidth="1"/>
    <col min="6407" max="6412" width="9" style="278"/>
    <col min="6413" max="6413" width="0" style="278" hidden="1" customWidth="1"/>
    <col min="6414" max="6656" width="9" style="278"/>
    <col min="6657" max="6657" width="9.6640625" style="278" customWidth="1"/>
    <col min="6658" max="6659" width="9" style="278"/>
    <col min="6660" max="6660" width="10.44140625" style="278" customWidth="1"/>
    <col min="6661" max="6662" width="9.77734375" style="278" customWidth="1"/>
    <col min="6663" max="6668" width="9" style="278"/>
    <col min="6669" max="6669" width="0" style="278" hidden="1" customWidth="1"/>
    <col min="6670" max="6912" width="9" style="278"/>
    <col min="6913" max="6913" width="9.6640625" style="278" customWidth="1"/>
    <col min="6914" max="6915" width="9" style="278"/>
    <col min="6916" max="6916" width="10.44140625" style="278" customWidth="1"/>
    <col min="6917" max="6918" width="9.77734375" style="278" customWidth="1"/>
    <col min="6919" max="6924" width="9" style="278"/>
    <col min="6925" max="6925" width="0" style="278" hidden="1" customWidth="1"/>
    <col min="6926" max="7168" width="9" style="278"/>
    <col min="7169" max="7169" width="9.6640625" style="278" customWidth="1"/>
    <col min="7170" max="7171" width="9" style="278"/>
    <col min="7172" max="7172" width="10.44140625" style="278" customWidth="1"/>
    <col min="7173" max="7174" width="9.77734375" style="278" customWidth="1"/>
    <col min="7175" max="7180" width="9" style="278"/>
    <col min="7181" max="7181" width="0" style="278" hidden="1" customWidth="1"/>
    <col min="7182" max="7424" width="9" style="278"/>
    <col min="7425" max="7425" width="9.6640625" style="278" customWidth="1"/>
    <col min="7426" max="7427" width="9" style="278"/>
    <col min="7428" max="7428" width="10.44140625" style="278" customWidth="1"/>
    <col min="7429" max="7430" width="9.77734375" style="278" customWidth="1"/>
    <col min="7431" max="7436" width="9" style="278"/>
    <col min="7437" max="7437" width="0" style="278" hidden="1" customWidth="1"/>
    <col min="7438" max="7680" width="9" style="278"/>
    <col min="7681" max="7681" width="9.6640625" style="278" customWidth="1"/>
    <col min="7682" max="7683" width="9" style="278"/>
    <col min="7684" max="7684" width="10.44140625" style="278" customWidth="1"/>
    <col min="7685" max="7686" width="9.77734375" style="278" customWidth="1"/>
    <col min="7687" max="7692" width="9" style="278"/>
    <col min="7693" max="7693" width="0" style="278" hidden="1" customWidth="1"/>
    <col min="7694" max="7936" width="9" style="278"/>
    <col min="7937" max="7937" width="9.6640625" style="278" customWidth="1"/>
    <col min="7938" max="7939" width="9" style="278"/>
    <col min="7940" max="7940" width="10.44140625" style="278" customWidth="1"/>
    <col min="7941" max="7942" width="9.77734375" style="278" customWidth="1"/>
    <col min="7943" max="7948" width="9" style="278"/>
    <col min="7949" max="7949" width="0" style="278" hidden="1" customWidth="1"/>
    <col min="7950" max="8192" width="9" style="278"/>
    <col min="8193" max="8193" width="9.6640625" style="278" customWidth="1"/>
    <col min="8194" max="8195" width="9" style="278"/>
    <col min="8196" max="8196" width="10.44140625" style="278" customWidth="1"/>
    <col min="8197" max="8198" width="9.77734375" style="278" customWidth="1"/>
    <col min="8199" max="8204" width="9" style="278"/>
    <col min="8205" max="8205" width="0" style="278" hidden="1" customWidth="1"/>
    <col min="8206" max="8448" width="9" style="278"/>
    <col min="8449" max="8449" width="9.6640625" style="278" customWidth="1"/>
    <col min="8450" max="8451" width="9" style="278"/>
    <col min="8452" max="8452" width="10.44140625" style="278" customWidth="1"/>
    <col min="8453" max="8454" width="9.77734375" style="278" customWidth="1"/>
    <col min="8455" max="8460" width="9" style="278"/>
    <col min="8461" max="8461" width="0" style="278" hidden="1" customWidth="1"/>
    <col min="8462" max="8704" width="9" style="278"/>
    <col min="8705" max="8705" width="9.6640625" style="278" customWidth="1"/>
    <col min="8706" max="8707" width="9" style="278"/>
    <col min="8708" max="8708" width="10.44140625" style="278" customWidth="1"/>
    <col min="8709" max="8710" width="9.77734375" style="278" customWidth="1"/>
    <col min="8711" max="8716" width="9" style="278"/>
    <col min="8717" max="8717" width="0" style="278" hidden="1" customWidth="1"/>
    <col min="8718" max="8960" width="9" style="278"/>
    <col min="8961" max="8961" width="9.6640625" style="278" customWidth="1"/>
    <col min="8962" max="8963" width="9" style="278"/>
    <col min="8964" max="8964" width="10.44140625" style="278" customWidth="1"/>
    <col min="8965" max="8966" width="9.77734375" style="278" customWidth="1"/>
    <col min="8967" max="8972" width="9" style="278"/>
    <col min="8973" max="8973" width="0" style="278" hidden="1" customWidth="1"/>
    <col min="8974" max="9216" width="9" style="278"/>
    <col min="9217" max="9217" width="9.6640625" style="278" customWidth="1"/>
    <col min="9218" max="9219" width="9" style="278"/>
    <col min="9220" max="9220" width="10.44140625" style="278" customWidth="1"/>
    <col min="9221" max="9222" width="9.77734375" style="278" customWidth="1"/>
    <col min="9223" max="9228" width="9" style="278"/>
    <col min="9229" max="9229" width="0" style="278" hidden="1" customWidth="1"/>
    <col min="9230" max="9472" width="9" style="278"/>
    <col min="9473" max="9473" width="9.6640625" style="278" customWidth="1"/>
    <col min="9474" max="9475" width="9" style="278"/>
    <col min="9476" max="9476" width="10.44140625" style="278" customWidth="1"/>
    <col min="9477" max="9478" width="9.77734375" style="278" customWidth="1"/>
    <col min="9479" max="9484" width="9" style="278"/>
    <col min="9485" max="9485" width="0" style="278" hidden="1" customWidth="1"/>
    <col min="9486" max="9728" width="9" style="278"/>
    <col min="9729" max="9729" width="9.6640625" style="278" customWidth="1"/>
    <col min="9730" max="9731" width="9" style="278"/>
    <col min="9732" max="9732" width="10.44140625" style="278" customWidth="1"/>
    <col min="9733" max="9734" width="9.77734375" style="278" customWidth="1"/>
    <col min="9735" max="9740" width="9" style="278"/>
    <col min="9741" max="9741" width="0" style="278" hidden="1" customWidth="1"/>
    <col min="9742" max="9984" width="9" style="278"/>
    <col min="9985" max="9985" width="9.6640625" style="278" customWidth="1"/>
    <col min="9986" max="9987" width="9" style="278"/>
    <col min="9988" max="9988" width="10.44140625" style="278" customWidth="1"/>
    <col min="9989" max="9990" width="9.77734375" style="278" customWidth="1"/>
    <col min="9991" max="9996" width="9" style="278"/>
    <col min="9997" max="9997" width="0" style="278" hidden="1" customWidth="1"/>
    <col min="9998" max="10240" width="9" style="278"/>
    <col min="10241" max="10241" width="9.6640625" style="278" customWidth="1"/>
    <col min="10242" max="10243" width="9" style="278"/>
    <col min="10244" max="10244" width="10.44140625" style="278" customWidth="1"/>
    <col min="10245" max="10246" width="9.77734375" style="278" customWidth="1"/>
    <col min="10247" max="10252" width="9" style="278"/>
    <col min="10253" max="10253" width="0" style="278" hidden="1" customWidth="1"/>
    <col min="10254" max="10496" width="9" style="278"/>
    <col min="10497" max="10497" width="9.6640625" style="278" customWidth="1"/>
    <col min="10498" max="10499" width="9" style="278"/>
    <col min="10500" max="10500" width="10.44140625" style="278" customWidth="1"/>
    <col min="10501" max="10502" width="9.77734375" style="278" customWidth="1"/>
    <col min="10503" max="10508" width="9" style="278"/>
    <col min="10509" max="10509" width="0" style="278" hidden="1" customWidth="1"/>
    <col min="10510" max="10752" width="9" style="278"/>
    <col min="10753" max="10753" width="9.6640625" style="278" customWidth="1"/>
    <col min="10754" max="10755" width="9" style="278"/>
    <col min="10756" max="10756" width="10.44140625" style="278" customWidth="1"/>
    <col min="10757" max="10758" width="9.77734375" style="278" customWidth="1"/>
    <col min="10759" max="10764" width="9" style="278"/>
    <col min="10765" max="10765" width="0" style="278" hidden="1" customWidth="1"/>
    <col min="10766" max="11008" width="9" style="278"/>
    <col min="11009" max="11009" width="9.6640625" style="278" customWidth="1"/>
    <col min="11010" max="11011" width="9" style="278"/>
    <col min="11012" max="11012" width="10.44140625" style="278" customWidth="1"/>
    <col min="11013" max="11014" width="9.77734375" style="278" customWidth="1"/>
    <col min="11015" max="11020" width="9" style="278"/>
    <col min="11021" max="11021" width="0" style="278" hidden="1" customWidth="1"/>
    <col min="11022" max="11264" width="9" style="278"/>
    <col min="11265" max="11265" width="9.6640625" style="278" customWidth="1"/>
    <col min="11266" max="11267" width="9" style="278"/>
    <col min="11268" max="11268" width="10.44140625" style="278" customWidth="1"/>
    <col min="11269" max="11270" width="9.77734375" style="278" customWidth="1"/>
    <col min="11271" max="11276" width="9" style="278"/>
    <col min="11277" max="11277" width="0" style="278" hidden="1" customWidth="1"/>
    <col min="11278" max="11520" width="9" style="278"/>
    <col min="11521" max="11521" width="9.6640625" style="278" customWidth="1"/>
    <col min="11522" max="11523" width="9" style="278"/>
    <col min="11524" max="11524" width="10.44140625" style="278" customWidth="1"/>
    <col min="11525" max="11526" width="9.77734375" style="278" customWidth="1"/>
    <col min="11527" max="11532" width="9" style="278"/>
    <col min="11533" max="11533" width="0" style="278" hidden="1" customWidth="1"/>
    <col min="11534" max="11776" width="9" style="278"/>
    <col min="11777" max="11777" width="9.6640625" style="278" customWidth="1"/>
    <col min="11778" max="11779" width="9" style="278"/>
    <col min="11780" max="11780" width="10.44140625" style="278" customWidth="1"/>
    <col min="11781" max="11782" width="9.77734375" style="278" customWidth="1"/>
    <col min="11783" max="11788" width="9" style="278"/>
    <col min="11789" max="11789" width="0" style="278" hidden="1" customWidth="1"/>
    <col min="11790" max="12032" width="9" style="278"/>
    <col min="12033" max="12033" width="9.6640625" style="278" customWidth="1"/>
    <col min="12034" max="12035" width="9" style="278"/>
    <col min="12036" max="12036" width="10.44140625" style="278" customWidth="1"/>
    <col min="12037" max="12038" width="9.77734375" style="278" customWidth="1"/>
    <col min="12039" max="12044" width="9" style="278"/>
    <col min="12045" max="12045" width="0" style="278" hidden="1" customWidth="1"/>
    <col min="12046" max="12288" width="9" style="278"/>
    <col min="12289" max="12289" width="9.6640625" style="278" customWidth="1"/>
    <col min="12290" max="12291" width="9" style="278"/>
    <col min="12292" max="12292" width="10.44140625" style="278" customWidth="1"/>
    <col min="12293" max="12294" width="9.77734375" style="278" customWidth="1"/>
    <col min="12295" max="12300" width="9" style="278"/>
    <col min="12301" max="12301" width="0" style="278" hidden="1" customWidth="1"/>
    <col min="12302" max="12544" width="9" style="278"/>
    <col min="12545" max="12545" width="9.6640625" style="278" customWidth="1"/>
    <col min="12546" max="12547" width="9" style="278"/>
    <col min="12548" max="12548" width="10.44140625" style="278" customWidth="1"/>
    <col min="12549" max="12550" width="9.77734375" style="278" customWidth="1"/>
    <col min="12551" max="12556" width="9" style="278"/>
    <col min="12557" max="12557" width="0" style="278" hidden="1" customWidth="1"/>
    <col min="12558" max="12800" width="9" style="278"/>
    <col min="12801" max="12801" width="9.6640625" style="278" customWidth="1"/>
    <col min="12802" max="12803" width="9" style="278"/>
    <col min="12804" max="12804" width="10.44140625" style="278" customWidth="1"/>
    <col min="12805" max="12806" width="9.77734375" style="278" customWidth="1"/>
    <col min="12807" max="12812" width="9" style="278"/>
    <col min="12813" max="12813" width="0" style="278" hidden="1" customWidth="1"/>
    <col min="12814" max="13056" width="9" style="278"/>
    <col min="13057" max="13057" width="9.6640625" style="278" customWidth="1"/>
    <col min="13058" max="13059" width="9" style="278"/>
    <col min="13060" max="13060" width="10.44140625" style="278" customWidth="1"/>
    <col min="13061" max="13062" width="9.77734375" style="278" customWidth="1"/>
    <col min="13063" max="13068" width="9" style="278"/>
    <col min="13069" max="13069" width="0" style="278" hidden="1" customWidth="1"/>
    <col min="13070" max="13312" width="9" style="278"/>
    <col min="13313" max="13313" width="9.6640625" style="278" customWidth="1"/>
    <col min="13314" max="13315" width="9" style="278"/>
    <col min="13316" max="13316" width="10.44140625" style="278" customWidth="1"/>
    <col min="13317" max="13318" width="9.77734375" style="278" customWidth="1"/>
    <col min="13319" max="13324" width="9" style="278"/>
    <col min="13325" max="13325" width="0" style="278" hidden="1" customWidth="1"/>
    <col min="13326" max="13568" width="9" style="278"/>
    <col min="13569" max="13569" width="9.6640625" style="278" customWidth="1"/>
    <col min="13570" max="13571" width="9" style="278"/>
    <col min="13572" max="13572" width="10.44140625" style="278" customWidth="1"/>
    <col min="13573" max="13574" width="9.77734375" style="278" customWidth="1"/>
    <col min="13575" max="13580" width="9" style="278"/>
    <col min="13581" max="13581" width="0" style="278" hidden="1" customWidth="1"/>
    <col min="13582" max="13824" width="9" style="278"/>
    <col min="13825" max="13825" width="9.6640625" style="278" customWidth="1"/>
    <col min="13826" max="13827" width="9" style="278"/>
    <col min="13828" max="13828" width="10.44140625" style="278" customWidth="1"/>
    <col min="13829" max="13830" width="9.77734375" style="278" customWidth="1"/>
    <col min="13831" max="13836" width="9" style="278"/>
    <col min="13837" max="13837" width="0" style="278" hidden="1" customWidth="1"/>
    <col min="13838" max="14080" width="9" style="278"/>
    <col min="14081" max="14081" width="9.6640625" style="278" customWidth="1"/>
    <col min="14082" max="14083" width="9" style="278"/>
    <col min="14084" max="14084" width="10.44140625" style="278" customWidth="1"/>
    <col min="14085" max="14086" width="9.77734375" style="278" customWidth="1"/>
    <col min="14087" max="14092" width="9" style="278"/>
    <col min="14093" max="14093" width="0" style="278" hidden="1" customWidth="1"/>
    <col min="14094" max="14336" width="9" style="278"/>
    <col min="14337" max="14337" width="9.6640625" style="278" customWidth="1"/>
    <col min="14338" max="14339" width="9" style="278"/>
    <col min="14340" max="14340" width="10.44140625" style="278" customWidth="1"/>
    <col min="14341" max="14342" width="9.77734375" style="278" customWidth="1"/>
    <col min="14343" max="14348" width="9" style="278"/>
    <col min="14349" max="14349" width="0" style="278" hidden="1" customWidth="1"/>
    <col min="14350" max="14592" width="9" style="278"/>
    <col min="14593" max="14593" width="9.6640625" style="278" customWidth="1"/>
    <col min="14594" max="14595" width="9" style="278"/>
    <col min="14596" max="14596" width="10.44140625" style="278" customWidth="1"/>
    <col min="14597" max="14598" width="9.77734375" style="278" customWidth="1"/>
    <col min="14599" max="14604" width="9" style="278"/>
    <col min="14605" max="14605" width="0" style="278" hidden="1" customWidth="1"/>
    <col min="14606" max="14848" width="9" style="278"/>
    <col min="14849" max="14849" width="9.6640625" style="278" customWidth="1"/>
    <col min="14850" max="14851" width="9" style="278"/>
    <col min="14852" max="14852" width="10.44140625" style="278" customWidth="1"/>
    <col min="14853" max="14854" width="9.77734375" style="278" customWidth="1"/>
    <col min="14855" max="14860" width="9" style="278"/>
    <col min="14861" max="14861" width="0" style="278" hidden="1" customWidth="1"/>
    <col min="14862" max="15104" width="9" style="278"/>
    <col min="15105" max="15105" width="9.6640625" style="278" customWidth="1"/>
    <col min="15106" max="15107" width="9" style="278"/>
    <col min="15108" max="15108" width="10.44140625" style="278" customWidth="1"/>
    <col min="15109" max="15110" width="9.77734375" style="278" customWidth="1"/>
    <col min="15111" max="15116" width="9" style="278"/>
    <col min="15117" max="15117" width="0" style="278" hidden="1" customWidth="1"/>
    <col min="15118" max="15360" width="9" style="278"/>
    <col min="15361" max="15361" width="9.6640625" style="278" customWidth="1"/>
    <col min="15362" max="15363" width="9" style="278"/>
    <col min="15364" max="15364" width="10.44140625" style="278" customWidth="1"/>
    <col min="15365" max="15366" width="9.77734375" style="278" customWidth="1"/>
    <col min="15367" max="15372" width="9" style="278"/>
    <col min="15373" max="15373" width="0" style="278" hidden="1" customWidth="1"/>
    <col min="15374" max="15616" width="9" style="278"/>
    <col min="15617" max="15617" width="9.6640625" style="278" customWidth="1"/>
    <col min="15618" max="15619" width="9" style="278"/>
    <col min="15620" max="15620" width="10.44140625" style="278" customWidth="1"/>
    <col min="15621" max="15622" width="9.77734375" style="278" customWidth="1"/>
    <col min="15623" max="15628" width="9" style="278"/>
    <col min="15629" max="15629" width="0" style="278" hidden="1" customWidth="1"/>
    <col min="15630" max="15872" width="9" style="278"/>
    <col min="15873" max="15873" width="9.6640625" style="278" customWidth="1"/>
    <col min="15874" max="15875" width="9" style="278"/>
    <col min="15876" max="15876" width="10.44140625" style="278" customWidth="1"/>
    <col min="15877" max="15878" width="9.77734375" style="278" customWidth="1"/>
    <col min="15879" max="15884" width="9" style="278"/>
    <col min="15885" max="15885" width="0" style="278" hidden="1" customWidth="1"/>
    <col min="15886" max="16128" width="9" style="278"/>
    <col min="16129" max="16129" width="9.6640625" style="278" customWidth="1"/>
    <col min="16130" max="16131" width="9" style="278"/>
    <col min="16132" max="16132" width="10.44140625" style="278" customWidth="1"/>
    <col min="16133" max="16134" width="9.77734375" style="278" customWidth="1"/>
    <col min="16135" max="16140" width="9" style="278"/>
    <col min="16141" max="16141" width="0" style="278" hidden="1" customWidth="1"/>
    <col min="16142" max="16384" width="9" style="278"/>
  </cols>
  <sheetData>
    <row r="1" spans="1:13" s="271" customFormat="1" ht="60.75" thickBot="1">
      <c r="A1" s="265" t="s">
        <v>257</v>
      </c>
      <c r="B1" s="266" t="s">
        <v>258</v>
      </c>
      <c r="C1" s="266" t="s">
        <v>259</v>
      </c>
      <c r="D1" s="267" t="s">
        <v>260</v>
      </c>
      <c r="E1" s="268" t="s">
        <v>261</v>
      </c>
      <c r="F1" s="269" t="s">
        <v>262</v>
      </c>
      <c r="G1" s="268" t="s">
        <v>269</v>
      </c>
      <c r="H1" s="269" t="s">
        <v>270</v>
      </c>
      <c r="I1" s="269" t="s">
        <v>263</v>
      </c>
      <c r="J1" s="269" t="s">
        <v>264</v>
      </c>
      <c r="K1" s="268" t="s">
        <v>265</v>
      </c>
      <c r="L1" s="268" t="s">
        <v>266</v>
      </c>
      <c r="M1" s="270" t="s">
        <v>267</v>
      </c>
    </row>
    <row r="2" spans="1:13">
      <c r="A2" s="272" t="s">
        <v>268</v>
      </c>
      <c r="B2" s="273">
        <v>1</v>
      </c>
      <c r="C2" s="273">
        <v>1</v>
      </c>
      <c r="D2" s="274">
        <v>2023</v>
      </c>
      <c r="E2" s="275">
        <f>(IF('Daily HLP'!H4&gt;0,'Daily HLP'!H4,0))</f>
        <v>21364</v>
      </c>
      <c r="F2" s="276">
        <v>10</v>
      </c>
      <c r="G2" s="276">
        <f>(IF('Daily HLP'!L4&gt;0,'Daily HLP'!L4,0))</f>
        <v>1177.1419999999925</v>
      </c>
      <c r="H2" s="276">
        <v>66</v>
      </c>
      <c r="I2" s="276">
        <f>(IF('Daily HLP'!O4&gt;0,'Daily HLP'!O4,0))</f>
        <v>278</v>
      </c>
      <c r="J2" s="276">
        <v>100</v>
      </c>
      <c r="K2" s="281"/>
      <c r="M2" s="277" t="e">
        <f>E2*F2+G2*H2+#REF!*#REF!+I2*J2</f>
        <v>#REF!</v>
      </c>
    </row>
    <row r="3" spans="1:13">
      <c r="A3" s="272" t="s">
        <v>268</v>
      </c>
      <c r="B3" s="273">
        <f>B2+1</f>
        <v>2</v>
      </c>
      <c r="C3" s="273">
        <v>1</v>
      </c>
      <c r="D3" s="274">
        <v>2023</v>
      </c>
      <c r="E3" s="275">
        <f>(IF('Daily HLP'!H5&gt;0,'Daily HLP'!H5,0))</f>
        <v>20873</v>
      </c>
      <c r="F3" s="276">
        <v>10</v>
      </c>
      <c r="G3" s="276">
        <f>(IF('Daily HLP'!L5&gt;0,'Daily HLP'!L5,0))</f>
        <v>1199.5</v>
      </c>
      <c r="H3" s="276">
        <v>66</v>
      </c>
      <c r="I3" s="276">
        <f>(IF('Daily HLP'!O5&gt;0,'Daily HLP'!O5,0))</f>
        <v>278</v>
      </c>
      <c r="J3" s="276">
        <v>100</v>
      </c>
      <c r="K3" s="281"/>
      <c r="M3" s="277" t="e">
        <f>E3*F3+G3*H3+#REF!*#REF!+I3*J3</f>
        <v>#REF!</v>
      </c>
    </row>
    <row r="4" spans="1:13">
      <c r="A4" s="272" t="s">
        <v>268</v>
      </c>
      <c r="B4" s="273">
        <f t="shared" ref="B4:B32" si="0">B3+1</f>
        <v>3</v>
      </c>
      <c r="C4" s="273">
        <v>1</v>
      </c>
      <c r="D4" s="274">
        <v>2023</v>
      </c>
      <c r="E4" s="275">
        <f>(IF('Daily HLP'!H6&gt;0,'Daily HLP'!H6,0))</f>
        <v>21837</v>
      </c>
      <c r="F4" s="276">
        <v>10</v>
      </c>
      <c r="G4" s="276">
        <f>(IF('Daily HLP'!L6&gt;0,'Daily HLP'!L6,0))</f>
        <v>1202</v>
      </c>
      <c r="H4" s="276">
        <v>66</v>
      </c>
      <c r="I4" s="276">
        <f>(IF('Daily HLP'!O6&gt;0,'Daily HLP'!O6,0))</f>
        <v>322</v>
      </c>
      <c r="J4" s="276">
        <v>100</v>
      </c>
      <c r="K4" s="281"/>
      <c r="M4" s="277" t="e">
        <f>E4*F4+G4*H4+#REF!*#REF!+I4*J4</f>
        <v>#REF!</v>
      </c>
    </row>
    <row r="5" spans="1:13">
      <c r="A5" s="272" t="s">
        <v>268</v>
      </c>
      <c r="B5" s="273">
        <f t="shared" si="0"/>
        <v>4</v>
      </c>
      <c r="C5" s="273">
        <v>1</v>
      </c>
      <c r="D5" s="274">
        <v>2023</v>
      </c>
      <c r="E5" s="275">
        <f>(IF('Daily HLP'!H7&gt;0,'Daily HLP'!H7,0))</f>
        <v>21196</v>
      </c>
      <c r="F5" s="276">
        <v>10</v>
      </c>
      <c r="G5" s="276">
        <f>(IF('Daily HLP'!L7&gt;0,'Daily HLP'!L7,0))</f>
        <v>1072</v>
      </c>
      <c r="H5" s="276">
        <v>66</v>
      </c>
      <c r="I5" s="276">
        <f>(IF('Daily HLP'!O7&gt;0,'Daily HLP'!O7,0))</f>
        <v>267</v>
      </c>
      <c r="J5" s="276">
        <v>100</v>
      </c>
      <c r="K5" s="281"/>
      <c r="M5" s="277" t="e">
        <f>E5*F5+G5*H5+#REF!*#REF!+I5*J5</f>
        <v>#REF!</v>
      </c>
    </row>
    <row r="6" spans="1:13">
      <c r="A6" s="272" t="s">
        <v>268</v>
      </c>
      <c r="B6" s="273">
        <f t="shared" si="0"/>
        <v>5</v>
      </c>
      <c r="C6" s="273">
        <v>1</v>
      </c>
      <c r="D6" s="274">
        <v>2023</v>
      </c>
      <c r="E6" s="275">
        <f>(IF('Daily HLP'!H8&gt;0,'Daily HLP'!H8,0))</f>
        <v>21078</v>
      </c>
      <c r="F6" s="276">
        <v>10</v>
      </c>
      <c r="G6" s="276">
        <f>(IF('Daily HLP'!L8&gt;0,'Daily HLP'!L8,0))</f>
        <v>1031</v>
      </c>
      <c r="H6" s="276">
        <v>66</v>
      </c>
      <c r="I6" s="276">
        <f>(IF('Daily HLP'!O8&gt;0,'Daily HLP'!O8,0))</f>
        <v>183</v>
      </c>
      <c r="J6" s="276">
        <v>100</v>
      </c>
      <c r="K6" s="281"/>
      <c r="M6" s="277" t="e">
        <f>E6*F6+G6*H6+#REF!*#REF!+I6*J6</f>
        <v>#REF!</v>
      </c>
    </row>
    <row r="7" spans="1:13">
      <c r="A7" s="272" t="s">
        <v>268</v>
      </c>
      <c r="B7" s="273">
        <f t="shared" si="0"/>
        <v>6</v>
      </c>
      <c r="C7" s="273">
        <v>1</v>
      </c>
      <c r="D7" s="274">
        <v>2023</v>
      </c>
      <c r="E7" s="275">
        <f>(IF('Daily HLP'!H9&gt;0,'Daily HLP'!H9,0))</f>
        <v>20586</v>
      </c>
      <c r="F7" s="276">
        <v>10</v>
      </c>
      <c r="G7" s="276">
        <f>(IF('Daily HLP'!L9&gt;0,'Daily HLP'!L9,0))</f>
        <v>1061</v>
      </c>
      <c r="H7" s="276">
        <v>66</v>
      </c>
      <c r="I7" s="276">
        <f>(IF('Daily HLP'!O9&gt;0,'Daily HLP'!O9,0))</f>
        <v>306</v>
      </c>
      <c r="J7" s="276">
        <v>100</v>
      </c>
      <c r="K7" s="281"/>
      <c r="M7" s="277" t="e">
        <f>E7*F7+G7*H7+#REF!*#REF!+I7*J7</f>
        <v>#REF!</v>
      </c>
    </row>
    <row r="8" spans="1:13">
      <c r="A8" s="272" t="s">
        <v>268</v>
      </c>
      <c r="B8" s="273">
        <f t="shared" si="0"/>
        <v>7</v>
      </c>
      <c r="C8" s="273">
        <v>1</v>
      </c>
      <c r="D8" s="274">
        <v>2023</v>
      </c>
      <c r="E8" s="275">
        <f>(IF('Daily HLP'!H10&gt;0,'Daily HLP'!H10,0))</f>
        <v>21581</v>
      </c>
      <c r="F8" s="276">
        <v>10</v>
      </c>
      <c r="G8" s="276">
        <f>(IF('Daily HLP'!L10&gt;0,'Daily HLP'!L10,0))</f>
        <v>1141</v>
      </c>
      <c r="H8" s="276">
        <v>66</v>
      </c>
      <c r="I8" s="276">
        <f>(IF('Daily HLP'!O10&gt;0,'Daily HLP'!O10,0))</f>
        <v>224</v>
      </c>
      <c r="J8" s="276">
        <v>100</v>
      </c>
      <c r="K8" s="281"/>
      <c r="M8" s="277" t="e">
        <f>E8*F8+G8*H8+#REF!*#REF!+I8*J8</f>
        <v>#REF!</v>
      </c>
    </row>
    <row r="9" spans="1:13">
      <c r="A9" s="272" t="s">
        <v>268</v>
      </c>
      <c r="B9" s="273">
        <f t="shared" si="0"/>
        <v>8</v>
      </c>
      <c r="C9" s="273">
        <v>1</v>
      </c>
      <c r="D9" s="274">
        <v>2023</v>
      </c>
      <c r="E9" s="275">
        <f>(IF('Daily HLP'!H11&gt;0,'Daily HLP'!H11,0))</f>
        <v>21598</v>
      </c>
      <c r="F9" s="276">
        <v>10</v>
      </c>
      <c r="G9" s="276">
        <f>(IF('Daily HLP'!L11&gt;0,'Daily HLP'!L11,0))</f>
        <v>1112</v>
      </c>
      <c r="H9" s="276">
        <v>66</v>
      </c>
      <c r="I9" s="276">
        <f>(IF('Daily HLP'!O11&gt;0,'Daily HLP'!O11,0))</f>
        <v>297</v>
      </c>
      <c r="J9" s="276">
        <v>100</v>
      </c>
      <c r="K9" s="281"/>
      <c r="M9" s="277" t="e">
        <f>E9*F9+G9*H9+#REF!*#REF!+I9*J9</f>
        <v>#REF!</v>
      </c>
    </row>
    <row r="10" spans="1:13">
      <c r="A10" s="272" t="s">
        <v>268</v>
      </c>
      <c r="B10" s="273">
        <f t="shared" si="0"/>
        <v>9</v>
      </c>
      <c r="C10" s="273">
        <v>1</v>
      </c>
      <c r="D10" s="274">
        <v>2023</v>
      </c>
      <c r="E10" s="275">
        <f>(IF('Daily HLP'!H12&gt;0,'Daily HLP'!H12,0))</f>
        <v>20473</v>
      </c>
      <c r="F10" s="276">
        <v>10</v>
      </c>
      <c r="G10" s="276">
        <f>(IF('Daily HLP'!L12&gt;0,'Daily HLP'!L12,0))</f>
        <v>1155</v>
      </c>
      <c r="H10" s="276">
        <v>66</v>
      </c>
      <c r="I10" s="276">
        <f>(IF('Daily HLP'!O12&gt;0,'Daily HLP'!O12,0))</f>
        <v>243</v>
      </c>
      <c r="J10" s="276">
        <v>100</v>
      </c>
      <c r="K10" s="281"/>
      <c r="M10" s="277" t="e">
        <f>E10*F10+G10*H10+#REF!*#REF!+I10*J10</f>
        <v>#REF!</v>
      </c>
    </row>
    <row r="11" spans="1:13">
      <c r="A11" s="272" t="s">
        <v>268</v>
      </c>
      <c r="B11" s="273">
        <f t="shared" si="0"/>
        <v>10</v>
      </c>
      <c r="C11" s="273">
        <v>1</v>
      </c>
      <c r="D11" s="274">
        <v>2023</v>
      </c>
      <c r="E11" s="275">
        <f>(IF('Daily HLP'!H13&gt;0,'Daily HLP'!H13,0))</f>
        <v>21756</v>
      </c>
      <c r="F11" s="276">
        <v>10</v>
      </c>
      <c r="G11" s="276">
        <f>(IF('Daily HLP'!L13&gt;0,'Daily HLP'!L13,0))</f>
        <v>1088</v>
      </c>
      <c r="H11" s="276">
        <v>66</v>
      </c>
      <c r="I11" s="276">
        <f>(IF('Daily HLP'!O13&gt;0,'Daily HLP'!O13,0))</f>
        <v>258</v>
      </c>
      <c r="J11" s="276">
        <v>100</v>
      </c>
      <c r="K11" s="281"/>
      <c r="M11" s="277" t="e">
        <f>E11*F11+G11*H11+#REF!*#REF!+I11*J11</f>
        <v>#REF!</v>
      </c>
    </row>
    <row r="12" spans="1:13">
      <c r="A12" s="272" t="s">
        <v>268</v>
      </c>
      <c r="B12" s="273">
        <f t="shared" si="0"/>
        <v>11</v>
      </c>
      <c r="C12" s="273">
        <v>1</v>
      </c>
      <c r="D12" s="274">
        <v>2023</v>
      </c>
      <c r="E12" s="275">
        <f>(IF('Daily HLP'!H14&gt;0,'Daily HLP'!H14,0))</f>
        <v>21784</v>
      </c>
      <c r="F12" s="276">
        <v>10</v>
      </c>
      <c r="G12" s="276">
        <f>(IF('Daily HLP'!L14&gt;0,'Daily HLP'!L14,0))</f>
        <v>1166.4580000001006</v>
      </c>
      <c r="H12" s="276">
        <v>66</v>
      </c>
      <c r="I12" s="276">
        <f>(IF('Daily HLP'!O14&gt;0,'Daily HLP'!O14,0))</f>
        <v>310</v>
      </c>
      <c r="J12" s="276">
        <v>100</v>
      </c>
      <c r="K12" s="281"/>
      <c r="M12" s="277" t="e">
        <f>E12*F12+G12*H12+#REF!*#REF!+I12*J12</f>
        <v>#REF!</v>
      </c>
    </row>
    <row r="13" spans="1:13">
      <c r="A13" s="272" t="s">
        <v>268</v>
      </c>
      <c r="B13" s="273">
        <f t="shared" si="0"/>
        <v>12</v>
      </c>
      <c r="C13" s="273">
        <v>1</v>
      </c>
      <c r="D13" s="274">
        <v>2023</v>
      </c>
      <c r="E13" s="275">
        <f>(IF('Daily HLP'!H15&gt;0,'Daily HLP'!H15,0))</f>
        <v>21436</v>
      </c>
      <c r="F13" s="276">
        <v>10</v>
      </c>
      <c r="G13" s="276">
        <f>(IF('Daily HLP'!L15&gt;0,'Daily HLP'!L15,0))</f>
        <v>1163.5219999998808</v>
      </c>
      <c r="H13" s="276">
        <v>66</v>
      </c>
      <c r="I13" s="276">
        <f>(IF('Daily HLP'!O15&gt;0,'Daily HLP'!O15,0))</f>
        <v>245</v>
      </c>
      <c r="J13" s="276">
        <v>100</v>
      </c>
      <c r="K13" s="281"/>
      <c r="M13" s="277" t="e">
        <f>E13*F13+G13*H13+#REF!*#REF!+I13*J13</f>
        <v>#REF!</v>
      </c>
    </row>
    <row r="14" spans="1:13">
      <c r="A14" s="272" t="s">
        <v>268</v>
      </c>
      <c r="B14" s="273">
        <f t="shared" si="0"/>
        <v>13</v>
      </c>
      <c r="C14" s="273">
        <v>1</v>
      </c>
      <c r="D14" s="274">
        <v>2023</v>
      </c>
      <c r="E14" s="275">
        <f>(IF('Daily HLP'!H16&gt;0,'Daily HLP'!H16,0))</f>
        <v>22115</v>
      </c>
      <c r="F14" s="276">
        <v>10</v>
      </c>
      <c r="G14" s="276">
        <f>(IF('Daily HLP'!L16&gt;0,'Daily HLP'!L16,0))</f>
        <v>1140.0200000000186</v>
      </c>
      <c r="H14" s="276">
        <v>66</v>
      </c>
      <c r="I14" s="276">
        <f>(IF('Daily HLP'!O16&gt;0,'Daily HLP'!O16,0))</f>
        <v>223</v>
      </c>
      <c r="J14" s="276">
        <v>100</v>
      </c>
      <c r="K14" s="281"/>
      <c r="M14" s="277" t="e">
        <f>E14*F14+G14*H14+#REF!*#REF!+I14*J14</f>
        <v>#REF!</v>
      </c>
    </row>
    <row r="15" spans="1:13">
      <c r="A15" s="272" t="s">
        <v>268</v>
      </c>
      <c r="B15" s="273">
        <f t="shared" si="0"/>
        <v>14</v>
      </c>
      <c r="C15" s="273">
        <v>1</v>
      </c>
      <c r="D15" s="274">
        <v>2023</v>
      </c>
      <c r="E15" s="275">
        <f>(IF('Daily HLP'!H17&gt;0,'Daily HLP'!H17,0))</f>
        <v>20896</v>
      </c>
      <c r="F15" s="276">
        <v>10</v>
      </c>
      <c r="G15" s="276">
        <f>(IF('Daily HLP'!L17&gt;0,'Daily HLP'!L17,0))</f>
        <v>1190</v>
      </c>
      <c r="H15" s="276">
        <v>66</v>
      </c>
      <c r="I15" s="276">
        <f>(IF('Daily HLP'!O17&gt;0,'Daily HLP'!O17,0))</f>
        <v>289</v>
      </c>
      <c r="J15" s="276">
        <v>100</v>
      </c>
      <c r="K15" s="281"/>
      <c r="M15" s="277" t="e">
        <f>E15*F15+G15*H15+#REF!*#REF!+I15*J15</f>
        <v>#REF!</v>
      </c>
    </row>
    <row r="16" spans="1:13">
      <c r="A16" s="272" t="s">
        <v>268</v>
      </c>
      <c r="B16" s="273">
        <f t="shared" si="0"/>
        <v>15</v>
      </c>
      <c r="C16" s="273">
        <v>1</v>
      </c>
      <c r="D16" s="274">
        <v>2023</v>
      </c>
      <c r="E16" s="275">
        <f>(IF('Daily HLP'!H18&gt;0,'Daily HLP'!H18,0))</f>
        <v>20628.799999999988</v>
      </c>
      <c r="F16" s="276">
        <v>10</v>
      </c>
      <c r="G16" s="276">
        <f>(IF('Daily HLP'!L18&gt;0,'Daily HLP'!L18,0))</f>
        <v>1011</v>
      </c>
      <c r="H16" s="276">
        <v>66</v>
      </c>
      <c r="I16" s="276">
        <f>(IF('Daily HLP'!O18&gt;0,'Daily HLP'!O18,0))</f>
        <v>355</v>
      </c>
      <c r="J16" s="276">
        <v>100</v>
      </c>
      <c r="K16" s="281"/>
      <c r="M16" s="277" t="e">
        <f>E16*F16+G16*H16+#REF!*#REF!+I16*J16</f>
        <v>#REF!</v>
      </c>
    </row>
    <row r="17" spans="1:13">
      <c r="A17" s="272" t="s">
        <v>268</v>
      </c>
      <c r="B17" s="273">
        <f t="shared" si="0"/>
        <v>16</v>
      </c>
      <c r="C17" s="273">
        <v>1</v>
      </c>
      <c r="D17" s="274">
        <v>2023</v>
      </c>
      <c r="E17" s="275">
        <f>(IF('Daily HLP'!H19&gt;0,'Daily HLP'!H19,0))</f>
        <v>21502.200000000012</v>
      </c>
      <c r="F17" s="276">
        <v>10</v>
      </c>
      <c r="G17" s="276">
        <f>(IF('Daily HLP'!L19&gt;0,'Daily HLP'!L19,0))</f>
        <v>1059</v>
      </c>
      <c r="H17" s="276">
        <v>66</v>
      </c>
      <c r="I17" s="276">
        <f>(IF('Daily HLP'!O19&gt;0,'Daily HLP'!O19,0))</f>
        <v>272</v>
      </c>
      <c r="J17" s="276">
        <v>100</v>
      </c>
      <c r="K17" s="281"/>
      <c r="M17" s="277" t="e">
        <f>E17*F17+G17*H17+#REF!*#REF!+I17*J17</f>
        <v>#REF!</v>
      </c>
    </row>
    <row r="18" spans="1:13">
      <c r="A18" s="272" t="s">
        <v>268</v>
      </c>
      <c r="B18" s="273">
        <f t="shared" si="0"/>
        <v>17</v>
      </c>
      <c r="C18" s="273">
        <v>1</v>
      </c>
      <c r="D18" s="274">
        <v>2023</v>
      </c>
      <c r="E18" s="275">
        <f>(IF('Daily HLP'!H20&gt;0,'Daily HLP'!H20,0))</f>
        <v>20053</v>
      </c>
      <c r="F18" s="276">
        <v>10</v>
      </c>
      <c r="G18" s="276">
        <f>(IF('Daily HLP'!L20&gt;0,'Daily HLP'!L20,0))</f>
        <v>922</v>
      </c>
      <c r="H18" s="276">
        <v>66</v>
      </c>
      <c r="I18" s="276">
        <f>(IF('Daily HLP'!O20&gt;0,'Daily HLP'!O20,0))</f>
        <v>205</v>
      </c>
      <c r="J18" s="276">
        <v>100</v>
      </c>
      <c r="K18" s="281"/>
      <c r="M18" s="277" t="e">
        <f>E18*F18+G18*H18+#REF!*#REF!+I18*J18</f>
        <v>#REF!</v>
      </c>
    </row>
    <row r="19" spans="1:13">
      <c r="A19" s="272" t="s">
        <v>268</v>
      </c>
      <c r="B19" s="273">
        <f t="shared" si="0"/>
        <v>18</v>
      </c>
      <c r="C19" s="273">
        <v>1</v>
      </c>
      <c r="D19" s="274">
        <v>2023</v>
      </c>
      <c r="E19" s="275">
        <f>(IF('Daily HLP'!H21&gt;0,'Daily HLP'!H21,0))</f>
        <v>20452</v>
      </c>
      <c r="F19" s="276">
        <v>10</v>
      </c>
      <c r="G19" s="276">
        <f>(IF('Daily HLP'!L21&gt;0,'Daily HLP'!L21,0))</f>
        <v>1106</v>
      </c>
      <c r="H19" s="276">
        <v>66</v>
      </c>
      <c r="I19" s="276">
        <f>(IF('Daily HLP'!O21&gt;0,'Daily HLP'!O21,0))</f>
        <v>284</v>
      </c>
      <c r="J19" s="276">
        <v>100</v>
      </c>
      <c r="K19" s="281"/>
      <c r="M19" s="277" t="e">
        <f>E19*F19+G19*H19+#REF!*#REF!+I19*J19</f>
        <v>#REF!</v>
      </c>
    </row>
    <row r="20" spans="1:13">
      <c r="A20" s="272" t="s">
        <v>268</v>
      </c>
      <c r="B20" s="273">
        <f t="shared" si="0"/>
        <v>19</v>
      </c>
      <c r="C20" s="273">
        <v>1</v>
      </c>
      <c r="D20" s="274">
        <v>2023</v>
      </c>
      <c r="E20" s="275">
        <f>(IF('Daily HLP'!H22&gt;0,'Daily HLP'!H22,0))</f>
        <v>21656</v>
      </c>
      <c r="F20" s="276">
        <v>10</v>
      </c>
      <c r="G20" s="276">
        <f>(IF('Daily HLP'!L22&gt;0,'Daily HLP'!L22,0))</f>
        <v>1171.7999999998137</v>
      </c>
      <c r="H20" s="276">
        <v>66</v>
      </c>
      <c r="I20" s="276">
        <f>(IF('Daily HLP'!O22&gt;0,'Daily HLP'!O22,0))</f>
        <v>231</v>
      </c>
      <c r="J20" s="276">
        <v>100</v>
      </c>
      <c r="K20" s="281"/>
      <c r="M20" s="277" t="e">
        <f>E20*F20+G20*H20+#REF!*#REF!+I20*J20</f>
        <v>#REF!</v>
      </c>
    </row>
    <row r="21" spans="1:13">
      <c r="A21" s="272" t="s">
        <v>268</v>
      </c>
      <c r="B21" s="273">
        <f t="shared" si="0"/>
        <v>20</v>
      </c>
      <c r="C21" s="273">
        <v>1</v>
      </c>
      <c r="D21" s="274">
        <v>2023</v>
      </c>
      <c r="E21" s="275">
        <f>(IF('Daily HLP'!H23&gt;0,'Daily HLP'!H23,0))</f>
        <v>21411</v>
      </c>
      <c r="F21" s="276">
        <v>10</v>
      </c>
      <c r="G21" s="276">
        <f>(IF('Daily HLP'!L23&gt;0,'Daily HLP'!L23,0))</f>
        <v>1194.2000000001863</v>
      </c>
      <c r="H21" s="276">
        <v>66</v>
      </c>
      <c r="I21" s="276">
        <f>(IF('Daily HLP'!O23&gt;0,'Daily HLP'!O23,0))</f>
        <v>276</v>
      </c>
      <c r="J21" s="276">
        <v>100</v>
      </c>
      <c r="K21" s="281"/>
      <c r="M21" s="277" t="e">
        <f>E21*F21+G21*H21+#REF!*#REF!+I21*J21</f>
        <v>#REF!</v>
      </c>
    </row>
    <row r="22" spans="1:13">
      <c r="A22" s="272" t="s">
        <v>268</v>
      </c>
      <c r="B22" s="273">
        <f t="shared" si="0"/>
        <v>21</v>
      </c>
      <c r="C22" s="273">
        <v>1</v>
      </c>
      <c r="D22" s="274">
        <v>2023</v>
      </c>
      <c r="E22" s="275">
        <f>(IF('Daily HLP'!H24&gt;0,'Daily HLP'!H24,0))</f>
        <v>20821</v>
      </c>
      <c r="F22" s="276">
        <v>10</v>
      </c>
      <c r="G22" s="276">
        <f>(IF('Daily HLP'!L24&gt;0,'Daily HLP'!L24,0))</f>
        <v>1220</v>
      </c>
      <c r="H22" s="276">
        <v>66</v>
      </c>
      <c r="I22" s="276">
        <f>(IF('Daily HLP'!O24&gt;0,'Daily HLP'!O24,0))</f>
        <v>261</v>
      </c>
      <c r="J22" s="276">
        <v>100</v>
      </c>
      <c r="K22" s="281"/>
      <c r="M22" s="277" t="e">
        <f>E22*F22+G22*H22+#REF!*#REF!+I22*J22</f>
        <v>#REF!</v>
      </c>
    </row>
    <row r="23" spans="1:13">
      <c r="A23" s="272" t="s">
        <v>268</v>
      </c>
      <c r="B23" s="273">
        <f t="shared" si="0"/>
        <v>22</v>
      </c>
      <c r="C23" s="273">
        <v>1</v>
      </c>
      <c r="D23" s="274">
        <v>2023</v>
      </c>
      <c r="E23" s="275">
        <f>(IF('Daily HLP'!H25&gt;0,'Daily HLP'!H25,0))</f>
        <v>19708</v>
      </c>
      <c r="F23" s="276">
        <v>10</v>
      </c>
      <c r="G23" s="276">
        <f>(IF('Daily HLP'!L25&gt;0,'Daily HLP'!L25,0))</f>
        <v>1281</v>
      </c>
      <c r="H23" s="276">
        <v>66</v>
      </c>
      <c r="I23" s="276">
        <f>(IF('Daily HLP'!O25&gt;0,'Daily HLP'!O25,0))</f>
        <v>275</v>
      </c>
      <c r="J23" s="276">
        <v>100</v>
      </c>
      <c r="K23" s="281"/>
      <c r="M23" s="277" t="e">
        <f>E23*F23+G23*H23+#REF!*#REF!+I23*J23</f>
        <v>#REF!</v>
      </c>
    </row>
    <row r="24" spans="1:13">
      <c r="A24" s="272" t="s">
        <v>268</v>
      </c>
      <c r="B24" s="273">
        <f t="shared" si="0"/>
        <v>23</v>
      </c>
      <c r="C24" s="273">
        <v>1</v>
      </c>
      <c r="D24" s="274">
        <v>2023</v>
      </c>
      <c r="E24" s="275">
        <f>(IF('Daily HLP'!H26&gt;0,'Daily HLP'!H26,0))</f>
        <v>20249</v>
      </c>
      <c r="F24" s="276">
        <v>10</v>
      </c>
      <c r="G24" s="276">
        <f>(IF('Daily HLP'!L26&gt;0,'Daily HLP'!L26,0))</f>
        <v>1201</v>
      </c>
      <c r="H24" s="276">
        <v>66</v>
      </c>
      <c r="I24" s="276">
        <f>(IF('Daily HLP'!O26&gt;0,'Daily HLP'!O26,0))</f>
        <v>275</v>
      </c>
      <c r="J24" s="276">
        <v>100</v>
      </c>
      <c r="K24" s="281"/>
      <c r="M24" s="277" t="e">
        <f>E24*F24+G24*H24+#REF!*#REF!+I24*J24</f>
        <v>#REF!</v>
      </c>
    </row>
    <row r="25" spans="1:13">
      <c r="A25" s="272" t="s">
        <v>268</v>
      </c>
      <c r="B25" s="273">
        <f t="shared" si="0"/>
        <v>24</v>
      </c>
      <c r="C25" s="273">
        <v>1</v>
      </c>
      <c r="D25" s="274">
        <v>2023</v>
      </c>
      <c r="E25" s="275">
        <f>(IF('Daily HLP'!H27&gt;0,'Daily HLP'!H27,0))</f>
        <v>19443.510000000009</v>
      </c>
      <c r="F25" s="276">
        <v>10</v>
      </c>
      <c r="G25" s="276">
        <f>(IF('Daily HLP'!L27&gt;0,'Daily HLP'!L27,0))</f>
        <v>1139.910000000149</v>
      </c>
      <c r="H25" s="276">
        <v>66</v>
      </c>
      <c r="I25" s="276">
        <f>(IF('Daily HLP'!O27&gt;0,'Daily HLP'!O27,0))</f>
        <v>298</v>
      </c>
      <c r="J25" s="276">
        <v>100</v>
      </c>
      <c r="K25" s="281"/>
      <c r="M25" s="277" t="e">
        <f>E25*F25+G25*H25+#REF!*#REF!+I25*J25</f>
        <v>#REF!</v>
      </c>
    </row>
    <row r="26" spans="1:13">
      <c r="A26" s="272" t="s">
        <v>268</v>
      </c>
      <c r="B26" s="273">
        <f>B25+1</f>
        <v>25</v>
      </c>
      <c r="C26" s="273">
        <v>1</v>
      </c>
      <c r="D26" s="274">
        <v>2023</v>
      </c>
      <c r="E26" s="275">
        <f>(IF('Daily HLP'!H28&gt;0,'Daily HLP'!H28,0))</f>
        <v>19705.400000000023</v>
      </c>
      <c r="F26" s="276">
        <v>10</v>
      </c>
      <c r="G26" s="276">
        <f>(IF('Daily HLP'!L28&gt;0,'Daily HLP'!L28,0))</f>
        <v>1187.8899999996647</v>
      </c>
      <c r="H26" s="276">
        <v>66</v>
      </c>
      <c r="I26" s="276">
        <f>(IF('Daily HLP'!O28&gt;0,'Daily HLP'!O28,0))</f>
        <v>294</v>
      </c>
      <c r="J26" s="276">
        <v>100</v>
      </c>
      <c r="K26" s="281"/>
      <c r="M26" s="277" t="e">
        <f>E26*F26+G26*H26+#REF!*#REF!+I26*J26</f>
        <v>#REF!</v>
      </c>
    </row>
    <row r="27" spans="1:13">
      <c r="A27" s="272" t="s">
        <v>268</v>
      </c>
      <c r="B27" s="273">
        <f t="shared" si="0"/>
        <v>26</v>
      </c>
      <c r="C27" s="273">
        <v>1</v>
      </c>
      <c r="D27" s="274">
        <v>2023</v>
      </c>
      <c r="E27" s="275">
        <f>(IF('Daily HLP'!H29&gt;0,'Daily HLP'!H29,0))</f>
        <v>19770.319999999949</v>
      </c>
      <c r="F27" s="276">
        <v>10</v>
      </c>
      <c r="G27" s="276">
        <f>(IF('Daily HLP'!L29&gt;0,'Daily HLP'!L29,0))</f>
        <v>1156.3700000001118</v>
      </c>
      <c r="H27" s="276">
        <v>66</v>
      </c>
      <c r="I27" s="276">
        <f>(IF('Daily HLP'!O29&gt;0,'Daily HLP'!O29,0))</f>
        <v>311</v>
      </c>
      <c r="J27" s="276">
        <v>100</v>
      </c>
      <c r="K27" s="281"/>
      <c r="M27" s="277" t="e">
        <f>E27*F27+G27*H27+#REF!*#REF!+I27*J27</f>
        <v>#REF!</v>
      </c>
    </row>
    <row r="28" spans="1:13">
      <c r="A28" s="272" t="s">
        <v>268</v>
      </c>
      <c r="B28" s="273">
        <f t="shared" si="0"/>
        <v>27</v>
      </c>
      <c r="C28" s="273">
        <v>1</v>
      </c>
      <c r="D28" s="274">
        <v>2023</v>
      </c>
      <c r="E28" s="275">
        <f>(IF('Daily HLP'!H30&gt;0,'Daily HLP'!H30,0))</f>
        <v>22441.119999999995</v>
      </c>
      <c r="F28" s="276">
        <v>10</v>
      </c>
      <c r="G28" s="276">
        <f>(IF('Daily HLP'!L30&gt;0,'Daily HLP'!L30,0))</f>
        <v>1160.8300000000745</v>
      </c>
      <c r="H28" s="276">
        <v>66</v>
      </c>
      <c r="I28" s="276">
        <f>(IF('Daily HLP'!O30&gt;0,'Daily HLP'!O30,0))</f>
        <v>267</v>
      </c>
      <c r="J28" s="276">
        <v>100</v>
      </c>
      <c r="K28" s="281"/>
      <c r="M28" s="277" t="e">
        <f>E28*F28+G28*H28+#REF!*#REF!+I28*J28</f>
        <v>#REF!</v>
      </c>
    </row>
    <row r="29" spans="1:13">
      <c r="A29" s="272" t="s">
        <v>268</v>
      </c>
      <c r="B29" s="273">
        <f t="shared" si="0"/>
        <v>28</v>
      </c>
      <c r="C29" s="273">
        <v>1</v>
      </c>
      <c r="D29" s="274">
        <v>2023</v>
      </c>
      <c r="E29" s="275">
        <f>(IF('Daily HLP'!H31&gt;0,'Daily HLP'!H31,0))</f>
        <v>22309.650000000023</v>
      </c>
      <c r="F29" s="276">
        <v>10</v>
      </c>
      <c r="G29" s="276">
        <f>(IF('Daily HLP'!L31&gt;0,'Daily HLP'!L31,0))</f>
        <v>1214</v>
      </c>
      <c r="H29" s="276">
        <v>66</v>
      </c>
      <c r="I29" s="276">
        <f>(IF('Daily HLP'!O31&gt;0,'Daily HLP'!O31,0))</f>
        <v>300</v>
      </c>
      <c r="J29" s="276">
        <v>100</v>
      </c>
      <c r="K29" s="281"/>
      <c r="M29" s="277" t="e">
        <f>E29*F29+G29*H29+#REF!*#REF!+I29*J29</f>
        <v>#REF!</v>
      </c>
    </row>
    <row r="30" spans="1:13">
      <c r="A30" s="272" t="s">
        <v>268</v>
      </c>
      <c r="B30" s="273">
        <f t="shared" si="0"/>
        <v>29</v>
      </c>
      <c r="C30" s="273">
        <v>1</v>
      </c>
      <c r="D30" s="274">
        <v>2023</v>
      </c>
      <c r="E30" s="275">
        <f>(IF('Daily HLP'!H32&gt;0,'Daily HLP'!H32,0))</f>
        <v>23194.300000000047</v>
      </c>
      <c r="F30" s="276">
        <v>10</v>
      </c>
      <c r="G30" s="276">
        <f>(IF('Daily HLP'!L32&gt;0,'Daily HLP'!L32,0))</f>
        <v>1033.1000000000931</v>
      </c>
      <c r="H30" s="276">
        <v>66</v>
      </c>
      <c r="I30" s="276">
        <f>(IF('Daily HLP'!O32&gt;0,'Daily HLP'!O32,0))</f>
        <v>316</v>
      </c>
      <c r="J30" s="276">
        <v>100</v>
      </c>
      <c r="K30" s="281"/>
      <c r="M30" s="277" t="e">
        <f>E30*F30+G30*H30+#REF!*#REF!+I30*J30</f>
        <v>#REF!</v>
      </c>
    </row>
    <row r="31" spans="1:13">
      <c r="A31" s="272" t="s">
        <v>268</v>
      </c>
      <c r="B31" s="273">
        <f t="shared" si="0"/>
        <v>30</v>
      </c>
      <c r="C31" s="273">
        <v>1</v>
      </c>
      <c r="D31" s="274">
        <v>2023</v>
      </c>
      <c r="E31" s="275">
        <f>(IF('Daily HLP'!H33&gt;0,'Daily HLP'!H33,0))</f>
        <v>22328.699999999953</v>
      </c>
      <c r="F31" s="276">
        <v>10</v>
      </c>
      <c r="G31" s="276">
        <f>(IF('Daily HLP'!L33&gt;0,'Daily HLP'!L33,0))</f>
        <v>1104.6529999999329</v>
      </c>
      <c r="H31" s="276">
        <v>66</v>
      </c>
      <c r="I31" s="276">
        <f>(IF('Daily HLP'!O33&gt;0,'Daily HLP'!O33,0))</f>
        <v>321</v>
      </c>
      <c r="J31" s="276">
        <v>100</v>
      </c>
      <c r="K31" s="281"/>
      <c r="M31" s="277" t="e">
        <f>E31*F31+G31*H31+#REF!*#REF!+I31*J31</f>
        <v>#REF!</v>
      </c>
    </row>
    <row r="32" spans="1:13" s="275" customFormat="1">
      <c r="A32" s="272" t="s">
        <v>268</v>
      </c>
      <c r="B32" s="273">
        <f t="shared" si="0"/>
        <v>31</v>
      </c>
      <c r="C32" s="273">
        <v>1</v>
      </c>
      <c r="D32" s="274">
        <v>2023</v>
      </c>
      <c r="E32" s="275">
        <f>(IF('Daily HLP'!H34&gt;0,'Daily HLP'!H34,0))</f>
        <v>24006</v>
      </c>
      <c r="F32" s="276">
        <v>10</v>
      </c>
      <c r="G32" s="276">
        <f>(IF('Daily HLP'!L34&gt;0,'Daily HLP'!L34,0))</f>
        <v>1110.9619999998249</v>
      </c>
      <c r="H32" s="276">
        <v>66</v>
      </c>
      <c r="I32" s="276">
        <f>(IF('Daily HLP'!O34&gt;0,'Daily HLP'!O34,0))</f>
        <v>194</v>
      </c>
      <c r="J32" s="276">
        <v>100</v>
      </c>
      <c r="K32" s="281"/>
      <c r="M32" s="278"/>
    </row>
    <row r="33" spans="1:13" s="275" customFormat="1">
      <c r="A33" s="279"/>
      <c r="B33" s="273"/>
      <c r="C33" s="273"/>
      <c r="D33" s="274"/>
      <c r="F33" s="276"/>
      <c r="G33" s="276"/>
      <c r="H33" s="276"/>
      <c r="I33" s="276"/>
      <c r="J33" s="276"/>
      <c r="M33" s="278"/>
    </row>
    <row r="34" spans="1:13" s="275" customFormat="1">
      <c r="A34" s="279"/>
      <c r="B34" s="273"/>
      <c r="C34" s="273"/>
      <c r="D34" s="274"/>
      <c r="F34" s="276"/>
      <c r="G34" s="276"/>
      <c r="H34" s="276"/>
      <c r="I34" s="276"/>
      <c r="J34" s="276"/>
      <c r="M34" s="278"/>
    </row>
    <row r="35" spans="1:13" s="275" customFormat="1">
      <c r="A35" s="279"/>
      <c r="B35" s="273"/>
      <c r="C35" s="273"/>
      <c r="D35" s="274"/>
      <c r="F35" s="276"/>
      <c r="G35" s="276"/>
      <c r="H35" s="276"/>
      <c r="I35" s="276"/>
      <c r="J35" s="276"/>
      <c r="M35" s="278"/>
    </row>
    <row r="36" spans="1:13" s="275" customFormat="1">
      <c r="A36" s="279"/>
      <c r="B36" s="273"/>
      <c r="C36" s="273"/>
      <c r="D36" s="274"/>
      <c r="F36" s="276"/>
      <c r="G36" s="276"/>
      <c r="H36" s="276"/>
      <c r="I36" s="276"/>
      <c r="J36" s="276"/>
      <c r="M36" s="278"/>
    </row>
    <row r="37" spans="1:13" s="275" customFormat="1">
      <c r="A37" s="279"/>
      <c r="B37" s="273"/>
      <c r="C37" s="273"/>
      <c r="D37" s="274"/>
      <c r="F37" s="276"/>
      <c r="G37" s="276"/>
      <c r="H37" s="276"/>
      <c r="I37" s="276"/>
      <c r="J37" s="276"/>
      <c r="M37" s="278"/>
    </row>
    <row r="38" spans="1:13" s="275" customFormat="1">
      <c r="A38" s="279"/>
      <c r="B38" s="273"/>
      <c r="C38" s="273"/>
      <c r="D38" s="274"/>
      <c r="F38" s="276"/>
      <c r="G38" s="276"/>
      <c r="H38" s="276"/>
      <c r="I38" s="276"/>
      <c r="J38" s="276"/>
      <c r="M38" s="278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M35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2" sqref="D2:D32"/>
    </sheetView>
  </sheetViews>
  <sheetFormatPr defaultColWidth="9" defaultRowHeight="15"/>
  <cols>
    <col min="1" max="1" width="17.109375" style="286" customWidth="1"/>
    <col min="2" max="3" width="9" style="290" customWidth="1"/>
    <col min="4" max="4" width="10.44140625" style="290" customWidth="1"/>
    <col min="5" max="29" width="9.77734375" style="297" customWidth="1"/>
    <col min="30" max="30" width="9" style="297"/>
    <col min="31" max="31" width="9" style="298"/>
    <col min="32" max="32" width="9" style="297"/>
    <col min="33" max="39" width="9" style="299"/>
    <col min="40" max="40" width="9" style="302"/>
    <col min="41" max="49" width="9" style="299"/>
    <col min="50" max="58" width="9" style="302"/>
    <col min="59" max="65" width="9" style="299"/>
    <col min="66" max="16384" width="9" style="289"/>
  </cols>
  <sheetData>
    <row r="1" spans="1:65" s="286" customFormat="1" ht="60" customHeight="1">
      <c r="A1" s="284" t="s">
        <v>257</v>
      </c>
      <c r="B1" s="285" t="s">
        <v>258</v>
      </c>
      <c r="C1" s="285" t="s">
        <v>259</v>
      </c>
      <c r="D1" s="285" t="s">
        <v>260</v>
      </c>
      <c r="E1" s="291" t="str">
        <f>'Section Load'!F4</f>
        <v>HVAC</v>
      </c>
      <c r="F1" s="291" t="str">
        <f>'Section Load'!G4</f>
        <v>Fire &amp; Emergency PP</v>
      </c>
      <c r="G1" s="291" t="str">
        <f>'Section Load'!H4</f>
        <v>Main PP</v>
      </c>
      <c r="H1" s="291" t="str">
        <f>'Section Load'!I4</f>
        <v>Lighting PP</v>
      </c>
      <c r="I1" s="291" t="str">
        <f>'Section Load'!J4</f>
        <v>CH-1+ CH2+CH3+CH4</v>
      </c>
      <c r="J1" s="291" t="str">
        <f>'Section Load'!K4</f>
        <v>Chilled water Pump</v>
      </c>
      <c r="K1" s="291" t="str">
        <f>'Section Load'!L4</f>
        <v>Ball Room-1</v>
      </c>
      <c r="L1" s="291" t="str">
        <f>'Section Load'!M4</f>
        <v>Ball Room-2</v>
      </c>
      <c r="M1" s="291" t="str">
        <f>'Section Load'!N4</f>
        <v>MK-1</v>
      </c>
      <c r="N1" s="291" t="str">
        <f>'Section Load'!O4</f>
        <v>MK-2</v>
      </c>
      <c r="O1" s="291" t="str">
        <f>'Section Load'!P4</f>
        <v>Prato</v>
      </c>
      <c r="P1" s="291" t="str">
        <f>'Section Load'!Q4</f>
        <v>San- Qi Indian</v>
      </c>
      <c r="Q1" s="291" t="str">
        <f>'Section Load'!R4</f>
        <v>San- Qi Japanese</v>
      </c>
      <c r="R1" s="291" t="str">
        <f>'Section Load'!S4</f>
        <v>The club</v>
      </c>
      <c r="S1" s="291" t="str">
        <f>'Section Load'!T4</f>
        <v>AER</v>
      </c>
      <c r="T1" s="291" t="str">
        <f>'Section Load'!U4</f>
        <v>COLD ROOM'S</v>
      </c>
      <c r="U1" s="291" t="str">
        <f>'Section Load'!V4</f>
        <v>Ball Room 1</v>
      </c>
      <c r="V1" s="291" t="str">
        <f>'Section Load'!W4</f>
        <v>Ball Room 2</v>
      </c>
      <c r="W1" s="291" t="str">
        <f>'Section Load'!X4</f>
        <v>B1 Laundry</v>
      </c>
      <c r="X1" s="291" t="str">
        <f>'Section Load'!Y4</f>
        <v>B2 Laundry</v>
      </c>
      <c r="Y1" s="291" t="str">
        <f>'Section Load'!Z4</f>
        <v>STP</v>
      </c>
      <c r="Z1" s="291" t="str">
        <f>'Section Load'!AA4</f>
        <v>MOCK Up Room</v>
      </c>
      <c r="AA1" s="291" t="str">
        <f>'Section Load'!AB4</f>
        <v>27th Floor</v>
      </c>
      <c r="AB1" s="291" t="str">
        <f>'Section Load'!AC4</f>
        <v>Physic57</v>
      </c>
      <c r="AC1" s="291" t="str">
        <f>'Section Load'!AD4</f>
        <v>Pinoor Legal- Power+lighting</v>
      </c>
      <c r="AD1" s="291" t="str">
        <f>'Section Load'!AE4</f>
        <v>2nd floor plant room</v>
      </c>
      <c r="AE1" s="291" t="str">
        <f>'Section Load'!AF4</f>
        <v>5th Floor SPA</v>
      </c>
      <c r="AF1" s="291" t="str">
        <f>'Section Load'!AG4</f>
        <v>5th Floor</v>
      </c>
      <c r="AG1" s="291" t="str">
        <f>'Section Load'!AH4</f>
        <v>12th Floor</v>
      </c>
      <c r="AH1" s="291" t="str">
        <f>'Section Load'!AI4</f>
        <v>20th Floor</v>
      </c>
      <c r="AI1" s="291" t="str">
        <f>'Section Load'!AJ4</f>
        <v>27th Floor</v>
      </c>
      <c r="AJ1" s="291" t="str">
        <f>'Section Load'!AK4</f>
        <v>34th Floor</v>
      </c>
      <c r="AK1" s="291" t="str">
        <f>'Section Load'!AL4</f>
        <v>Sanqi</v>
      </c>
      <c r="AL1" s="291" t="str">
        <f>'Section Load'!AM4</f>
        <v>Cooling Tower</v>
      </c>
      <c r="AM1" s="292" t="s">
        <v>279</v>
      </c>
      <c r="AN1" s="300" t="s">
        <v>199</v>
      </c>
      <c r="AO1" s="292" t="s">
        <v>201</v>
      </c>
      <c r="AP1" s="292" t="s">
        <v>202</v>
      </c>
      <c r="AQ1" s="292" t="s">
        <v>203</v>
      </c>
      <c r="AR1" s="292" t="s">
        <v>204</v>
      </c>
      <c r="AS1" s="292" t="s">
        <v>205</v>
      </c>
      <c r="AT1" s="292" t="s">
        <v>206</v>
      </c>
      <c r="AU1" s="292" t="s">
        <v>209</v>
      </c>
      <c r="AV1" s="292" t="s">
        <v>75</v>
      </c>
      <c r="AW1" s="292" t="s">
        <v>76</v>
      </c>
      <c r="AX1" s="300" t="s">
        <v>210</v>
      </c>
      <c r="AY1" s="300" t="s">
        <v>211</v>
      </c>
      <c r="AZ1" s="300" t="s">
        <v>212</v>
      </c>
      <c r="BA1" s="300" t="s">
        <v>214</v>
      </c>
      <c r="BB1" s="300" t="s">
        <v>215</v>
      </c>
      <c r="BC1" s="300" t="s">
        <v>302</v>
      </c>
      <c r="BD1" s="300" t="s">
        <v>300</v>
      </c>
      <c r="BE1" s="300" t="s">
        <v>280</v>
      </c>
      <c r="BF1" s="300" t="s">
        <v>281</v>
      </c>
      <c r="BG1" s="293" t="str">
        <f>'Section Load'!AN4</f>
        <v>MGL</v>
      </c>
      <c r="BH1" s="293" t="str">
        <f>'Section Load'!AO4</f>
        <v>HWG</v>
      </c>
      <c r="BI1" s="293" t="str">
        <f>'Section Load'!AP4</f>
        <v>Prato</v>
      </c>
      <c r="BJ1" s="293" t="str">
        <f>'Section Load'!AQ4</f>
        <v>BR-1</v>
      </c>
      <c r="BK1" s="293" t="str">
        <f>'Section Load'!AR4</f>
        <v>SanQi IND</v>
      </c>
      <c r="BL1" s="293" t="str">
        <f>'Section Load'!AS4</f>
        <v>SanQi JPN</v>
      </c>
      <c r="BM1" s="293" t="str">
        <f>'Section Load'!AT4</f>
        <v>Boiler</v>
      </c>
    </row>
    <row r="2" spans="1:65" ht="15" customHeight="1">
      <c r="A2" s="287" t="s">
        <v>268</v>
      </c>
      <c r="B2" s="288">
        <v>1</v>
      </c>
      <c r="C2" s="288">
        <v>1</v>
      </c>
      <c r="D2" s="288">
        <v>2023</v>
      </c>
      <c r="E2" s="294">
        <f>(IF('Section Load'!F5&gt;0,'Section Load'!F5,0))</f>
        <v>3465.0100000000093</v>
      </c>
      <c r="F2" s="294">
        <f>(IF('Section Load'!G5&gt;0,'Section Load'!G5,0))</f>
        <v>1430.4000000000233</v>
      </c>
      <c r="G2" s="294">
        <f>(IF('Section Load'!H5&gt;0,'Section Load'!H5,0))</f>
        <v>420.64000000000465</v>
      </c>
      <c r="H2" s="294">
        <f>(IF('Section Load'!I5&gt;0,'Section Load'!I5,0))</f>
        <v>2801.9899999999907</v>
      </c>
      <c r="I2" s="294">
        <f>(IF('Section Load'!J5&gt;0,'Section Load'!J5,0))</f>
        <v>4210.539999999979</v>
      </c>
      <c r="J2" s="294">
        <f>(IF('Section Load'!K5&gt;0,'Section Load'!K5,0))</f>
        <v>2505.3499999999767</v>
      </c>
      <c r="K2" s="294">
        <f>(IF('Section Load'!L5&gt;0,'Section Load'!L5,0))</f>
        <v>1374.789999999979</v>
      </c>
      <c r="L2" s="294">
        <f>(IF('Section Load'!M5&gt;0,'Section Load'!M5,0))</f>
        <v>947.56999999994878</v>
      </c>
      <c r="M2" s="294">
        <f>(IF('Section Load'!N5&gt;0,'Section Load'!N5,0))</f>
        <v>151</v>
      </c>
      <c r="N2" s="294">
        <f>(IF('Section Load'!O5&gt;0,'Section Load'!O5,0))</f>
        <v>166</v>
      </c>
      <c r="O2" s="294">
        <f>(IF('Section Load'!P5&gt;0,'Section Load'!P5,0))</f>
        <v>19.458999999999833</v>
      </c>
      <c r="P2" s="294">
        <f>(IF('Section Load'!Q5&gt;0,'Section Load'!Q5,0))</f>
        <v>206.30000000000291</v>
      </c>
      <c r="Q2" s="294">
        <f>(IF('Section Load'!R5&gt;0,'Section Load'!R5,0))</f>
        <v>113.90999999999622</v>
      </c>
      <c r="R2" s="294">
        <f>(IF('Section Load'!S5&gt;0,'Section Load'!S5,0))</f>
        <v>0</v>
      </c>
      <c r="S2" s="294">
        <f>(IF('Section Load'!T5&gt;0,'Section Load'!T5,0))</f>
        <v>19</v>
      </c>
      <c r="T2" s="294">
        <f>(IF('Section Load'!U5&gt;0,'Section Load'!U5,0))</f>
        <v>251</v>
      </c>
      <c r="U2" s="294">
        <f>(IF('Section Load'!V5&gt;0,'Section Load'!V5,0))</f>
        <v>404.95999999996275</v>
      </c>
      <c r="V2" s="294">
        <f>(IF('Section Load'!W5&gt;0,'Section Load'!W5,0))</f>
        <v>440</v>
      </c>
      <c r="W2" s="294">
        <f>(IF('Section Load'!X5&gt;0,'Section Load'!X5,0))</f>
        <v>30.889999999999418</v>
      </c>
      <c r="X2" s="294">
        <f>(IF('Section Load'!Y5&gt;0,'Section Load'!Y5,0))</f>
        <v>231.93099999999686</v>
      </c>
      <c r="Y2" s="294">
        <f>(IF('Section Load'!Z5&gt;0,'Section Load'!Z5,0))</f>
        <v>292</v>
      </c>
      <c r="Z2" s="294">
        <f>(IF('Section Load'!AA5&gt;0,'Section Load'!AA5,0))</f>
        <v>92.239999999990687</v>
      </c>
      <c r="AA2" s="294">
        <f>(IF('Section Load'!AB5&gt;0,'Section Load'!AB5,0))</f>
        <v>14.100000000000023</v>
      </c>
      <c r="AB2" s="294">
        <f>(IF('Section Load'!AC5&gt;0,'Section Load'!AC5,0))</f>
        <v>0</v>
      </c>
      <c r="AC2" s="294">
        <f>(IF('Section Load'!AD5&gt;0,'Section Load'!AD5,0))</f>
        <v>3.8000000000001819</v>
      </c>
      <c r="AD2" s="294">
        <f>(IF('Section Load'!AE5&gt;0,'Section Load'!AE5,0))</f>
        <v>426.60999999998603</v>
      </c>
      <c r="AE2" s="294">
        <f>(IF('Section Load'!AF5&gt;0,'Section Load'!AF5,0))</f>
        <v>472.5</v>
      </c>
      <c r="AF2" s="294">
        <f>(IF('Section Load'!AG5&gt;0,'Section Load'!AG5,0))</f>
        <v>635.54000000000815</v>
      </c>
      <c r="AG2" s="294">
        <f>(IF('Section Load'!AH5&gt;0,'Section Load'!AH5,0))</f>
        <v>34.82499999999709</v>
      </c>
      <c r="AH2" s="294">
        <f>(IF('Section Load'!AI5&gt;0,'Section Load'!AI5,0))</f>
        <v>402.05999999999767</v>
      </c>
      <c r="AI2" s="294">
        <f>(IF('Section Load'!AJ5&gt;0,'Section Load'!AJ5,0))</f>
        <v>403.7100000000064</v>
      </c>
      <c r="AJ2" s="294">
        <f>(IF('Section Load'!AK5&gt;0,'Section Load'!AK5,0))</f>
        <v>282.52999999999884</v>
      </c>
      <c r="AK2" s="294">
        <f>(IF('Section Load'!AL5&gt;0,'Section Load'!AL5,0))</f>
        <v>394.5</v>
      </c>
      <c r="AL2" s="294">
        <f>(IF('Section Load'!AM5&gt;0,'Section Load'!AM5,0))</f>
        <v>761</v>
      </c>
      <c r="AM2" s="295">
        <f>(IF('Water Report'!$D$7&gt;0,'Water Report'!$D$7,0))</f>
        <v>91.5</v>
      </c>
      <c r="AN2" s="295">
        <f>(IF('Water Report'!$D$8&gt;0,'Water Report'!$D$8,0))</f>
        <v>101</v>
      </c>
      <c r="AO2" s="295">
        <f>(IF('Water Report'!$D$9&gt;0,'Water Report'!$D$9,0))</f>
        <v>127</v>
      </c>
      <c r="AP2" s="295">
        <f>(IF('Water Report'!$D$10&gt;0,'Water Report'!$D$10,0))</f>
        <v>12</v>
      </c>
      <c r="AQ2" s="295">
        <f>(IF('Water Report'!$D$11&gt;0,'Water Report'!$D$11,0))</f>
        <v>32</v>
      </c>
      <c r="AR2" s="295">
        <f>(IF('Water Report'!$D$13&gt;0,'Water Report'!$D$13,0))</f>
        <v>20</v>
      </c>
      <c r="AS2" s="295">
        <f>(IF('Water Report'!$D$14&gt;0,'Water Report'!$D$14,0))</f>
        <v>13</v>
      </c>
      <c r="AT2" s="295">
        <f>(IF('Water Report'!$D$15&gt;0,'Water Report'!$D$15,0))</f>
        <v>10</v>
      </c>
      <c r="AU2" s="295">
        <f>(IF('Water Report'!$D$17&gt;0,'Water Report'!$D$17,0))</f>
        <v>1</v>
      </c>
      <c r="AV2" s="295">
        <f>(IF('Water Report'!$D$18&gt;0,'Water Report'!$D$18,0))</f>
        <v>0</v>
      </c>
      <c r="AW2" s="295">
        <f>(IF('Water Report'!$D$19&gt;0,'Water Report'!$D$19,0))</f>
        <v>14</v>
      </c>
      <c r="AX2" s="301">
        <f>(IF('Water Report'!$D$21&gt;0,'Water Report'!$D$21,0))</f>
        <v>109</v>
      </c>
      <c r="AY2" s="301">
        <f>(IF('Water Report'!$D$22&gt;0,'Water Report'!$D$22,0))</f>
        <v>0</v>
      </c>
      <c r="AZ2" s="301">
        <f>(IF('Water Report'!$D$23&gt;0,'Water Report'!$D$23,0))</f>
        <v>0</v>
      </c>
      <c r="BA2" s="301">
        <f>(IF('Water Report'!$D$14&gt;0,'Water Report'!$D$14,0))</f>
        <v>13</v>
      </c>
      <c r="BB2" s="301">
        <f>(IF('Water Report'!$D$15&gt;0,'Water Report'!$D$15,0))</f>
        <v>10</v>
      </c>
      <c r="BC2" s="301">
        <f>(IF('Water Report'!$D$13&gt;0,'Water Report'!$D$13,0))</f>
        <v>20</v>
      </c>
      <c r="BD2" s="301">
        <f>(IF('Water Report'!$D$24&gt;0,'Water Report'!$D$24,0))</f>
        <v>278</v>
      </c>
      <c r="BE2" s="301">
        <f>(IF('Water Report'!$D$25&gt;0,'Water Report'!$D$25,0))</f>
        <v>194</v>
      </c>
      <c r="BF2" s="301">
        <f>(IF('Water Report'!$D$27&gt;0,'Water Report'!$D$27,0))</f>
        <v>129</v>
      </c>
      <c r="BG2" s="296">
        <f>(IF('Section Load'!AN5&gt;0,'Section Load'!AN5,0))</f>
        <v>1177.1419999999925</v>
      </c>
      <c r="BH2" s="296">
        <f>(IF('Section Load'!AO5&gt;0,'Section Load'!AO5,0))</f>
        <v>316</v>
      </c>
      <c r="BI2" s="296">
        <f>(IF('Section Load'!AP5&gt;0,'Section Load'!AP5,0))</f>
        <v>0</v>
      </c>
      <c r="BJ2" s="296">
        <f>(IF('Section Load'!AQ5&gt;0,'Section Load'!AQ5,0))</f>
        <v>120</v>
      </c>
      <c r="BK2" s="296">
        <f>(IF('Section Load'!AR5&gt;0,'Section Load'!AR5,0))</f>
        <v>59</v>
      </c>
      <c r="BL2" s="296">
        <f>(IF('Section Load'!AS5&gt;0,'Section Load'!AS5,0))</f>
        <v>0</v>
      </c>
      <c r="BM2" s="296">
        <f>(IF('Section Load'!AT5&gt;0,'Section Load'!AT5,0))</f>
        <v>682.64199999999255</v>
      </c>
    </row>
    <row r="3" spans="1:65">
      <c r="A3" s="287" t="s">
        <v>268</v>
      </c>
      <c r="B3" s="288">
        <f>B2+1</f>
        <v>2</v>
      </c>
      <c r="C3" s="288">
        <v>1</v>
      </c>
      <c r="D3" s="288">
        <v>2023</v>
      </c>
      <c r="E3" s="294">
        <f>(IF('Section Load'!F6&gt;0,'Section Load'!F6,0))</f>
        <v>3053.1199999999953</v>
      </c>
      <c r="F3" s="294">
        <f>(IF('Section Load'!G6&gt;0,'Section Load'!G6,0))</f>
        <v>1463.929999999993</v>
      </c>
      <c r="G3" s="294">
        <f>(IF('Section Load'!H6&gt;0,'Section Load'!H6,0))</f>
        <v>2497.2800000000279</v>
      </c>
      <c r="H3" s="294">
        <f>(IF('Section Load'!I6&gt;0,'Section Load'!I6,0))</f>
        <v>2851.5600000000559</v>
      </c>
      <c r="I3" s="294">
        <f>(IF('Section Load'!J6&gt;0,'Section Load'!J6,0))</f>
        <v>4203.2700000000768</v>
      </c>
      <c r="J3" s="294">
        <f>(IF('Section Load'!K6&gt;0,'Section Load'!K6,0))</f>
        <v>2410.0800000000745</v>
      </c>
      <c r="K3" s="294">
        <f>(IF('Section Load'!L6&gt;0,'Section Load'!L6,0))</f>
        <v>1219.7200000000303</v>
      </c>
      <c r="L3" s="294">
        <f>(IF('Section Load'!M6&gt;0,'Section Load'!M6,0))</f>
        <v>989.76000000000931</v>
      </c>
      <c r="M3" s="294">
        <f>(IF('Section Load'!N6&gt;0,'Section Load'!N6,0))</f>
        <v>123</v>
      </c>
      <c r="N3" s="294">
        <f>(IF('Section Load'!O6&gt;0,'Section Load'!O6,0))</f>
        <v>171</v>
      </c>
      <c r="O3" s="294">
        <f>(IF('Section Load'!P6&gt;0,'Section Load'!P6,0))</f>
        <v>18.430000000000291</v>
      </c>
      <c r="P3" s="294">
        <f>(IF('Section Load'!Q6&gt;0,'Section Load'!Q6,0))</f>
        <v>195.98999999999069</v>
      </c>
      <c r="Q3" s="294">
        <f>(IF('Section Load'!R6&gt;0,'Section Load'!R6,0))</f>
        <v>73.540000000000873</v>
      </c>
      <c r="R3" s="294">
        <f>(IF('Section Load'!S6&gt;0,'Section Load'!S6,0))</f>
        <v>182</v>
      </c>
      <c r="S3" s="294">
        <f>(IF('Section Load'!T6&gt;0,'Section Load'!T6,0))</f>
        <v>32</v>
      </c>
      <c r="T3" s="294">
        <f>(IF('Section Load'!U6&gt;0,'Section Load'!U6,0))</f>
        <v>243</v>
      </c>
      <c r="U3" s="294">
        <f>(IF('Section Load'!V6&gt;0,'Section Load'!V6,0))</f>
        <v>381.28000000002794</v>
      </c>
      <c r="V3" s="294">
        <f>(IF('Section Load'!W6&gt;0,'Section Load'!W6,0))</f>
        <v>318.96000000007916</v>
      </c>
      <c r="W3" s="294">
        <f>(IF('Section Load'!X6&gt;0,'Section Load'!X6,0))</f>
        <v>34.909999999999854</v>
      </c>
      <c r="X3" s="294">
        <f>(IF('Section Load'!Y6&gt;0,'Section Load'!Y6,0))</f>
        <v>269.17000000001281</v>
      </c>
      <c r="Y3" s="294">
        <f>(IF('Section Load'!Z6&gt;0,'Section Load'!Z6,0))</f>
        <v>295</v>
      </c>
      <c r="Z3" s="294">
        <f>(IF('Section Load'!AA6&gt;0,'Section Load'!AA6,0))</f>
        <v>185.0800000000163</v>
      </c>
      <c r="AA3" s="294">
        <f>(IF('Section Load'!AB6&gt;0,'Section Load'!AB6,0))</f>
        <v>32.799999999999955</v>
      </c>
      <c r="AB3" s="294">
        <f>(IF('Section Load'!AC6&gt;0,'Section Load'!AC6,0))</f>
        <v>0</v>
      </c>
      <c r="AC3" s="294">
        <f>(IF('Section Load'!AD6&gt;0,'Section Load'!AD6,0))</f>
        <v>3.1999999999998181</v>
      </c>
      <c r="AD3" s="294">
        <f>(IF('Section Load'!AE6&gt;0,'Section Load'!AE6,0))</f>
        <v>429.26000000000931</v>
      </c>
      <c r="AE3" s="294">
        <f>(IF('Section Load'!AF6&gt;0,'Section Load'!AF6,0))</f>
        <v>340.80000000000291</v>
      </c>
      <c r="AF3" s="294">
        <f>(IF('Section Load'!AG6&gt;0,'Section Load'!AG6,0))</f>
        <v>647.91000000000349</v>
      </c>
      <c r="AG3" s="294">
        <f>(IF('Section Load'!AH6&gt;0,'Section Load'!AH6,0))</f>
        <v>36.30000000000291</v>
      </c>
      <c r="AH3" s="294">
        <f>(IF('Section Load'!AI6&gt;0,'Section Load'!AI6,0))</f>
        <v>421.90000000000873</v>
      </c>
      <c r="AI3" s="294">
        <f>(IF('Section Load'!AJ6&gt;0,'Section Load'!AJ6,0))</f>
        <v>429.79999999998836</v>
      </c>
      <c r="AJ3" s="294">
        <f>(IF('Section Load'!AK6&gt;0,'Section Load'!AK6,0))</f>
        <v>268</v>
      </c>
      <c r="AK3" s="294">
        <f>(IF('Section Load'!AL6&gt;0,'Section Load'!AL6,0))</f>
        <v>324.39999999999418</v>
      </c>
      <c r="AL3" s="294">
        <f>(IF('Section Load'!AM6&gt;0,'Section Load'!AM6,0))</f>
        <v>694</v>
      </c>
      <c r="AM3" s="295">
        <f>(IF('Water Report'!$E$7&gt;0,'Water Report'!$E$7,0))</f>
        <v>90</v>
      </c>
      <c r="AN3" s="295">
        <f>(IF('Water Report'!$E$8&gt;0,'Water Report'!$E$8,0))</f>
        <v>110</v>
      </c>
      <c r="AO3" s="295">
        <f>(IF('Water Report'!$E$9&gt;0,'Water Report'!$E$9,0))</f>
        <v>124</v>
      </c>
      <c r="AP3" s="295">
        <f>(IF('Water Report'!$E$10&gt;0,'Water Report'!$E$10,0))</f>
        <v>13</v>
      </c>
      <c r="AQ3" s="295">
        <f>(IF('Water Report'!$E$11&gt;0,'Water Report'!$E$11,0))</f>
        <v>22</v>
      </c>
      <c r="AR3" s="295">
        <f>(IF('Water Report'!$E$13&gt;0,'Water Report'!$E$13,0))</f>
        <v>4</v>
      </c>
      <c r="AS3" s="295">
        <f>(IF('Water Report'!$E$14&gt;0,'Water Report'!$E$14,0))</f>
        <v>8</v>
      </c>
      <c r="AT3" s="295">
        <f>(IF('Water Report'!$E$15&gt;0,'Water Report'!$E$15,0))</f>
        <v>7</v>
      </c>
      <c r="AU3" s="295">
        <f>(IF('Water Report'!$E$17&gt;0,'Water Report'!$E$17,0))</f>
        <v>1</v>
      </c>
      <c r="AV3" s="295">
        <f>(IF('Water Report'!$E$18&gt;0,'Water Report'!$E$18,0))</f>
        <v>13</v>
      </c>
      <c r="AW3" s="295">
        <f>(IF('Water Report'!$E$19&gt;0,'Water Report'!$E$19,0))</f>
        <v>18</v>
      </c>
      <c r="AX3" s="301">
        <f>(IF('Water Report'!$E$21&gt;0,'Water Report'!$E$21,0))</f>
        <v>100</v>
      </c>
      <c r="AY3" s="301">
        <f>(IF('Water Report'!$E$22&gt;0,'Water Report'!$E$22,0))</f>
        <v>0</v>
      </c>
      <c r="AZ3" s="301">
        <f>(IF('Water Report'!$E$23&gt;0,'Water Report'!$E$23,0))</f>
        <v>11</v>
      </c>
      <c r="BA3" s="301">
        <f>(IF('Water Report'!$E$14&gt;0,'Water Report'!$E$14,0))</f>
        <v>8</v>
      </c>
      <c r="BB3" s="301">
        <f>(IF('Water Report'!$E$15&gt;0,'Water Report'!$E$15,0))</f>
        <v>7</v>
      </c>
      <c r="BC3" s="301">
        <f>(IF('Water Report'!$E$13&gt;0,'Water Report'!$E$13,0))</f>
        <v>4</v>
      </c>
      <c r="BD3" s="301">
        <f>(IF('Water Report'!$E$24&gt;0,'Water Report'!$E$24,0))</f>
        <v>278</v>
      </c>
      <c r="BE3" s="301">
        <f>(IF('Water Report'!$E$25&gt;0,'Water Report'!$E$25,0))</f>
        <v>174</v>
      </c>
      <c r="BF3" s="301">
        <f>(IF('Water Report'!$E$27&gt;0,'Water Report'!$E$27,0))</f>
        <v>115</v>
      </c>
      <c r="BG3" s="296">
        <f>(IF('Section Load'!AN6&gt;0,'Section Load'!AN6,0))</f>
        <v>1199.5</v>
      </c>
      <c r="BH3" s="296">
        <f>(IF('Section Load'!AO6&gt;0,'Section Load'!AO6,0))</f>
        <v>359.82000000000016</v>
      </c>
      <c r="BI3" s="296">
        <f>(IF('Section Load'!AP6&gt;0,'Section Load'!AP6,0))</f>
        <v>0</v>
      </c>
      <c r="BJ3" s="296">
        <f>(IF('Section Load'!AQ6&gt;0,'Section Load'!AQ6,0))</f>
        <v>104</v>
      </c>
      <c r="BK3" s="296">
        <f>(IF('Section Load'!AR6&gt;0,'Section Load'!AR6,0))</f>
        <v>47</v>
      </c>
      <c r="BL3" s="296">
        <f>(IF('Section Load'!AS6&gt;0,'Section Load'!AS6,0))</f>
        <v>0</v>
      </c>
      <c r="BM3" s="296">
        <f>(IF('Section Load'!AT6&gt;0,'Section Load'!AT6,0))</f>
        <v>688.67999999999984</v>
      </c>
    </row>
    <row r="4" spans="1:65">
      <c r="A4" s="287" t="s">
        <v>268</v>
      </c>
      <c r="B4" s="288">
        <f t="shared" ref="B4:B32" si="0">B3+1</f>
        <v>3</v>
      </c>
      <c r="C4" s="288">
        <v>1</v>
      </c>
      <c r="D4" s="288">
        <v>2023</v>
      </c>
      <c r="E4" s="294">
        <f>(IF('Section Load'!F7&gt;0,'Section Load'!F7,0))</f>
        <v>3487.8800000000047</v>
      </c>
      <c r="F4" s="294">
        <f>(IF('Section Load'!G7&gt;0,'Section Load'!G7,0))</f>
        <v>1407.8699999999953</v>
      </c>
      <c r="G4" s="294">
        <f>(IF('Section Load'!H7&gt;0,'Section Load'!H7,0))</f>
        <v>2529.3499999999858</v>
      </c>
      <c r="H4" s="294">
        <f>(IF('Section Load'!I7&gt;0,'Section Load'!I7,0))</f>
        <v>2805.4899999998743</v>
      </c>
      <c r="I4" s="294">
        <f>(IF('Section Load'!J7&gt;0,'Section Load'!J7,0))</f>
        <v>4668.1099999999278</v>
      </c>
      <c r="J4" s="294">
        <f>(IF('Section Load'!K7&gt;0,'Section Load'!K7,0))</f>
        <v>2365.6799999999348</v>
      </c>
      <c r="K4" s="294">
        <f>(IF('Section Load'!L7&gt;0,'Section Load'!L7,0))</f>
        <v>1788.390000000014</v>
      </c>
      <c r="L4" s="294">
        <f>(IF('Section Load'!M7&gt;0,'Section Load'!M7,0))</f>
        <v>938.44000000000233</v>
      </c>
      <c r="M4" s="294">
        <f>(IF('Section Load'!N7&gt;0,'Section Load'!N7,0))</f>
        <v>113</v>
      </c>
      <c r="N4" s="294">
        <f>(IF('Section Load'!O7&gt;0,'Section Load'!O7,0))</f>
        <v>175</v>
      </c>
      <c r="O4" s="294">
        <f>(IF('Section Load'!P7&gt;0,'Section Load'!P7,0))</f>
        <v>15.599999999999909</v>
      </c>
      <c r="P4" s="294">
        <f>(IF('Section Load'!Q7&gt;0,'Section Load'!Q7,0))</f>
        <v>194.16000000000349</v>
      </c>
      <c r="Q4" s="294">
        <f>(IF('Section Load'!R7&gt;0,'Section Load'!R7,0))</f>
        <v>80.110000000000582</v>
      </c>
      <c r="R4" s="294">
        <f>(IF('Section Load'!S7&gt;0,'Section Load'!S7,0))</f>
        <v>183</v>
      </c>
      <c r="S4" s="294">
        <f>(IF('Section Load'!T7&gt;0,'Section Load'!T7,0))</f>
        <v>31</v>
      </c>
      <c r="T4" s="294">
        <f>(IF('Section Load'!U7&gt;0,'Section Load'!U7,0))</f>
        <v>240</v>
      </c>
      <c r="U4" s="294">
        <f>(IF('Section Load'!V7&gt;0,'Section Load'!V7,0))</f>
        <v>399.25</v>
      </c>
      <c r="V4" s="294">
        <f>(IF('Section Load'!W7&gt;0,'Section Load'!W7,0))</f>
        <v>321.35999999998603</v>
      </c>
      <c r="W4" s="294">
        <f>(IF('Section Load'!X7&gt;0,'Section Load'!X7,0))</f>
        <v>34.659999999999854</v>
      </c>
      <c r="X4" s="294">
        <f>(IF('Section Load'!Y7&gt;0,'Section Load'!Y7,0))</f>
        <v>279.77999999999884</v>
      </c>
      <c r="Y4" s="294">
        <f>(IF('Section Load'!Z7&gt;0,'Section Load'!Z7,0))</f>
        <v>274</v>
      </c>
      <c r="Z4" s="294">
        <f>(IF('Section Load'!AA7&gt;0,'Section Load'!AA7,0))</f>
        <v>200.79999999998836</v>
      </c>
      <c r="AA4" s="294">
        <f>(IF('Section Load'!AB7&gt;0,'Section Load'!AB7,0))</f>
        <v>37.200000000000045</v>
      </c>
      <c r="AB4" s="294">
        <f>(IF('Section Load'!AC7&gt;0,'Section Load'!AC7,0))</f>
        <v>0</v>
      </c>
      <c r="AC4" s="294">
        <f>(IF('Section Load'!AD7&gt;0,'Section Load'!AD7,0))</f>
        <v>5</v>
      </c>
      <c r="AD4" s="294">
        <f>(IF('Section Load'!AE7&gt;0,'Section Load'!AE7,0))</f>
        <v>370.53999999997905</v>
      </c>
      <c r="AE4" s="294">
        <f>(IF('Section Load'!AF7&gt;0,'Section Load'!AF7,0))</f>
        <v>340.30000000000291</v>
      </c>
      <c r="AF4" s="294">
        <f>(IF('Section Load'!AG7&gt;0,'Section Load'!AG7,0))</f>
        <v>653</v>
      </c>
      <c r="AG4" s="294">
        <f>(IF('Section Load'!AH7&gt;0,'Section Load'!AH7,0))</f>
        <v>33.82999999999447</v>
      </c>
      <c r="AH4" s="294">
        <f>(IF('Section Load'!AI7&gt;0,'Section Load'!AI7,0))</f>
        <v>392.89999999999418</v>
      </c>
      <c r="AI4" s="294">
        <f>(IF('Section Load'!AJ7&gt;0,'Section Load'!AJ7,0))</f>
        <v>447.60000000000582</v>
      </c>
      <c r="AJ4" s="294">
        <f>(IF('Section Load'!AK7&gt;0,'Section Load'!AK7,0))</f>
        <v>261.5</v>
      </c>
      <c r="AK4" s="294">
        <f>(IF('Section Load'!AL7&gt;0,'Section Load'!AL7,0))</f>
        <v>292.10000000000582</v>
      </c>
      <c r="AL4" s="294">
        <f>(IF('Section Load'!AM7&gt;0,'Section Load'!AM7,0))</f>
        <v>0</v>
      </c>
      <c r="AM4" s="295">
        <f>(IF('Water Report'!$F$7&gt;0,'Water Report'!$F$7,0))</f>
        <v>158</v>
      </c>
      <c r="AN4" s="295">
        <f>(IF('Water Report'!$F$8&gt;0,'Water Report'!$F$8,0))</f>
        <v>91</v>
      </c>
      <c r="AO4" s="295">
        <f>(IF('Water Report'!$F$9&gt;0,'Water Report'!$G$9,0))</f>
        <v>102</v>
      </c>
      <c r="AP4" s="295">
        <f>(IF('Water Report'!$F$10&gt;0,'Water Report'!$F$10,0))</f>
        <v>12</v>
      </c>
      <c r="AQ4" s="295">
        <f>(IF('Water Report'!$F$11&gt;0,'Water Report'!$F$11,0))</f>
        <v>25</v>
      </c>
      <c r="AR4" s="295">
        <f>(IF('Water Report'!$F$13&gt;0,'Water Report'!$F$13,0))</f>
        <v>24</v>
      </c>
      <c r="AS4" s="295">
        <f>(IF('Water Report'!$F$14&gt;0,'Water Report'!$F$14,0))</f>
        <v>7</v>
      </c>
      <c r="AT4" s="295">
        <f>(IF('Water Report'!$F$15&gt;0,'Water Report'!$F$15,0))</f>
        <v>7</v>
      </c>
      <c r="AU4" s="295">
        <f>(IF('Water Report'!$F$17&gt;0,'Water Report'!$F$17,0))</f>
        <v>2</v>
      </c>
      <c r="AV4" s="295">
        <f>(IF('Water Report'!$F$18&gt;0,'Water Report'!$F$18,0))</f>
        <v>13</v>
      </c>
      <c r="AW4" s="295">
        <f>(IF('Water Report'!$F$19&gt;0,'Water Report'!$F$19,0))</f>
        <v>17</v>
      </c>
      <c r="AX4" s="301">
        <f>(IF('Water Report'!$F$21&gt;0,'Water Report'!$F$21,0))</f>
        <v>115</v>
      </c>
      <c r="AY4" s="301">
        <f>(IF('Water Report'!$F$22&gt;0,'Water Report'!$F$22,0))</f>
        <v>0</v>
      </c>
      <c r="AZ4" s="301">
        <f>(IF('Water Report'!$F$23&gt;0,'Water Report'!$F$23,0))</f>
        <v>0</v>
      </c>
      <c r="BA4" s="301">
        <f>(IF('Water Report'!$F$14&gt;0,'Water Report'!$F$14,0))</f>
        <v>7</v>
      </c>
      <c r="BB4" s="301">
        <f>(IF('Water Report'!$F$15&gt;0,'Water Report'!$F$15,0))</f>
        <v>7</v>
      </c>
      <c r="BC4" s="301">
        <f>(IF('Water Report'!$F$13&gt;0,'Water Report'!$F$13,0))</f>
        <v>24</v>
      </c>
      <c r="BD4" s="301">
        <f>(IF('Water Report'!$F$24&gt;0,'Water Report'!$F$24,0))</f>
        <v>322</v>
      </c>
      <c r="BE4" s="301">
        <f>(IF('Water Report'!$F$25&gt;0,'Water Report'!$F$25,0))</f>
        <v>176</v>
      </c>
      <c r="BF4" s="301">
        <f>(IF('Water Report'!$F$27&gt;0,'Water Report'!$F$27,0))</f>
        <v>139</v>
      </c>
      <c r="BG4" s="296">
        <f>(IF('Section Load'!AN7&gt;0,'Section Load'!AN7,0))</f>
        <v>1202</v>
      </c>
      <c r="BH4" s="296">
        <f>(IF('Section Load'!AO7&gt;0,'Section Load'!AO7,0))</f>
        <v>296.94000000000005</v>
      </c>
      <c r="BI4" s="296">
        <f>(IF('Section Load'!AP7&gt;0,'Section Load'!AP7,0))</f>
        <v>0</v>
      </c>
      <c r="BJ4" s="296">
        <f>(IF('Section Load'!AQ7&gt;0,'Section Load'!AQ7,0))</f>
        <v>115</v>
      </c>
      <c r="BK4" s="296">
        <f>(IF('Section Load'!AR7&gt;0,'Section Load'!AR7,0))</f>
        <v>42</v>
      </c>
      <c r="BL4" s="296">
        <f>(IF('Section Load'!AS7&gt;0,'Section Load'!AS7,0))</f>
        <v>0</v>
      </c>
      <c r="BM4" s="296">
        <f>(IF('Section Load'!AT7&gt;0,'Section Load'!AT7,0))</f>
        <v>748.06</v>
      </c>
    </row>
    <row r="5" spans="1:65">
      <c r="A5" s="287" t="s">
        <v>268</v>
      </c>
      <c r="B5" s="288">
        <f t="shared" si="0"/>
        <v>4</v>
      </c>
      <c r="C5" s="288">
        <v>1</v>
      </c>
      <c r="D5" s="288">
        <v>2023</v>
      </c>
      <c r="E5" s="294">
        <f>(IF('Section Load'!F8&gt;0,'Section Load'!F8,0))</f>
        <v>2814.8499999999767</v>
      </c>
      <c r="F5" s="294">
        <f>(IF('Section Load'!G8&gt;0,'Section Load'!G8,0))</f>
        <v>1416.929999999993</v>
      </c>
      <c r="G5" s="294">
        <f>(IF('Section Load'!H8&gt;0,'Section Load'!H8,0))</f>
        <v>2404.1300000000047</v>
      </c>
      <c r="H5" s="294">
        <f>(IF('Section Load'!I8&gt;0,'Section Load'!I8,0))</f>
        <v>2869.9300000000512</v>
      </c>
      <c r="I5" s="294">
        <f>(IF('Section Load'!J8&gt;0,'Section Load'!J8,0))</f>
        <v>4497.0600000000559</v>
      </c>
      <c r="J5" s="294">
        <f>(IF('Section Load'!K8&gt;0,'Section Load'!K8,0))</f>
        <v>2309.890000000014</v>
      </c>
      <c r="K5" s="294">
        <f>(IF('Section Load'!L8&gt;0,'Section Load'!L8,0))</f>
        <v>1602.0999999999767</v>
      </c>
      <c r="L5" s="294">
        <f>(IF('Section Load'!M8&gt;0,'Section Load'!M8,0))</f>
        <v>750.42999999999302</v>
      </c>
      <c r="M5" s="294">
        <f>(IF('Section Load'!N8&gt;0,'Section Load'!N8,0))</f>
        <v>112</v>
      </c>
      <c r="N5" s="294">
        <f>(IF('Section Load'!O8&gt;0,'Section Load'!O8,0))</f>
        <v>144</v>
      </c>
      <c r="O5" s="294">
        <f>(IF('Section Load'!P8&gt;0,'Section Load'!P8,0))</f>
        <v>13.899999999999636</v>
      </c>
      <c r="P5" s="294">
        <f>(IF('Section Load'!Q8&gt;0,'Section Load'!Q8,0))</f>
        <v>191.55000000000291</v>
      </c>
      <c r="Q5" s="294">
        <f>(IF('Section Load'!R8&gt;0,'Section Load'!R8,0))</f>
        <v>80.889999999999418</v>
      </c>
      <c r="R5" s="294">
        <f>(IF('Section Load'!S8&gt;0,'Section Load'!S8,0))</f>
        <v>182</v>
      </c>
      <c r="S5" s="294">
        <f>(IF('Section Load'!T8&gt;0,'Section Load'!T8,0))</f>
        <v>38</v>
      </c>
      <c r="T5" s="294">
        <f>(IF('Section Load'!U8&gt;0,'Section Load'!U8,0))</f>
        <v>240</v>
      </c>
      <c r="U5" s="294">
        <f>(IF('Section Load'!V8&gt;0,'Section Load'!V8,0))</f>
        <v>350.98999999999069</v>
      </c>
      <c r="V5" s="294">
        <f>(IF('Section Load'!W8&gt;0,'Section Load'!W8,0))</f>
        <v>289.11999999999534</v>
      </c>
      <c r="W5" s="294">
        <f>(IF('Section Load'!X8&gt;0,'Section Load'!X8,0))</f>
        <v>28.840000000000146</v>
      </c>
      <c r="X5" s="294">
        <f>(IF('Section Load'!Y8&gt;0,'Section Load'!Y8,0))</f>
        <v>267.61999999999534</v>
      </c>
      <c r="Y5" s="294">
        <f>(IF('Section Load'!Z8&gt;0,'Section Load'!Z8,0))</f>
        <v>298</v>
      </c>
      <c r="Z5" s="294">
        <f>(IF('Section Load'!AA8&gt;0,'Section Load'!AA8,0))</f>
        <v>145.71999999997206</v>
      </c>
      <c r="AA5" s="294">
        <f>(IF('Section Load'!AB8&gt;0,'Section Load'!AB8,0))</f>
        <v>40.699999999999932</v>
      </c>
      <c r="AB5" s="294">
        <f>(IF('Section Load'!AC8&gt;0,'Section Load'!AC8,0))</f>
        <v>0</v>
      </c>
      <c r="AC5" s="294">
        <f>(IF('Section Load'!AD8&gt;0,'Section Load'!AD8,0))</f>
        <v>4.8000000000001819</v>
      </c>
      <c r="AD5" s="294">
        <f>(IF('Section Load'!AE8&gt;0,'Section Load'!AE8,0))</f>
        <v>458.20000000001164</v>
      </c>
      <c r="AE5" s="294">
        <f>(IF('Section Load'!AF8&gt;0,'Section Load'!AF8,0))</f>
        <v>377.19999999999709</v>
      </c>
      <c r="AF5" s="294">
        <f>(IF('Section Load'!AG8&gt;0,'Section Load'!AG8,0))</f>
        <v>654.19999999998254</v>
      </c>
      <c r="AG5" s="294">
        <f>(IF('Section Load'!AH8&gt;0,'Section Load'!AH8,0))</f>
        <v>33.67000000000553</v>
      </c>
      <c r="AH5" s="294">
        <f>(IF('Section Load'!AI8&gt;0,'Section Load'!AI8,0))</f>
        <v>412.38000000000466</v>
      </c>
      <c r="AI5" s="294">
        <f>(IF('Section Load'!AJ8&gt;0,'Section Load'!AJ8,0))</f>
        <v>444.10000000000582</v>
      </c>
      <c r="AJ5" s="294">
        <f>(IF('Section Load'!AK8&gt;0,'Section Load'!AK8,0))</f>
        <v>277.20000000001164</v>
      </c>
      <c r="AK5" s="294">
        <f>(IF('Section Load'!AL8&gt;0,'Section Load'!AL8,0))</f>
        <v>316.5</v>
      </c>
      <c r="AL5" s="294">
        <f>(IF('Section Load'!AM8&gt;0,'Section Load'!AM8,0))</f>
        <v>0</v>
      </c>
      <c r="AM5" s="295">
        <f>(IF('Water Report'!$G$7&gt;0,'Water Report'!$F$7,0))</f>
        <v>158</v>
      </c>
      <c r="AN5" s="295">
        <f>(IF('Water Report'!$G$8&gt;0,'Water Report'!$F$8,0))</f>
        <v>91</v>
      </c>
      <c r="AO5" s="295">
        <f>(IF('Water Report'!$G$9&gt;0,'Water Report'!$H$9,0))</f>
        <v>118</v>
      </c>
      <c r="AP5" s="295">
        <f>(IF('Water Report'!$G$10&gt;0,'Water Report'!$G$10,0))</f>
        <v>19</v>
      </c>
      <c r="AQ5" s="295">
        <f>(IF('Water Report'!$G$11&gt;0,'Water Report'!$G$11,0))</f>
        <v>19</v>
      </c>
      <c r="AR5" s="295">
        <f>(IF('Water Report'!$G$13&gt;0,'Water Report'!$G$13,0))</f>
        <v>30</v>
      </c>
      <c r="AS5" s="295">
        <f>(IF('Water Report'!$G$14&gt;0,'Water Report'!$G$14,0))</f>
        <v>0</v>
      </c>
      <c r="AT5" s="295">
        <f>(IF('Water Report'!$G$15&gt;0,'Water Report'!$G$15,0))</f>
        <v>7</v>
      </c>
      <c r="AU5" s="295">
        <f>(IF('Water Report'!$G$17&gt;0,'Water Report'!$G$17,0))</f>
        <v>2</v>
      </c>
      <c r="AV5" s="295">
        <f>(IF('Water Report'!$G$18&gt;0,'Water Report'!$G$18,0))</f>
        <v>13</v>
      </c>
      <c r="AW5" s="295">
        <f>(IF('Water Report'!$G$19&gt;0,'Water Report'!$G$19,0))</f>
        <v>14</v>
      </c>
      <c r="AX5" s="301">
        <f>(IF('Water Report'!$G$21&gt;0,'Water Report'!$G$21,0))</f>
        <v>119</v>
      </c>
      <c r="AY5" s="301">
        <f>(IF('Water Report'!$G$22&gt;0,'Water Report'!$G$22,0))</f>
        <v>0</v>
      </c>
      <c r="AZ5" s="301">
        <f>(IF('Water Report'!$G$23&gt;0,'Water Report'!$G$23,0))</f>
        <v>0</v>
      </c>
      <c r="BA5" s="301">
        <f>(IF('Water Report'!$G$14&gt;0,'Water Report'!$G$14,0))</f>
        <v>0</v>
      </c>
      <c r="BB5" s="301">
        <f>(IF('Water Report'!$G$15&gt;0,'Water Report'!$G$15,0))</f>
        <v>7</v>
      </c>
      <c r="BC5" s="301">
        <f>(IF('Water Report'!$G$13&gt;0,'Water Report'!$G$13,0))</f>
        <v>30</v>
      </c>
      <c r="BD5" s="301">
        <f>(IF('Water Report'!$G$24&gt;0,'Water Report'!$G$24,0))</f>
        <v>267</v>
      </c>
      <c r="BE5" s="301">
        <f>(IF('Water Report'!$G$25&gt;0,'Water Report'!$G$25,0))</f>
        <v>147</v>
      </c>
      <c r="BF5" s="301">
        <f>(IF('Water Report'!$G$27&gt;0,'Water Report'!$G$27,0))</f>
        <v>149</v>
      </c>
      <c r="BG5" s="296">
        <f>(IF('Section Load'!AN8&gt;0,'Section Load'!AN8,0))</f>
        <v>1072</v>
      </c>
      <c r="BH5" s="296">
        <f>(IF('Section Load'!AO8&gt;0,'Section Load'!AO8,0))</f>
        <v>303.23999999999978</v>
      </c>
      <c r="BI5" s="296">
        <f>(IF('Section Load'!AP8&gt;0,'Section Load'!AP8,0))</f>
        <v>0</v>
      </c>
      <c r="BJ5" s="296">
        <f>(IF('Section Load'!AQ8&gt;0,'Section Load'!AQ8,0))</f>
        <v>65</v>
      </c>
      <c r="BK5" s="296">
        <f>(IF('Section Load'!AR8&gt;0,'Section Load'!AR8,0))</f>
        <v>61</v>
      </c>
      <c r="BL5" s="296">
        <f>(IF('Section Load'!AS8&gt;0,'Section Load'!AS8,0))</f>
        <v>0</v>
      </c>
      <c r="BM5" s="296">
        <f>(IF('Section Load'!AT8&gt;0,'Section Load'!AT8,0))</f>
        <v>643.26000000000022</v>
      </c>
    </row>
    <row r="6" spans="1:65">
      <c r="A6" s="287" t="s">
        <v>268</v>
      </c>
      <c r="B6" s="288">
        <f t="shared" si="0"/>
        <v>5</v>
      </c>
      <c r="C6" s="288">
        <v>1</v>
      </c>
      <c r="D6" s="288">
        <v>2023</v>
      </c>
      <c r="E6" s="294">
        <f>(IF('Section Load'!F9&gt;0,'Section Load'!F9,0))</f>
        <v>3067</v>
      </c>
      <c r="F6" s="294">
        <f>(IF('Section Load'!G9&gt;0,'Section Load'!G9,0))</f>
        <v>1489</v>
      </c>
      <c r="G6" s="294">
        <f>(IF('Section Load'!H9&gt;0,'Section Load'!H9,0))</f>
        <v>2509.0100000000002</v>
      </c>
      <c r="H6" s="294">
        <f>(IF('Section Load'!I9&gt;0,'Section Load'!I9,0))</f>
        <v>2895</v>
      </c>
      <c r="I6" s="294">
        <f>(IF('Section Load'!J9&gt;0,'Section Load'!J9,0))</f>
        <v>4539.1999999999534</v>
      </c>
      <c r="J6" s="294">
        <f>(IF('Section Load'!K9&gt;0,'Section Load'!K9,0))</f>
        <v>2309</v>
      </c>
      <c r="K6" s="294">
        <f>(IF('Section Load'!L9&gt;0,'Section Load'!L9,0))</f>
        <v>1163</v>
      </c>
      <c r="L6" s="294">
        <f>(IF('Section Load'!M9&gt;0,'Section Load'!M9,0))</f>
        <v>820.90000000002328</v>
      </c>
      <c r="M6" s="294">
        <f>(IF('Section Load'!N9&gt;0,'Section Load'!N9,0))</f>
        <v>103</v>
      </c>
      <c r="N6" s="294">
        <f>(IF('Section Load'!O9&gt;0,'Section Load'!O9,0))</f>
        <v>171</v>
      </c>
      <c r="O6" s="294">
        <f>(IF('Section Load'!P9&gt;0,'Section Load'!P9,0))</f>
        <v>17.100000000000364</v>
      </c>
      <c r="P6" s="294">
        <f>(IF('Section Load'!Q9&gt;0,'Section Load'!Q9,0))</f>
        <v>199</v>
      </c>
      <c r="Q6" s="294">
        <f>(IF('Section Load'!R9&gt;0,'Section Load'!R9,0))</f>
        <v>81</v>
      </c>
      <c r="R6" s="294">
        <f>(IF('Section Load'!S9&gt;0,'Section Load'!S9,0))</f>
        <v>157</v>
      </c>
      <c r="S6" s="294">
        <f>(IF('Section Load'!T9&gt;0,'Section Load'!T9,0))</f>
        <v>39</v>
      </c>
      <c r="T6" s="294">
        <f>(IF('Section Load'!U9&gt;0,'Section Load'!U9,0))</f>
        <v>240</v>
      </c>
      <c r="U6" s="294">
        <f>(IF('Section Load'!V9&gt;0,'Section Load'!V9,0))</f>
        <v>341.52000000001863</v>
      </c>
      <c r="V6" s="294">
        <f>(IF('Section Load'!W9&gt;0,'Section Load'!W9,0))</f>
        <v>314.47999999998137</v>
      </c>
      <c r="W6" s="294">
        <f>(IF('Section Load'!X9&gt;0,'Section Load'!X9,0))</f>
        <v>28.700000000000728</v>
      </c>
      <c r="X6" s="294">
        <f>(IF('Section Load'!Y9&gt;0,'Section Load'!Y9,0))</f>
        <v>248</v>
      </c>
      <c r="Y6" s="294">
        <f>(IF('Section Load'!Z9&gt;0,'Section Load'!Z9,0))</f>
        <v>315</v>
      </c>
      <c r="Z6" s="294">
        <f>(IF('Section Load'!AA9&gt;0,'Section Load'!AA9,0))</f>
        <v>140.84000000002561</v>
      </c>
      <c r="AA6" s="294">
        <f>(IF('Section Load'!AB9&gt;0,'Section Load'!AB9,0))</f>
        <v>40.600000000000023</v>
      </c>
      <c r="AB6" s="294">
        <f>(IF('Section Load'!AC9&gt;0,'Section Load'!AC9,0))</f>
        <v>0</v>
      </c>
      <c r="AC6" s="294">
        <f>(IF('Section Load'!AD9&gt;0,'Section Load'!AD9,0))</f>
        <v>4.1999999999998181</v>
      </c>
      <c r="AD6" s="294">
        <f>(IF('Section Load'!AE9&gt;0,'Section Load'!AE9,0))</f>
        <v>435</v>
      </c>
      <c r="AE6" s="294">
        <f>(IF('Section Load'!AF9&gt;0,'Section Load'!AF9,0))</f>
        <v>382.19999999999709</v>
      </c>
      <c r="AF6" s="294">
        <f>(IF('Section Load'!AG9&gt;0,'Section Load'!AG9,0))</f>
        <v>662.20000000001164</v>
      </c>
      <c r="AG6" s="294">
        <f>(IF('Section Load'!AH9&gt;0,'Section Load'!AH9,0))</f>
        <v>36.19999999999709</v>
      </c>
      <c r="AH6" s="294">
        <f>(IF('Section Load'!AI9&gt;0,'Section Load'!AI9,0))</f>
        <v>393.61999999999534</v>
      </c>
      <c r="AI6" s="294">
        <f>(IF('Section Load'!AJ9&gt;0,'Section Load'!AJ9,0))</f>
        <v>444.89999999999418</v>
      </c>
      <c r="AJ6" s="294">
        <f>(IF('Section Load'!AK9&gt;0,'Section Load'!AK9,0))</f>
        <v>317.39999999999418</v>
      </c>
      <c r="AK6" s="294">
        <f>(IF('Section Load'!AL9&gt;0,'Section Load'!AL9,0))</f>
        <v>299.5</v>
      </c>
      <c r="AL6" s="294">
        <f>(IF('Section Load'!AM9&gt;0,'Section Load'!AM9,0))</f>
        <v>0</v>
      </c>
      <c r="AM6" s="295">
        <f>(IF('Water Report'!$H$7&gt;0,'Water Report'!$H$7,0))</f>
        <v>124</v>
      </c>
      <c r="AN6" s="295">
        <f>(IF('Water Report'!$H$8&gt;0,'Water Report'!$H$8,0))</f>
        <v>114</v>
      </c>
      <c r="AO6" s="295">
        <f>(IF('Water Report'!$H$9&gt;0,'Water Report'!$H$9,0))</f>
        <v>118</v>
      </c>
      <c r="AP6" s="295">
        <f>(IF('Water Report'!$H$10&gt;0,'Water Report'!$H$10,0))</f>
        <v>13</v>
      </c>
      <c r="AQ6" s="295">
        <f>(IF('Water Report'!$H$11&gt;0,'Water Report'!$H$11,0))</f>
        <v>24</v>
      </c>
      <c r="AR6" s="295">
        <f>(IF('Water Report'!$H$13&gt;0,'Water Report'!$H$13,0))</f>
        <v>22</v>
      </c>
      <c r="AS6" s="295">
        <f>(IF('Water Report'!$H$14&gt;0,'Water Report'!$H$14,0))</f>
        <v>4</v>
      </c>
      <c r="AT6" s="295">
        <f>(IF('Water Report'!$H$15&gt;0,'Water Report'!$H$15,0))</f>
        <v>6</v>
      </c>
      <c r="AU6" s="295">
        <f>(IF('Water Report'!$H$17&gt;0,'Water Report'!$H$17,0))</f>
        <v>0</v>
      </c>
      <c r="AV6" s="295">
        <f>(IF('Water Report'!$H$18&gt;0,'Water Report'!$H$18,0))</f>
        <v>19</v>
      </c>
      <c r="AW6" s="295">
        <f>(IF('Water Report'!$H$19&gt;0,'Water Report'!$H$19,0))</f>
        <v>13</v>
      </c>
      <c r="AX6" s="301">
        <f>(IF('Water Report'!$H$21&gt;0,'Water Report'!$H$21,0))</f>
        <v>133</v>
      </c>
      <c r="AY6" s="301">
        <f>(IF('Water Report'!$H$22&gt;0,'Water Report'!$H$22,0))</f>
        <v>0</v>
      </c>
      <c r="AZ6" s="301">
        <f>(IF('Water Report'!$H$23&gt;0,'Water Report'!$H$23,0))</f>
        <v>10</v>
      </c>
      <c r="BA6" s="301">
        <f>(IF('Water Report'!$H$14&gt;0,'Water Report'!$H$14,0))</f>
        <v>4</v>
      </c>
      <c r="BB6" s="301">
        <f>(IF('Water Report'!$H$15&gt;0,'Water Report'!$H$15,0))</f>
        <v>6</v>
      </c>
      <c r="BC6" s="301">
        <f>(IF('Water Report'!$H$13&gt;0,'Water Report'!$H$13,0))</f>
        <v>22</v>
      </c>
      <c r="BD6" s="301">
        <f>(IF('Water Report'!$H$24&gt;0,'Water Report'!$H$24,0))</f>
        <v>183</v>
      </c>
      <c r="BE6" s="301">
        <f>(IF('Water Report'!$H$25&gt;0,'Water Report'!$H$25,0))</f>
        <v>165</v>
      </c>
      <c r="BF6" s="301">
        <f>(IF('Water Report'!$H$27&gt;0,'Water Report'!$H$27,0))</f>
        <v>165</v>
      </c>
      <c r="BG6" s="296">
        <f>(IF('Section Load'!AN9&gt;0,'Section Load'!AN9,0))</f>
        <v>1031</v>
      </c>
      <c r="BH6" s="296">
        <f>(IF('Section Load'!AO9&gt;0,'Section Load'!AO9,0))</f>
        <v>303</v>
      </c>
      <c r="BI6" s="296">
        <f>(IF('Section Load'!AP9&gt;0,'Section Load'!AP9,0))</f>
        <v>0</v>
      </c>
      <c r="BJ6" s="296">
        <f>(IF('Section Load'!AQ9&gt;0,'Section Load'!AQ9,0))</f>
        <v>130</v>
      </c>
      <c r="BK6" s="296">
        <f>(IF('Section Load'!AR9&gt;0,'Section Load'!AR9,0))</f>
        <v>43</v>
      </c>
      <c r="BL6" s="296">
        <f>(IF('Section Load'!AS9&gt;0,'Section Load'!AS9,0))</f>
        <v>0.3999999999996362</v>
      </c>
      <c r="BM6" s="296">
        <f>(IF('Section Load'!AT9&gt;0,'Section Load'!AT9,0))</f>
        <v>554.60000000000036</v>
      </c>
    </row>
    <row r="7" spans="1:65">
      <c r="A7" s="287" t="s">
        <v>268</v>
      </c>
      <c r="B7" s="288">
        <f t="shared" si="0"/>
        <v>6</v>
      </c>
      <c r="C7" s="288">
        <v>1</v>
      </c>
      <c r="D7" s="288">
        <v>2023</v>
      </c>
      <c r="E7" s="294">
        <f>(IF('Section Load'!F10&gt;0,'Section Load'!F10,0))</f>
        <v>2935</v>
      </c>
      <c r="F7" s="294">
        <f>(IF('Section Load'!G10&gt;0,'Section Load'!G10,0))</f>
        <v>1465</v>
      </c>
      <c r="G7" s="294">
        <f>(IF('Section Load'!H10&gt;0,'Section Load'!H10,0))</f>
        <v>2505</v>
      </c>
      <c r="H7" s="294">
        <f>(IF('Section Load'!I10&gt;0,'Section Load'!I10,0))</f>
        <v>2773</v>
      </c>
      <c r="I7" s="294">
        <f>(IF('Section Load'!J10&gt;0,'Section Load'!J10,0))</f>
        <v>4307</v>
      </c>
      <c r="J7" s="294">
        <f>(IF('Section Load'!K10&gt;0,'Section Load'!K10,0))</f>
        <v>2270</v>
      </c>
      <c r="K7" s="294">
        <f>(IF('Section Load'!L10&gt;0,'Section Load'!L10,0))</f>
        <v>1228</v>
      </c>
      <c r="L7" s="294">
        <f>(IF('Section Load'!M10&gt;0,'Section Load'!M10,0))</f>
        <v>849</v>
      </c>
      <c r="M7" s="294">
        <f>(IF('Section Load'!N10&gt;0,'Section Load'!N10,0))</f>
        <v>110</v>
      </c>
      <c r="N7" s="294">
        <f>(IF('Section Load'!O10&gt;0,'Section Load'!O10,0))</f>
        <v>180</v>
      </c>
      <c r="O7" s="294">
        <f>(IF('Section Load'!P10&gt;0,'Section Load'!P10,0))</f>
        <v>21</v>
      </c>
      <c r="P7" s="294">
        <f>(IF('Section Load'!Q10&gt;0,'Section Load'!Q10,0))</f>
        <v>207</v>
      </c>
      <c r="Q7" s="294">
        <f>(IF('Section Load'!R10&gt;0,'Section Load'!R10,0))</f>
        <v>87</v>
      </c>
      <c r="R7" s="294">
        <f>(IF('Section Load'!S10&gt;0,'Section Load'!S10,0))</f>
        <v>162</v>
      </c>
      <c r="S7" s="294">
        <f>(IF('Section Load'!T10&gt;0,'Section Load'!T10,0))</f>
        <v>31</v>
      </c>
      <c r="T7" s="294">
        <f>(IF('Section Load'!U10&gt;0,'Section Load'!U10,0))</f>
        <v>242</v>
      </c>
      <c r="U7" s="294">
        <f>(IF('Section Load'!V10&gt;0,'Section Load'!V10,0))</f>
        <v>340</v>
      </c>
      <c r="V7" s="294">
        <f>(IF('Section Load'!W10&gt;0,'Section Load'!W10,0))</f>
        <v>342</v>
      </c>
      <c r="W7" s="294">
        <f>(IF('Section Load'!X10&gt;0,'Section Load'!X10,0))</f>
        <v>33</v>
      </c>
      <c r="X7" s="294">
        <f>(IF('Section Load'!Y10&gt;0,'Section Load'!Y10,0))</f>
        <v>251</v>
      </c>
      <c r="Y7" s="294">
        <f>(IF('Section Load'!Z10&gt;0,'Section Load'!Z10,0))</f>
        <v>308</v>
      </c>
      <c r="Z7" s="294">
        <f>(IF('Section Load'!AA10&gt;0,'Section Load'!AA10,0))</f>
        <v>253</v>
      </c>
      <c r="AA7" s="294">
        <f>(IF('Section Load'!AB10&gt;0,'Section Load'!AB10,0))</f>
        <v>38</v>
      </c>
      <c r="AB7" s="294">
        <f>(IF('Section Load'!AC10&gt;0,'Section Load'!AC10,0))</f>
        <v>0</v>
      </c>
      <c r="AC7" s="294">
        <f>(IF('Section Load'!AD10&gt;0,'Section Load'!AD10,0))</f>
        <v>5</v>
      </c>
      <c r="AD7" s="294">
        <f>(IF('Section Load'!AE10&gt;0,'Section Load'!AE10,0))</f>
        <v>365</v>
      </c>
      <c r="AE7" s="294">
        <f>(IF('Section Load'!AF10&gt;0,'Section Load'!AF10,0))</f>
        <v>374</v>
      </c>
      <c r="AF7" s="294">
        <f>(IF('Section Load'!AG10&gt;0,'Section Load'!AG10,0))</f>
        <v>601</v>
      </c>
      <c r="AG7" s="294">
        <f>(IF('Section Load'!AH10&gt;0,'Section Load'!AH10,0))</f>
        <v>34</v>
      </c>
      <c r="AH7" s="294">
        <f>(IF('Section Load'!AI10&gt;0,'Section Load'!AI10,0))</f>
        <v>405</v>
      </c>
      <c r="AI7" s="294">
        <f>(IF('Section Load'!AJ10&gt;0,'Section Load'!AJ10,0))</f>
        <v>449</v>
      </c>
      <c r="AJ7" s="294">
        <f>(IF('Section Load'!AK10&gt;0,'Section Load'!AK10,0))</f>
        <v>322</v>
      </c>
      <c r="AK7" s="294">
        <f>(IF('Section Load'!AL10&gt;0,'Section Load'!AL10,0))</f>
        <v>307</v>
      </c>
      <c r="AL7" s="294">
        <f>(IF('Section Load'!AM10&gt;0,'Section Load'!AM10,0))</f>
        <v>0</v>
      </c>
      <c r="AM7" s="295">
        <f>(IF('Water Report'!$I$7&gt;0,'Water Report'!$I$7,0))</f>
        <v>114</v>
      </c>
      <c r="AN7" s="295">
        <f>(IF('Water Report'!$I$8&gt;0,'Water Report'!$I$8,0))</f>
        <v>114</v>
      </c>
      <c r="AO7" s="295">
        <f>(IF('Water Report'!$I$9&gt;0,'Water Report'!$I$9,0))</f>
        <v>146</v>
      </c>
      <c r="AP7" s="295">
        <f>(IF('Water Report'!$I$10&gt;0,'Water Report'!$I$10,0))</f>
        <v>16</v>
      </c>
      <c r="AQ7" s="295">
        <f>(IF('Water Report'!$I$11&gt;0,'Water Report'!$I$11,0))</f>
        <v>30</v>
      </c>
      <c r="AR7" s="295">
        <f>(IF('Water Report'!$I$13&gt;0,'Water Report'!$I$13,0))</f>
        <v>21</v>
      </c>
      <c r="AS7" s="295">
        <f>(IF('Water Report'!$I$14&gt;0,'Water Report'!$I$14,0))</f>
        <v>4</v>
      </c>
      <c r="AT7" s="295">
        <f>(IF('Water Report'!$I$15&gt;0,'Water Report'!$I$15,0))</f>
        <v>11</v>
      </c>
      <c r="AU7" s="295">
        <f>(IF('Water Report'!$I$17&gt;0,'Water Report'!$I$17,0))</f>
        <v>1</v>
      </c>
      <c r="AV7" s="295">
        <f>(IF('Water Report'!$I$18&gt;0,'Water Report'!$I$18,0))</f>
        <v>12</v>
      </c>
      <c r="AW7" s="295">
        <f>(IF('Water Report'!$I$19&gt;0,'Water Report'!$I$19,0))</f>
        <v>13</v>
      </c>
      <c r="AX7" s="301">
        <f>(IF('Water Report'!$I$21&gt;0,'Water Report'!$I$21,0))</f>
        <v>157</v>
      </c>
      <c r="AY7" s="301">
        <f>(IF('Water Report'!$I$22&gt;0,'Water Report'!$I$22,0))</f>
        <v>0</v>
      </c>
      <c r="AZ7" s="301">
        <f>(IF('Water Report'!$I$23&gt;0,'Water Report'!$I$23,0))</f>
        <v>7</v>
      </c>
      <c r="BA7" s="301">
        <f>(IF('Water Report'!$I$14&gt;0,'Water Report'!$I$14,0))</f>
        <v>4</v>
      </c>
      <c r="BB7" s="301">
        <f>(IF('Water Report'!$I$15&gt;0,'Water Report'!$I$15,0))</f>
        <v>11</v>
      </c>
      <c r="BC7" s="301">
        <f>(IF('Water Report'!$I$13&gt;0,'Water Report'!$I$13,0))</f>
        <v>21</v>
      </c>
      <c r="BD7" s="301">
        <f>(IF('Water Report'!$I$24&gt;0,'Water Report'!$I$24,0))</f>
        <v>306</v>
      </c>
      <c r="BE7" s="301">
        <f>(IF('Water Report'!$I$25&gt;0,'Water Report'!$I$25,0))</f>
        <v>207</v>
      </c>
      <c r="BF7" s="301">
        <f>(IF('Water Report'!$I$27&gt;0,'Water Report'!$I$27,0))</f>
        <v>185</v>
      </c>
      <c r="BG7" s="296">
        <f>(IF('Section Load'!AN10&gt;0,'Section Load'!AN10,0))</f>
        <v>1061</v>
      </c>
      <c r="BH7" s="296">
        <f>(IF('Section Load'!AO10&gt;0,'Section Load'!AO10,0))</f>
        <v>307</v>
      </c>
      <c r="BI7" s="296">
        <f>(IF('Section Load'!AP10&gt;0,'Section Load'!AP10,0))</f>
        <v>0</v>
      </c>
      <c r="BJ7" s="296">
        <f>(IF('Section Load'!AQ10&gt;0,'Section Load'!AQ10,0))</f>
        <v>100</v>
      </c>
      <c r="BK7" s="296">
        <f>(IF('Section Load'!AR10&gt;0,'Section Load'!AR10,0))</f>
        <v>52</v>
      </c>
      <c r="BL7" s="296">
        <f>(IF('Section Load'!AS10&gt;0,'Section Load'!AS10,0))</f>
        <v>0</v>
      </c>
      <c r="BM7" s="296">
        <f>(IF('Section Load'!AT10&gt;0,'Section Load'!AT10,0))</f>
        <v>602</v>
      </c>
    </row>
    <row r="8" spans="1:65">
      <c r="A8" s="287" t="s">
        <v>268</v>
      </c>
      <c r="B8" s="288">
        <f t="shared" si="0"/>
        <v>7</v>
      </c>
      <c r="C8" s="288">
        <v>1</v>
      </c>
      <c r="D8" s="288">
        <v>2023</v>
      </c>
      <c r="E8" s="294">
        <f>(IF('Section Load'!F11&gt;0,'Section Load'!F11,0))</f>
        <v>2982</v>
      </c>
      <c r="F8" s="294">
        <f>(IF('Section Load'!G11&gt;0,'Section Load'!G11,0))</f>
        <v>1528</v>
      </c>
      <c r="G8" s="294">
        <f>(IF('Section Load'!H11&gt;0,'Section Load'!H11,0))</f>
        <v>2485</v>
      </c>
      <c r="H8" s="294">
        <f>(IF('Section Load'!I11&gt;0,'Section Load'!I11,0))</f>
        <v>2864</v>
      </c>
      <c r="I8" s="294">
        <f>(IF('Section Load'!J11&gt;0,'Section Load'!J11,0))</f>
        <v>4797</v>
      </c>
      <c r="J8" s="294">
        <f>(IF('Section Load'!K11&gt;0,'Section Load'!K11,0))</f>
        <v>2251</v>
      </c>
      <c r="K8" s="294">
        <f>(IF('Section Load'!L11&gt;0,'Section Load'!L11,0))</f>
        <v>1307</v>
      </c>
      <c r="L8" s="294">
        <f>(IF('Section Load'!M11&gt;0,'Section Load'!M11,0))</f>
        <v>1091</v>
      </c>
      <c r="M8" s="294">
        <f>(IF('Section Load'!N11&gt;0,'Section Load'!N11,0))</f>
        <v>98</v>
      </c>
      <c r="N8" s="294">
        <f>(IF('Section Load'!O11&gt;0,'Section Load'!O11,0))</f>
        <v>152</v>
      </c>
      <c r="O8" s="294">
        <f>(IF('Section Load'!P11&gt;0,'Section Load'!P11,0))</f>
        <v>21</v>
      </c>
      <c r="P8" s="294">
        <f>(IF('Section Load'!Q11&gt;0,'Section Load'!Q11,0))</f>
        <v>204</v>
      </c>
      <c r="Q8" s="294">
        <f>(IF('Section Load'!R11&gt;0,'Section Load'!R11,0))</f>
        <v>93</v>
      </c>
      <c r="R8" s="294">
        <f>(IF('Section Load'!S11&gt;0,'Section Load'!S11,0))</f>
        <v>139</v>
      </c>
      <c r="S8" s="294">
        <f>(IF('Section Load'!T11&gt;0,'Section Load'!T11,0))</f>
        <v>31</v>
      </c>
      <c r="T8" s="294">
        <f>(IF('Section Load'!U11&gt;0,'Section Load'!U11,0))</f>
        <v>245</v>
      </c>
      <c r="U8" s="294">
        <f>(IF('Section Load'!V11&gt;0,'Section Load'!V11,0))</f>
        <v>367</v>
      </c>
      <c r="V8" s="294">
        <f>(IF('Section Load'!W11&gt;0,'Section Load'!W11,0))</f>
        <v>352</v>
      </c>
      <c r="W8" s="294">
        <f>(IF('Section Load'!X11&gt;0,'Section Load'!X11,0))</f>
        <v>29</v>
      </c>
      <c r="X8" s="294">
        <f>(IF('Section Load'!Y11&gt;0,'Section Load'!Y11,0))</f>
        <v>250</v>
      </c>
      <c r="Y8" s="294">
        <f>(IF('Section Load'!Z11&gt;0,'Section Load'!Z11,0))</f>
        <v>302</v>
      </c>
      <c r="Z8" s="294">
        <f>(IF('Section Load'!AA11&gt;0,'Section Load'!AA11,0))</f>
        <v>239</v>
      </c>
      <c r="AA8" s="294">
        <f>(IF('Section Load'!AB11&gt;0,'Section Load'!AB11,0))</f>
        <v>39</v>
      </c>
      <c r="AB8" s="294">
        <f>(IF('Section Load'!AC11&gt;0,'Section Load'!AC11,0))</f>
        <v>0</v>
      </c>
      <c r="AC8" s="294">
        <f>(IF('Section Load'!AD11&gt;0,'Section Load'!AD11,0))</f>
        <v>5</v>
      </c>
      <c r="AD8" s="294">
        <f>(IF('Section Load'!AE11&gt;0,'Section Load'!AE11,0))</f>
        <v>471</v>
      </c>
      <c r="AE8" s="294">
        <f>(IF('Section Load'!AF11&gt;0,'Section Load'!AF11,0))</f>
        <v>409</v>
      </c>
      <c r="AF8" s="294">
        <f>(IF('Section Load'!AG11&gt;0,'Section Load'!AG11,0))</f>
        <v>634</v>
      </c>
      <c r="AG8" s="294">
        <f>(IF('Section Load'!AH11&gt;0,'Section Load'!AH11,0))</f>
        <v>39</v>
      </c>
      <c r="AH8" s="294">
        <f>(IF('Section Load'!AI11&gt;0,'Section Load'!AI11,0))</f>
        <v>403</v>
      </c>
      <c r="AI8" s="294">
        <f>(IF('Section Load'!AJ11&gt;0,'Section Load'!AJ11,0))</f>
        <v>415</v>
      </c>
      <c r="AJ8" s="294">
        <f>(IF('Section Load'!AK11&gt;0,'Section Load'!AK11,0))</f>
        <v>338</v>
      </c>
      <c r="AK8" s="294">
        <f>(IF('Section Load'!AL11&gt;0,'Section Load'!AL11,0))</f>
        <v>303</v>
      </c>
      <c r="AL8" s="294">
        <f>(IF('Section Load'!AM11&gt;0,'Section Load'!AM11,0))</f>
        <v>0</v>
      </c>
      <c r="AM8" s="295">
        <f>(IF('Water Report'!$J$7&gt;0,'Water Report'!$J$7,0))</f>
        <v>66</v>
      </c>
      <c r="AN8" s="295">
        <f>(IF('Water Report'!$J$8&gt;0,'Water Report'!$J$8,0))</f>
        <v>96</v>
      </c>
      <c r="AO8" s="295">
        <f>(IF('Water Report'!$J$9&gt;0,'Water Report'!$J$9,0))</f>
        <v>123</v>
      </c>
      <c r="AP8" s="295">
        <f>(IF('Water Report'!$J$10&gt;0,'Water Report'!$J$10,0))</f>
        <v>20</v>
      </c>
      <c r="AQ8" s="295">
        <f>(IF('Water Report'!$J$11&gt;0,'Water Report'!$J$11,0))</f>
        <v>20</v>
      </c>
      <c r="AR8" s="295">
        <f>(IF('Water Report'!$J$13&gt;0,'Water Report'!$J$13,0))</f>
        <v>24</v>
      </c>
      <c r="AS8" s="295">
        <f>(IF('Water Report'!$J$14&gt;0,'Water Report'!$J$14,0))</f>
        <v>5</v>
      </c>
      <c r="AT8" s="295">
        <f>(IF('Water Report'!$J$15&gt;0,'Water Report'!$J$15,0))</f>
        <v>5</v>
      </c>
      <c r="AU8" s="295">
        <f>(IF('Water Report'!$J$17&gt;0,'Water Report'!$J$17,0))</f>
        <v>1</v>
      </c>
      <c r="AV8" s="295">
        <f>(IF('Water Report'!$J$18&gt;0,'Water Report'!$J$18,0))</f>
        <v>11</v>
      </c>
      <c r="AW8" s="295">
        <f>(IF('Water Report'!$J$19&gt;0,'Water Report'!$J$19,0))</f>
        <v>15</v>
      </c>
      <c r="AX8" s="301">
        <f>(IF('Water Report'!$J$21&gt;0,'Water Report'!$J$21,0))</f>
        <v>87</v>
      </c>
      <c r="AY8" s="301">
        <f>(IF('Water Report'!$J$22&gt;0,'Water Report'!$J$22,0))</f>
        <v>0</v>
      </c>
      <c r="AZ8" s="301">
        <f>(IF('Water Report'!$J$23&gt;0,'Water Report'!$J$23,0))</f>
        <v>8</v>
      </c>
      <c r="BA8" s="301">
        <f>(IF('Water Report'!$J$14&gt;0,'Water Report'!$J$14,0))</f>
        <v>5</v>
      </c>
      <c r="BB8" s="301">
        <f>(IF('Water Report'!$J$15&gt;0,'Water Report'!$J$15,0))</f>
        <v>5</v>
      </c>
      <c r="BC8" s="301">
        <f>(IF('Water Report'!$J$13&gt;0,'Water Report'!$J$13,0))</f>
        <v>24</v>
      </c>
      <c r="BD8" s="301">
        <f>(IF('Water Report'!$J$24&gt;0,'Water Report'!$J$24,0))</f>
        <v>224</v>
      </c>
      <c r="BE8" s="301">
        <f>(IF('Water Report'!$J$25&gt;0,'Water Report'!$J$25,0))</f>
        <v>173</v>
      </c>
      <c r="BF8" s="301">
        <f>(IF('Water Report'!$J$27&gt;0,'Water Report'!$J$27,0))</f>
        <v>119</v>
      </c>
      <c r="BG8" s="296">
        <f>(IF('Section Load'!AN11&gt;0,'Section Load'!AN11,0))</f>
        <v>1141</v>
      </c>
      <c r="BH8" s="296">
        <f>(IF('Section Load'!AO11&gt;0,'Section Load'!AO11,0))</f>
        <v>307</v>
      </c>
      <c r="BI8" s="296">
        <f>(IF('Section Load'!AP11&gt;0,'Section Load'!AP11,0))</f>
        <v>0</v>
      </c>
      <c r="BJ8" s="296">
        <f>(IF('Section Load'!AQ11&gt;0,'Section Load'!AQ11,0))</f>
        <v>90</v>
      </c>
      <c r="BK8" s="296">
        <f>(IF('Section Load'!AR11&gt;0,'Section Load'!AR11,0))</f>
        <v>47</v>
      </c>
      <c r="BL8" s="296">
        <f>(IF('Section Load'!AS11&gt;0,'Section Load'!AS11,0))</f>
        <v>0</v>
      </c>
      <c r="BM8" s="296">
        <f>(IF('Section Load'!AT11&gt;0,'Section Load'!AT11,0))</f>
        <v>697</v>
      </c>
    </row>
    <row r="9" spans="1:65">
      <c r="A9" s="287" t="s">
        <v>268</v>
      </c>
      <c r="B9" s="288">
        <f t="shared" si="0"/>
        <v>8</v>
      </c>
      <c r="C9" s="288">
        <v>1</v>
      </c>
      <c r="D9" s="288">
        <v>2023</v>
      </c>
      <c r="E9" s="294">
        <f>(IF('Section Load'!F12&gt;0,'Section Load'!F12,0))</f>
        <v>3011</v>
      </c>
      <c r="F9" s="294">
        <f>(IF('Section Load'!G12&gt;0,'Section Load'!G12,0))</f>
        <v>1552</v>
      </c>
      <c r="G9" s="294">
        <f>(IF('Section Load'!H12&gt;0,'Section Load'!H12,0))</f>
        <v>2595</v>
      </c>
      <c r="H9" s="294">
        <f>(IF('Section Load'!I12&gt;0,'Section Load'!I12,0))</f>
        <v>2814</v>
      </c>
      <c r="I9" s="294">
        <f>(IF('Section Load'!J12&gt;0,'Section Load'!J12,0))</f>
        <v>4796</v>
      </c>
      <c r="J9" s="294">
        <f>(IF('Section Load'!K12&gt;0,'Section Load'!K12,0))</f>
        <v>2385</v>
      </c>
      <c r="K9" s="294">
        <f>(IF('Section Load'!L12&gt;0,'Section Load'!L12,0))</f>
        <v>1432</v>
      </c>
      <c r="L9" s="294">
        <f>(IF('Section Load'!M12&gt;0,'Section Load'!M12,0))</f>
        <v>719</v>
      </c>
      <c r="M9" s="294">
        <f>(IF('Section Load'!N12&gt;0,'Section Load'!N12,0))</f>
        <v>118</v>
      </c>
      <c r="N9" s="294">
        <f>(IF('Section Load'!O12&gt;0,'Section Load'!O12,0))</f>
        <v>149</v>
      </c>
      <c r="O9" s="294">
        <f>(IF('Section Load'!P12&gt;0,'Section Load'!P12,0))</f>
        <v>25</v>
      </c>
      <c r="P9" s="294">
        <f>(IF('Section Load'!Q12&gt;0,'Section Load'!Q12,0))</f>
        <v>187</v>
      </c>
      <c r="Q9" s="294">
        <f>(IF('Section Load'!R12&gt;0,'Section Load'!R12,0))</f>
        <v>99</v>
      </c>
      <c r="R9" s="294">
        <f>(IF('Section Load'!S12&gt;0,'Section Load'!S12,0))</f>
        <v>152</v>
      </c>
      <c r="S9" s="294">
        <f>(IF('Section Load'!T12&gt;0,'Section Load'!T12,0))</f>
        <v>37</v>
      </c>
      <c r="T9" s="294">
        <f>(IF('Section Load'!U12&gt;0,'Section Load'!U12,0))</f>
        <v>238</v>
      </c>
      <c r="U9" s="294">
        <f>(IF('Section Load'!V12&gt;0,'Section Load'!V12,0))</f>
        <v>400</v>
      </c>
      <c r="V9" s="294">
        <f>(IF('Section Load'!W12&gt;0,'Section Load'!W12,0))</f>
        <v>293</v>
      </c>
      <c r="W9" s="294">
        <f>(IF('Section Load'!X12&gt;0,'Section Load'!X12,0))</f>
        <v>28</v>
      </c>
      <c r="X9" s="294">
        <f>(IF('Section Load'!Y12&gt;0,'Section Load'!Y12,0))</f>
        <v>247</v>
      </c>
      <c r="Y9" s="294">
        <f>(IF('Section Load'!Z12&gt;0,'Section Load'!Z12,0))</f>
        <v>327</v>
      </c>
      <c r="Z9" s="294">
        <f>(IF('Section Load'!AA12&gt;0,'Section Load'!AA12,0))</f>
        <v>62</v>
      </c>
      <c r="AA9" s="294">
        <f>(IF('Section Load'!AB12&gt;0,'Section Load'!AB12,0))</f>
        <v>23</v>
      </c>
      <c r="AB9" s="294">
        <f>(IF('Section Load'!AC12&gt;0,'Section Load'!AC12,0))</f>
        <v>0</v>
      </c>
      <c r="AC9" s="294">
        <f>(IF('Section Load'!AD12&gt;0,'Section Load'!AD12,0))</f>
        <v>1</v>
      </c>
      <c r="AD9" s="294">
        <f>(IF('Section Load'!AE12&gt;0,'Section Load'!AE12,0))</f>
        <v>509</v>
      </c>
      <c r="AE9" s="294">
        <f>(IF('Section Load'!AF12&gt;0,'Section Load'!AF12,0))</f>
        <v>404</v>
      </c>
      <c r="AF9" s="294">
        <f>(IF('Section Load'!AG12&gt;0,'Section Load'!AG12,0))</f>
        <v>585</v>
      </c>
      <c r="AG9" s="294">
        <f>(IF('Section Load'!AH12&gt;0,'Section Load'!AH12,0))</f>
        <v>40</v>
      </c>
      <c r="AH9" s="294">
        <f>(IF('Section Load'!AI12&gt;0,'Section Load'!AI12,0))</f>
        <v>386</v>
      </c>
      <c r="AI9" s="294">
        <f>(IF('Section Load'!AJ12&gt;0,'Section Load'!AJ12,0))</f>
        <v>410</v>
      </c>
      <c r="AJ9" s="294">
        <f>(IF('Section Load'!AK12&gt;0,'Section Load'!AK12,0))</f>
        <v>326</v>
      </c>
      <c r="AK9" s="294">
        <f>(IF('Section Load'!AL12&gt;0,'Section Load'!AL12,0))</f>
        <v>303</v>
      </c>
      <c r="AL9" s="294">
        <f>(IF('Section Load'!AM12&gt;0,'Section Load'!AM12,0))</f>
        <v>0</v>
      </c>
      <c r="AM9" s="295">
        <f>(IF('Water Report'!$K$7&gt;0,'Water Report'!$K$7,0))</f>
        <v>134</v>
      </c>
      <c r="AN9" s="295">
        <f>(IF('Water Report'!$K$8&gt;0,'Water Report'!$K$8,0))</f>
        <v>108</v>
      </c>
      <c r="AO9" s="295">
        <f>(IF('Water Report'!$K$9&gt;0,'Water Report'!$K$9,0))</f>
        <v>115</v>
      </c>
      <c r="AP9" s="295">
        <f>(IF('Water Report'!$K$10&gt;0,'Water Report'!$K$10,0))</f>
        <v>441</v>
      </c>
      <c r="AQ9" s="295">
        <f>(IF('Water Report'!$K$11&gt;0,'Water Report'!$K$11,0))</f>
        <v>23</v>
      </c>
      <c r="AR9" s="295">
        <f>(IF('Water Report'!$K$13&gt;0,'Water Report'!$K$13,0))</f>
        <v>17</v>
      </c>
      <c r="AS9" s="295">
        <f>(IF('Water Report'!$K$14&gt;0,'Water Report'!$K$14,0))</f>
        <v>4</v>
      </c>
      <c r="AT9" s="295">
        <f>(IF('Water Report'!$K$15&gt;0,'Water Report'!$K$15,0))</f>
        <v>14</v>
      </c>
      <c r="AU9" s="295">
        <f>(IF('Water Report'!$K$17&gt;0,'Water Report'!$K$17,0))</f>
        <v>0</v>
      </c>
      <c r="AV9" s="295">
        <f>(IF('Water Report'!$K$18&gt;0,'Water Report'!$K$18,0))</f>
        <v>11</v>
      </c>
      <c r="AW9" s="295">
        <f>(IF('Water Report'!$K$19&gt;0,'Water Report'!$K$19,0))</f>
        <v>14</v>
      </c>
      <c r="AX9" s="301">
        <f>(IF('Water Report'!$K$21&gt;0,'Water Report'!$K$21,0))</f>
        <v>105</v>
      </c>
      <c r="AY9" s="301">
        <f>(IF('Water Report'!$K$22&gt;0,'Water Report'!$K$22,0))</f>
        <v>0</v>
      </c>
      <c r="AZ9" s="301">
        <f>(IF('Water Report'!$K$23&gt;0,'Water Report'!$K$23,0))</f>
        <v>0</v>
      </c>
      <c r="BA9" s="301">
        <f>(IF('Water Report'!$K$14&gt;0,'Water Report'!$K$14,0))</f>
        <v>4</v>
      </c>
      <c r="BB9" s="301">
        <f>(IF('Water Report'!$K$15&gt;0,'Water Report'!$K$15,0))</f>
        <v>14</v>
      </c>
      <c r="BC9" s="301">
        <f>(IF('Water Report'!$K$13&gt;0,'Water Report'!$K$13,0))</f>
        <v>17</v>
      </c>
      <c r="BD9" s="301">
        <f>(IF('Water Report'!$K$24&gt;0,'Water Report'!$K$24,0))</f>
        <v>297</v>
      </c>
      <c r="BE9" s="301">
        <f>(IF('Water Report'!$K$25&gt;0,'Water Report'!$K$25,0))</f>
        <v>597</v>
      </c>
      <c r="BF9" s="301">
        <f>(IF('Water Report'!$K$27&gt;0,'Water Report'!$K$27,0))</f>
        <v>122</v>
      </c>
      <c r="BG9" s="296">
        <f>(IF('Section Load'!AN12&gt;0,'Section Load'!AN12,0))</f>
        <v>1112</v>
      </c>
      <c r="BH9" s="296">
        <f>(IF('Section Load'!AO12&gt;0,'Section Load'!AO12,0))</f>
        <v>299</v>
      </c>
      <c r="BI9" s="296">
        <f>(IF('Section Load'!AP12&gt;0,'Section Load'!AP12,0))</f>
        <v>0</v>
      </c>
      <c r="BJ9" s="296">
        <f>(IF('Section Load'!AQ12&gt;0,'Section Load'!AQ12,0))</f>
        <v>106</v>
      </c>
      <c r="BK9" s="296">
        <f>(IF('Section Load'!AR12&gt;0,'Section Load'!AR12,0))</f>
        <v>48</v>
      </c>
      <c r="BL9" s="296">
        <f>(IF('Section Load'!AS12&gt;0,'Section Load'!AS12,0))</f>
        <v>0</v>
      </c>
      <c r="BM9" s="296">
        <f>(IF('Section Load'!AT12&gt;0,'Section Load'!AT12,0))</f>
        <v>659</v>
      </c>
    </row>
    <row r="10" spans="1:65">
      <c r="A10" s="287" t="s">
        <v>268</v>
      </c>
      <c r="B10" s="288">
        <f t="shared" si="0"/>
        <v>9</v>
      </c>
      <c r="C10" s="288">
        <v>1</v>
      </c>
      <c r="D10" s="288">
        <v>2023</v>
      </c>
      <c r="E10" s="294">
        <f>(IF('Section Load'!F13&gt;0,'Section Load'!F13,0))</f>
        <v>2914.7199999999721</v>
      </c>
      <c r="F10" s="294">
        <f>(IF('Section Load'!G13&gt;0,'Section Load'!G13,0))</f>
        <v>1591.1900000000023</v>
      </c>
      <c r="G10" s="294">
        <f>(IF('Section Load'!H13&gt;0,'Section Load'!H13,0))</f>
        <v>2560.4300000000512</v>
      </c>
      <c r="H10" s="294">
        <f>(IF('Section Load'!I13&gt;0,'Section Load'!I13,0))</f>
        <v>2799.1800000000512</v>
      </c>
      <c r="I10" s="294">
        <f>(IF('Section Load'!J13&gt;0,'Section Load'!J13,0))</f>
        <v>3941.3099999999977</v>
      </c>
      <c r="J10" s="294">
        <f>(IF('Section Load'!K13&gt;0,'Section Load'!K13,0))</f>
        <v>2366.5899999999674</v>
      </c>
      <c r="K10" s="294">
        <f>(IF('Section Load'!L13&gt;0,'Section Load'!L13,0))</f>
        <v>1264.7000000000116</v>
      </c>
      <c r="L10" s="294">
        <f>(IF('Section Load'!M13&gt;0,'Section Load'!M13,0))</f>
        <v>829.6699999999837</v>
      </c>
      <c r="M10" s="294">
        <f>(IF('Section Load'!N13&gt;0,'Section Load'!N13,0))</f>
        <v>123</v>
      </c>
      <c r="N10" s="294">
        <f>(IF('Section Load'!O13&gt;0,'Section Load'!O13,0))</f>
        <v>149</v>
      </c>
      <c r="O10" s="294">
        <f>(IF('Section Load'!P13&gt;0,'Section Load'!P13,0))</f>
        <v>25.590000000000146</v>
      </c>
      <c r="P10" s="294">
        <f>(IF('Section Load'!Q13&gt;0,'Section Load'!Q13,0))</f>
        <v>192.30000000000291</v>
      </c>
      <c r="Q10" s="294">
        <f>(IF('Section Load'!R13&gt;0,'Section Load'!R13,0))</f>
        <v>97.30000000000291</v>
      </c>
      <c r="R10" s="294">
        <f>(IF('Section Load'!S13&gt;0,'Section Load'!S13,0))</f>
        <v>152</v>
      </c>
      <c r="S10" s="294">
        <f>(IF('Section Load'!T13&gt;0,'Section Load'!T13,0))</f>
        <v>42</v>
      </c>
      <c r="T10" s="294">
        <f>(IF('Section Load'!U13&gt;0,'Section Load'!U13,0))</f>
        <v>236</v>
      </c>
      <c r="U10" s="294">
        <f>(IF('Section Load'!V13&gt;0,'Section Load'!V13,0))</f>
        <v>375.80000000004657</v>
      </c>
      <c r="V10" s="294">
        <f>(IF('Section Load'!W13&gt;0,'Section Load'!W13,0))</f>
        <v>298.43999999994412</v>
      </c>
      <c r="W10" s="294">
        <f>(IF('Section Load'!X13&gt;0,'Section Load'!X13,0))</f>
        <v>31</v>
      </c>
      <c r="X10" s="294">
        <f>(IF('Section Load'!Y13&gt;0,'Section Load'!Y13,0))</f>
        <v>276</v>
      </c>
      <c r="Y10" s="294">
        <f>(IF('Section Load'!Z13&gt;0,'Section Load'!Z13,0))</f>
        <v>292</v>
      </c>
      <c r="Z10" s="294">
        <f>(IF('Section Load'!AA13&gt;0,'Section Load'!AA13,0))</f>
        <v>188.44000000000233</v>
      </c>
      <c r="AA10" s="294">
        <f>(IF('Section Load'!AB13&gt;0,'Section Load'!AB13,0))</f>
        <v>40</v>
      </c>
      <c r="AB10" s="294">
        <f>(IF('Section Load'!AC13&gt;0,'Section Load'!AC13,0))</f>
        <v>0</v>
      </c>
      <c r="AC10" s="294">
        <f>(IF('Section Load'!AD13&gt;0,'Section Load'!AD13,0))</f>
        <v>4.8999999999996362</v>
      </c>
      <c r="AD10" s="294">
        <f>(IF('Section Load'!AE13&gt;0,'Section Load'!AE13,0))</f>
        <v>335</v>
      </c>
      <c r="AE10" s="294">
        <f>(IF('Section Load'!AF13&gt;0,'Section Load'!AF13,0))</f>
        <v>405</v>
      </c>
      <c r="AF10" s="294">
        <f>(IF('Section Load'!AG13&gt;0,'Section Load'!AG13,0))</f>
        <v>639.61999999999534</v>
      </c>
      <c r="AG10" s="294">
        <f>(IF('Section Load'!AH13&gt;0,'Section Load'!AH13,0))</f>
        <v>39.370000000002619</v>
      </c>
      <c r="AH10" s="294">
        <f>(IF('Section Load'!AI13&gt;0,'Section Load'!AI13,0))</f>
        <v>388.89999999999418</v>
      </c>
      <c r="AI10" s="294">
        <f>(IF('Section Load'!AJ13&gt;0,'Section Load'!AJ13,0))</f>
        <v>410</v>
      </c>
      <c r="AJ10" s="294">
        <f>(IF('Section Load'!AK13&gt;0,'Section Load'!AK13,0))</f>
        <v>326</v>
      </c>
      <c r="AK10" s="294">
        <f>(IF('Section Load'!AL13&gt;0,'Section Load'!AL13,0))</f>
        <v>309.89999999999418</v>
      </c>
      <c r="AL10" s="294">
        <f>(IF('Section Load'!AM13&gt;0,'Section Load'!AM13,0))</f>
        <v>0.16999999998370185</v>
      </c>
      <c r="AM10" s="295">
        <f>(IF('Water Report'!$L$7&gt;0,'Water Report'!$L$7,0))</f>
        <v>141.90000000002328</v>
      </c>
      <c r="AN10" s="295">
        <f>(IF('Water Report'!$L$8&gt;0,'Water Report'!$L$8,0))</f>
        <v>117</v>
      </c>
      <c r="AO10" s="295">
        <f>(IF('Water Report'!$L$9&gt;0,'Water Report'!$L$9,0))</f>
        <v>135</v>
      </c>
      <c r="AP10" s="295">
        <f>(IF('Water Report'!$L$10&gt;0,'Water Report'!$L$10,0))</f>
        <v>475</v>
      </c>
      <c r="AQ10" s="295">
        <f>(IF('Water Report'!$L$11&gt;0,'Water Report'!$L$11,0))</f>
        <v>23</v>
      </c>
      <c r="AR10" s="295">
        <f>(IF('Water Report'!$L$13&gt;0,'Water Report'!$L$13,0))</f>
        <v>15</v>
      </c>
      <c r="AS10" s="295">
        <f>(IF('Water Report'!$L$14&gt;0,'Water Report'!$L$14,0))</f>
        <v>1</v>
      </c>
      <c r="AT10" s="295">
        <f>(IF('Water Report'!$L$15&gt;0,'Water Report'!$L$15,0))</f>
        <v>7</v>
      </c>
      <c r="AU10" s="295">
        <f>(IF('Water Report'!$L$17&gt;0,'Water Report'!$L$17,0))</f>
        <v>2</v>
      </c>
      <c r="AV10" s="295">
        <f>(IF('Water Report'!$L$18&gt;0,'Water Report'!$L$18,0))</f>
        <v>14</v>
      </c>
      <c r="AW10" s="295">
        <f>(IF('Water Report'!$L$19&gt;0,'Water Report'!$L$19,0))</f>
        <v>16</v>
      </c>
      <c r="AX10" s="301">
        <f>(IF('Water Report'!$L$21&gt;0,'Water Report'!$L$21,0))</f>
        <v>105</v>
      </c>
      <c r="AY10" s="301">
        <f>(IF('Water Report'!$L$22&gt;0,'Water Report'!$L$22,0))</f>
        <v>0</v>
      </c>
      <c r="AZ10" s="301">
        <f>(IF('Water Report'!$L$23&gt;0,'Water Report'!$L$23,0))</f>
        <v>0</v>
      </c>
      <c r="BA10" s="301">
        <f>(IF('Water Report'!$L$14&gt;0,'Water Report'!$L$14,0))</f>
        <v>1</v>
      </c>
      <c r="BB10" s="301">
        <f>(IF('Water Report'!$L$15&gt;0,'Water Report'!$L$15,0))</f>
        <v>7</v>
      </c>
      <c r="BC10" s="301">
        <f>(IF('Water Report'!$L$13&gt;0,'Water Report'!$L$13,0))</f>
        <v>15</v>
      </c>
      <c r="BD10" s="301">
        <f>(IF('Water Report'!$L$24&gt;0,'Water Report'!$L$24,0))</f>
        <v>243</v>
      </c>
      <c r="BE10" s="301">
        <f>(IF('Water Report'!$L$25&gt;0,'Water Report'!$L$25,0))</f>
        <v>641</v>
      </c>
      <c r="BF10" s="301">
        <f>(IF('Water Report'!$L$27&gt;0,'Water Report'!$L$27,0))</f>
        <v>120</v>
      </c>
      <c r="BG10" s="296">
        <f>(IF('Section Load'!AN13&gt;0,'Section Load'!AN13,0))</f>
        <v>1155</v>
      </c>
      <c r="BH10" s="296">
        <f>(IF('Section Load'!AO13&gt;0,'Section Load'!AO13,0))</f>
        <v>300.48800000000028</v>
      </c>
      <c r="BI10" s="296">
        <f>(IF('Section Load'!AP13&gt;0,'Section Load'!AP13,0))</f>
        <v>0</v>
      </c>
      <c r="BJ10" s="296">
        <f>(IF('Section Load'!AQ13&gt;0,'Section Load'!AQ13,0))</f>
        <v>107</v>
      </c>
      <c r="BK10" s="296">
        <f>(IF('Section Load'!AR13&gt;0,'Section Load'!AR13,0))</f>
        <v>39</v>
      </c>
      <c r="BL10" s="296">
        <f>(IF('Section Load'!AS13&gt;0,'Section Load'!AS13,0))</f>
        <v>0</v>
      </c>
      <c r="BM10" s="296">
        <f>(IF('Section Load'!AT13&gt;0,'Section Load'!AT13,0))</f>
        <v>708.51199999999972</v>
      </c>
    </row>
    <row r="11" spans="1:65">
      <c r="A11" s="287" t="s">
        <v>268</v>
      </c>
      <c r="B11" s="288">
        <f t="shared" si="0"/>
        <v>10</v>
      </c>
      <c r="C11" s="288">
        <v>1</v>
      </c>
      <c r="D11" s="288">
        <v>2023</v>
      </c>
      <c r="E11" s="294">
        <f>(IF('Section Load'!F14&gt;0,'Section Load'!F14,0))</f>
        <v>3062.5200000000186</v>
      </c>
      <c r="F11" s="294">
        <f>(IF('Section Load'!G14&gt;0,'Section Load'!G14,0))</f>
        <v>1475.9799999999814</v>
      </c>
      <c r="G11" s="294">
        <f>(IF('Section Load'!H14&gt;0,'Section Load'!H14,0))</f>
        <v>2505.359999999986</v>
      </c>
      <c r="H11" s="294">
        <f>(IF('Section Load'!I14&gt;0,'Section Load'!I14,0))</f>
        <v>2694.7199999999721</v>
      </c>
      <c r="I11" s="294">
        <f>(IF('Section Load'!J14&gt;0,'Section Load'!J14,0))</f>
        <v>4480.539999999979</v>
      </c>
      <c r="J11" s="294">
        <f>(IF('Section Load'!K14&gt;0,'Section Load'!K14,0))</f>
        <v>2357.0400000000373</v>
      </c>
      <c r="K11" s="294">
        <f>(IF('Section Load'!L14&gt;0,'Section Load'!L14,0))</f>
        <v>1856.8499999999767</v>
      </c>
      <c r="L11" s="294">
        <f>(IF('Section Load'!M14&gt;0,'Section Load'!M14,0))</f>
        <v>1144.3300000000163</v>
      </c>
      <c r="M11" s="294">
        <f>(IF('Section Load'!N14&gt;0,'Section Load'!N14,0))</f>
        <v>102</v>
      </c>
      <c r="N11" s="294">
        <f>(IF('Section Load'!O14&gt;0,'Section Load'!O14,0))</f>
        <v>135</v>
      </c>
      <c r="O11" s="294">
        <f>(IF('Section Load'!P14&gt;0,'Section Load'!P14,0))</f>
        <v>23.010000000000218</v>
      </c>
      <c r="P11" s="294">
        <f>(IF('Section Load'!Q14&gt;0,'Section Load'!Q14,0))</f>
        <v>195.69999999999709</v>
      </c>
      <c r="Q11" s="294">
        <f>(IF('Section Load'!R14&gt;0,'Section Load'!R14,0))</f>
        <v>96.799999999995634</v>
      </c>
      <c r="R11" s="294">
        <f>(IF('Section Load'!S14&gt;0,'Section Load'!S14,0))</f>
        <v>198</v>
      </c>
      <c r="S11" s="294">
        <f>(IF('Section Load'!T14&gt;0,'Section Load'!T14,0))</f>
        <v>38</v>
      </c>
      <c r="T11" s="294">
        <f>(IF('Section Load'!U14&gt;0,'Section Load'!U14,0))</f>
        <v>236</v>
      </c>
      <c r="U11" s="294">
        <f>(IF('Section Load'!V14&gt;0,'Section Load'!V14,0))</f>
        <v>407.52999999991152</v>
      </c>
      <c r="V11" s="294">
        <f>(IF('Section Load'!W14&gt;0,'Section Load'!W14,0))</f>
        <v>316.32000000006519</v>
      </c>
      <c r="W11" s="294">
        <f>(IF('Section Load'!X14&gt;0,'Section Load'!X14,0))</f>
        <v>33.200000000000728</v>
      </c>
      <c r="X11" s="294">
        <f>(IF('Section Load'!Y14&gt;0,'Section Load'!Y14,0))</f>
        <v>240.88999999999942</v>
      </c>
      <c r="Y11" s="294">
        <f>(IF('Section Load'!Z14&gt;0,'Section Load'!Z14,0))</f>
        <v>304</v>
      </c>
      <c r="Z11" s="294">
        <f>(IF('Section Load'!AA14&gt;0,'Section Load'!AA14,0))</f>
        <v>224.32000000000698</v>
      </c>
      <c r="AA11" s="294">
        <f>(IF('Section Load'!AB14&gt;0,'Section Load'!AB14,0))</f>
        <v>40</v>
      </c>
      <c r="AB11" s="294">
        <f>(IF('Section Load'!AC14&gt;0,'Section Load'!AC14,0))</f>
        <v>0</v>
      </c>
      <c r="AC11" s="294">
        <f>(IF('Section Load'!AD14&gt;0,'Section Load'!AD14,0))</f>
        <v>4.1000000000003638</v>
      </c>
      <c r="AD11" s="294">
        <f>(IF('Section Load'!AE14&gt;0,'Section Load'!AE14,0))</f>
        <v>425</v>
      </c>
      <c r="AE11" s="294">
        <f>(IF('Section Load'!AF14&gt;0,'Section Load'!AF14,0))</f>
        <v>226.86999999999534</v>
      </c>
      <c r="AF11" s="294">
        <f>(IF('Section Load'!AG14&gt;0,'Section Load'!AG14,0))</f>
        <v>628.64000000001397</v>
      </c>
      <c r="AG11" s="294">
        <f>(IF('Section Load'!AH14&gt;0,'Section Load'!AH14,0))</f>
        <v>36.269999999996799</v>
      </c>
      <c r="AH11" s="294">
        <f>(IF('Section Load'!AI14&gt;0,'Section Load'!AI14,0))</f>
        <v>383.65000000000873</v>
      </c>
      <c r="AI11" s="294">
        <f>(IF('Section Load'!AJ14&gt;0,'Section Load'!AJ14,0))</f>
        <v>470.75</v>
      </c>
      <c r="AJ11" s="294">
        <f>(IF('Section Load'!AK14&gt;0,'Section Load'!AK14,0))</f>
        <v>328.63000000000466</v>
      </c>
      <c r="AK11" s="294">
        <f>(IF('Section Load'!AL14&gt;0,'Section Load'!AL14,0))</f>
        <v>301.65000000000873</v>
      </c>
      <c r="AL11" s="294">
        <f>(IF('Section Load'!AM14&gt;0,'Section Load'!AM14,0))</f>
        <v>0</v>
      </c>
      <c r="AM11" s="295">
        <f>(IF('Water Report'!$M$7&gt;0,'Water Report'!$M$7,0))</f>
        <v>131.39999999996508</v>
      </c>
      <c r="AN11" s="295">
        <f>(IF('Water Report'!$M$8&gt;0,'Water Report'!$M$8,0))</f>
        <v>114</v>
      </c>
      <c r="AO11" s="295">
        <f>(IF('Water Report'!$M$9&gt;0,'Water Report'!$M$9,0))</f>
        <v>125</v>
      </c>
      <c r="AP11" s="295">
        <f>(IF('Water Report'!$M$10&gt;0,'Water Report'!$M$10,0))</f>
        <v>40</v>
      </c>
      <c r="AQ11" s="295">
        <f>(IF('Water Report'!$M$11&gt;0,'Water Report'!$M$11,0))</f>
        <v>21</v>
      </c>
      <c r="AR11" s="295">
        <f>(IF('Water Report'!$M$13&gt;0,'Water Report'!$M$13,0))</f>
        <v>21</v>
      </c>
      <c r="AS11" s="295">
        <f>(IF('Water Report'!$M$14&gt;0,'Water Report'!$M$14,0))</f>
        <v>5</v>
      </c>
      <c r="AT11" s="295">
        <f>(IF('Water Report'!$M$15&gt;0,'Water Report'!$M$15,0))</f>
        <v>2</v>
      </c>
      <c r="AU11" s="295">
        <f>(IF('Water Report'!$M$17&gt;0,'Water Report'!$M$17,0))</f>
        <v>2</v>
      </c>
      <c r="AV11" s="295">
        <f>(IF('Water Report'!$M$18&gt;0,'Water Report'!$M$18,0))</f>
        <v>11</v>
      </c>
      <c r="AW11" s="295">
        <f>(IF('Water Report'!$M$19&gt;0,'Water Report'!$M$19,0))</f>
        <v>14</v>
      </c>
      <c r="AX11" s="301">
        <f>(IF('Water Report'!$M$21&gt;0,'Water Report'!$M$21,0))</f>
        <v>129</v>
      </c>
      <c r="AY11" s="301">
        <f>(IF('Water Report'!$M$22&gt;0,'Water Report'!$M$22,0))</f>
        <v>0</v>
      </c>
      <c r="AZ11" s="301">
        <f>(IF('Water Report'!$M$23&gt;0,'Water Report'!$M$23,0))</f>
        <v>0</v>
      </c>
      <c r="BA11" s="301">
        <f>(IF('Water Report'!$M$14&gt;0,'Water Report'!$M$14,0))</f>
        <v>5</v>
      </c>
      <c r="BB11" s="301">
        <f>(IF('Water Report'!$M$15&gt;0,'Water Report'!$M$15,0))</f>
        <v>2</v>
      </c>
      <c r="BC11" s="301">
        <f>(IF('Water Report'!$M$13&gt;0,'Water Report'!$M$13,0))</f>
        <v>21</v>
      </c>
      <c r="BD11" s="301">
        <f>(IF('Water Report'!$M$24&gt;0,'Water Report'!$M$24,0))</f>
        <v>258</v>
      </c>
      <c r="BE11" s="301">
        <f>(IF('Water Report'!$M$25&gt;0,'Water Report'!$M$25,0))</f>
        <v>193</v>
      </c>
      <c r="BF11" s="301">
        <f>(IF('Water Report'!$M$27&gt;0,'Water Report'!$M$27,0))</f>
        <v>150</v>
      </c>
      <c r="BG11" s="296">
        <f>(IF('Section Load'!AN14&gt;0,'Section Load'!AN14,0))</f>
        <v>1088</v>
      </c>
      <c r="BH11" s="296">
        <f>(IF('Section Load'!AO14&gt;0,'Section Load'!AO14,0))</f>
        <v>293.61200000000008</v>
      </c>
      <c r="BI11" s="296">
        <f>(IF('Section Load'!AP14&gt;0,'Section Load'!AP14,0))</f>
        <v>0</v>
      </c>
      <c r="BJ11" s="296">
        <f>(IF('Section Load'!AQ14&gt;0,'Section Load'!AQ14,0))</f>
        <v>103</v>
      </c>
      <c r="BK11" s="296">
        <f>(IF('Section Load'!AR14&gt;0,'Section Load'!AR14,0))</f>
        <v>40</v>
      </c>
      <c r="BL11" s="296">
        <f>(IF('Section Load'!AS14&gt;0,'Section Load'!AS14,0))</f>
        <v>0</v>
      </c>
      <c r="BM11" s="296">
        <f>(IF('Section Load'!AT14&gt;0,'Section Load'!AT14,0))</f>
        <v>651.78799999999956</v>
      </c>
    </row>
    <row r="12" spans="1:65">
      <c r="A12" s="287" t="s">
        <v>268</v>
      </c>
      <c r="B12" s="288">
        <f t="shared" si="0"/>
        <v>11</v>
      </c>
      <c r="C12" s="288">
        <v>1</v>
      </c>
      <c r="D12" s="288">
        <v>2023</v>
      </c>
      <c r="E12" s="294">
        <f>(IF('Section Load'!F15&gt;0,'Section Load'!F15,0))</f>
        <v>3119.0999999999767</v>
      </c>
      <c r="F12" s="294">
        <f>(IF('Section Load'!G15&gt;0,'Section Load'!G15,0))</f>
        <v>1558.9000000000233</v>
      </c>
      <c r="G12" s="294">
        <f>(IF('Section Load'!H15&gt;0,'Section Load'!H15,0))</f>
        <v>2568.5</v>
      </c>
      <c r="H12" s="294">
        <f>(IF('Section Load'!I15&gt;0,'Section Load'!I15,0))</f>
        <v>2815.859999999986</v>
      </c>
      <c r="I12" s="294">
        <f>(IF('Section Load'!J15&gt;0,'Section Load'!J15,0))</f>
        <v>4569.710000000021</v>
      </c>
      <c r="J12" s="294">
        <f>(IF('Section Load'!K15&gt;0,'Section Load'!K15,0))</f>
        <v>2386.1600000000326</v>
      </c>
      <c r="K12" s="294">
        <f>(IF('Section Load'!L15&gt;0,'Section Load'!L15,0))</f>
        <v>1443.960000000021</v>
      </c>
      <c r="L12" s="294">
        <f>(IF('Section Load'!M15&gt;0,'Section Load'!M15,0))</f>
        <v>799.27000000001863</v>
      </c>
      <c r="M12" s="294">
        <f>(IF('Section Load'!N15&gt;0,'Section Load'!N15,0))</f>
        <v>125</v>
      </c>
      <c r="N12" s="294">
        <f>(IF('Section Load'!O15&gt;0,'Section Load'!O15,0))</f>
        <v>458.30000000004657</v>
      </c>
      <c r="O12" s="294">
        <f>(IF('Section Load'!P15&gt;0,'Section Load'!P15,0))</f>
        <v>27.329999999999927</v>
      </c>
      <c r="P12" s="294">
        <f>(IF('Section Load'!Q15&gt;0,'Section Load'!Q15,0))</f>
        <v>192</v>
      </c>
      <c r="Q12" s="294">
        <f>(IF('Section Load'!R15&gt;0,'Section Load'!R15,0))</f>
        <v>95.739999999997963</v>
      </c>
      <c r="R12" s="294">
        <f>(IF('Section Load'!S15&gt;0,'Section Load'!S15,0))</f>
        <v>513.09999999997672</v>
      </c>
      <c r="S12" s="294">
        <f>(IF('Section Load'!T15&gt;0,'Section Load'!T15,0))</f>
        <v>48</v>
      </c>
      <c r="T12" s="294">
        <f>(IF('Section Load'!U15&gt;0,'Section Load'!U15,0))</f>
        <v>248</v>
      </c>
      <c r="U12" s="294">
        <f>(IF('Section Load'!V15&gt;0,'Section Load'!V15,0))</f>
        <v>397.43000000005122</v>
      </c>
      <c r="V12" s="294">
        <f>(IF('Section Load'!W15&gt;0,'Section Load'!W15,0))</f>
        <v>304.40000000002328</v>
      </c>
      <c r="W12" s="294">
        <f>(IF('Section Load'!X15&gt;0,'Section Load'!X15,0))</f>
        <v>30.05199999999968</v>
      </c>
      <c r="X12" s="294">
        <f>(IF('Section Load'!Y15&gt;0,'Section Load'!Y15,0))</f>
        <v>254.38899999999558</v>
      </c>
      <c r="Y12" s="294">
        <f>(IF('Section Load'!Z15&gt;0,'Section Load'!Z15,0))</f>
        <v>308</v>
      </c>
      <c r="Z12" s="294">
        <f>(IF('Section Load'!AA15&gt;0,'Section Load'!AA15,0))</f>
        <v>174.15999999997439</v>
      </c>
      <c r="AA12" s="294">
        <f>(IF('Section Load'!AB15&gt;0,'Section Load'!AB15,0))</f>
        <v>43</v>
      </c>
      <c r="AB12" s="294">
        <f>(IF('Section Load'!AC15&gt;0,'Section Load'!AC15,0))</f>
        <v>3.069999999999709</v>
      </c>
      <c r="AC12" s="294">
        <f>(IF('Section Load'!AD15&gt;0,'Section Load'!AD15,0))</f>
        <v>8</v>
      </c>
      <c r="AD12" s="294">
        <f>(IF('Section Load'!AE15&gt;0,'Section Load'!AE15,0))</f>
        <v>472.16000000000349</v>
      </c>
      <c r="AE12" s="294">
        <f>(IF('Section Load'!AF15&gt;0,'Section Load'!AF15,0))</f>
        <v>255.16100000000733</v>
      </c>
      <c r="AF12" s="294">
        <f>(IF('Section Load'!AG15&gt;0,'Section Load'!AG15,0))</f>
        <v>677.88999999998487</v>
      </c>
      <c r="AG12" s="294">
        <f>(IF('Section Load'!AH15&gt;0,'Section Load'!AH15,0))</f>
        <v>34.470000000001164</v>
      </c>
      <c r="AH12" s="294">
        <f>(IF('Section Load'!AI15&gt;0,'Section Load'!AI15,0))</f>
        <v>372.8799999999901</v>
      </c>
      <c r="AI12" s="294">
        <f>(IF('Section Load'!AJ15&gt;0,'Section Load'!AJ15,0))</f>
        <v>441.63999999999942</v>
      </c>
      <c r="AJ12" s="294">
        <f>(IF('Section Load'!AK15&gt;0,'Section Load'!AK15,0))</f>
        <v>326.86999999999534</v>
      </c>
      <c r="AK12" s="294">
        <f>(IF('Section Load'!AL15&gt;0,'Section Load'!AL15,0))</f>
        <v>309.27999999999884</v>
      </c>
      <c r="AL12" s="294">
        <f>(IF('Section Load'!AM15&gt;0,'Section Load'!AM15,0))</f>
        <v>0</v>
      </c>
      <c r="AM12" s="295">
        <f>(IF('Water Report'!$N$7&gt;0,'Water Report'!$N$7,0))</f>
        <v>146.70000000001164</v>
      </c>
      <c r="AN12" s="295">
        <f>(IF('Water Report'!$N$8&gt;0,'Water Report'!$N$8,0))</f>
        <v>107</v>
      </c>
      <c r="AO12" s="295">
        <f>(IF('Water Report'!$N$9&gt;0,'Water Report'!$N$9,0))</f>
        <v>150</v>
      </c>
      <c r="AP12" s="295">
        <f>(IF('Water Report'!$N$10&gt;0,'Water Report'!$N$10,0))</f>
        <v>47</v>
      </c>
      <c r="AQ12" s="295">
        <f>(IF('Water Report'!$N$11&gt;0,'Water Report'!$N$11,0))</f>
        <v>19</v>
      </c>
      <c r="AR12" s="295">
        <f>(IF('Water Report'!$N$13&gt;0,'Water Report'!$N$13,0))</f>
        <v>21</v>
      </c>
      <c r="AS12" s="295">
        <f>(IF('Water Report'!$N$14&gt;0,'Water Report'!$N$14,0))</f>
        <v>3</v>
      </c>
      <c r="AT12" s="295">
        <f>(IF('Water Report'!$N$15&gt;0,'Water Report'!$N$15,0))</f>
        <v>2</v>
      </c>
      <c r="AU12" s="295">
        <f>(IF('Water Report'!$N$17&gt;0,'Water Report'!$N$17,0))</f>
        <v>2</v>
      </c>
      <c r="AV12" s="295">
        <f>(IF('Water Report'!$N$18&gt;0,'Water Report'!$N$18,0))</f>
        <v>13</v>
      </c>
      <c r="AW12" s="295">
        <f>(IF('Water Report'!$N$19&gt;0,'Water Report'!$N$19,0))</f>
        <v>15</v>
      </c>
      <c r="AX12" s="301">
        <f>(IF('Water Report'!$N$21&gt;0,'Water Report'!$N$21,0))</f>
        <v>100</v>
      </c>
      <c r="AY12" s="301">
        <f>(IF('Water Report'!$N$22&gt;0,'Water Report'!$N$22,0))</f>
        <v>0</v>
      </c>
      <c r="AZ12" s="301">
        <f>(IF('Water Report'!$N$23&gt;0,'Water Report'!$N$23,0))</f>
        <v>18</v>
      </c>
      <c r="BA12" s="301">
        <f>(IF('Water Report'!$N$14&gt;0,'Water Report'!$N$14,0))</f>
        <v>3</v>
      </c>
      <c r="BB12" s="301">
        <f>(IF('Water Report'!$N$15&gt;0,'Water Report'!$N$15,0))</f>
        <v>2</v>
      </c>
      <c r="BC12" s="301">
        <f>(IF('Water Report'!$N$13&gt;0,'Water Report'!$N$13,0))</f>
        <v>21</v>
      </c>
      <c r="BD12" s="301">
        <f>(IF('Water Report'!$N$24&gt;0,'Water Report'!$N$24,0))</f>
        <v>310</v>
      </c>
      <c r="BE12" s="301">
        <f>(IF('Water Report'!$N$25&gt;0,'Water Report'!$N$25,0))</f>
        <v>221</v>
      </c>
      <c r="BF12" s="301">
        <f>(IF('Water Report'!$N$27&gt;0,'Water Report'!$N$27,0))</f>
        <v>139</v>
      </c>
      <c r="BG12" s="296">
        <f>(IF('Section Load'!AN15&gt;0,'Section Load'!AN15,0))</f>
        <v>1166.4580000001006</v>
      </c>
      <c r="BH12" s="296">
        <f>(IF('Section Load'!AO15&gt;0,'Section Load'!AO15,0))</f>
        <v>990961</v>
      </c>
      <c r="BI12" s="296">
        <f>(IF('Section Load'!AP15&gt;0,'Section Load'!AP15,0))</f>
        <v>0</v>
      </c>
      <c r="BJ12" s="296">
        <f>(IF('Section Load'!AQ15&gt;0,'Section Load'!AQ15,0))</f>
        <v>122.20000000001164</v>
      </c>
      <c r="BK12" s="296">
        <f>(IF('Section Load'!AR15&gt;0,'Section Load'!AR15,0))</f>
        <v>52</v>
      </c>
      <c r="BL12" s="296">
        <f>(IF('Section Load'!AS15&gt;0,'Section Load'!AS15,0))</f>
        <v>0</v>
      </c>
      <c r="BM12" s="296">
        <f>(IF('Section Load'!AT15&gt;0,'Section Load'!AT15,0))</f>
        <v>0</v>
      </c>
    </row>
    <row r="13" spans="1:65">
      <c r="A13" s="287" t="s">
        <v>268</v>
      </c>
      <c r="B13" s="288">
        <f t="shared" si="0"/>
        <v>12</v>
      </c>
      <c r="C13" s="288">
        <v>1</v>
      </c>
      <c r="D13" s="288">
        <v>2023</v>
      </c>
      <c r="E13" s="294">
        <f>(IF('Section Load'!F16&gt;0,'Section Load'!F16,0))</f>
        <v>3121.1600000000326</v>
      </c>
      <c r="F13" s="294">
        <f>(IF('Section Load'!G16&gt;0,'Section Load'!G16,0))</f>
        <v>1491.679999999993</v>
      </c>
      <c r="G13" s="294">
        <f>(IF('Section Load'!H16&gt;0,'Section Load'!H16,0))</f>
        <v>2491.8599999999951</v>
      </c>
      <c r="H13" s="294">
        <f>(IF('Section Load'!I16&gt;0,'Section Load'!I16,0))</f>
        <v>2692.1700000000419</v>
      </c>
      <c r="I13" s="294">
        <f>(IF('Section Load'!J16&gt;0,'Section Load'!J16,0))</f>
        <v>3166.2000000000698</v>
      </c>
      <c r="J13" s="294">
        <f>(IF('Section Load'!K16&gt;0,'Section Load'!K16,0))</f>
        <v>2592.7600000000093</v>
      </c>
      <c r="K13" s="294">
        <f>(IF('Section Load'!L16&gt;0,'Section Load'!L16,0))</f>
        <v>1312.2799999999697</v>
      </c>
      <c r="L13" s="294">
        <f>(IF('Section Load'!M16&gt;0,'Section Load'!M16,0))</f>
        <v>775.72999999998137</v>
      </c>
      <c r="M13" s="294">
        <f>(IF('Section Load'!N16&gt;0,'Section Load'!N16,0))</f>
        <v>131</v>
      </c>
      <c r="N13" s="294">
        <f>(IF('Section Load'!O16&gt;0,'Section Load'!O16,0))</f>
        <v>29.699999999953434</v>
      </c>
      <c r="O13" s="294">
        <f>(IF('Section Load'!P16&gt;0,'Section Load'!P16,0))</f>
        <v>30.069999999999709</v>
      </c>
      <c r="P13" s="294">
        <f>(IF('Section Load'!Q16&gt;0,'Section Load'!Q16,0))</f>
        <v>194</v>
      </c>
      <c r="Q13" s="294">
        <f>(IF('Section Load'!R16&gt;0,'Section Load'!R16,0))</f>
        <v>95.160000000003492</v>
      </c>
      <c r="R13" s="294">
        <f>(IF('Section Load'!S16&gt;0,'Section Load'!S16,0))</f>
        <v>11.900000000023283</v>
      </c>
      <c r="S13" s="294">
        <f>(IF('Section Load'!T16&gt;0,'Section Load'!T16,0))</f>
        <v>44</v>
      </c>
      <c r="T13" s="294">
        <f>(IF('Section Load'!U16&gt;0,'Section Load'!U16,0))</f>
        <v>246</v>
      </c>
      <c r="U13" s="294">
        <f>(IF('Section Load'!V16&gt;0,'Section Load'!V16,0))</f>
        <v>294.23999999999069</v>
      </c>
      <c r="V13" s="294">
        <f>(IF('Section Load'!W16&gt;0,'Section Load'!W16,0))</f>
        <v>389.8399999999674</v>
      </c>
      <c r="W13" s="294">
        <f>(IF('Section Load'!X16&gt;0,'Section Load'!X16,0))</f>
        <v>32.188000000000102</v>
      </c>
      <c r="X13" s="294">
        <f>(IF('Section Load'!Y16&gt;0,'Section Load'!Y16,0))</f>
        <v>257.64080000000831</v>
      </c>
      <c r="Y13" s="294">
        <f>(IF('Section Load'!Z16&gt;0,'Section Load'!Z16,0))</f>
        <v>319</v>
      </c>
      <c r="Z13" s="294">
        <f>(IF('Section Load'!AA16&gt;0,'Section Load'!AA16,0))</f>
        <v>156.0800000000163</v>
      </c>
      <c r="AA13" s="294">
        <f>(IF('Section Load'!AB16&gt;0,'Section Load'!AB16,0))</f>
        <v>33</v>
      </c>
      <c r="AB13" s="294">
        <f>(IF('Section Load'!AC16&gt;0,'Section Load'!AC16,0))</f>
        <v>4.1399999999994179</v>
      </c>
      <c r="AC13" s="294">
        <f>(IF('Section Load'!AD16&gt;0,'Section Load'!AD16,0))</f>
        <v>6</v>
      </c>
      <c r="AD13" s="294">
        <f>(IF('Section Load'!AE16&gt;0,'Section Load'!AE16,0))</f>
        <v>282.54000000000815</v>
      </c>
      <c r="AE13" s="294">
        <f>(IF('Section Load'!AF16&gt;0,'Section Load'!AF16,0))</f>
        <v>334.16799999999057</v>
      </c>
      <c r="AF13" s="294">
        <f>(IF('Section Load'!AG16&gt;0,'Section Load'!AG16,0))</f>
        <v>665.85000000000582</v>
      </c>
      <c r="AG13" s="294">
        <f>(IF('Section Load'!AH16&gt;0,'Section Load'!AH16,0))</f>
        <v>37.889999999999418</v>
      </c>
      <c r="AH13" s="294">
        <f>(IF('Section Load'!AI16&gt;0,'Section Load'!AI16,0))</f>
        <v>384.57000000000698</v>
      </c>
      <c r="AI13" s="294">
        <f>(IF('Section Load'!AJ16&gt;0,'Section Load'!AJ16,0))</f>
        <v>465.61000000000058</v>
      </c>
      <c r="AJ13" s="294">
        <f>(IF('Section Load'!AK16&gt;0,'Section Load'!AK16,0))</f>
        <v>324.5</v>
      </c>
      <c r="AK13" s="294">
        <f>(IF('Section Load'!AL16&gt;0,'Section Load'!AL16,0))</f>
        <v>314.79320000000007</v>
      </c>
      <c r="AL13" s="294">
        <f>(IF('Section Load'!AM16&gt;0,'Section Load'!AM16,0))</f>
        <v>0</v>
      </c>
      <c r="AM13" s="295">
        <f>(IF('Water Report'!$O$7&gt;0,'Water Report'!$O$7,0))</f>
        <v>0</v>
      </c>
      <c r="AN13" s="295">
        <f>(IF('Water Report'!$O$8&gt;0,'Water Report'!$O$8,0))</f>
        <v>119</v>
      </c>
      <c r="AO13" s="295">
        <f>(IF('Water Report'!$O$9&gt;0,'Water Report'!$O$9,0))</f>
        <v>92</v>
      </c>
      <c r="AP13" s="295">
        <f>(IF('Water Report'!$O$10&gt;0,'Water Report'!$O$10,0))</f>
        <v>23</v>
      </c>
      <c r="AQ13" s="295">
        <f>(IF('Water Report'!$O$11&gt;0,'Water Report'!$O$11,0))</f>
        <v>3</v>
      </c>
      <c r="AR13" s="295">
        <f>(IF('Water Report'!$O$13&gt;0,'Water Report'!$O$13,0))</f>
        <v>15</v>
      </c>
      <c r="AS13" s="295">
        <f>(IF('Water Report'!$O$14&gt;0,'Water Report'!$O$14,0))</f>
        <v>4</v>
      </c>
      <c r="AT13" s="295">
        <f>(IF('Water Report'!$O$15&gt;0,'Water Report'!$O$15,0))</f>
        <v>2</v>
      </c>
      <c r="AU13" s="295">
        <f>(IF('Water Report'!$O$17&gt;0,'Water Report'!$O$17,0))</f>
        <v>2</v>
      </c>
      <c r="AV13" s="295">
        <f>(IF('Water Report'!$O$18&gt;0,'Water Report'!$O$18,0))</f>
        <v>13</v>
      </c>
      <c r="AW13" s="295">
        <f>(IF('Water Report'!$O$19&gt;0,'Water Report'!$O$19,0))</f>
        <v>14</v>
      </c>
      <c r="AX13" s="301">
        <f>(IF('Water Report'!$O$21&gt;0,'Water Report'!$O$21,0))</f>
        <v>142</v>
      </c>
      <c r="AY13" s="301">
        <f>(IF('Water Report'!$O$22&gt;0,'Water Report'!$O$22,0))</f>
        <v>0</v>
      </c>
      <c r="AZ13" s="301">
        <f>(IF('Water Report'!$O$23&gt;0,'Water Report'!$O$23,0))</f>
        <v>4</v>
      </c>
      <c r="BA13" s="301">
        <f>(IF('Water Report'!$O$14&gt;0,'Water Report'!$O$14,0))</f>
        <v>4</v>
      </c>
      <c r="BB13" s="301">
        <f>(IF('Water Report'!$O$15&gt;0,'Water Report'!$O$15,0))</f>
        <v>2</v>
      </c>
      <c r="BC13" s="301">
        <f>(IF('Water Report'!$O$13&gt;0,'Water Report'!$O$13,0))</f>
        <v>15</v>
      </c>
      <c r="BD13" s="301">
        <f>(IF('Water Report'!$O$24&gt;0,'Water Report'!$O$24,0))</f>
        <v>245</v>
      </c>
      <c r="BE13" s="301">
        <f>(IF('Water Report'!$O$25&gt;0,'Water Report'!$O$25,0))</f>
        <v>124</v>
      </c>
      <c r="BF13" s="301">
        <f>(IF('Water Report'!$O$27&gt;0,'Water Report'!$O$27,0))</f>
        <v>161</v>
      </c>
      <c r="BG13" s="296">
        <f>(IF('Section Load'!AN16&gt;0,'Section Load'!AN16,0))</f>
        <v>1163.5219999998808</v>
      </c>
      <c r="BH13" s="296">
        <f>(IF('Section Load'!AO16&gt;0,'Section Load'!AO16,0))</f>
        <v>297.90000000002328</v>
      </c>
      <c r="BI13" s="296">
        <f>(IF('Section Load'!AP16&gt;0,'Section Load'!AP16,0))</f>
        <v>0.19999999999708962</v>
      </c>
      <c r="BJ13" s="296">
        <f>(IF('Section Load'!AQ16&gt;0,'Section Load'!AQ16,0))</f>
        <v>116.79999999998836</v>
      </c>
      <c r="BK13" s="296">
        <f>(IF('Section Load'!AR16&gt;0,'Section Load'!AR16,0))</f>
        <v>56</v>
      </c>
      <c r="BL13" s="296">
        <f>(IF('Section Load'!AS16&gt;0,'Section Load'!AS16,0))</f>
        <v>0</v>
      </c>
      <c r="BM13" s="296">
        <f>(IF('Section Load'!AT16&gt;0,'Section Load'!AT16,0))</f>
        <v>692.62199999987206</v>
      </c>
    </row>
    <row r="14" spans="1:65">
      <c r="A14" s="287" t="s">
        <v>268</v>
      </c>
      <c r="B14" s="288">
        <f t="shared" si="0"/>
        <v>13</v>
      </c>
      <c r="C14" s="288">
        <v>1</v>
      </c>
      <c r="D14" s="288">
        <v>2023</v>
      </c>
      <c r="E14" s="294">
        <f>(IF('Section Load'!F17&gt;0,'Section Load'!F17,0))</f>
        <v>3212.5</v>
      </c>
      <c r="F14" s="294">
        <f>(IF('Section Load'!G17&gt;0,'Section Load'!G17,0))</f>
        <v>1405.25</v>
      </c>
      <c r="G14" s="294">
        <f>(IF('Section Load'!H17&gt;0,'Section Load'!H17,0))</f>
        <v>2482.0899999999674</v>
      </c>
      <c r="H14" s="294">
        <f>(IF('Section Load'!I17&gt;0,'Section Load'!I17,0))</f>
        <v>2910.0699999999488</v>
      </c>
      <c r="I14" s="294">
        <f>(IF('Section Load'!J17&gt;0,'Section Load'!J17,0))</f>
        <v>2810.3799999999464</v>
      </c>
      <c r="J14" s="294">
        <f>(IF('Section Load'!K17&gt;0,'Section Load'!K17,0))</f>
        <v>2631.4499999999534</v>
      </c>
      <c r="K14" s="294">
        <f>(IF('Section Load'!L17&gt;0,'Section Load'!L17,0))</f>
        <v>1542.210000000021</v>
      </c>
      <c r="L14" s="294">
        <f>(IF('Section Load'!M17&gt;0,'Section Load'!M17,0))</f>
        <v>821</v>
      </c>
      <c r="M14" s="294">
        <f>(IF('Section Load'!N17&gt;0,'Section Load'!N17,0))</f>
        <v>80</v>
      </c>
      <c r="N14" s="294">
        <f>(IF('Section Load'!O17&gt;0,'Section Load'!O17,0))</f>
        <v>17</v>
      </c>
      <c r="O14" s="294">
        <f>(IF('Section Load'!P17&gt;0,'Section Load'!P17,0))</f>
        <v>29</v>
      </c>
      <c r="P14" s="294">
        <f>(IF('Section Load'!Q17&gt;0,'Section Load'!Q17,0))</f>
        <v>115</v>
      </c>
      <c r="Q14" s="294">
        <f>(IF('Section Load'!R17&gt;0,'Section Load'!R17,0))</f>
        <v>87.55000000000291</v>
      </c>
      <c r="R14" s="294">
        <f>(IF('Section Load'!S17&gt;0,'Section Load'!S17,0))</f>
        <v>13</v>
      </c>
      <c r="S14" s="294">
        <f>(IF('Section Load'!T17&gt;0,'Section Load'!T17,0))</f>
        <v>51</v>
      </c>
      <c r="T14" s="294">
        <f>(IF('Section Load'!U17&gt;0,'Section Load'!U17,0))</f>
        <v>243</v>
      </c>
      <c r="U14" s="294">
        <f>(IF('Section Load'!V17&gt;0,'Section Load'!V17,0))</f>
        <v>493.76000000000931</v>
      </c>
      <c r="V14" s="294">
        <f>(IF('Section Load'!W17&gt;0,'Section Load'!W17,0))</f>
        <v>271.28000000002794</v>
      </c>
      <c r="W14" s="294">
        <f>(IF('Section Load'!X17&gt;0,'Section Load'!X17,0))</f>
        <v>26.559999999999491</v>
      </c>
      <c r="X14" s="294">
        <f>(IF('Section Load'!Y17&gt;0,'Section Load'!Y17,0))</f>
        <v>241.08019999999669</v>
      </c>
      <c r="Y14" s="294">
        <f>(IF('Section Load'!Z17&gt;0,'Section Load'!Z17,0))</f>
        <v>301</v>
      </c>
      <c r="Z14" s="294">
        <f>(IF('Section Load'!AA17&gt;0,'Section Load'!AA17,0))</f>
        <v>161.40000000002328</v>
      </c>
      <c r="AA14" s="294">
        <f>(IF('Section Load'!AB17&gt;0,'Section Load'!AB17,0))</f>
        <v>37</v>
      </c>
      <c r="AB14" s="294">
        <f>(IF('Section Load'!AC17&gt;0,'Section Load'!AC17,0))</f>
        <v>4.4599999999991269</v>
      </c>
      <c r="AC14" s="294">
        <f>(IF('Section Load'!AD17&gt;0,'Section Load'!AD17,0))</f>
        <v>13.300000000000182</v>
      </c>
      <c r="AD14" s="294">
        <f>(IF('Section Load'!AE17&gt;0,'Section Load'!AE17,0))</f>
        <v>512.29999999998836</v>
      </c>
      <c r="AE14" s="294">
        <f>(IF('Section Load'!AF17&gt;0,'Section Load'!AF17,0))</f>
        <v>298.80100000000675</v>
      </c>
      <c r="AF14" s="294">
        <f>(IF('Section Load'!AG17&gt;0,'Section Load'!AG17,0))</f>
        <v>280</v>
      </c>
      <c r="AG14" s="294">
        <f>(IF('Section Load'!AH17&gt;0,'Section Load'!AH17,0))</f>
        <v>36</v>
      </c>
      <c r="AH14" s="294">
        <f>(IF('Section Load'!AI17&gt;0,'Section Load'!AI17,0))</f>
        <v>381</v>
      </c>
      <c r="AI14" s="294">
        <f>(IF('Section Load'!AJ17&gt;0,'Section Load'!AJ17,0))</f>
        <v>444</v>
      </c>
      <c r="AJ14" s="294">
        <f>(IF('Section Load'!AK17&gt;0,'Section Load'!AK17,0))</f>
        <v>329</v>
      </c>
      <c r="AK14" s="294">
        <f>(IF('Section Load'!AL17&gt;0,'Section Load'!AL17,0))</f>
        <v>157.37679999999818</v>
      </c>
      <c r="AL14" s="294">
        <f>(IF('Section Load'!AM17&gt;0,'Section Load'!AM17,0))</f>
        <v>0.16999999998370185</v>
      </c>
      <c r="AM14" s="295">
        <f>(IF('Water Report'!$P$7&gt;0,'Water Report'!$P$7,0))</f>
        <v>0</v>
      </c>
      <c r="AN14" s="295">
        <f>(IF('Water Report'!$P$8&gt;0,'Water Report'!$P$8,0))</f>
        <v>117</v>
      </c>
      <c r="AO14" s="295">
        <f>(IF('Water Report'!$P$9&gt;0,'Water Report'!$P$9,0))</f>
        <v>132</v>
      </c>
      <c r="AP14" s="295">
        <f>(IF('Water Report'!$P$10&gt;0,'Water Report'!$P$10,0))</f>
        <v>46</v>
      </c>
      <c r="AQ14" s="295">
        <f>(IF('Water Report'!$P$11&gt;0,'Water Report'!$P$11,0))</f>
        <v>49</v>
      </c>
      <c r="AR14" s="295">
        <f>(IF('Water Report'!$P$13&gt;0,'Water Report'!$P$13,0))</f>
        <v>13</v>
      </c>
      <c r="AS14" s="295">
        <f>(IF('Water Report'!$P$14&gt;0,'Water Report'!$P$14,0))</f>
        <v>4</v>
      </c>
      <c r="AT14" s="295">
        <f>(IF('Water Report'!$P$15&gt;0,'Water Report'!$P$15,0))</f>
        <v>26</v>
      </c>
      <c r="AU14" s="295">
        <f>(IF('Water Report'!$P$17&gt;0,'Water Report'!$P$17,0))</f>
        <v>2</v>
      </c>
      <c r="AV14" s="295">
        <f>(IF('Water Report'!$P$18&gt;0,'Water Report'!$P$18,0))</f>
        <v>12</v>
      </c>
      <c r="AW14" s="295">
        <f>(IF('Water Report'!$P$19&gt;0,'Water Report'!$P$19,0))</f>
        <v>15</v>
      </c>
      <c r="AX14" s="301">
        <f>(IF('Water Report'!$P$21&gt;0,'Water Report'!$P$21,0))</f>
        <v>112</v>
      </c>
      <c r="AY14" s="301">
        <f>(IF('Water Report'!$P$22&gt;0,'Water Report'!$P$22,0))</f>
        <v>0</v>
      </c>
      <c r="AZ14" s="301">
        <f>(IF('Water Report'!$P$23&gt;0,'Water Report'!$P$23,0))</f>
        <v>0</v>
      </c>
      <c r="BA14" s="301">
        <f>(IF('Water Report'!$P$14&gt;0,'Water Report'!$P$14,0))</f>
        <v>4</v>
      </c>
      <c r="BB14" s="301">
        <f>(IF('Water Report'!$P$15&gt;0,'Water Report'!$P$15,0))</f>
        <v>26</v>
      </c>
      <c r="BC14" s="301">
        <f>(IF('Water Report'!$P$13&gt;0,'Water Report'!$P$13,0))</f>
        <v>13</v>
      </c>
      <c r="BD14" s="301">
        <f>(IF('Water Report'!$P$24&gt;0,'Water Report'!$P$24,0))</f>
        <v>223</v>
      </c>
      <c r="BE14" s="301">
        <f>(IF('Water Report'!$P$25&gt;0,'Water Report'!$P$25,0))</f>
        <v>257</v>
      </c>
      <c r="BF14" s="301">
        <f>(IF('Water Report'!$P$27&gt;0,'Water Report'!$P$27,0))</f>
        <v>125</v>
      </c>
      <c r="BG14" s="296">
        <f>(IF('Section Load'!AN17&gt;0,'Section Load'!AN17,0))</f>
        <v>1140.0200000000186</v>
      </c>
      <c r="BH14" s="296">
        <f>(IF('Section Load'!AO17&gt;0,'Section Load'!AO17,0))</f>
        <v>298</v>
      </c>
      <c r="BI14" s="296">
        <f>(IF('Section Load'!AP17&gt;0,'Section Load'!AP17,0))</f>
        <v>0</v>
      </c>
      <c r="BJ14" s="296">
        <f>(IF('Section Load'!AQ17&gt;0,'Section Load'!AQ17,0))</f>
        <v>102</v>
      </c>
      <c r="BK14" s="296">
        <f>(IF('Section Load'!AR17&gt;0,'Section Load'!AR17,0))</f>
        <v>54</v>
      </c>
      <c r="BL14" s="296">
        <f>(IF('Section Load'!AS17&gt;0,'Section Load'!AS17,0))</f>
        <v>0</v>
      </c>
      <c r="BM14" s="296">
        <f>(IF('Section Load'!AT17&gt;0,'Section Load'!AT17,0))</f>
        <v>686.42000000001281</v>
      </c>
    </row>
    <row r="15" spans="1:65">
      <c r="A15" s="287" t="s">
        <v>268</v>
      </c>
      <c r="B15" s="288">
        <f t="shared" si="0"/>
        <v>14</v>
      </c>
      <c r="C15" s="288">
        <v>1</v>
      </c>
      <c r="D15" s="288">
        <v>2023</v>
      </c>
      <c r="E15" s="294">
        <f>(IF('Section Load'!F18&gt;0,'Section Load'!F18,0))</f>
        <v>3265.7799999999697</v>
      </c>
      <c r="F15" s="294">
        <f>(IF('Section Load'!G18&gt;0,'Section Load'!G18,0))</f>
        <v>1401.9099999999744</v>
      </c>
      <c r="G15" s="294">
        <f>(IF('Section Load'!H18&gt;0,'Section Load'!H18,0))</f>
        <v>2392.9899999999907</v>
      </c>
      <c r="H15" s="294">
        <f>(IF('Section Load'!I18&gt;0,'Section Load'!I18,0))</f>
        <v>2750.2199999999721</v>
      </c>
      <c r="I15" s="294">
        <f>(IF('Section Load'!J18&gt;0,'Section Load'!J18,0))</f>
        <v>2290.109999999986</v>
      </c>
      <c r="J15" s="294">
        <f>(IF('Section Load'!K18&gt;0,'Section Load'!K18,0))</f>
        <v>2644.9899999999907</v>
      </c>
      <c r="K15" s="294">
        <f>(IF('Section Load'!L18&gt;0,'Section Load'!L18,0))</f>
        <v>1284.789999999979</v>
      </c>
      <c r="L15" s="294">
        <f>(IF('Section Load'!M18&gt;0,'Section Load'!M18,0))</f>
        <v>786.78999999997905</v>
      </c>
      <c r="M15" s="294">
        <f>(IF('Section Load'!N18&gt;0,'Section Load'!N18,0))</f>
        <v>84</v>
      </c>
      <c r="N15" s="294">
        <f>(IF('Section Load'!O18&gt;0,'Section Load'!O18,0))</f>
        <v>138</v>
      </c>
      <c r="O15" s="294">
        <f>(IF('Section Load'!P18&gt;0,'Section Load'!P18,0))</f>
        <v>28.970000000000255</v>
      </c>
      <c r="P15" s="294">
        <f>(IF('Section Load'!Q18&gt;0,'Section Load'!Q18,0))</f>
        <v>311</v>
      </c>
      <c r="Q15" s="294">
        <f>(IF('Section Load'!R18&gt;0,'Section Load'!R18,0))</f>
        <v>80.439999999995052</v>
      </c>
      <c r="R15" s="294">
        <f>(IF('Section Load'!S18&gt;0,'Section Load'!S18,0))</f>
        <v>9</v>
      </c>
      <c r="S15" s="294">
        <f>(IF('Section Load'!T18&gt;0,'Section Load'!T18,0))</f>
        <v>54</v>
      </c>
      <c r="T15" s="294">
        <f>(IF('Section Load'!U18&gt;0,'Section Load'!U18,0))</f>
        <v>238</v>
      </c>
      <c r="U15" s="294">
        <f>(IF('Section Load'!V18&gt;0,'Section Load'!V18,0))</f>
        <v>353.23999999999069</v>
      </c>
      <c r="V15" s="294">
        <f>(IF('Section Load'!W18&gt;0,'Section Load'!W18,0))</f>
        <v>280.79999999993015</v>
      </c>
      <c r="W15" s="294">
        <f>(IF('Section Load'!X18&gt;0,'Section Load'!X18,0))</f>
        <v>29</v>
      </c>
      <c r="X15" s="294">
        <f>(IF('Section Load'!Y18&gt;0,'Section Load'!Y18,0))</f>
        <v>260.47000000000116</v>
      </c>
      <c r="Y15" s="294">
        <f>(IF('Section Load'!Z18&gt;0,'Section Load'!Z18,0))</f>
        <v>322</v>
      </c>
      <c r="Z15" s="294">
        <f>(IF('Section Load'!AA18&gt;0,'Section Load'!AA18,0))</f>
        <v>88.35999999998603</v>
      </c>
      <c r="AA15" s="294">
        <f>(IF('Section Load'!AB18&gt;0,'Section Load'!AB18,0))</f>
        <v>18</v>
      </c>
      <c r="AB15" s="294">
        <f>(IF('Section Load'!AC18&gt;0,'Section Load'!AC18,0))</f>
        <v>4</v>
      </c>
      <c r="AC15" s="294">
        <f>(IF('Section Load'!AD18&gt;0,'Section Load'!AD18,0))</f>
        <v>2.6999999999998181</v>
      </c>
      <c r="AD15" s="294">
        <f>(IF('Section Load'!AE18&gt;0,'Section Load'!AE18,0))</f>
        <v>474</v>
      </c>
      <c r="AE15" s="294">
        <f>(IF('Section Load'!AF18&gt;0,'Section Load'!AF18,0))</f>
        <v>305.32000000000698</v>
      </c>
      <c r="AF15" s="294">
        <f>(IF('Section Load'!AG18&gt;0,'Section Load'!AG18,0))</f>
        <v>974</v>
      </c>
      <c r="AG15" s="294">
        <f>(IF('Section Load'!AH18&gt;0,'Section Load'!AH18,0))</f>
        <v>37</v>
      </c>
      <c r="AH15" s="294">
        <f>(IF('Section Load'!AI18&gt;0,'Section Load'!AI18,0))</f>
        <v>420</v>
      </c>
      <c r="AI15" s="294">
        <f>(IF('Section Load'!AJ18&gt;0,'Section Load'!AJ18,0))</f>
        <v>434</v>
      </c>
      <c r="AJ15" s="294">
        <f>(IF('Section Load'!AK18&gt;0,'Section Load'!AK18,0))</f>
        <v>330</v>
      </c>
      <c r="AK15" s="294">
        <f>(IF('Section Load'!AL18&gt;0,'Section Load'!AL18,0))</f>
        <v>130</v>
      </c>
      <c r="AL15" s="294">
        <f>(IF('Section Load'!AM18&gt;0,'Section Load'!AM18,0))</f>
        <v>0</v>
      </c>
      <c r="AM15" s="295">
        <f>(IF('Water Report'!$Q$7&gt;0,'Water Report'!$Q$7,0))</f>
        <v>0</v>
      </c>
      <c r="AN15" s="295">
        <f>(IF('Water Report'!$Q$8&gt;0,'Water Report'!$Q$8,0))</f>
        <v>127</v>
      </c>
      <c r="AO15" s="295">
        <f>(IF('Water Report'!$Q$9&gt;0,'Water Report'!$Q$9,0))</f>
        <v>132</v>
      </c>
      <c r="AP15" s="295">
        <f>(IF('Water Report'!$Q$10&gt;0,'Water Report'!$Q$10,0))</f>
        <v>46</v>
      </c>
      <c r="AQ15" s="295">
        <f>(IF('Water Report'!$Q$11&gt;0,'Water Report'!$Q$11,0))</f>
        <v>33</v>
      </c>
      <c r="AR15" s="295">
        <f>(IF('Water Report'!$Q$13&gt;0,'Water Report'!$Q$13,0))</f>
        <v>12</v>
      </c>
      <c r="AS15" s="295">
        <f>(IF('Water Report'!$Q$14&gt;0,'Water Report'!$Q$14,0))</f>
        <v>2</v>
      </c>
      <c r="AT15" s="295">
        <f>(IF('Water Report'!$Q$15&gt;0,'Water Report'!$Q$15,0))</f>
        <v>14</v>
      </c>
      <c r="AU15" s="295">
        <f>(IF('Water Report'!$Q$17&gt;0,'Water Report'!$Q$17,0))</f>
        <v>0</v>
      </c>
      <c r="AV15" s="295">
        <f>(IF('Water Report'!$Q$18&gt;0,'Water Report'!$Q$18,0))</f>
        <v>14</v>
      </c>
      <c r="AW15" s="295">
        <f>(IF('Water Report'!$Q$19&gt;0,'Water Report'!$Q$19,0))</f>
        <v>12</v>
      </c>
      <c r="AX15" s="301">
        <f>(IF('Water Report'!$Q$21&gt;0,'Water Report'!$Q$21,0))</f>
        <v>105</v>
      </c>
      <c r="AY15" s="301">
        <f>(IF('Water Report'!$Q$22&gt;0,'Water Report'!$Q$22,0))</f>
        <v>0</v>
      </c>
      <c r="AZ15" s="301">
        <f>(IF('Water Report'!$Q$23&gt;0,'Water Report'!$Q$23,0))</f>
        <v>10</v>
      </c>
      <c r="BA15" s="301">
        <f>(IF('Water Report'!$Q$14&gt;0,'Water Report'!$Q$14,0))</f>
        <v>2</v>
      </c>
      <c r="BB15" s="301">
        <f>(IF('Water Report'!$Q$15&gt;0,'Water Report'!$Q$15,0))</f>
        <v>14</v>
      </c>
      <c r="BC15" s="301">
        <f>(IF('Water Report'!$Q$13&gt;0,'Water Report'!$Q$13,0))</f>
        <v>12</v>
      </c>
      <c r="BD15" s="301">
        <f>(IF('Water Report'!$Q$24&gt;0,'Water Report'!$Q$24,0))</f>
        <v>289</v>
      </c>
      <c r="BE15" s="301">
        <f>(IF('Water Report'!$Q$25&gt;0,'Water Report'!$Q$25,0))</f>
        <v>227</v>
      </c>
      <c r="BF15" s="301">
        <f>(IF('Water Report'!$Q$27&gt;0,'Water Report'!$Q$27,0))</f>
        <v>127</v>
      </c>
      <c r="BG15" s="296">
        <f>(IF('Section Load'!AN18&gt;0,'Section Load'!AN18,0))</f>
        <v>1190</v>
      </c>
      <c r="BH15" s="296">
        <f>(IF('Section Load'!AO18&gt;0,'Section Load'!AO18,0))</f>
        <v>291</v>
      </c>
      <c r="BI15" s="296">
        <f>(IF('Section Load'!AP18&gt;0,'Section Load'!AP18,0))</f>
        <v>0</v>
      </c>
      <c r="BJ15" s="296">
        <f>(IF('Section Load'!AQ18&gt;0,'Section Load'!AQ18,0))</f>
        <v>112</v>
      </c>
      <c r="BK15" s="296">
        <f>(IF('Section Load'!AR18&gt;0,'Section Load'!AR18,0))</f>
        <v>54</v>
      </c>
      <c r="BL15" s="296">
        <f>(IF('Section Load'!AS18&gt;0,'Section Load'!AS18,0))</f>
        <v>0</v>
      </c>
      <c r="BM15" s="296">
        <f>(IF('Section Load'!AT18&gt;0,'Section Load'!AT18,0))</f>
        <v>733</v>
      </c>
    </row>
    <row r="16" spans="1:65">
      <c r="A16" s="287" t="s">
        <v>268</v>
      </c>
      <c r="B16" s="288">
        <f t="shared" si="0"/>
        <v>15</v>
      </c>
      <c r="C16" s="288">
        <v>1</v>
      </c>
      <c r="D16" s="288">
        <v>2023</v>
      </c>
      <c r="E16" s="294">
        <f>(IF('Section Load'!F19&gt;0,'Section Load'!F19,0))</f>
        <v>3735.8900000000722</v>
      </c>
      <c r="F16" s="294">
        <f>(IF('Section Load'!G19&gt;0,'Section Load'!G19,0))</f>
        <v>1412.640000000014</v>
      </c>
      <c r="G16" s="294">
        <f>(IF('Section Load'!H19&gt;0,'Section Load'!H19,0))</f>
        <v>2492.6400000000049</v>
      </c>
      <c r="H16" s="294">
        <f>(IF('Section Load'!I19&gt;0,'Section Load'!I19,0))</f>
        <v>2641.6800000000512</v>
      </c>
      <c r="I16" s="294">
        <f>(IF('Section Load'!J19&gt;0,'Section Load'!J19,0))</f>
        <v>2576.7100000000792</v>
      </c>
      <c r="J16" s="294">
        <f>(IF('Section Load'!K19&gt;0,'Section Load'!K19,0))</f>
        <v>2621.3200000000652</v>
      </c>
      <c r="K16" s="294">
        <f>(IF('Section Load'!L19&gt;0,'Section Load'!L19,0))</f>
        <v>1243.7200000000303</v>
      </c>
      <c r="L16" s="294">
        <f>(IF('Section Load'!M19&gt;0,'Section Load'!M19,0))</f>
        <v>693.60000000003492</v>
      </c>
      <c r="M16" s="294">
        <f>(IF('Section Load'!N19&gt;0,'Section Load'!N19,0))</f>
        <v>107</v>
      </c>
      <c r="N16" s="294">
        <f>(IF('Section Load'!O19&gt;0,'Section Load'!O19,0))</f>
        <v>141</v>
      </c>
      <c r="O16" s="294">
        <f>(IF('Section Load'!P19&gt;0,'Section Load'!P19,0))</f>
        <v>28.64469999999983</v>
      </c>
      <c r="P16" s="294">
        <f>(IF('Section Load'!Q19&gt;0,'Section Load'!Q19,0))</f>
        <v>350</v>
      </c>
      <c r="Q16" s="294">
        <f>(IF('Section Load'!R19&gt;0,'Section Load'!R19,0))</f>
        <v>83.010000000002037</v>
      </c>
      <c r="R16" s="294">
        <f>(IF('Section Load'!S19&gt;0,'Section Load'!S19,0))</f>
        <v>392</v>
      </c>
      <c r="S16" s="294">
        <f>(IF('Section Load'!T19&gt;0,'Section Load'!T19,0))</f>
        <v>31</v>
      </c>
      <c r="T16" s="294">
        <f>(IF('Section Load'!U19&gt;0,'Section Load'!U19,0))</f>
        <v>223</v>
      </c>
      <c r="U16" s="294">
        <f>(IF('Section Load'!V19&gt;0,'Section Load'!V19,0))</f>
        <v>316.68000000005122</v>
      </c>
      <c r="V16" s="294">
        <f>(IF('Section Load'!W19&gt;0,'Section Load'!W19,0))</f>
        <v>277.84000000008382</v>
      </c>
      <c r="W16" s="294">
        <f>(IF('Section Load'!X19&gt;0,'Section Load'!X19,0))</f>
        <v>30.510000000000218</v>
      </c>
      <c r="X16" s="294">
        <f>(IF('Section Load'!Y19&gt;0,'Section Load'!Y19,0))</f>
        <v>259.88899999999558</v>
      </c>
      <c r="Y16" s="294">
        <f>(IF('Section Load'!Z19&gt;0,'Section Load'!Z19,0))</f>
        <v>265</v>
      </c>
      <c r="Z16" s="294">
        <f>(IF('Section Load'!AA19&gt;0,'Section Load'!AA19,0))</f>
        <v>55.760000000009313</v>
      </c>
      <c r="AA16" s="294">
        <f>(IF('Section Load'!AB19&gt;0,'Section Load'!AB19,0))</f>
        <v>14</v>
      </c>
      <c r="AB16" s="294">
        <f>(IF('Section Load'!AC19&gt;0,'Section Load'!AC19,0))</f>
        <v>6.3899999999994179</v>
      </c>
      <c r="AC16" s="294">
        <f>(IF('Section Load'!AD19&gt;0,'Section Load'!AD19,0))</f>
        <v>1.8000000000001819</v>
      </c>
      <c r="AD16" s="294">
        <f>(IF('Section Load'!AE19&gt;0,'Section Load'!AE19,0))</f>
        <v>463.05999999999767</v>
      </c>
      <c r="AE16" s="294">
        <f>(IF('Section Load'!AF19&gt;0,'Section Load'!AF19,0))</f>
        <v>317.30299999999988</v>
      </c>
      <c r="AF16" s="294">
        <f>(IF('Section Load'!AG19&gt;0,'Section Load'!AG19,0))</f>
        <v>548.86999999999534</v>
      </c>
      <c r="AG16" s="294">
        <f>(IF('Section Load'!AH19&gt;0,'Section Load'!AH19,0))</f>
        <v>36</v>
      </c>
      <c r="AH16" s="294">
        <f>(IF('Section Load'!AI19&gt;0,'Section Load'!AI19,0))</f>
        <v>355</v>
      </c>
      <c r="AI16" s="294">
        <f>(IF('Section Load'!AJ19&gt;0,'Section Load'!AJ19,0))</f>
        <v>400</v>
      </c>
      <c r="AJ16" s="294">
        <f>(IF('Section Load'!AK19&gt;0,'Section Load'!AK19,0))</f>
        <v>301.85000000000582</v>
      </c>
      <c r="AK16" s="294">
        <f>(IF('Section Load'!AL19&gt;0,'Section Load'!AL19,0))</f>
        <v>638.17500000000291</v>
      </c>
      <c r="AL16" s="294">
        <f>(IF('Section Load'!AM19&gt;0,'Section Load'!AM19,0))</f>
        <v>0</v>
      </c>
      <c r="AM16" s="295">
        <f>(IF('Water Report'!$R$7&gt;0,'Water Report'!$R$7,0))</f>
        <v>143.5</v>
      </c>
      <c r="AN16" s="295">
        <f>(IF('Water Report'!$R$8&gt;0,'Water Report'!$R$8,0))</f>
        <v>104</v>
      </c>
      <c r="AO16" s="295">
        <f>(IF('Water Report'!$R$9&gt;0,'Water Report'!$R$9,0))</f>
        <v>121</v>
      </c>
      <c r="AP16" s="295">
        <f>(IF('Water Report'!$R$10&gt;0,'Water Report'!$R$10,0))</f>
        <v>42</v>
      </c>
      <c r="AQ16" s="295">
        <f>(IF('Water Report'!$R$11&gt;0,'Water Report'!$R$11,0))</f>
        <v>7</v>
      </c>
      <c r="AR16" s="295">
        <f>(IF('Water Report'!$R$13&gt;0,'Water Report'!$R$13,0))</f>
        <v>33</v>
      </c>
      <c r="AS16" s="295">
        <f>(IF('Water Report'!$R$14&gt;0,'Water Report'!$R$14,0))</f>
        <v>4</v>
      </c>
      <c r="AT16" s="295">
        <f>(IF('Water Report'!$R$15&gt;0,'Water Report'!$R$15,0))</f>
        <v>4</v>
      </c>
      <c r="AU16" s="295">
        <f>(IF('Water Report'!$R$17&gt;0,'Water Report'!$R$17,0))</f>
        <v>0</v>
      </c>
      <c r="AV16" s="295">
        <f>(IF('Water Report'!$R$18&gt;0,'Water Report'!$R$18,0))</f>
        <v>7</v>
      </c>
      <c r="AW16" s="295">
        <f>(IF('Water Report'!$R$19&gt;0,'Water Report'!$R$19,0))</f>
        <v>5</v>
      </c>
      <c r="AX16" s="301">
        <f>(IF('Water Report'!$R$21&gt;0,'Water Report'!$R$21,0))</f>
        <v>64</v>
      </c>
      <c r="AY16" s="301">
        <f>(IF('Water Report'!$R$22&gt;0,'Water Report'!$R$22,0))</f>
        <v>0</v>
      </c>
      <c r="AZ16" s="301">
        <f>(IF('Water Report'!$R$23&gt;0,'Water Report'!$R$23,0))</f>
        <v>0</v>
      </c>
      <c r="BA16" s="301">
        <f>(IF('Water Report'!$R$14&gt;0,'Water Report'!$R$14,0))</f>
        <v>4</v>
      </c>
      <c r="BB16" s="301">
        <f>(IF('Water Report'!$R$15&gt;0,'Water Report'!$R$15,0))</f>
        <v>4</v>
      </c>
      <c r="BC16" s="301">
        <f>(IF('Water Report'!$R$13&gt;0,'Water Report'!$R$13,0))</f>
        <v>33</v>
      </c>
      <c r="BD16" s="301">
        <f>(IF('Water Report'!$R$24&gt;0,'Water Report'!$R$24,0))</f>
        <v>355</v>
      </c>
      <c r="BE16" s="301">
        <f>(IF('Water Report'!$R$25&gt;0,'Water Report'!$R$25,0))</f>
        <v>178</v>
      </c>
      <c r="BF16" s="301">
        <f>(IF('Water Report'!$R$27&gt;0,'Water Report'!$R$27,0))</f>
        <v>97</v>
      </c>
      <c r="BG16" s="296">
        <f>(IF('Section Load'!AN19&gt;0,'Section Load'!AN19,0))</f>
        <v>1011</v>
      </c>
      <c r="BH16" s="296">
        <f>(IF('Section Load'!AO19&gt;0,'Section Load'!AO19,0))</f>
        <v>113</v>
      </c>
      <c r="BI16" s="296">
        <f>(IF('Section Load'!AP19&gt;0,'Section Load'!AP19,0))</f>
        <v>0.19999999999708962</v>
      </c>
      <c r="BJ16" s="296">
        <f>(IF('Section Load'!AQ19&gt;0,'Section Load'!AQ19,0))</f>
        <v>93</v>
      </c>
      <c r="BK16" s="296">
        <f>(IF('Section Load'!AR19&gt;0,'Section Load'!AR19,0))</f>
        <v>40</v>
      </c>
      <c r="BL16" s="296">
        <f>(IF('Section Load'!AS19&gt;0,'Section Load'!AS19,0))</f>
        <v>0</v>
      </c>
      <c r="BM16" s="296">
        <f>(IF('Section Load'!AT19&gt;0,'Section Load'!AT19,0))</f>
        <v>764.80000000000291</v>
      </c>
    </row>
    <row r="17" spans="1:65">
      <c r="A17" s="287" t="s">
        <v>268</v>
      </c>
      <c r="B17" s="288">
        <f t="shared" si="0"/>
        <v>16</v>
      </c>
      <c r="C17" s="288">
        <v>1</v>
      </c>
      <c r="D17" s="288">
        <v>2023</v>
      </c>
      <c r="E17" s="294">
        <f>(IF('Section Load'!F20&gt;0,'Section Load'!F20,0))</f>
        <v>2441.3299999999581</v>
      </c>
      <c r="F17" s="294">
        <f>(IF('Section Load'!G20&gt;0,'Section Load'!G20,0))</f>
        <v>1520.4500000000116</v>
      </c>
      <c r="G17" s="294">
        <f>(IF('Section Load'!H20&gt;0,'Section Load'!H20,0))</f>
        <v>2503.1300000000047</v>
      </c>
      <c r="H17" s="294">
        <f>(IF('Section Load'!I20&gt;0,'Section Load'!I20,0))</f>
        <v>2793.0999999999767</v>
      </c>
      <c r="I17" s="294">
        <f>(IF('Section Load'!J20&gt;0,'Section Load'!J20,0))</f>
        <v>2955.1799999999348</v>
      </c>
      <c r="J17" s="294">
        <f>(IF('Section Load'!K20&gt;0,'Section Load'!K20,0))</f>
        <v>2697.6899999999441</v>
      </c>
      <c r="K17" s="294">
        <f>(IF('Section Load'!L20&gt;0,'Section Load'!L20,0))</f>
        <v>1176.4899999999907</v>
      </c>
      <c r="L17" s="294">
        <f>(IF('Section Load'!M20&gt;0,'Section Load'!M20,0))</f>
        <v>698.60999999998603</v>
      </c>
      <c r="M17" s="294">
        <f>(IF('Section Load'!N20&gt;0,'Section Load'!N20,0))</f>
        <v>150</v>
      </c>
      <c r="N17" s="294">
        <f>(IF('Section Load'!O20&gt;0,'Section Load'!O20,0))</f>
        <v>144</v>
      </c>
      <c r="O17" s="294">
        <f>(IF('Section Load'!P20&gt;0,'Section Load'!P20,0))</f>
        <v>28.385299999999916</v>
      </c>
      <c r="P17" s="294">
        <f>(IF('Section Load'!Q20&gt;0,'Section Load'!Q20,0))</f>
        <v>74</v>
      </c>
      <c r="Q17" s="294">
        <f>(IF('Section Load'!R20&gt;0,'Section Load'!R20,0))</f>
        <v>86</v>
      </c>
      <c r="R17" s="294">
        <f>(IF('Section Load'!S20&gt;0,'Section Load'!S20,0))</f>
        <v>207</v>
      </c>
      <c r="S17" s="294">
        <f>(IF('Section Load'!T20&gt;0,'Section Load'!T20,0))</f>
        <v>31</v>
      </c>
      <c r="T17" s="294">
        <f>(IF('Section Load'!U20&gt;0,'Section Load'!U20,0))</f>
        <v>244</v>
      </c>
      <c r="U17" s="294">
        <f>(IF('Section Load'!V20&gt;0,'Section Load'!V20,0))</f>
        <v>377.31999999994878</v>
      </c>
      <c r="V17" s="294">
        <f>(IF('Section Load'!W20&gt;0,'Section Load'!W20,0))</f>
        <v>288.07999999995809</v>
      </c>
      <c r="W17" s="294">
        <f>(IF('Section Load'!X20&gt;0,'Section Load'!X20,0))</f>
        <v>28.489999999999782</v>
      </c>
      <c r="X17" s="294">
        <f>(IF('Section Load'!Y20&gt;0,'Section Load'!Y20,0))</f>
        <v>256.64100000000326</v>
      </c>
      <c r="Y17" s="294">
        <f>(IF('Section Load'!Z20&gt;0,'Section Load'!Z20,0))</f>
        <v>339</v>
      </c>
      <c r="Z17" s="294">
        <f>(IF('Section Load'!AA20&gt;0,'Section Load'!AA20,0))</f>
        <v>130.47999999998137</v>
      </c>
      <c r="AA17" s="294">
        <f>(IF('Section Load'!AB20&gt;0,'Section Load'!AB20,0))</f>
        <v>64</v>
      </c>
      <c r="AB17" s="294">
        <f>(IF('Section Load'!AC20&gt;0,'Section Load'!AC20,0))</f>
        <v>7.6100000000005821</v>
      </c>
      <c r="AC17" s="294">
        <f>(IF('Section Load'!AD20&gt;0,'Section Load'!AD20,0))</f>
        <v>4.1999999999998181</v>
      </c>
      <c r="AD17" s="294">
        <f>(IF('Section Load'!AE20&gt;0,'Section Load'!AE20,0))</f>
        <v>460.94000000000233</v>
      </c>
      <c r="AE17" s="294">
        <f>(IF('Section Load'!AF20&gt;0,'Section Load'!AF20,0))</f>
        <v>308.37699999999313</v>
      </c>
      <c r="AF17" s="294">
        <f>(IF('Section Load'!AG20&gt;0,'Section Load'!AG20,0))</f>
        <v>631.13000000000466</v>
      </c>
      <c r="AG17" s="294">
        <f>(IF('Section Load'!AH20&gt;0,'Section Load'!AH20,0))</f>
        <v>35</v>
      </c>
      <c r="AH17" s="294">
        <f>(IF('Section Load'!AI20&gt;0,'Section Load'!AI20,0))</f>
        <v>404</v>
      </c>
      <c r="AI17" s="294">
        <f>(IF('Section Load'!AJ20&gt;0,'Section Load'!AJ20,0))</f>
        <v>425</v>
      </c>
      <c r="AJ17" s="294">
        <f>(IF('Section Load'!AK20&gt;0,'Section Load'!AK20,0))</f>
        <v>313.14999999999418</v>
      </c>
      <c r="AK17" s="294">
        <f>(IF('Section Load'!AL20&gt;0,'Section Load'!AL20,0))</f>
        <v>295.82499999999709</v>
      </c>
      <c r="AL17" s="294">
        <f>(IF('Section Load'!AM20&gt;0,'Section Load'!AM20,0))</f>
        <v>0</v>
      </c>
      <c r="AM17" s="295">
        <f>(IF('Water Report'!$S$7&gt;0,'Water Report'!$S$7,0))</f>
        <v>85.5</v>
      </c>
      <c r="AN17" s="295">
        <f>(IF('Water Report'!$S$8&gt;0,'Water Report'!$S$8,0))</f>
        <v>113</v>
      </c>
      <c r="AO17" s="295">
        <f>(IF('Water Report'!$S$9&gt;0,'Water Report'!$S$9,0))</f>
        <v>107</v>
      </c>
      <c r="AP17" s="295">
        <f>(IF('Water Report'!$S$10&gt;0,'Water Report'!$D$10,0))</f>
        <v>12</v>
      </c>
      <c r="AQ17" s="295">
        <f>(IF('Water Report'!$S$11&gt;0,'Water Report'!$D$11,0))</f>
        <v>32</v>
      </c>
      <c r="AR17" s="295">
        <f>(IF('Water Report'!$S$13&gt;0,'Water Report'!$D$13,0))</f>
        <v>20</v>
      </c>
      <c r="AS17" s="295">
        <f>(IF('Water Report'!$S$14&gt;0,'Water Report'!$D$14,0))</f>
        <v>13</v>
      </c>
      <c r="AT17" s="295">
        <f>(IF('Water Report'!$S$15&gt;0,'Water Report'!$D$15,0))</f>
        <v>10</v>
      </c>
      <c r="AU17" s="295">
        <f>(IF('Water Report'!$S$17&gt;0,'Water Report'!$D$17,0))</f>
        <v>1</v>
      </c>
      <c r="AV17" s="295">
        <f>(IF('Water Report'!$S$18&gt;0,'Water Report'!$D$18,0))</f>
        <v>-1</v>
      </c>
      <c r="AW17" s="295">
        <f>(IF('Water Report'!$S$19&gt;0,'Water Report'!$D$19,0))</f>
        <v>14</v>
      </c>
      <c r="AX17" s="301">
        <f>(IF('Water Report'!$S$21&gt;0,'Water Report'!$D$21,0))</f>
        <v>109</v>
      </c>
      <c r="AY17" s="301">
        <f>(IF('Water Report'!$S$22&gt;0,'Water Report'!$D$22,0))</f>
        <v>0</v>
      </c>
      <c r="AZ17" s="301">
        <f>(IF('Water Report'!$S$23&gt;0,'Water Report'!$D$23,0))</f>
        <v>0</v>
      </c>
      <c r="BA17" s="301">
        <f>(IF('Water Report'!$S$14&gt;0,'Water Report'!$D$14,0))</f>
        <v>13</v>
      </c>
      <c r="BB17" s="301">
        <f>(IF('Water Report'!$S$15&gt;0,'Water Report'!$D$15,0))</f>
        <v>10</v>
      </c>
      <c r="BC17" s="301">
        <f>(IF('Water Report'!$S$13&gt;0,'Water Report'!$D$13,0))</f>
        <v>20</v>
      </c>
      <c r="BD17" s="301">
        <f>(IF('Water Report'!$S$24&gt;0,'Water Report'!$D$24,0))</f>
        <v>278</v>
      </c>
      <c r="BE17" s="301">
        <f>(IF('Water Report'!$S$25&gt;0,'Water Report'!$D$25,0))</f>
        <v>194</v>
      </c>
      <c r="BF17" s="301">
        <f>(IF('Water Report'!$S$27&gt;0,'Water Report'!$D$27,0))</f>
        <v>129</v>
      </c>
      <c r="BG17" s="296">
        <f>(IF('Section Load'!AN20&gt;0,'Section Load'!AN20,0))</f>
        <v>1059</v>
      </c>
      <c r="BH17" s="296">
        <f>(IF('Section Load'!AO20&gt;0,'Section Load'!AO20,0))</f>
        <v>356</v>
      </c>
      <c r="BI17" s="296">
        <f>(IF('Section Load'!AP20&gt;0,'Section Load'!AP20,0))</f>
        <v>0</v>
      </c>
      <c r="BJ17" s="296">
        <f>(IF('Section Load'!AQ20&gt;0,'Section Load'!AQ20,0))</f>
        <v>101</v>
      </c>
      <c r="BK17" s="296">
        <f>(IF('Section Load'!AR20&gt;0,'Section Load'!AR20,0))</f>
        <v>48</v>
      </c>
      <c r="BL17" s="296">
        <f>(IF('Section Load'!AS20&gt;0,'Section Load'!AS20,0))</f>
        <v>0</v>
      </c>
      <c r="BM17" s="296">
        <f>(IF('Section Load'!AT20&gt;0,'Section Load'!AT20,0))</f>
        <v>554</v>
      </c>
    </row>
    <row r="18" spans="1:65">
      <c r="A18" s="287" t="s">
        <v>268</v>
      </c>
      <c r="B18" s="288">
        <f t="shared" si="0"/>
        <v>17</v>
      </c>
      <c r="C18" s="288">
        <v>1</v>
      </c>
      <c r="D18" s="288">
        <v>2023</v>
      </c>
      <c r="E18" s="294">
        <f>(IF('Section Load'!F21&gt;0,'Section Load'!F21,0))</f>
        <v>2993</v>
      </c>
      <c r="F18" s="294">
        <f>(IF('Section Load'!G21&gt;0,'Section Load'!G21,0))</f>
        <v>1424</v>
      </c>
      <c r="G18" s="294">
        <f>(IF('Section Load'!H21&gt;0,'Section Load'!H21,0))</f>
        <v>2431</v>
      </c>
      <c r="H18" s="294">
        <f>(IF('Section Load'!I21&gt;0,'Section Load'!I21,0))</f>
        <v>2759</v>
      </c>
      <c r="I18" s="294">
        <f>(IF('Section Load'!J21&gt;0,'Section Load'!J21,0))</f>
        <v>2147.3699999999953</v>
      </c>
      <c r="J18" s="294">
        <f>(IF('Section Load'!K21&gt;0,'Section Load'!K21,0))</f>
        <v>2642</v>
      </c>
      <c r="K18" s="294">
        <f>(IF('Section Load'!L21&gt;0,'Section Load'!L21,0))</f>
        <v>1107</v>
      </c>
      <c r="L18" s="294">
        <f>(IF('Section Load'!M21&gt;0,'Section Load'!M21,0))</f>
        <v>734</v>
      </c>
      <c r="M18" s="294">
        <f>(IF('Section Load'!N21&gt;0,'Section Load'!N21,0))</f>
        <v>111</v>
      </c>
      <c r="N18" s="294">
        <f>(IF('Section Load'!O21&gt;0,'Section Load'!O21,0))</f>
        <v>159</v>
      </c>
      <c r="O18" s="294">
        <f>(IF('Section Load'!P21&gt;0,'Section Load'!P21,0))</f>
        <v>29</v>
      </c>
      <c r="P18" s="294">
        <f>(IF('Section Load'!Q21&gt;0,'Section Load'!Q21,0))</f>
        <v>225</v>
      </c>
      <c r="Q18" s="294">
        <f>(IF('Section Load'!R21&gt;0,'Section Load'!R21,0))</f>
        <v>87</v>
      </c>
      <c r="R18" s="294">
        <f>(IF('Section Load'!S21&gt;0,'Section Load'!S21,0))</f>
        <v>170</v>
      </c>
      <c r="S18" s="294">
        <f>(IF('Section Load'!T21&gt;0,'Section Load'!T21,0))</f>
        <v>26</v>
      </c>
      <c r="T18" s="294">
        <f>(IF('Section Load'!U21&gt;0,'Section Load'!U21,0))</f>
        <v>254</v>
      </c>
      <c r="U18" s="294">
        <f>(IF('Section Load'!V21&gt;0,'Section Load'!V21,0))</f>
        <v>335</v>
      </c>
      <c r="V18" s="294">
        <f>(IF('Section Load'!W21&gt;0,'Section Load'!W21,0))</f>
        <v>264</v>
      </c>
      <c r="W18" s="294">
        <f>(IF('Section Load'!X21&gt;0,'Section Load'!X21,0))</f>
        <v>25</v>
      </c>
      <c r="X18" s="294">
        <f>(IF('Section Load'!Y21&gt;0,'Section Load'!Y21,0))</f>
        <v>266</v>
      </c>
      <c r="Y18" s="294">
        <f>(IF('Section Load'!Z21&gt;0,'Section Load'!Z21,0))</f>
        <v>283</v>
      </c>
      <c r="Z18" s="294">
        <f>(IF('Section Load'!AA21&gt;0,'Section Load'!AA21,0))</f>
        <v>159</v>
      </c>
      <c r="AA18" s="294">
        <f>(IF('Section Load'!AB21&gt;0,'Section Load'!AB21,0))</f>
        <v>32</v>
      </c>
      <c r="AB18" s="294">
        <f>(IF('Section Load'!AC21&gt;0,'Section Load'!AC21,0))</f>
        <v>10</v>
      </c>
      <c r="AC18" s="294">
        <f>(IF('Section Load'!AD21&gt;0,'Section Load'!AD21,0))</f>
        <v>10</v>
      </c>
      <c r="AD18" s="294">
        <f>(IF('Section Load'!AE21&gt;0,'Section Load'!AE21,0))</f>
        <v>546</v>
      </c>
      <c r="AE18" s="294">
        <f>(IF('Section Load'!AF21&gt;0,'Section Load'!AF21,0))</f>
        <v>227</v>
      </c>
      <c r="AF18" s="294">
        <f>(IF('Section Load'!AG21&gt;0,'Section Load'!AG21,0))</f>
        <v>633</v>
      </c>
      <c r="AG18" s="294">
        <f>(IF('Section Load'!AH21&gt;0,'Section Load'!AH21,0))</f>
        <v>32</v>
      </c>
      <c r="AH18" s="294">
        <f>(IF('Section Load'!AI21&gt;0,'Section Load'!AI21,0))</f>
        <v>384</v>
      </c>
      <c r="AI18" s="294">
        <f>(IF('Section Load'!AJ21&gt;0,'Section Load'!AJ21,0))</f>
        <v>426</v>
      </c>
      <c r="AJ18" s="294">
        <f>(IF('Section Load'!AK21&gt;0,'Section Load'!AK21,0))</f>
        <v>305</v>
      </c>
      <c r="AK18" s="294">
        <f>(IF('Section Load'!AL21&gt;0,'Section Load'!AL21,0))</f>
        <v>299</v>
      </c>
      <c r="AL18" s="294">
        <f>(IF('Section Load'!AM21&gt;0,'Section Load'!AM21,0))</f>
        <v>0</v>
      </c>
      <c r="AM18" s="295">
        <f>(IF('Water Report'!$T$7&gt;0,'Water Report'!$T$7,0))</f>
        <v>96</v>
      </c>
      <c r="AN18" s="295">
        <f>(IF('Water Report'!$T$8&gt;0,'Water Report'!$T$8,0))</f>
        <v>84</v>
      </c>
      <c r="AO18" s="295">
        <f>(IF('Water Report'!$T$9&gt;0,'Water Report'!$T$9,0))</f>
        <v>118</v>
      </c>
      <c r="AP18" s="295">
        <f>(IF('Water Report'!$T$10&gt;0,'Water Report'!$T$10,0))</f>
        <v>9</v>
      </c>
      <c r="AQ18" s="295">
        <f>(IF('Water Report'!$T$11&gt;0,'Water Report'!$T$11,0))</f>
        <v>19</v>
      </c>
      <c r="AR18" s="295">
        <f>(IF('Water Report'!$T$13&gt;0,'Water Report'!$T$13,0))</f>
        <v>14</v>
      </c>
      <c r="AS18" s="295">
        <f>(IF('Water Report'!$T$14&gt;0,'Water Report'!$T$14,0))</f>
        <v>2</v>
      </c>
      <c r="AT18" s="295">
        <f>(IF('Water Report'!$T$15&gt;0,'Water Report'!$T$15,0))</f>
        <v>5</v>
      </c>
      <c r="AU18" s="295">
        <f>(IF('Water Report'!$T$17&gt;0,'Water Report'!$T$17,0))</f>
        <v>0</v>
      </c>
      <c r="AV18" s="295">
        <f>(IF('Water Report'!$T$18&gt;0,'Water Report'!$T$18,0))</f>
        <v>10</v>
      </c>
      <c r="AW18" s="295">
        <f>(IF('Water Report'!$T$19&gt;0,'Water Report'!$T$19,0))</f>
        <v>15</v>
      </c>
      <c r="AX18" s="301">
        <f>(IF('Water Report'!$T$21&gt;0,'Water Report'!$T$21,0))</f>
        <v>105</v>
      </c>
      <c r="AY18" s="301">
        <f>(IF('Water Report'!$T$22&gt;0,'Water Report'!$T$22,0))</f>
        <v>0</v>
      </c>
      <c r="AZ18" s="301">
        <f>(IF('Water Report'!$T$23&gt;0,'Water Report'!$T$23,0))</f>
        <v>0</v>
      </c>
      <c r="BA18" s="301">
        <f>(IF('Water Report'!$T$14&gt;0,'Water Report'!$T$14,0))</f>
        <v>2</v>
      </c>
      <c r="BB18" s="301">
        <f>(IF('Water Report'!$T$15&gt;0,'Water Report'!$T$15,0))</f>
        <v>5</v>
      </c>
      <c r="BC18" s="301">
        <f>(IF('Water Report'!$T$13&gt;0,'Water Report'!$T$13,0))</f>
        <v>14</v>
      </c>
      <c r="BD18" s="301">
        <f>(IF('Water Report'!$T$24&gt;0,'Water Report'!$T$24,0))</f>
        <v>205</v>
      </c>
      <c r="BE18" s="301">
        <f>(IF('Water Report'!$T$25&gt;0,'Water Report'!$T$25,0))</f>
        <v>153</v>
      </c>
      <c r="BF18" s="301">
        <f>(IF('Water Report'!$T$27&gt;0,'Water Report'!$T$27,0))</f>
        <v>119</v>
      </c>
      <c r="BG18" s="296">
        <f>(IF('Section Load'!AN21&gt;0,'Section Load'!AN21,0))</f>
        <v>922</v>
      </c>
      <c r="BH18" s="296">
        <f>(IF('Section Load'!AO21&gt;0,'Section Load'!AO21,0))</f>
        <v>300</v>
      </c>
      <c r="BI18" s="296">
        <f>(IF('Section Load'!AP21&gt;0,'Section Load'!AP21,0))</f>
        <v>0</v>
      </c>
      <c r="BJ18" s="296">
        <f>(IF('Section Load'!AQ21&gt;0,'Section Load'!AQ21,0))</f>
        <v>82</v>
      </c>
      <c r="BK18" s="296">
        <f>(IF('Section Load'!AR21&gt;0,'Section Load'!AR21,0))</f>
        <v>51</v>
      </c>
      <c r="BL18" s="296">
        <f>(IF('Section Load'!AS21&gt;0,'Section Load'!AS21,0))</f>
        <v>0</v>
      </c>
      <c r="BM18" s="296">
        <f>(IF('Section Load'!AT21&gt;0,'Section Load'!AT21,0))</f>
        <v>489</v>
      </c>
    </row>
    <row r="19" spans="1:65">
      <c r="A19" s="287" t="s">
        <v>268</v>
      </c>
      <c r="B19" s="288">
        <f t="shared" si="0"/>
        <v>18</v>
      </c>
      <c r="C19" s="288">
        <v>1</v>
      </c>
      <c r="D19" s="288">
        <v>2023</v>
      </c>
      <c r="E19" s="294">
        <f>(IF('Section Load'!F22&gt;0,'Section Load'!F22,0))</f>
        <v>2991</v>
      </c>
      <c r="F19" s="294">
        <f>(IF('Section Load'!G22&gt;0,'Section Load'!G22,0))</f>
        <v>1400</v>
      </c>
      <c r="G19" s="294">
        <f>(IF('Section Load'!H22&gt;0,'Section Load'!H22,0))</f>
        <v>2550</v>
      </c>
      <c r="H19" s="294">
        <f>(IF('Section Load'!I22&gt;0,'Section Load'!I22,0))</f>
        <v>2725</v>
      </c>
      <c r="I19" s="294">
        <f>(IF('Section Load'!J22&gt;0,'Section Load'!J22,0))</f>
        <v>2492</v>
      </c>
      <c r="J19" s="294">
        <f>(IF('Section Load'!K22&gt;0,'Section Load'!K22,0))</f>
        <v>2635</v>
      </c>
      <c r="K19" s="294">
        <f>(IF('Section Load'!L22&gt;0,'Section Load'!L22,0))</f>
        <v>1107</v>
      </c>
      <c r="L19" s="294">
        <f>(IF('Section Load'!M22&gt;0,'Section Load'!M22,0))</f>
        <v>686</v>
      </c>
      <c r="M19" s="294">
        <f>(IF('Section Load'!N22&gt;0,'Section Load'!N22,0))</f>
        <v>111</v>
      </c>
      <c r="N19" s="294">
        <f>(IF('Section Load'!O22&gt;0,'Section Load'!O22,0))</f>
        <v>147</v>
      </c>
      <c r="O19" s="294">
        <f>(IF('Section Load'!P22&gt;0,'Section Load'!P22,0))</f>
        <v>28</v>
      </c>
      <c r="P19" s="294">
        <f>(IF('Section Load'!Q22&gt;0,'Section Load'!Q22,0))</f>
        <v>245</v>
      </c>
      <c r="Q19" s="294">
        <f>(IF('Section Load'!R22&gt;0,'Section Load'!R22,0))</f>
        <v>80</v>
      </c>
      <c r="R19" s="294">
        <f>(IF('Section Load'!S22&gt;0,'Section Load'!S22,0))</f>
        <v>35</v>
      </c>
      <c r="S19" s="294">
        <f>(IF('Section Load'!T22&gt;0,'Section Load'!T22,0))</f>
        <v>35</v>
      </c>
      <c r="T19" s="294">
        <f>(IF('Section Load'!U22&gt;0,'Section Load'!U22,0))</f>
        <v>248</v>
      </c>
      <c r="U19" s="294">
        <f>(IF('Section Load'!V22&gt;0,'Section Load'!V22,0))</f>
        <v>363</v>
      </c>
      <c r="V19" s="294">
        <f>(IF('Section Load'!W22&gt;0,'Section Load'!W22,0))</f>
        <v>305</v>
      </c>
      <c r="W19" s="294">
        <f>(IF('Section Load'!X22&gt;0,'Section Load'!X22,0))</f>
        <v>30</v>
      </c>
      <c r="X19" s="294">
        <f>(IF('Section Load'!Y22&gt;0,'Section Load'!Y22,0))</f>
        <v>247</v>
      </c>
      <c r="Y19" s="294">
        <f>(IF('Section Load'!Z22&gt;0,'Section Load'!Z22,0))</f>
        <v>300</v>
      </c>
      <c r="Z19" s="294">
        <f>(IF('Section Load'!AA22&gt;0,'Section Load'!AA22,0))</f>
        <v>141</v>
      </c>
      <c r="AA19" s="294">
        <f>(IF('Section Load'!AB22&gt;0,'Section Load'!AB22,0))</f>
        <v>42</v>
      </c>
      <c r="AB19" s="294">
        <f>(IF('Section Load'!AC22&gt;0,'Section Load'!AC22,0))</f>
        <v>8</v>
      </c>
      <c r="AC19" s="294">
        <f>(IF('Section Load'!AD22&gt;0,'Section Load'!AD22,0))</f>
        <v>11</v>
      </c>
      <c r="AD19" s="294">
        <f>(IF('Section Load'!AE22&gt;0,'Section Load'!AE22,0))</f>
        <v>467</v>
      </c>
      <c r="AE19" s="294">
        <f>(IF('Section Load'!AF22&gt;0,'Section Load'!AF22,0))</f>
        <v>235</v>
      </c>
      <c r="AF19" s="294">
        <f>(IF('Section Load'!AG22&gt;0,'Section Load'!AG22,0))</f>
        <v>610</v>
      </c>
      <c r="AG19" s="294">
        <f>(IF('Section Load'!AH22&gt;0,'Section Load'!AH22,0))</f>
        <v>37</v>
      </c>
      <c r="AH19" s="294">
        <f>(IF('Section Load'!AI22&gt;0,'Section Load'!AI22,0))</f>
        <v>379</v>
      </c>
      <c r="AI19" s="294">
        <f>(IF('Section Load'!AJ22&gt;0,'Section Load'!AJ22,0))</f>
        <v>449</v>
      </c>
      <c r="AJ19" s="294">
        <f>(IF('Section Load'!AK22&gt;0,'Section Load'!AK22,0))</f>
        <v>289</v>
      </c>
      <c r="AK19" s="294">
        <f>(IF('Section Load'!AL22&gt;0,'Section Load'!AL22,0))</f>
        <v>307</v>
      </c>
      <c r="AL19" s="294">
        <f>(IF('Section Load'!AM22&gt;0,'Section Load'!AM22,0))</f>
        <v>0</v>
      </c>
      <c r="AM19" s="295">
        <f>(IF('Water Report'!$U$7&gt;0,'Water Report'!$U$7,0))</f>
        <v>106</v>
      </c>
      <c r="AN19" s="295">
        <f>(IF('Water Report'!$U$8&gt;0,'Water Report'!$U$8,0))</f>
        <v>81</v>
      </c>
      <c r="AO19" s="295">
        <f>(IF('Water Report'!$U$9&gt;0,'Water Report'!$U$9,0))</f>
        <v>127</v>
      </c>
      <c r="AP19" s="295">
        <f>(IF('Water Report'!$U$10&gt;0,'Water Report'!$U$10,0))</f>
        <v>7</v>
      </c>
      <c r="AQ19" s="295">
        <f>(IF('Water Report'!$U$11&gt;0,'Water Report'!$U$11,0))</f>
        <v>25</v>
      </c>
      <c r="AR19" s="295">
        <f>(IF('Water Report'!$U$13&gt;0,'Water Report'!$U$13,0))</f>
        <v>12</v>
      </c>
      <c r="AS19" s="295">
        <f>(IF('Water Report'!$U$14&gt;0,'Water Report'!$U$14,0))</f>
        <v>2</v>
      </c>
      <c r="AT19" s="295">
        <f>(IF('Water Report'!$U$15&gt;0,'Water Report'!$U$15,0))</f>
        <v>14</v>
      </c>
      <c r="AU19" s="295">
        <f>(IF('Water Report'!$U$17&gt;0,'Water Report'!$U$17,0))</f>
        <v>1</v>
      </c>
      <c r="AV19" s="295">
        <f>(IF('Water Report'!$U$18&gt;0,'Water Report'!$U$18,0))</f>
        <v>10</v>
      </c>
      <c r="AW19" s="295">
        <f>(IF('Water Report'!$U$19&gt;0,'Water Report'!$U$19,0))</f>
        <v>15</v>
      </c>
      <c r="AX19" s="301">
        <f>(IF('Water Report'!$U$21&gt;0,'Water Report'!$U$21,0))</f>
        <v>105</v>
      </c>
      <c r="AY19" s="301">
        <f>(IF('Water Report'!$U$22&gt;0,'Water Report'!$U$22,0))</f>
        <v>0</v>
      </c>
      <c r="AZ19" s="301">
        <f>(IF('Water Report'!$U$23&gt;0,'Water Report'!$U$23,0))</f>
        <v>11</v>
      </c>
      <c r="BA19" s="301">
        <f>(IF('Water Report'!$U$14&gt;0,'Water Report'!$U$14,0))</f>
        <v>2</v>
      </c>
      <c r="BB19" s="301">
        <f>(IF('Water Report'!$U$15&gt;0,'Water Report'!$U$15,0))</f>
        <v>14</v>
      </c>
      <c r="BC19" s="301">
        <f>(IF('Water Report'!$U$13&gt;0,'Water Report'!$U$13,0))</f>
        <v>12</v>
      </c>
      <c r="BD19" s="301">
        <f>(IF('Water Report'!$U$24&gt;0,'Water Report'!$U$24,0))</f>
        <v>284</v>
      </c>
      <c r="BE19" s="301">
        <f>(IF('Water Report'!$U$25&gt;0,'Water Report'!$U$25,0))</f>
        <v>175</v>
      </c>
      <c r="BF19" s="301">
        <f>(IF('Water Report'!$U$27&gt;0,'Water Report'!$U$27,0))</f>
        <v>128</v>
      </c>
      <c r="BG19" s="296">
        <f>(IF('Section Load'!AN22&gt;0,'Section Load'!AN22,0))</f>
        <v>1106</v>
      </c>
      <c r="BH19" s="296">
        <f>(IF('Section Load'!AO22&gt;0,'Section Load'!AO22,0))</f>
        <v>283</v>
      </c>
      <c r="BI19" s="296">
        <f>(IF('Section Load'!AP22&gt;0,'Section Load'!AP22,0))</f>
        <v>0</v>
      </c>
      <c r="BJ19" s="296">
        <f>(IF('Section Load'!AQ22&gt;0,'Section Load'!AQ22,0))</f>
        <v>117</v>
      </c>
      <c r="BK19" s="296">
        <f>(IF('Section Load'!AR22&gt;0,'Section Load'!AR22,0))</f>
        <v>53</v>
      </c>
      <c r="BL19" s="296">
        <f>(IF('Section Load'!AS22&gt;0,'Section Load'!AS22,0))</f>
        <v>0</v>
      </c>
      <c r="BM19" s="296">
        <f>(IF('Section Load'!AT22&gt;0,'Section Load'!AT22,0))</f>
        <v>653</v>
      </c>
    </row>
    <row r="20" spans="1:65">
      <c r="A20" s="287" t="s">
        <v>268</v>
      </c>
      <c r="B20" s="288">
        <f t="shared" si="0"/>
        <v>19</v>
      </c>
      <c r="C20" s="288">
        <v>1</v>
      </c>
      <c r="D20" s="288">
        <v>2023</v>
      </c>
      <c r="E20" s="294">
        <f>(IF('Section Load'!F23&gt;0,'Section Load'!F23,0))</f>
        <v>2808.4599999999627</v>
      </c>
      <c r="F20" s="294">
        <f>(IF('Section Load'!G23&gt;0,'Section Load'!G23,0))</f>
        <v>1485.0100000000093</v>
      </c>
      <c r="G20" s="294">
        <f>(IF('Section Load'!H23&gt;0,'Section Load'!H23,0))</f>
        <v>2582.6700000000419</v>
      </c>
      <c r="H20" s="294">
        <f>(IF('Section Load'!I23&gt;0,'Section Load'!I23,0))</f>
        <v>2754.6600000000326</v>
      </c>
      <c r="I20" s="294">
        <f>(IF('Section Load'!J23&gt;0,'Section Load'!J23,0))</f>
        <v>2703.4400000000605</v>
      </c>
      <c r="J20" s="294">
        <f>(IF('Section Load'!K23&gt;0,'Section Load'!K23,0))</f>
        <v>2584</v>
      </c>
      <c r="K20" s="294">
        <f>(IF('Section Load'!L23&gt;0,'Section Load'!L23,0))</f>
        <v>1693.8000000000466</v>
      </c>
      <c r="L20" s="294">
        <f>(IF('Section Load'!M23&gt;0,'Section Load'!M23,0))</f>
        <v>993.19000000000233</v>
      </c>
      <c r="M20" s="294">
        <f>(IF('Section Load'!N23&gt;0,'Section Load'!N23,0))</f>
        <v>112</v>
      </c>
      <c r="N20" s="294">
        <f>(IF('Section Load'!O23&gt;0,'Section Load'!O23,0))</f>
        <v>145</v>
      </c>
      <c r="O20" s="294">
        <f>(IF('Section Load'!P23&gt;0,'Section Load'!P23,0))</f>
        <v>23.369999999999891</v>
      </c>
      <c r="P20" s="294">
        <f>(IF('Section Load'!Q23&gt;0,'Section Load'!Q23,0))</f>
        <v>247.80000000000291</v>
      </c>
      <c r="Q20" s="294">
        <f>(IF('Section Load'!R23&gt;0,'Section Load'!R23,0))</f>
        <v>87.19999999999709</v>
      </c>
      <c r="R20" s="294">
        <f>(IF('Section Load'!S23&gt;0,'Section Load'!S23,0))</f>
        <v>389</v>
      </c>
      <c r="S20" s="294">
        <f>(IF('Section Load'!T23&gt;0,'Section Load'!T23,0))</f>
        <v>45</v>
      </c>
      <c r="T20" s="294">
        <f>(IF('Section Load'!U23&gt;0,'Section Load'!U23,0))</f>
        <v>269</v>
      </c>
      <c r="U20" s="294">
        <f>(IF('Section Load'!V23&gt;0,'Section Load'!V23,0))</f>
        <v>371.64000000001397</v>
      </c>
      <c r="V20" s="294">
        <f>(IF('Section Load'!W23&gt;0,'Section Load'!W23,0))</f>
        <v>343.95999999996275</v>
      </c>
      <c r="W20" s="294">
        <f>(IF('Section Load'!X23&gt;0,'Section Load'!X23,0))</f>
        <v>35.459999999999127</v>
      </c>
      <c r="X20" s="294">
        <f>(IF('Section Load'!Y23&gt;0,'Section Load'!Y23,0))</f>
        <v>265.27999999999884</v>
      </c>
      <c r="Y20" s="294">
        <f>(IF('Section Load'!Z23&gt;0,'Section Load'!Z23,0))</f>
        <v>297</v>
      </c>
      <c r="Z20" s="294">
        <f>(IF('Section Load'!AA23&gt;0,'Section Load'!AA23,0))</f>
        <v>137</v>
      </c>
      <c r="AA20" s="294">
        <f>(IF('Section Load'!AB23&gt;0,'Section Load'!AB23,0))</f>
        <v>43</v>
      </c>
      <c r="AB20" s="294">
        <f>(IF('Section Load'!AC23&gt;0,'Section Load'!AC23,0))</f>
        <v>8.1399999999994179</v>
      </c>
      <c r="AC20" s="294">
        <f>(IF('Section Load'!AD23&gt;0,'Section Load'!AD23,0))</f>
        <v>4</v>
      </c>
      <c r="AD20" s="294">
        <f>(IF('Section Load'!AE23&gt;0,'Section Load'!AE23,0))</f>
        <v>453.67000000001281</v>
      </c>
      <c r="AE20" s="294">
        <f>(IF('Section Load'!AF23&gt;0,'Section Load'!AF23,0))</f>
        <v>224.89999999999418</v>
      </c>
      <c r="AF20" s="294">
        <f>(IF('Section Load'!AG23&gt;0,'Section Load'!AG23,0))</f>
        <v>614.25</v>
      </c>
      <c r="AG20" s="294">
        <f>(IF('Section Load'!AH23&gt;0,'Section Load'!AH23,0))</f>
        <v>48</v>
      </c>
      <c r="AH20" s="294">
        <f>(IF('Section Load'!AI23&gt;0,'Section Load'!AI23,0))</f>
        <v>386</v>
      </c>
      <c r="AI20" s="294">
        <f>(IF('Section Load'!AJ23&gt;0,'Section Load'!AJ23,0))</f>
        <v>441</v>
      </c>
      <c r="AJ20" s="294">
        <f>(IF('Section Load'!AK23&gt;0,'Section Load'!AK23,0))</f>
        <v>306.88000000000466</v>
      </c>
      <c r="AK20" s="294">
        <f>(IF('Section Load'!AL23&gt;0,'Section Load'!AL23,0))</f>
        <v>299.16000000000349</v>
      </c>
      <c r="AL20" s="294">
        <f>(IF('Section Load'!AM23&gt;0,'Section Load'!AM23,0))</f>
        <v>0</v>
      </c>
      <c r="AM20" s="295">
        <f>(IF('Water Report'!$V$7&gt;0,'Water Report'!$V$7,0))</f>
        <v>106</v>
      </c>
      <c r="AN20" s="295">
        <f>(IF('Water Report'!$V$8&gt;0,'Water Report'!$V$8,0))</f>
        <v>105</v>
      </c>
      <c r="AO20" s="295">
        <f>(IF('Water Report'!$V$9&gt;0,'Water Report'!$V$9,0))</f>
        <v>126</v>
      </c>
      <c r="AP20" s="295">
        <f>(IF('Water Report'!$V$10&gt;0,'Water Report'!$V$10,0))</f>
        <v>8</v>
      </c>
      <c r="AQ20" s="295">
        <f>(IF('Water Report'!$V$11&gt;0,'Water Report'!$V$11,0))</f>
        <v>26</v>
      </c>
      <c r="AR20" s="295">
        <f>(IF('Water Report'!$V$13&gt;0,'Water Report'!$V$13,0))</f>
        <v>34</v>
      </c>
      <c r="AS20" s="295">
        <f>(IF('Water Report'!$V$14&gt;0,'Water Report'!$V$14,0))</f>
        <v>8</v>
      </c>
      <c r="AT20" s="295">
        <f>(IF('Water Report'!$V$15&gt;0,'Water Report'!$V$15,0))</f>
        <v>7</v>
      </c>
      <c r="AU20" s="295">
        <f>(IF('Water Report'!$V$17&gt;0,'Water Report'!$V$17,0))</f>
        <v>2</v>
      </c>
      <c r="AV20" s="295">
        <f>(IF('Water Report'!$V$18&gt;0,'Water Report'!$V$18,0))</f>
        <v>13</v>
      </c>
      <c r="AW20" s="295">
        <f>(IF('Water Report'!$V$19&gt;0,'Water Report'!$V$19,0))</f>
        <v>19</v>
      </c>
      <c r="AX20" s="301">
        <f>(IF('Water Report'!$V$21&gt;0,'Water Report'!$V$21,0))</f>
        <v>98</v>
      </c>
      <c r="AY20" s="301">
        <f>(IF('Water Report'!$V$22&gt;0,'Water Report'!$V$22,0))</f>
        <v>0</v>
      </c>
      <c r="AZ20" s="301">
        <f>(IF('Water Report'!$V$23&gt;0,'Water Report'!$V$23,0))</f>
        <v>0</v>
      </c>
      <c r="BA20" s="301">
        <f>(IF('Water Report'!$V$14&gt;0,'Water Report'!$V$14,0))</f>
        <v>8</v>
      </c>
      <c r="BB20" s="301">
        <f>(IF('Water Report'!$V$15&gt;0,'Water Report'!$V$15,0))</f>
        <v>7</v>
      </c>
      <c r="BC20" s="301">
        <f>(IF('Water Report'!$V$13&gt;0,'Water Report'!$V$13,0))</f>
        <v>34</v>
      </c>
      <c r="BD20" s="301">
        <f>(IF('Water Report'!$V$24&gt;0,'Water Report'!$V$24,0))</f>
        <v>231</v>
      </c>
      <c r="BE20" s="301">
        <f>(IF('Water Report'!$V$25&gt;0,'Water Report'!$V$25,0))</f>
        <v>175</v>
      </c>
      <c r="BF20" s="301">
        <f>(IF('Water Report'!$V$27&gt;0,'Water Report'!$V$27,0))</f>
        <v>132</v>
      </c>
      <c r="BG20" s="296">
        <f>(IF('Section Load'!AN23&gt;0,'Section Load'!AN23,0))</f>
        <v>1171.7999999998137</v>
      </c>
      <c r="BH20" s="296">
        <f>(IF('Section Load'!AO23&gt;0,'Section Load'!AO23,0))</f>
        <v>335</v>
      </c>
      <c r="BI20" s="296">
        <f>(IF('Section Load'!AP23&gt;0,'Section Load'!AP23,0))</f>
        <v>0</v>
      </c>
      <c r="BJ20" s="296">
        <f>(IF('Section Load'!AQ23&gt;0,'Section Load'!AQ23,0))</f>
        <v>102.5</v>
      </c>
      <c r="BK20" s="296">
        <f>(IF('Section Load'!AR23&gt;0,'Section Load'!AR23,0))</f>
        <v>52</v>
      </c>
      <c r="BL20" s="296">
        <f>(IF('Section Load'!AS23&gt;0,'Section Load'!AS23,0))</f>
        <v>0</v>
      </c>
      <c r="BM20" s="296">
        <f>(IF('Section Load'!AT23&gt;0,'Section Load'!AT23,0))</f>
        <v>682.29999999981374</v>
      </c>
    </row>
    <row r="21" spans="1:65">
      <c r="A21" s="287" t="s">
        <v>268</v>
      </c>
      <c r="B21" s="288">
        <f t="shared" si="0"/>
        <v>20</v>
      </c>
      <c r="C21" s="288">
        <v>1</v>
      </c>
      <c r="D21" s="288">
        <v>2023</v>
      </c>
      <c r="E21" s="294">
        <f>(IF('Section Load'!F24&gt;0,'Section Load'!F24,0))</f>
        <v>2786.5400000000373</v>
      </c>
      <c r="F21" s="294">
        <f>(IF('Section Load'!G24&gt;0,'Section Load'!G24,0))</f>
        <v>1459.9899999999907</v>
      </c>
      <c r="G21" s="294">
        <f>(IF('Section Load'!H24&gt;0,'Section Load'!H24,0))</f>
        <v>2619.3299999999581</v>
      </c>
      <c r="H21" s="294">
        <f>(IF('Section Load'!I24&gt;0,'Section Load'!I24,0))</f>
        <v>2766.3399999999674</v>
      </c>
      <c r="I21" s="294">
        <f>(IF('Section Load'!J24&gt;0,'Section Load'!J24,0))</f>
        <v>2725.1899999999441</v>
      </c>
      <c r="J21" s="294">
        <f>(IF('Section Load'!K24&gt;0,'Section Load'!K24,0))</f>
        <v>2679</v>
      </c>
      <c r="K21" s="294">
        <f>(IF('Section Load'!L24&gt;0,'Section Load'!L24,0))</f>
        <v>1490.1999999999534</v>
      </c>
      <c r="L21" s="294">
        <f>(IF('Section Load'!M24&gt;0,'Section Load'!M24,0))</f>
        <v>853.80999999999767</v>
      </c>
      <c r="M21" s="294">
        <f>(IF('Section Load'!N24&gt;0,'Section Load'!N24,0))</f>
        <v>109</v>
      </c>
      <c r="N21" s="294">
        <f>(IF('Section Load'!O24&gt;0,'Section Load'!O24,0))</f>
        <v>207</v>
      </c>
      <c r="O21" s="294">
        <f>(IF('Section Load'!P24&gt;0,'Section Load'!P24,0))</f>
        <v>16.630000000000109</v>
      </c>
      <c r="P21" s="294">
        <f>(IF('Section Load'!Q24&gt;0,'Section Load'!Q24,0))</f>
        <v>248.19999999999709</v>
      </c>
      <c r="Q21" s="294">
        <f>(IF('Section Load'!R24&gt;0,'Section Load'!R24,0))</f>
        <v>74.80000000000291</v>
      </c>
      <c r="R21" s="294">
        <f>(IF('Section Load'!S24&gt;0,'Section Load'!S24,0))</f>
        <v>192</v>
      </c>
      <c r="S21" s="294">
        <f>(IF('Section Load'!T24&gt;0,'Section Load'!T24,0))</f>
        <v>49</v>
      </c>
      <c r="T21" s="294">
        <f>(IF('Section Load'!U24&gt;0,'Section Load'!U24,0))</f>
        <v>228</v>
      </c>
      <c r="U21" s="294">
        <f>(IF('Section Load'!V24&gt;0,'Section Load'!V24,0))</f>
        <v>376.35999999998603</v>
      </c>
      <c r="V21" s="294">
        <f>(IF('Section Load'!W24&gt;0,'Section Load'!W24,0))</f>
        <v>353.04000000003725</v>
      </c>
      <c r="W21" s="294">
        <f>(IF('Section Load'!X24&gt;0,'Section Load'!X24,0))</f>
        <v>36.540000000000873</v>
      </c>
      <c r="X21" s="294">
        <f>(IF('Section Load'!Y24&gt;0,'Section Load'!Y24,0))</f>
        <v>259.72000000000116</v>
      </c>
      <c r="Y21" s="294">
        <f>(IF('Section Load'!Z24&gt;0,'Section Load'!Z24,0))</f>
        <v>278</v>
      </c>
      <c r="Z21" s="294">
        <f>(IF('Section Load'!AA24&gt;0,'Section Load'!AA24,0))</f>
        <v>139</v>
      </c>
      <c r="AA21" s="294">
        <f>(IF('Section Load'!AB24&gt;0,'Section Load'!AB24,0))</f>
        <v>46</v>
      </c>
      <c r="AB21" s="294">
        <f>(IF('Section Load'!AC24&gt;0,'Section Load'!AC24,0))</f>
        <v>7.8600000000005821</v>
      </c>
      <c r="AC21" s="294">
        <f>(IF('Section Load'!AD24&gt;0,'Section Load'!AD24,0))</f>
        <v>5</v>
      </c>
      <c r="AD21" s="294">
        <f>(IF('Section Load'!AE24&gt;0,'Section Load'!AE24,0))</f>
        <v>479.32999999998719</v>
      </c>
      <c r="AE21" s="294">
        <f>(IF('Section Load'!AF24&gt;0,'Section Load'!AF24,0))</f>
        <v>210.10000000000582</v>
      </c>
      <c r="AF21" s="294">
        <f>(IF('Section Load'!AG24&gt;0,'Section Load'!AG24,0))</f>
        <v>600.75</v>
      </c>
      <c r="AG21" s="294">
        <f>(IF('Section Load'!AH24&gt;0,'Section Load'!AH24,0))</f>
        <v>54</v>
      </c>
      <c r="AH21" s="294">
        <f>(IF('Section Load'!AI24&gt;0,'Section Load'!AI24,0))</f>
        <v>376</v>
      </c>
      <c r="AI21" s="294">
        <f>(IF('Section Load'!AJ24&gt;0,'Section Load'!AJ24,0))</f>
        <v>458</v>
      </c>
      <c r="AJ21" s="294">
        <f>(IF('Section Load'!AK24&gt;0,'Section Load'!AK24,0))</f>
        <v>336.11999999999534</v>
      </c>
      <c r="AK21" s="294">
        <f>(IF('Section Load'!AL24&gt;0,'Section Load'!AL24,0))</f>
        <v>308.83999999999651</v>
      </c>
      <c r="AL21" s="294">
        <f>(IF('Section Load'!AM24&gt;0,'Section Load'!AM24,0))</f>
        <v>0</v>
      </c>
      <c r="AM21" s="295">
        <f>(IF('Water Report'!$W$7&gt;0,'Water Report'!$W$7,0))</f>
        <v>121</v>
      </c>
      <c r="AN21" s="295">
        <f>(IF('Water Report'!$W$8&gt;0,'Water Report'!$W$8,0))</f>
        <v>94</v>
      </c>
      <c r="AO21" s="295">
        <f>(IF('Water Report'!$W$9&gt;0,'Water Report'!$W$9,0))</f>
        <v>139</v>
      </c>
      <c r="AP21" s="295">
        <f>(IF('Water Report'!$W$10&gt;0,'Water Report'!$W$10,0))</f>
        <v>16</v>
      </c>
      <c r="AQ21" s="295">
        <f>(IF('Water Report'!$W$11&gt;0,'Water Report'!$W$11,0))</f>
        <v>24</v>
      </c>
      <c r="AR21" s="295">
        <f>(IF('Water Report'!$W$13&gt;0,'Water Report'!$W$13,0))</f>
        <v>20</v>
      </c>
      <c r="AS21" s="295">
        <f>(IF('Water Report'!$W$14&gt;0,'Water Report'!$W$14,0))</f>
        <v>6</v>
      </c>
      <c r="AT21" s="295">
        <f>(IF('Water Report'!$W$15&gt;0,'Water Report'!$W$15,0))</f>
        <v>7</v>
      </c>
      <c r="AU21" s="295">
        <f>(IF('Water Report'!$W$17&gt;0,'Water Report'!$W$17,0))</f>
        <v>1</v>
      </c>
      <c r="AV21" s="295">
        <f>(IF('Water Report'!$W$18&gt;0,'Water Report'!$W$18,0))</f>
        <v>12</v>
      </c>
      <c r="AW21" s="295">
        <f>(IF('Water Report'!$W$19&gt;0,'Water Report'!$W$19,0))</f>
        <v>17</v>
      </c>
      <c r="AX21" s="301">
        <f>(IF('Water Report'!$W$21&gt;0,'Water Report'!$W$21,0))</f>
        <v>77</v>
      </c>
      <c r="AY21" s="301">
        <f>(IF('Water Report'!$W$22&gt;0,'Water Report'!$W$22,0))</f>
        <v>0</v>
      </c>
      <c r="AZ21" s="301">
        <f>(IF('Water Report'!$W$23&gt;0,'Water Report'!$W$23,0))</f>
        <v>0</v>
      </c>
      <c r="BA21" s="301">
        <f>(IF('Water Report'!$W$14&gt;0,'Water Report'!$W$14,0))</f>
        <v>6</v>
      </c>
      <c r="BB21" s="301">
        <f>(IF('Water Report'!$W$15&gt;0,'Water Report'!$W$15,0))</f>
        <v>7</v>
      </c>
      <c r="BC21" s="301">
        <f>(IF('Water Report'!$W$13&gt;0,'Water Report'!$W$13,0))</f>
        <v>20</v>
      </c>
      <c r="BD21" s="301">
        <f>(IF('Water Report'!$W$24&gt;0,'Water Report'!$W$24,0))</f>
        <v>276</v>
      </c>
      <c r="BE21" s="301">
        <f>(IF('Water Report'!$W$25&gt;0,'Water Report'!$W$25,0))</f>
        <v>192</v>
      </c>
      <c r="BF21" s="301">
        <f>(IF('Water Report'!$W$27&gt;0,'Water Report'!$W$27,0))</f>
        <v>97</v>
      </c>
      <c r="BG21" s="296">
        <f>(IF('Section Load'!AN24&gt;0,'Section Load'!AN24,0))</f>
        <v>1194.2000000001863</v>
      </c>
      <c r="BH21" s="296">
        <f>(IF('Section Load'!AO24&gt;0,'Section Load'!AO24,0))</f>
        <v>329</v>
      </c>
      <c r="BI21" s="296">
        <f>(IF('Section Load'!AP24&gt;0,'Section Load'!AP24,0))</f>
        <v>0</v>
      </c>
      <c r="BJ21" s="296">
        <f>(IF('Section Load'!AQ24&gt;0,'Section Load'!AQ24,0))</f>
        <v>108.5</v>
      </c>
      <c r="BK21" s="296">
        <f>(IF('Section Load'!AR24&gt;0,'Section Load'!AR24,0))</f>
        <v>59</v>
      </c>
      <c r="BL21" s="296">
        <f>(IF('Section Load'!AS24&gt;0,'Section Load'!AS24,0))</f>
        <v>0</v>
      </c>
      <c r="BM21" s="296">
        <f>(IF('Section Load'!AT24&gt;0,'Section Load'!AT24,0))</f>
        <v>697.70000000018626</v>
      </c>
    </row>
    <row r="22" spans="1:65">
      <c r="A22" s="287" t="s">
        <v>268</v>
      </c>
      <c r="B22" s="288">
        <f t="shared" si="0"/>
        <v>21</v>
      </c>
      <c r="C22" s="288">
        <v>1</v>
      </c>
      <c r="D22" s="288">
        <v>2023</v>
      </c>
      <c r="E22" s="294">
        <f>(IF('Section Load'!F25&gt;0,'Section Load'!F25,0))</f>
        <v>2795</v>
      </c>
      <c r="F22" s="294">
        <f>(IF('Section Load'!G25&gt;0,'Section Load'!G25,0))</f>
        <v>1407</v>
      </c>
      <c r="G22" s="294">
        <f>(IF('Section Load'!H25&gt;0,'Section Load'!H25,0))</f>
        <v>2664</v>
      </c>
      <c r="H22" s="294">
        <f>(IF('Section Load'!I25&gt;0,'Section Load'!I25,0))</f>
        <v>2740</v>
      </c>
      <c r="I22" s="294">
        <f>(IF('Section Load'!J25&gt;0,'Section Load'!J25,0))</f>
        <v>2544.859999999986</v>
      </c>
      <c r="J22" s="294">
        <f>(IF('Section Load'!K25&gt;0,'Section Load'!K25,0))</f>
        <v>2637</v>
      </c>
      <c r="K22" s="294">
        <f>(IF('Section Load'!L25&gt;0,'Section Load'!L25,0))</f>
        <v>1159</v>
      </c>
      <c r="L22" s="294">
        <f>(IF('Section Load'!M25&gt;0,'Section Load'!M25,0))</f>
        <v>944</v>
      </c>
      <c r="M22" s="294">
        <f>(IF('Section Load'!N25&gt;0,'Section Load'!N25,0))</f>
        <v>131</v>
      </c>
      <c r="N22" s="294">
        <f>(IF('Section Load'!O25&gt;0,'Section Load'!O25,0))</f>
        <v>151</v>
      </c>
      <c r="O22" s="294">
        <f>(IF('Section Load'!P25&gt;0,'Section Load'!P25,0))</f>
        <v>17</v>
      </c>
      <c r="P22" s="294">
        <f>(IF('Section Load'!Q25&gt;0,'Section Load'!Q25,0))</f>
        <v>238</v>
      </c>
      <c r="Q22" s="294">
        <f>(IF('Section Load'!R25&gt;0,'Section Load'!R25,0))</f>
        <v>73</v>
      </c>
      <c r="R22" s="294">
        <f>(IF('Section Load'!S25&gt;0,'Section Load'!S25,0))</f>
        <v>178</v>
      </c>
      <c r="S22" s="294">
        <f>(IF('Section Load'!T25&gt;0,'Section Load'!T25,0))</f>
        <v>40</v>
      </c>
      <c r="T22" s="294">
        <f>(IF('Section Load'!U25&gt;0,'Section Load'!U25,0))</f>
        <v>263</v>
      </c>
      <c r="U22" s="294">
        <f>(IF('Section Load'!V25&gt;0,'Section Load'!V25,0))</f>
        <v>398</v>
      </c>
      <c r="V22" s="294">
        <f>(IF('Section Load'!W25&gt;0,'Section Load'!W25,0))</f>
        <v>376</v>
      </c>
      <c r="W22" s="294">
        <f>(IF('Section Load'!X25&gt;0,'Section Load'!X25,0))</f>
        <v>34</v>
      </c>
      <c r="X22" s="294">
        <f>(IF('Section Load'!Y25&gt;0,'Section Load'!Y25,0))</f>
        <v>268</v>
      </c>
      <c r="Y22" s="294">
        <f>(IF('Section Load'!Z25&gt;0,'Section Load'!Z25,0))</f>
        <v>346</v>
      </c>
      <c r="Z22" s="294">
        <f>(IF('Section Load'!AA25&gt;0,'Section Load'!AA25,0))</f>
        <v>104</v>
      </c>
      <c r="AA22" s="294">
        <f>(IF('Section Load'!AB25&gt;0,'Section Load'!AB25,0))</f>
        <v>42</v>
      </c>
      <c r="AB22" s="294">
        <f>(IF('Section Load'!AC25&gt;0,'Section Load'!AC25,0))</f>
        <v>6</v>
      </c>
      <c r="AC22" s="294">
        <f>(IF('Section Load'!AD25&gt;0,'Section Load'!AD25,0))</f>
        <v>4</v>
      </c>
      <c r="AD22" s="294">
        <f>(IF('Section Load'!AE25&gt;0,'Section Load'!AE25,0))</f>
        <v>460</v>
      </c>
      <c r="AE22" s="294">
        <f>(IF('Section Load'!AF25&gt;0,'Section Load'!AF25,0))</f>
        <v>225</v>
      </c>
      <c r="AF22" s="294">
        <f>(IF('Section Load'!AG25&gt;0,'Section Load'!AG25,0))</f>
        <v>596</v>
      </c>
      <c r="AG22" s="294">
        <f>(IF('Section Load'!AH25&gt;0,'Section Load'!AH25,0))</f>
        <v>49</v>
      </c>
      <c r="AH22" s="294">
        <f>(IF('Section Load'!AI25&gt;0,'Section Load'!AI25,0))</f>
        <v>408</v>
      </c>
      <c r="AI22" s="294">
        <f>(IF('Section Load'!AJ25&gt;0,'Section Load'!AJ25,0))</f>
        <v>451</v>
      </c>
      <c r="AJ22" s="294">
        <f>(IF('Section Load'!AK25&gt;0,'Section Load'!AK25,0))</f>
        <v>343</v>
      </c>
      <c r="AK22" s="294">
        <f>(IF('Section Load'!AL25&gt;0,'Section Load'!AL25,0))</f>
        <v>302</v>
      </c>
      <c r="AL22" s="294">
        <f>(IF('Section Load'!AM25&gt;0,'Section Load'!AM25,0))</f>
        <v>0</v>
      </c>
      <c r="AM22" s="295">
        <f>(IF('Water Report'!$X$7&gt;0,'Water Report'!$X$7,0))</f>
        <v>168</v>
      </c>
      <c r="AN22" s="295">
        <f>(IF('Water Report'!$X$8&gt;0,'Water Report'!$X$8,0))</f>
        <v>111</v>
      </c>
      <c r="AO22" s="295">
        <f>(IF('Water Report'!$X$9&gt;0,'Water Report'!$X$9,0))</f>
        <v>149</v>
      </c>
      <c r="AP22" s="295">
        <f>(IF('Water Report'!$X$10&gt;0,'Water Report'!$X$10,0))</f>
        <v>13</v>
      </c>
      <c r="AQ22" s="295">
        <f>(IF('Water Report'!$X$11&gt;0,'Water Report'!$X$11,0))</f>
        <v>24</v>
      </c>
      <c r="AR22" s="295">
        <f>(IF('Water Report'!$X$13&gt;0,'Water Report'!$X$13,0))</f>
        <v>10</v>
      </c>
      <c r="AS22" s="295">
        <f>(IF('Water Report'!$X$14&gt;0,'Water Report'!$X$14,0))</f>
        <v>4</v>
      </c>
      <c r="AT22" s="295">
        <f>(IF('Water Report'!$X$15&gt;0,'Water Report'!$X$15,0))</f>
        <v>8</v>
      </c>
      <c r="AU22" s="295">
        <f>(IF('Water Report'!$X$17&gt;0,'Water Report'!$X$17,0))</f>
        <v>1</v>
      </c>
      <c r="AV22" s="295">
        <f>(IF('Water Report'!$X$18&gt;0,'Water Report'!$X$18,0))</f>
        <v>16</v>
      </c>
      <c r="AW22" s="295">
        <f>(IF('Water Report'!$X$19&gt;0,'Water Report'!$X$19,0))</f>
        <v>23</v>
      </c>
      <c r="AX22" s="301">
        <f>(IF('Water Report'!$X$21&gt;0,'Water Report'!$X$21,0))</f>
        <v>127</v>
      </c>
      <c r="AY22" s="301">
        <f>(IF('Water Report'!$X$22&gt;0,'Water Report'!$X$22,0))</f>
        <v>0</v>
      </c>
      <c r="AZ22" s="301">
        <f>(IF('Water Report'!$X$23&gt;0,'Water Report'!$X$23,0))</f>
        <v>11</v>
      </c>
      <c r="BA22" s="301">
        <f>(IF('Water Report'!$X$14&gt;0,'Water Report'!$X$14,0))</f>
        <v>4</v>
      </c>
      <c r="BB22" s="301">
        <f>(IF('Water Report'!$X$15&gt;0,'Water Report'!$X$15,0))</f>
        <v>8</v>
      </c>
      <c r="BC22" s="301">
        <f>(IF('Water Report'!$X$13&gt;0,'Water Report'!$X$13,0))</f>
        <v>10</v>
      </c>
      <c r="BD22" s="301">
        <f>(IF('Water Report'!$X$24&gt;0,'Water Report'!$X$24,0))</f>
        <v>261</v>
      </c>
      <c r="BE22" s="301">
        <f>(IF('Water Report'!$X$25&gt;0,'Water Report'!$X$25,0))</f>
        <v>198</v>
      </c>
      <c r="BF22" s="301">
        <f>(IF('Water Report'!$X$27&gt;0,'Water Report'!$X$27,0))</f>
        <v>148</v>
      </c>
      <c r="BG22" s="296">
        <f>(IF('Section Load'!AN25&gt;0,'Section Load'!AN25,0))</f>
        <v>1220</v>
      </c>
      <c r="BH22" s="296">
        <f>(IF('Section Load'!AO25&gt;0,'Section Load'!AO25,0))</f>
        <v>324</v>
      </c>
      <c r="BI22" s="296">
        <f>(IF('Section Load'!AP25&gt;0,'Section Load'!AP25,0))</f>
        <v>0</v>
      </c>
      <c r="BJ22" s="296">
        <f>(IF('Section Load'!AQ25&gt;0,'Section Load'!AQ25,0))</f>
        <v>102</v>
      </c>
      <c r="BK22" s="296">
        <f>(IF('Section Load'!AR25&gt;0,'Section Load'!AR25,0))</f>
        <v>65</v>
      </c>
      <c r="BL22" s="296">
        <f>(IF('Section Load'!AS25&gt;0,'Section Load'!AS25,0))</f>
        <v>0</v>
      </c>
      <c r="BM22" s="296">
        <f>(IF('Section Load'!AT25&gt;0,'Section Load'!AT25,0))</f>
        <v>729</v>
      </c>
    </row>
    <row r="23" spans="1:65">
      <c r="A23" s="287" t="s">
        <v>268</v>
      </c>
      <c r="B23" s="288">
        <f t="shared" si="0"/>
        <v>22</v>
      </c>
      <c r="C23" s="288">
        <v>1</v>
      </c>
      <c r="D23" s="288">
        <v>2023</v>
      </c>
      <c r="E23" s="294">
        <f>(IF('Section Load'!F26&gt;0,'Section Load'!F26,0))</f>
        <v>2756</v>
      </c>
      <c r="F23" s="294">
        <f>(IF('Section Load'!G26&gt;0,'Section Load'!G26,0))</f>
        <v>1477</v>
      </c>
      <c r="G23" s="294">
        <f>(IF('Section Load'!H26&gt;0,'Section Load'!H26,0))</f>
        <v>2557</v>
      </c>
      <c r="H23" s="294">
        <f>(IF('Section Load'!I26&gt;0,'Section Load'!I26,0))</f>
        <v>2680</v>
      </c>
      <c r="I23" s="294">
        <f>(IF('Section Load'!J26&gt;0,'Section Load'!J26,0))</f>
        <v>2007</v>
      </c>
      <c r="J23" s="294">
        <f>(IF('Section Load'!K26&gt;0,'Section Load'!K26,0))</f>
        <v>2638</v>
      </c>
      <c r="K23" s="294">
        <f>(IF('Section Load'!L26&gt;0,'Section Load'!L26,0))</f>
        <v>1059</v>
      </c>
      <c r="L23" s="294">
        <f>(IF('Section Load'!M26&gt;0,'Section Load'!M26,0))</f>
        <v>921</v>
      </c>
      <c r="M23" s="294">
        <f>(IF('Section Load'!N26&gt;0,'Section Load'!N26,0))</f>
        <v>80</v>
      </c>
      <c r="N23" s="294">
        <f>(IF('Section Load'!O26&gt;0,'Section Load'!O26,0))</f>
        <v>146</v>
      </c>
      <c r="O23" s="294">
        <f>(IF('Section Load'!P26&gt;0,'Section Load'!P26,0))</f>
        <v>27</v>
      </c>
      <c r="P23" s="294">
        <f>(IF('Section Load'!Q26&gt;0,'Section Load'!Q26,0))</f>
        <v>244</v>
      </c>
      <c r="Q23" s="294">
        <f>(IF('Section Load'!R26&gt;0,'Section Load'!R26,0))</f>
        <v>74</v>
      </c>
      <c r="R23" s="294">
        <f>(IF('Section Load'!S26&gt;0,'Section Load'!S26,0))</f>
        <v>173</v>
      </c>
      <c r="S23" s="294">
        <f>(IF('Section Load'!T26&gt;0,'Section Load'!T26,0))</f>
        <v>24</v>
      </c>
      <c r="T23" s="294">
        <f>(IF('Section Load'!U26&gt;0,'Section Load'!U26,0))</f>
        <v>250</v>
      </c>
      <c r="U23" s="294">
        <f>(IF('Section Load'!V26&gt;0,'Section Load'!V26,0))</f>
        <v>353</v>
      </c>
      <c r="V23" s="294">
        <f>(IF('Section Load'!W26&gt;0,'Section Load'!W26,0))</f>
        <v>393</v>
      </c>
      <c r="W23" s="294">
        <f>(IF('Section Load'!X26&gt;0,'Section Load'!X26,0))</f>
        <v>37</v>
      </c>
      <c r="X23" s="294">
        <f>(IF('Section Load'!Y26&gt;0,'Section Load'!Y26,0))</f>
        <v>265</v>
      </c>
      <c r="Y23" s="294">
        <f>(IF('Section Load'!Z26&gt;0,'Section Load'!Z26,0))</f>
        <v>314</v>
      </c>
      <c r="Z23" s="294">
        <f>(IF('Section Load'!AA26&gt;0,'Section Load'!AA26,0))</f>
        <v>57</v>
      </c>
      <c r="AA23" s="294">
        <f>(IF('Section Load'!AB26&gt;0,'Section Load'!AB26,0))</f>
        <v>19</v>
      </c>
      <c r="AB23" s="294">
        <f>(IF('Section Load'!AC26&gt;0,'Section Load'!AC26,0))</f>
        <v>4</v>
      </c>
      <c r="AC23" s="294">
        <f>(IF('Section Load'!AD26&gt;0,'Section Load'!AD26,0))</f>
        <v>0</v>
      </c>
      <c r="AD23" s="294">
        <f>(IF('Section Load'!AE26&gt;0,'Section Load'!AE26,0))</f>
        <v>445</v>
      </c>
      <c r="AE23" s="294">
        <f>(IF('Section Load'!AF26&gt;0,'Section Load'!AF26,0))</f>
        <v>218</v>
      </c>
      <c r="AF23" s="294">
        <f>(IF('Section Load'!AG26&gt;0,'Section Load'!AG26,0))</f>
        <v>624</v>
      </c>
      <c r="AG23" s="294">
        <f>(IF('Section Load'!AH26&gt;0,'Section Load'!AH26,0))</f>
        <v>44</v>
      </c>
      <c r="AH23" s="294">
        <f>(IF('Section Load'!AI26&gt;0,'Section Load'!AI26,0))</f>
        <v>389</v>
      </c>
      <c r="AI23" s="294">
        <f>(IF('Section Load'!AJ26&gt;0,'Section Load'!AJ26,0))</f>
        <v>404</v>
      </c>
      <c r="AJ23" s="294">
        <f>(IF('Section Load'!AK26&gt;0,'Section Load'!AK26,0))</f>
        <v>266</v>
      </c>
      <c r="AK23" s="294">
        <f>(IF('Section Load'!AL26&gt;0,'Section Load'!AL26,0))</f>
        <v>308</v>
      </c>
      <c r="AL23" s="294">
        <f>(IF('Section Load'!AM26&gt;0,'Section Load'!AM26,0))</f>
        <v>0</v>
      </c>
      <c r="AM23" s="295">
        <f>(IF('Water Report'!$Y$7&gt;0,'Water Report'!$Y$7,0))</f>
        <v>160</v>
      </c>
      <c r="AN23" s="295">
        <f>(IF('Water Report'!$Y$8&gt;0,'Water Report'!$Y$8,0))</f>
        <v>123</v>
      </c>
      <c r="AO23" s="295">
        <f>(IF('Water Report'!$Y$9&gt;0,'Water Report'!$Y$9,0))</f>
        <v>141</v>
      </c>
      <c r="AP23" s="295">
        <f>(IF('Water Report'!$Y$10&gt;0,'Water Report'!$Y$10,0))</f>
        <v>57</v>
      </c>
      <c r="AQ23" s="295">
        <f>(IF('Water Report'!$Y$11&gt;0,'Water Report'!$Y$11,0))</f>
        <v>26</v>
      </c>
      <c r="AR23" s="295">
        <f>(IF('Water Report'!$Y$13&gt;0,'Water Report'!$Y$13,0))</f>
        <v>25</v>
      </c>
      <c r="AS23" s="295">
        <f>(IF('Water Report'!$Y$14&gt;0,'Water Report'!$Y$14,0))</f>
        <v>3</v>
      </c>
      <c r="AT23" s="295">
        <f>(IF('Water Report'!$Y$15&gt;0,'Water Report'!$Y$15,0))</f>
        <v>5</v>
      </c>
      <c r="AU23" s="295">
        <f>(IF('Water Report'!$Y$17&gt;0,'Water Report'!$Y$17,0))</f>
        <v>0</v>
      </c>
      <c r="AV23" s="295">
        <f>(IF('Water Report'!$Y$18&gt;0,'Water Report'!$Y$18,0))</f>
        <v>13</v>
      </c>
      <c r="AW23" s="295">
        <f>(IF('Water Report'!$Y$19&gt;0,'Water Report'!$Y$19,0))</f>
        <v>16</v>
      </c>
      <c r="AX23" s="301">
        <f>(IF('Water Report'!$Y$21&gt;0,'Water Report'!$Y$21,0))</f>
        <v>91</v>
      </c>
      <c r="AY23" s="301">
        <f>(IF('Water Report'!$Y$22&gt;0,'Water Report'!$Y$22,0))</f>
        <v>0</v>
      </c>
      <c r="AZ23" s="301">
        <f>(IF('Water Report'!$Y$23&gt;0,'Water Report'!$Y$23,0))</f>
        <v>0</v>
      </c>
      <c r="BA23" s="301">
        <f>(IF('Water Report'!$Y$14&gt;0,'Water Report'!$Y$14,0))</f>
        <v>3</v>
      </c>
      <c r="BB23" s="301">
        <f>(IF('Water Report'!$Y$15&gt;0,'Water Report'!$Y$15,0))</f>
        <v>5</v>
      </c>
      <c r="BC23" s="301">
        <f>(IF('Water Report'!$Y$13&gt;0,'Water Report'!$Y$13,0))</f>
        <v>25</v>
      </c>
      <c r="BD23" s="301">
        <f>(IF('Water Report'!$Y$24&gt;0,'Water Report'!$Y$24,0))</f>
        <v>275</v>
      </c>
      <c r="BE23" s="301">
        <f>(IF('Water Report'!$Y$25&gt;0,'Water Report'!$Y$25,0))</f>
        <v>232</v>
      </c>
      <c r="BF23" s="301">
        <f>(IF('Water Report'!$Y$27&gt;0,'Water Report'!$Y$27,0))</f>
        <v>116</v>
      </c>
      <c r="BG23" s="296">
        <f>(IF('Section Load'!AN26&gt;0,'Section Load'!AN26,0))</f>
        <v>1281</v>
      </c>
      <c r="BH23" s="296">
        <f>(IF('Section Load'!AO26&gt;0,'Section Load'!AO26,0))</f>
        <v>336</v>
      </c>
      <c r="BI23" s="296">
        <f>(IF('Section Load'!AP26&gt;0,'Section Load'!AP26,0))</f>
        <v>0</v>
      </c>
      <c r="BJ23" s="296">
        <f>(IF('Section Load'!AQ26&gt;0,'Section Load'!AQ26,0))</f>
        <v>114</v>
      </c>
      <c r="BK23" s="296">
        <f>(IF('Section Load'!AR26&gt;0,'Section Load'!AR26,0))</f>
        <v>64</v>
      </c>
      <c r="BL23" s="296">
        <f>(IF('Section Load'!AS26&gt;0,'Section Load'!AS26,0))</f>
        <v>0</v>
      </c>
      <c r="BM23" s="296">
        <f>(IF('Section Load'!AT26&gt;0,'Section Load'!AT26,0))</f>
        <v>767</v>
      </c>
    </row>
    <row r="24" spans="1:65">
      <c r="A24" s="287" t="s">
        <v>268</v>
      </c>
      <c r="B24" s="288">
        <f t="shared" si="0"/>
        <v>23</v>
      </c>
      <c r="C24" s="288">
        <v>1</v>
      </c>
      <c r="D24" s="288">
        <v>2023</v>
      </c>
      <c r="E24" s="294">
        <f>(IF('Section Load'!F27&gt;0,'Section Load'!F27,0))</f>
        <v>2681.5799999999581</v>
      </c>
      <c r="F24" s="294">
        <f>(IF('Section Load'!G27&gt;0,'Section Load'!G27,0))</f>
        <v>1518.4699999999721</v>
      </c>
      <c r="G24" s="294">
        <f>(IF('Section Load'!H27&gt;0,'Section Load'!H27,0))</f>
        <v>2587.9100000000326</v>
      </c>
      <c r="H24" s="294">
        <f>(IF('Section Load'!I27&gt;0,'Section Load'!I27,0))</f>
        <v>2702.6700000000419</v>
      </c>
      <c r="I24" s="294">
        <f>(IF('Section Load'!J27&gt;0,'Section Load'!J27,0))</f>
        <v>2704.9099999999744</v>
      </c>
      <c r="J24" s="294">
        <f>(IF('Section Load'!K27&gt;0,'Section Load'!K27,0))</f>
        <v>2429.0300000000279</v>
      </c>
      <c r="K24" s="294">
        <f>(IF('Section Load'!L27&gt;0,'Section Load'!L27,0))</f>
        <v>1081.109999999986</v>
      </c>
      <c r="L24" s="294">
        <f>(IF('Section Load'!M27&gt;0,'Section Load'!M27,0))</f>
        <v>1190.5100000000093</v>
      </c>
      <c r="M24" s="294">
        <f>(IF('Section Load'!N27&gt;0,'Section Load'!N27,0))</f>
        <v>112</v>
      </c>
      <c r="N24" s="294">
        <f>(IF('Section Load'!O27&gt;0,'Section Load'!O27,0))</f>
        <v>165</v>
      </c>
      <c r="O24" s="294">
        <f>(IF('Section Load'!P27&gt;0,'Section Load'!P27,0))</f>
        <v>27.720000000000255</v>
      </c>
      <c r="P24" s="294">
        <f>(IF('Section Load'!Q27&gt;0,'Section Load'!Q27,0))</f>
        <v>171.89999999999418</v>
      </c>
      <c r="Q24" s="294">
        <f>(IF('Section Load'!R27&gt;0,'Section Load'!R27,0))</f>
        <v>72</v>
      </c>
      <c r="R24" s="294">
        <f>(IF('Section Load'!S27&gt;0,'Section Load'!S27,0))</f>
        <v>170</v>
      </c>
      <c r="S24" s="294">
        <f>(IF('Section Load'!T27&gt;0,'Section Load'!T27,0))</f>
        <v>23</v>
      </c>
      <c r="T24" s="294">
        <f>(IF('Section Load'!U27&gt;0,'Section Load'!U27,0))</f>
        <v>249</v>
      </c>
      <c r="U24" s="294">
        <f>(IF('Section Load'!V27&gt;0,'Section Load'!V27,0))</f>
        <v>357.11999999999534</v>
      </c>
      <c r="V24" s="294">
        <f>(IF('Section Load'!W27&gt;0,'Section Load'!W27,0))</f>
        <v>390.76000000000931</v>
      </c>
      <c r="W24" s="294">
        <f>(IF('Section Load'!X27&gt;0,'Section Load'!X27,0))</f>
        <v>21.229999999999563</v>
      </c>
      <c r="X24" s="294">
        <f>(IF('Section Load'!Y27&gt;0,'Section Load'!Y27,0))</f>
        <v>270.19999999999709</v>
      </c>
      <c r="Y24" s="294">
        <f>(IF('Section Load'!Z27&gt;0,'Section Load'!Z27,0))</f>
        <v>300</v>
      </c>
      <c r="Z24" s="294">
        <f>(IF('Section Load'!AA27&gt;0,'Section Load'!AA27,0))</f>
        <v>107.70000000001164</v>
      </c>
      <c r="AA24" s="294">
        <f>(IF('Section Load'!AB27&gt;0,'Section Load'!AB27,0))</f>
        <v>31.200000000000045</v>
      </c>
      <c r="AB24" s="294">
        <f>(IF('Section Load'!AC27&gt;0,'Section Load'!AC27,0))</f>
        <v>4.3699999999989814</v>
      </c>
      <c r="AC24" s="294">
        <f>(IF('Section Load'!AD27&gt;0,'Section Load'!AD27,0))</f>
        <v>4.5</v>
      </c>
      <c r="AD24" s="294">
        <f>(IF('Section Load'!AE27&gt;0,'Section Load'!AE27,0))</f>
        <v>445.79999999998836</v>
      </c>
      <c r="AE24" s="294">
        <f>(IF('Section Load'!AF27&gt;0,'Section Load'!AF27,0))</f>
        <v>210</v>
      </c>
      <c r="AF24" s="294">
        <f>(IF('Section Load'!AG27&gt;0,'Section Load'!AG27,0))</f>
        <v>606.54999999998836</v>
      </c>
      <c r="AG24" s="294">
        <f>(IF('Section Load'!AH27&gt;0,'Section Load'!AH27,0))</f>
        <v>49.30000000000291</v>
      </c>
      <c r="AH24" s="294">
        <f>(IF('Section Load'!AI27&gt;0,'Section Load'!AI27,0))</f>
        <v>380.5</v>
      </c>
      <c r="AI24" s="294">
        <f>(IF('Section Load'!AJ27&gt;0,'Section Load'!AJ27,0))</f>
        <v>409</v>
      </c>
      <c r="AJ24" s="294">
        <f>(IF('Section Load'!AK27&gt;0,'Section Load'!AK27,0))</f>
        <v>282.5</v>
      </c>
      <c r="AK24" s="294">
        <f>(IF('Section Load'!AL27&gt;0,'Section Load'!AL27,0))</f>
        <v>314.69999999999709</v>
      </c>
      <c r="AL24" s="294">
        <f>(IF('Section Load'!AM27&gt;0,'Section Load'!AM27,0))</f>
        <v>0.16999999998370185</v>
      </c>
      <c r="AM24" s="295">
        <f>(IF('Water Report'!$Z$7&gt;0,'Water Report'!$Z$7,0))</f>
        <v>121.20000000001164</v>
      </c>
      <c r="AN24" s="295">
        <f>(IF('Water Report'!$Z$8&gt;0,'Water Report'!$Z$8,0))</f>
        <v>94</v>
      </c>
      <c r="AO24" s="295">
        <f>(IF('Water Report'!$Z$9&gt;0,'Water Report'!$Z$9,0))</f>
        <v>116</v>
      </c>
      <c r="AP24" s="295">
        <f>(IF('Water Report'!$Z$10&gt;0,'Water Report'!$Z$10,0))</f>
        <v>35</v>
      </c>
      <c r="AQ24" s="295">
        <f>(IF('Water Report'!$Z$11&gt;0,'Water Report'!$Z$11,0))</f>
        <v>21</v>
      </c>
      <c r="AR24" s="295">
        <f>(IF('Water Report'!$Z$13&gt;0,'Water Report'!$Z$13,0))</f>
        <v>14</v>
      </c>
      <c r="AS24" s="295">
        <f>(IF('Water Report'!$Z$14&gt;0,'Water Report'!$Z$14,0))</f>
        <v>5</v>
      </c>
      <c r="AT24" s="295">
        <f>(IF('Water Report'!$Z$15&gt;0,'Water Report'!$Z$15,0))</f>
        <v>9</v>
      </c>
      <c r="AU24" s="295">
        <f>(IF('Water Report'!$Z$17&gt;0,'Water Report'!$Z$17,0))</f>
        <v>2</v>
      </c>
      <c r="AV24" s="295">
        <f>(IF('Water Report'!$Z$18&gt;0,'Water Report'!$Z$18,0))</f>
        <v>12</v>
      </c>
      <c r="AW24" s="295">
        <f>(IF('Water Report'!$Z$19&gt;0,'Water Report'!$Z$19,0))</f>
        <v>14</v>
      </c>
      <c r="AX24" s="301">
        <f>(IF('Water Report'!$Z$21&gt;0,'Water Report'!$Z$21,0))</f>
        <v>153</v>
      </c>
      <c r="AY24" s="301">
        <f>(IF('Water Report'!$Z$22&gt;0,'Water Report'!$Z$22,0))</f>
        <v>0</v>
      </c>
      <c r="AZ24" s="301">
        <f>(IF('Water Report'!$Z$23&gt;0,'Water Report'!$Z$23,0))</f>
        <v>0</v>
      </c>
      <c r="BA24" s="301">
        <f>(IF('Water Report'!$Z$14&gt;0,'Water Report'!$Z$14,0))</f>
        <v>5</v>
      </c>
      <c r="BB24" s="301">
        <f>(IF('Water Report'!$Z$15&gt;0,'Water Report'!$Z$15,0))</f>
        <v>9</v>
      </c>
      <c r="BC24" s="301">
        <f>(IF('Water Report'!$Z$13&gt;0,'Water Report'!$Z$13,0))</f>
        <v>14</v>
      </c>
      <c r="BD24" s="301">
        <f>(IF('Water Report'!$Z$24&gt;0,'Water Report'!$Z$24,0))</f>
        <v>275</v>
      </c>
      <c r="BE24" s="301">
        <f>(IF('Water Report'!$Z$25&gt;0,'Water Report'!$Z$25,0))</f>
        <v>186</v>
      </c>
      <c r="BF24" s="301">
        <f>(IF('Water Report'!$Z$27&gt;0,'Water Report'!$Z$27,0))</f>
        <v>167</v>
      </c>
      <c r="BG24" s="296">
        <f>(IF('Section Load'!AN27&gt;0,'Section Load'!AN27,0))</f>
        <v>1201</v>
      </c>
      <c r="BH24" s="296">
        <f>(IF('Section Load'!AO27&gt;0,'Section Load'!AO27,0))</f>
        <v>282.53399999999965</v>
      </c>
      <c r="BI24" s="296">
        <f>(IF('Section Load'!AP27&gt;0,'Section Load'!AP27,0))</f>
        <v>0</v>
      </c>
      <c r="BJ24" s="296">
        <f>(IF('Section Load'!AQ27&gt;0,'Section Load'!AQ27,0))</f>
        <v>110</v>
      </c>
      <c r="BK24" s="296">
        <f>(IF('Section Load'!AR27&gt;0,'Section Load'!AR27,0))</f>
        <v>62</v>
      </c>
      <c r="BL24" s="296">
        <f>(IF('Section Load'!AS27&gt;0,'Section Load'!AS27,0))</f>
        <v>0</v>
      </c>
      <c r="BM24" s="296">
        <f>(IF('Section Load'!AT27&gt;0,'Section Load'!AT27,0))</f>
        <v>746.46600000000035</v>
      </c>
    </row>
    <row r="25" spans="1:65">
      <c r="A25" s="287" t="s">
        <v>268</v>
      </c>
      <c r="B25" s="288">
        <f t="shared" si="0"/>
        <v>24</v>
      </c>
      <c r="C25" s="288">
        <v>1</v>
      </c>
      <c r="D25" s="288">
        <v>2023</v>
      </c>
      <c r="E25" s="294">
        <f>(IF('Section Load'!F28&gt;0,'Section Load'!F28,0))</f>
        <v>2548.7200000000885</v>
      </c>
      <c r="F25" s="294">
        <f>(IF('Section Load'!G28&gt;0,'Section Load'!G28,0))</f>
        <v>1513.7600000000093</v>
      </c>
      <c r="G25" s="294">
        <f>(IF('Section Load'!H28&gt;0,'Section Load'!H28,0))</f>
        <v>4109.5899999999256</v>
      </c>
      <c r="H25" s="294">
        <f>(IF('Section Load'!I28&gt;0,'Section Load'!I28,0))</f>
        <v>2635.5999999999767</v>
      </c>
      <c r="I25" s="294">
        <f>(IF('Section Load'!J28&gt;0,'Section Load'!J28,0))</f>
        <v>2847.0200000000186</v>
      </c>
      <c r="J25" s="294">
        <f>(IF('Section Load'!K28&gt;0,'Section Load'!K28,0))</f>
        <v>2368</v>
      </c>
      <c r="K25" s="294">
        <f>(IF('Section Load'!L28&gt;0,'Section Load'!L28,0))</f>
        <v>1059.2000000000698</v>
      </c>
      <c r="L25" s="294">
        <f>(IF('Section Load'!M28&gt;0,'Section Load'!M28,0))</f>
        <v>801.11999999999534</v>
      </c>
      <c r="M25" s="294">
        <f>(IF('Section Load'!N28&gt;0,'Section Load'!N28,0))</f>
        <v>103</v>
      </c>
      <c r="N25" s="294">
        <f>(IF('Section Load'!O28&gt;0,'Section Load'!O28,0))</f>
        <v>148</v>
      </c>
      <c r="O25" s="294">
        <f>(IF('Section Load'!P28&gt;0,'Section Load'!P28,0))</f>
        <v>22.710000000000036</v>
      </c>
      <c r="P25" s="294">
        <f>(IF('Section Load'!Q28&gt;0,'Section Load'!Q28,0))</f>
        <v>292.56000000001222</v>
      </c>
      <c r="Q25" s="294">
        <f>(IF('Section Load'!R28&gt;0,'Section Load'!R28,0))</f>
        <v>75.879999999997381</v>
      </c>
      <c r="R25" s="294">
        <f>(IF('Section Load'!S28&gt;0,'Section Load'!S28,0))</f>
        <v>172</v>
      </c>
      <c r="S25" s="294">
        <f>(IF('Section Load'!T28&gt;0,'Section Load'!T28,0))</f>
        <v>23</v>
      </c>
      <c r="T25" s="294">
        <f>(IF('Section Load'!U28&gt;0,'Section Load'!U28,0))</f>
        <v>256</v>
      </c>
      <c r="U25" s="294">
        <f>(IF('Section Load'!V28&gt;0,'Section Load'!V28,0))</f>
        <v>319.88000000000466</v>
      </c>
      <c r="V25" s="294">
        <f>(IF('Section Load'!W28&gt;0,'Section Load'!W28,0))</f>
        <v>293.23999999999069</v>
      </c>
      <c r="W25" s="294">
        <f>(IF('Section Load'!X28&gt;0,'Section Load'!X28,0))</f>
        <v>22.420000000000073</v>
      </c>
      <c r="X25" s="294">
        <f>(IF('Section Load'!Y28&gt;0,'Section Load'!Y28,0))</f>
        <v>258.63000000000466</v>
      </c>
      <c r="Y25" s="294">
        <f>(IF('Section Load'!Z28&gt;0,'Section Load'!Z28,0))</f>
        <v>300</v>
      </c>
      <c r="Z25" s="294">
        <f>(IF('Section Load'!AA28&gt;0,'Section Load'!AA28,0))</f>
        <v>73.299999999988358</v>
      </c>
      <c r="AA25" s="294">
        <f>(IF('Section Load'!AB28&gt;0,'Section Load'!AB28,0))</f>
        <v>32</v>
      </c>
      <c r="AB25" s="294">
        <f>(IF('Section Load'!AC28&gt;0,'Section Load'!AC28,0))</f>
        <v>4.8700000000026193</v>
      </c>
      <c r="AC25" s="294">
        <f>(IF('Section Load'!AD28&gt;0,'Section Load'!AD28,0))</f>
        <v>4.6999999999998181</v>
      </c>
      <c r="AD25" s="294">
        <f>(IF('Section Load'!AE28&gt;0,'Section Load'!AE28,0))</f>
        <v>284.14000000001397</v>
      </c>
      <c r="AE25" s="294">
        <f>(IF('Section Load'!AF28&gt;0,'Section Load'!AF28,0))</f>
        <v>267.63000000000466</v>
      </c>
      <c r="AF25" s="294">
        <f>(IF('Section Load'!AG28&gt;0,'Section Load'!AG28,0))</f>
        <v>617.94000000000233</v>
      </c>
      <c r="AG25" s="294">
        <f>(IF('Section Load'!AH28&gt;0,'Section Load'!AH28,0))</f>
        <v>49.219999999993888</v>
      </c>
      <c r="AH25" s="294">
        <f>(IF('Section Load'!AI28&gt;0,'Section Load'!AI28,0))</f>
        <v>381.88999999999942</v>
      </c>
      <c r="AI25" s="294">
        <f>(IF('Section Load'!AJ28&gt;0,'Section Load'!AJ28,0))</f>
        <v>398.79000000000815</v>
      </c>
      <c r="AJ25" s="294">
        <f>(IF('Section Load'!AK28&gt;0,'Section Load'!AK28,0))</f>
        <v>313.64999999999418</v>
      </c>
      <c r="AK25" s="294">
        <f>(IF('Section Load'!AL28&gt;0,'Section Load'!AL28,0))</f>
        <v>314.27000000000407</v>
      </c>
      <c r="AL25" s="294">
        <f>(IF('Section Load'!AM28&gt;0,'Section Load'!AM28,0))</f>
        <v>433</v>
      </c>
      <c r="AM25" s="295">
        <f>(IF('Water Report'!$AA$7&gt;0,'Water Report'!$AA$7,0))</f>
        <v>154.59999999997672</v>
      </c>
      <c r="AN25" s="295">
        <f>(IF('Water Report'!$AA$8&gt;0,'Water Report'!$AA$8,0))</f>
        <v>93</v>
      </c>
      <c r="AO25" s="295">
        <f>(IF('Water Report'!$AA$9&gt;0,'Water Report'!$AA$9,0))</f>
        <v>133</v>
      </c>
      <c r="AP25" s="295">
        <f>(IF('Water Report'!$AA$10&gt;0,'Water Report'!$AA$10,0))</f>
        <v>36</v>
      </c>
      <c r="AQ25" s="295">
        <f>(IF('Water Report'!$AA$11&gt;0,'Water Report'!$AA$11,0))</f>
        <v>21</v>
      </c>
      <c r="AR25" s="295">
        <f>(IF('Water Report'!$AA$13&gt;0,'Water Report'!$AA$13,0))</f>
        <v>22</v>
      </c>
      <c r="AS25" s="295">
        <f>(IF('Water Report'!$AA$14&gt;0,'Water Report'!$AA$14,0))</f>
        <v>28</v>
      </c>
      <c r="AT25" s="295">
        <f>(IF('Water Report'!$AA$15&gt;0,'Water Report'!$AA$15,0))</f>
        <v>7</v>
      </c>
      <c r="AU25" s="295">
        <f>(IF('Water Report'!$AA$17&gt;0,'Water Report'!$AA$17,0))</f>
        <v>0</v>
      </c>
      <c r="AV25" s="295">
        <f>(IF('Water Report'!$AA$18&gt;0,'Water Report'!$AA$18,0))</f>
        <v>12</v>
      </c>
      <c r="AW25" s="295">
        <f>(IF('Water Report'!$AA$19&gt;0,'Water Report'!$AA$19,0))</f>
        <v>14</v>
      </c>
      <c r="AX25" s="301">
        <f>(IF('Water Report'!$AA$21&gt;0,'Water Report'!$AA$21,0))</f>
        <v>88</v>
      </c>
      <c r="AY25" s="301">
        <f>(IF('Water Report'!$AA$22&gt;0,'Water Report'!$AA$22,0))</f>
        <v>0</v>
      </c>
      <c r="AZ25" s="301">
        <f>(IF('Water Report'!$AA$23&gt;0,'Water Report'!$AA$23,0))</f>
        <v>11</v>
      </c>
      <c r="BA25" s="301">
        <f>(IF('Water Report'!$AA$14&gt;0,'Water Report'!$AA$14,0))</f>
        <v>28</v>
      </c>
      <c r="BB25" s="301">
        <f>(IF('Water Report'!$AA$15&gt;0,'Water Report'!$AA$15,0))</f>
        <v>7</v>
      </c>
      <c r="BC25" s="301">
        <f>(IF('Water Report'!$AA$13&gt;0,'Water Report'!$AA$13,0))</f>
        <v>22</v>
      </c>
      <c r="BD25" s="301">
        <f>(IF('Water Report'!$AA$24&gt;0,'Water Report'!$AA$24,0))</f>
        <v>298</v>
      </c>
      <c r="BE25" s="301">
        <f>(IF('Water Report'!$AA$25&gt;0,'Water Report'!$AA$25,0))</f>
        <v>225</v>
      </c>
      <c r="BF25" s="301">
        <f>(IF('Water Report'!$AA$27&gt;0,'Water Report'!$AA$27,0))</f>
        <v>121</v>
      </c>
      <c r="BG25" s="296">
        <f>(IF('Section Load'!AN28&gt;0,'Section Load'!AN28,0))</f>
        <v>1139.910000000149</v>
      </c>
      <c r="BH25" s="296">
        <f>(IF('Section Load'!AO28&gt;0,'Section Load'!AO28,0))</f>
        <v>298.46600000000035</v>
      </c>
      <c r="BI25" s="296">
        <f>(IF('Section Load'!AP28&gt;0,'Section Load'!AP28,0))</f>
        <v>0</v>
      </c>
      <c r="BJ25" s="296">
        <f>(IF('Section Load'!AQ28&gt;0,'Section Load'!AQ28,0))</f>
        <v>110</v>
      </c>
      <c r="BK25" s="296">
        <f>(IF('Section Load'!AR28&gt;0,'Section Load'!AR28,0))</f>
        <v>41</v>
      </c>
      <c r="BL25" s="296">
        <f>(IF('Section Load'!AS28&gt;0,'Section Load'!AS28,0))</f>
        <v>0</v>
      </c>
      <c r="BM25" s="296">
        <f>(IF('Section Load'!AT28&gt;0,'Section Load'!AT28,0))</f>
        <v>690.44400000014866</v>
      </c>
    </row>
    <row r="26" spans="1:65">
      <c r="A26" s="287" t="s">
        <v>268</v>
      </c>
      <c r="B26" s="288">
        <f>B25+1</f>
        <v>25</v>
      </c>
      <c r="C26" s="288">
        <v>1</v>
      </c>
      <c r="D26" s="288">
        <v>2023</v>
      </c>
      <c r="E26" s="294">
        <f>(IF('Section Load'!F29&gt;0,'Section Load'!F29,0))</f>
        <v>2553.6999999999534</v>
      </c>
      <c r="F26" s="294">
        <f>(IF('Section Load'!G29&gt;0,'Section Load'!G29,0))</f>
        <v>1451.7700000000186</v>
      </c>
      <c r="G26" s="294">
        <f>(IF('Section Load'!H29&gt;0,'Section Load'!H29,0))</f>
        <v>2635.7400000000416</v>
      </c>
      <c r="H26" s="294">
        <f>(IF('Section Load'!I29&gt;0,'Section Load'!I29,0))</f>
        <v>2764.7299999999814</v>
      </c>
      <c r="I26" s="294">
        <f>(IF('Section Load'!J29&gt;0,'Section Load'!J29,0))</f>
        <v>2821.4500000000116</v>
      </c>
      <c r="J26" s="294">
        <f>(IF('Section Load'!K29&gt;0,'Section Load'!K29,0))</f>
        <v>2369.6699999999255</v>
      </c>
      <c r="K26" s="294">
        <f>(IF('Section Load'!L29&gt;0,'Section Load'!L29,0))</f>
        <v>1110.6899999999441</v>
      </c>
      <c r="L26" s="294">
        <f>(IF('Section Load'!M29&gt;0,'Section Load'!M29,0))</f>
        <v>905.36999999999534</v>
      </c>
      <c r="M26" s="294">
        <f>(IF('Section Load'!N29&gt;0,'Section Load'!N29,0))</f>
        <v>109</v>
      </c>
      <c r="N26" s="294">
        <f>(IF('Section Load'!O29&gt;0,'Section Load'!O29,0))</f>
        <v>162</v>
      </c>
      <c r="O26" s="294">
        <f>(IF('Section Load'!P29&gt;0,'Section Load'!P29,0))</f>
        <v>21.569999999999709</v>
      </c>
      <c r="P26" s="294">
        <f>(IF('Section Load'!Q29&gt;0,'Section Load'!Q29,0))</f>
        <v>241.5399999999936</v>
      </c>
      <c r="Q26" s="294">
        <f>(IF('Section Load'!R29&gt;0,'Section Load'!R29,0))</f>
        <v>78.120000000002619</v>
      </c>
      <c r="R26" s="294">
        <f>(IF('Section Load'!S29&gt;0,'Section Load'!S29,0))</f>
        <v>250</v>
      </c>
      <c r="S26" s="294">
        <f>(IF('Section Load'!T29&gt;0,'Section Load'!T29,0))</f>
        <v>43</v>
      </c>
      <c r="T26" s="294">
        <f>(IF('Section Load'!U29&gt;0,'Section Load'!U29,0))</f>
        <v>269</v>
      </c>
      <c r="U26" s="294">
        <f>(IF('Section Load'!V29&gt;0,'Section Load'!V29,0))</f>
        <v>364.80000000004657</v>
      </c>
      <c r="V26" s="294">
        <f>(IF('Section Load'!W29&gt;0,'Section Load'!W29,0))</f>
        <v>349</v>
      </c>
      <c r="W26" s="294">
        <f>(IF('Section Load'!X29&gt;0,'Section Load'!X29,0))</f>
        <v>22.350000000000364</v>
      </c>
      <c r="X26" s="294">
        <f>(IF('Section Load'!Y29&gt;0,'Section Load'!Y29,0))</f>
        <v>253.16999999999825</v>
      </c>
      <c r="Y26" s="294">
        <f>(IF('Section Load'!Z29&gt;0,'Section Load'!Z29,0))</f>
        <v>312</v>
      </c>
      <c r="Z26" s="294">
        <f>(IF('Section Load'!AA29&gt;0,'Section Load'!AA29,0))</f>
        <v>81</v>
      </c>
      <c r="AA26" s="294">
        <f>(IF('Section Load'!AB29&gt;0,'Section Load'!AB29,0))</f>
        <v>37.299999999999955</v>
      </c>
      <c r="AB26" s="294">
        <f>(IF('Section Load'!AC29&gt;0,'Section Load'!AC29,0))</f>
        <v>8.4599999999991269</v>
      </c>
      <c r="AC26" s="294">
        <f>(IF('Section Load'!AD29&gt;0,'Section Load'!AD29,0))</f>
        <v>4.6999999999998181</v>
      </c>
      <c r="AD26" s="294">
        <f>(IF('Section Load'!AE29&gt;0,'Section Load'!AE29,0))</f>
        <v>349.51000000000931</v>
      </c>
      <c r="AE26" s="294">
        <f>(IF('Section Load'!AF29&gt;0,'Section Load'!AF29,0))</f>
        <v>289.66999999999825</v>
      </c>
      <c r="AF26" s="294">
        <f>(IF('Section Load'!AG29&gt;0,'Section Load'!AG29,0))</f>
        <v>646.51000000000931</v>
      </c>
      <c r="AG26" s="294">
        <f>(IF('Section Load'!AH29&gt;0,'Section Load'!AH29,0))</f>
        <v>49.580000000001746</v>
      </c>
      <c r="AH26" s="294">
        <f>(IF('Section Load'!AI29&gt;0,'Section Load'!AI29,0))</f>
        <v>391.61000000000058</v>
      </c>
      <c r="AI26" s="294">
        <f>(IF('Section Load'!AJ29&gt;0,'Section Load'!AJ29,0))</f>
        <v>414.80999999999767</v>
      </c>
      <c r="AJ26" s="294">
        <f>(IF('Section Load'!AK29&gt;0,'Section Load'!AK29,0))</f>
        <v>321.95000000001164</v>
      </c>
      <c r="AK26" s="294">
        <f>(IF('Section Load'!AL29&gt;0,'Section Load'!AL29,0))</f>
        <v>318.13000000000466</v>
      </c>
      <c r="AL26" s="294">
        <f>(IF('Section Load'!AM29&gt;0,'Section Load'!AM29,0))</f>
        <v>489</v>
      </c>
      <c r="AM26" s="295">
        <f>(IF('Water Report'!$AB$7&gt;0,'Water Report'!$AB$7,0))</f>
        <v>126.60000000003492</v>
      </c>
      <c r="AN26" s="295">
        <f>(IF('Water Report'!$AB$8&gt;0,'Water Report'!$AB$8,0))</f>
        <v>127</v>
      </c>
      <c r="AO26" s="295">
        <f>(IF('Water Report'!$AB$9&gt;0,'Water Report'!$AB$9,0))</f>
        <v>111</v>
      </c>
      <c r="AP26" s="295">
        <f>(IF('Water Report'!$AB$10&gt;0,'Water Report'!$AB$10,0))</f>
        <v>43</v>
      </c>
      <c r="AQ26" s="295">
        <f>(IF('Water Report'!$AB$11&gt;0,'Water Report'!$AB$11,0))</f>
        <v>19</v>
      </c>
      <c r="AR26" s="295">
        <f>(IF('Water Report'!$AB$13&gt;0,'Water Report'!$AB$13,0))</f>
        <v>14</v>
      </c>
      <c r="AS26" s="295">
        <f>(IF('Water Report'!$AB$14&gt;0,'Water Report'!$AB$14,0))</f>
        <v>4</v>
      </c>
      <c r="AT26" s="295">
        <f>(IF('Water Report'!$AB$15&gt;0,'Water Report'!$AB$15,0))</f>
        <v>5</v>
      </c>
      <c r="AU26" s="295">
        <f>(IF('Water Report'!$AB$17&gt;0,'Water Report'!$AB$17,0))</f>
        <v>4</v>
      </c>
      <c r="AV26" s="295">
        <f>(IF('Water Report'!$AB$18&gt;0,'Water Report'!$AB$18,0))</f>
        <v>10</v>
      </c>
      <c r="AW26" s="295">
        <f>(IF('Water Report'!$AB$19&gt;0,'Water Report'!$AB$19,0))</f>
        <v>15</v>
      </c>
      <c r="AX26" s="301">
        <f>(IF('Water Report'!$AB$21&gt;0,'Water Report'!$AB$21,0))</f>
        <v>132</v>
      </c>
      <c r="AY26" s="301">
        <f>(IF('Water Report'!$AB$22&gt;0,'Water Report'!$AB$22,0))</f>
        <v>0</v>
      </c>
      <c r="AZ26" s="301">
        <f>(IF('Water Report'!$AB$23&gt;0,'Water Report'!$AB$23,0))</f>
        <v>9</v>
      </c>
      <c r="BA26" s="301">
        <f>(IF('Water Report'!$AB$14&gt;0,'Water Report'!$AB$14,0))</f>
        <v>4</v>
      </c>
      <c r="BB26" s="301">
        <f>(IF('Water Report'!$AB$15&gt;0,'Water Report'!$AB$15,0))</f>
        <v>5</v>
      </c>
      <c r="BC26" s="301">
        <f>(IF('Water Report'!$AB$13&gt;0,'Water Report'!$AB$13,0))</f>
        <v>14</v>
      </c>
      <c r="BD26" s="301">
        <f>(IF('Water Report'!$AB$24&gt;0,'Water Report'!$AB$24,0))</f>
        <v>294</v>
      </c>
      <c r="BE26" s="301">
        <f>(IF('Water Report'!$AB$25&gt;0,'Water Report'!$AB$25,0))</f>
        <v>182</v>
      </c>
      <c r="BF26" s="301">
        <f>(IF('Water Report'!$AB$27&gt;0,'Water Report'!$AB$27,0))</f>
        <v>155</v>
      </c>
      <c r="BG26" s="296">
        <f>(IF('Section Load'!AN29&gt;0,'Section Load'!AN29,0))</f>
        <v>1187.8899999996647</v>
      </c>
      <c r="BH26" s="296">
        <f>(IF('Section Load'!AO29&gt;0,'Section Load'!AO29,0))</f>
        <v>347.3799999999992</v>
      </c>
      <c r="BI26" s="296">
        <f>(IF('Section Load'!AP29&gt;0,'Section Load'!AP29,0))</f>
        <v>0</v>
      </c>
      <c r="BJ26" s="296">
        <f>(IF('Section Load'!AQ29&gt;0,'Section Load'!AQ29,0))</f>
        <v>120</v>
      </c>
      <c r="BK26" s="296">
        <f>(IF('Section Load'!AR29&gt;0,'Section Load'!AR29,0))</f>
        <v>55</v>
      </c>
      <c r="BL26" s="296">
        <f>(IF('Section Load'!AS29&gt;0,'Section Load'!AS29,0))</f>
        <v>0</v>
      </c>
      <c r="BM26" s="296">
        <f>(IF('Section Load'!AT29&gt;0,'Section Load'!AT29,0))</f>
        <v>665.50999999966552</v>
      </c>
    </row>
    <row r="27" spans="1:65">
      <c r="A27" s="287" t="s">
        <v>268</v>
      </c>
      <c r="B27" s="288">
        <f t="shared" si="0"/>
        <v>26</v>
      </c>
      <c r="C27" s="288">
        <v>1</v>
      </c>
      <c r="D27" s="288">
        <v>2023</v>
      </c>
      <c r="E27" s="294">
        <f>(IF('Section Load'!F30&gt;0,'Section Load'!F30,0))</f>
        <v>2561.4200000000419</v>
      </c>
      <c r="F27" s="294">
        <f>(IF('Section Load'!G30&gt;0,'Section Load'!G30,0))</f>
        <v>1384.1500000000233</v>
      </c>
      <c r="G27" s="294">
        <f>(IF('Section Load'!H30&gt;0,'Section Load'!H30,0))</f>
        <v>2631.7000000000189</v>
      </c>
      <c r="H27" s="294">
        <f>(IF('Section Load'!I30&gt;0,'Section Load'!I30,0))</f>
        <v>2594.5</v>
      </c>
      <c r="I27" s="294">
        <f>(IF('Section Load'!J30&gt;0,'Section Load'!J30,0))</f>
        <v>2952.8300000000163</v>
      </c>
      <c r="J27" s="294">
        <f>(IF('Section Load'!K30&gt;0,'Section Load'!K30,0))</f>
        <v>2358.5700000000652</v>
      </c>
      <c r="K27" s="294">
        <f>(IF('Section Load'!L30&gt;0,'Section Load'!L30,0))</f>
        <v>1073.1899999999441</v>
      </c>
      <c r="L27" s="294">
        <f>(IF('Section Load'!M30&gt;0,'Section Load'!M30,0))</f>
        <v>1121.4699999999721</v>
      </c>
      <c r="M27" s="294">
        <f>(IF('Section Load'!N30&gt;0,'Section Load'!N30,0))</f>
        <v>100</v>
      </c>
      <c r="N27" s="294">
        <f>(IF('Section Load'!O30&gt;0,'Section Load'!O30,0))</f>
        <v>149</v>
      </c>
      <c r="O27" s="294">
        <f>(IF('Section Load'!P30&gt;0,'Section Load'!P30,0))</f>
        <v>20.720000000000255</v>
      </c>
      <c r="P27" s="294">
        <f>(IF('Section Load'!Q30&gt;0,'Section Load'!Q30,0))</f>
        <v>233.10000000000582</v>
      </c>
      <c r="Q27" s="294">
        <f>(IF('Section Load'!R30&gt;0,'Section Load'!R30,0))</f>
        <v>82.010000000002037</v>
      </c>
      <c r="R27" s="294">
        <f>(IF('Section Load'!S30&gt;0,'Section Load'!S30,0))</f>
        <v>270</v>
      </c>
      <c r="S27" s="294">
        <f>(IF('Section Load'!T30&gt;0,'Section Load'!T30,0))</f>
        <v>28</v>
      </c>
      <c r="T27" s="294">
        <f>(IF('Section Load'!U30&gt;0,'Section Load'!U30,0))</f>
        <v>256</v>
      </c>
      <c r="U27" s="294">
        <f>(IF('Section Load'!V30&gt;0,'Section Load'!V30,0))</f>
        <v>360.19999999995343</v>
      </c>
      <c r="V27" s="294">
        <f>(IF('Section Load'!W30&gt;0,'Section Load'!W30,0))</f>
        <v>452</v>
      </c>
      <c r="W27" s="294">
        <f>(IF('Section Load'!X30&gt;0,'Section Load'!X30,0))</f>
        <v>19.700000000000728</v>
      </c>
      <c r="X27" s="294">
        <f>(IF('Section Load'!Y30&gt;0,'Section Load'!Y30,0))</f>
        <v>234.10000000000582</v>
      </c>
      <c r="Y27" s="294">
        <f>(IF('Section Load'!Z30&gt;0,'Section Load'!Z30,0))</f>
        <v>290</v>
      </c>
      <c r="Z27" s="294">
        <f>(IF('Section Load'!AA30&gt;0,'Section Load'!AA30,0))</f>
        <v>62.760000000009313</v>
      </c>
      <c r="AA27" s="294">
        <f>(IF('Section Load'!AB30&gt;0,'Section Load'!AB30,0))</f>
        <v>16</v>
      </c>
      <c r="AB27" s="294">
        <f>(IF('Section Load'!AC30&gt;0,'Section Load'!AC30,0))</f>
        <v>4.9699999999975262</v>
      </c>
      <c r="AC27" s="294">
        <f>(IF('Section Load'!AD30&gt;0,'Section Load'!AD30,0))</f>
        <v>2.6000000000003638</v>
      </c>
      <c r="AD27" s="294">
        <f>(IF('Section Load'!AE30&gt;0,'Section Load'!AE30,0))</f>
        <v>228.54999999998836</v>
      </c>
      <c r="AE27" s="294">
        <f>(IF('Section Load'!AF30&gt;0,'Section Load'!AF30,0))</f>
        <v>266.39999999999418</v>
      </c>
      <c r="AF27" s="294">
        <f>(IF('Section Load'!AG30&gt;0,'Section Load'!AG30,0))</f>
        <v>596.70000000001164</v>
      </c>
      <c r="AG27" s="294">
        <f>(IF('Section Load'!AH30&gt;0,'Section Load'!AH30,0))</f>
        <v>50.099999999998545</v>
      </c>
      <c r="AH27" s="294">
        <f>(IF('Section Load'!AI30&gt;0,'Section Load'!AI30,0))</f>
        <v>383</v>
      </c>
      <c r="AI27" s="294">
        <f>(IF('Section Load'!AJ30&gt;0,'Section Load'!AJ30,0))</f>
        <v>397.29999999998836</v>
      </c>
      <c r="AJ27" s="294">
        <f>(IF('Section Load'!AK30&gt;0,'Section Load'!AK30,0))</f>
        <v>309.5</v>
      </c>
      <c r="AK27" s="294">
        <f>(IF('Section Load'!AL30&gt;0,'Section Load'!AL30,0))</f>
        <v>307.79999999998836</v>
      </c>
      <c r="AL27" s="294">
        <f>(IF('Section Load'!AM30&gt;0,'Section Load'!AM30,0))</f>
        <v>517</v>
      </c>
      <c r="AM27" s="295">
        <f>(IF('Water Report'!$AC$7&gt;0,'Water Report'!$AC$7,0))</f>
        <v>174.59999999997672</v>
      </c>
      <c r="AN27" s="295">
        <f>(IF('Water Report'!$AC$8&gt;0,'Water Report'!$AC$8,0))</f>
        <v>101</v>
      </c>
      <c r="AO27" s="295">
        <f>(IF('Water Report'!$AC$9&gt;0,'Water Report'!$AC$9,0))</f>
        <v>119</v>
      </c>
      <c r="AP27" s="295">
        <f>(IF('Water Report'!$AC$10&gt;0,'Water Report'!$AC$10,0))</f>
        <v>38</v>
      </c>
      <c r="AQ27" s="295">
        <f>(IF('Water Report'!$AC$11&gt;0,'Water Report'!$AC$11,0))</f>
        <v>34</v>
      </c>
      <c r="AR27" s="295">
        <f>(IF('Water Report'!$AC$13&gt;0,'Water Report'!$AC$13,0))</f>
        <v>9</v>
      </c>
      <c r="AS27" s="295">
        <f>(IF('Water Report'!$AC$14&gt;0,'Water Report'!$AC$14,0))</f>
        <v>26</v>
      </c>
      <c r="AT27" s="295">
        <f>(IF('Water Report'!$AC$15&gt;0,'Water Report'!$AC$15,0))</f>
        <v>7</v>
      </c>
      <c r="AU27" s="295">
        <f>(IF('Water Report'!$AC$17&gt;0,'Water Report'!$AC$17,0))</f>
        <v>0</v>
      </c>
      <c r="AV27" s="295">
        <f>(IF('Water Report'!$AC$18&gt;0,'Water Report'!$AC$18,0))</f>
        <v>10</v>
      </c>
      <c r="AW27" s="295">
        <f>(IF('Water Report'!$AC$19&gt;0,'Water Report'!$AC$19,0))</f>
        <v>13</v>
      </c>
      <c r="AX27" s="301">
        <f>(IF('Water Report'!$AC$21&gt;0,'Water Report'!$AC$21,0))</f>
        <v>93</v>
      </c>
      <c r="AY27" s="301">
        <f>(IF('Water Report'!$AC$22&gt;0,'Water Report'!$AC$22,0))</f>
        <v>0</v>
      </c>
      <c r="AZ27" s="301">
        <f>(IF('Water Report'!$AC$23&gt;0,'Water Report'!$AC$23,0))</f>
        <v>0</v>
      </c>
      <c r="BA27" s="301">
        <f>(IF('Water Report'!$AC$14&gt;0,'Water Report'!$AC$14,0))</f>
        <v>26</v>
      </c>
      <c r="BB27" s="301">
        <f>(IF('Water Report'!$AC$15&gt;0,'Water Report'!$AC$15,0))</f>
        <v>7</v>
      </c>
      <c r="BC27" s="301">
        <f>(IF('Water Report'!$AC$13&gt;0,'Water Report'!$AC$13,0))</f>
        <v>9</v>
      </c>
      <c r="BD27" s="301">
        <f>(IF('Water Report'!$AC$24&gt;0,'Water Report'!$AC$24,0))</f>
        <v>311</v>
      </c>
      <c r="BE27" s="301">
        <f>(IF('Water Report'!$AC$25&gt;0,'Water Report'!$AC$25,0))</f>
        <v>224</v>
      </c>
      <c r="BF27" s="301">
        <f>(IF('Water Report'!$AC$27&gt;0,'Water Report'!$AC$27,0))</f>
        <v>102</v>
      </c>
      <c r="BG27" s="296">
        <f>(IF('Section Load'!AN30&gt;0,'Section Load'!AN30,0))</f>
        <v>1156.3700000001118</v>
      </c>
      <c r="BH27" s="296">
        <f>(IF('Section Load'!AO30&gt;0,'Section Load'!AO30,0))</f>
        <v>341.6200000000008</v>
      </c>
      <c r="BI27" s="296">
        <f>(IF('Section Load'!AP30&gt;0,'Section Load'!AP30,0))</f>
        <v>0</v>
      </c>
      <c r="BJ27" s="296">
        <f>(IF('Section Load'!AQ30&gt;0,'Section Load'!AQ30,0))</f>
        <v>112</v>
      </c>
      <c r="BK27" s="296">
        <f>(IF('Section Load'!AR30&gt;0,'Section Load'!AR30,0))</f>
        <v>52.69999999999709</v>
      </c>
      <c r="BL27" s="296">
        <f>(IF('Section Load'!AS30&gt;0,'Section Load'!AS30,0))</f>
        <v>0</v>
      </c>
      <c r="BM27" s="296">
        <f>(IF('Section Load'!AT30&gt;0,'Section Load'!AT30,0))</f>
        <v>650.05000000011387</v>
      </c>
    </row>
    <row r="28" spans="1:65">
      <c r="A28" s="287" t="s">
        <v>268</v>
      </c>
      <c r="B28" s="288">
        <f t="shared" si="0"/>
        <v>27</v>
      </c>
      <c r="C28" s="288">
        <v>1</v>
      </c>
      <c r="D28" s="288">
        <v>2023</v>
      </c>
      <c r="E28" s="294">
        <f>(IF('Section Load'!F31&gt;0,'Section Load'!F31,0))</f>
        <v>2670.0799999999581</v>
      </c>
      <c r="F28" s="294">
        <f>(IF('Section Load'!G31&gt;0,'Section Load'!G31,0))</f>
        <v>1449.7799999999697</v>
      </c>
      <c r="G28" s="294">
        <f>(IF('Section Load'!H31&gt;0,'Section Load'!H31,0))</f>
        <v>2759.7600000000093</v>
      </c>
      <c r="H28" s="294">
        <f>(IF('Section Load'!I31&gt;0,'Section Load'!I31,0))</f>
        <v>2809.5999999999767</v>
      </c>
      <c r="I28" s="294">
        <f>(IF('Section Load'!J31&gt;0,'Section Load'!J31,0))</f>
        <v>3793.8399999999674</v>
      </c>
      <c r="J28" s="294">
        <f>(IF('Section Load'!K31&gt;0,'Section Load'!K31,0))</f>
        <v>2359.4399999999441</v>
      </c>
      <c r="K28" s="294">
        <f>(IF('Section Load'!L31&gt;0,'Section Load'!L31,0))</f>
        <v>1449.2800000000279</v>
      </c>
      <c r="L28" s="294">
        <f>(IF('Section Load'!M31&gt;0,'Section Load'!M31,0))</f>
        <v>1049.7200000000303</v>
      </c>
      <c r="M28" s="294">
        <f>(IF('Section Load'!N31&gt;0,'Section Load'!N31,0))</f>
        <v>112</v>
      </c>
      <c r="N28" s="294">
        <f>(IF('Section Load'!O31&gt;0,'Section Load'!O31,0))</f>
        <v>159</v>
      </c>
      <c r="O28" s="294">
        <f>(IF('Section Load'!P31&gt;0,'Section Load'!P31,0))</f>
        <v>21.420000000000073</v>
      </c>
      <c r="P28" s="294">
        <f>(IF('Section Load'!Q31&gt;0,'Section Load'!Q31,0))</f>
        <v>196.89999999999418</v>
      </c>
      <c r="Q28" s="294">
        <f>(IF('Section Load'!R31&gt;0,'Section Load'!R31,0))</f>
        <v>85.989999999997963</v>
      </c>
      <c r="R28" s="294">
        <f>(IF('Section Load'!S31&gt;0,'Section Load'!S31,0))</f>
        <v>270</v>
      </c>
      <c r="S28" s="294">
        <f>(IF('Section Load'!T31&gt;0,'Section Load'!T31,0))</f>
        <v>57</v>
      </c>
      <c r="T28" s="294">
        <f>(IF('Section Load'!U31&gt;0,'Section Load'!U31,0))</f>
        <v>258</v>
      </c>
      <c r="U28" s="294">
        <f>(IF('Section Load'!V31&gt;0,'Section Load'!V31,0))</f>
        <v>370</v>
      </c>
      <c r="V28" s="294">
        <f>(IF('Section Load'!W31&gt;0,'Section Load'!W31,0))</f>
        <v>341</v>
      </c>
      <c r="W28" s="294">
        <f>(IF('Section Load'!X31&gt;0,'Section Load'!X31,0))</f>
        <v>25.299999999999272</v>
      </c>
      <c r="X28" s="294">
        <f>(IF('Section Load'!Y31&gt;0,'Section Load'!Y31,0))</f>
        <v>247.97000000000116</v>
      </c>
      <c r="Y28" s="294">
        <f>(IF('Section Load'!Z31&gt;0,'Section Load'!Z31,0))</f>
        <v>331</v>
      </c>
      <c r="Z28" s="294">
        <f>(IF('Section Load'!AA31&gt;0,'Section Load'!AA31,0))</f>
        <v>100.14000000001397</v>
      </c>
      <c r="AA28" s="294">
        <f>(IF('Section Load'!AB31&gt;0,'Section Load'!AB31,0))</f>
        <v>35.099999999999909</v>
      </c>
      <c r="AB28" s="294">
        <f>(IF('Section Load'!AC31&gt;0,'Section Load'!AC31,0))</f>
        <v>5.9200000000018917</v>
      </c>
      <c r="AC28" s="294">
        <f>(IF('Section Load'!AD31&gt;0,'Section Load'!AD31,0))</f>
        <v>2.6999999999998181</v>
      </c>
      <c r="AD28" s="294">
        <f>(IF('Section Load'!AE31&gt;0,'Section Load'!AE31,0))</f>
        <v>484.27999999999884</v>
      </c>
      <c r="AE28" s="294">
        <f>(IF('Section Load'!AF31&gt;0,'Section Load'!AF31,0))</f>
        <v>275.51000000000931</v>
      </c>
      <c r="AF28" s="294">
        <f>(IF('Section Load'!AG31&gt;0,'Section Load'!AG31,0))</f>
        <v>577.00999999998021</v>
      </c>
      <c r="AG28" s="294">
        <f>(IF('Section Load'!AH31&gt;0,'Section Load'!AH31,0))</f>
        <v>48.25</v>
      </c>
      <c r="AH28" s="294">
        <f>(IF('Section Load'!AI31&gt;0,'Section Load'!AI31,0))</f>
        <v>387.72000000000116</v>
      </c>
      <c r="AI28" s="294">
        <f>(IF('Section Load'!AJ31&gt;0,'Section Load'!AJ31,0))</f>
        <v>435.89000000001397</v>
      </c>
      <c r="AJ28" s="294">
        <f>(IF('Section Load'!AK31&gt;0,'Section Load'!AK31,0))</f>
        <v>309.98999999999069</v>
      </c>
      <c r="AK28" s="294">
        <f>(IF('Section Load'!AL31&gt;0,'Section Load'!AL31,0))</f>
        <v>316.04000000000815</v>
      </c>
      <c r="AL28" s="294">
        <f>(IF('Section Load'!AM31&gt;0,'Section Load'!AM31,0))</f>
        <v>437</v>
      </c>
      <c r="AM28" s="295">
        <f>(IF('Water Report'!$AD$7&gt;0,'Water Report'!$AD$7,0))</f>
        <v>143</v>
      </c>
      <c r="AN28" s="295">
        <f>(IF('Water Report'!$AD$8&gt;0,'Water Report'!$AD$8,0))</f>
        <v>105</v>
      </c>
      <c r="AO28" s="295">
        <f>(IF('Water Report'!$AD$9&gt;0,'Water Report'!$AD$9,0))</f>
        <v>116</v>
      </c>
      <c r="AP28" s="295">
        <f>(IF('Water Report'!$AD$10&gt;0,'Water Report'!AD$10,0))</f>
        <v>45</v>
      </c>
      <c r="AQ28" s="295">
        <f>(IF('Water Report'!$AD$11&gt;0,'Water Report'!AE$11,0))</f>
        <v>19</v>
      </c>
      <c r="AR28" s="295">
        <f>(IF('Water Report'!$AD$13&gt;0,'Water Report'!AF$13,0))</f>
        <v>30</v>
      </c>
      <c r="AS28" s="295">
        <f>(IF('Water Report'!$AD$14&gt;0,'Water Report'!AG$14,0))</f>
        <v>10</v>
      </c>
      <c r="AT28" s="295">
        <f>(IF('Water Report'!$AD$15&gt;0,'Water Report'!AH$15,0))</f>
        <v>-233</v>
      </c>
      <c r="AU28" s="295">
        <f>(IF('Water Report'!$AD$17&gt;0,'Water Report'!AI$17,0))</f>
        <v>0</v>
      </c>
      <c r="AV28" s="295">
        <f>(IF('Water Report'!$AD$18&gt;0,'Water Report'!AJ$18,0))</f>
        <v>0</v>
      </c>
      <c r="AW28" s="295">
        <f>(IF('Water Report'!$AD$19&gt;0,'Water Report'!AK$19,0))</f>
        <v>0</v>
      </c>
      <c r="AX28" s="301">
        <f>(IF('Water Report'!$AD$21&gt;0,'Water Report'!AL$21,0))</f>
        <v>0</v>
      </c>
      <c r="AY28" s="301">
        <f>(IF('Water Report'!$AD$22&gt;0,'Water Report'!AM$22,0))</f>
        <v>0</v>
      </c>
      <c r="AZ28" s="301">
        <f>(IF('Water Report'!$AD$23&gt;0,'Water Report'!AN$23,0))</f>
        <v>0</v>
      </c>
      <c r="BA28" s="301">
        <f>(IF('Water Report'!$AD$14&gt;0,'Water Report'!AO$14,0))</f>
        <v>0</v>
      </c>
      <c r="BB28" s="301">
        <f>(IF('Water Report'!$AD$15&gt;0,'Water Report'!AP$15,0))</f>
        <v>0</v>
      </c>
      <c r="BC28" s="301">
        <f>(IF('Water Report'!$AD$13&gt;0,'Water Report'!AQ$13,0))</f>
        <v>0</v>
      </c>
      <c r="BD28" s="301">
        <f>(IF('Water Report'!$AD$24&gt;0,'Water Report'!AR$24,0))</f>
        <v>0</v>
      </c>
      <c r="BE28" s="301">
        <f>(IF('Water Report'!$AD$25&gt;0,'Water Report'!AS$25,0))</f>
        <v>0</v>
      </c>
      <c r="BF28" s="301">
        <f>(IF('Water Report'!$AD$27&gt;0,'Water Report'!AT$27,0))</f>
        <v>0</v>
      </c>
      <c r="BG28" s="296">
        <f>(IF('Section Load'!AN31&gt;0,'Section Load'!AN31,0))</f>
        <v>1160.8300000000745</v>
      </c>
      <c r="BH28" s="296">
        <f>(IF('Section Load'!AO31&gt;0,'Section Load'!AO31,0))</f>
        <v>281.54000000000087</v>
      </c>
      <c r="BI28" s="296">
        <f>(IF('Section Load'!AP31&gt;0,'Section Load'!AP31,0))</f>
        <v>0</v>
      </c>
      <c r="BJ28" s="296">
        <f>(IF('Section Load'!AQ31&gt;0,'Section Load'!AQ31,0))</f>
        <v>107</v>
      </c>
      <c r="BK28" s="296">
        <f>(IF('Section Load'!AR31&gt;0,'Section Load'!AR31,0))</f>
        <v>48.30000000000291</v>
      </c>
      <c r="BL28" s="296">
        <f>(IF('Section Load'!AS31&gt;0,'Section Load'!AS31,0))</f>
        <v>0</v>
      </c>
      <c r="BM28" s="296">
        <f>(IF('Section Load'!AT31&gt;0,'Section Load'!AT31,0))</f>
        <v>723.99000000007072</v>
      </c>
    </row>
    <row r="29" spans="1:65">
      <c r="A29" s="287" t="s">
        <v>268</v>
      </c>
      <c r="B29" s="288">
        <f t="shared" si="0"/>
        <v>28</v>
      </c>
      <c r="C29" s="288">
        <v>1</v>
      </c>
      <c r="D29" s="288">
        <v>2023</v>
      </c>
      <c r="E29" s="294">
        <f>(IF('Section Load'!F32&gt;0,'Section Load'!F32,0))</f>
        <v>2664.8399999999674</v>
      </c>
      <c r="F29" s="294">
        <f>(IF('Section Load'!G32&gt;0,'Section Load'!G32,0))</f>
        <v>1379.9000000000233</v>
      </c>
      <c r="G29" s="294">
        <f>(IF('Section Load'!H32&gt;0,'Section Load'!H32,0))</f>
        <v>2568.5599999999395</v>
      </c>
      <c r="H29" s="294">
        <f>(IF('Section Load'!I32&gt;0,'Section Load'!I32,0))</f>
        <v>2622.8000000000466</v>
      </c>
      <c r="I29" s="294">
        <f>(IF('Section Load'!J32&gt;0,'Section Load'!J32,0))</f>
        <v>3576.9000000000233</v>
      </c>
      <c r="J29" s="294">
        <f>(IF('Section Load'!K32&gt;0,'Section Load'!K32,0))</f>
        <v>2434.640000000014</v>
      </c>
      <c r="K29" s="294">
        <f>(IF('Section Load'!L32&gt;0,'Section Load'!L32,0))</f>
        <v>1196.5300000000279</v>
      </c>
      <c r="L29" s="294">
        <f>(IF('Section Load'!M32&gt;0,'Section Load'!M32,0))</f>
        <v>956.80999999999767</v>
      </c>
      <c r="M29" s="294">
        <f>(IF('Section Load'!N32&gt;0,'Section Load'!N32,0))</f>
        <v>105</v>
      </c>
      <c r="N29" s="294">
        <f>(IF('Section Load'!O32&gt;0,'Section Load'!O32,0))</f>
        <v>163</v>
      </c>
      <c r="O29" s="294">
        <f>(IF('Section Load'!P32&gt;0,'Section Load'!P32,0))</f>
        <v>19.4699999999998</v>
      </c>
      <c r="P29" s="294">
        <f>(IF('Section Load'!Q32&gt;0,'Section Load'!Q32,0))</f>
        <v>222.7100000000064</v>
      </c>
      <c r="Q29" s="294">
        <f>(IF('Section Load'!R32&gt;0,'Section Load'!R32,0))</f>
        <v>70.298999999999069</v>
      </c>
      <c r="R29" s="294">
        <f>(IF('Section Load'!S32&gt;0,'Section Load'!S32,0))</f>
        <v>79</v>
      </c>
      <c r="S29" s="294">
        <f>(IF('Section Load'!T32&gt;0,'Section Load'!T32,0))</f>
        <v>40</v>
      </c>
      <c r="T29" s="294">
        <f>(IF('Section Load'!U32&gt;0,'Section Load'!U32,0))</f>
        <v>280</v>
      </c>
      <c r="U29" s="294">
        <f>(IF('Section Load'!V32&gt;0,'Section Load'!V32,0))</f>
        <v>375.04000000003725</v>
      </c>
      <c r="V29" s="294">
        <f>(IF('Section Load'!W32&gt;0,'Section Load'!W32,0))</f>
        <v>390</v>
      </c>
      <c r="W29" s="294">
        <f>(IF('Section Load'!X32&gt;0,'Section Load'!X32,0))</f>
        <v>30.412000000000262</v>
      </c>
      <c r="X29" s="294">
        <f>(IF('Section Load'!Y32&gt;0,'Section Load'!Y32,0))</f>
        <v>259.93899999999849</v>
      </c>
      <c r="Y29" s="294">
        <f>(IF('Section Load'!Z32&gt;0,'Section Load'!Z32,0))</f>
        <v>310</v>
      </c>
      <c r="Z29" s="294">
        <f>(IF('Section Load'!AA32&gt;0,'Section Load'!AA32,0))</f>
        <v>58.5</v>
      </c>
      <c r="AA29" s="294">
        <f>(IF('Section Load'!AB32&gt;0,'Section Load'!AB32,0))</f>
        <v>26</v>
      </c>
      <c r="AB29" s="294">
        <f>(IF('Section Load'!AC32&gt;0,'Section Load'!AC32,0))</f>
        <v>4.4099999999998545</v>
      </c>
      <c r="AC29" s="294">
        <f>(IF('Section Load'!AD32&gt;0,'Section Load'!AD32,0))</f>
        <v>1.8000000000001819</v>
      </c>
      <c r="AD29" s="294">
        <f>(IF('Section Load'!AE32&gt;0,'Section Load'!AE32,0))</f>
        <v>376.55999999999767</v>
      </c>
      <c r="AE29" s="294">
        <f>(IF('Section Load'!AF32&gt;0,'Section Load'!AF32,0))</f>
        <v>239.41999999999825</v>
      </c>
      <c r="AF29" s="294">
        <f>(IF('Section Load'!AG32&gt;0,'Section Load'!AG32,0))</f>
        <v>614.83999999999651</v>
      </c>
      <c r="AG29" s="294">
        <f>(IF('Section Load'!AH32&gt;0,'Section Load'!AH32,0))</f>
        <v>43.249000000003434</v>
      </c>
      <c r="AH29" s="294">
        <f>(IF('Section Load'!AI32&gt;0,'Section Load'!AI32,0))</f>
        <v>345.13999999999942</v>
      </c>
      <c r="AI29" s="294">
        <f>(IF('Section Load'!AJ32&gt;0,'Section Load'!AJ32,0))</f>
        <v>400.20999999999185</v>
      </c>
      <c r="AJ29" s="294">
        <f>(IF('Section Load'!AK32&gt;0,'Section Load'!AK32,0))</f>
        <v>286.83999999999651</v>
      </c>
      <c r="AK29" s="294">
        <f>(IF('Section Load'!AL32&gt;0,'Section Load'!AL32,0))</f>
        <v>297.38700000000244</v>
      </c>
      <c r="AL29" s="294">
        <f>(IF('Section Load'!AM32&gt;0,'Section Load'!AM32,0))</f>
        <v>551</v>
      </c>
      <c r="AM29" s="295">
        <f>(IF('Water Report'!$AE$7&gt;0,'Water Report'!$AE$7,0))</f>
        <v>147</v>
      </c>
      <c r="AN29" s="295">
        <f>(IF('Water Report'!$AE$8&gt;0,'Water Report'!$AE$8,0))</f>
        <v>90</v>
      </c>
      <c r="AO29" s="295">
        <f>(IF('Water Report'!$AE$9&gt;0,'Water Report'!$AE$9,0))</f>
        <v>139</v>
      </c>
      <c r="AP29" s="295">
        <f>(IF('Water Report'!$AE$10&gt;0,'Water Report'!$AE$10,0))</f>
        <v>37</v>
      </c>
      <c r="AQ29" s="295">
        <f>(IF('Water Report'!$AE$11&gt;0,'Water Report'!$AE$11,0))</f>
        <v>19</v>
      </c>
      <c r="AR29" s="295">
        <f>(IF('Water Report'!$AE$13&gt;0,'Water Report'!$AE$13,0))</f>
        <v>15</v>
      </c>
      <c r="AS29" s="295">
        <f>(IF('Water Report'!$AE$14&gt;0,'Water Report'!$AE$14,0))</f>
        <v>23</v>
      </c>
      <c r="AT29" s="295">
        <f>(IF('Water Report'!$AE$15&gt;0,'Water Report'!$AE$15,0))</f>
        <v>5</v>
      </c>
      <c r="AU29" s="295">
        <f>(IF('Water Report'!$AE$17&gt;0,'Water Report'!$AE$17,0))</f>
        <v>0</v>
      </c>
      <c r="AV29" s="295">
        <f>(IF('Water Report'!$AE$18&gt;0,'Water Report'!$AE$18,0))</f>
        <v>9</v>
      </c>
      <c r="AW29" s="295">
        <f>(IF('Water Report'!$AE$19&gt;0,'Water Report'!$AE$19,0))</f>
        <v>17</v>
      </c>
      <c r="AX29" s="301">
        <f>(IF('Water Report'!$AE$21&gt;0,'Water Report'!$AE$21,0))</f>
        <v>87</v>
      </c>
      <c r="AY29" s="301">
        <f>(IF('Water Report'!$AE$22&gt;0,'Water Report'!$AE$22,0))</f>
        <v>0</v>
      </c>
      <c r="AZ29" s="301">
        <f>(IF('Water Report'!$AE$23&gt;0,'Water Report'!$AE$23,0))</f>
        <v>10</v>
      </c>
      <c r="BA29" s="301">
        <f>(IF('Water Report'!$AE$14&gt;0,'Water Report'!$AE$14,0))</f>
        <v>23</v>
      </c>
      <c r="BB29" s="301">
        <f>(IF('Water Report'!$AE$15&gt;0,'Water Report'!$AE$15,0))</f>
        <v>5</v>
      </c>
      <c r="BC29" s="301">
        <f>(IF('Water Report'!$AE$13&gt;0,'Water Report'!$AE$13,0))</f>
        <v>15</v>
      </c>
      <c r="BD29" s="301">
        <f>(IF('Water Report'!$AE$24&gt;0,'Water Report'!$AE$24,0))</f>
        <v>300</v>
      </c>
      <c r="BE29" s="301">
        <f>(IF('Water Report'!$AE$25&gt;0,'Water Report'!$AE$25,0))</f>
        <v>223</v>
      </c>
      <c r="BF29" s="301">
        <f>(IF('Water Report'!$AE$27&gt;0,'Water Report'!$AE$27,0))</f>
        <v>112</v>
      </c>
      <c r="BG29" s="296">
        <f>(IF('Section Load'!AN32&gt;0,'Section Load'!AN32,0))</f>
        <v>1214</v>
      </c>
      <c r="BH29" s="296">
        <f>(IF('Section Load'!AO32&gt;0,'Section Load'!AO32,0))</f>
        <v>336.45999999999913</v>
      </c>
      <c r="BI29" s="296">
        <f>(IF('Section Load'!AP32&gt;0,'Section Load'!AP32,0))</f>
        <v>0</v>
      </c>
      <c r="BJ29" s="296">
        <f>(IF('Section Load'!AQ32&gt;0,'Section Load'!AQ32,0))</f>
        <v>98.5</v>
      </c>
      <c r="BK29" s="296">
        <f>(IF('Section Load'!AR32&gt;0,'Section Load'!AR32,0))</f>
        <v>54</v>
      </c>
      <c r="BL29" s="296">
        <f>(IF('Section Load'!AS32&gt;0,'Section Load'!AS32,0))</f>
        <v>0</v>
      </c>
      <c r="BM29" s="296">
        <f>(IF('Section Load'!AT32&gt;0,'Section Load'!AT32,0))</f>
        <v>725.04000000000087</v>
      </c>
    </row>
    <row r="30" spans="1:65">
      <c r="A30" s="287" t="s">
        <v>268</v>
      </c>
      <c r="B30" s="288">
        <f t="shared" si="0"/>
        <v>29</v>
      </c>
      <c r="C30" s="288">
        <v>1</v>
      </c>
      <c r="D30" s="288">
        <v>2023</v>
      </c>
      <c r="E30" s="294">
        <f>(IF('Section Load'!F33&gt;0,'Section Load'!F33,0))</f>
        <v>3139.1200000001118</v>
      </c>
      <c r="F30" s="294">
        <f>(IF('Section Load'!G33&gt;0,'Section Load'!G33,0))</f>
        <v>1493.5599999999977</v>
      </c>
      <c r="G30" s="294">
        <f>(IF('Section Load'!H33&gt;0,'Section Load'!H33,0))</f>
        <v>2833.0100000000602</v>
      </c>
      <c r="H30" s="294">
        <f>(IF('Section Load'!I33&gt;0,'Section Load'!I33,0))</f>
        <v>2866.6899999999441</v>
      </c>
      <c r="I30" s="294">
        <f>(IF('Section Load'!J33&gt;0,'Section Load'!J33,0))</f>
        <v>3947.4899999999907</v>
      </c>
      <c r="J30" s="294">
        <f>(IF('Section Load'!K33&gt;0,'Section Load'!K33,0))</f>
        <v>2594.2399999999907</v>
      </c>
      <c r="K30" s="294">
        <f>(IF('Section Load'!L33&gt;0,'Section Load'!L33,0))</f>
        <v>1334.5899999999674</v>
      </c>
      <c r="L30" s="294">
        <f>(IF('Section Load'!M33&gt;0,'Section Load'!M33,0))</f>
        <v>831.59000000002561</v>
      </c>
      <c r="M30" s="294">
        <f>(IF('Section Load'!N33&gt;0,'Section Load'!N33,0))</f>
        <v>117</v>
      </c>
      <c r="N30" s="294">
        <f>(IF('Section Load'!O33&gt;0,'Section Load'!O33,0))</f>
        <v>150</v>
      </c>
      <c r="O30" s="294">
        <f>(IF('Section Load'!P33&gt;0,'Section Load'!P33,0))</f>
        <v>19.080000000000382</v>
      </c>
      <c r="P30" s="294">
        <f>(IF('Section Load'!Q33&gt;0,'Section Load'!Q33,0))</f>
        <v>245.11000000000058</v>
      </c>
      <c r="Q30" s="294">
        <f>(IF('Section Load'!R33&gt;0,'Section Load'!R33,0))</f>
        <v>76.701000000000931</v>
      </c>
      <c r="R30" s="294">
        <f>(IF('Section Load'!S33&gt;0,'Section Load'!S33,0))</f>
        <v>151</v>
      </c>
      <c r="S30" s="294">
        <f>(IF('Section Load'!T33&gt;0,'Section Load'!T33,0))</f>
        <v>36</v>
      </c>
      <c r="T30" s="294">
        <f>(IF('Section Load'!U33&gt;0,'Section Load'!U33,0))</f>
        <v>268</v>
      </c>
      <c r="U30" s="294">
        <f>(IF('Section Load'!V33&gt;0,'Section Load'!V33,0))</f>
        <v>410</v>
      </c>
      <c r="V30" s="294">
        <f>(IF('Section Load'!W33&gt;0,'Section Load'!W33,0))</f>
        <v>318.43999999994412</v>
      </c>
      <c r="W30" s="294">
        <f>(IF('Section Load'!X33&gt;0,'Section Load'!X33,0))</f>
        <v>30.528000000000247</v>
      </c>
      <c r="X30" s="294">
        <f>(IF('Section Load'!Y33&gt;0,'Section Load'!Y33,0))</f>
        <v>276.99099999999453</v>
      </c>
      <c r="Y30" s="294">
        <f>(IF('Section Load'!Z33&gt;0,'Section Load'!Z33,0))</f>
        <v>328</v>
      </c>
      <c r="Z30" s="294">
        <f>(IF('Section Load'!AA33&gt;0,'Section Load'!AA33,0))</f>
        <v>64.399999999965075</v>
      </c>
      <c r="AA30" s="294">
        <f>(IF('Section Load'!AB33&gt;0,'Section Load'!AB33,0))</f>
        <v>21.5</v>
      </c>
      <c r="AB30" s="294">
        <f>(IF('Section Load'!AC33&gt;0,'Section Load'!AC33,0))</f>
        <v>10</v>
      </c>
      <c r="AC30" s="294">
        <f>(IF('Section Load'!AD33&gt;0,'Section Load'!AD33,0))</f>
        <v>2</v>
      </c>
      <c r="AD30" s="294">
        <f>(IF('Section Load'!AE33&gt;0,'Section Load'!AE33,0))</f>
        <v>552.16000000000349</v>
      </c>
      <c r="AE30" s="294">
        <f>(IF('Section Load'!AF33&gt;0,'Section Load'!AF33,0))</f>
        <v>290.36999999999534</v>
      </c>
      <c r="AF30" s="294">
        <f>(IF('Section Load'!AG33&gt;0,'Section Load'!AG33,0))</f>
        <v>628.20000000001164</v>
      </c>
      <c r="AG30" s="294">
        <f>(IF('Section Load'!AH33&gt;0,'Section Load'!AH33,0))</f>
        <v>43.300999999999476</v>
      </c>
      <c r="AH30" s="294">
        <f>(IF('Section Load'!AI33&gt;0,'Section Load'!AI33,0))</f>
        <v>377.97999999999593</v>
      </c>
      <c r="AI30" s="294">
        <f>(IF('Section Load'!AJ33&gt;0,'Section Load'!AJ33,0))</f>
        <v>423.67999999999302</v>
      </c>
      <c r="AJ30" s="294">
        <f>(IF('Section Load'!AK33&gt;0,'Section Load'!AK33,0))</f>
        <v>324.57000000000698</v>
      </c>
      <c r="AK30" s="294">
        <f>(IF('Section Load'!AL33&gt;0,'Section Load'!AL33,0))</f>
        <v>318.86000000000058</v>
      </c>
      <c r="AL30" s="294">
        <f>(IF('Section Load'!AM33&gt;0,'Section Load'!AM33,0))</f>
        <v>541</v>
      </c>
      <c r="AM30" s="295">
        <f>(IF('Water Report'!$AF$7&gt;0,'Water Report'!$AF$7,0))</f>
        <v>165</v>
      </c>
      <c r="AN30" s="295">
        <f>(IF('Water Report'!$AF$8&gt;0,'Water Report'!$AF$8,0))</f>
        <v>103</v>
      </c>
      <c r="AO30" s="295">
        <f>(IF('Water Report'!$AF$9&gt;0,'Water Report'!$AF$9,0))</f>
        <v>119</v>
      </c>
      <c r="AP30" s="295">
        <f>(IF('Water Report'!$AF$10&gt;0,'Water Report'!$AF$10,0))</f>
        <v>39</v>
      </c>
      <c r="AQ30" s="295">
        <f>(IF('Water Report'!$AF$11&gt;0,'Water Report'!$AF$11,0))</f>
        <v>22</v>
      </c>
      <c r="AR30" s="295">
        <f>(IF('Water Report'!$AF$13&gt;0,'Water Report'!$AF$13,0))</f>
        <v>30</v>
      </c>
      <c r="AS30" s="295">
        <f>(IF('Water Report'!$AF$14&gt;0,'Water Report'!$AF$14,0))</f>
        <v>60</v>
      </c>
      <c r="AT30" s="295">
        <f>(IF('Water Report'!$AF$15&gt;0,'Water Report'!$AF$15,0))</f>
        <v>8</v>
      </c>
      <c r="AU30" s="295">
        <f>(IF('Water Report'!$AF$17&gt;0,'Water Report'!$AF$17,0))</f>
        <v>0</v>
      </c>
      <c r="AV30" s="295">
        <f>(IF('Water Report'!$AF$18&gt;0,'Water Report'!$AF$18,0))</f>
        <v>10</v>
      </c>
      <c r="AW30" s="295">
        <f>(IF('Water Report'!$AF$19&gt;0,'Water Report'!$AF$19,0))</f>
        <v>13</v>
      </c>
      <c r="AX30" s="301">
        <f>(IF('Water Report'!$AF$21&gt;0,'Water Report'!$AF$21,0))</f>
        <v>133</v>
      </c>
      <c r="AY30" s="301">
        <f>(IF('Water Report'!$AF$22&gt;0,'Water Report'!$AF$22,0))</f>
        <v>0</v>
      </c>
      <c r="AZ30" s="301">
        <f>(IF('Water Report'!$AF$23&gt;0,'Water Report'!$AF$23,0))</f>
        <v>0</v>
      </c>
      <c r="BA30" s="301">
        <f>(IF('Water Report'!$AF$14&gt;0,'Water Report'!$AF$14,0))</f>
        <v>60</v>
      </c>
      <c r="BB30" s="301">
        <f>(IF('Water Report'!$AF$15&gt;0,'Water Report'!$AF$15,0))</f>
        <v>8</v>
      </c>
      <c r="BC30" s="301">
        <f>(IF('Water Report'!$AF$13&gt;0,'Water Report'!$AF$13,0))</f>
        <v>30</v>
      </c>
      <c r="BD30" s="301">
        <f>(IF('Water Report'!$AF$24&gt;0,'Water Report'!$AF$24,0))</f>
        <v>316</v>
      </c>
      <c r="BE30" s="301">
        <f>(IF('Water Report'!$AF$25&gt;0,'Water Report'!$AF$25,0))</f>
        <v>248</v>
      </c>
      <c r="BF30" s="301">
        <f>(IF('Water Report'!$AF$27&gt;0,'Water Report'!$AF$27,0))</f>
        <v>163</v>
      </c>
      <c r="BG30" s="296">
        <f>(IF('Section Load'!AN33&gt;0,'Section Load'!AN33,0))</f>
        <v>1033.1000000000931</v>
      </c>
      <c r="BH30" s="296">
        <f>(IF('Section Load'!AO33&gt;0,'Section Load'!AO33,0))</f>
        <v>328.89999999999964</v>
      </c>
      <c r="BI30" s="296">
        <f>(IF('Section Load'!AP33&gt;0,'Section Load'!AP33,0))</f>
        <v>0</v>
      </c>
      <c r="BJ30" s="296">
        <f>(IF('Section Load'!AQ33&gt;0,'Section Load'!AQ33,0))</f>
        <v>102.5</v>
      </c>
      <c r="BK30" s="296">
        <f>(IF('Section Load'!AR33&gt;0,'Section Load'!AR33,0))</f>
        <v>53.400000000001455</v>
      </c>
      <c r="BL30" s="296">
        <f>(IF('Section Load'!AS33&gt;0,'Section Load'!AS33,0))</f>
        <v>0</v>
      </c>
      <c r="BM30" s="296">
        <f>(IF('Section Load'!AT33&gt;0,'Section Load'!AT33,0))</f>
        <v>548.30000000009204</v>
      </c>
    </row>
    <row r="31" spans="1:65">
      <c r="A31" s="287" t="s">
        <v>268</v>
      </c>
      <c r="B31" s="288">
        <f t="shared" si="0"/>
        <v>30</v>
      </c>
      <c r="C31" s="288">
        <v>1</v>
      </c>
      <c r="D31" s="288">
        <v>2023</v>
      </c>
      <c r="E31" s="294">
        <f>(IF('Section Load'!F34&gt;0,'Section Load'!F34,0))</f>
        <v>2983.6499999999069</v>
      </c>
      <c r="F31" s="294">
        <f>(IF('Section Load'!G34&gt;0,'Section Load'!G34,0))</f>
        <v>1421.9599999999627</v>
      </c>
      <c r="G31" s="294">
        <f>(IF('Section Load'!H34&gt;0,'Section Load'!H34,0))</f>
        <v>2733.8799999999537</v>
      </c>
      <c r="H31" s="294">
        <f>(IF('Section Load'!I34&gt;0,'Section Load'!I34,0))</f>
        <v>2812</v>
      </c>
      <c r="I31" s="294">
        <f>(IF('Section Load'!J34&gt;0,'Section Load'!J34,0))</f>
        <v>3269.7200000000303</v>
      </c>
      <c r="J31" s="294">
        <f>(IF('Section Load'!K34&gt;0,'Section Load'!K34,0))</f>
        <v>2442.7200000000885</v>
      </c>
      <c r="K31" s="294">
        <f>(IF('Section Load'!L34&gt;0,'Section Load'!L34,0))</f>
        <v>1146.2399999999907</v>
      </c>
      <c r="L31" s="294">
        <f>(IF('Section Load'!M34&gt;0,'Section Load'!M34,0))</f>
        <v>888.29999999998836</v>
      </c>
      <c r="M31" s="294">
        <f>(IF('Section Load'!N34&gt;0,'Section Load'!N34,0))</f>
        <v>121</v>
      </c>
      <c r="N31" s="294">
        <f>(IF('Section Load'!O34&gt;0,'Section Load'!O34,0))</f>
        <v>156</v>
      </c>
      <c r="O31" s="294">
        <f>(IF('Section Load'!P34&gt;0,'Section Load'!P34,0))</f>
        <v>15.960000000000036</v>
      </c>
      <c r="P31" s="294">
        <f>(IF('Section Load'!Q34&gt;0,'Section Load'!Q34,0))</f>
        <v>183.17999999999302</v>
      </c>
      <c r="Q31" s="294">
        <f>(IF('Section Load'!R34&gt;0,'Section Load'!R34,0))</f>
        <v>87.135000000002037</v>
      </c>
      <c r="R31" s="294">
        <f>(IF('Section Load'!S34&gt;0,'Section Load'!S34,0))</f>
        <v>206</v>
      </c>
      <c r="S31" s="294">
        <f>(IF('Section Load'!T34&gt;0,'Section Load'!T34,0))</f>
        <v>56</v>
      </c>
      <c r="T31" s="294">
        <f>(IF('Section Load'!U34&gt;0,'Section Load'!U34,0))</f>
        <v>287</v>
      </c>
      <c r="U31" s="294">
        <f>(IF('Section Load'!V34&gt;0,'Section Load'!V34,0))</f>
        <v>395.19999999995343</v>
      </c>
      <c r="V31" s="294">
        <f>(IF('Section Load'!W34&gt;0,'Section Load'!W34,0))</f>
        <v>311.76000000000931</v>
      </c>
      <c r="W31" s="294">
        <f>(IF('Section Load'!X34&gt;0,'Section Load'!X34,0))</f>
        <v>33.659999999999854</v>
      </c>
      <c r="X31" s="294">
        <f>(IF('Section Load'!Y34&gt;0,'Section Load'!Y34,0))</f>
        <v>268</v>
      </c>
      <c r="Y31" s="294">
        <f>(IF('Section Load'!Z34&gt;0,'Section Load'!Z34,0))</f>
        <v>312</v>
      </c>
      <c r="Z31" s="294">
        <f>(IF('Section Load'!AA34&gt;0,'Section Load'!AA34,0))</f>
        <v>130.55999999999767</v>
      </c>
      <c r="AA31" s="294">
        <f>(IF('Section Load'!AB34&gt;0,'Section Load'!AB34,0))</f>
        <v>34.600000000000136</v>
      </c>
      <c r="AB31" s="294">
        <f>(IF('Section Load'!AC34&gt;0,'Section Load'!AC34,0))</f>
        <v>10</v>
      </c>
      <c r="AC31" s="294">
        <f>(IF('Section Load'!AD34&gt;0,'Section Load'!AD34,0))</f>
        <v>1</v>
      </c>
      <c r="AD31" s="294">
        <f>(IF('Section Load'!AE34&gt;0,'Section Load'!AE34,0))</f>
        <v>509</v>
      </c>
      <c r="AE31" s="294">
        <f>(IF('Section Load'!AF34&gt;0,'Section Load'!AF34,0))</f>
        <v>257</v>
      </c>
      <c r="AF31" s="294">
        <f>(IF('Section Load'!AG34&gt;0,'Section Load'!AG34,0))</f>
        <v>627.25</v>
      </c>
      <c r="AG31" s="294">
        <f>(IF('Section Load'!AH34&gt;0,'Section Load'!AH34,0))</f>
        <v>40.910000000003492</v>
      </c>
      <c r="AH31" s="294">
        <f>(IF('Section Load'!AI34&gt;0,'Section Load'!AI34,0))</f>
        <v>368.63999999999942</v>
      </c>
      <c r="AI31" s="294">
        <f>(IF('Section Load'!AJ34&gt;0,'Section Load'!AJ34,0))</f>
        <v>455.04000000000815</v>
      </c>
      <c r="AJ31" s="294">
        <f>(IF('Section Load'!AK34&gt;0,'Section Load'!AK34,0))</f>
        <v>341</v>
      </c>
      <c r="AK31" s="294">
        <f>(IF('Section Load'!AL34&gt;0,'Section Load'!AL34,0))</f>
        <v>311.81299999999464</v>
      </c>
      <c r="AL31" s="294">
        <f>(IF('Section Load'!AM34&gt;0,'Section Load'!AM34,0))</f>
        <v>616</v>
      </c>
      <c r="AM31" s="295">
        <f>(IF('Water Report'!$AG$7&gt;0,'Water Report'!$AG$7,0))</f>
        <v>109</v>
      </c>
      <c r="AN31" s="295">
        <f>(IF('Water Report'!$AG$8&gt;0,'Water Report'!$AG$8,0))</f>
        <v>140</v>
      </c>
      <c r="AO31" s="295">
        <f>(IF('Water Report'!$AG$9&gt;0,'Water Report'!$AG$9,0))</f>
        <v>109</v>
      </c>
      <c r="AP31" s="295">
        <f>(IF('Water Report'!$AG$10&gt;0,'Water Report'!$DAG$10,0))</f>
        <v>0</v>
      </c>
      <c r="AQ31" s="295">
        <f>(IF('Water Report'!$AG$11&gt;0,'Water Report'!$DAG$11,0))</f>
        <v>0</v>
      </c>
      <c r="AR31" s="295">
        <f>(IF('Water Report'!$AG$13&gt;0,'Water Report'!$DAG$13,0))</f>
        <v>0</v>
      </c>
      <c r="AS31" s="295">
        <f>(IF('Water Report'!$AG$14&gt;0,'Water Report'!$DAG$14,0))</f>
        <v>0</v>
      </c>
      <c r="AT31" s="295">
        <f>(IF('Water Report'!$AG$15&gt;0,'Water Report'!$DAG$15,0))</f>
        <v>0</v>
      </c>
      <c r="AU31" s="295">
        <f>(IF('Water Report'!$AG$17&gt;0,'Water Report'!$DAG$17,0))</f>
        <v>0</v>
      </c>
      <c r="AV31" s="295">
        <f>(IF('Water Report'!$AG$18&gt;0,'Water Report'!$DAG$18,0))</f>
        <v>0</v>
      </c>
      <c r="AW31" s="295">
        <f>(IF('Water Report'!$AG$19&gt;0,'Water Report'!$DAG$19,0))</f>
        <v>0</v>
      </c>
      <c r="AX31" s="301">
        <f>(IF('Water Report'!$AG$21&gt;0,'Water Report'!$DAG$21,0))</f>
        <v>0</v>
      </c>
      <c r="AY31" s="301">
        <f>(IF('Water Report'!$AG$22&gt;0,'Water Report'!$DAG$22,0))</f>
        <v>0</v>
      </c>
      <c r="AZ31" s="301">
        <f>(IF('Water Report'!$AG$23&gt;0,'Water Report'!$DAG$23,0))</f>
        <v>0</v>
      </c>
      <c r="BA31" s="301">
        <f>(IF('Water Report'!$AG$14&gt;0,'Water Report'!$DAG$14,0))</f>
        <v>0</v>
      </c>
      <c r="BB31" s="301">
        <f>(IF('Water Report'!$AG$15&gt;0,'Water Report'!$DAG$15,0))</f>
        <v>0</v>
      </c>
      <c r="BC31" s="301">
        <f>(IF('Water Report'!$AG$13&gt;0,'Water Report'!$DAG$13,0))</f>
        <v>0</v>
      </c>
      <c r="BD31" s="301">
        <f>(IF('Water Report'!$AG$24&gt;0,'Water Report'!$DAG$24,0))</f>
        <v>0</v>
      </c>
      <c r="BE31" s="301">
        <f>(IF('Water Report'!$AG$25&gt;0,'Water Report'!$DAG$25,0))</f>
        <v>0</v>
      </c>
      <c r="BF31" s="301">
        <f>(IF('Water Report'!$AG$27&gt;0,'Water Report'!$DAG$27,0))</f>
        <v>0</v>
      </c>
      <c r="BG31" s="296">
        <f>(IF('Section Load'!AN34&gt;0,'Section Load'!AN34,0))</f>
        <v>1104.6529999999329</v>
      </c>
      <c r="BH31" s="296">
        <f>(IF('Section Load'!AO34&gt;0,'Section Load'!AO34,0))</f>
        <v>265.10000000000036</v>
      </c>
      <c r="BI31" s="296">
        <f>(IF('Section Load'!AP34&gt;0,'Section Load'!AP34,0))</f>
        <v>0</v>
      </c>
      <c r="BJ31" s="296">
        <f>(IF('Section Load'!AQ34&gt;0,'Section Load'!AQ34,0))</f>
        <v>110</v>
      </c>
      <c r="BK31" s="296">
        <f>(IF('Section Load'!AR34&gt;0,'Section Load'!AR34,0))</f>
        <v>57.599999999998545</v>
      </c>
      <c r="BL31" s="296">
        <f>(IF('Section Load'!AS34&gt;0,'Section Load'!AS34,0))</f>
        <v>0</v>
      </c>
      <c r="BM31" s="296">
        <f>(IF('Section Load'!AT34&gt;0,'Section Load'!AT34,0))</f>
        <v>671.95299999993404</v>
      </c>
    </row>
    <row r="32" spans="1:65">
      <c r="A32" s="287" t="s">
        <v>268</v>
      </c>
      <c r="B32" s="288">
        <f t="shared" si="0"/>
        <v>31</v>
      </c>
      <c r="C32" s="288">
        <v>1</v>
      </c>
      <c r="D32" s="288">
        <v>2023</v>
      </c>
      <c r="E32" s="294">
        <f>(IF('Section Load'!F35&gt;0,'Section Load'!F35,0))</f>
        <v>3323.890000000014</v>
      </c>
      <c r="F32" s="294">
        <f>(IF('Section Load'!G35&gt;0,'Section Load'!G35,0))</f>
        <v>1471.6500000000233</v>
      </c>
      <c r="G32" s="294">
        <f>(IF('Section Load'!H35&gt;0,'Section Load'!H35,0))</f>
        <v>2690.0900000000183</v>
      </c>
      <c r="H32" s="294">
        <f>(IF('Section Load'!I35&gt;0,'Section Load'!I35,0))</f>
        <v>2840.4400000000605</v>
      </c>
      <c r="I32" s="294">
        <f>(IF('Section Load'!J35&gt;0,'Section Load'!J35,0))</f>
        <v>4628.6999999999534</v>
      </c>
      <c r="J32" s="294">
        <f>(IF('Section Load'!K35&gt;0,'Section Load'!K35,0))</f>
        <v>2589.6899999999441</v>
      </c>
      <c r="K32" s="294">
        <f>(IF('Section Load'!L35&gt;0,'Section Load'!L35,0))</f>
        <v>1514.1700000000419</v>
      </c>
      <c r="L32" s="294">
        <f>(IF('Section Load'!M35&gt;0,'Section Load'!M35,0))</f>
        <v>1200.109999999986</v>
      </c>
      <c r="M32" s="294">
        <f>(IF('Section Load'!N35&gt;0,'Section Load'!N35,0))</f>
        <v>113</v>
      </c>
      <c r="N32" s="294">
        <f>(IF('Section Load'!O35&gt;0,'Section Load'!O35,0))</f>
        <v>171</v>
      </c>
      <c r="O32" s="294">
        <f>(IF('Section Load'!P35&gt;0,'Section Load'!P35,0))</f>
        <v>747.48999999999978</v>
      </c>
      <c r="P32" s="294">
        <f>(IF('Section Load'!Q35&gt;0,'Section Load'!Q35,0))</f>
        <v>278</v>
      </c>
      <c r="Q32" s="294">
        <f>(IF('Section Load'!R35&gt;0,'Section Load'!R35,0))</f>
        <v>90.864999999997963</v>
      </c>
      <c r="R32" s="294">
        <f>(IF('Section Load'!S35&gt;0,'Section Load'!S35,0))</f>
        <v>194</v>
      </c>
      <c r="S32" s="294">
        <f>(IF('Section Load'!T35&gt;0,'Section Load'!T35,0))</f>
        <v>45</v>
      </c>
      <c r="T32" s="294">
        <f>(IF('Section Load'!U35&gt;0,'Section Load'!U35,0))</f>
        <v>268</v>
      </c>
      <c r="U32" s="294">
        <f>(IF('Section Load'!V35&gt;0,'Section Load'!V35,0))</f>
        <v>368.64000000001397</v>
      </c>
      <c r="V32" s="294">
        <f>(IF('Section Load'!W35&gt;0,'Section Load'!W35,0))</f>
        <v>429.04000000003725</v>
      </c>
      <c r="W32" s="294">
        <f>(IF('Section Load'!X35&gt;0,'Section Load'!X35,0))</f>
        <v>32.399999999999636</v>
      </c>
      <c r="X32" s="294">
        <f>(IF('Section Load'!Y35&gt;0,'Section Load'!Y35,0))</f>
        <v>277.82000000000698</v>
      </c>
      <c r="Y32" s="294">
        <f>(IF('Section Load'!Z35&gt;0,'Section Load'!Z35,0))</f>
        <v>283</v>
      </c>
      <c r="Z32" s="294">
        <f>(IF('Section Load'!AA35&gt;0,'Section Load'!AA35,0))</f>
        <v>148.64000000001397</v>
      </c>
      <c r="AA32" s="294">
        <f>(IF('Section Load'!AB35&gt;0,'Section Load'!AB35,0))</f>
        <v>38.299999999999955</v>
      </c>
      <c r="AB32" s="294">
        <f>(IF('Section Load'!AC35&gt;0,'Section Load'!AC35,0))</f>
        <v>5</v>
      </c>
      <c r="AC32" s="294">
        <f>(IF('Section Load'!AD35&gt;0,'Section Load'!AD35,0))</f>
        <v>3</v>
      </c>
      <c r="AD32" s="294">
        <f>(IF('Section Load'!AE35&gt;0,'Section Load'!AE35,0))</f>
        <v>471</v>
      </c>
      <c r="AE32" s="294">
        <f>(IF('Section Load'!AF35&gt;0,'Section Load'!AF35,0))</f>
        <v>292.39900000000489</v>
      </c>
      <c r="AF32" s="294">
        <f>(IF('Section Load'!AG35&gt;0,'Section Load'!AG35,0))</f>
        <v>683.52999999999884</v>
      </c>
      <c r="AG32" s="294">
        <f>(IF('Section Load'!AH35&gt;0,'Section Load'!AH35,0))</f>
        <v>36.089999999996508</v>
      </c>
      <c r="AH32" s="294">
        <f>(IF('Section Load'!AI35&gt;0,'Section Load'!AI35,0))</f>
        <v>361.52000000000407</v>
      </c>
      <c r="AI32" s="294">
        <f>(IF('Section Load'!AJ35&gt;0,'Section Load'!AJ35,0))</f>
        <v>441.27999999999884</v>
      </c>
      <c r="AJ32" s="294">
        <f>(IF('Section Load'!AK35&gt;0,'Section Load'!AK35,0))</f>
        <v>294</v>
      </c>
      <c r="AK32" s="294">
        <f>(IF('Section Load'!AL35&gt;0,'Section Load'!AL35,0))</f>
        <v>310</v>
      </c>
      <c r="AL32" s="294">
        <f>(IF('Section Load'!AM35&gt;0,'Section Load'!AM35,0))</f>
        <v>693</v>
      </c>
      <c r="AM32" s="295">
        <f>(IF('Water Report'!$AH$7&gt;0,'Water Report'!$AH$7,0))</f>
        <v>165</v>
      </c>
      <c r="AN32" s="295">
        <f>(IF('Water Report'!$AH$8&gt;0,'Water Report'!$AH$8,0))</f>
        <v>90</v>
      </c>
      <c r="AO32" s="295">
        <f>(IF('Water Report'!$AH$9&gt;0,'Water Report'!$AH$9,0))</f>
        <v>137</v>
      </c>
      <c r="AP32" s="295">
        <f>(IF('Water Report'!$AH$10&gt;0,'Water Report'!$DAH$10,0))</f>
        <v>0</v>
      </c>
      <c r="AQ32" s="295" t="e">
        <f>(IF('Water Report'!$AH$11&gt;0,'Water Report'!$DAH$11,0))</f>
        <v>#VALUE!</v>
      </c>
      <c r="AR32" s="295">
        <f>(IF('Water Report'!$AH$13&gt;0,'Water Report'!$DAH$13,0))</f>
        <v>0</v>
      </c>
      <c r="AS32" s="295">
        <f>(IF('Water Report'!$AH$14&gt;0,'Water Report'!$DAH$14,0))</f>
        <v>0</v>
      </c>
      <c r="AT32" s="295">
        <f>(IF('Water Report'!$AH$15&gt;0,'Water Report'!$DAH$15,0))</f>
        <v>0</v>
      </c>
      <c r="AU32" s="295">
        <f>(IF('Water Report'!$AH$17&gt;0,'Water Report'!$DAH$17,0))</f>
        <v>0</v>
      </c>
      <c r="AV32" s="295">
        <f>(IF('Water Report'!$AH$18&gt;0,'Water Report'!$DAH$18,0))</f>
        <v>0</v>
      </c>
      <c r="AW32" s="295">
        <f>(IF('Water Report'!$AH$19&gt;0,'Water Report'!$DAH$19,0))</f>
        <v>0</v>
      </c>
      <c r="AX32" s="301">
        <f>(IF('Water Report'!$AH$21&gt;0,'Water Report'!$DAH$21,0))</f>
        <v>0</v>
      </c>
      <c r="AY32" s="301">
        <f>(IF('Water Report'!$AH$22&gt;0,'Water Report'!$DAH$22,0))</f>
        <v>0</v>
      </c>
      <c r="AZ32" s="301">
        <f>(IF('Water Report'!$AH$23&gt;0,'Water Report'!$DAH$23,0))</f>
        <v>0</v>
      </c>
      <c r="BA32" s="301">
        <f>(IF('Water Report'!$AH$14&gt;0,'Water Report'!$DAH$14,0))</f>
        <v>0</v>
      </c>
      <c r="BB32" s="301">
        <f>(IF('Water Report'!$AH$15&gt;0,'Water Report'!$DAH$15,0))</f>
        <v>0</v>
      </c>
      <c r="BC32" s="301">
        <f>(IF('Water Report'!$AH$13&gt;0,'Water Report'!$DAH$13,0))</f>
        <v>0</v>
      </c>
      <c r="BD32" s="301">
        <f>(IF('Water Report'!$AH$24&gt;0,'Water Report'!$DAH$24,0))</f>
        <v>0</v>
      </c>
      <c r="BE32" s="301" t="e">
        <f>(IF('Water Report'!$AH$25&gt;0,'Water Report'!$DAH$25,0))</f>
        <v>#VALUE!</v>
      </c>
      <c r="BF32" s="301">
        <f>(IF('Water Report'!$AH$27&gt;0,'Water Report'!$DAH$27,0))</f>
        <v>0</v>
      </c>
      <c r="BG32" s="296">
        <f>(IF('Section Load'!AN35&gt;0,'Section Load'!AN35,0))</f>
        <v>1110.9619999998249</v>
      </c>
      <c r="BH32" s="296">
        <f>(IF('Section Load'!AO35&gt;0,'Section Load'!AO35,0))</f>
        <v>334</v>
      </c>
      <c r="BI32" s="296">
        <f>(IF('Section Load'!AP35&gt;0,'Section Load'!AP35,0))</f>
        <v>0</v>
      </c>
      <c r="BJ32" s="296">
        <f>(IF('Section Load'!AQ35&gt;0,'Section Load'!AQ35,0))</f>
        <v>100</v>
      </c>
      <c r="BK32" s="296">
        <f>(IF('Section Load'!AR35&gt;0,'Section Load'!AR35,0))</f>
        <v>59</v>
      </c>
      <c r="BL32" s="296">
        <f>(IF('Section Load'!AS35&gt;0,'Section Load'!AS35,0))</f>
        <v>0</v>
      </c>
      <c r="BM32" s="296">
        <f>(IF('Section Load'!AT35&gt;0,'Section Load'!AT35,0))</f>
        <v>617.96199999982491</v>
      </c>
    </row>
    <row r="35" spans="45:45">
      <c r="AS35" s="31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41"/>
  <sheetViews>
    <sheetView zoomScale="70" zoomScaleNormal="70" workbookViewId="0">
      <pane xSplit="1" topLeftCell="B1" activePane="topRight" state="frozen"/>
      <selection activeCell="F104" sqref="F104"/>
      <selection pane="topRight" activeCell="V5" sqref="V5"/>
    </sheetView>
  </sheetViews>
  <sheetFormatPr defaultRowHeight="15.7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.44140625" customWidth="1"/>
    <col min="8" max="8" width="9" customWidth="1"/>
    <col min="9" max="9" width="7.21875" customWidth="1"/>
    <col min="10" max="10" width="12.21875" style="43" customWidth="1"/>
    <col min="11" max="11" width="6.88671875" style="43" customWidth="1"/>
    <col min="12" max="12" width="10" customWidth="1"/>
    <col min="13" max="13" width="6.109375" customWidth="1"/>
    <col min="14" max="14" width="8.6640625" style="43" customWidth="1"/>
    <col min="15" max="15" width="9.21875" customWidth="1"/>
    <col min="16" max="16" width="6.109375" customWidth="1"/>
    <col min="17" max="17" width="8.5546875" style="43" customWidth="1"/>
    <col min="18" max="18" width="11.5546875" style="43" customWidth="1"/>
    <col min="19" max="20" width="6.109375" customWidth="1"/>
    <col min="21" max="21" width="10.5546875" style="43" customWidth="1"/>
    <col min="22" max="22" width="9.109375" style="37" customWidth="1"/>
    <col min="23" max="23" width="7" style="37" customWidth="1"/>
    <col min="24" max="24" width="7.44140625" style="37" customWidth="1"/>
    <col min="25" max="25" width="8.33203125" style="37" customWidth="1"/>
    <col min="26" max="29" width="6" customWidth="1"/>
    <col min="31" max="31" width="9.88671875" customWidth="1"/>
    <col min="32" max="32" width="10.6640625" customWidth="1"/>
    <col min="33" max="33" width="5.88671875" customWidth="1"/>
    <col min="34" max="34" width="6.33203125" customWidth="1"/>
    <col min="35" max="35" width="5.5546875" customWidth="1"/>
    <col min="37" max="37" width="5.77734375" customWidth="1"/>
    <col min="38" max="38" width="5.44140625" customWidth="1"/>
    <col min="39" max="39" width="5.109375" customWidth="1"/>
    <col min="40" max="40" width="7" bestFit="1" customWidth="1"/>
    <col min="41" max="41" width="8" customWidth="1"/>
    <col min="42" max="42" width="7.5546875" bestFit="1" customWidth="1"/>
    <col min="43" max="43" width="6.109375" bestFit="1" customWidth="1"/>
    <col min="44" max="45" width="7.5546875" bestFit="1" customWidth="1"/>
    <col min="46" max="46" width="7.88671875" bestFit="1" customWidth="1"/>
    <col min="47" max="47" width="7.5546875" customWidth="1"/>
    <col min="48" max="48" width="8" customWidth="1"/>
    <col min="49" max="49" width="8.21875" bestFit="1" customWidth="1"/>
    <col min="50" max="51" width="7.109375" customWidth="1"/>
    <col min="52" max="52" width="8" customWidth="1"/>
    <col min="53" max="56" width="6.6640625" customWidth="1"/>
    <col min="57" max="57" width="8.44140625" customWidth="1"/>
    <col min="58" max="58" width="7.6640625" customWidth="1"/>
    <col min="59" max="59" width="6.6640625" customWidth="1"/>
    <col min="60" max="60" width="7.6640625" customWidth="1"/>
    <col min="61" max="61" width="7.44140625" customWidth="1"/>
    <col min="62" max="62" width="9" customWidth="1"/>
    <col min="63" max="65" width="8.77734375" customWidth="1"/>
    <col min="66" max="66" width="12.5546875" customWidth="1"/>
  </cols>
  <sheetData>
    <row r="1" spans="1:69" ht="21" thickBot="1">
      <c r="A1" s="760"/>
      <c r="B1" s="760"/>
      <c r="C1" s="760"/>
      <c r="D1" s="760"/>
      <c r="E1" s="760"/>
      <c r="F1" s="760"/>
      <c r="G1" s="760"/>
      <c r="H1" s="760"/>
      <c r="I1" s="760"/>
      <c r="J1" s="760"/>
      <c r="K1" s="760"/>
      <c r="L1" s="760"/>
      <c r="M1" s="760"/>
      <c r="N1" s="760"/>
      <c r="O1" s="760"/>
      <c r="P1" s="760"/>
      <c r="Q1" s="760"/>
      <c r="R1" s="760"/>
      <c r="S1" s="760"/>
      <c r="T1" s="760"/>
      <c r="U1" s="760"/>
      <c r="V1" s="760"/>
      <c r="W1" s="760"/>
      <c r="X1" s="760"/>
      <c r="Y1" s="760"/>
      <c r="Z1" s="760"/>
      <c r="AA1" s="760"/>
      <c r="AB1" s="760"/>
      <c r="AC1" s="760"/>
      <c r="AD1" s="760"/>
      <c r="AE1" s="760"/>
      <c r="AF1" s="760"/>
      <c r="AG1" s="760"/>
      <c r="AH1" s="760"/>
      <c r="AI1" s="760"/>
      <c r="AJ1" s="760"/>
      <c r="AK1" s="760"/>
      <c r="AL1" s="760"/>
      <c r="AM1" s="760"/>
      <c r="AN1" s="760"/>
      <c r="AO1" s="760"/>
      <c r="AP1" s="760"/>
      <c r="AQ1" s="760"/>
      <c r="AR1" s="760"/>
      <c r="AS1" s="760"/>
      <c r="AT1" s="760"/>
      <c r="AU1" s="760"/>
      <c r="AV1" s="760"/>
      <c r="AW1" s="760"/>
      <c r="AX1" s="760"/>
      <c r="AY1" s="760"/>
      <c r="AZ1" s="760"/>
      <c r="BA1" s="760"/>
      <c r="BB1" s="760"/>
      <c r="BC1" s="760"/>
      <c r="BD1" s="760"/>
      <c r="BE1" s="760"/>
      <c r="BF1" s="760"/>
      <c r="BG1" s="760"/>
      <c r="BH1" s="760"/>
      <c r="BI1" s="760"/>
      <c r="BJ1" s="760"/>
      <c r="BK1" s="760"/>
      <c r="BL1" s="760"/>
      <c r="BM1" s="760"/>
      <c r="BN1" s="760"/>
    </row>
    <row r="2" spans="1:69" ht="28.5" customHeight="1">
      <c r="A2" s="1" t="s">
        <v>0</v>
      </c>
      <c r="B2" s="1" t="s">
        <v>0</v>
      </c>
      <c r="C2" s="264" t="s">
        <v>1</v>
      </c>
      <c r="D2" s="2" t="s">
        <v>2</v>
      </c>
      <c r="E2" s="3" t="s">
        <v>3</v>
      </c>
      <c r="F2" s="84" t="s">
        <v>4</v>
      </c>
      <c r="G2" s="84"/>
      <c r="H2" s="761" t="s">
        <v>5</v>
      </c>
      <c r="I2" s="761"/>
      <c r="J2" s="761"/>
      <c r="K2" s="44"/>
      <c r="L2" s="762" t="s">
        <v>6</v>
      </c>
      <c r="M2" s="762"/>
      <c r="N2" s="762"/>
      <c r="O2" s="763" t="s">
        <v>7</v>
      </c>
      <c r="P2" s="763"/>
      <c r="Q2" s="763"/>
      <c r="R2" s="44" t="s">
        <v>8</v>
      </c>
      <c r="S2" s="764" t="s">
        <v>9</v>
      </c>
      <c r="T2" s="764"/>
      <c r="U2" s="764"/>
      <c r="V2" s="765" t="s">
        <v>10</v>
      </c>
      <c r="W2" s="766"/>
      <c r="X2" s="767"/>
      <c r="Y2" s="263"/>
      <c r="Z2" s="768" t="s">
        <v>11</v>
      </c>
      <c r="AA2" s="768"/>
      <c r="AB2" s="768"/>
      <c r="AC2" s="768"/>
      <c r="AD2" s="264"/>
      <c r="AE2" s="264" t="s">
        <v>12</v>
      </c>
      <c r="AF2" s="264" t="s">
        <v>13</v>
      </c>
      <c r="AG2" s="768" t="s">
        <v>14</v>
      </c>
      <c r="AH2" s="768"/>
      <c r="AI2" s="768"/>
      <c r="AJ2" s="264" t="s">
        <v>15</v>
      </c>
      <c r="AK2" s="768" t="s">
        <v>16</v>
      </c>
      <c r="AL2" s="768"/>
      <c r="AM2" s="768"/>
      <c r="AN2" s="264" t="s">
        <v>17</v>
      </c>
      <c r="AO2" s="5" t="s">
        <v>18</v>
      </c>
      <c r="AP2" s="769" t="s">
        <v>19</v>
      </c>
      <c r="AQ2" s="770"/>
      <c r="AR2" s="770"/>
      <c r="AS2" s="770"/>
      <c r="AT2" s="770"/>
      <c r="AU2" s="770"/>
      <c r="AV2" s="770"/>
      <c r="AW2" s="770"/>
      <c r="AX2" s="770"/>
      <c r="AY2" s="771"/>
      <c r="AZ2" s="769" t="s">
        <v>20</v>
      </c>
      <c r="BA2" s="770"/>
      <c r="BB2" s="770"/>
      <c r="BC2" s="770"/>
      <c r="BD2" s="770"/>
      <c r="BE2" s="770"/>
      <c r="BF2" s="770"/>
      <c r="BG2" s="770"/>
      <c r="BH2" s="770"/>
      <c r="BI2" s="85"/>
      <c r="BJ2" s="75"/>
      <c r="BK2" s="39"/>
      <c r="BL2" s="39"/>
      <c r="BM2" s="39"/>
      <c r="BN2" s="264" t="s">
        <v>21</v>
      </c>
      <c r="BP2" t="s">
        <v>22</v>
      </c>
    </row>
    <row r="3" spans="1:69" s="15" customFormat="1" ht="33.75">
      <c r="A3" s="6"/>
      <c r="B3" s="1"/>
      <c r="C3" s="7"/>
      <c r="D3" s="8"/>
      <c r="E3" s="9"/>
      <c r="F3" s="10" t="s">
        <v>23</v>
      </c>
      <c r="G3" s="10" t="s">
        <v>315</v>
      </c>
      <c r="H3" s="11" t="s">
        <v>314</v>
      </c>
      <c r="I3" s="11" t="s">
        <v>25</v>
      </c>
      <c r="J3" s="40" t="s">
        <v>26</v>
      </c>
      <c r="K3" s="40" t="s">
        <v>27</v>
      </c>
      <c r="L3" s="11" t="s">
        <v>28</v>
      </c>
      <c r="M3" s="11" t="s">
        <v>25</v>
      </c>
      <c r="N3" s="40" t="s">
        <v>26</v>
      </c>
      <c r="O3" s="11" t="s">
        <v>29</v>
      </c>
      <c r="P3" s="11" t="s">
        <v>25</v>
      </c>
      <c r="Q3" s="40" t="s">
        <v>26</v>
      </c>
      <c r="R3" s="40"/>
      <c r="S3" s="7" t="s">
        <v>30</v>
      </c>
      <c r="T3" s="7" t="s">
        <v>25</v>
      </c>
      <c r="U3" s="40" t="s">
        <v>26</v>
      </c>
      <c r="V3" s="11" t="s">
        <v>31</v>
      </c>
      <c r="W3" s="11" t="s">
        <v>32</v>
      </c>
      <c r="X3" s="11" t="s">
        <v>33</v>
      </c>
      <c r="Y3" s="11"/>
      <c r="Z3" s="12" t="s">
        <v>34</v>
      </c>
      <c r="AA3" s="12" t="s">
        <v>35</v>
      </c>
      <c r="AB3" s="12" t="s">
        <v>36</v>
      </c>
      <c r="AC3" s="12" t="s">
        <v>37</v>
      </c>
      <c r="AD3" s="12" t="s">
        <v>38</v>
      </c>
      <c r="AE3" s="12"/>
      <c r="AF3" s="12"/>
      <c r="AG3" s="12" t="s">
        <v>39</v>
      </c>
      <c r="AH3" s="12" t="s">
        <v>40</v>
      </c>
      <c r="AI3" s="12" t="s">
        <v>41</v>
      </c>
      <c r="AJ3" s="12"/>
      <c r="AK3" s="12" t="s">
        <v>42</v>
      </c>
      <c r="AL3" s="12" t="s">
        <v>43</v>
      </c>
      <c r="AM3" s="12"/>
      <c r="AN3" s="12"/>
      <c r="AO3" s="51"/>
      <c r="AP3" s="53" t="s">
        <v>44</v>
      </c>
      <c r="AQ3" s="13" t="s">
        <v>45</v>
      </c>
      <c r="AR3" s="13" t="s">
        <v>46</v>
      </c>
      <c r="AS3" s="13" t="s">
        <v>47</v>
      </c>
      <c r="AT3" s="13" t="s">
        <v>48</v>
      </c>
      <c r="AU3" s="13" t="s">
        <v>49</v>
      </c>
      <c r="AV3" s="13" t="s">
        <v>50</v>
      </c>
      <c r="AW3" s="13" t="s">
        <v>51</v>
      </c>
      <c r="AX3" s="13" t="s">
        <v>52</v>
      </c>
      <c r="AY3" s="54" t="s">
        <v>53</v>
      </c>
      <c r="AZ3" s="53" t="s">
        <v>54</v>
      </c>
      <c r="BA3" s="13" t="s">
        <v>55</v>
      </c>
      <c r="BB3" s="13" t="s">
        <v>46</v>
      </c>
      <c r="BC3" s="13" t="s">
        <v>56</v>
      </c>
      <c r="BD3" s="13" t="s">
        <v>57</v>
      </c>
      <c r="BE3" s="14" t="s">
        <v>58</v>
      </c>
      <c r="BF3" s="14" t="s">
        <v>59</v>
      </c>
      <c r="BG3" s="14" t="s">
        <v>51</v>
      </c>
      <c r="BH3" s="74" t="s">
        <v>60</v>
      </c>
      <c r="BI3" s="74"/>
      <c r="BJ3" s="14" t="s">
        <v>61</v>
      </c>
      <c r="BK3" s="14" t="s">
        <v>62</v>
      </c>
      <c r="BL3" s="14" t="s">
        <v>63</v>
      </c>
      <c r="BM3" s="14" t="s">
        <v>64</v>
      </c>
      <c r="BN3" s="12"/>
      <c r="BO3" s="15" t="s">
        <v>65</v>
      </c>
    </row>
    <row r="4" spans="1:69">
      <c r="A4" s="16">
        <v>1</v>
      </c>
      <c r="B4" s="17">
        <v>1</v>
      </c>
      <c r="C4" s="18"/>
      <c r="D4" s="19">
        <f>'1'!D3</f>
        <v>26</v>
      </c>
      <c r="E4" s="50">
        <f>'1'!D4</f>
        <v>0.78</v>
      </c>
      <c r="F4" s="50">
        <f>'1'!D2</f>
        <v>0.92</v>
      </c>
      <c r="G4" s="19">
        <f>'1'!G7</f>
        <v>20405</v>
      </c>
      <c r="H4" s="19">
        <f>'1'!G8</f>
        <v>21364</v>
      </c>
      <c r="I4" s="19">
        <v>9</v>
      </c>
      <c r="J4" s="49">
        <f>H4*I4</f>
        <v>192276</v>
      </c>
      <c r="K4" s="45">
        <f>H4/202</f>
        <v>105.76237623762377</v>
      </c>
      <c r="L4" s="19">
        <f>'1'!G15</f>
        <v>1177.1419999999925</v>
      </c>
      <c r="M4" s="19">
        <v>56.2</v>
      </c>
      <c r="N4" s="45">
        <f>L4*M4</f>
        <v>66155.380399999587</v>
      </c>
      <c r="O4" s="19">
        <f>'1'!G20</f>
        <v>278</v>
      </c>
      <c r="P4" s="19">
        <v>108</v>
      </c>
      <c r="Q4" s="46">
        <f t="shared" ref="Q4:Q33" si="0">O4*P4</f>
        <v>30024</v>
      </c>
      <c r="R4" s="47">
        <f t="shared" ref="R4:R34" si="1">O4/(F4*202/100)</f>
        <v>149.59104606112786</v>
      </c>
      <c r="S4" s="19">
        <f>'1'!G24</f>
        <v>0</v>
      </c>
      <c r="T4" s="19">
        <v>69</v>
      </c>
      <c r="U4" s="48">
        <f>S4*T4</f>
        <v>0</v>
      </c>
      <c r="V4" s="22">
        <f>'1'!G65</f>
        <v>127</v>
      </c>
      <c r="W4" s="22">
        <f>'1'!G66</f>
        <v>12</v>
      </c>
      <c r="X4" s="22">
        <f>'1'!G67</f>
        <v>32</v>
      </c>
      <c r="Y4" s="22">
        <f>V4+W4+X4</f>
        <v>171</v>
      </c>
      <c r="Z4" s="19">
        <f>'1'!G84</f>
        <v>0</v>
      </c>
      <c r="AA4" s="19">
        <f>'1'!G85</f>
        <v>23.850000000000364</v>
      </c>
      <c r="AB4" s="19">
        <f>'1'!G86</f>
        <v>0</v>
      </c>
      <c r="AC4" s="19">
        <f>'1'!G87</f>
        <v>0</v>
      </c>
      <c r="AD4" s="19">
        <f>Z4+AA4+AB4+AC4</f>
        <v>23.850000000000364</v>
      </c>
      <c r="AE4" s="23">
        <f t="shared" ref="AE4:AE33" si="2">AU4+AV4+BE4+BF4</f>
        <v>4210.539999999979</v>
      </c>
      <c r="AF4" s="23">
        <f>AE4/AD4</f>
        <v>176.54255765198803</v>
      </c>
      <c r="AG4" s="19">
        <f>'1'!G88</f>
        <v>6.0000000001309672E-2</v>
      </c>
      <c r="AH4" s="19">
        <f>'1'!G89</f>
        <v>12</v>
      </c>
      <c r="AI4" s="19">
        <f>'1'!G90</f>
        <v>13.700000000011642</v>
      </c>
      <c r="AJ4" s="19">
        <f>AG4+AH4+AI4</f>
        <v>25.760000000012951</v>
      </c>
      <c r="AK4" s="19">
        <f>'1'!G91</f>
        <v>0</v>
      </c>
      <c r="AL4" s="19">
        <f>'1'!G92</f>
        <v>11.360000000000582</v>
      </c>
      <c r="AM4" s="19"/>
      <c r="AN4" s="19">
        <f>AK4+AL4</f>
        <v>11.360000000000582</v>
      </c>
      <c r="AO4" s="52">
        <f>'1'!G74</f>
        <v>316</v>
      </c>
      <c r="AP4" s="55">
        <f>'1'!G35</f>
        <v>2959.359999999986</v>
      </c>
      <c r="AQ4" s="19">
        <f>'1'!G37</f>
        <v>1429.960000000021</v>
      </c>
      <c r="AR4" s="19">
        <f>'1'!G38</f>
        <v>420.88000000000466</v>
      </c>
      <c r="AS4" s="19">
        <f>'1'!G39</f>
        <v>2801.9899999999907</v>
      </c>
      <c r="AT4" s="19">
        <f>'1'!G40</f>
        <v>471.45999999999185</v>
      </c>
      <c r="AU4" s="19">
        <f>'1'!G41</f>
        <v>-1.0000000009313226E-2</v>
      </c>
      <c r="AV4" s="19">
        <f>'1'!G42</f>
        <v>4033.7600000000093</v>
      </c>
      <c r="AW4" s="19">
        <f>'1'!G43</f>
        <v>0</v>
      </c>
      <c r="AX4" s="19">
        <f>'1'!G44</f>
        <v>0</v>
      </c>
      <c r="AY4" s="56">
        <f>'1'!G36</f>
        <v>947.56999999994878</v>
      </c>
      <c r="AZ4" s="55">
        <f>'1'!G49</f>
        <v>505.65000000002328</v>
      </c>
      <c r="BA4" s="19">
        <f>'1'!G51</f>
        <v>0.44000000000232831</v>
      </c>
      <c r="BB4" s="19">
        <f>'1'!G52</f>
        <v>-0.24000000000000021</v>
      </c>
      <c r="BC4" s="19">
        <f>'1'!G53</f>
        <v>0</v>
      </c>
      <c r="BD4" s="19">
        <f>'1'!G54</f>
        <v>361.81999999999243</v>
      </c>
      <c r="BE4" s="19">
        <f>'1'!G55</f>
        <v>0</v>
      </c>
      <c r="BF4" s="19">
        <f>'1'!G56</f>
        <v>176.78999999997905</v>
      </c>
      <c r="BG4" s="19">
        <f>'1'!G57</f>
        <v>2505.3499999999767</v>
      </c>
      <c r="BH4" s="56">
        <f>'1'!G50</f>
        <v>1374.789999999979</v>
      </c>
      <c r="BI4" s="60">
        <f>SUM(AU4,AV4,BE4,BF4)</f>
        <v>4210.539999999979</v>
      </c>
      <c r="BJ4" s="60">
        <f>'1'!G133</f>
        <v>761</v>
      </c>
      <c r="BK4" s="23">
        <f>SUM(AP4,AU4,AV4,AW4,AZ4,BE4,BF4,BG4)/H4%</f>
        <v>47.654465455906973</v>
      </c>
      <c r="BL4" s="23">
        <f>SUM(AS4,BC4)/H4%</f>
        <v>13.115474630219017</v>
      </c>
      <c r="BM4" s="24">
        <f>(AR4+BB4)/H4</f>
        <v>1.9689196779629499E-2</v>
      </c>
      <c r="BN4" s="25">
        <f>J4+N4+Q4+U4</f>
        <v>288455.38039999956</v>
      </c>
      <c r="BO4" s="38">
        <f>SUM(AU4,AV4,AW4,BE4,BF4,BG4,BJ4)</f>
        <v>7476.8899999999558</v>
      </c>
      <c r="BP4">
        <f>BO4/(AD4*280)</f>
        <v>1.1196301287810484</v>
      </c>
      <c r="BQ4" s="38">
        <f>SUM(AU4,AV4,BE4,BF4)/(AD4*400)</f>
        <v>0.44135639412997013</v>
      </c>
    </row>
    <row r="5" spans="1:69">
      <c r="A5" s="16">
        <v>2</v>
      </c>
      <c r="B5" s="26">
        <v>2</v>
      </c>
      <c r="C5" s="26"/>
      <c r="D5" s="19">
        <f>'2'!D3</f>
        <v>28</v>
      </c>
      <c r="E5" s="50">
        <f>'2'!D4</f>
        <v>0.79</v>
      </c>
      <c r="F5" s="50">
        <f>'2'!D2</f>
        <v>0.46</v>
      </c>
      <c r="G5" s="19">
        <f>'2'!G7</f>
        <v>19914</v>
      </c>
      <c r="H5" s="19">
        <f>'2'!G8</f>
        <v>20873</v>
      </c>
      <c r="I5" s="19">
        <v>9</v>
      </c>
      <c r="J5" s="49">
        <f t="shared" ref="J5:J34" si="3">H5*I5</f>
        <v>187857</v>
      </c>
      <c r="K5" s="45">
        <f t="shared" ref="K5:K33" si="4">H5/202</f>
        <v>103.33168316831683</v>
      </c>
      <c r="L5" s="19">
        <f>'2'!G15</f>
        <v>1199.5</v>
      </c>
      <c r="M5" s="19">
        <v>56.2</v>
      </c>
      <c r="N5" s="45">
        <f t="shared" ref="N5:N33" si="5">L5*M5</f>
        <v>67411.900000000009</v>
      </c>
      <c r="O5" s="19">
        <f>'2'!G20</f>
        <v>278</v>
      </c>
      <c r="P5" s="19">
        <v>108</v>
      </c>
      <c r="Q5" s="46">
        <f t="shared" si="0"/>
        <v>30024</v>
      </c>
      <c r="R5" s="47">
        <f t="shared" si="1"/>
        <v>299.18209212225571</v>
      </c>
      <c r="S5" s="19">
        <f>'2'!G24</f>
        <v>0</v>
      </c>
      <c r="T5" s="19">
        <v>69</v>
      </c>
      <c r="U5" s="48">
        <f t="shared" ref="U5:U33" si="6">S5*T5</f>
        <v>0</v>
      </c>
      <c r="V5" s="22">
        <f>'2'!F65</f>
        <v>472281</v>
      </c>
      <c r="W5" s="22">
        <f>'2'!G66</f>
        <v>13</v>
      </c>
      <c r="X5" s="22">
        <f>'2'!G67</f>
        <v>22</v>
      </c>
      <c r="Y5" s="22">
        <f t="shared" ref="Y5:Y33" si="7">V5+W5+X5</f>
        <v>472316</v>
      </c>
      <c r="Z5" s="19">
        <f>'2'!G84</f>
        <v>0</v>
      </c>
      <c r="AA5" s="19">
        <f>'2'!G85</f>
        <v>24.199999999999818</v>
      </c>
      <c r="AB5" s="19">
        <f>'2'!G86</f>
        <v>0</v>
      </c>
      <c r="AC5" s="19">
        <f>'2'!G87</f>
        <v>0</v>
      </c>
      <c r="AD5" s="19">
        <f t="shared" ref="AD5:AD33" si="8">Z5+AA5+AB5+AC5</f>
        <v>24.199999999999818</v>
      </c>
      <c r="AE5" s="23">
        <f t="shared" si="2"/>
        <v>4203.2700000000768</v>
      </c>
      <c r="AF5" s="23">
        <f t="shared" ref="AF5:AF33" si="9">AE5/AD5</f>
        <v>173.68884297521109</v>
      </c>
      <c r="AG5" s="19">
        <f>'2'!G88</f>
        <v>3.8600000000005821</v>
      </c>
      <c r="AH5" s="19">
        <f>'2'!G89</f>
        <v>17.600000000002183</v>
      </c>
      <c r="AI5" s="19">
        <f>'2'!G90</f>
        <v>12.629999999990105</v>
      </c>
      <c r="AJ5" s="19">
        <f t="shared" ref="AJ5:AJ33" si="10">AG5+AH5+AI5</f>
        <v>34.08999999999287</v>
      </c>
      <c r="AK5" s="19">
        <f>'2'!G91</f>
        <v>0</v>
      </c>
      <c r="AL5" s="19">
        <f>'2'!G92</f>
        <v>9.9299999999993815</v>
      </c>
      <c r="AM5" s="19"/>
      <c r="AN5" s="19">
        <f t="shared" ref="AN5:AN33" si="11">AK5+AL5</f>
        <v>9.9299999999993815</v>
      </c>
      <c r="AO5" s="52">
        <f>'2'!G74</f>
        <v>359.82000000000016</v>
      </c>
      <c r="AP5" s="55">
        <f>'2'!G35</f>
        <v>2538.8800000000047</v>
      </c>
      <c r="AQ5" s="19">
        <f>'2'!G37</f>
        <v>1463.8800000000047</v>
      </c>
      <c r="AR5" s="19">
        <f>'2'!G38</f>
        <v>2497.2800000000279</v>
      </c>
      <c r="AS5" s="19">
        <f>'2'!G39</f>
        <v>2851.5600000000559</v>
      </c>
      <c r="AT5" s="19">
        <f>'2'!G40</f>
        <v>693.61999999999534</v>
      </c>
      <c r="AU5" s="19">
        <f>'2'!G41</f>
        <v>1.0000000009313226E-2</v>
      </c>
      <c r="AV5" s="19">
        <f>'2'!G42</f>
        <v>4202.5600000000559</v>
      </c>
      <c r="AW5" s="19">
        <f>'2'!G43</f>
        <v>0</v>
      </c>
      <c r="AX5" s="19">
        <f>'2'!G44</f>
        <v>0</v>
      </c>
      <c r="AY5" s="56">
        <f>'2'!G36</f>
        <v>989.76000000000931</v>
      </c>
      <c r="AZ5" s="55">
        <f>'2'!G49</f>
        <v>514.23999999999069</v>
      </c>
      <c r="BA5" s="19">
        <f>'2'!G51</f>
        <v>4.9999999988358468E-2</v>
      </c>
      <c r="BB5" s="19">
        <f>'2'!G52</f>
        <v>0</v>
      </c>
      <c r="BC5" s="19">
        <f>'2'!G53</f>
        <v>0</v>
      </c>
      <c r="BD5" s="19">
        <f>'2'!G54</f>
        <v>364.3700000000099</v>
      </c>
      <c r="BE5" s="19">
        <f>'2'!G55</f>
        <v>0</v>
      </c>
      <c r="BF5" s="19">
        <f>'2'!G56</f>
        <v>0.70000000001164153</v>
      </c>
      <c r="BG5" s="19">
        <f>'2'!G57</f>
        <v>2410.0800000000745</v>
      </c>
      <c r="BH5" s="56">
        <f>'2'!G50</f>
        <v>1219.7200000000303</v>
      </c>
      <c r="BI5" s="60">
        <f t="shared" ref="BI5:BI32" si="12">SUM(AU5,AV5,BE5,BF5)</f>
        <v>4203.2700000000768</v>
      </c>
      <c r="BJ5" s="60">
        <f>'2'!G133</f>
        <v>694</v>
      </c>
      <c r="BK5" s="23">
        <f t="shared" ref="BK5:BK33" si="13">SUM(AP5,AU5,AV5,AW5,AZ5,BE5,BF5,BG5)/H5%</f>
        <v>46.310880084320161</v>
      </c>
      <c r="BL5" s="23">
        <f t="shared" ref="BL5:BL33" si="14">SUM(AS5,BC5)/H5%</f>
        <v>13.661476548651637</v>
      </c>
      <c r="BM5" s="24">
        <f t="shared" ref="BM5:BM33" si="15">(AR5+BB5)/H5</f>
        <v>0.11964164231303732</v>
      </c>
      <c r="BN5" s="25">
        <f t="shared" ref="BN5:BN33" si="16">J5+N5+Q5+U5</f>
        <v>285292.90000000002</v>
      </c>
      <c r="BO5" s="38">
        <f t="shared" ref="BO5:BO35" si="17">SUM(AU5,AV5,AW5,BE5,BF5,BG5,BJ5)</f>
        <v>7307.3500000001513</v>
      </c>
      <c r="BP5">
        <f t="shared" ref="BP5:BP35" si="18">BO5/(AD5*280)</f>
        <v>1.078416469893773</v>
      </c>
    </row>
    <row r="6" spans="1:69">
      <c r="A6" s="16">
        <v>3</v>
      </c>
      <c r="B6" s="26">
        <v>3</v>
      </c>
      <c r="C6" s="26"/>
      <c r="D6" s="19">
        <f>'3'!D3</f>
        <v>28</v>
      </c>
      <c r="E6" s="50">
        <f>'3'!D4</f>
        <v>0.9</v>
      </c>
      <c r="F6" s="50">
        <f>'3'!D2</f>
        <v>0.8</v>
      </c>
      <c r="G6" s="19">
        <f>'3'!G7</f>
        <v>21700.800000000003</v>
      </c>
      <c r="H6" s="19">
        <f>'3'!G8</f>
        <v>21837</v>
      </c>
      <c r="I6" s="19">
        <v>9</v>
      </c>
      <c r="J6" s="49">
        <f t="shared" si="3"/>
        <v>196533</v>
      </c>
      <c r="K6" s="45">
        <f t="shared" si="4"/>
        <v>108.10396039603961</v>
      </c>
      <c r="L6" s="19">
        <f>'3'!G15</f>
        <v>1202</v>
      </c>
      <c r="M6" s="19">
        <v>56.2</v>
      </c>
      <c r="N6" s="45">
        <f t="shared" si="5"/>
        <v>67552.400000000009</v>
      </c>
      <c r="O6" s="19">
        <f>'3'!G20</f>
        <v>322</v>
      </c>
      <c r="P6" s="19">
        <v>108</v>
      </c>
      <c r="Q6" s="46">
        <f t="shared" si="0"/>
        <v>34776</v>
      </c>
      <c r="R6" s="47">
        <f t="shared" si="1"/>
        <v>199.25742574257421</v>
      </c>
      <c r="S6" s="19">
        <f>'3'!G24</f>
        <v>0</v>
      </c>
      <c r="T6" s="19">
        <v>69</v>
      </c>
      <c r="U6" s="48">
        <f t="shared" si="6"/>
        <v>0</v>
      </c>
      <c r="V6" s="22">
        <f>'3'!G65</f>
        <v>125</v>
      </c>
      <c r="W6" s="22">
        <f>'3'!G66</f>
        <v>12</v>
      </c>
      <c r="X6" s="22">
        <f>'3'!G67</f>
        <v>25</v>
      </c>
      <c r="Y6" s="22">
        <f>V6+W6+X6</f>
        <v>162</v>
      </c>
      <c r="Z6" s="19">
        <f>'3'!G84</f>
        <v>0</v>
      </c>
      <c r="AA6" s="19">
        <f>'3'!G85</f>
        <v>23.5</v>
      </c>
      <c r="AB6" s="19">
        <f>'3'!G86</f>
        <v>0</v>
      </c>
      <c r="AC6" s="19">
        <f>'3'!G87</f>
        <v>0</v>
      </c>
      <c r="AD6" s="19">
        <f t="shared" si="8"/>
        <v>23.5</v>
      </c>
      <c r="AE6" s="23">
        <f t="shared" si="2"/>
        <v>4668.1099999999278</v>
      </c>
      <c r="AF6" s="23">
        <f t="shared" si="9"/>
        <v>198.64297872340117</v>
      </c>
      <c r="AG6" s="19">
        <f>'3'!G88</f>
        <v>2.9799999999995634</v>
      </c>
      <c r="AH6" s="19">
        <f>'3'!G89</f>
        <v>10.399999999997817</v>
      </c>
      <c r="AI6" s="19">
        <f>'3'!G90</f>
        <v>11.290000000008149</v>
      </c>
      <c r="AJ6" s="19">
        <f t="shared" si="10"/>
        <v>24.67000000000553</v>
      </c>
      <c r="AK6" s="19">
        <f>'3'!G91</f>
        <v>0</v>
      </c>
      <c r="AL6" s="19">
        <f>'3'!G92</f>
        <v>13.660000000000764</v>
      </c>
      <c r="AM6" s="19"/>
      <c r="AN6" s="19">
        <f t="shared" si="11"/>
        <v>13.660000000000764</v>
      </c>
      <c r="AO6" s="52">
        <f>'3'!G74</f>
        <v>296.94000000000005</v>
      </c>
      <c r="AP6" s="55">
        <f>'3'!G35</f>
        <v>2965.7700000000186</v>
      </c>
      <c r="AQ6" s="19">
        <f>'3'!G37</f>
        <v>1407.9199999999837</v>
      </c>
      <c r="AR6" s="19">
        <f>'3'!G38</f>
        <v>2529.359999999986</v>
      </c>
      <c r="AS6" s="19">
        <f>'3'!G39</f>
        <v>2805.5199999999022</v>
      </c>
      <c r="AT6" s="19">
        <f>'3'!G40</f>
        <v>448.55999999999767</v>
      </c>
      <c r="AU6" s="19">
        <f>'3'!G41</f>
        <v>-0.41000000003259629</v>
      </c>
      <c r="AV6" s="19">
        <f>'3'!G42</f>
        <v>4669.109999999986</v>
      </c>
      <c r="AW6" s="19">
        <f>'3'!G43</f>
        <v>0</v>
      </c>
      <c r="AX6" s="19">
        <f>'3'!G44</f>
        <v>0</v>
      </c>
      <c r="AY6" s="56">
        <f>'3'!G36</f>
        <v>938.44000000000233</v>
      </c>
      <c r="AZ6" s="55">
        <f>'3'!G49</f>
        <v>522.10999999998603</v>
      </c>
      <c r="BA6" s="19">
        <f>'3'!G51</f>
        <v>-4.9999999988358468E-2</v>
      </c>
      <c r="BB6" s="19">
        <f>'3'!G52</f>
        <v>-9.9999999999997868E-3</v>
      </c>
      <c r="BC6" s="19">
        <f>'3'!G53</f>
        <v>-3.0000000027939677E-2</v>
      </c>
      <c r="BD6" s="19">
        <f>'3'!G54</f>
        <v>239.7899999999936</v>
      </c>
      <c r="BE6" s="19">
        <f>'3'!G55</f>
        <v>0</v>
      </c>
      <c r="BF6" s="19">
        <f>'3'!G56</f>
        <v>-0.59000000002561137</v>
      </c>
      <c r="BG6" s="19">
        <f>'3'!G57</f>
        <v>2365.6799999999348</v>
      </c>
      <c r="BH6" s="56">
        <f>'3'!G50</f>
        <v>1788.390000000014</v>
      </c>
      <c r="BI6" s="60">
        <f t="shared" si="12"/>
        <v>4668.1099999999278</v>
      </c>
      <c r="BJ6" s="60">
        <f>'3'!G133</f>
        <v>-645954.83000000007</v>
      </c>
      <c r="BK6" s="23">
        <f t="shared" si="13"/>
        <v>48.182763200072664</v>
      </c>
      <c r="BL6" s="23">
        <f t="shared" si="14"/>
        <v>12.847414937948775</v>
      </c>
      <c r="BM6" s="24">
        <f t="shared" si="15"/>
        <v>0.11582863946512735</v>
      </c>
      <c r="BN6" s="25">
        <f t="shared" si="16"/>
        <v>298861.40000000002</v>
      </c>
      <c r="BO6" s="38">
        <f t="shared" si="17"/>
        <v>-638921.04000000027</v>
      </c>
      <c r="BP6">
        <f t="shared" si="18"/>
        <v>-97.10046200607907</v>
      </c>
    </row>
    <row r="7" spans="1:69">
      <c r="A7" s="16">
        <v>4</v>
      </c>
      <c r="B7" s="27">
        <v>4</v>
      </c>
      <c r="C7" s="27"/>
      <c r="D7" s="19">
        <f>'4'!D3</f>
        <v>29</v>
      </c>
      <c r="E7" s="50">
        <f>'4'!D4</f>
        <v>0.9</v>
      </c>
      <c r="F7" s="50">
        <f>'4'!D2</f>
        <v>1</v>
      </c>
      <c r="G7" s="19">
        <f>'4'!G7</f>
        <v>21026.199999999997</v>
      </c>
      <c r="H7" s="19">
        <f>'4'!G8</f>
        <v>21196</v>
      </c>
      <c r="I7" s="19">
        <v>9</v>
      </c>
      <c r="J7" s="49">
        <f t="shared" si="3"/>
        <v>190764</v>
      </c>
      <c r="K7" s="45">
        <f t="shared" si="4"/>
        <v>104.93069306930693</v>
      </c>
      <c r="L7" s="19">
        <f>'4'!G15</f>
        <v>1072</v>
      </c>
      <c r="M7" s="19">
        <v>56.2</v>
      </c>
      <c r="N7" s="45">
        <f t="shared" si="5"/>
        <v>60246.400000000001</v>
      </c>
      <c r="O7" s="19">
        <f>'4'!G20</f>
        <v>267</v>
      </c>
      <c r="P7" s="19">
        <v>108</v>
      </c>
      <c r="Q7" s="46">
        <f t="shared" si="0"/>
        <v>28836</v>
      </c>
      <c r="R7" s="47">
        <f t="shared" si="1"/>
        <v>132.17821782178217</v>
      </c>
      <c r="S7" s="19">
        <f>'4'!G24</f>
        <v>0</v>
      </c>
      <c r="T7" s="19">
        <v>69</v>
      </c>
      <c r="U7" s="48">
        <f t="shared" si="6"/>
        <v>0</v>
      </c>
      <c r="V7" s="22">
        <f>'4'!G65</f>
        <v>102</v>
      </c>
      <c r="W7" s="22">
        <f>'4'!G66</f>
        <v>19</v>
      </c>
      <c r="X7" s="22">
        <f>'4'!G67</f>
        <v>19</v>
      </c>
      <c r="Y7" s="22">
        <f t="shared" si="7"/>
        <v>140</v>
      </c>
      <c r="Z7" s="19">
        <f>'4'!G84</f>
        <v>0</v>
      </c>
      <c r="AA7" s="19">
        <f>'4'!G85</f>
        <v>24</v>
      </c>
      <c r="AB7" s="19">
        <f>'4'!G86</f>
        <v>0</v>
      </c>
      <c r="AC7" s="19">
        <f>'4'!G87</f>
        <v>0</v>
      </c>
      <c r="AD7" s="19">
        <f t="shared" si="8"/>
        <v>24</v>
      </c>
      <c r="AE7" s="23">
        <f t="shared" si="2"/>
        <v>4497.0600000000559</v>
      </c>
      <c r="AF7" s="23">
        <f t="shared" si="9"/>
        <v>187.37750000000233</v>
      </c>
      <c r="AG7" s="19">
        <f>'4'!G88</f>
        <v>0</v>
      </c>
      <c r="AH7" s="19">
        <f>'4'!G89</f>
        <v>10.080000000001746</v>
      </c>
      <c r="AI7" s="19">
        <f>'4'!G90</f>
        <v>10.80000000000291</v>
      </c>
      <c r="AJ7" s="19">
        <f t="shared" si="10"/>
        <v>20.880000000004657</v>
      </c>
      <c r="AK7" s="19">
        <f>'4'!G91</f>
        <v>0</v>
      </c>
      <c r="AL7" s="19">
        <f>'4'!G92</f>
        <v>10.359999999999673</v>
      </c>
      <c r="AM7" s="19"/>
      <c r="AN7" s="19">
        <f t="shared" si="11"/>
        <v>10.359999999999673</v>
      </c>
      <c r="AO7" s="52">
        <f>'4'!G74</f>
        <v>303.23999999999978</v>
      </c>
      <c r="AP7" s="55">
        <f>'4'!G35</f>
        <v>2307</v>
      </c>
      <c r="AQ7" s="19">
        <f>'4'!G37</f>
        <v>1417.3699999999953</v>
      </c>
      <c r="AR7" s="19">
        <f>'4'!G38</f>
        <v>2404.1300000000047</v>
      </c>
      <c r="AS7" s="19">
        <f>'4'!G39</f>
        <v>2869.9300000000512</v>
      </c>
      <c r="AT7" s="19">
        <f>'4'!G40</f>
        <v>188.01000000000931</v>
      </c>
      <c r="AU7" s="19">
        <f>'4'!G41</f>
        <v>-9.9999999976716936E-2</v>
      </c>
      <c r="AV7" s="19">
        <f>'4'!G42</f>
        <v>4497.9000000000233</v>
      </c>
      <c r="AW7" s="19">
        <f>'4'!G43</f>
        <v>0</v>
      </c>
      <c r="AX7" s="19">
        <f>'4'!G44</f>
        <v>0</v>
      </c>
      <c r="AY7" s="56">
        <f>'4'!G36</f>
        <v>750.42999999999302</v>
      </c>
      <c r="AZ7" s="55">
        <f>'4'!G49</f>
        <v>507.84999999997672</v>
      </c>
      <c r="BA7" s="19">
        <f>'4'!G51</f>
        <v>-0.44000000000232831</v>
      </c>
      <c r="BB7" s="19">
        <f>'4'!G52</f>
        <v>0</v>
      </c>
      <c r="BC7" s="19">
        <f>'4'!G53</f>
        <v>0</v>
      </c>
      <c r="BD7" s="19">
        <f>'4'!G54</f>
        <v>479.33999999999651</v>
      </c>
      <c r="BE7" s="19">
        <f>'4'!G55</f>
        <v>-0.63000000000465661</v>
      </c>
      <c r="BF7" s="19">
        <f>'4'!G56</f>
        <v>-0.10999999998603016</v>
      </c>
      <c r="BG7" s="19">
        <f>'4'!G57</f>
        <v>2309.890000000014</v>
      </c>
      <c r="BH7" s="56">
        <f>'4'!G50</f>
        <v>1602.0999999999767</v>
      </c>
      <c r="BI7" s="60">
        <f t="shared" si="12"/>
        <v>4497.0600000000559</v>
      </c>
      <c r="BJ7" s="60">
        <f>'3'!G133</f>
        <v>-645954.83000000007</v>
      </c>
      <c r="BK7" s="23">
        <f t="shared" si="13"/>
        <v>45.394414040385193</v>
      </c>
      <c r="BL7" s="23">
        <f t="shared" si="14"/>
        <v>13.539960369881351</v>
      </c>
      <c r="BM7" s="24">
        <f t="shared" si="15"/>
        <v>0.11342375919984925</v>
      </c>
      <c r="BN7" s="25">
        <f t="shared" si="16"/>
        <v>279846.40000000002</v>
      </c>
      <c r="BO7" s="38">
        <f t="shared" si="17"/>
        <v>-639147.88</v>
      </c>
      <c r="BP7">
        <f t="shared" si="18"/>
        <v>-95.111291666666673</v>
      </c>
    </row>
    <row r="8" spans="1:69">
      <c r="A8" s="16">
        <v>5</v>
      </c>
      <c r="B8" s="27">
        <v>5</v>
      </c>
      <c r="C8" s="27"/>
      <c r="D8" s="19">
        <f>'5'!D3</f>
        <v>29</v>
      </c>
      <c r="E8" s="50">
        <f>'5'!D4</f>
        <v>0.7</v>
      </c>
      <c r="F8" s="50">
        <f>'5'!D2</f>
        <v>0.81</v>
      </c>
      <c r="G8" s="19">
        <f>'5'!G7</f>
        <v>20923</v>
      </c>
      <c r="H8" s="19">
        <f>'5'!G8</f>
        <v>21078</v>
      </c>
      <c r="I8" s="19">
        <v>9</v>
      </c>
      <c r="J8" s="49">
        <f t="shared" si="3"/>
        <v>189702</v>
      </c>
      <c r="K8" s="45">
        <f t="shared" si="4"/>
        <v>104.34653465346534</v>
      </c>
      <c r="L8" s="19">
        <f>'5'!G15</f>
        <v>1031</v>
      </c>
      <c r="M8" s="19">
        <v>56.2</v>
      </c>
      <c r="N8" s="45">
        <f t="shared" si="5"/>
        <v>57942.200000000004</v>
      </c>
      <c r="O8" s="19">
        <f>'5'!G20</f>
        <v>183</v>
      </c>
      <c r="P8" s="19">
        <v>108</v>
      </c>
      <c r="Q8" s="46">
        <f t="shared" si="0"/>
        <v>19764</v>
      </c>
      <c r="R8" s="47">
        <f t="shared" si="1"/>
        <v>111.84451778511183</v>
      </c>
      <c r="S8" s="19">
        <f>'5'!G24</f>
        <v>0</v>
      </c>
      <c r="T8" s="19">
        <v>69</v>
      </c>
      <c r="U8" s="48">
        <f t="shared" si="6"/>
        <v>0</v>
      </c>
      <c r="V8" s="22">
        <f>'5'!G65</f>
        <v>118</v>
      </c>
      <c r="W8" s="22">
        <f>'5'!G66</f>
        <v>13</v>
      </c>
      <c r="X8" s="22">
        <f>'5'!G67</f>
        <v>24</v>
      </c>
      <c r="Y8" s="22">
        <f t="shared" si="7"/>
        <v>155</v>
      </c>
      <c r="Z8" s="19">
        <f>'5'!G84</f>
        <v>0</v>
      </c>
      <c r="AA8" s="19">
        <f>'5'!G85</f>
        <v>24.479999999999563</v>
      </c>
      <c r="AB8" s="19">
        <f>'5'!G86</f>
        <v>0</v>
      </c>
      <c r="AC8" s="19">
        <f>'5'!G87</f>
        <v>0</v>
      </c>
      <c r="AD8" s="19">
        <f t="shared" si="8"/>
        <v>24.479999999999563</v>
      </c>
      <c r="AE8" s="23">
        <f t="shared" si="2"/>
        <v>4539.1999999999534</v>
      </c>
      <c r="AF8" s="23">
        <f t="shared" si="9"/>
        <v>185.42483660130858</v>
      </c>
      <c r="AG8" s="19">
        <f>'5'!G88</f>
        <v>0.5</v>
      </c>
      <c r="AH8" s="19">
        <f>'5'!G89</f>
        <v>9.5299999999988358</v>
      </c>
      <c r="AI8" s="19">
        <f>'5'!G90</f>
        <v>10.399999999994179</v>
      </c>
      <c r="AJ8" s="19">
        <f t="shared" si="10"/>
        <v>20.429999999993015</v>
      </c>
      <c r="AK8" s="19">
        <f>'5'!G91</f>
        <v>-0.21000000000003638</v>
      </c>
      <c r="AL8" s="19">
        <f>'5'!G92</f>
        <v>12</v>
      </c>
      <c r="AM8" s="19"/>
      <c r="AN8" s="19">
        <f t="shared" si="11"/>
        <v>11.789999999999964</v>
      </c>
      <c r="AO8" s="52">
        <f>'5'!G74</f>
        <v>303</v>
      </c>
      <c r="AP8" s="55">
        <f>'5'!G35</f>
        <v>2575</v>
      </c>
      <c r="AQ8" s="19">
        <f>'5'!G37</f>
        <v>1489</v>
      </c>
      <c r="AR8" s="19">
        <f>'5'!G38</f>
        <v>2509</v>
      </c>
      <c r="AS8" s="19">
        <f>'5'!G39</f>
        <v>2895</v>
      </c>
      <c r="AT8" s="19">
        <f>'5'!G40</f>
        <v>198</v>
      </c>
      <c r="AU8" s="19">
        <f>'5'!G41</f>
        <v>0</v>
      </c>
      <c r="AV8" s="19">
        <f>'5'!G42</f>
        <v>4539.1999999999534</v>
      </c>
      <c r="AW8" s="19">
        <f>'5'!G43</f>
        <v>0</v>
      </c>
      <c r="AX8" s="19">
        <f>'5'!G44</f>
        <v>0</v>
      </c>
      <c r="AY8" s="56">
        <f>'5'!G36</f>
        <v>820.90000000002328</v>
      </c>
      <c r="AZ8" s="55">
        <f>'5'!G49</f>
        <v>492</v>
      </c>
      <c r="BA8" s="19">
        <f>'5'!G51</f>
        <v>0</v>
      </c>
      <c r="BB8" s="19">
        <f>'5'!G52</f>
        <v>9.9999999999997868E-3</v>
      </c>
      <c r="BC8" s="19">
        <f>'5'!G53</f>
        <v>0</v>
      </c>
      <c r="BD8" s="19">
        <f>'5'!G54</f>
        <v>363.55000000000291</v>
      </c>
      <c r="BE8" s="19">
        <f>'5'!G55</f>
        <v>0</v>
      </c>
      <c r="BF8" s="19">
        <f>'5'!G56</f>
        <v>0</v>
      </c>
      <c r="BG8" s="19">
        <f>'5'!G57</f>
        <v>2309</v>
      </c>
      <c r="BH8" s="56">
        <f>'5'!G50</f>
        <v>1163</v>
      </c>
      <c r="BI8" s="60">
        <f t="shared" si="12"/>
        <v>4539.1999999999534</v>
      </c>
      <c r="BJ8" s="60">
        <f>'5'!G133</f>
        <v>-0.16999999998370185</v>
      </c>
      <c r="BK8" s="23">
        <f t="shared" si="13"/>
        <v>47.040516178005284</v>
      </c>
      <c r="BL8" s="23">
        <f t="shared" si="14"/>
        <v>13.734699686877313</v>
      </c>
      <c r="BM8" s="24">
        <f t="shared" si="15"/>
        <v>0.11903453838125061</v>
      </c>
      <c r="BN8" s="25">
        <f t="shared" si="16"/>
        <v>267408.2</v>
      </c>
      <c r="BO8" s="38">
        <f t="shared" si="17"/>
        <v>6848.0299999999697</v>
      </c>
      <c r="BP8">
        <f t="shared" si="18"/>
        <v>0.99907066993465388</v>
      </c>
    </row>
    <row r="9" spans="1:69">
      <c r="A9" s="16">
        <v>6</v>
      </c>
      <c r="B9" s="17">
        <v>6</v>
      </c>
      <c r="C9" s="26"/>
      <c r="D9" s="19">
        <f>'6'!D3</f>
        <v>25</v>
      </c>
      <c r="E9" s="50">
        <f>'6'!D4</f>
        <v>0.78</v>
      </c>
      <c r="F9" s="50">
        <f>'6'!D2</f>
        <v>0.8</v>
      </c>
      <c r="G9" s="19">
        <f>'6'!G7</f>
        <v>20388</v>
      </c>
      <c r="H9" s="19">
        <f>'6'!G8</f>
        <v>20586</v>
      </c>
      <c r="I9" s="19">
        <v>9</v>
      </c>
      <c r="J9" s="49">
        <f t="shared" si="3"/>
        <v>185274</v>
      </c>
      <c r="K9" s="45">
        <f t="shared" si="4"/>
        <v>101.91089108910892</v>
      </c>
      <c r="L9" s="19">
        <f>'6'!G15</f>
        <v>1061</v>
      </c>
      <c r="M9" s="19">
        <v>56.2</v>
      </c>
      <c r="N9" s="45">
        <f t="shared" si="5"/>
        <v>59628.200000000004</v>
      </c>
      <c r="O9" s="19">
        <f>'6'!G20</f>
        <v>306</v>
      </c>
      <c r="P9" s="19">
        <v>108</v>
      </c>
      <c r="Q9" s="46">
        <f t="shared" si="0"/>
        <v>33048</v>
      </c>
      <c r="R9" s="47">
        <f t="shared" si="1"/>
        <v>189.35643564356431</v>
      </c>
      <c r="S9" s="19">
        <f>'6'!G24</f>
        <v>0</v>
      </c>
      <c r="T9" s="19">
        <v>69</v>
      </c>
      <c r="U9" s="48">
        <f t="shared" si="6"/>
        <v>0</v>
      </c>
      <c r="V9" s="22">
        <f>'6'!G65</f>
        <v>146</v>
      </c>
      <c r="W9" s="22">
        <f>'6'!G66</f>
        <v>16</v>
      </c>
      <c r="X9" s="22">
        <f>'6'!G67</f>
        <v>30</v>
      </c>
      <c r="Y9" s="22">
        <f t="shared" si="7"/>
        <v>192</v>
      </c>
      <c r="Z9" s="19">
        <f>'6'!G84</f>
        <v>0</v>
      </c>
      <c r="AA9" s="19">
        <f>'6'!G85</f>
        <v>23.520000000000437</v>
      </c>
      <c r="AB9" s="19">
        <f>'6'!G86</f>
        <v>0</v>
      </c>
      <c r="AC9" s="19">
        <f>'6'!G87</f>
        <v>0</v>
      </c>
      <c r="AD9" s="19">
        <f t="shared" si="8"/>
        <v>23.520000000000437</v>
      </c>
      <c r="AE9" s="23">
        <f t="shared" si="2"/>
        <v>4307</v>
      </c>
      <c r="AF9" s="23">
        <f t="shared" si="9"/>
        <v>183.12074829931632</v>
      </c>
      <c r="AG9" s="19">
        <f>'6'!G88</f>
        <v>4</v>
      </c>
      <c r="AH9" s="19">
        <f>'6'!G89</f>
        <v>7</v>
      </c>
      <c r="AI9" s="19">
        <f>'6'!G90</f>
        <v>11</v>
      </c>
      <c r="AJ9" s="19">
        <f t="shared" si="10"/>
        <v>22</v>
      </c>
      <c r="AK9" s="19">
        <f>'6'!G91</f>
        <v>0</v>
      </c>
      <c r="AL9" s="19">
        <f>'6'!G92</f>
        <v>11</v>
      </c>
      <c r="AM9" s="19"/>
      <c r="AN9" s="19">
        <f t="shared" si="11"/>
        <v>11</v>
      </c>
      <c r="AO9" s="52">
        <f>'6'!G74</f>
        <v>307</v>
      </c>
      <c r="AP9" s="55">
        <f>'6'!G35</f>
        <v>2414</v>
      </c>
      <c r="AQ9" s="19">
        <f>'6'!G37</f>
        <v>1465</v>
      </c>
      <c r="AR9" s="19">
        <f>'6'!G38</f>
        <v>2505</v>
      </c>
      <c r="AS9" s="19">
        <f>'6'!G39</f>
        <v>2773</v>
      </c>
      <c r="AT9" s="19">
        <f>'6'!G40</f>
        <v>197</v>
      </c>
      <c r="AU9" s="19">
        <f>'6'!G41</f>
        <v>0</v>
      </c>
      <c r="AV9" s="19">
        <f>'6'!G42</f>
        <v>4307</v>
      </c>
      <c r="AW9" s="19">
        <f>'6'!G43</f>
        <v>0</v>
      </c>
      <c r="AX9" s="19">
        <f>'6'!G44</f>
        <v>0</v>
      </c>
      <c r="AY9" s="56">
        <f>'6'!G36</f>
        <v>849</v>
      </c>
      <c r="AZ9" s="55">
        <f>'6'!G49</f>
        <v>521</v>
      </c>
      <c r="BA9" s="19">
        <f>'6'!G51</f>
        <v>0</v>
      </c>
      <c r="BB9" s="19">
        <f>'6'!G52</f>
        <v>0</v>
      </c>
      <c r="BC9" s="19">
        <f>'6'!G53</f>
        <v>0</v>
      </c>
      <c r="BD9" s="19">
        <f>'6'!G54</f>
        <v>350</v>
      </c>
      <c r="BE9" s="19">
        <f>'6'!G55</f>
        <v>0</v>
      </c>
      <c r="BF9" s="19">
        <f>'6'!G56</f>
        <v>0</v>
      </c>
      <c r="BG9" s="19">
        <f>'6'!G57</f>
        <v>2270</v>
      </c>
      <c r="BH9" s="56">
        <f>'6'!G50</f>
        <v>1228</v>
      </c>
      <c r="BI9" s="60">
        <f t="shared" si="12"/>
        <v>4307</v>
      </c>
      <c r="BJ9" s="60">
        <f>'6'!G133</f>
        <v>0</v>
      </c>
      <c r="BK9" s="23">
        <f t="shared" si="13"/>
        <v>46.20615952589138</v>
      </c>
      <c r="BL9" s="23">
        <f t="shared" si="14"/>
        <v>13.470319634703195</v>
      </c>
      <c r="BM9" s="24">
        <f t="shared" si="15"/>
        <v>0.12168464004663364</v>
      </c>
      <c r="BN9" s="25">
        <f t="shared" si="16"/>
        <v>277950.2</v>
      </c>
      <c r="BO9" s="38">
        <f t="shared" si="17"/>
        <v>6577</v>
      </c>
      <c r="BP9">
        <f t="shared" si="18"/>
        <v>0.99869412050532647</v>
      </c>
    </row>
    <row r="10" spans="1:69">
      <c r="A10" s="16">
        <v>7</v>
      </c>
      <c r="B10" s="26">
        <v>7</v>
      </c>
      <c r="C10" s="27"/>
      <c r="D10" s="19">
        <f>'7'!D3</f>
        <v>28</v>
      </c>
      <c r="E10" s="50">
        <f>'7'!D4</f>
        <v>0.78</v>
      </c>
      <c r="F10" s="50">
        <f>'7'!D2</f>
        <v>0.84</v>
      </c>
      <c r="G10" s="19">
        <f>'7'!G7</f>
        <v>21411</v>
      </c>
      <c r="H10" s="19">
        <f>'7'!G8</f>
        <v>21581</v>
      </c>
      <c r="I10" s="19">
        <v>9</v>
      </c>
      <c r="J10" s="49">
        <f t="shared" si="3"/>
        <v>194229</v>
      </c>
      <c r="K10" s="45">
        <f t="shared" si="4"/>
        <v>106.83663366336634</v>
      </c>
      <c r="L10" s="19">
        <f>'7'!G15</f>
        <v>1141</v>
      </c>
      <c r="M10" s="19">
        <v>56.2</v>
      </c>
      <c r="N10" s="45">
        <f t="shared" si="5"/>
        <v>64124.200000000004</v>
      </c>
      <c r="O10" s="19">
        <f>'7'!G20</f>
        <v>224</v>
      </c>
      <c r="P10" s="19">
        <v>108</v>
      </c>
      <c r="Q10" s="46">
        <f t="shared" si="0"/>
        <v>24192</v>
      </c>
      <c r="R10" s="47">
        <f t="shared" si="1"/>
        <v>132.013201320132</v>
      </c>
      <c r="S10" s="19">
        <f>'7'!G24</f>
        <v>0</v>
      </c>
      <c r="T10" s="19">
        <v>69</v>
      </c>
      <c r="U10" s="48">
        <f t="shared" si="6"/>
        <v>0</v>
      </c>
      <c r="V10" s="22">
        <f>'7'!G65</f>
        <v>123</v>
      </c>
      <c r="W10" s="22">
        <f>'7'!G66</f>
        <v>20</v>
      </c>
      <c r="X10" s="22">
        <f>'7'!G67</f>
        <v>20</v>
      </c>
      <c r="Y10" s="22">
        <f t="shared" si="7"/>
        <v>163</v>
      </c>
      <c r="Z10" s="19">
        <f>'7'!G84</f>
        <v>0</v>
      </c>
      <c r="AA10" s="19">
        <f>'7'!G85</f>
        <v>24</v>
      </c>
      <c r="AB10" s="19">
        <f>'7'!G86</f>
        <v>0</v>
      </c>
      <c r="AC10" s="19">
        <f>'7'!G87</f>
        <v>0</v>
      </c>
      <c r="AD10" s="19">
        <f t="shared" si="8"/>
        <v>24</v>
      </c>
      <c r="AE10" s="23">
        <f t="shared" si="2"/>
        <v>4797</v>
      </c>
      <c r="AF10" s="23">
        <f t="shared" si="9"/>
        <v>199.875</v>
      </c>
      <c r="AG10" s="19">
        <f>'7'!G88</f>
        <v>2</v>
      </c>
      <c r="AH10" s="19">
        <f>'7'!G89</f>
        <v>10</v>
      </c>
      <c r="AI10" s="19">
        <f>'7'!G90</f>
        <v>11</v>
      </c>
      <c r="AJ10" s="19">
        <f t="shared" si="10"/>
        <v>23</v>
      </c>
      <c r="AK10" s="19">
        <f>'7'!G91</f>
        <v>0</v>
      </c>
      <c r="AL10" s="19">
        <f>'7'!G92</f>
        <v>10.760000000000218</v>
      </c>
      <c r="AM10" s="19"/>
      <c r="AN10" s="19">
        <f t="shared" si="11"/>
        <v>10.760000000000218</v>
      </c>
      <c r="AO10" s="52">
        <f>'7'!G74</f>
        <v>307</v>
      </c>
      <c r="AP10" s="55">
        <f>'7'!G35</f>
        <v>2461</v>
      </c>
      <c r="AQ10" s="19">
        <f>'7'!G37</f>
        <v>1528</v>
      </c>
      <c r="AR10" s="19">
        <f>'7'!G38</f>
        <v>2485</v>
      </c>
      <c r="AS10" s="19">
        <f>'7'!G39</f>
        <v>2864</v>
      </c>
      <c r="AT10" s="19">
        <f>'7'!G40</f>
        <v>231</v>
      </c>
      <c r="AU10" s="19">
        <f>'7'!G41</f>
        <v>0</v>
      </c>
      <c r="AV10" s="19">
        <f>'7'!G42</f>
        <v>4797</v>
      </c>
      <c r="AW10" s="19">
        <f>'7'!G43</f>
        <v>0</v>
      </c>
      <c r="AX10" s="19">
        <f>'7'!G44</f>
        <v>0</v>
      </c>
      <c r="AY10" s="56">
        <f>'7'!G36</f>
        <v>1091</v>
      </c>
      <c r="AZ10" s="55">
        <f>'7'!G49</f>
        <v>521</v>
      </c>
      <c r="BA10" s="19">
        <f>'7'!G51</f>
        <v>0</v>
      </c>
      <c r="BB10" s="19">
        <f>'7'!G52</f>
        <v>0</v>
      </c>
      <c r="BC10" s="19">
        <f>'7'!G53</f>
        <v>0</v>
      </c>
      <c r="BD10" s="19">
        <f>'7'!G54</f>
        <v>319</v>
      </c>
      <c r="BE10" s="19">
        <f>'7'!G55</f>
        <v>0</v>
      </c>
      <c r="BF10" s="19">
        <f>'7'!G56</f>
        <v>0</v>
      </c>
      <c r="BG10" s="19">
        <f>'7'!G57</f>
        <v>2251</v>
      </c>
      <c r="BH10" s="56">
        <f>'7'!G50</f>
        <v>1307</v>
      </c>
      <c r="BI10" s="60">
        <f t="shared" si="12"/>
        <v>4797</v>
      </c>
      <c r="BJ10" s="60">
        <f>'7'!G133</f>
        <v>0</v>
      </c>
      <c r="BK10" s="23">
        <f t="shared" si="13"/>
        <v>46.476066910708496</v>
      </c>
      <c r="BL10" s="23">
        <f t="shared" si="14"/>
        <v>13.270932764932116</v>
      </c>
      <c r="BM10" s="24">
        <f t="shared" si="15"/>
        <v>0.11514758352254298</v>
      </c>
      <c r="BN10" s="25">
        <f t="shared" si="16"/>
        <v>282545.2</v>
      </c>
      <c r="BO10" s="38">
        <f t="shared" si="17"/>
        <v>7048</v>
      </c>
      <c r="BP10">
        <f t="shared" si="18"/>
        <v>1.0488095238095239</v>
      </c>
    </row>
    <row r="11" spans="1:69">
      <c r="A11" s="16">
        <v>8</v>
      </c>
      <c r="B11" s="26">
        <v>8</v>
      </c>
      <c r="C11" s="18"/>
      <c r="D11" s="19">
        <f>'8'!D3</f>
        <v>26</v>
      </c>
      <c r="E11" s="50">
        <f>'8'!D4</f>
        <v>0.78</v>
      </c>
      <c r="F11" s="50">
        <f>'8'!D2</f>
        <v>0.74</v>
      </c>
      <c r="G11" s="19">
        <f>'8'!G7</f>
        <v>21381</v>
      </c>
      <c r="H11" s="19">
        <f>'8'!G8</f>
        <v>21598</v>
      </c>
      <c r="I11" s="19">
        <v>9</v>
      </c>
      <c r="J11" s="49">
        <f t="shared" si="3"/>
        <v>194382</v>
      </c>
      <c r="K11" s="45">
        <f t="shared" si="4"/>
        <v>106.92079207920793</v>
      </c>
      <c r="L11" s="19">
        <f>'8'!G15</f>
        <v>1112</v>
      </c>
      <c r="M11" s="19">
        <v>56.2</v>
      </c>
      <c r="N11" s="45">
        <f t="shared" si="5"/>
        <v>62494.400000000001</v>
      </c>
      <c r="O11" s="19">
        <f>'8'!G20</f>
        <v>297</v>
      </c>
      <c r="P11" s="19">
        <v>108</v>
      </c>
      <c r="Q11" s="46">
        <f t="shared" si="0"/>
        <v>32076</v>
      </c>
      <c r="R11" s="47">
        <f t="shared" si="1"/>
        <v>198.68878779769869</v>
      </c>
      <c r="S11" s="19">
        <f>'8'!G24</f>
        <v>0</v>
      </c>
      <c r="T11" s="19">
        <v>69</v>
      </c>
      <c r="U11" s="48">
        <f t="shared" si="6"/>
        <v>0</v>
      </c>
      <c r="V11" s="22">
        <f>'8'!G65</f>
        <v>115</v>
      </c>
      <c r="W11" s="22">
        <f>'8'!G66</f>
        <v>441</v>
      </c>
      <c r="X11" s="22">
        <f>'8'!G67</f>
        <v>23</v>
      </c>
      <c r="Y11" s="22">
        <f t="shared" si="7"/>
        <v>579</v>
      </c>
      <c r="Z11" s="19">
        <f>'8'!G84</f>
        <v>0</v>
      </c>
      <c r="AA11" s="19">
        <f>'8'!G85</f>
        <v>24</v>
      </c>
      <c r="AB11" s="19">
        <f>'8'!G86</f>
        <v>0</v>
      </c>
      <c r="AC11" s="19">
        <f>'8'!G87</f>
        <v>0</v>
      </c>
      <c r="AD11" s="19">
        <f t="shared" si="8"/>
        <v>24</v>
      </c>
      <c r="AE11" s="23">
        <f t="shared" si="2"/>
        <v>4796</v>
      </c>
      <c r="AF11" s="23">
        <f t="shared" si="9"/>
        <v>199.83333333333334</v>
      </c>
      <c r="AG11" s="19">
        <f>'8'!G88</f>
        <v>4</v>
      </c>
      <c r="AH11" s="19">
        <f>'8'!G89</f>
        <v>12</v>
      </c>
      <c r="AI11" s="19">
        <f>'8'!G90</f>
        <v>6.4400000000023283</v>
      </c>
      <c r="AJ11" s="19">
        <f t="shared" si="10"/>
        <v>22.440000000002328</v>
      </c>
      <c r="AK11" s="19">
        <f>'8'!G91</f>
        <v>0</v>
      </c>
      <c r="AL11" s="19">
        <f>'8'!G92</f>
        <v>11.239999999999782</v>
      </c>
      <c r="AM11" s="19"/>
      <c r="AN11" s="19">
        <f t="shared" si="11"/>
        <v>11.239999999999782</v>
      </c>
      <c r="AO11" s="52">
        <f>'8'!G74</f>
        <v>299</v>
      </c>
      <c r="AP11" s="55">
        <f>'8'!G35</f>
        <v>2488</v>
      </c>
      <c r="AQ11" s="19">
        <f>'8'!G37</f>
        <v>1552</v>
      </c>
      <c r="AR11" s="19">
        <f>'8'!G38</f>
        <v>2595</v>
      </c>
      <c r="AS11" s="19">
        <f>'8'!G39</f>
        <v>2814</v>
      </c>
      <c r="AT11" s="19">
        <f>'8'!G40</f>
        <v>66</v>
      </c>
      <c r="AU11" s="19">
        <f>'8'!G41</f>
        <v>0</v>
      </c>
      <c r="AV11" s="19">
        <f>'8'!G42</f>
        <v>4796</v>
      </c>
      <c r="AW11" s="19">
        <f>'8'!G43</f>
        <v>0</v>
      </c>
      <c r="AX11" s="23">
        <f>'8'!G44</f>
        <v>0</v>
      </c>
      <c r="AY11" s="56">
        <f>'8'!G36</f>
        <v>719</v>
      </c>
      <c r="AZ11" s="55">
        <f>'8'!G49</f>
        <v>523</v>
      </c>
      <c r="BA11" s="19">
        <f>'8'!G51</f>
        <v>0</v>
      </c>
      <c r="BB11" s="19">
        <f>'8'!G52</f>
        <v>0</v>
      </c>
      <c r="BC11" s="19">
        <f>'8'!G53</f>
        <v>0</v>
      </c>
      <c r="BD11" s="19">
        <f>'8'!G54</f>
        <v>325</v>
      </c>
      <c r="BE11" s="19">
        <f>'8'!G55</f>
        <v>0</v>
      </c>
      <c r="BF11" s="19">
        <f>'8'!G56</f>
        <v>0</v>
      </c>
      <c r="BG11" s="19">
        <f>'8'!G57</f>
        <v>2385</v>
      </c>
      <c r="BH11" s="56">
        <f>'8'!G50</f>
        <v>1432</v>
      </c>
      <c r="BI11" s="60">
        <f t="shared" si="12"/>
        <v>4796</v>
      </c>
      <c r="BJ11" s="60">
        <f>'8'!G133</f>
        <v>0</v>
      </c>
      <c r="BK11" s="23">
        <f t="shared" si="13"/>
        <v>47.189554588387814</v>
      </c>
      <c r="BL11" s="23">
        <f t="shared" si="14"/>
        <v>13.028984165200482</v>
      </c>
      <c r="BM11" s="24">
        <f t="shared" si="15"/>
        <v>0.12015001389017502</v>
      </c>
      <c r="BN11" s="25">
        <f t="shared" si="16"/>
        <v>288952.40000000002</v>
      </c>
      <c r="BO11" s="38">
        <f t="shared" si="17"/>
        <v>7181</v>
      </c>
      <c r="BP11">
        <f t="shared" si="18"/>
        <v>1.0686011904761905</v>
      </c>
    </row>
    <row r="12" spans="1:69">
      <c r="A12" s="16">
        <v>9</v>
      </c>
      <c r="B12" s="27">
        <v>9</v>
      </c>
      <c r="C12" s="26"/>
      <c r="D12" s="19">
        <f>'9'!D3</f>
        <v>32</v>
      </c>
      <c r="E12" s="50">
        <f>'9'!D4</f>
        <v>0.7</v>
      </c>
      <c r="F12" s="50">
        <f>'9'!D2</f>
        <v>0.49</v>
      </c>
      <c r="G12" s="19">
        <f>'9'!G7</f>
        <v>20295</v>
      </c>
      <c r="H12" s="19">
        <f>'9'!G8</f>
        <v>20473</v>
      </c>
      <c r="I12" s="19">
        <v>9</v>
      </c>
      <c r="J12" s="49">
        <f t="shared" si="3"/>
        <v>184257</v>
      </c>
      <c r="K12" s="45">
        <f t="shared" si="4"/>
        <v>101.35148514851485</v>
      </c>
      <c r="L12" s="19">
        <f>'9'!G15</f>
        <v>1155</v>
      </c>
      <c r="M12" s="19">
        <v>56.2</v>
      </c>
      <c r="N12" s="45">
        <f t="shared" si="5"/>
        <v>64911</v>
      </c>
      <c r="O12" s="19">
        <f>'9'!G20</f>
        <v>243</v>
      </c>
      <c r="P12" s="19">
        <v>108</v>
      </c>
      <c r="Q12" s="46">
        <f t="shared" si="0"/>
        <v>26244</v>
      </c>
      <c r="R12" s="47">
        <f t="shared" si="1"/>
        <v>245.50414225095977</v>
      </c>
      <c r="S12" s="19">
        <f>'9'!G24</f>
        <v>0</v>
      </c>
      <c r="T12" s="19">
        <v>69</v>
      </c>
      <c r="U12" s="48">
        <f t="shared" si="6"/>
        <v>0</v>
      </c>
      <c r="V12" s="22">
        <f>'9'!G65</f>
        <v>135</v>
      </c>
      <c r="W12" s="22">
        <f>'9'!G66</f>
        <v>475</v>
      </c>
      <c r="X12" s="22">
        <f>'9'!G67</f>
        <v>23</v>
      </c>
      <c r="Y12" s="22">
        <f t="shared" si="7"/>
        <v>633</v>
      </c>
      <c r="Z12" s="19">
        <f>'9'!G84</f>
        <v>0</v>
      </c>
      <c r="AA12" s="19">
        <f>'9'!G85</f>
        <v>24.399999999999636</v>
      </c>
      <c r="AB12" s="19">
        <f>'9'!G86</f>
        <v>0</v>
      </c>
      <c r="AC12" s="19">
        <f>'9'!G87</f>
        <v>0</v>
      </c>
      <c r="AD12" s="19">
        <f t="shared" si="8"/>
        <v>24.399999999999636</v>
      </c>
      <c r="AE12" s="23">
        <f t="shared" si="2"/>
        <v>3941.3099999999977</v>
      </c>
      <c r="AF12" s="23">
        <f t="shared" si="9"/>
        <v>161.52909836065805</v>
      </c>
      <c r="AG12" s="19">
        <f>'9'!G88</f>
        <v>3.2900000000008731</v>
      </c>
      <c r="AH12" s="19">
        <f>'9'!G89</f>
        <v>10.650000000001455</v>
      </c>
      <c r="AI12" s="19">
        <f>'9'!G90</f>
        <v>10.419999999998254</v>
      </c>
      <c r="AJ12" s="19">
        <f t="shared" si="10"/>
        <v>24.360000000000582</v>
      </c>
      <c r="AK12" s="19">
        <f>'9'!G91</f>
        <v>0</v>
      </c>
      <c r="AL12" s="19">
        <f>'9'!G92</f>
        <v>10.449999999999818</v>
      </c>
      <c r="AM12" s="19"/>
      <c r="AN12" s="19">
        <f t="shared" si="11"/>
        <v>10.449999999999818</v>
      </c>
      <c r="AO12" s="52">
        <f>'9'!G74</f>
        <v>300.48800000000028</v>
      </c>
      <c r="AP12" s="55">
        <f>'9'!G35</f>
        <v>2402.1500000000233</v>
      </c>
      <c r="AQ12" s="19">
        <f>'9'!G37</f>
        <v>1590.75</v>
      </c>
      <c r="AR12" s="19">
        <f>'9'!G38</f>
        <v>2560.4300000000512</v>
      </c>
      <c r="AS12" s="19">
        <f>'9'!G39</f>
        <v>2799.1500000000233</v>
      </c>
      <c r="AT12" s="19">
        <f>'9'!G40</f>
        <v>193.47000000000116</v>
      </c>
      <c r="AU12" s="19">
        <f>'9'!G41</f>
        <v>0.5</v>
      </c>
      <c r="AV12" s="19">
        <f>'9'!G42</f>
        <v>3939.4699999999721</v>
      </c>
      <c r="AW12" s="19">
        <f>'9'!G43</f>
        <v>0</v>
      </c>
      <c r="AX12" s="23">
        <f>'9'!G44</f>
        <v>0</v>
      </c>
      <c r="AY12" s="56">
        <f>'9'!G36</f>
        <v>829.6699999999837</v>
      </c>
      <c r="AZ12" s="55">
        <f>'9'!G49</f>
        <v>512.56999999994878</v>
      </c>
      <c r="BA12" s="19">
        <f>'9'!G51</f>
        <v>0.44000000000232831</v>
      </c>
      <c r="BB12" s="19">
        <f>'9'!G52</f>
        <v>0</v>
      </c>
      <c r="BC12" s="19">
        <f>'9'!G53</f>
        <v>3.0000000027939677E-2</v>
      </c>
      <c r="BD12" s="19">
        <f>'9'!G54</f>
        <v>319.30000000000291</v>
      </c>
      <c r="BE12" s="19">
        <f>'9'!G55</f>
        <v>0.63000000000465661</v>
      </c>
      <c r="BF12" s="19">
        <f>'9'!G56</f>
        <v>0.71000000002095476</v>
      </c>
      <c r="BG12" s="19">
        <f>'9'!G57</f>
        <v>2366.5899999999674</v>
      </c>
      <c r="BH12" s="56">
        <f>'9'!G50</f>
        <v>1264.7000000000116</v>
      </c>
      <c r="BI12" s="60">
        <f t="shared" si="12"/>
        <v>3941.3099999999977</v>
      </c>
      <c r="BJ12" s="60">
        <f>'8'!G133</f>
        <v>0</v>
      </c>
      <c r="BK12" s="23">
        <f t="shared" si="13"/>
        <v>45.047721389146375</v>
      </c>
      <c r="BL12" s="23">
        <f t="shared" si="14"/>
        <v>13.672544326674407</v>
      </c>
      <c r="BM12" s="24">
        <f t="shared" si="15"/>
        <v>0.12506374249011143</v>
      </c>
      <c r="BN12" s="25">
        <f t="shared" si="16"/>
        <v>275412</v>
      </c>
      <c r="BO12" s="38">
        <f t="shared" si="17"/>
        <v>6307.8999999999651</v>
      </c>
      <c r="BP12">
        <f t="shared" si="18"/>
        <v>0.92328747072600392</v>
      </c>
    </row>
    <row r="13" spans="1:69">
      <c r="A13" s="16">
        <v>10</v>
      </c>
      <c r="B13" s="27">
        <v>10</v>
      </c>
      <c r="C13" s="26"/>
      <c r="D13" s="19">
        <f>'10'!D3</f>
        <v>25</v>
      </c>
      <c r="E13" s="50">
        <f>'10'!D4</f>
        <v>0.78</v>
      </c>
      <c r="F13" s="50">
        <f>'10'!D2</f>
        <v>0.91</v>
      </c>
      <c r="G13" s="19">
        <f>'10'!G7</f>
        <v>21496</v>
      </c>
      <c r="H13" s="19">
        <f>'10'!G8</f>
        <v>21756</v>
      </c>
      <c r="I13" s="19">
        <v>9</v>
      </c>
      <c r="J13" s="49">
        <f t="shared" si="3"/>
        <v>195804</v>
      </c>
      <c r="K13" s="45">
        <f t="shared" si="4"/>
        <v>107.70297029702971</v>
      </c>
      <c r="L13" s="19">
        <f>'10'!G15</f>
        <v>1088</v>
      </c>
      <c r="M13" s="19">
        <v>56.2</v>
      </c>
      <c r="N13" s="45">
        <f t="shared" si="5"/>
        <v>61145.600000000006</v>
      </c>
      <c r="O13" s="19">
        <f>'10'!G20</f>
        <v>258</v>
      </c>
      <c r="P13" s="19">
        <v>108</v>
      </c>
      <c r="Q13" s="46">
        <f t="shared" si="0"/>
        <v>27864</v>
      </c>
      <c r="R13" s="47">
        <f t="shared" si="1"/>
        <v>140.35469481014036</v>
      </c>
      <c r="S13" s="19">
        <f>'10'!G24</f>
        <v>0</v>
      </c>
      <c r="T13" s="19">
        <v>69</v>
      </c>
      <c r="U13" s="48">
        <f t="shared" si="6"/>
        <v>0</v>
      </c>
      <c r="V13" s="22">
        <f>'10'!G65</f>
        <v>125</v>
      </c>
      <c r="W13" s="22">
        <f>'10'!G66</f>
        <v>40</v>
      </c>
      <c r="X13" s="22">
        <f>'10'!G67</f>
        <v>21</v>
      </c>
      <c r="Y13" s="22">
        <f t="shared" si="7"/>
        <v>186</v>
      </c>
      <c r="Z13" s="19">
        <f>'10'!G84</f>
        <v>0</v>
      </c>
      <c r="AA13" s="19">
        <f>'10'!G85</f>
        <v>23.680000000000291</v>
      </c>
      <c r="AB13" s="19">
        <f>'10'!G86</f>
        <v>0</v>
      </c>
      <c r="AC13" s="19">
        <f>'10'!G87</f>
        <v>0</v>
      </c>
      <c r="AD13" s="19">
        <f t="shared" si="8"/>
        <v>23.680000000000291</v>
      </c>
      <c r="AE13" s="23">
        <f t="shared" si="2"/>
        <v>4480.539999999979</v>
      </c>
      <c r="AF13" s="23">
        <f t="shared" si="9"/>
        <v>189.21199324324004</v>
      </c>
      <c r="AG13" s="19">
        <f>'10'!G88</f>
        <v>2.0400000000008731</v>
      </c>
      <c r="AH13" s="19">
        <f>'10'!G89</f>
        <v>9.3599999999969441</v>
      </c>
      <c r="AI13" s="19">
        <f>'10'!G90</f>
        <v>11.149999999994179</v>
      </c>
      <c r="AJ13" s="19">
        <f t="shared" si="10"/>
        <v>22.549999999991996</v>
      </c>
      <c r="AK13" s="19">
        <f>'10'!G91</f>
        <v>0</v>
      </c>
      <c r="AL13" s="19">
        <f>'10'!G92</f>
        <v>10.630000000000109</v>
      </c>
      <c r="AM13" s="19"/>
      <c r="AN13" s="19">
        <f t="shared" si="11"/>
        <v>10.630000000000109</v>
      </c>
      <c r="AO13" s="52">
        <f>'10'!G74</f>
        <v>293.61200000000008</v>
      </c>
      <c r="AP13" s="55">
        <f>'10'!G35</f>
        <v>2544.5799999999581</v>
      </c>
      <c r="AQ13" s="19">
        <f>'10'!G37</f>
        <v>1475.679999999993</v>
      </c>
      <c r="AR13" s="19">
        <f>'10'!G38</f>
        <v>2505.359999999986</v>
      </c>
      <c r="AS13" s="19">
        <f>'10'!G39</f>
        <v>2694.7199999999721</v>
      </c>
      <c r="AT13" s="19">
        <f>'10'!G40</f>
        <v>464.23000000001048</v>
      </c>
      <c r="AU13" s="19">
        <f>'10'!G41</f>
        <v>7.0000000006984919E-2</v>
      </c>
      <c r="AV13" s="19">
        <f>'10'!G42</f>
        <v>4480.4799999999814</v>
      </c>
      <c r="AW13" s="19">
        <f>'10'!G43</f>
        <v>0</v>
      </c>
      <c r="AX13" s="23">
        <f>'10'!G44</f>
        <v>0</v>
      </c>
      <c r="AY13" s="56">
        <f>'10'!G36</f>
        <v>1144.3300000000163</v>
      </c>
      <c r="AZ13" s="55">
        <f>'10'!G49</f>
        <v>517.94000000006054</v>
      </c>
      <c r="BA13" s="19">
        <f>'10'!G51</f>
        <v>0.29999999998835847</v>
      </c>
      <c r="BB13" s="19">
        <f>'10'!G52</f>
        <v>0</v>
      </c>
      <c r="BC13" s="19">
        <f>'10'!G53</f>
        <v>0</v>
      </c>
      <c r="BD13" s="19">
        <f>'10'!G54</f>
        <v>322.44000000000233</v>
      </c>
      <c r="BE13" s="19">
        <f>'10'!G55</f>
        <v>0</v>
      </c>
      <c r="BF13" s="19">
        <f>'10'!G56</f>
        <v>-1.0000000009313226E-2</v>
      </c>
      <c r="BG13" s="19">
        <f>'10'!G57</f>
        <v>2357.0400000000373</v>
      </c>
      <c r="BH13" s="56">
        <f>'10'!G50</f>
        <v>1856.8499999999767</v>
      </c>
      <c r="BI13" s="60">
        <f t="shared" si="12"/>
        <v>4480.539999999979</v>
      </c>
      <c r="BJ13" s="60">
        <f>'8'!G133</f>
        <v>0</v>
      </c>
      <c r="BK13" s="23">
        <f t="shared" si="13"/>
        <v>45.505148005148165</v>
      </c>
      <c r="BL13" s="23">
        <f t="shared" si="14"/>
        <v>12.386100386100258</v>
      </c>
      <c r="BM13" s="24">
        <f t="shared" si="15"/>
        <v>0.11515719801434023</v>
      </c>
      <c r="BN13" s="25">
        <f t="shared" si="16"/>
        <v>284813.59999999998</v>
      </c>
      <c r="BO13" s="38">
        <f t="shared" si="17"/>
        <v>6837.5800000000163</v>
      </c>
      <c r="BP13">
        <f t="shared" si="18"/>
        <v>1.0312469835907234</v>
      </c>
    </row>
    <row r="14" spans="1:69">
      <c r="A14" s="16">
        <v>11</v>
      </c>
      <c r="B14" s="17">
        <v>11</v>
      </c>
      <c r="C14" s="27"/>
      <c r="D14" s="19">
        <f>'11'!D3</f>
        <v>31</v>
      </c>
      <c r="E14" s="50">
        <f>'11'!D4</f>
        <v>0.78</v>
      </c>
      <c r="F14" s="50">
        <f>'11'!D2</f>
        <v>0.5</v>
      </c>
      <c r="G14" s="19">
        <f>'11'!G7</f>
        <v>21732</v>
      </c>
      <c r="H14" s="19">
        <f>'11'!G8</f>
        <v>21784</v>
      </c>
      <c r="I14" s="19">
        <v>9</v>
      </c>
      <c r="J14" s="49">
        <f t="shared" si="3"/>
        <v>196056</v>
      </c>
      <c r="K14" s="45">
        <f t="shared" si="4"/>
        <v>107.84158415841584</v>
      </c>
      <c r="L14" s="19">
        <f>'11'!G15</f>
        <v>1166.4580000001006</v>
      </c>
      <c r="M14" s="19">
        <v>56.2</v>
      </c>
      <c r="N14" s="45">
        <f t="shared" si="5"/>
        <v>65554.939600005659</v>
      </c>
      <c r="O14" s="19">
        <f>'11'!G20</f>
        <v>310</v>
      </c>
      <c r="P14" s="19">
        <v>108</v>
      </c>
      <c r="Q14" s="46">
        <f t="shared" si="0"/>
        <v>33480</v>
      </c>
      <c r="R14" s="47">
        <f t="shared" si="1"/>
        <v>306.93069306930693</v>
      </c>
      <c r="S14" s="19">
        <f>'11'!G24</f>
        <v>0</v>
      </c>
      <c r="T14" s="19">
        <v>69</v>
      </c>
      <c r="U14" s="48">
        <f t="shared" si="6"/>
        <v>0</v>
      </c>
      <c r="V14" s="22">
        <f>'11'!G65</f>
        <v>150</v>
      </c>
      <c r="W14" s="22">
        <f>'11'!G66</f>
        <v>47</v>
      </c>
      <c r="X14" s="22">
        <f>'11'!G67</f>
        <v>19</v>
      </c>
      <c r="Y14" s="22">
        <f t="shared" si="7"/>
        <v>216</v>
      </c>
      <c r="Z14" s="19">
        <f>'11'!G84</f>
        <v>0</v>
      </c>
      <c r="AA14" s="19">
        <f>'11'!G85</f>
        <v>324.39999999999964</v>
      </c>
      <c r="AB14" s="19">
        <f>'11'!G86</f>
        <v>0</v>
      </c>
      <c r="AC14" s="19">
        <f>'11'!G87</f>
        <v>2</v>
      </c>
      <c r="AD14" s="19">
        <f t="shared" si="8"/>
        <v>326.39999999999964</v>
      </c>
      <c r="AE14" s="23">
        <f t="shared" si="2"/>
        <v>4569.710000000021</v>
      </c>
      <c r="AF14" s="23">
        <f t="shared" si="9"/>
        <v>14.000337009804001</v>
      </c>
      <c r="AG14" s="19">
        <f>'11'!G88</f>
        <v>3.069999999999709</v>
      </c>
      <c r="AH14" s="19">
        <f>'11'!G89</f>
        <v>10.210000000002765</v>
      </c>
      <c r="AI14" s="19">
        <f>'11'!G90</f>
        <v>9.3500000000058208</v>
      </c>
      <c r="AJ14" s="19">
        <f t="shared" si="10"/>
        <v>22.630000000008295</v>
      </c>
      <c r="AK14" s="19">
        <f>'11'!G91</f>
        <v>0</v>
      </c>
      <c r="AL14" s="19">
        <f>'11'!G92</f>
        <v>11.720000000000255</v>
      </c>
      <c r="AM14" s="19"/>
      <c r="AN14" s="19">
        <f t="shared" si="11"/>
        <v>11.720000000000255</v>
      </c>
      <c r="AO14" s="52">
        <f>'11'!G74</f>
        <v>990961</v>
      </c>
      <c r="AP14" s="55">
        <f>'11'!G35</f>
        <v>2554.140000000014</v>
      </c>
      <c r="AQ14" s="19">
        <f>'11'!G37</f>
        <v>1559.2000000000116</v>
      </c>
      <c r="AR14" s="19">
        <f>'11'!G38</f>
        <v>2568.5</v>
      </c>
      <c r="AS14" s="19">
        <f>'11'!G39</f>
        <v>2815.8000000000466</v>
      </c>
      <c r="AT14" s="19">
        <f>'11'!G40</f>
        <v>471.75</v>
      </c>
      <c r="AU14" s="19">
        <f>'11'!G41</f>
        <v>-5.9999999997671694E-2</v>
      </c>
      <c r="AV14" s="19">
        <f>'11'!G42</f>
        <v>4569.7600000000093</v>
      </c>
      <c r="AW14" s="19">
        <f>'11'!G43</f>
        <v>0</v>
      </c>
      <c r="AX14" s="23">
        <f>'11'!G44</f>
        <v>0</v>
      </c>
      <c r="AY14" s="56">
        <f>'11'!G36</f>
        <v>799.27000000001863</v>
      </c>
      <c r="AZ14" s="55">
        <f>'11'!G49</f>
        <v>564.95999999996275</v>
      </c>
      <c r="BA14" s="19">
        <f>'11'!G51</f>
        <v>-0.29999999998835847</v>
      </c>
      <c r="BB14" s="19">
        <f>'11'!G52</f>
        <v>0</v>
      </c>
      <c r="BC14" s="19">
        <f>'11'!G53</f>
        <v>5.9999999939464033E-2</v>
      </c>
      <c r="BD14" s="19">
        <f>'11'!G54</f>
        <v>324.48999999999069</v>
      </c>
      <c r="BE14" s="19">
        <f>'11'!G55</f>
        <v>0</v>
      </c>
      <c r="BF14" s="19">
        <f>'11'!G56</f>
        <v>1.0000000009313226E-2</v>
      </c>
      <c r="BG14" s="19">
        <f>'11'!G57</f>
        <v>2386.1600000000326</v>
      </c>
      <c r="BH14" s="56">
        <f>'11'!G50</f>
        <v>1443.960000000021</v>
      </c>
      <c r="BI14" s="60">
        <f t="shared" si="12"/>
        <v>4569.710000000021</v>
      </c>
      <c r="BJ14" s="60">
        <f>'11'!G133</f>
        <v>0</v>
      </c>
      <c r="BK14" s="23">
        <f t="shared" si="13"/>
        <v>46.24940323172985</v>
      </c>
      <c r="BL14" s="23">
        <f t="shared" si="14"/>
        <v>12.926276165993325</v>
      </c>
      <c r="BM14" s="24">
        <f t="shared" si="15"/>
        <v>0.11790763863385971</v>
      </c>
      <c r="BN14" s="25">
        <f t="shared" si="16"/>
        <v>295090.93960000563</v>
      </c>
      <c r="BO14" s="38">
        <f t="shared" si="17"/>
        <v>6955.8700000000536</v>
      </c>
      <c r="BP14">
        <f t="shared" si="18"/>
        <v>7.611027223389423E-2</v>
      </c>
    </row>
    <row r="15" spans="1:69">
      <c r="A15" s="16">
        <v>12</v>
      </c>
      <c r="B15" s="26">
        <v>12</v>
      </c>
      <c r="C15" s="27"/>
      <c r="D15" s="19">
        <f>'12'!D3</f>
        <v>33</v>
      </c>
      <c r="E15" s="50">
        <f>'12'!D4</f>
        <v>0.81</v>
      </c>
      <c r="F15" s="50">
        <f>'12'!D2</f>
        <v>0.49</v>
      </c>
      <c r="G15" s="19">
        <f>'12'!G7</f>
        <v>20958.26999999999</v>
      </c>
      <c r="H15" s="19">
        <f>'12'!G8</f>
        <v>21436</v>
      </c>
      <c r="I15" s="19">
        <v>9</v>
      </c>
      <c r="J15" s="49">
        <f t="shared" si="3"/>
        <v>192924</v>
      </c>
      <c r="K15" s="45">
        <f t="shared" si="4"/>
        <v>106.11881188118812</v>
      </c>
      <c r="L15" s="19">
        <f>'12'!G15</f>
        <v>1163.5219999998808</v>
      </c>
      <c r="M15" s="19">
        <v>56.2</v>
      </c>
      <c r="N15" s="41">
        <f t="shared" si="5"/>
        <v>65389.936399993305</v>
      </c>
      <c r="O15" s="19">
        <f>'12'!G20</f>
        <v>245</v>
      </c>
      <c r="P15" s="19">
        <v>108</v>
      </c>
      <c r="Q15" s="46">
        <f t="shared" si="0"/>
        <v>26460</v>
      </c>
      <c r="R15" s="47">
        <f t="shared" si="1"/>
        <v>247.52475247524751</v>
      </c>
      <c r="S15" s="19">
        <f>'12'!G24</f>
        <v>0</v>
      </c>
      <c r="T15" s="19">
        <v>69</v>
      </c>
      <c r="U15" s="48">
        <f t="shared" si="6"/>
        <v>0</v>
      </c>
      <c r="V15" s="22">
        <f>'12'!G65</f>
        <v>92</v>
      </c>
      <c r="W15" s="22">
        <f>'12'!G66</f>
        <v>23</v>
      </c>
      <c r="X15" s="22">
        <f>'12'!G67</f>
        <v>3</v>
      </c>
      <c r="Y15" s="22">
        <f t="shared" si="7"/>
        <v>118</v>
      </c>
      <c r="Z15" s="19">
        <f>'12'!G84</f>
        <v>0</v>
      </c>
      <c r="AA15" s="19">
        <f>'12'!G85</f>
        <v>2.8800000000001091</v>
      </c>
      <c r="AB15" s="19">
        <f>'12'!G86</f>
        <v>4</v>
      </c>
      <c r="AC15" s="19">
        <f>'12'!G87</f>
        <v>18</v>
      </c>
      <c r="AD15" s="19">
        <f t="shared" si="8"/>
        <v>24.880000000000109</v>
      </c>
      <c r="AE15" s="23">
        <f t="shared" si="2"/>
        <v>3166.2000000000698</v>
      </c>
      <c r="AF15" s="23">
        <f t="shared" si="9"/>
        <v>127.25884244373215</v>
      </c>
      <c r="AG15" s="19">
        <f>'12'!G88</f>
        <v>4.1399999999994179</v>
      </c>
      <c r="AH15" s="19">
        <f>'12'!G89</f>
        <v>10.44999999999709</v>
      </c>
      <c r="AI15" s="19">
        <f>'12'!G90</f>
        <v>6.9700000000011642</v>
      </c>
      <c r="AJ15" s="19">
        <f t="shared" si="10"/>
        <v>21.559999999997672</v>
      </c>
      <c r="AK15" s="19">
        <f>'12'!G91</f>
        <v>0</v>
      </c>
      <c r="AL15" s="19">
        <f>'12'!G92</f>
        <v>11.199999999999818</v>
      </c>
      <c r="AM15" s="19"/>
      <c r="AN15" s="19">
        <f t="shared" si="11"/>
        <v>11.199999999999818</v>
      </c>
      <c r="AO15" s="52">
        <f>'12'!G74</f>
        <v>297.90000000002328</v>
      </c>
      <c r="AP15" s="55">
        <f>'12'!G35</f>
        <v>2588.5200000000186</v>
      </c>
      <c r="AQ15" s="19">
        <f>'12'!G37</f>
        <v>1491.679999999993</v>
      </c>
      <c r="AR15" s="19">
        <f>'12'!G38</f>
        <v>2491.6199999999953</v>
      </c>
      <c r="AS15" s="19">
        <f>'12'!G39</f>
        <v>2692.2299999999814</v>
      </c>
      <c r="AT15" s="19">
        <f>'12'!G40</f>
        <v>356.25999999998021</v>
      </c>
      <c r="AU15" s="19">
        <f>'12'!G41</f>
        <v>0</v>
      </c>
      <c r="AV15" s="19">
        <f>'12'!G42</f>
        <v>890.72000000008848</v>
      </c>
      <c r="AW15" s="19">
        <f>'12'!G43</f>
        <v>0</v>
      </c>
      <c r="AX15" s="23">
        <f>'12'!G44</f>
        <v>0</v>
      </c>
      <c r="AY15" s="56">
        <f>'12'!G36</f>
        <v>775.72999999998137</v>
      </c>
      <c r="AZ15" s="55">
        <f>'12'!G49</f>
        <v>532.64000000001397</v>
      </c>
      <c r="BA15" s="19">
        <f>'12'!G51</f>
        <v>0</v>
      </c>
      <c r="BB15" s="19">
        <f>'12'!G52</f>
        <v>0.24000000000000021</v>
      </c>
      <c r="BC15" s="19">
        <f>'12'!G53</f>
        <v>-5.9999999939464033E-2</v>
      </c>
      <c r="BD15" s="19">
        <f>'12'!G54</f>
        <v>317.59000000001106</v>
      </c>
      <c r="BE15" s="19">
        <f>'12'!G55</f>
        <v>0</v>
      </c>
      <c r="BF15" s="19">
        <f>'12'!G56</f>
        <v>2275.4799999999814</v>
      </c>
      <c r="BG15" s="19">
        <f>'12'!G57</f>
        <v>2592.7600000000093</v>
      </c>
      <c r="BH15" s="56">
        <f>'12'!G50</f>
        <v>1312.2799999999697</v>
      </c>
      <c r="BI15" s="60">
        <f t="shared" si="12"/>
        <v>3166.2000000000698</v>
      </c>
      <c r="BJ15" s="60">
        <f>'12'!G133</f>
        <v>-0.16999999998370185</v>
      </c>
      <c r="BK15" s="23">
        <f t="shared" si="13"/>
        <v>41.426198917709044</v>
      </c>
      <c r="BL15" s="23">
        <f t="shared" si="14"/>
        <v>12.559106176525665</v>
      </c>
      <c r="BM15" s="24">
        <f t="shared" si="15"/>
        <v>0.11624650121291263</v>
      </c>
      <c r="BN15" s="25">
        <f t="shared" si="16"/>
        <v>284773.93639999331</v>
      </c>
      <c r="BO15" s="38">
        <f t="shared" si="17"/>
        <v>5758.7900000000955</v>
      </c>
      <c r="BP15">
        <f t="shared" si="18"/>
        <v>0.82665221635278918</v>
      </c>
    </row>
    <row r="16" spans="1:69">
      <c r="A16" s="16">
        <v>13</v>
      </c>
      <c r="B16" s="26">
        <v>13</v>
      </c>
      <c r="C16" s="26"/>
      <c r="D16" s="19">
        <f>'13'!D3</f>
        <v>33</v>
      </c>
      <c r="E16" s="50">
        <f>'13'!D4</f>
        <v>0.82</v>
      </c>
      <c r="F16" s="50">
        <f>'13'!D2</f>
        <v>0.49</v>
      </c>
      <c r="G16" s="19">
        <f>'13'!G7</f>
        <v>21444.73000000001</v>
      </c>
      <c r="H16" s="19">
        <f>'13'!G8</f>
        <v>22115</v>
      </c>
      <c r="I16" s="19">
        <v>9</v>
      </c>
      <c r="J16" s="49">
        <f t="shared" si="3"/>
        <v>199035</v>
      </c>
      <c r="K16" s="45">
        <f t="shared" si="4"/>
        <v>109.48019801980197</v>
      </c>
      <c r="L16" s="19">
        <f>'13'!G15</f>
        <v>1140.0200000000186</v>
      </c>
      <c r="M16" s="19">
        <v>56.2</v>
      </c>
      <c r="N16" s="41">
        <f t="shared" si="5"/>
        <v>64069.124000001051</v>
      </c>
      <c r="O16" s="19">
        <f>'13'!G20</f>
        <v>223</v>
      </c>
      <c r="P16" s="19">
        <v>108</v>
      </c>
      <c r="Q16" s="46">
        <f t="shared" si="0"/>
        <v>24084</v>
      </c>
      <c r="R16" s="47">
        <f t="shared" si="1"/>
        <v>225.29804000808244</v>
      </c>
      <c r="S16" s="19">
        <f>'13'!G24</f>
        <v>0</v>
      </c>
      <c r="T16" s="19">
        <v>69</v>
      </c>
      <c r="U16" s="48">
        <f t="shared" si="6"/>
        <v>0</v>
      </c>
      <c r="V16" s="22">
        <f>'13'!G65</f>
        <v>132</v>
      </c>
      <c r="W16" s="22">
        <f>'13'!G66</f>
        <v>46</v>
      </c>
      <c r="X16" s="22">
        <f>'13'!G67</f>
        <v>49</v>
      </c>
      <c r="Y16" s="22">
        <f t="shared" si="7"/>
        <v>227</v>
      </c>
      <c r="Z16" s="19">
        <f>'13'!G84</f>
        <v>0</v>
      </c>
      <c r="AA16" s="19">
        <f>'13'!G85</f>
        <v>-296.35999999999967</v>
      </c>
      <c r="AB16" s="19">
        <f>'13'!G86</f>
        <v>-4</v>
      </c>
      <c r="AC16" s="19">
        <f>'13'!G87</f>
        <v>24</v>
      </c>
      <c r="AD16" s="19">
        <f t="shared" si="8"/>
        <v>-276.35999999999967</v>
      </c>
      <c r="AE16" s="23">
        <f t="shared" si="2"/>
        <v>2810.3799999999464</v>
      </c>
      <c r="AF16" s="23">
        <f t="shared" si="9"/>
        <v>-10.16927196410461</v>
      </c>
      <c r="AG16" s="19">
        <f>'13'!G88</f>
        <v>4.4599999999991269</v>
      </c>
      <c r="AH16" s="19">
        <f>'13'!G89</f>
        <v>10.330000000001746</v>
      </c>
      <c r="AI16" s="19">
        <f>'13'!G90</f>
        <v>6.6699999999982538</v>
      </c>
      <c r="AJ16" s="19">
        <f t="shared" si="10"/>
        <v>21.459999999999127</v>
      </c>
      <c r="AK16" s="19">
        <f>'13'!G91</f>
        <v>0</v>
      </c>
      <c r="AL16" s="19">
        <f>'13'!G92</f>
        <v>11.6899999999996</v>
      </c>
      <c r="AM16" s="19"/>
      <c r="AN16" s="19">
        <f t="shared" si="11"/>
        <v>11.6899999999996</v>
      </c>
      <c r="AO16" s="52">
        <f>'13'!G74</f>
        <v>298</v>
      </c>
      <c r="AP16" s="55">
        <f>'13'!G35</f>
        <v>2684.609999999986</v>
      </c>
      <c r="AQ16" s="19">
        <f>'13'!G37</f>
        <v>1405.6900000000023</v>
      </c>
      <c r="AR16" s="19">
        <f>'13'!G38</f>
        <v>2482.0899999999674</v>
      </c>
      <c r="AS16" s="19">
        <f>'13'!G39</f>
        <v>2910.0999999999767</v>
      </c>
      <c r="AT16" s="19">
        <f>'13'!G40</f>
        <v>214.29000000000815</v>
      </c>
      <c r="AU16" s="19">
        <f>'13'!G41</f>
        <v>0</v>
      </c>
      <c r="AV16" s="19">
        <f>'13'!G42</f>
        <v>-0.43000000005122274</v>
      </c>
      <c r="AW16" s="19">
        <f>'13'!G43</f>
        <v>0</v>
      </c>
      <c r="AX16" s="23">
        <f>'13'!G44</f>
        <v>0</v>
      </c>
      <c r="AY16" s="56">
        <f>'13'!G36</f>
        <v>821</v>
      </c>
      <c r="AZ16" s="55">
        <f>'13'!G49</f>
        <v>527.89000000001397</v>
      </c>
      <c r="BA16" s="19">
        <f>'13'!G51</f>
        <v>-0.44000000000232831</v>
      </c>
      <c r="BB16" s="19">
        <f>'13'!G52</f>
        <v>0</v>
      </c>
      <c r="BC16" s="19">
        <f>'13'!G53</f>
        <v>-3.0000000027939677E-2</v>
      </c>
      <c r="BD16" s="19">
        <f>'13'!G54</f>
        <v>347.17999999999302</v>
      </c>
      <c r="BE16" s="19">
        <f>'13'!G55</f>
        <v>0</v>
      </c>
      <c r="BF16" s="19">
        <f>'13'!G56</f>
        <v>2810.8099999999977</v>
      </c>
      <c r="BG16" s="19">
        <f>'13'!G57</f>
        <v>2631.4499999999534</v>
      </c>
      <c r="BH16" s="56">
        <f>'13'!G50</f>
        <v>1542.210000000021</v>
      </c>
      <c r="BI16" s="60">
        <f t="shared" si="12"/>
        <v>2810.3799999999464</v>
      </c>
      <c r="BJ16" s="60">
        <f>'13'!G133</f>
        <v>0.16999999998370185</v>
      </c>
      <c r="BK16" s="23">
        <f t="shared" si="13"/>
        <v>39.133303187881076</v>
      </c>
      <c r="BL16" s="23">
        <f t="shared" si="14"/>
        <v>13.158806240108291</v>
      </c>
      <c r="BM16" s="24">
        <f t="shared" si="15"/>
        <v>0.11223558670585428</v>
      </c>
      <c r="BN16" s="25">
        <f t="shared" si="16"/>
        <v>287188.12400000106</v>
      </c>
      <c r="BO16" s="38">
        <f t="shared" si="17"/>
        <v>5441.9999999998836</v>
      </c>
      <c r="BP16">
        <f t="shared" si="18"/>
        <v>-7.0327523106505627E-2</v>
      </c>
    </row>
    <row r="17" spans="1:68">
      <c r="A17" s="16">
        <v>14</v>
      </c>
      <c r="B17" s="17">
        <v>14</v>
      </c>
      <c r="C17" s="27"/>
      <c r="D17" s="19">
        <f>'14'!D3</f>
        <v>29</v>
      </c>
      <c r="E17" s="50">
        <f>'14'!D4</f>
        <v>0.8</v>
      </c>
      <c r="F17" s="50">
        <f>'14'!D2</f>
        <v>0.5</v>
      </c>
      <c r="G17" s="19">
        <f>'14'!G7</f>
        <v>20218</v>
      </c>
      <c r="H17" s="19">
        <f>'14'!G8</f>
        <v>20896</v>
      </c>
      <c r="I17" s="19">
        <v>9</v>
      </c>
      <c r="J17" s="49">
        <f t="shared" si="3"/>
        <v>188064</v>
      </c>
      <c r="K17" s="45">
        <f t="shared" si="4"/>
        <v>103.44554455445545</v>
      </c>
      <c r="L17" s="19">
        <f>'14'!G15</f>
        <v>1190</v>
      </c>
      <c r="M17" s="19">
        <v>56.2</v>
      </c>
      <c r="N17" s="41">
        <f t="shared" si="5"/>
        <v>66878</v>
      </c>
      <c r="O17" s="19">
        <f>'14'!G20</f>
        <v>289</v>
      </c>
      <c r="P17" s="19">
        <v>108</v>
      </c>
      <c r="Q17" s="46">
        <f t="shared" si="0"/>
        <v>31212</v>
      </c>
      <c r="R17" s="47">
        <f t="shared" si="1"/>
        <v>286.13861386138615</v>
      </c>
      <c r="S17" s="19">
        <f>'14'!G24</f>
        <v>0</v>
      </c>
      <c r="T17" s="19">
        <v>69</v>
      </c>
      <c r="U17" s="48">
        <f t="shared" si="6"/>
        <v>0</v>
      </c>
      <c r="V17" s="22">
        <f>'14'!G65</f>
        <v>132</v>
      </c>
      <c r="W17" s="22">
        <f>'14'!G66</f>
        <v>46</v>
      </c>
      <c r="X17" s="22">
        <f>'14'!G67</f>
        <v>33</v>
      </c>
      <c r="Y17" s="22">
        <f>V17+W17+X17</f>
        <v>211</v>
      </c>
      <c r="Z17" s="19">
        <f>'14'!G84</f>
        <v>0</v>
      </c>
      <c r="AA17" s="19">
        <f>'14'!G85</f>
        <v>0</v>
      </c>
      <c r="AB17" s="19">
        <f>'14'!G86</f>
        <v>8.000000000174623E-2</v>
      </c>
      <c r="AC17" s="19">
        <f>'14'!G87</f>
        <v>24</v>
      </c>
      <c r="AD17" s="19">
        <f t="shared" si="8"/>
        <v>24.080000000001746</v>
      </c>
      <c r="AE17" s="23">
        <f t="shared" si="2"/>
        <v>2290.109999999986</v>
      </c>
      <c r="AF17" s="23">
        <f t="shared" si="9"/>
        <v>95.104235880391201</v>
      </c>
      <c r="AG17" s="19">
        <f>'14'!G88</f>
        <v>4</v>
      </c>
      <c r="AH17" s="19">
        <f>'14'!G89</f>
        <v>10</v>
      </c>
      <c r="AI17" s="19">
        <f>'14'!G90</f>
        <v>8</v>
      </c>
      <c r="AJ17" s="19">
        <f t="shared" si="10"/>
        <v>22</v>
      </c>
      <c r="AK17" s="19">
        <f>'14'!G91</f>
        <v>0</v>
      </c>
      <c r="AL17" s="19">
        <f>'14'!G92</f>
        <v>11.660000000000764</v>
      </c>
      <c r="AM17" s="19"/>
      <c r="AN17" s="19">
        <f t="shared" si="11"/>
        <v>11.660000000000764</v>
      </c>
      <c r="AO17" s="52">
        <f>'14'!G44</f>
        <v>0</v>
      </c>
      <c r="AP17" s="55">
        <f>'14'!G35</f>
        <v>2738.789999999979</v>
      </c>
      <c r="AQ17" s="19">
        <f>'14'!G37</f>
        <v>1401.4699999999721</v>
      </c>
      <c r="AR17" s="19">
        <f>'14'!G38</f>
        <v>2392.9899999999907</v>
      </c>
      <c r="AS17" s="19">
        <f>'14'!G39</f>
        <v>2750.1899999999441</v>
      </c>
      <c r="AT17" s="19">
        <f>'14'!G40</f>
        <v>227.97000000000116</v>
      </c>
      <c r="AU17" s="19">
        <f>'14'!G41</f>
        <v>0</v>
      </c>
      <c r="AV17" s="19">
        <f>'14'!G42</f>
        <v>0</v>
      </c>
      <c r="AW17" s="19">
        <f>'14'!G43</f>
        <v>0</v>
      </c>
      <c r="AX17" s="23">
        <f>'14'!G44</f>
        <v>0</v>
      </c>
      <c r="AY17" s="56">
        <f>'14'!G36</f>
        <v>786.78999999997905</v>
      </c>
      <c r="AZ17" s="55">
        <f>'14'!G49</f>
        <v>526.98999999999069</v>
      </c>
      <c r="BA17" s="19">
        <f>'14'!G51</f>
        <v>0.44000000000232831</v>
      </c>
      <c r="BB17" s="19">
        <f>'14'!G52</f>
        <v>0</v>
      </c>
      <c r="BC17" s="19">
        <f>'14'!G53</f>
        <v>3.0000000027939677E-2</v>
      </c>
      <c r="BD17" s="19">
        <f>'14'!G54</f>
        <v>368.08000000000175</v>
      </c>
      <c r="BE17" s="19">
        <f>'14'!G55</f>
        <v>0</v>
      </c>
      <c r="BF17" s="19">
        <f>'14'!G56</f>
        <v>2290.109999999986</v>
      </c>
      <c r="BG17" s="19">
        <f>'14'!G57</f>
        <v>2644.9899999999907</v>
      </c>
      <c r="BH17" s="56">
        <f>'14'!G50</f>
        <v>1284.789999999979</v>
      </c>
      <c r="BI17" s="60">
        <f t="shared" si="12"/>
        <v>2290.109999999986</v>
      </c>
      <c r="BJ17" s="60">
        <f>'14'!G133</f>
        <v>0</v>
      </c>
      <c r="BK17" s="23">
        <f t="shared" si="13"/>
        <v>39.246171516079372</v>
      </c>
      <c r="BL17" s="23">
        <f t="shared" si="14"/>
        <v>13.161466309341366</v>
      </c>
      <c r="BM17" s="24">
        <f t="shared" si="15"/>
        <v>0.11451904670750339</v>
      </c>
      <c r="BN17" s="25">
        <f t="shared" si="16"/>
        <v>286154</v>
      </c>
      <c r="BO17" s="38">
        <f t="shared" si="17"/>
        <v>4935.0999999999767</v>
      </c>
      <c r="BP17">
        <f t="shared" si="18"/>
        <v>0.73195004746078829</v>
      </c>
    </row>
    <row r="18" spans="1:68">
      <c r="A18" s="16">
        <v>15</v>
      </c>
      <c r="B18" s="26">
        <v>15</v>
      </c>
      <c r="C18" s="18"/>
      <c r="D18" s="19">
        <f>'15'!D3</f>
        <v>25</v>
      </c>
      <c r="E18" s="50">
        <f>'15'!D4</f>
        <v>0.78</v>
      </c>
      <c r="F18" s="50">
        <f>'15'!D2</f>
        <v>0.5</v>
      </c>
      <c r="G18" s="19">
        <f>'15'!G7</f>
        <v>20261</v>
      </c>
      <c r="H18" s="19">
        <f>'15'!G8</f>
        <v>20628.799999999988</v>
      </c>
      <c r="I18" s="19">
        <v>9</v>
      </c>
      <c r="J18" s="49">
        <f t="shared" si="3"/>
        <v>185659.1999999999</v>
      </c>
      <c r="K18" s="45">
        <f t="shared" si="4"/>
        <v>102.12277227722767</v>
      </c>
      <c r="L18" s="19">
        <f>'15'!G15</f>
        <v>1011</v>
      </c>
      <c r="M18" s="19">
        <v>56.2</v>
      </c>
      <c r="N18" s="41">
        <f t="shared" si="5"/>
        <v>56818.200000000004</v>
      </c>
      <c r="O18" s="19">
        <f>'15'!G20</f>
        <v>355</v>
      </c>
      <c r="P18" s="19">
        <v>108</v>
      </c>
      <c r="Q18" s="46">
        <f t="shared" si="0"/>
        <v>38340</v>
      </c>
      <c r="R18" s="47">
        <f t="shared" si="1"/>
        <v>351.48514851485146</v>
      </c>
      <c r="S18" s="19">
        <f>'15'!G24</f>
        <v>0</v>
      </c>
      <c r="T18" s="19">
        <v>69</v>
      </c>
      <c r="U18" s="48">
        <f t="shared" si="6"/>
        <v>0</v>
      </c>
      <c r="V18" s="22">
        <f>'15'!G65</f>
        <v>121</v>
      </c>
      <c r="W18" s="22">
        <f>'15'!G66</f>
        <v>42</v>
      </c>
      <c r="X18" s="22">
        <f>'15'!G67</f>
        <v>7</v>
      </c>
      <c r="Y18" s="22">
        <f t="shared" si="7"/>
        <v>170</v>
      </c>
      <c r="Z18" s="19">
        <f>'15'!G84</f>
        <v>0</v>
      </c>
      <c r="AA18" s="19">
        <f>'15'!G85</f>
        <v>0</v>
      </c>
      <c r="AB18" s="19">
        <f>'15'!G86</f>
        <v>-8.000000000174623E-2</v>
      </c>
      <c r="AC18" s="19">
        <f>'15'!G87</f>
        <v>24.44999999999709</v>
      </c>
      <c r="AD18" s="19">
        <f t="shared" si="8"/>
        <v>24.369999999995343</v>
      </c>
      <c r="AE18" s="23">
        <f t="shared" si="2"/>
        <v>2576.7100000000792</v>
      </c>
      <c r="AF18" s="23">
        <f t="shared" si="9"/>
        <v>105.73286828069641</v>
      </c>
      <c r="AG18" s="19">
        <f>'15'!G88</f>
        <v>6.3899999999994179</v>
      </c>
      <c r="AH18" s="19">
        <f>'15'!G89</f>
        <v>7</v>
      </c>
      <c r="AI18" s="19">
        <f>'15'!G90</f>
        <v>9.4100000000034925</v>
      </c>
      <c r="AJ18" s="19">
        <f t="shared" si="10"/>
        <v>22.80000000000291</v>
      </c>
      <c r="AK18" s="19">
        <f>'15'!G91</f>
        <v>0</v>
      </c>
      <c r="AL18" s="19">
        <f>'15'!G92</f>
        <v>10.909999999999854</v>
      </c>
      <c r="AM18" s="19"/>
      <c r="AN18" s="19">
        <f t="shared" si="11"/>
        <v>10.909999999999854</v>
      </c>
      <c r="AO18" s="52">
        <f>'15'!G74</f>
        <v>113</v>
      </c>
      <c r="AP18" s="55">
        <f>'15'!G35</f>
        <v>3192.6100000000442</v>
      </c>
      <c r="AQ18" s="19">
        <f>'15'!G37</f>
        <v>1412.640000000014</v>
      </c>
      <c r="AR18" s="19">
        <f>'15'!G38</f>
        <v>2492.8800000000047</v>
      </c>
      <c r="AS18" s="19">
        <f>'15'!G39</f>
        <v>2641.6800000000512</v>
      </c>
      <c r="AT18" s="19">
        <f>'15'!G40</f>
        <v>252.89999999999418</v>
      </c>
      <c r="AU18" s="19">
        <f>'15'!G41</f>
        <v>0</v>
      </c>
      <c r="AV18" s="19">
        <f>'15'!G42</f>
        <v>0.43000000005122274</v>
      </c>
      <c r="AW18" s="19">
        <f>'15'!G43</f>
        <v>0</v>
      </c>
      <c r="AX18" s="23">
        <f>'15'!G44</f>
        <v>0</v>
      </c>
      <c r="AY18" s="56">
        <f>'15'!G36</f>
        <v>693.60000000003492</v>
      </c>
      <c r="AZ18" s="55">
        <f>'15'!G49</f>
        <v>543.28000000002794</v>
      </c>
      <c r="BA18" s="19">
        <f>'15'!G51</f>
        <v>0</v>
      </c>
      <c r="BB18" s="19">
        <f>'15'!G52</f>
        <v>-0.24000000000000021</v>
      </c>
      <c r="BC18" s="19">
        <f>'15'!G53</f>
        <v>0</v>
      </c>
      <c r="BD18" s="19">
        <f>'15'!G54</f>
        <v>250.89999999999418</v>
      </c>
      <c r="BE18" s="19">
        <f>'15'!G55</f>
        <v>0</v>
      </c>
      <c r="BF18" s="19">
        <f>'15'!G56</f>
        <v>2576.2800000000279</v>
      </c>
      <c r="BG18" s="19">
        <f>'15'!G57</f>
        <v>2621.3200000000652</v>
      </c>
      <c r="BH18" s="56">
        <f>'15'!G50</f>
        <v>1243.7200000000303</v>
      </c>
      <c r="BI18" s="60">
        <f t="shared" si="12"/>
        <v>2576.7100000000792</v>
      </c>
      <c r="BJ18" s="60">
        <f>'15'!G133</f>
        <v>0</v>
      </c>
      <c r="BK18" s="23">
        <f t="shared" si="13"/>
        <v>43.3079965872965</v>
      </c>
      <c r="BL18" s="23">
        <f t="shared" si="14"/>
        <v>12.805786085472992</v>
      </c>
      <c r="BM18" s="24">
        <f t="shared" si="15"/>
        <v>0.12083301016055255</v>
      </c>
      <c r="BN18" s="25">
        <f t="shared" si="16"/>
        <v>280817.39999999991</v>
      </c>
      <c r="BO18" s="38">
        <f t="shared" si="17"/>
        <v>5198.0300000001444</v>
      </c>
      <c r="BP18">
        <f t="shared" si="18"/>
        <v>0.76177237821694377</v>
      </c>
    </row>
    <row r="19" spans="1:68">
      <c r="A19" s="16">
        <v>16</v>
      </c>
      <c r="B19" s="26">
        <v>16</v>
      </c>
      <c r="C19" s="26"/>
      <c r="D19" s="19">
        <f>'16'!D3</f>
        <v>23</v>
      </c>
      <c r="E19" s="50">
        <f>'16'!D4</f>
        <v>0.77</v>
      </c>
      <c r="F19" s="50">
        <f>'16'!D2</f>
        <v>0.83</v>
      </c>
      <c r="G19" s="19">
        <f>'16'!G7</f>
        <v>21141</v>
      </c>
      <c r="H19" s="19">
        <f>'16'!G8</f>
        <v>21502.200000000012</v>
      </c>
      <c r="I19" s="19">
        <v>9</v>
      </c>
      <c r="J19" s="49">
        <f t="shared" si="3"/>
        <v>193519.8000000001</v>
      </c>
      <c r="K19" s="45">
        <f t="shared" si="4"/>
        <v>106.44653465346541</v>
      </c>
      <c r="L19" s="19">
        <f>'16'!G15</f>
        <v>1059</v>
      </c>
      <c r="M19" s="19">
        <v>56.2</v>
      </c>
      <c r="N19" s="41">
        <f t="shared" si="5"/>
        <v>59515.8</v>
      </c>
      <c r="O19" s="19">
        <f>'16'!G20</f>
        <v>272</v>
      </c>
      <c r="P19" s="19">
        <v>108</v>
      </c>
      <c r="Q19" s="46">
        <f t="shared" si="0"/>
        <v>29376</v>
      </c>
      <c r="R19" s="47">
        <f t="shared" si="1"/>
        <v>162.23309077895743</v>
      </c>
      <c r="S19" s="19">
        <f>'16'!G24</f>
        <v>0</v>
      </c>
      <c r="T19" s="19">
        <v>69</v>
      </c>
      <c r="U19" s="48">
        <f t="shared" si="6"/>
        <v>0</v>
      </c>
      <c r="V19" s="22">
        <f>'16'!G65</f>
        <v>107</v>
      </c>
      <c r="W19" s="22">
        <f>'16'!G66</f>
        <v>18</v>
      </c>
      <c r="X19" s="22">
        <f>'16'!G67</f>
        <v>16</v>
      </c>
      <c r="Y19" s="22">
        <f t="shared" si="7"/>
        <v>141</v>
      </c>
      <c r="Z19" s="19">
        <f>'16'!G84</f>
        <v>0</v>
      </c>
      <c r="AA19" s="19">
        <f>'16'!G85</f>
        <v>0</v>
      </c>
      <c r="AB19" s="19">
        <f>'16'!G86</f>
        <v>0</v>
      </c>
      <c r="AC19" s="19">
        <f>'16'!G87</f>
        <v>24.020000000004075</v>
      </c>
      <c r="AD19" s="19">
        <f t="shared" si="8"/>
        <v>24.020000000004075</v>
      </c>
      <c r="AE19" s="23">
        <f t="shared" si="2"/>
        <v>2955.1799999999348</v>
      </c>
      <c r="AF19" s="23">
        <f t="shared" si="9"/>
        <v>123.02997502079241</v>
      </c>
      <c r="AG19" s="19">
        <f>'16'!G88</f>
        <v>7.6100000000005821</v>
      </c>
      <c r="AH19" s="19">
        <f>'16'!G89</f>
        <v>1</v>
      </c>
      <c r="AI19" s="19">
        <f>'16'!G90</f>
        <v>9.5899999999965075</v>
      </c>
      <c r="AJ19" s="19">
        <f t="shared" si="10"/>
        <v>18.19999999999709</v>
      </c>
      <c r="AK19" s="19">
        <f>'16'!G91</f>
        <v>0</v>
      </c>
      <c r="AL19" s="19">
        <f>'16'!G92</f>
        <v>12.739999999999782</v>
      </c>
      <c r="AM19" s="19"/>
      <c r="AN19" s="19">
        <f t="shared" si="11"/>
        <v>12.739999999999782</v>
      </c>
      <c r="AO19" s="52">
        <f>'16'!G74</f>
        <v>356</v>
      </c>
      <c r="AP19" s="55">
        <f>'16'!G35</f>
        <v>1881.5999999999767</v>
      </c>
      <c r="AQ19" s="19">
        <f>'16'!G37</f>
        <v>1520.890000000014</v>
      </c>
      <c r="AR19" s="19">
        <f>'16'!G38</f>
        <v>2503.1300000000047</v>
      </c>
      <c r="AS19" s="19">
        <f>'16'!G39</f>
        <v>2793.1300000000047</v>
      </c>
      <c r="AT19" s="19">
        <f>'16'!G40</f>
        <v>247.13000000000466</v>
      </c>
      <c r="AU19" s="19">
        <f>'16'!G41</f>
        <v>0</v>
      </c>
      <c r="AV19" s="19">
        <f>'16'!G42</f>
        <v>-0.43000000005122274</v>
      </c>
      <c r="AW19" s="19">
        <f>'16'!G43</f>
        <v>0</v>
      </c>
      <c r="AX19" s="23">
        <f>'16'!G44</f>
        <v>0</v>
      </c>
      <c r="AY19" s="56">
        <f>'16'!G36</f>
        <v>698.60999999998603</v>
      </c>
      <c r="AZ19" s="55">
        <f>'16'!G49</f>
        <v>559.72999999998137</v>
      </c>
      <c r="BA19" s="19">
        <f>'16'!G51</f>
        <v>-0.44000000000232831</v>
      </c>
      <c r="BB19" s="19">
        <f>'16'!G52</f>
        <v>0</v>
      </c>
      <c r="BC19" s="19">
        <f>'16'!G53</f>
        <v>-3.0000000027939677E-2</v>
      </c>
      <c r="BD19" s="19">
        <f>'16'!G54</f>
        <v>212.02000000000407</v>
      </c>
      <c r="BE19" s="19">
        <f>'16'!G55</f>
        <v>0</v>
      </c>
      <c r="BF19" s="19">
        <f>'16'!G56</f>
        <v>2955.609999999986</v>
      </c>
      <c r="BG19" s="19">
        <f>'16'!G57</f>
        <v>2697.6899999999441</v>
      </c>
      <c r="BH19" s="56">
        <f>'16'!G50</f>
        <v>1176.4899999999907</v>
      </c>
      <c r="BI19" s="60">
        <f t="shared" si="12"/>
        <v>2955.1799999999348</v>
      </c>
      <c r="BJ19" s="60">
        <f>'16'!G133</f>
        <v>-0.16999999998370185</v>
      </c>
      <c r="BK19" s="23">
        <f t="shared" si="13"/>
        <v>37.643589958236056</v>
      </c>
      <c r="BL19" s="23">
        <f t="shared" si="14"/>
        <v>12.989833598422372</v>
      </c>
      <c r="BM19" s="24">
        <f t="shared" si="15"/>
        <v>0.11641273916157432</v>
      </c>
      <c r="BN19" s="25">
        <f t="shared" si="16"/>
        <v>282411.60000000009</v>
      </c>
      <c r="BO19" s="38">
        <f t="shared" si="17"/>
        <v>5652.6999999998952</v>
      </c>
      <c r="BP19">
        <f t="shared" si="18"/>
        <v>0.8404751992385715</v>
      </c>
    </row>
    <row r="20" spans="1:68">
      <c r="A20" s="16">
        <v>17</v>
      </c>
      <c r="B20" s="27">
        <v>17</v>
      </c>
      <c r="C20" s="26"/>
      <c r="D20" s="19">
        <f>'17'!D3</f>
        <v>23</v>
      </c>
      <c r="E20" s="50">
        <f>'17'!D4</f>
        <v>0.77</v>
      </c>
      <c r="F20" s="50">
        <f>'17'!D2</f>
        <v>0.91</v>
      </c>
      <c r="G20" s="19">
        <f>'17'!G7</f>
        <v>19508</v>
      </c>
      <c r="H20" s="19">
        <f>'17'!G8</f>
        <v>20053</v>
      </c>
      <c r="I20" s="19">
        <v>9</v>
      </c>
      <c r="J20" s="49">
        <f t="shared" si="3"/>
        <v>180477</v>
      </c>
      <c r="K20" s="45">
        <f t="shared" si="4"/>
        <v>99.272277227722768</v>
      </c>
      <c r="L20" s="19">
        <f>'17'!G15</f>
        <v>922</v>
      </c>
      <c r="M20" s="19">
        <v>56.2</v>
      </c>
      <c r="N20" s="41">
        <f t="shared" si="5"/>
        <v>51816.4</v>
      </c>
      <c r="O20" s="19">
        <f>'17'!G20</f>
        <v>205</v>
      </c>
      <c r="P20" s="19">
        <v>108</v>
      </c>
      <c r="Q20" s="46">
        <f t="shared" si="0"/>
        <v>22140</v>
      </c>
      <c r="R20" s="47">
        <f t="shared" si="1"/>
        <v>111.52214122511153</v>
      </c>
      <c r="S20" s="19">
        <f>'17'!G24</f>
        <v>0</v>
      </c>
      <c r="T20" s="19">
        <v>69</v>
      </c>
      <c r="U20" s="48">
        <f t="shared" si="6"/>
        <v>0</v>
      </c>
      <c r="V20" s="22">
        <f>'17'!G65</f>
        <v>118</v>
      </c>
      <c r="W20" s="22">
        <f>'17'!G66</f>
        <v>9</v>
      </c>
      <c r="X20" s="22">
        <f>'17'!G67</f>
        <v>19</v>
      </c>
      <c r="Y20" s="22">
        <f t="shared" si="7"/>
        <v>146</v>
      </c>
      <c r="Z20" s="19">
        <f>'17'!G84</f>
        <v>0</v>
      </c>
      <c r="AA20" s="19">
        <f>'17'!G85</f>
        <v>0</v>
      </c>
      <c r="AB20" s="19">
        <f>'17'!G86</f>
        <v>0</v>
      </c>
      <c r="AC20" s="19">
        <f>'17'!G87</f>
        <v>23.529999999998836</v>
      </c>
      <c r="AD20" s="19">
        <f t="shared" si="8"/>
        <v>23.529999999998836</v>
      </c>
      <c r="AE20" s="23">
        <f t="shared" si="2"/>
        <v>2147.3699999999953</v>
      </c>
      <c r="AF20" s="23">
        <f t="shared" si="9"/>
        <v>91.26094347641741</v>
      </c>
      <c r="AG20" s="19">
        <f>'17'!G88</f>
        <v>10</v>
      </c>
      <c r="AH20" s="19">
        <f>'17'!G89</f>
        <v>2</v>
      </c>
      <c r="AI20" s="19">
        <f>'17'!G90</f>
        <v>4</v>
      </c>
      <c r="AJ20" s="19">
        <f t="shared" si="10"/>
        <v>16</v>
      </c>
      <c r="AK20" s="19">
        <f>'17'!G91</f>
        <v>0</v>
      </c>
      <c r="AL20" s="19">
        <f>'17'!G92</f>
        <v>11</v>
      </c>
      <c r="AM20" s="19"/>
      <c r="AN20" s="19">
        <f t="shared" si="11"/>
        <v>11</v>
      </c>
      <c r="AO20" s="52">
        <f>'17'!G74</f>
        <v>300</v>
      </c>
      <c r="AP20" s="55">
        <f>'17'!G35</f>
        <v>2452</v>
      </c>
      <c r="AQ20" s="19">
        <f>'17'!G37</f>
        <v>1424</v>
      </c>
      <c r="AR20" s="19">
        <f>'17'!G38</f>
        <v>2431</v>
      </c>
      <c r="AS20" s="19">
        <f>'17'!G39</f>
        <v>2759</v>
      </c>
      <c r="AT20" s="19">
        <f>'17'!G40</f>
        <v>229</v>
      </c>
      <c r="AU20" s="19">
        <f>'17'!G41</f>
        <v>0</v>
      </c>
      <c r="AV20" s="19">
        <f>'17'!G42</f>
        <v>0</v>
      </c>
      <c r="AW20" s="19">
        <f>'17'!G43</f>
        <v>0</v>
      </c>
      <c r="AX20" s="23">
        <f>'17'!G44</f>
        <v>0</v>
      </c>
      <c r="AY20" s="56">
        <f>'17'!G36</f>
        <v>734</v>
      </c>
      <c r="AZ20" s="55">
        <f>'17'!G49</f>
        <v>541</v>
      </c>
      <c r="BA20" s="19">
        <f>'17'!G51</f>
        <v>0</v>
      </c>
      <c r="BB20" s="19">
        <f>'17'!G52</f>
        <v>0</v>
      </c>
      <c r="BC20" s="19">
        <f>'17'!G53</f>
        <v>0</v>
      </c>
      <c r="BD20" s="19">
        <f>'17'!G54</f>
        <v>315</v>
      </c>
      <c r="BE20" s="19">
        <f>'17'!G55</f>
        <v>0.36999999999534339</v>
      </c>
      <c r="BF20" s="19">
        <f>'17'!G56</f>
        <v>2147</v>
      </c>
      <c r="BG20" s="19">
        <f>'17'!G57</f>
        <v>2642</v>
      </c>
      <c r="BH20" s="56">
        <f>'17'!G50</f>
        <v>1107</v>
      </c>
      <c r="BI20" s="60">
        <f t="shared" si="12"/>
        <v>2147.3699999999953</v>
      </c>
      <c r="BJ20" s="60">
        <f>'17'!G133</f>
        <v>0</v>
      </c>
      <c r="BK20" s="23">
        <f t="shared" si="13"/>
        <v>38.809006133745548</v>
      </c>
      <c r="BL20" s="23">
        <f t="shared" si="14"/>
        <v>13.758539869346233</v>
      </c>
      <c r="BM20" s="24">
        <f t="shared" si="15"/>
        <v>0.12122874382885354</v>
      </c>
      <c r="BN20" s="25">
        <f t="shared" si="16"/>
        <v>254433.4</v>
      </c>
      <c r="BO20" s="38">
        <f t="shared" si="17"/>
        <v>4789.3699999999953</v>
      </c>
      <c r="BP20">
        <f t="shared" si="18"/>
        <v>0.72693977293428336</v>
      </c>
    </row>
    <row r="21" spans="1:68">
      <c r="A21" s="16">
        <v>18</v>
      </c>
      <c r="B21" s="27">
        <v>18</v>
      </c>
      <c r="C21" s="27"/>
      <c r="D21" s="19">
        <f>'18 '!D3</f>
        <v>22</v>
      </c>
      <c r="E21" s="50">
        <f>'18 '!D4</f>
        <v>0.78</v>
      </c>
      <c r="F21" s="50">
        <f>'18 '!D2</f>
        <v>0.82</v>
      </c>
      <c r="G21" s="19">
        <f>'18 '!G7</f>
        <v>20015</v>
      </c>
      <c r="H21" s="19">
        <f>'18 '!G8</f>
        <v>20452</v>
      </c>
      <c r="I21" s="19">
        <v>9</v>
      </c>
      <c r="J21" s="49">
        <f t="shared" si="3"/>
        <v>184068</v>
      </c>
      <c r="K21" s="45">
        <f t="shared" si="4"/>
        <v>101.24752475247524</v>
      </c>
      <c r="L21" s="19">
        <f>'18 '!G15</f>
        <v>1106</v>
      </c>
      <c r="M21" s="19">
        <v>56.2</v>
      </c>
      <c r="N21" s="41">
        <f t="shared" si="5"/>
        <v>62157.200000000004</v>
      </c>
      <c r="O21" s="19">
        <f>'18 '!G20</f>
        <v>284</v>
      </c>
      <c r="P21" s="19">
        <v>108</v>
      </c>
      <c r="Q21" s="46">
        <f t="shared" si="0"/>
        <v>30672</v>
      </c>
      <c r="R21" s="47">
        <f t="shared" si="1"/>
        <v>171.45617000724465</v>
      </c>
      <c r="S21" s="19">
        <f>'18 '!G24</f>
        <v>0</v>
      </c>
      <c r="T21" s="19">
        <v>69</v>
      </c>
      <c r="U21" s="48">
        <f t="shared" si="6"/>
        <v>0</v>
      </c>
      <c r="V21" s="22">
        <f>'18 '!G65</f>
        <v>127</v>
      </c>
      <c r="W21" s="22">
        <f>'18 '!G66</f>
        <v>7</v>
      </c>
      <c r="X21" s="22">
        <f>'18 '!G67</f>
        <v>25</v>
      </c>
      <c r="Y21" s="22">
        <f t="shared" si="7"/>
        <v>159</v>
      </c>
      <c r="Z21" s="19">
        <f>'18 '!G84</f>
        <v>0</v>
      </c>
      <c r="AA21" s="19">
        <f>'18 '!G85</f>
        <v>0</v>
      </c>
      <c r="AB21" s="19">
        <f>'18 '!G86</f>
        <v>0</v>
      </c>
      <c r="AC21" s="19">
        <f>'18 '!G87</f>
        <v>24.44999999999709</v>
      </c>
      <c r="AD21" s="19">
        <f t="shared" si="8"/>
        <v>24.44999999999709</v>
      </c>
      <c r="AE21" s="23">
        <f t="shared" si="2"/>
        <v>2492</v>
      </c>
      <c r="AF21" s="23">
        <f t="shared" si="9"/>
        <v>101.92229038856019</v>
      </c>
      <c r="AG21" s="19">
        <f>'18 '!G88</f>
        <v>8</v>
      </c>
      <c r="AH21" s="19">
        <f>'18 '!G89</f>
        <v>10.490000000001601</v>
      </c>
      <c r="AI21" s="19">
        <f>'18 '!G90</f>
        <v>0</v>
      </c>
      <c r="AJ21" s="19">
        <f t="shared" si="10"/>
        <v>18.490000000001601</v>
      </c>
      <c r="AK21" s="19">
        <f>'18 '!G91</f>
        <v>0</v>
      </c>
      <c r="AL21" s="19">
        <f>'18 '!G92</f>
        <v>10</v>
      </c>
      <c r="AM21" s="19"/>
      <c r="AN21" s="19">
        <f t="shared" si="11"/>
        <v>10</v>
      </c>
      <c r="AO21" s="52">
        <f>'18 '!G74</f>
        <v>283</v>
      </c>
      <c r="AP21" s="55">
        <f>'18 '!G35</f>
        <v>2431</v>
      </c>
      <c r="AQ21" s="19">
        <f>'18 '!G37</f>
        <v>1400</v>
      </c>
      <c r="AR21" s="19">
        <f>'18 '!G38</f>
        <v>2550</v>
      </c>
      <c r="AS21" s="19">
        <f>'18 '!G39</f>
        <v>2725</v>
      </c>
      <c r="AT21" s="19">
        <f>'18 '!G40</f>
        <v>211</v>
      </c>
      <c r="AU21" s="19">
        <f>'18 '!G41</f>
        <v>0</v>
      </c>
      <c r="AV21" s="19">
        <f>'18 '!G42</f>
        <v>0</v>
      </c>
      <c r="AW21" s="19">
        <f>'18 '!G43</f>
        <v>0</v>
      </c>
      <c r="AX21" s="23">
        <f>'18 '!G44</f>
        <v>0</v>
      </c>
      <c r="AY21" s="56">
        <f>'18 '!G36</f>
        <v>686</v>
      </c>
      <c r="AZ21" s="55">
        <f>'18 '!G49</f>
        <v>560</v>
      </c>
      <c r="BA21" s="19">
        <f>'18 '!G51</f>
        <v>0</v>
      </c>
      <c r="BB21" s="19">
        <f>'18 '!G52</f>
        <v>0</v>
      </c>
      <c r="BC21" s="19">
        <f>'18 '!G53</f>
        <v>0</v>
      </c>
      <c r="BD21" s="19">
        <f>'18 '!G54</f>
        <v>258</v>
      </c>
      <c r="BE21" s="19">
        <f>'18 '!G55</f>
        <v>0</v>
      </c>
      <c r="BF21" s="19">
        <f>'18 '!G56</f>
        <v>2492</v>
      </c>
      <c r="BG21" s="19">
        <f>'18 '!G57</f>
        <v>2635</v>
      </c>
      <c r="BH21" s="56">
        <f>'18 '!G50</f>
        <v>1107</v>
      </c>
      <c r="BI21" s="60">
        <f t="shared" si="12"/>
        <v>2492</v>
      </c>
      <c r="BJ21" s="60">
        <f>'18 '!G133</f>
        <v>0</v>
      </c>
      <c r="BK21" s="23">
        <f t="shared" si="13"/>
        <v>39.69293956581263</v>
      </c>
      <c r="BL21" s="23">
        <f t="shared" si="14"/>
        <v>13.323880305104634</v>
      </c>
      <c r="BM21" s="24">
        <f t="shared" si="15"/>
        <v>0.12468218267162136</v>
      </c>
      <c r="BN21" s="25">
        <f t="shared" si="16"/>
        <v>276897.2</v>
      </c>
      <c r="BO21" s="38">
        <f t="shared" si="17"/>
        <v>5127</v>
      </c>
      <c r="BP21">
        <f t="shared" si="18"/>
        <v>0.74890446976345459</v>
      </c>
    </row>
    <row r="22" spans="1:68">
      <c r="A22" s="16">
        <v>19</v>
      </c>
      <c r="B22" s="17">
        <v>19</v>
      </c>
      <c r="C22" s="27"/>
      <c r="D22" s="19">
        <f>'19'!D3</f>
        <v>29</v>
      </c>
      <c r="E22" s="50">
        <f>'19'!D4</f>
        <v>0.79</v>
      </c>
      <c r="F22" s="50">
        <f>'19'!D2</f>
        <v>0.82</v>
      </c>
      <c r="G22" s="19">
        <f>'19'!G7</f>
        <v>21220</v>
      </c>
      <c r="H22" s="19">
        <f>'19'!G8</f>
        <v>21656</v>
      </c>
      <c r="I22" s="19">
        <v>9</v>
      </c>
      <c r="J22" s="49">
        <f t="shared" si="3"/>
        <v>194904</v>
      </c>
      <c r="K22" s="45">
        <f t="shared" si="4"/>
        <v>107.20792079207921</v>
      </c>
      <c r="L22" s="19">
        <f>'19'!G15</f>
        <v>1171.7999999998137</v>
      </c>
      <c r="M22" s="19">
        <v>56.2</v>
      </c>
      <c r="N22" s="41">
        <f t="shared" si="5"/>
        <v>65855.159999989541</v>
      </c>
      <c r="O22" s="19">
        <f>'19'!G20</f>
        <v>231</v>
      </c>
      <c r="P22" s="19">
        <v>108</v>
      </c>
      <c r="Q22" s="46">
        <f t="shared" si="0"/>
        <v>24948</v>
      </c>
      <c r="R22" s="47">
        <f t="shared" si="1"/>
        <v>139.45906785800531</v>
      </c>
      <c r="S22" s="19">
        <f>'19'!G24</f>
        <v>0</v>
      </c>
      <c r="T22" s="19">
        <v>69</v>
      </c>
      <c r="U22" s="48">
        <f t="shared" si="6"/>
        <v>0</v>
      </c>
      <c r="V22" s="22">
        <f>'19'!G65</f>
        <v>126</v>
      </c>
      <c r="W22" s="22">
        <f>'19'!G66</f>
        <v>8</v>
      </c>
      <c r="X22" s="22">
        <f>'19'!G67</f>
        <v>26</v>
      </c>
      <c r="Y22" s="22">
        <f t="shared" si="7"/>
        <v>160</v>
      </c>
      <c r="Z22" s="19">
        <f>'19'!G84</f>
        <v>0</v>
      </c>
      <c r="AA22" s="19">
        <f>'19'!G85</f>
        <v>0</v>
      </c>
      <c r="AB22" s="19">
        <f>'19'!G86</f>
        <v>0</v>
      </c>
      <c r="AC22" s="19">
        <f>'19'!G87</f>
        <v>23.55000000000291</v>
      </c>
      <c r="AD22" s="19">
        <f t="shared" si="8"/>
        <v>23.55000000000291</v>
      </c>
      <c r="AE22" s="23">
        <f t="shared" si="2"/>
        <v>2703.4400000000605</v>
      </c>
      <c r="AF22" s="23">
        <f t="shared" si="9"/>
        <v>114.79575371548732</v>
      </c>
      <c r="AG22" s="19">
        <f>'19'!G88</f>
        <v>8.1399999999994179</v>
      </c>
      <c r="AH22" s="19">
        <f>'19'!G89</f>
        <v>9.8899999999994179</v>
      </c>
      <c r="AI22" s="19">
        <f>'19'!G90</f>
        <v>-0.19000000000232831</v>
      </c>
      <c r="AJ22" s="19">
        <f t="shared" si="10"/>
        <v>17.839999999996508</v>
      </c>
      <c r="AK22" s="19">
        <f>'19'!G91</f>
        <v>0</v>
      </c>
      <c r="AL22" s="19">
        <f>'19'!G92</f>
        <v>12.470000000000255</v>
      </c>
      <c r="AM22" s="19"/>
      <c r="AN22" s="19">
        <f t="shared" si="11"/>
        <v>12.470000000000255</v>
      </c>
      <c r="AO22" s="52">
        <f>'19'!G74</f>
        <v>335</v>
      </c>
      <c r="AP22" s="55">
        <f>'19'!G35</f>
        <v>2237.2700000000186</v>
      </c>
      <c r="AQ22" s="19">
        <f>'19'!G37</f>
        <v>1484.570000000007</v>
      </c>
      <c r="AR22" s="19">
        <f>'19'!G38</f>
        <v>2582.6700000000419</v>
      </c>
      <c r="AS22" s="19">
        <f>'19'!G39</f>
        <v>2754.6300000000047</v>
      </c>
      <c r="AT22" s="19">
        <f>'19'!G40</f>
        <v>205.86999999999534</v>
      </c>
      <c r="AU22" s="19">
        <f>'19'!G41</f>
        <v>3</v>
      </c>
      <c r="AV22" s="19">
        <f>'19'!G42</f>
        <v>0.43000000005122274</v>
      </c>
      <c r="AW22" s="19">
        <f>'19'!G43</f>
        <v>0</v>
      </c>
      <c r="AX22" s="23">
        <f>'19'!G44</f>
        <v>0</v>
      </c>
      <c r="AY22" s="56">
        <f>'19'!G36</f>
        <v>993.19000000000233</v>
      </c>
      <c r="AZ22" s="55">
        <f>'19'!G49</f>
        <v>571.18999999994412</v>
      </c>
      <c r="BA22" s="19">
        <f>'19'!G51</f>
        <v>0.44000000000232831</v>
      </c>
      <c r="BB22" s="19">
        <f>'19'!G52</f>
        <v>0</v>
      </c>
      <c r="BC22" s="19">
        <f>'19'!G53</f>
        <v>3.0000000027939677E-2</v>
      </c>
      <c r="BD22" s="19">
        <f>'19'!G54</f>
        <v>244.75</v>
      </c>
      <c r="BE22" s="19">
        <f>'19'!G55</f>
        <v>0</v>
      </c>
      <c r="BF22" s="19">
        <f>'19'!G56</f>
        <v>2700.0100000000093</v>
      </c>
      <c r="BG22" s="19">
        <f>'19'!G57</f>
        <v>2584</v>
      </c>
      <c r="BH22" s="56">
        <f>'19'!G50</f>
        <v>1693.8000000000466</v>
      </c>
      <c r="BI22" s="60">
        <f t="shared" si="12"/>
        <v>2703.4400000000605</v>
      </c>
      <c r="BJ22" s="60">
        <f>'19'!G133</f>
        <v>0</v>
      </c>
      <c r="BK22" s="23">
        <f t="shared" si="13"/>
        <v>37.384096786110192</v>
      </c>
      <c r="BL22" s="23">
        <f t="shared" si="14"/>
        <v>12.720077576653273</v>
      </c>
      <c r="BM22" s="24">
        <f t="shared" si="15"/>
        <v>0.11925886590321583</v>
      </c>
      <c r="BN22" s="25">
        <f t="shared" si="16"/>
        <v>285707.15999998956</v>
      </c>
      <c r="BO22" s="38">
        <f t="shared" si="17"/>
        <v>5287.4400000000605</v>
      </c>
      <c r="BP22">
        <f t="shared" si="18"/>
        <v>0.80185623293894559</v>
      </c>
    </row>
    <row r="23" spans="1:68">
      <c r="A23" s="16">
        <v>20</v>
      </c>
      <c r="B23" s="26">
        <v>20</v>
      </c>
      <c r="C23" s="26"/>
      <c r="D23" s="19">
        <f>'20'!D3</f>
        <v>23</v>
      </c>
      <c r="E23" s="50">
        <f>'20'!D4</f>
        <v>0.77</v>
      </c>
      <c r="F23" s="50">
        <f>'20'!D2</f>
        <v>0.87</v>
      </c>
      <c r="G23" s="19">
        <f>'20'!G7</f>
        <v>21027</v>
      </c>
      <c r="H23" s="19">
        <f>'20'!G8</f>
        <v>21411</v>
      </c>
      <c r="I23" s="19">
        <v>9</v>
      </c>
      <c r="J23" s="49">
        <f t="shared" si="3"/>
        <v>192699</v>
      </c>
      <c r="K23" s="45">
        <f t="shared" si="4"/>
        <v>105.9950495049505</v>
      </c>
      <c r="L23" s="19">
        <f>'20'!G15</f>
        <v>1194.2000000001863</v>
      </c>
      <c r="M23" s="19">
        <v>56.2</v>
      </c>
      <c r="N23" s="41">
        <f t="shared" si="5"/>
        <v>67114.040000010471</v>
      </c>
      <c r="O23" s="19">
        <f>'20'!G20</f>
        <v>276</v>
      </c>
      <c r="P23" s="19">
        <v>108</v>
      </c>
      <c r="Q23" s="46">
        <f t="shared" si="0"/>
        <v>29808</v>
      </c>
      <c r="R23" s="47">
        <f t="shared" si="1"/>
        <v>157.05018777739843</v>
      </c>
      <c r="S23" s="19">
        <f>'20'!G24</f>
        <v>0</v>
      </c>
      <c r="T23" s="19">
        <v>69</v>
      </c>
      <c r="U23" s="48">
        <f t="shared" si="6"/>
        <v>0</v>
      </c>
      <c r="V23" s="22">
        <f>'20'!G65</f>
        <v>139</v>
      </c>
      <c r="W23" s="22">
        <f>'20'!G66</f>
        <v>16</v>
      </c>
      <c r="X23" s="22">
        <f>'20'!G67</f>
        <v>24</v>
      </c>
      <c r="Y23" s="22">
        <f t="shared" si="7"/>
        <v>179</v>
      </c>
      <c r="Z23" s="19">
        <f>'20'!G84</f>
        <v>0</v>
      </c>
      <c r="AA23" s="19">
        <f>'20'!G85</f>
        <v>0</v>
      </c>
      <c r="AB23" s="19">
        <f>'20'!G86</f>
        <v>0</v>
      </c>
      <c r="AC23" s="19">
        <f>'20'!G87</f>
        <v>24</v>
      </c>
      <c r="AD23" s="19">
        <f t="shared" si="8"/>
        <v>24</v>
      </c>
      <c r="AE23" s="23">
        <f t="shared" si="2"/>
        <v>2725.1899999999441</v>
      </c>
      <c r="AF23" s="23">
        <f t="shared" si="9"/>
        <v>113.549583333331</v>
      </c>
      <c r="AG23" s="19">
        <f>'20'!G88</f>
        <v>7.8600000000005821</v>
      </c>
      <c r="AH23" s="19">
        <f>'20'!G89</f>
        <v>11.619999999998981</v>
      </c>
      <c r="AI23" s="19">
        <f>'20'!G90</f>
        <v>0.19000000000232831</v>
      </c>
      <c r="AJ23" s="19">
        <f t="shared" si="10"/>
        <v>19.670000000001892</v>
      </c>
      <c r="AK23" s="19">
        <f>'20'!G91</f>
        <v>0</v>
      </c>
      <c r="AL23" s="19">
        <f>'20'!G92</f>
        <v>11.529999999999745</v>
      </c>
      <c r="AM23" s="19"/>
      <c r="AN23" s="19">
        <f t="shared" si="11"/>
        <v>11.529999999999745</v>
      </c>
      <c r="AO23" s="52">
        <f>'20'!G74</f>
        <v>329</v>
      </c>
      <c r="AP23" s="55">
        <f>'20'!G35</f>
        <v>2251.7299999999814</v>
      </c>
      <c r="AQ23" s="19">
        <f>'20'!G37</f>
        <v>1460.429999999993</v>
      </c>
      <c r="AR23" s="19">
        <f>'20'!G38</f>
        <v>2619.3299999999581</v>
      </c>
      <c r="AS23" s="19">
        <f>'20'!G39</f>
        <v>2766.3699999999953</v>
      </c>
      <c r="AT23" s="19">
        <f>'20'!G40</f>
        <v>209.13000000000466</v>
      </c>
      <c r="AU23" s="19">
        <f>'20'!G41</f>
        <v>0</v>
      </c>
      <c r="AV23" s="19">
        <f>'20'!G42</f>
        <v>-0.43000000005122274</v>
      </c>
      <c r="AW23" s="19">
        <f>'20'!G43</f>
        <v>0</v>
      </c>
      <c r="AX23" s="23">
        <f>'20'!G44</f>
        <v>0</v>
      </c>
      <c r="AY23" s="56">
        <f>'20'!G36</f>
        <v>853.80999999999767</v>
      </c>
      <c r="AZ23" s="55">
        <f>'20'!G49</f>
        <v>534.81000000005588</v>
      </c>
      <c r="BA23" s="19">
        <f>'20'!G51</f>
        <v>-0.44000000000232831</v>
      </c>
      <c r="BB23" s="19">
        <f>'20'!G52</f>
        <v>0</v>
      </c>
      <c r="BC23" s="19">
        <f>'20'!G588</f>
        <v>0</v>
      </c>
      <c r="BD23" s="19">
        <f>'20'!G54</f>
        <v>211.25</v>
      </c>
      <c r="BE23" s="19">
        <f>'20'!G55</f>
        <v>-0.36999999999534339</v>
      </c>
      <c r="BF23" s="19">
        <f>'20'!G56</f>
        <v>2725.9899999999907</v>
      </c>
      <c r="BG23" s="19">
        <f>'20'!G57</f>
        <v>2679</v>
      </c>
      <c r="BH23" s="56">
        <f>'20'!G50</f>
        <v>1490.1999999999534</v>
      </c>
      <c r="BI23" s="60">
        <f t="shared" si="12"/>
        <v>2725.1899999999441</v>
      </c>
      <c r="BJ23" s="60">
        <f>'20'!G133</f>
        <v>0</v>
      </c>
      <c r="BK23" s="23">
        <f t="shared" si="13"/>
        <v>38.254775582644349</v>
      </c>
      <c r="BL23" s="23">
        <f t="shared" si="14"/>
        <v>12.920321330157373</v>
      </c>
      <c r="BM23" s="24">
        <f t="shared" si="15"/>
        <v>0.122335715286533</v>
      </c>
      <c r="BN23" s="25">
        <f t="shared" si="16"/>
        <v>289621.04000001046</v>
      </c>
      <c r="BO23" s="38">
        <f t="shared" si="17"/>
        <v>5404.1899999999441</v>
      </c>
      <c r="BP23">
        <f t="shared" si="18"/>
        <v>0.80419494047618212</v>
      </c>
    </row>
    <row r="24" spans="1:68">
      <c r="A24" s="16">
        <v>21</v>
      </c>
      <c r="B24" s="26">
        <v>21</v>
      </c>
      <c r="C24" s="28"/>
      <c r="D24" s="19">
        <v>21</v>
      </c>
      <c r="E24" s="50">
        <f>'21'!D4</f>
        <v>0.77</v>
      </c>
      <c r="F24" s="50">
        <f>'21'!D2</f>
        <v>0.95</v>
      </c>
      <c r="G24" s="19">
        <f>'21'!G7</f>
        <v>20435</v>
      </c>
      <c r="H24" s="19">
        <f>'21'!G8</f>
        <v>20821</v>
      </c>
      <c r="I24" s="19">
        <v>9</v>
      </c>
      <c r="J24" s="49">
        <f t="shared" si="3"/>
        <v>187389</v>
      </c>
      <c r="K24" s="45">
        <f t="shared" si="4"/>
        <v>103.07425742574257</v>
      </c>
      <c r="L24" s="19">
        <f>'21'!G15</f>
        <v>1220</v>
      </c>
      <c r="M24" s="19">
        <v>56.2</v>
      </c>
      <c r="N24" s="41">
        <f t="shared" si="5"/>
        <v>68564</v>
      </c>
      <c r="O24" s="19">
        <f>'21'!G20</f>
        <v>261</v>
      </c>
      <c r="P24" s="19">
        <v>108</v>
      </c>
      <c r="Q24" s="46">
        <f t="shared" si="0"/>
        <v>28188</v>
      </c>
      <c r="R24" s="47">
        <f t="shared" si="1"/>
        <v>136.00833767587287</v>
      </c>
      <c r="S24" s="19">
        <f>'21'!G24</f>
        <v>0</v>
      </c>
      <c r="T24" s="19">
        <v>69</v>
      </c>
      <c r="U24" s="48">
        <f t="shared" si="6"/>
        <v>0</v>
      </c>
      <c r="V24" s="22">
        <f>'21'!G65</f>
        <v>149</v>
      </c>
      <c r="W24" s="22">
        <f>'21'!G66</f>
        <v>13</v>
      </c>
      <c r="X24" s="22">
        <f>'21'!G67</f>
        <v>24</v>
      </c>
      <c r="Y24" s="22">
        <f t="shared" si="7"/>
        <v>186</v>
      </c>
      <c r="Z24" s="19">
        <f>'21'!G84</f>
        <v>-0.34999999999854481</v>
      </c>
      <c r="AA24" s="19">
        <f>'21'!G85</f>
        <v>0</v>
      </c>
      <c r="AB24" s="19">
        <f>'21'!G86</f>
        <v>0</v>
      </c>
      <c r="AC24" s="19">
        <f>'21'!G87</f>
        <v>24</v>
      </c>
      <c r="AD24" s="19">
        <f t="shared" si="8"/>
        <v>23.650000000001455</v>
      </c>
      <c r="AE24" s="23">
        <f t="shared" si="2"/>
        <v>2544.859999999986</v>
      </c>
      <c r="AF24" s="23">
        <f t="shared" si="9"/>
        <v>107.60507399576446</v>
      </c>
      <c r="AG24" s="19">
        <f>'21'!G88</f>
        <v>6</v>
      </c>
      <c r="AH24" s="19">
        <f>'21'!G89</f>
        <v>9.5999999999985448</v>
      </c>
      <c r="AI24" s="19">
        <f>'21'!G90</f>
        <v>8</v>
      </c>
      <c r="AJ24" s="19">
        <f t="shared" si="10"/>
        <v>23.599999999998545</v>
      </c>
      <c r="AK24" s="19">
        <f>'21'!G91</f>
        <v>0</v>
      </c>
      <c r="AL24" s="19">
        <f>'21'!G92</f>
        <v>12</v>
      </c>
      <c r="AM24" s="19"/>
      <c r="AN24" s="19">
        <f t="shared" si="11"/>
        <v>12</v>
      </c>
      <c r="AO24" s="52">
        <f>'21'!G74</f>
        <v>324</v>
      </c>
      <c r="AP24" s="55">
        <f>'21'!G35</f>
        <v>2262</v>
      </c>
      <c r="AQ24" s="19">
        <f>'21'!G37</f>
        <v>1407</v>
      </c>
      <c r="AR24" s="19">
        <f>'21'!G38</f>
        <v>2664</v>
      </c>
      <c r="AS24" s="19">
        <f>'21'!G39</f>
        <v>2740</v>
      </c>
      <c r="AT24" s="19">
        <f>'21'!G40</f>
        <v>210</v>
      </c>
      <c r="AU24" s="19">
        <f>'21'!G41</f>
        <v>0.48999999999068677</v>
      </c>
      <c r="AV24" s="19">
        <f>'21'!G42</f>
        <v>0</v>
      </c>
      <c r="AW24" s="19">
        <f>'21'!G43</f>
        <v>0</v>
      </c>
      <c r="AX24" s="23">
        <f>'21'!G44</f>
        <v>0</v>
      </c>
      <c r="AY24" s="56">
        <f>'21'!G36</f>
        <v>944</v>
      </c>
      <c r="AZ24" s="55">
        <f>'21'!G49</f>
        <v>533</v>
      </c>
      <c r="BA24" s="19">
        <f>'21'!G51</f>
        <v>0</v>
      </c>
      <c r="BB24" s="19">
        <f>'21'!G52</f>
        <v>0</v>
      </c>
      <c r="BC24" s="19">
        <f>'21'!G53</f>
        <v>0</v>
      </c>
      <c r="BD24" s="19">
        <f>'21'!G54</f>
        <v>213</v>
      </c>
      <c r="BE24" s="19">
        <f>'21'!G55</f>
        <v>0.36999999999534339</v>
      </c>
      <c r="BF24" s="19">
        <f>'21'!G56</f>
        <v>2544</v>
      </c>
      <c r="BG24" s="19">
        <f>'21'!G57</f>
        <v>2637</v>
      </c>
      <c r="BH24" s="56">
        <f>'21'!G50</f>
        <v>1159</v>
      </c>
      <c r="BI24" s="60">
        <f t="shared" si="12"/>
        <v>2544.859999999986</v>
      </c>
      <c r="BJ24" s="60">
        <f>'21'!G133</f>
        <v>0</v>
      </c>
      <c r="BK24" s="23">
        <f t="shared" si="13"/>
        <v>38.311608472215482</v>
      </c>
      <c r="BL24" s="23">
        <f t="shared" si="14"/>
        <v>13.159790596032851</v>
      </c>
      <c r="BM24" s="24">
        <f t="shared" si="15"/>
        <v>0.12794774506507853</v>
      </c>
      <c r="BN24" s="25">
        <f t="shared" si="16"/>
        <v>284141</v>
      </c>
      <c r="BO24" s="38">
        <f t="shared" si="17"/>
        <v>5181.859999999986</v>
      </c>
      <c r="BP24">
        <f t="shared" si="18"/>
        <v>0.78252189670789296</v>
      </c>
    </row>
    <row r="25" spans="1:68">
      <c r="A25" s="16">
        <v>22</v>
      </c>
      <c r="B25" s="27">
        <v>22</v>
      </c>
      <c r="C25" s="28"/>
      <c r="D25" s="19">
        <f>'22'!D3</f>
        <v>23</v>
      </c>
      <c r="E25" s="50">
        <f>'22'!D4</f>
        <v>0.77</v>
      </c>
      <c r="F25" s="50">
        <f>'22'!D2</f>
        <v>0.9</v>
      </c>
      <c r="G25" s="19">
        <f>'22'!G7</f>
        <v>19181</v>
      </c>
      <c r="H25" s="19">
        <f>'22'!G8</f>
        <v>19708</v>
      </c>
      <c r="I25" s="19">
        <v>9</v>
      </c>
      <c r="J25" s="49">
        <f t="shared" si="3"/>
        <v>177372</v>
      </c>
      <c r="K25" s="45">
        <f t="shared" si="4"/>
        <v>97.56435643564356</v>
      </c>
      <c r="L25" s="19">
        <f>'22'!G15</f>
        <v>1281</v>
      </c>
      <c r="M25" s="19">
        <v>56.2</v>
      </c>
      <c r="N25" s="41">
        <f t="shared" si="5"/>
        <v>71992.2</v>
      </c>
      <c r="O25" s="19">
        <f>'22'!G20</f>
        <v>275</v>
      </c>
      <c r="P25" s="19">
        <v>108</v>
      </c>
      <c r="Q25" s="46">
        <f t="shared" si="0"/>
        <v>29700</v>
      </c>
      <c r="R25" s="47">
        <f t="shared" si="1"/>
        <v>151.26512651265125</v>
      </c>
      <c r="S25" s="19">
        <f>'22'!G24</f>
        <v>0</v>
      </c>
      <c r="T25" s="19">
        <v>69</v>
      </c>
      <c r="U25" s="48">
        <f t="shared" si="6"/>
        <v>0</v>
      </c>
      <c r="V25" s="22">
        <f>'22'!G65</f>
        <v>141</v>
      </c>
      <c r="W25" s="22">
        <f>'22'!G66</f>
        <v>57</v>
      </c>
      <c r="X25" s="22">
        <f>'22'!G67</f>
        <v>26</v>
      </c>
      <c r="Y25" s="22">
        <f t="shared" si="7"/>
        <v>224</v>
      </c>
      <c r="Z25" s="19">
        <f>'22'!G84</f>
        <v>0</v>
      </c>
      <c r="AA25" s="19">
        <f>'22'!G85</f>
        <v>0</v>
      </c>
      <c r="AB25" s="19">
        <f>'22'!G86</f>
        <v>0</v>
      </c>
      <c r="AC25" s="19">
        <f>'22'!G87</f>
        <v>24</v>
      </c>
      <c r="AD25" s="19">
        <f t="shared" si="8"/>
        <v>24</v>
      </c>
      <c r="AE25" s="23">
        <f t="shared" si="2"/>
        <v>2007</v>
      </c>
      <c r="AF25" s="23">
        <f t="shared" si="9"/>
        <v>83.625</v>
      </c>
      <c r="AG25" s="19">
        <f>'22'!G88</f>
        <v>4</v>
      </c>
      <c r="AH25" s="19">
        <f>'22'!G89</f>
        <v>10.400000000001455</v>
      </c>
      <c r="AI25" s="19">
        <f>'22'!G90</f>
        <v>10</v>
      </c>
      <c r="AJ25" s="19">
        <f t="shared" si="10"/>
        <v>24.400000000001455</v>
      </c>
      <c r="AK25" s="19">
        <f>'22'!G91</f>
        <v>0</v>
      </c>
      <c r="AL25" s="19">
        <f>'22'!G92</f>
        <v>12</v>
      </c>
      <c r="AM25" s="19"/>
      <c r="AN25" s="19">
        <f t="shared" si="11"/>
        <v>12</v>
      </c>
      <c r="AO25" s="52">
        <f>'22'!G74</f>
        <v>336</v>
      </c>
      <c r="AP25" s="55">
        <f>'22'!G35</f>
        <v>2197</v>
      </c>
      <c r="AQ25" s="19">
        <f>'22'!G37</f>
        <v>1477</v>
      </c>
      <c r="AR25" s="19">
        <f>'22'!G38</f>
        <v>2557</v>
      </c>
      <c r="AS25" s="19">
        <f>'22'!G39</f>
        <v>2680</v>
      </c>
      <c r="AT25" s="19">
        <f>'22'!G40</f>
        <v>215</v>
      </c>
      <c r="AU25" s="19">
        <f>'22'!G41</f>
        <v>0</v>
      </c>
      <c r="AV25" s="19">
        <f>'22'!G42</f>
        <v>0</v>
      </c>
      <c r="AW25" s="19">
        <f>'22'!G43</f>
        <v>0</v>
      </c>
      <c r="AX25" s="23">
        <f>'22'!G44</f>
        <v>0</v>
      </c>
      <c r="AY25" s="56">
        <f>'22'!G36</f>
        <v>921</v>
      </c>
      <c r="AZ25" s="55">
        <f>'22'!G49</f>
        <v>559</v>
      </c>
      <c r="BA25" s="19">
        <f>'22'!G51</f>
        <v>0</v>
      </c>
      <c r="BB25" s="19">
        <f>'22'!G52</f>
        <v>0</v>
      </c>
      <c r="BC25" s="19">
        <f>'22'!G53</f>
        <v>0</v>
      </c>
      <c r="BD25" s="19">
        <f>'22'!G54</f>
        <v>325</v>
      </c>
      <c r="BE25" s="19">
        <f>'22'!G55</f>
        <v>0</v>
      </c>
      <c r="BF25" s="19">
        <f>'22'!G56</f>
        <v>2007</v>
      </c>
      <c r="BG25" s="19">
        <f>'22'!G57</f>
        <v>2638</v>
      </c>
      <c r="BH25" s="56">
        <f>'22'!G50</f>
        <v>1059</v>
      </c>
      <c r="BI25" s="60">
        <f t="shared" si="12"/>
        <v>2007</v>
      </c>
      <c r="BJ25" s="60">
        <f>'22'!G133</f>
        <v>0</v>
      </c>
      <c r="BK25" s="23">
        <f t="shared" si="13"/>
        <v>37.553277856707936</v>
      </c>
      <c r="BL25" s="23">
        <f t="shared" si="14"/>
        <v>13.598538664501724</v>
      </c>
      <c r="BM25" s="24">
        <f t="shared" si="15"/>
        <v>0.12974426628780192</v>
      </c>
      <c r="BN25" s="25">
        <f t="shared" si="16"/>
        <v>279064.2</v>
      </c>
      <c r="BO25" s="38">
        <f t="shared" si="17"/>
        <v>4645</v>
      </c>
      <c r="BP25">
        <f t="shared" si="18"/>
        <v>0.69122023809523814</v>
      </c>
    </row>
    <row r="26" spans="1:68">
      <c r="A26" s="16">
        <v>23</v>
      </c>
      <c r="B26" s="27">
        <v>23</v>
      </c>
      <c r="C26" s="28"/>
      <c r="D26" s="19">
        <f>'23'!D3</f>
        <v>29</v>
      </c>
      <c r="E26" s="50">
        <f>'23'!D4</f>
        <v>0.79</v>
      </c>
      <c r="F26" s="50">
        <f>'23'!D2</f>
        <v>0.78</v>
      </c>
      <c r="G26" s="19">
        <f>'23'!G7</f>
        <v>19773.799999999988</v>
      </c>
      <c r="H26" s="19">
        <f>'23'!G8</f>
        <v>20249</v>
      </c>
      <c r="I26" s="19">
        <v>9</v>
      </c>
      <c r="J26" s="49">
        <f t="shared" si="3"/>
        <v>182241</v>
      </c>
      <c r="K26" s="45">
        <f t="shared" si="4"/>
        <v>100.24257425742574</v>
      </c>
      <c r="L26" s="19">
        <f>'23'!G15</f>
        <v>1201</v>
      </c>
      <c r="M26" s="19">
        <v>56.2</v>
      </c>
      <c r="N26" s="41">
        <f t="shared" si="5"/>
        <v>67496.2</v>
      </c>
      <c r="O26" s="19">
        <f>'23'!G20</f>
        <v>275</v>
      </c>
      <c r="P26" s="19">
        <v>108</v>
      </c>
      <c r="Q26" s="46">
        <f t="shared" si="0"/>
        <v>29700</v>
      </c>
      <c r="R26" s="47">
        <f t="shared" si="1"/>
        <v>174.53668443767452</v>
      </c>
      <c r="S26" s="19">
        <f>'23'!G24</f>
        <v>0</v>
      </c>
      <c r="T26" s="19">
        <v>69</v>
      </c>
      <c r="U26" s="48">
        <f t="shared" si="6"/>
        <v>0</v>
      </c>
      <c r="V26" s="22">
        <f>'23'!G65</f>
        <v>116</v>
      </c>
      <c r="W26" s="22">
        <f>'23'!G66</f>
        <v>35</v>
      </c>
      <c r="X26" s="22">
        <f>'23'!G67</f>
        <v>21</v>
      </c>
      <c r="Y26" s="22">
        <f t="shared" si="7"/>
        <v>172</v>
      </c>
      <c r="Z26" s="19">
        <f>'23'!G84</f>
        <v>0</v>
      </c>
      <c r="AA26" s="19">
        <f>'23'!G85</f>
        <v>0</v>
      </c>
      <c r="AB26" s="19">
        <f>'23'!G86</f>
        <v>19.129999999997381</v>
      </c>
      <c r="AC26" s="19">
        <f>'23'!G87</f>
        <v>6.4199999999982538</v>
      </c>
      <c r="AD26" s="19">
        <f t="shared" si="8"/>
        <v>25.549999999995634</v>
      </c>
      <c r="AE26" s="23">
        <f t="shared" si="2"/>
        <v>2704.9099999999744</v>
      </c>
      <c r="AF26" s="23">
        <f t="shared" si="9"/>
        <v>105.86731898240456</v>
      </c>
      <c r="AG26" s="19">
        <f>'23'!G88</f>
        <v>4.3699999999989814</v>
      </c>
      <c r="AH26" s="19">
        <f>'23'!G89</f>
        <v>9.8699999999989814</v>
      </c>
      <c r="AI26" s="19">
        <f>'23'!G90</f>
        <v>9.3800000000046566</v>
      </c>
      <c r="AJ26" s="19">
        <f t="shared" si="10"/>
        <v>23.620000000002619</v>
      </c>
      <c r="AK26" s="19">
        <f>'23'!G91</f>
        <v>0</v>
      </c>
      <c r="AL26" s="19">
        <f>'23'!G92</f>
        <v>10.340000000000146</v>
      </c>
      <c r="AM26" s="19"/>
      <c r="AN26" s="19">
        <f t="shared" si="11"/>
        <v>10.340000000000146</v>
      </c>
      <c r="AO26" s="52">
        <f>'23'!G74</f>
        <v>282.53399999999965</v>
      </c>
      <c r="AP26" s="55">
        <f>'23'!G35</f>
        <v>2105.9899999999907</v>
      </c>
      <c r="AQ26" s="19">
        <f>'23'!G37</f>
        <v>1518.4699999999721</v>
      </c>
      <c r="AR26" s="19">
        <f>'23'!G38</f>
        <v>2587.9100000000326</v>
      </c>
      <c r="AS26" s="19">
        <f>'23'!G39</f>
        <v>2702.6700000000419</v>
      </c>
      <c r="AT26" s="19">
        <f>'23'!G40</f>
        <v>205.86999999999534</v>
      </c>
      <c r="AU26" s="19">
        <f>'23'!G41</f>
        <v>-3.5</v>
      </c>
      <c r="AV26" s="19">
        <f>'23'!G42</f>
        <v>0</v>
      </c>
      <c r="AW26" s="19">
        <f>'23'!G43</f>
        <v>0</v>
      </c>
      <c r="AX26" s="23">
        <f>'23'!G44</f>
        <v>0</v>
      </c>
      <c r="AY26" s="56">
        <f>'23'!G36</f>
        <v>1190.5100000000093</v>
      </c>
      <c r="AZ26" s="55">
        <f>'23'!G49</f>
        <v>575.5899999999674</v>
      </c>
      <c r="BA26" s="19">
        <f>'23'!G51</f>
        <v>0</v>
      </c>
      <c r="BB26" s="19">
        <f>'23'!G52</f>
        <v>0</v>
      </c>
      <c r="BC26" s="19">
        <f>'23'!G53</f>
        <v>0</v>
      </c>
      <c r="BD26" s="19">
        <f>'23'!G54</f>
        <v>297.94999999999709</v>
      </c>
      <c r="BE26" s="19">
        <f>'23'!G55</f>
        <v>2383.5</v>
      </c>
      <c r="BF26" s="19">
        <f>'23'!G56</f>
        <v>324.90999999997439</v>
      </c>
      <c r="BG26" s="19">
        <f>'23'!G57</f>
        <v>2429.0300000000279</v>
      </c>
      <c r="BH26" s="56">
        <f>'23'!G50</f>
        <v>1081.109999999986</v>
      </c>
      <c r="BI26" s="60">
        <f t="shared" si="12"/>
        <v>2704.9099999999744</v>
      </c>
      <c r="BJ26" s="60">
        <f>'23'!G133</f>
        <v>0.16999999998370185</v>
      </c>
      <c r="BK26" s="23">
        <f t="shared" si="13"/>
        <v>38.597066521803349</v>
      </c>
      <c r="BL26" s="23">
        <f t="shared" si="14"/>
        <v>13.347177638402103</v>
      </c>
      <c r="BM26" s="24">
        <f t="shared" si="15"/>
        <v>0.12780433601659502</v>
      </c>
      <c r="BN26" s="25">
        <f t="shared" si="16"/>
        <v>279437.2</v>
      </c>
      <c r="BO26" s="38">
        <f t="shared" si="17"/>
        <v>5134.109999999986</v>
      </c>
      <c r="BP26">
        <f t="shared" si="18"/>
        <v>0.71765585686341393</v>
      </c>
    </row>
    <row r="27" spans="1:68">
      <c r="A27" s="16">
        <v>24</v>
      </c>
      <c r="B27" s="17">
        <v>24</v>
      </c>
      <c r="C27" s="28"/>
      <c r="D27" s="19">
        <f>'24'!D3</f>
        <v>29</v>
      </c>
      <c r="E27" s="50">
        <f>'24'!D4</f>
        <v>0.79</v>
      </c>
      <c r="F27" s="50">
        <f>'24'!D2</f>
        <v>0.41</v>
      </c>
      <c r="G27" s="19">
        <f>'24'!G7</f>
        <v>18979.270000000019</v>
      </c>
      <c r="H27" s="19">
        <f>'24'!G8</f>
        <v>19443.510000000009</v>
      </c>
      <c r="I27" s="19">
        <v>9</v>
      </c>
      <c r="J27" s="49">
        <f t="shared" si="3"/>
        <v>174991.59000000008</v>
      </c>
      <c r="K27" s="45">
        <f t="shared" si="4"/>
        <v>96.255000000000052</v>
      </c>
      <c r="L27" s="19">
        <f>'24'!G15</f>
        <v>1139.910000000149</v>
      </c>
      <c r="M27" s="19">
        <v>56.2</v>
      </c>
      <c r="N27" s="41">
        <f t="shared" si="5"/>
        <v>64062.942000008377</v>
      </c>
      <c r="O27" s="19">
        <f>'24'!G20</f>
        <v>298</v>
      </c>
      <c r="P27" s="19">
        <v>108</v>
      </c>
      <c r="Q27" s="46">
        <f t="shared" si="0"/>
        <v>32184</v>
      </c>
      <c r="R27" s="47">
        <f t="shared" si="1"/>
        <v>359.81646945182325</v>
      </c>
      <c r="S27" s="19">
        <f>'24'!G24</f>
        <v>0</v>
      </c>
      <c r="T27" s="19">
        <v>69</v>
      </c>
      <c r="U27" s="48">
        <f t="shared" si="6"/>
        <v>0</v>
      </c>
      <c r="V27" s="22">
        <f>'24'!G65</f>
        <v>133</v>
      </c>
      <c r="W27" s="22">
        <f>'24'!G66</f>
        <v>36</v>
      </c>
      <c r="X27" s="22">
        <f>'24'!G67</f>
        <v>21</v>
      </c>
      <c r="Y27" s="22">
        <f t="shared" si="7"/>
        <v>190</v>
      </c>
      <c r="Z27" s="19">
        <f>'24'!G84</f>
        <v>0</v>
      </c>
      <c r="AA27" s="19">
        <f>'24'!G85</f>
        <v>0</v>
      </c>
      <c r="AB27" s="19">
        <f>'24'!G86</f>
        <v>24.290000000000873</v>
      </c>
      <c r="AC27" s="19">
        <f>'24'!G87</f>
        <v>0</v>
      </c>
      <c r="AD27" s="19">
        <f t="shared" si="8"/>
        <v>24.290000000000873</v>
      </c>
      <c r="AE27" s="23">
        <f t="shared" si="2"/>
        <v>2847.0200000000186</v>
      </c>
      <c r="AF27" s="23">
        <f t="shared" si="9"/>
        <v>117.20955125565732</v>
      </c>
      <c r="AG27" s="19">
        <f>'24'!G88</f>
        <v>4.8700000000026193</v>
      </c>
      <c r="AH27" s="19">
        <f>'24'!G89</f>
        <v>10.900000000001455</v>
      </c>
      <c r="AI27" s="19">
        <f>'24'!G90</f>
        <v>6.1699999999982538</v>
      </c>
      <c r="AJ27" s="19">
        <f t="shared" si="10"/>
        <v>21.940000000002328</v>
      </c>
      <c r="AK27" s="19">
        <f>'24'!G91</f>
        <v>0.21000000000003638</v>
      </c>
      <c r="AL27" s="19">
        <f>'24'!G92</f>
        <v>10.920000000000073</v>
      </c>
      <c r="AM27" s="19"/>
      <c r="AN27" s="19">
        <f t="shared" si="11"/>
        <v>11.130000000000109</v>
      </c>
      <c r="AO27" s="52">
        <f>'24'!G74</f>
        <v>298.46600000000035</v>
      </c>
      <c r="AP27" s="55">
        <f>'24'!G35</f>
        <v>1984.640000000014</v>
      </c>
      <c r="AQ27" s="19">
        <f>'24'!G37</f>
        <v>1513.320000000007</v>
      </c>
      <c r="AR27" s="19">
        <f>'24'!G38</f>
        <v>2661.9199999999255</v>
      </c>
      <c r="AS27" s="19">
        <f>'24'!G39</f>
        <v>2635.5999999999767</v>
      </c>
      <c r="AT27" s="19">
        <f>'24'!G40</f>
        <v>209.52000000001863</v>
      </c>
      <c r="AU27" s="19">
        <f>'24'!G41</f>
        <v>1.0000000009313226E-2</v>
      </c>
      <c r="AV27" s="19">
        <f>'24'!G42</f>
        <v>0</v>
      </c>
      <c r="AW27" s="19">
        <f>'24'!G43</f>
        <v>0</v>
      </c>
      <c r="AX27" s="23">
        <f>'24'!G44</f>
        <v>0</v>
      </c>
      <c r="AY27" s="56">
        <f>'24'!G36</f>
        <v>801.11999999999534</v>
      </c>
      <c r="AZ27" s="55">
        <f>'24'!G49</f>
        <v>564.08000000007451</v>
      </c>
      <c r="BA27" s="19">
        <f>'24'!G51</f>
        <v>0.44000000000232831</v>
      </c>
      <c r="BB27" s="19">
        <f>'24'!G52</f>
        <v>1447.67</v>
      </c>
      <c r="BC27" s="19">
        <f>'24'!G53</f>
        <v>0</v>
      </c>
      <c r="BD27" s="19">
        <f>'24'!G54</f>
        <v>344.58999999999651</v>
      </c>
      <c r="BE27" s="19">
        <f>'24'!G55</f>
        <v>2847.0100000000093</v>
      </c>
      <c r="BF27" s="19">
        <f>'24'!G56</f>
        <v>0</v>
      </c>
      <c r="BG27" s="19">
        <f>'24'!G57</f>
        <v>2368</v>
      </c>
      <c r="BH27" s="56">
        <f>'24'!G50</f>
        <v>1059.2000000000698</v>
      </c>
      <c r="BI27" s="60">
        <f t="shared" si="12"/>
        <v>2847.0200000000186</v>
      </c>
      <c r="BJ27" s="60">
        <f>'24'!G133</f>
        <v>433</v>
      </c>
      <c r="BK27" s="23">
        <f t="shared" si="13"/>
        <v>39.929724622766692</v>
      </c>
      <c r="BL27" s="23">
        <f t="shared" si="14"/>
        <v>13.555165708249053</v>
      </c>
      <c r="BM27" s="24">
        <f t="shared" si="15"/>
        <v>0.21136050023889327</v>
      </c>
      <c r="BN27" s="25">
        <f t="shared" si="16"/>
        <v>271238.53200000845</v>
      </c>
      <c r="BO27" s="38">
        <f t="shared" si="17"/>
        <v>5648.0200000000186</v>
      </c>
      <c r="BP27">
        <f t="shared" si="18"/>
        <v>0.83044462741866376</v>
      </c>
    </row>
    <row r="28" spans="1:68">
      <c r="A28" s="16">
        <v>25</v>
      </c>
      <c r="B28" s="26">
        <v>25</v>
      </c>
      <c r="C28" s="28"/>
      <c r="D28" s="19">
        <f>'25'!D3</f>
        <v>28</v>
      </c>
      <c r="E28" s="50">
        <f>'25'!D4</f>
        <v>0.79</v>
      </c>
      <c r="F28" s="50">
        <f>'25'!D2</f>
        <v>0.3861</v>
      </c>
      <c r="G28" s="19">
        <f>'25'!G7</f>
        <v>19232.039999999979</v>
      </c>
      <c r="H28" s="19">
        <f>'25'!G8</f>
        <v>19705.400000000023</v>
      </c>
      <c r="I28" s="19">
        <v>9</v>
      </c>
      <c r="J28" s="49">
        <f t="shared" si="3"/>
        <v>177348.60000000021</v>
      </c>
      <c r="K28" s="45">
        <f t="shared" si="4"/>
        <v>97.551485148514971</v>
      </c>
      <c r="L28" s="19">
        <f>'25'!G15</f>
        <v>1187.8899999996647</v>
      </c>
      <c r="M28" s="19">
        <v>56.2</v>
      </c>
      <c r="N28" s="41">
        <f t="shared" si="5"/>
        <v>66759.41799998116</v>
      </c>
      <c r="O28" s="19">
        <f>'25'!G20</f>
        <v>294</v>
      </c>
      <c r="P28" s="19">
        <v>108</v>
      </c>
      <c r="Q28" s="46">
        <f t="shared" si="0"/>
        <v>31752</v>
      </c>
      <c r="R28" s="47">
        <f t="shared" si="1"/>
        <v>376.96077300037695</v>
      </c>
      <c r="S28" s="19">
        <f>'25'!G24</f>
        <v>0</v>
      </c>
      <c r="T28" s="19">
        <v>69</v>
      </c>
      <c r="U28" s="48">
        <f t="shared" si="6"/>
        <v>0</v>
      </c>
      <c r="V28" s="22">
        <f>'25'!G65</f>
        <v>111</v>
      </c>
      <c r="W28" s="22">
        <f>'25'!G66</f>
        <v>43</v>
      </c>
      <c r="X28" s="22">
        <f>'25'!G67</f>
        <v>19</v>
      </c>
      <c r="Y28" s="22">
        <f t="shared" si="7"/>
        <v>173</v>
      </c>
      <c r="Z28" s="19">
        <f>'25'!G84</f>
        <v>0</v>
      </c>
      <c r="AA28" s="19">
        <f>'25'!G85</f>
        <v>0</v>
      </c>
      <c r="AB28" s="19">
        <f>'25'!G86</f>
        <v>24.099999999998545</v>
      </c>
      <c r="AC28" s="19">
        <f>'25'!G87</f>
        <v>-0.41999999999825377</v>
      </c>
      <c r="AD28" s="19">
        <f t="shared" si="8"/>
        <v>23.680000000000291</v>
      </c>
      <c r="AE28" s="23">
        <f t="shared" si="2"/>
        <v>2821.4800000000396</v>
      </c>
      <c r="AF28" s="23">
        <f t="shared" si="9"/>
        <v>119.15033783783805</v>
      </c>
      <c r="AG28" s="19">
        <f>'25'!G88</f>
        <v>8.4599999999991269</v>
      </c>
      <c r="AH28" s="19">
        <f>'25'!G89</f>
        <v>5.930000000000291</v>
      </c>
      <c r="AI28" s="19">
        <f>'25'!G90</f>
        <v>7.5500000000029104</v>
      </c>
      <c r="AJ28" s="19">
        <f t="shared" si="10"/>
        <v>21.940000000002328</v>
      </c>
      <c r="AK28" s="19">
        <f>'25'!G91</f>
        <v>0</v>
      </c>
      <c r="AL28" s="19">
        <f>'25'!G92</f>
        <v>12.309999999999491</v>
      </c>
      <c r="AM28" s="19"/>
      <c r="AN28" s="19">
        <f t="shared" si="11"/>
        <v>12.309999999999491</v>
      </c>
      <c r="AO28" s="52">
        <f>'25'!G74</f>
        <v>347.3799999999992</v>
      </c>
      <c r="AP28" s="55">
        <f>'25'!G35</f>
        <v>2042.3699999999953</v>
      </c>
      <c r="AQ28" s="19">
        <f>'25'!G37</f>
        <v>1452.210000000021</v>
      </c>
      <c r="AR28" s="19">
        <f>'25'!G38</f>
        <v>2636.1700000000419</v>
      </c>
      <c r="AS28" s="19">
        <f>'25'!G39</f>
        <v>2764.7299999999814</v>
      </c>
      <c r="AT28" s="19">
        <f>'25'!G40</f>
        <v>205.60999999998603</v>
      </c>
      <c r="AU28" s="19">
        <f>'25'!G41</f>
        <v>0</v>
      </c>
      <c r="AV28" s="19"/>
      <c r="AW28" s="19">
        <f>'25'!G43</f>
        <v>0</v>
      </c>
      <c r="AX28" s="23">
        <f>'25'!G44</f>
        <v>0</v>
      </c>
      <c r="AY28" s="56">
        <f>'25'!G36</f>
        <v>905.36999999999534</v>
      </c>
      <c r="AZ28" s="55">
        <f>'25'!G49</f>
        <v>511.32999999995809</v>
      </c>
      <c r="BA28" s="19">
        <f>'25'!G51</f>
        <v>-0.44000000000232831</v>
      </c>
      <c r="BB28" s="19">
        <f>'25'!G52</f>
        <v>-0.43000000000006366</v>
      </c>
      <c r="BC28" s="19">
        <f>'25'!G53</f>
        <v>0</v>
      </c>
      <c r="BD28" s="19">
        <f>'24'!G54</f>
        <v>344.58999999999651</v>
      </c>
      <c r="BE28" s="19">
        <f>'25'!G55</f>
        <v>2821.4899999999907</v>
      </c>
      <c r="BF28" s="19">
        <f>'25'!G56</f>
        <v>-9.9999999511055648E-3</v>
      </c>
      <c r="BG28" s="19">
        <f>'25'!G57</f>
        <v>2369.6699999999255</v>
      </c>
      <c r="BH28" s="56">
        <f>'25'!G50</f>
        <v>1110.6899999999441</v>
      </c>
      <c r="BI28" s="60">
        <f t="shared" si="12"/>
        <v>2821.4800000000396</v>
      </c>
      <c r="BJ28" s="60">
        <f>'25'!G133</f>
        <v>489</v>
      </c>
      <c r="BK28" s="23">
        <f t="shared" si="13"/>
        <v>39.303185928729739</v>
      </c>
      <c r="BL28" s="23">
        <f t="shared" si="14"/>
        <v>14.030316562972475</v>
      </c>
      <c r="BM28" s="24">
        <f t="shared" si="15"/>
        <v>0.13375724420717358</v>
      </c>
      <c r="BN28" s="25">
        <f t="shared" si="16"/>
        <v>275860.01799998136</v>
      </c>
      <c r="BO28" s="38">
        <f t="shared" si="17"/>
        <v>5680.1499999999651</v>
      </c>
      <c r="BP28">
        <f t="shared" si="18"/>
        <v>0.85668285472971395</v>
      </c>
    </row>
    <row r="29" spans="1:68">
      <c r="A29" s="16">
        <v>26</v>
      </c>
      <c r="B29" s="26">
        <v>26</v>
      </c>
      <c r="C29" s="29"/>
      <c r="D29" s="19">
        <f>'26'!D3</f>
        <v>28</v>
      </c>
      <c r="E29" s="50">
        <f>'26'!D4</f>
        <v>0.79</v>
      </c>
      <c r="F29" s="50">
        <f>'26'!D2</f>
        <v>0.37</v>
      </c>
      <c r="G29" s="19">
        <f>'26'!G7</f>
        <v>19301</v>
      </c>
      <c r="H29" s="19">
        <f>'26'!G8</f>
        <v>19770.319999999949</v>
      </c>
      <c r="I29" s="19">
        <v>9</v>
      </c>
      <c r="J29" s="49">
        <f t="shared" si="3"/>
        <v>177932.87999999954</v>
      </c>
      <c r="K29" s="45">
        <f t="shared" si="4"/>
        <v>97.872871287128461</v>
      </c>
      <c r="L29" s="19">
        <f>'26'!G15</f>
        <v>1156.3700000001118</v>
      </c>
      <c r="M29" s="19">
        <v>56.2</v>
      </c>
      <c r="N29" s="41">
        <f t="shared" si="5"/>
        <v>64987.994000006285</v>
      </c>
      <c r="O29" s="19">
        <f>'26'!G20</f>
        <v>311</v>
      </c>
      <c r="P29" s="19">
        <v>108</v>
      </c>
      <c r="Q29" s="46">
        <f t="shared" si="0"/>
        <v>33588</v>
      </c>
      <c r="R29" s="47">
        <f t="shared" si="1"/>
        <v>416.10917848541612</v>
      </c>
      <c r="S29" s="19">
        <f>'26'!G24</f>
        <v>0</v>
      </c>
      <c r="T29" s="19">
        <v>69</v>
      </c>
      <c r="U29" s="48">
        <f t="shared" si="6"/>
        <v>0</v>
      </c>
      <c r="V29" s="22">
        <f>'26'!G65</f>
        <v>119</v>
      </c>
      <c r="W29" s="22">
        <f>'26'!G66</f>
        <v>38</v>
      </c>
      <c r="X29" s="22">
        <f>'26'!G67</f>
        <v>34</v>
      </c>
      <c r="Y29" s="22">
        <f t="shared" si="7"/>
        <v>191</v>
      </c>
      <c r="Z29" s="19">
        <f>'26'!G84</f>
        <v>0</v>
      </c>
      <c r="AA29" s="19">
        <f>'26'!G85</f>
        <v>0</v>
      </c>
      <c r="AB29" s="19">
        <f>'26'!G86</f>
        <v>24.060000000004948</v>
      </c>
      <c r="AC29" s="19">
        <f>'26'!G87</f>
        <v>0</v>
      </c>
      <c r="AD29" s="19">
        <f t="shared" si="8"/>
        <v>24.060000000004948</v>
      </c>
      <c r="AE29" s="23">
        <f t="shared" si="2"/>
        <v>2952.8300000000163</v>
      </c>
      <c r="AF29" s="23">
        <f t="shared" si="9"/>
        <v>122.72776392349996</v>
      </c>
      <c r="AG29" s="19">
        <f>'26'!G88</f>
        <v>4.9699999999975262</v>
      </c>
      <c r="AH29" s="19">
        <f>'26'!G89</f>
        <v>9.4500000000007276</v>
      </c>
      <c r="AI29" s="19">
        <f>'26'!G90</f>
        <v>4.9899999999906868</v>
      </c>
      <c r="AJ29" s="19">
        <f t="shared" si="10"/>
        <v>19.409999999988941</v>
      </c>
      <c r="AK29" s="19">
        <f>'26'!G91</f>
        <v>0</v>
      </c>
      <c r="AL29" s="19">
        <f>'26'!G92</f>
        <v>12.360000000000582</v>
      </c>
      <c r="AM29" s="19"/>
      <c r="AN29" s="19">
        <f t="shared" si="11"/>
        <v>12.360000000000582</v>
      </c>
      <c r="AO29" s="52">
        <f>'26'!G74</f>
        <v>341.6200000000008</v>
      </c>
      <c r="AP29" s="55">
        <f>'26'!G35</f>
        <v>2060.2700000000186</v>
      </c>
      <c r="AQ29" s="19">
        <f>'26'!G37</f>
        <v>1383.710000000021</v>
      </c>
      <c r="AR29" s="19">
        <f>'26'!G38</f>
        <v>2631.2700000000186</v>
      </c>
      <c r="AS29" s="19">
        <f>'26'!G39</f>
        <v>2594.4699999999721</v>
      </c>
      <c r="AT29" s="19">
        <f>'26'!G40</f>
        <v>205.17000000001281</v>
      </c>
      <c r="AU29" s="19">
        <f>'26'!G41</f>
        <v>0</v>
      </c>
      <c r="AV29" s="19">
        <f>'26'!G42</f>
        <v>0.43000000005122274</v>
      </c>
      <c r="AW29" s="19">
        <f>'26'!G43</f>
        <v>0</v>
      </c>
      <c r="AX29" s="23">
        <f>'26'!G44</f>
        <v>0</v>
      </c>
      <c r="AY29" s="56">
        <f>'26'!G36</f>
        <v>1121.4699999999721</v>
      </c>
      <c r="AZ29" s="55">
        <f>'26'!G49</f>
        <v>501.15000000002328</v>
      </c>
      <c r="BA29" s="19">
        <f>'26'!G51</f>
        <v>0.44000000000232831</v>
      </c>
      <c r="BB29" s="19">
        <f>'26'!G52</f>
        <v>0.43000000000006366</v>
      </c>
      <c r="BC29" s="19">
        <f>'26'!G53</f>
        <v>3.0000000027939677E-2</v>
      </c>
      <c r="BD29" s="19">
        <f>'26'!G54</f>
        <v>318.57000000000698</v>
      </c>
      <c r="BE29" s="19">
        <f>'26'!G55</f>
        <v>2952.390000000014</v>
      </c>
      <c r="BF29" s="19">
        <f>'26'!G56</f>
        <v>9.9999999511055648E-3</v>
      </c>
      <c r="BG29" s="19">
        <f>'26'!G57</f>
        <v>2358.5700000000652</v>
      </c>
      <c r="BH29" s="56">
        <f>'26'!G50</f>
        <v>1073.1899999999441</v>
      </c>
      <c r="BI29" s="60">
        <f t="shared" si="12"/>
        <v>2952.8300000000163</v>
      </c>
      <c r="BJ29" s="60">
        <f>'26'!G133</f>
        <v>517</v>
      </c>
      <c r="BK29" s="23">
        <f t="shared" si="13"/>
        <v>39.821409061664873</v>
      </c>
      <c r="BL29" s="23">
        <f t="shared" si="14"/>
        <v>13.123206908133033</v>
      </c>
      <c r="BM29" s="24">
        <f t="shared" si="15"/>
        <v>0.13311367747209077</v>
      </c>
      <c r="BN29" s="25">
        <f t="shared" si="16"/>
        <v>276508.87400000583</v>
      </c>
      <c r="BO29" s="38">
        <f t="shared" si="17"/>
        <v>5828.4000000000815</v>
      </c>
      <c r="BP29">
        <f t="shared" si="18"/>
        <v>0.86515853224066064</v>
      </c>
    </row>
    <row r="30" spans="1:68">
      <c r="A30" s="16">
        <v>27</v>
      </c>
      <c r="B30" s="17">
        <v>27</v>
      </c>
      <c r="C30" s="28"/>
      <c r="D30" s="19">
        <f>'27'!D3</f>
        <v>32</v>
      </c>
      <c r="E30" s="50">
        <f>'27'!D4</f>
        <v>0.76</v>
      </c>
      <c r="F30" s="50">
        <f>'27'!D2</f>
        <v>0.76</v>
      </c>
      <c r="G30" s="19">
        <f>'27'!G7</f>
        <v>22051.489999999991</v>
      </c>
      <c r="H30" s="19">
        <f>'27'!G8</f>
        <v>22441.119999999995</v>
      </c>
      <c r="I30" s="19">
        <v>9</v>
      </c>
      <c r="J30" s="49">
        <f t="shared" si="3"/>
        <v>201970.07999999996</v>
      </c>
      <c r="K30" s="45">
        <f t="shared" si="4"/>
        <v>111.09465346534651</v>
      </c>
      <c r="L30" s="19">
        <f>'27'!G15</f>
        <v>1160.8300000000745</v>
      </c>
      <c r="M30" s="19">
        <v>56.2</v>
      </c>
      <c r="N30" s="41">
        <f t="shared" si="5"/>
        <v>65238.646000004192</v>
      </c>
      <c r="O30" s="19">
        <f>'27'!G20</f>
        <v>267</v>
      </c>
      <c r="P30" s="19">
        <v>108</v>
      </c>
      <c r="Q30" s="46">
        <f t="shared" si="0"/>
        <v>28836</v>
      </c>
      <c r="R30" s="47">
        <f t="shared" si="1"/>
        <v>173.9187076602397</v>
      </c>
      <c r="S30" s="19">
        <f>'27'!G24</f>
        <v>0</v>
      </c>
      <c r="T30" s="19">
        <v>69</v>
      </c>
      <c r="U30" s="48">
        <f t="shared" si="6"/>
        <v>0</v>
      </c>
      <c r="V30" s="22">
        <f>'27'!G65</f>
        <v>116</v>
      </c>
      <c r="W30" s="22">
        <f>'27'!G66</f>
        <v>45</v>
      </c>
      <c r="X30" s="22">
        <f>'27'!G67</f>
        <v>19</v>
      </c>
      <c r="Y30" s="22">
        <f t="shared" si="7"/>
        <v>180</v>
      </c>
      <c r="Z30" s="19">
        <f>'27'!G84</f>
        <v>0</v>
      </c>
      <c r="AA30" s="19">
        <f>'27'!G85</f>
        <v>0</v>
      </c>
      <c r="AB30" s="19">
        <f>'27'!G86</f>
        <v>24.489999999997963</v>
      </c>
      <c r="AC30" s="19">
        <f>'27'!G87</f>
        <v>0</v>
      </c>
      <c r="AD30" s="19">
        <f t="shared" si="8"/>
        <v>24.489999999997963</v>
      </c>
      <c r="AE30" s="23">
        <f t="shared" si="2"/>
        <v>3793.8399999999674</v>
      </c>
      <c r="AF30" s="23">
        <f t="shared" si="9"/>
        <v>154.91384238465835</v>
      </c>
      <c r="AG30" s="19">
        <f>'27'!G88</f>
        <v>5.9200000000018917</v>
      </c>
      <c r="AH30" s="19">
        <f>'27'!G89</f>
        <v>10.590000000000146</v>
      </c>
      <c r="AI30" s="19">
        <f>'27'!G90</f>
        <v>5.25</v>
      </c>
      <c r="AJ30" s="19">
        <f t="shared" si="10"/>
        <v>21.760000000002037</v>
      </c>
      <c r="AK30" s="19">
        <f>'27'!G91</f>
        <v>0</v>
      </c>
      <c r="AL30" s="19">
        <f>'27'!G92</f>
        <v>11.049999999999272</v>
      </c>
      <c r="AM30" s="19"/>
      <c r="AN30" s="19">
        <f t="shared" si="11"/>
        <v>11.049999999999272</v>
      </c>
      <c r="AO30" s="52">
        <f>'27'!G74</f>
        <v>281.54000000000087</v>
      </c>
      <c r="AP30" s="55">
        <f>'27'!G35</f>
        <v>2172.4799999999814</v>
      </c>
      <c r="AQ30" s="19">
        <f>'27'!G37</f>
        <v>1449.7799999999697</v>
      </c>
      <c r="AR30" s="19">
        <f>'27'!G38</f>
        <v>2759.7600000000093</v>
      </c>
      <c r="AS30" s="19">
        <f>'27'!G39</f>
        <v>2809.5999999999767</v>
      </c>
      <c r="AT30" s="19">
        <f>'27'!G40</f>
        <v>217.73999999999069</v>
      </c>
      <c r="AU30" s="19">
        <f>'27'!G41</f>
        <v>0</v>
      </c>
      <c r="AV30" s="19">
        <f>'27'!G42</f>
        <v>0</v>
      </c>
      <c r="AW30" s="19">
        <f>'27'!G43</f>
        <v>0</v>
      </c>
      <c r="AX30" s="23">
        <f>'27'!G44</f>
        <v>0</v>
      </c>
      <c r="AY30" s="56">
        <f>'27'!G36</f>
        <v>1049.7200000000303</v>
      </c>
      <c r="AZ30" s="55">
        <f>'27'!G49</f>
        <v>497.59999999997672</v>
      </c>
      <c r="BA30" s="19">
        <f>'27'!G51</f>
        <v>0</v>
      </c>
      <c r="BB30" s="19">
        <f>'27'!G52</f>
        <v>0</v>
      </c>
      <c r="BC30" s="19">
        <f>'27'!G53</f>
        <v>0</v>
      </c>
      <c r="BD30" s="19">
        <f>'27'!G54</f>
        <v>253.58999999999651</v>
      </c>
      <c r="BE30" s="19">
        <f>'27'!G55</f>
        <v>3793.8399999999674</v>
      </c>
      <c r="BF30" s="19">
        <f>'27'!G56</f>
        <v>0</v>
      </c>
      <c r="BG30" s="19">
        <f>'27'!G57</f>
        <v>2359.4399999999441</v>
      </c>
      <c r="BH30" s="56">
        <f>'27'!G50</f>
        <v>1449.2800000000279</v>
      </c>
      <c r="BI30" s="60">
        <f t="shared" si="12"/>
        <v>3793.8399999999674</v>
      </c>
      <c r="BJ30" s="60">
        <f>'27'!G133</f>
        <v>437</v>
      </c>
      <c r="BK30" s="23">
        <f t="shared" si="13"/>
        <v>39.317823709333005</v>
      </c>
      <c r="BL30" s="23">
        <f t="shared" si="14"/>
        <v>12.519874230876077</v>
      </c>
      <c r="BM30" s="24">
        <f t="shared" si="15"/>
        <v>0.12297781928887729</v>
      </c>
      <c r="BN30" s="25">
        <f t="shared" si="16"/>
        <v>296044.72600000416</v>
      </c>
      <c r="BO30" s="38">
        <f t="shared" si="17"/>
        <v>6590.2799999999115</v>
      </c>
      <c r="BP30">
        <f t="shared" si="18"/>
        <v>0.96107449104597498</v>
      </c>
    </row>
    <row r="31" spans="1:68">
      <c r="A31" s="16">
        <v>28</v>
      </c>
      <c r="B31" s="26">
        <v>28</v>
      </c>
      <c r="C31" s="28"/>
      <c r="D31" s="19">
        <f>'28'!D3</f>
        <v>32</v>
      </c>
      <c r="E31" s="50">
        <f>'28'!D4</f>
        <v>0.7</v>
      </c>
      <c r="F31" s="50">
        <f>'28'!D2</f>
        <v>0.8</v>
      </c>
      <c r="G31" s="19">
        <f>'28'!G7</f>
        <v>21792.400000000023</v>
      </c>
      <c r="H31" s="19">
        <f>'28'!G8</f>
        <v>22309.650000000023</v>
      </c>
      <c r="I31" s="19">
        <v>9</v>
      </c>
      <c r="J31" s="49">
        <f t="shared" si="3"/>
        <v>200786.85000000021</v>
      </c>
      <c r="K31" s="45">
        <f t="shared" si="4"/>
        <v>110.44381188118824</v>
      </c>
      <c r="L31" s="19">
        <f>'28'!G15</f>
        <v>1214</v>
      </c>
      <c r="M31" s="19">
        <v>56.2</v>
      </c>
      <c r="N31" s="41">
        <f t="shared" si="5"/>
        <v>68226.8</v>
      </c>
      <c r="O31" s="19">
        <f>'28'!G20</f>
        <v>300</v>
      </c>
      <c r="P31" s="19">
        <v>108</v>
      </c>
      <c r="Q31" s="46">
        <f t="shared" si="0"/>
        <v>32400</v>
      </c>
      <c r="R31" s="47">
        <f t="shared" si="1"/>
        <v>185.6435643564356</v>
      </c>
      <c r="S31" s="19">
        <f>'28'!G24</f>
        <v>0</v>
      </c>
      <c r="T31" s="19">
        <v>69</v>
      </c>
      <c r="U31" s="48">
        <f t="shared" si="6"/>
        <v>0</v>
      </c>
      <c r="V31" s="22">
        <f>'28'!G65</f>
        <v>139</v>
      </c>
      <c r="W31" s="22">
        <f>'28'!G66</f>
        <v>37</v>
      </c>
      <c r="X31" s="22">
        <f>'28'!G67</f>
        <v>19</v>
      </c>
      <c r="Y31" s="22">
        <f t="shared" si="7"/>
        <v>195</v>
      </c>
      <c r="Z31" s="19">
        <f>'28'!G84</f>
        <v>0</v>
      </c>
      <c r="AA31" s="19">
        <f>'28'!G85</f>
        <v>0</v>
      </c>
      <c r="AB31" s="19">
        <f>'28'!G86</f>
        <v>20.930000000000291</v>
      </c>
      <c r="AC31" s="19">
        <f>'28'!G87</f>
        <v>4</v>
      </c>
      <c r="AD31" s="19">
        <f t="shared" si="8"/>
        <v>24.930000000000291</v>
      </c>
      <c r="AE31" s="23">
        <f t="shared" si="2"/>
        <v>3576.9000000000233</v>
      </c>
      <c r="AF31" s="23">
        <f t="shared" si="9"/>
        <v>143.47773766546257</v>
      </c>
      <c r="AG31" s="19">
        <f>'28'!G88</f>
        <v>4.4099999999998545</v>
      </c>
      <c r="AH31" s="19">
        <f>'28'!G89</f>
        <v>11.43999999999869</v>
      </c>
      <c r="AI31" s="19">
        <f>'28'!G90</f>
        <v>5.8099999999976717</v>
      </c>
      <c r="AJ31" s="19">
        <f t="shared" si="10"/>
        <v>21.659999999996217</v>
      </c>
      <c r="AK31" s="19">
        <f>'28'!G91</f>
        <v>0</v>
      </c>
      <c r="AL31" s="19">
        <f>'28'!G92</f>
        <v>11.6200000000008</v>
      </c>
      <c r="AM31" s="19"/>
      <c r="AN31" s="19">
        <f t="shared" si="11"/>
        <v>11.6200000000008</v>
      </c>
      <c r="AO31" s="52">
        <f>'28'!G74</f>
        <v>336.45999999999913</v>
      </c>
      <c r="AP31" s="55">
        <f>'28'!G35</f>
        <v>2164.5200000000186</v>
      </c>
      <c r="AQ31" s="19">
        <f>'28'!G37</f>
        <v>1379.9000000000233</v>
      </c>
      <c r="AR31" s="19">
        <f>'28'!G38</f>
        <v>2568.5599999999395</v>
      </c>
      <c r="AS31" s="19">
        <f>'28'!G39</f>
        <v>2622.8000000000466</v>
      </c>
      <c r="AT31" s="19">
        <f>'28'!G40</f>
        <v>202.17999999999302</v>
      </c>
      <c r="AU31" s="19">
        <f>'28'!G41</f>
        <v>-1.0000000009313226E-2</v>
      </c>
      <c r="AV31" s="19">
        <f>'28'!G42</f>
        <v>0</v>
      </c>
      <c r="AW31" s="86">
        <f>'28'!G43</f>
        <v>0</v>
      </c>
      <c r="AX31" s="23">
        <f>'28'!G44</f>
        <v>0</v>
      </c>
      <c r="AY31" s="56">
        <f>'28'!G36</f>
        <v>956.80999999999767</v>
      </c>
      <c r="AZ31" s="55">
        <f>'28'!G49</f>
        <v>500.31999999994878</v>
      </c>
      <c r="BA31" s="19">
        <f>'28'!G51</f>
        <v>0</v>
      </c>
      <c r="BB31" s="19">
        <f>'28'!G52</f>
        <v>0</v>
      </c>
      <c r="BC31" s="19">
        <f>'28'!G53</f>
        <v>0</v>
      </c>
      <c r="BD31" s="19">
        <f>'28'!G54</f>
        <v>252.33000000000175</v>
      </c>
      <c r="BE31" s="19">
        <f>'28'!G55</f>
        <v>3170.5200000000186</v>
      </c>
      <c r="BF31" s="19">
        <f>'28'!G56</f>
        <v>406.39000000001397</v>
      </c>
      <c r="BG31" s="19">
        <f>'28'!G57</f>
        <v>2434.640000000014</v>
      </c>
      <c r="BH31" s="56">
        <f>'28'!G50</f>
        <v>1196.5300000000279</v>
      </c>
      <c r="BI31" s="60">
        <f t="shared" si="12"/>
        <v>3576.9000000000233</v>
      </c>
      <c r="BJ31" s="60">
        <f>'28'!G133</f>
        <v>551</v>
      </c>
      <c r="BK31" s="23">
        <f>SUM(AP31,AU31,AV31,AW31,AZ31,BE31,BF31,BG31)/H31%</f>
        <v>38.890704246816945</v>
      </c>
      <c r="BL31" s="23">
        <f t="shared" si="14"/>
        <v>11.756347589496222</v>
      </c>
      <c r="BM31" s="24">
        <f t="shared" si="15"/>
        <v>0.11513224098091798</v>
      </c>
      <c r="BN31" s="25">
        <f t="shared" si="16"/>
        <v>301413.6500000002</v>
      </c>
      <c r="BO31" s="38">
        <f t="shared" si="17"/>
        <v>6562.5400000000373</v>
      </c>
      <c r="BP31">
        <f t="shared" si="18"/>
        <v>0.94013810096842021</v>
      </c>
    </row>
    <row r="32" spans="1:68">
      <c r="A32" s="16">
        <v>29</v>
      </c>
      <c r="B32" s="26">
        <v>29</v>
      </c>
      <c r="C32" s="28"/>
      <c r="D32" s="19">
        <f>'29'!D3</f>
        <v>27</v>
      </c>
      <c r="E32" s="50">
        <f>'29'!D4</f>
        <v>0.79</v>
      </c>
      <c r="F32" s="50">
        <f>'29'!D2</f>
        <v>1</v>
      </c>
      <c r="G32" s="19">
        <f>'29'!G7</f>
        <v>22598.900000000023</v>
      </c>
      <c r="H32" s="19">
        <f>'29'!G8</f>
        <v>23194.300000000047</v>
      </c>
      <c r="I32" s="19">
        <v>9</v>
      </c>
      <c r="J32" s="49">
        <f t="shared" si="3"/>
        <v>208748.70000000042</v>
      </c>
      <c r="K32" s="45">
        <f t="shared" si="4"/>
        <v>114.8232673267329</v>
      </c>
      <c r="L32" s="19">
        <f>'29'!G15</f>
        <v>1033.1000000000931</v>
      </c>
      <c r="M32" s="19">
        <v>56.2</v>
      </c>
      <c r="N32" s="41">
        <f t="shared" si="5"/>
        <v>58060.22000000524</v>
      </c>
      <c r="O32" s="19">
        <f>'29'!G20</f>
        <v>316</v>
      </c>
      <c r="P32" s="19">
        <v>108</v>
      </c>
      <c r="Q32" s="46">
        <f t="shared" si="0"/>
        <v>34128</v>
      </c>
      <c r="R32" s="47">
        <f t="shared" si="1"/>
        <v>156.43564356435644</v>
      </c>
      <c r="S32" s="19">
        <f>'29'!G24</f>
        <v>0</v>
      </c>
      <c r="T32" s="19">
        <v>69</v>
      </c>
      <c r="U32" s="48">
        <f t="shared" si="6"/>
        <v>0</v>
      </c>
      <c r="V32" s="22">
        <f>'29'!G65</f>
        <v>119</v>
      </c>
      <c r="W32" s="22">
        <f>'29'!G66</f>
        <v>39</v>
      </c>
      <c r="X32" s="22">
        <f>'29'!G67</f>
        <v>22</v>
      </c>
      <c r="Y32" s="22">
        <f t="shared" si="7"/>
        <v>180</v>
      </c>
      <c r="Z32" s="19">
        <f>'29'!G84</f>
        <v>0</v>
      </c>
      <c r="AA32" s="19">
        <f>'29'!G85</f>
        <v>0</v>
      </c>
      <c r="AB32" s="19">
        <f>'29'!G86</f>
        <v>0</v>
      </c>
      <c r="AC32" s="19">
        <f>'29'!G87</f>
        <v>24</v>
      </c>
      <c r="AD32" s="19">
        <f t="shared" si="8"/>
        <v>24</v>
      </c>
      <c r="AE32" s="23">
        <f t="shared" si="2"/>
        <v>3947.4899999999907</v>
      </c>
      <c r="AF32" s="23">
        <f t="shared" si="9"/>
        <v>164.47874999999962</v>
      </c>
      <c r="AG32" s="19">
        <f>'29'!G88</f>
        <v>10</v>
      </c>
      <c r="AH32" s="19">
        <f>'29'!G89</f>
        <v>0.36000000000058208</v>
      </c>
      <c r="AI32" s="19">
        <f>'29'!G90</f>
        <v>11.420000000012806</v>
      </c>
      <c r="AJ32" s="19">
        <f t="shared" si="10"/>
        <v>21.780000000013388</v>
      </c>
      <c r="AK32" s="19">
        <f>'29'!G91</f>
        <v>-0.21000000000003638</v>
      </c>
      <c r="AL32" s="19">
        <f>'29'!G92</f>
        <v>11.909999999999854</v>
      </c>
      <c r="AM32" s="19"/>
      <c r="AN32" s="19">
        <f t="shared" si="11"/>
        <v>11.699999999999818</v>
      </c>
      <c r="AO32" s="52">
        <f>'29'!G74</f>
        <v>328.89999999999964</v>
      </c>
      <c r="AP32" s="55">
        <f>'29'!G35</f>
        <v>2667.2800000000279</v>
      </c>
      <c r="AQ32" s="19">
        <f>'29'!G37</f>
        <v>1493.5599999999977</v>
      </c>
      <c r="AR32" s="19">
        <f>'29'!G38</f>
        <v>2833.4400000000605</v>
      </c>
      <c r="AS32" s="19">
        <f>'29'!G39</f>
        <v>2866.7199999999721</v>
      </c>
      <c r="AT32" s="19">
        <f>'29'!G40</f>
        <v>207.64000000001397</v>
      </c>
      <c r="AU32" s="19">
        <f>'29'!G41</f>
        <v>0</v>
      </c>
      <c r="AV32" s="19">
        <f>'29'!G42</f>
        <v>0</v>
      </c>
      <c r="AW32" s="19">
        <f>'29'!G43</f>
        <v>0</v>
      </c>
      <c r="AX32" s="23">
        <f>'29'!G44</f>
        <v>0</v>
      </c>
      <c r="AY32" s="56">
        <f>'29'!G36</f>
        <v>831.59000000002561</v>
      </c>
      <c r="AZ32" s="55">
        <f>'29'!G49</f>
        <v>471.84000000008382</v>
      </c>
      <c r="BA32" s="19">
        <f>'29'!G51</f>
        <v>0</v>
      </c>
      <c r="BB32" s="19">
        <f>'29'!G52</f>
        <v>-0.43000000000006366</v>
      </c>
      <c r="BC32" s="19">
        <f>'29'!G53</f>
        <v>-3.0000000027939677E-2</v>
      </c>
      <c r="BD32" s="19">
        <f>'29'!G54</f>
        <v>279.08000000000175</v>
      </c>
      <c r="BE32" s="19">
        <f>'29'!G55</f>
        <v>0</v>
      </c>
      <c r="BF32" s="19">
        <f>'29'!G56</f>
        <v>3947.4899999999907</v>
      </c>
      <c r="BG32" s="19">
        <f>'29'!G57</f>
        <v>2594.2399999999907</v>
      </c>
      <c r="BH32" s="56">
        <f>'29'!G50</f>
        <v>1334.5899999999674</v>
      </c>
      <c r="BI32" s="60">
        <f t="shared" si="12"/>
        <v>3947.4899999999907</v>
      </c>
      <c r="BJ32" s="60">
        <f>'29'!G133</f>
        <v>541</v>
      </c>
      <c r="BK32" s="23">
        <f t="shared" si="13"/>
        <v>41.738056332806224</v>
      </c>
      <c r="BL32" s="23">
        <f t="shared" si="14"/>
        <v>12.359459005013898</v>
      </c>
      <c r="BM32" s="24">
        <f t="shared" si="15"/>
        <v>0.12214250915095755</v>
      </c>
      <c r="BN32" s="25">
        <f t="shared" si="16"/>
        <v>300936.92000000563</v>
      </c>
      <c r="BO32" s="38">
        <f t="shared" si="17"/>
        <v>7082.7299999999814</v>
      </c>
      <c r="BP32">
        <f t="shared" si="18"/>
        <v>1.0539776785714259</v>
      </c>
    </row>
    <row r="33" spans="1:68">
      <c r="A33" s="16">
        <v>30</v>
      </c>
      <c r="B33" s="27">
        <v>30</v>
      </c>
      <c r="C33" s="28"/>
      <c r="D33" s="19">
        <f>'30'!D3</f>
        <v>28</v>
      </c>
      <c r="E33" s="50">
        <f>'30'!D4</f>
        <v>0.78</v>
      </c>
      <c r="F33" s="50">
        <f>'30'!D2</f>
        <v>0.5</v>
      </c>
      <c r="G33" s="19">
        <f>'30'!G7</f>
        <v>21796.099999999977</v>
      </c>
      <c r="H33" s="19">
        <f>'30'!G8</f>
        <v>22328.699999999953</v>
      </c>
      <c r="I33" s="19">
        <v>9</v>
      </c>
      <c r="J33" s="49">
        <f t="shared" si="3"/>
        <v>200958.29999999958</v>
      </c>
      <c r="K33" s="45">
        <f t="shared" si="4"/>
        <v>110.53811881188096</v>
      </c>
      <c r="L33" s="19">
        <f>'30'!G15</f>
        <v>1104.6529999999329</v>
      </c>
      <c r="M33" s="19">
        <v>56.2</v>
      </c>
      <c r="N33" s="41">
        <f t="shared" si="5"/>
        <v>62081.498599996237</v>
      </c>
      <c r="O33" s="19">
        <f>'30'!G20</f>
        <v>321</v>
      </c>
      <c r="P33" s="19">
        <v>108</v>
      </c>
      <c r="Q33" s="46">
        <f t="shared" si="0"/>
        <v>34668</v>
      </c>
      <c r="R33" s="47">
        <f t="shared" si="1"/>
        <v>317.8217821782178</v>
      </c>
      <c r="S33" s="19">
        <f>'30'!G24</f>
        <v>0</v>
      </c>
      <c r="T33" s="19">
        <v>69</v>
      </c>
      <c r="U33" s="48">
        <f t="shared" si="6"/>
        <v>0</v>
      </c>
      <c r="V33" s="22">
        <f>'30'!G65</f>
        <v>109</v>
      </c>
      <c r="W33" s="22">
        <f>'30'!G66</f>
        <v>38</v>
      </c>
      <c r="X33" s="22">
        <f>'30'!G67</f>
        <v>28</v>
      </c>
      <c r="Y33" s="22">
        <f t="shared" si="7"/>
        <v>175</v>
      </c>
      <c r="Z33" s="19">
        <f>'30'!G84</f>
        <v>0</v>
      </c>
      <c r="AA33" s="19">
        <f>'30'!G85</f>
        <v>0</v>
      </c>
      <c r="AB33" s="19">
        <f>'30'!G86</f>
        <v>0</v>
      </c>
      <c r="AC33" s="19">
        <f>'30'!G87</f>
        <v>24</v>
      </c>
      <c r="AD33" s="19">
        <f t="shared" si="8"/>
        <v>24</v>
      </c>
      <c r="AE33" s="23">
        <f t="shared" si="2"/>
        <v>3269.7200000000303</v>
      </c>
      <c r="AF33" s="23">
        <f t="shared" si="9"/>
        <v>136.23833333333459</v>
      </c>
      <c r="AG33" s="19">
        <f>'30'!G88</f>
        <v>10</v>
      </c>
      <c r="AH33" s="19">
        <f>'30'!G89</f>
        <v>4.4599999999991269</v>
      </c>
      <c r="AI33" s="19">
        <f>'30'!G90</f>
        <v>7.4299999999930151</v>
      </c>
      <c r="AJ33" s="19">
        <f t="shared" si="10"/>
        <v>21.889999999992142</v>
      </c>
      <c r="AK33" s="19">
        <f>'30'!G91</f>
        <v>0</v>
      </c>
      <c r="AL33" s="19">
        <f>'30'!G92</f>
        <v>9.4899999999997817</v>
      </c>
      <c r="AM33" s="19"/>
      <c r="AN33" s="19">
        <f t="shared" si="11"/>
        <v>9.4899999999997817</v>
      </c>
      <c r="AO33" s="52">
        <f>'30'!G74</f>
        <v>265.10000000000036</v>
      </c>
      <c r="AP33" s="55">
        <f>'30'!G35</f>
        <v>2464.4499999999534</v>
      </c>
      <c r="AQ33" s="19">
        <f>'30'!G37</f>
        <v>1422.3999999999651</v>
      </c>
      <c r="AR33" s="19">
        <f>'30'!G38</f>
        <v>2733.4499999999534</v>
      </c>
      <c r="AS33" s="19">
        <f>'30'!G39</f>
        <v>2812</v>
      </c>
      <c r="AT33" s="19">
        <f>'30'!G40</f>
        <v>196.16000000000349</v>
      </c>
      <c r="AU33" s="19">
        <f>'30'!G41</f>
        <v>0</v>
      </c>
      <c r="AV33" s="19">
        <f>'30'!G42</f>
        <v>0</v>
      </c>
      <c r="AW33" s="19">
        <f>'30'!G43</f>
        <v>0</v>
      </c>
      <c r="AX33" s="23">
        <f>'30'!G44</f>
        <v>0</v>
      </c>
      <c r="AY33" s="56">
        <f>'30'!G36</f>
        <v>888.29999999998836</v>
      </c>
      <c r="AZ33" s="55">
        <f>'30'!G49</f>
        <v>519.19999999995343</v>
      </c>
      <c r="BA33" s="19">
        <f>'30'!G51</f>
        <v>-0.44000000000232831</v>
      </c>
      <c r="BB33" s="19">
        <f>'30'!G52</f>
        <v>0.43000000000006366</v>
      </c>
      <c r="BC33" s="19">
        <f>'30'!G53</f>
        <v>0</v>
      </c>
      <c r="BD33" s="19">
        <f>'30'!G54</f>
        <v>278.11999999999534</v>
      </c>
      <c r="BE33" s="19">
        <f>'30'!G55</f>
        <v>0</v>
      </c>
      <c r="BF33" s="19">
        <f>'30'!G56</f>
        <v>3269.7200000000303</v>
      </c>
      <c r="BG33" s="19">
        <f>'30'!G57</f>
        <v>2442.7200000000885</v>
      </c>
      <c r="BH33" s="56">
        <f>'30'!G50</f>
        <v>1146.2399999999907</v>
      </c>
      <c r="BI33" s="60">
        <f t="shared" ref="BI33" si="19">SUM(AU33,AV33,BE33,BF33)</f>
        <v>3269.7200000000303</v>
      </c>
      <c r="BJ33" s="60">
        <f>'30'!G133</f>
        <v>616</v>
      </c>
      <c r="BK33" s="23">
        <f t="shared" si="13"/>
        <v>38.945796217424409</v>
      </c>
      <c r="BL33" s="23">
        <f t="shared" si="14"/>
        <v>12.593657490136041</v>
      </c>
      <c r="BM33" s="24">
        <f t="shared" si="15"/>
        <v>0.12243793861711427</v>
      </c>
      <c r="BN33" s="25">
        <f t="shared" si="16"/>
        <v>297707.79859999579</v>
      </c>
      <c r="BO33" s="38">
        <f t="shared" si="17"/>
        <v>6328.4400000001187</v>
      </c>
      <c r="BP33">
        <f t="shared" si="18"/>
        <v>0.94173214285716056</v>
      </c>
    </row>
    <row r="34" spans="1:68">
      <c r="A34" s="16">
        <v>31</v>
      </c>
      <c r="B34" s="27">
        <v>31</v>
      </c>
      <c r="C34" s="28"/>
      <c r="D34" s="19">
        <v>30</v>
      </c>
      <c r="E34" s="50" t="str">
        <f>'30'!D5</f>
        <v>Unit</v>
      </c>
      <c r="F34" s="50">
        <f>'30'!D3</f>
        <v>28</v>
      </c>
      <c r="G34" s="19">
        <f>'31'!G7</f>
        <v>23574</v>
      </c>
      <c r="H34" s="19">
        <f>'31'!G8</f>
        <v>24006</v>
      </c>
      <c r="I34" s="19">
        <v>9</v>
      </c>
      <c r="J34" s="49">
        <f t="shared" si="3"/>
        <v>216054</v>
      </c>
      <c r="K34" s="45">
        <f t="shared" ref="K34" si="20">H34/202</f>
        <v>118.84158415841584</v>
      </c>
      <c r="L34" s="19">
        <f>'31'!G15</f>
        <v>1110.9619999998249</v>
      </c>
      <c r="M34" s="19">
        <v>56.2</v>
      </c>
      <c r="N34" s="41">
        <f t="shared" ref="N34" si="21">L34*M34</f>
        <v>62436.064399990166</v>
      </c>
      <c r="O34" s="19">
        <f>'31'!G20</f>
        <v>194</v>
      </c>
      <c r="P34" s="19">
        <v>108</v>
      </c>
      <c r="Q34" s="46">
        <f t="shared" ref="Q34" si="22">O34*P34</f>
        <v>20952</v>
      </c>
      <c r="R34" s="47">
        <f t="shared" si="1"/>
        <v>3.4299858557284297</v>
      </c>
      <c r="S34" s="19">
        <f>'30'!G25</f>
        <v>0</v>
      </c>
      <c r="T34" s="19">
        <v>70</v>
      </c>
      <c r="U34" s="48">
        <f t="shared" ref="U34" si="23">S34*T34</f>
        <v>0</v>
      </c>
      <c r="V34" s="22">
        <f>'31'!G65</f>
        <v>137</v>
      </c>
      <c r="W34" s="22">
        <f>'31'!G66</f>
        <v>40</v>
      </c>
      <c r="X34" s="22" t="e">
        <f>'31'!G67</f>
        <v>#VALUE!</v>
      </c>
      <c r="Y34" s="22" t="e">
        <f t="shared" ref="Y34" si="24">V34+W34+X34</f>
        <v>#VALUE!</v>
      </c>
      <c r="Z34" s="19">
        <f>'31'!G84</f>
        <v>0</v>
      </c>
      <c r="AA34" s="19">
        <f>'31'!G85</f>
        <v>10</v>
      </c>
      <c r="AB34" s="19">
        <f>'31'!G86</f>
        <v>0</v>
      </c>
      <c r="AC34" s="19">
        <f>'31'!G87</f>
        <v>18</v>
      </c>
      <c r="AD34" s="19">
        <f t="shared" ref="AD34" si="25">Z34+AA34+AB34+AC34</f>
        <v>28</v>
      </c>
      <c r="AE34" s="23">
        <f t="shared" ref="AE34" si="26">AU34+AV34+BE34+BF34</f>
        <v>4628.6999999999534</v>
      </c>
      <c r="AF34" s="23">
        <f t="shared" ref="AF34" si="27">AE34/AD34</f>
        <v>165.31071428571263</v>
      </c>
      <c r="AG34" s="19">
        <f>'31'!G88</f>
        <v>9</v>
      </c>
      <c r="AH34" s="19">
        <f>'31'!G89</f>
        <v>5</v>
      </c>
      <c r="AI34" s="19">
        <f>'31'!G90</f>
        <v>6</v>
      </c>
      <c r="AJ34" s="19">
        <f t="shared" ref="AJ34" si="28">AG34+AH34+AI34</f>
        <v>20</v>
      </c>
      <c r="AK34" s="19">
        <f>'31'!G91</f>
        <v>0.21000000000003638</v>
      </c>
      <c r="AL34" s="19">
        <f>'31'!G92</f>
        <v>12.279999999999745</v>
      </c>
      <c r="AM34" s="19"/>
      <c r="AN34" s="19">
        <f t="shared" ref="AN34" si="29">AK34+AL34</f>
        <v>12.489999999999782</v>
      </c>
      <c r="AO34" s="52">
        <f>'31'!G74</f>
        <v>334</v>
      </c>
      <c r="AP34" s="55">
        <f>'31'!G35</f>
        <v>2749</v>
      </c>
      <c r="AQ34" s="19">
        <f>'31'!G37</f>
        <v>1471.6500000000233</v>
      </c>
      <c r="AR34" s="19">
        <f>'31'!G38</f>
        <v>2690.5200000000186</v>
      </c>
      <c r="AS34" s="19">
        <f>'31'!G39</f>
        <v>2840.4100000000326</v>
      </c>
      <c r="AT34" s="19">
        <f>'31'!G40</f>
        <v>254.10999999998603</v>
      </c>
      <c r="AU34" s="19">
        <f>'31'!G41</f>
        <v>1.0000000009313226E-2</v>
      </c>
      <c r="AV34" s="19">
        <f>'31'!G42</f>
        <v>2385.1999999999534</v>
      </c>
      <c r="AW34" s="19">
        <f>'31'!G43</f>
        <v>0</v>
      </c>
      <c r="AX34" s="23">
        <f>'31'!G44</f>
        <v>0</v>
      </c>
      <c r="AY34" s="56">
        <f>'31'!G36</f>
        <v>1200.109999999986</v>
      </c>
      <c r="AZ34" s="55">
        <f>'31'!G49</f>
        <v>574.89000000001397</v>
      </c>
      <c r="BA34" s="19">
        <f>'31'!G51</f>
        <v>0</v>
      </c>
      <c r="BB34" s="19">
        <f>'31'!G52</f>
        <v>-0.43000000000006366</v>
      </c>
      <c r="BC34" s="19">
        <f>'31'!G53</f>
        <v>3.0000000027939677E-2</v>
      </c>
      <c r="BD34" s="19">
        <f>'31'!G54</f>
        <v>307.52000000000407</v>
      </c>
      <c r="BE34" s="19">
        <f>'31'!G55</f>
        <v>0</v>
      </c>
      <c r="BF34" s="19">
        <f>'31'!G56</f>
        <v>2243.4899999999907</v>
      </c>
      <c r="BG34" s="19">
        <f>'31'!G57</f>
        <v>2589.6899999999441</v>
      </c>
      <c r="BH34" s="56">
        <f>'31'!G50</f>
        <v>1514.1700000000419</v>
      </c>
      <c r="BI34" s="60">
        <f t="shared" ref="BI34" si="30">SUM(AU34,AV34,BE34,BF34)</f>
        <v>4628.6999999999534</v>
      </c>
      <c r="BJ34" s="60">
        <f>'31'!G133</f>
        <v>693</v>
      </c>
      <c r="BK34" s="23">
        <f t="shared" ref="BK34" si="31">SUM(AP34,AU34,AV34,AW34,AZ34,BE34,BF34,BG34)/H34%</f>
        <v>43.915187869698876</v>
      </c>
      <c r="BL34" s="23">
        <f t="shared" ref="BL34" si="32">SUM(AS34,BC34)/H34%</f>
        <v>11.83220861451329</v>
      </c>
      <c r="BM34" s="24">
        <f t="shared" ref="BM34" si="33">(AR34+BB34)/H34</f>
        <v>0.11205906856619255</v>
      </c>
      <c r="BN34" s="25">
        <f t="shared" ref="BN34" si="34">J34+N34+Q34+U34</f>
        <v>299442.06439999014</v>
      </c>
      <c r="BO34" s="38">
        <f t="shared" ref="BO34" si="35">SUM(AU34,AV34,AW34,BE34,BF34,BG34,BJ34)</f>
        <v>7911.3899999998976</v>
      </c>
      <c r="BP34">
        <f t="shared" ref="BP34" si="36">BO34/(AD34*280)</f>
        <v>1.0091058673469258</v>
      </c>
    </row>
    <row r="35" spans="1:68">
      <c r="A35" s="16" t="s">
        <v>196</v>
      </c>
      <c r="B35" s="30"/>
      <c r="C35" s="31"/>
      <c r="D35" s="32">
        <f>AVERAGE(D4:D34)</f>
        <v>27.548387096774192</v>
      </c>
      <c r="E35" s="33"/>
      <c r="F35" s="73">
        <f>AVERAGE(F4:F34)</f>
        <v>1.5921322580645161</v>
      </c>
      <c r="G35" s="34">
        <f>SUM(G4:G34)</f>
        <v>645180</v>
      </c>
      <c r="H35" s="34">
        <f t="shared" ref="H35:BN35" si="37">SUM(H4:H34)</f>
        <v>658253</v>
      </c>
      <c r="I35" s="19">
        <v>9</v>
      </c>
      <c r="J35" s="34">
        <f t="shared" si="37"/>
        <v>5924277.0000000009</v>
      </c>
      <c r="K35" s="34">
        <f t="shared" si="37"/>
        <v>3258.6782178217823</v>
      </c>
      <c r="L35" s="34">
        <f t="shared" si="37"/>
        <v>35172.356999999844</v>
      </c>
      <c r="M35" s="34">
        <f t="shared" si="37"/>
        <v>1742.200000000001</v>
      </c>
      <c r="N35" s="34">
        <f t="shared" si="37"/>
        <v>1976686.4633999912</v>
      </c>
      <c r="O35" s="34">
        <f t="shared" si="37"/>
        <v>8458</v>
      </c>
      <c r="P35" s="34">
        <f t="shared" si="37"/>
        <v>3348</v>
      </c>
      <c r="Q35" s="34">
        <f t="shared" si="37"/>
        <v>913464</v>
      </c>
      <c r="R35" s="34">
        <f t="shared" si="37"/>
        <v>6409.0147201097334</v>
      </c>
      <c r="S35" s="34">
        <f t="shared" si="37"/>
        <v>0</v>
      </c>
      <c r="T35" s="34">
        <f t="shared" si="37"/>
        <v>2140</v>
      </c>
      <c r="U35" s="34">
        <f t="shared" si="37"/>
        <v>0</v>
      </c>
      <c r="V35" s="34">
        <f t="shared" si="37"/>
        <v>476030</v>
      </c>
      <c r="W35" s="34">
        <f t="shared" si="37"/>
        <v>1744</v>
      </c>
      <c r="X35" s="34" t="e">
        <f t="shared" si="37"/>
        <v>#VALUE!</v>
      </c>
      <c r="Y35" s="34" t="e">
        <f t="shared" si="37"/>
        <v>#VALUE!</v>
      </c>
      <c r="Z35" s="34">
        <f t="shared" si="37"/>
        <v>-0.34999999999854481</v>
      </c>
      <c r="AA35" s="34">
        <f t="shared" si="37"/>
        <v>280.55000000000018</v>
      </c>
      <c r="AB35" s="34">
        <f t="shared" si="37"/>
        <v>137</v>
      </c>
      <c r="AC35" s="34">
        <f t="shared" si="37"/>
        <v>336</v>
      </c>
      <c r="AD35" s="34">
        <f t="shared" si="37"/>
        <v>753.20000000000164</v>
      </c>
      <c r="AE35" s="34">
        <f t="shared" si="37"/>
        <v>107971.07</v>
      </c>
      <c r="AF35" s="34">
        <f t="shared" si="37"/>
        <v>4152.3368704378991</v>
      </c>
      <c r="AG35" s="34">
        <f t="shared" si="37"/>
        <v>158.40000000000146</v>
      </c>
      <c r="AH35" s="34">
        <f t="shared" si="37"/>
        <v>279.61000000000058</v>
      </c>
      <c r="AI35" s="34">
        <f t="shared" si="37"/>
        <v>244.82000000000698</v>
      </c>
      <c r="AJ35" s="34">
        <f t="shared" si="37"/>
        <v>682.83000000000902</v>
      </c>
      <c r="AK35" s="34">
        <f t="shared" si="37"/>
        <v>0</v>
      </c>
      <c r="AL35" s="34">
        <f t="shared" si="37"/>
        <v>352.59000000000015</v>
      </c>
      <c r="AM35" s="34">
        <f t="shared" si="37"/>
        <v>0</v>
      </c>
      <c r="AN35" s="34">
        <f t="shared" si="37"/>
        <v>352.59000000000015</v>
      </c>
      <c r="AO35" s="34">
        <f t="shared" si="37"/>
        <v>999835</v>
      </c>
      <c r="AP35" s="34">
        <f t="shared" si="37"/>
        <v>75538.010000000009</v>
      </c>
      <c r="AQ35" s="34">
        <f t="shared" si="37"/>
        <v>45349.130000000005</v>
      </c>
      <c r="AR35" s="34">
        <f t="shared" si="37"/>
        <v>77449.650000000023</v>
      </c>
      <c r="AS35" s="34">
        <f t="shared" si="37"/>
        <v>85846</v>
      </c>
      <c r="AT35" s="34">
        <f t="shared" si="37"/>
        <v>8105.6499999999942</v>
      </c>
      <c r="AU35" s="34">
        <f t="shared" si="37"/>
        <v>0</v>
      </c>
      <c r="AV35" s="34">
        <f t="shared" si="37"/>
        <v>52108.160000000033</v>
      </c>
      <c r="AW35" s="34">
        <f t="shared" si="37"/>
        <v>0</v>
      </c>
      <c r="AX35" s="34">
        <f t="shared" si="37"/>
        <v>0</v>
      </c>
      <c r="AY35" s="34">
        <f t="shared" si="37"/>
        <v>27732.099999999977</v>
      </c>
      <c r="AZ35" s="34">
        <f t="shared" si="37"/>
        <v>16407.849999999977</v>
      </c>
      <c r="BA35" s="34">
        <f t="shared" si="37"/>
        <v>0</v>
      </c>
      <c r="BB35" s="34">
        <f t="shared" si="37"/>
        <v>1447</v>
      </c>
      <c r="BC35" s="34">
        <f t="shared" si="37"/>
        <v>3.0000000027939677E-2</v>
      </c>
      <c r="BD35" s="34">
        <f t="shared" si="37"/>
        <v>9508.2099999999919</v>
      </c>
      <c r="BE35" s="34">
        <f t="shared" si="37"/>
        <v>17969.119999999995</v>
      </c>
      <c r="BF35" s="34">
        <f t="shared" si="37"/>
        <v>37893.789999999979</v>
      </c>
      <c r="BG35" s="34">
        <f t="shared" si="37"/>
        <v>76865</v>
      </c>
      <c r="BH35" s="34">
        <f t="shared" si="37"/>
        <v>40821</v>
      </c>
      <c r="BI35" s="34">
        <f t="shared" si="37"/>
        <v>107971.07</v>
      </c>
      <c r="BJ35" s="34">
        <f t="shared" si="37"/>
        <v>-1286177.83</v>
      </c>
      <c r="BK35" s="34">
        <f t="shared" si="37"/>
        <v>1302.4790116851848</v>
      </c>
      <c r="BL35" s="34">
        <f t="shared" si="37"/>
        <v>404.92774411664078</v>
      </c>
      <c r="BM35" s="34">
        <f t="shared" si="37"/>
        <v>3.7289583302668716</v>
      </c>
      <c r="BN35" s="34">
        <f t="shared" si="37"/>
        <v>8814427.4633999914</v>
      </c>
      <c r="BO35" s="38">
        <f t="shared" si="17"/>
        <v>-1101341.76</v>
      </c>
      <c r="BP35">
        <f t="shared" si="18"/>
        <v>-5.222203171231306</v>
      </c>
    </row>
    <row r="36" spans="1:68">
      <c r="A36" s="35"/>
      <c r="B36" s="35">
        <f t="shared" ref="B36:F36" si="38">B18-B17</f>
        <v>1</v>
      </c>
      <c r="C36" s="35">
        <f t="shared" si="38"/>
        <v>0</v>
      </c>
      <c r="D36" s="35">
        <f t="shared" si="38"/>
        <v>-4</v>
      </c>
      <c r="E36" s="35">
        <f t="shared" si="38"/>
        <v>-2.0000000000000018E-2</v>
      </c>
      <c r="F36" s="35">
        <f t="shared" si="38"/>
        <v>0</v>
      </c>
      <c r="G36" s="35"/>
      <c r="H36" s="35">
        <f t="shared" ref="H36:AN36" si="39">H18-H17</f>
        <v>-267.20000000001164</v>
      </c>
      <c r="I36" s="35">
        <f t="shared" si="39"/>
        <v>0</v>
      </c>
      <c r="J36" s="42">
        <f t="shared" si="39"/>
        <v>-2404.8000000001048</v>
      </c>
      <c r="K36" s="42">
        <f t="shared" si="39"/>
        <v>-1.3227722772277843</v>
      </c>
      <c r="L36" s="35">
        <f t="shared" si="39"/>
        <v>-179</v>
      </c>
      <c r="M36" s="35">
        <f t="shared" si="39"/>
        <v>0</v>
      </c>
      <c r="N36" s="42">
        <f t="shared" si="39"/>
        <v>-10059.799999999996</v>
      </c>
      <c r="O36" s="35">
        <f t="shared" si="39"/>
        <v>66</v>
      </c>
      <c r="P36" s="35">
        <f t="shared" si="39"/>
        <v>0</v>
      </c>
      <c r="Q36" s="42">
        <f t="shared" si="39"/>
        <v>7128</v>
      </c>
      <c r="R36" s="42">
        <f t="shared" si="39"/>
        <v>65.346534653465312</v>
      </c>
      <c r="S36" s="35">
        <f t="shared" si="39"/>
        <v>0</v>
      </c>
      <c r="T36" s="35">
        <f t="shared" si="39"/>
        <v>0</v>
      </c>
      <c r="U36" s="42">
        <f t="shared" si="39"/>
        <v>0</v>
      </c>
      <c r="V36" s="35">
        <f t="shared" si="39"/>
        <v>-11</v>
      </c>
      <c r="W36" s="35">
        <f t="shared" si="39"/>
        <v>-4</v>
      </c>
      <c r="X36" s="35">
        <f t="shared" si="39"/>
        <v>-26</v>
      </c>
      <c r="Y36" s="35">
        <f t="shared" si="39"/>
        <v>-41</v>
      </c>
      <c r="Z36" s="35">
        <f t="shared" si="39"/>
        <v>0</v>
      </c>
      <c r="AA36" s="35">
        <f t="shared" si="39"/>
        <v>0</v>
      </c>
      <c r="AB36" s="35">
        <f t="shared" si="39"/>
        <v>-0.16000000000349246</v>
      </c>
      <c r="AC36" s="35">
        <f t="shared" si="39"/>
        <v>0.44999999999708962</v>
      </c>
      <c r="AD36" s="35">
        <f t="shared" si="39"/>
        <v>0.28999999999359716</v>
      </c>
      <c r="AE36" s="35">
        <f t="shared" si="39"/>
        <v>286.60000000009313</v>
      </c>
      <c r="AF36" s="35">
        <f t="shared" si="39"/>
        <v>10.628632400305207</v>
      </c>
      <c r="AG36" s="35">
        <f t="shared" si="39"/>
        <v>2.3899999999994179</v>
      </c>
      <c r="AH36" s="35">
        <f t="shared" si="39"/>
        <v>-3</v>
      </c>
      <c r="AI36" s="35">
        <f t="shared" si="39"/>
        <v>1.4100000000034925</v>
      </c>
      <c r="AJ36" s="35">
        <f t="shared" si="39"/>
        <v>0.80000000000291038</v>
      </c>
      <c r="AK36" s="35">
        <f t="shared" si="39"/>
        <v>0</v>
      </c>
      <c r="AL36" s="35">
        <f t="shared" si="39"/>
        <v>-0.75000000000090949</v>
      </c>
      <c r="AM36" s="35">
        <f t="shared" si="39"/>
        <v>0</v>
      </c>
      <c r="AN36" s="35">
        <f t="shared" si="39"/>
        <v>-0.75000000000090949</v>
      </c>
      <c r="AO36" s="35"/>
      <c r="AP36" s="35">
        <f t="shared" ref="AP36:AW36" si="40">AP18-AP17</f>
        <v>453.82000000006519</v>
      </c>
      <c r="AQ36" s="35">
        <f t="shared" si="40"/>
        <v>11.17000000004191</v>
      </c>
      <c r="AR36" s="35">
        <f t="shared" si="40"/>
        <v>99.89000000001397</v>
      </c>
      <c r="AS36" s="35">
        <f t="shared" si="40"/>
        <v>-108.5099999998929</v>
      </c>
      <c r="AT36" s="35">
        <f t="shared" si="40"/>
        <v>24.929999999993015</v>
      </c>
      <c r="AU36" s="35">
        <f t="shared" si="40"/>
        <v>0</v>
      </c>
      <c r="AV36" s="35">
        <f t="shared" si="40"/>
        <v>0.43000000005122274</v>
      </c>
      <c r="AW36" s="35">
        <f t="shared" si="40"/>
        <v>0</v>
      </c>
      <c r="AX36" s="35"/>
      <c r="AY36" s="35"/>
      <c r="AZ36" s="35">
        <f t="shared" ref="AZ36:BG36" si="41">AZ18-AZ17</f>
        <v>16.290000000037253</v>
      </c>
      <c r="BA36" s="35">
        <f t="shared" si="41"/>
        <v>-0.44000000000232831</v>
      </c>
      <c r="BB36" s="35">
        <f t="shared" si="41"/>
        <v>-0.24000000000000021</v>
      </c>
      <c r="BC36" s="35">
        <f t="shared" si="41"/>
        <v>-3.0000000027939677E-2</v>
      </c>
      <c r="BD36" s="35">
        <f t="shared" si="41"/>
        <v>-117.18000000000757</v>
      </c>
      <c r="BE36" s="35">
        <f t="shared" si="41"/>
        <v>0</v>
      </c>
      <c r="BF36" s="35">
        <f t="shared" si="41"/>
        <v>286.17000000004191</v>
      </c>
      <c r="BG36" s="35">
        <f t="shared" si="41"/>
        <v>-23.669999999925494</v>
      </c>
      <c r="BH36" s="35"/>
      <c r="BI36" s="35"/>
      <c r="BJ36" s="35"/>
      <c r="BK36" s="35">
        <f>BK18-BK17</f>
        <v>4.0618250712171289</v>
      </c>
      <c r="BL36" s="35">
        <f>BL18-BL17</f>
        <v>-0.35568022386837406</v>
      </c>
      <c r="BM36" s="35"/>
      <c r="BN36" s="35">
        <f>BN18-BN17</f>
        <v>-5336.6000000000931</v>
      </c>
      <c r="BO36" s="35">
        <f>BO18-BO17</f>
        <v>262.93000000016764</v>
      </c>
    </row>
    <row r="37" spans="1:68">
      <c r="F37" s="38">
        <f>AVERAGE(F4:F35)</f>
        <v>1.5921322580645161</v>
      </c>
      <c r="G37" s="38"/>
      <c r="H37" s="38">
        <f>AVERAGE(H4:H35)</f>
        <v>41140.8125</v>
      </c>
    </row>
    <row r="38" spans="1:68">
      <c r="B38" s="36" t="s">
        <v>66</v>
      </c>
      <c r="F38" s="72">
        <f>AVERAGE(F4:F35)</f>
        <v>1.5921322580645161</v>
      </c>
      <c r="G38" s="72"/>
    </row>
    <row r="41" spans="1:68">
      <c r="BI41">
        <f>(BI31+BJ31)/400</f>
        <v>10.319750000000058</v>
      </c>
    </row>
  </sheetData>
  <mergeCells count="11">
    <mergeCell ref="A1:BN1"/>
    <mergeCell ref="H2:J2"/>
    <mergeCell ref="L2:N2"/>
    <mergeCell ref="O2:Q2"/>
    <mergeCell ref="S2:U2"/>
    <mergeCell ref="V2:X2"/>
    <mergeCell ref="Z2:AC2"/>
    <mergeCell ref="AG2:AI2"/>
    <mergeCell ref="AK2:AM2"/>
    <mergeCell ref="AP2:AY2"/>
    <mergeCell ref="AZ2:BH2"/>
  </mergeCells>
  <hyperlinks>
    <hyperlink ref="B38" r:id="rId1" xr:uid="{00000000-0004-0000-0200-000000000000}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4"/>
  <sheetViews>
    <sheetView topLeftCell="A19" workbookViewId="0">
      <selection activeCell="D34" sqref="D34"/>
    </sheetView>
  </sheetViews>
  <sheetFormatPr defaultRowHeight="15.75"/>
  <cols>
    <col min="2" max="2" width="8.33203125" style="275" customWidth="1"/>
    <col min="3" max="3" width="6.6640625" style="275" customWidth="1"/>
    <col min="4" max="4" width="7.5546875" style="275" customWidth="1"/>
    <col min="5" max="5" width="7.88671875" style="275" customWidth="1"/>
    <col min="6" max="6" width="7.109375" style="275" customWidth="1"/>
    <col min="8" max="8" width="7.5546875" customWidth="1"/>
  </cols>
  <sheetData>
    <row r="1" spans="1:17" ht="47.25">
      <c r="A1" s="248"/>
      <c r="B1" s="280" t="s">
        <v>313</v>
      </c>
      <c r="C1" s="280" t="s">
        <v>271</v>
      </c>
      <c r="D1" s="280" t="s">
        <v>272</v>
      </c>
      <c r="E1" s="280" t="s">
        <v>274</v>
      </c>
      <c r="F1" s="280" t="s">
        <v>273</v>
      </c>
      <c r="G1" s="283" t="s">
        <v>275</v>
      </c>
      <c r="H1" s="306" t="s">
        <v>310</v>
      </c>
      <c r="J1" s="379" t="s">
        <v>353</v>
      </c>
    </row>
    <row r="2" spans="1:17">
      <c r="A2" s="248">
        <v>1</v>
      </c>
      <c r="B2" s="380">
        <f>C2/202%</f>
        <v>77.227722772277232</v>
      </c>
      <c r="C2" s="380">
        <v>156</v>
      </c>
      <c r="D2" s="380">
        <v>5</v>
      </c>
      <c r="E2" s="380">
        <f>(C2+D2)/202%</f>
        <v>79.702970297029708</v>
      </c>
      <c r="F2" s="381">
        <v>451</v>
      </c>
      <c r="G2" s="381">
        <f>C2+D2</f>
        <v>161</v>
      </c>
      <c r="H2" s="382">
        <f>C2/202%</f>
        <v>77.227722772277232</v>
      </c>
      <c r="I2" s="383"/>
      <c r="J2" s="382">
        <f>'Section Load'!C5/G2</f>
        <v>132.69565217391303</v>
      </c>
      <c r="K2">
        <f>10/202</f>
        <v>4.9504950495049507E-2</v>
      </c>
    </row>
    <row r="3" spans="1:17">
      <c r="A3" s="248">
        <v>2</v>
      </c>
      <c r="B3" s="380">
        <f t="shared" ref="B3:B32" si="0">C3/202%</f>
        <v>73.267326732673268</v>
      </c>
      <c r="C3" s="380">
        <v>148</v>
      </c>
      <c r="D3" s="380">
        <v>4</v>
      </c>
      <c r="E3" s="380">
        <f t="shared" ref="E3:E32" si="1">(C3+D3)/202%</f>
        <v>75.247524752475243</v>
      </c>
      <c r="F3" s="381">
        <v>351</v>
      </c>
      <c r="G3" s="381">
        <f t="shared" ref="G3:G31" si="2">C3+D3</f>
        <v>152</v>
      </c>
      <c r="H3" s="382">
        <f t="shared" ref="H3:H32" si="3">C3/202%</f>
        <v>73.267326732673268</v>
      </c>
      <c r="I3" s="383"/>
      <c r="J3" s="382">
        <f>'Section Load'!C6/G3</f>
        <v>137.32236842105263</v>
      </c>
    </row>
    <row r="4" spans="1:17">
      <c r="A4" s="248">
        <v>3</v>
      </c>
      <c r="B4" s="380">
        <f t="shared" si="0"/>
        <v>84.653465346534659</v>
      </c>
      <c r="C4" s="380">
        <v>171</v>
      </c>
      <c r="D4" s="380">
        <v>5</v>
      </c>
      <c r="E4" s="380">
        <f t="shared" si="1"/>
        <v>87.128712871287135</v>
      </c>
      <c r="F4" s="381">
        <v>369</v>
      </c>
      <c r="G4" s="381">
        <f t="shared" si="2"/>
        <v>176</v>
      </c>
      <c r="H4" s="382">
        <f t="shared" si="3"/>
        <v>84.653465346534659</v>
      </c>
      <c r="I4" s="383"/>
      <c r="J4" s="382">
        <f>'Section Load'!C7/G4</f>
        <v>124.07386363636364</v>
      </c>
      <c r="Q4" s="402">
        <f>C2/202</f>
        <v>0.7722772277227723</v>
      </c>
    </row>
    <row r="5" spans="1:17">
      <c r="A5" s="248">
        <v>4</v>
      </c>
      <c r="B5" s="380">
        <f t="shared" si="0"/>
        <v>86.138613861386133</v>
      </c>
      <c r="C5" s="380">
        <v>174</v>
      </c>
      <c r="D5" s="380">
        <v>5</v>
      </c>
      <c r="E5" s="380">
        <f t="shared" si="1"/>
        <v>88.613861386138609</v>
      </c>
      <c r="F5" s="381">
        <v>455</v>
      </c>
      <c r="G5" s="381">
        <f t="shared" si="2"/>
        <v>179</v>
      </c>
      <c r="H5" s="382">
        <f t="shared" si="3"/>
        <v>86.138613861386133</v>
      </c>
      <c r="I5" s="383"/>
      <c r="J5" s="382">
        <f>'Section Load'!C8/G5</f>
        <v>118.41340782122904</v>
      </c>
    </row>
    <row r="6" spans="1:17">
      <c r="A6" s="248">
        <v>5</v>
      </c>
      <c r="B6" s="380">
        <f t="shared" si="0"/>
        <v>83.168316831683171</v>
      </c>
      <c r="C6" s="380">
        <v>168</v>
      </c>
      <c r="D6" s="380">
        <v>6</v>
      </c>
      <c r="E6" s="380">
        <f t="shared" si="1"/>
        <v>86.138613861386133</v>
      </c>
      <c r="F6" s="381">
        <v>482</v>
      </c>
      <c r="G6" s="381">
        <f t="shared" si="2"/>
        <v>174</v>
      </c>
      <c r="H6" s="382">
        <f t="shared" si="3"/>
        <v>83.168316831683171</v>
      </c>
      <c r="I6" s="383"/>
      <c r="J6" s="382">
        <f>'Section Load'!C9/G6</f>
        <v>121.13793103448276</v>
      </c>
    </row>
    <row r="7" spans="1:17">
      <c r="A7" s="248">
        <v>6</v>
      </c>
      <c r="B7" s="380">
        <f t="shared" si="0"/>
        <v>80.198019801980195</v>
      </c>
      <c r="C7" s="380">
        <v>162</v>
      </c>
      <c r="D7" s="380">
        <v>5</v>
      </c>
      <c r="E7" s="380">
        <f t="shared" si="1"/>
        <v>82.67326732673267</v>
      </c>
      <c r="F7" s="381">
        <v>551</v>
      </c>
      <c r="G7" s="381">
        <f t="shared" si="2"/>
        <v>167</v>
      </c>
      <c r="H7" s="382">
        <f t="shared" si="3"/>
        <v>80.198019801980195</v>
      </c>
      <c r="I7" s="383"/>
      <c r="J7" s="382">
        <f>'Section Load'!C10/G7</f>
        <v>123.26946107784431</v>
      </c>
    </row>
    <row r="8" spans="1:17">
      <c r="A8" s="248">
        <v>7</v>
      </c>
      <c r="B8" s="380">
        <f t="shared" si="0"/>
        <v>76.237623762376231</v>
      </c>
      <c r="C8" s="380">
        <v>154</v>
      </c>
      <c r="D8" s="380">
        <v>7</v>
      </c>
      <c r="E8" s="380">
        <f t="shared" si="1"/>
        <v>79.702970297029708</v>
      </c>
      <c r="F8" s="381">
        <v>658</v>
      </c>
      <c r="G8" s="381">
        <f t="shared" si="2"/>
        <v>161</v>
      </c>
      <c r="H8" s="382">
        <f t="shared" si="3"/>
        <v>76.237623762376231</v>
      </c>
      <c r="I8" s="383"/>
      <c r="J8" s="382">
        <f>'Section Load'!C11/G8</f>
        <v>134.04347826086956</v>
      </c>
      <c r="K8" s="535"/>
    </row>
    <row r="9" spans="1:17">
      <c r="A9" s="248">
        <v>8</v>
      </c>
      <c r="B9" s="380">
        <f t="shared" si="0"/>
        <v>69.306930693069305</v>
      </c>
      <c r="C9" s="380">
        <v>140</v>
      </c>
      <c r="D9" s="380">
        <v>5</v>
      </c>
      <c r="E9" s="380">
        <f t="shared" si="1"/>
        <v>71.78217821782178</v>
      </c>
      <c r="F9" s="381">
        <v>542</v>
      </c>
      <c r="G9" s="381">
        <f t="shared" si="2"/>
        <v>145</v>
      </c>
      <c r="H9" s="382">
        <f t="shared" si="3"/>
        <v>69.306930693069305</v>
      </c>
      <c r="I9" s="383"/>
      <c r="J9" s="382">
        <f>'Section Load'!C12/G9</f>
        <v>148.95172413793102</v>
      </c>
    </row>
    <row r="10" spans="1:17">
      <c r="A10" s="248">
        <v>9</v>
      </c>
      <c r="B10" s="380">
        <f t="shared" si="0"/>
        <v>76.732673267326732</v>
      </c>
      <c r="C10" s="380">
        <v>155</v>
      </c>
      <c r="D10" s="380">
        <v>6</v>
      </c>
      <c r="E10" s="380">
        <f t="shared" si="1"/>
        <v>79.702970297029708</v>
      </c>
      <c r="F10" s="381">
        <v>398</v>
      </c>
      <c r="G10" s="381">
        <f t="shared" si="2"/>
        <v>161</v>
      </c>
      <c r="H10" s="382">
        <f t="shared" si="3"/>
        <v>76.732673267326732</v>
      </c>
      <c r="I10" s="383"/>
      <c r="J10" s="382">
        <f>'Section Load'!C13/G10</f>
        <v>127.16149068322981</v>
      </c>
      <c r="K10" s="556" t="s">
        <v>370</v>
      </c>
      <c r="L10" s="556"/>
    </row>
    <row r="11" spans="1:17">
      <c r="A11" s="248">
        <v>10</v>
      </c>
      <c r="B11" s="380">
        <f t="shared" si="0"/>
        <v>76.237623762376231</v>
      </c>
      <c r="C11" s="380">
        <v>154</v>
      </c>
      <c r="D11" s="380">
        <v>4</v>
      </c>
      <c r="E11" s="380">
        <f t="shared" si="1"/>
        <v>78.21782178217822</v>
      </c>
      <c r="F11" s="381">
        <v>474</v>
      </c>
      <c r="G11" s="381">
        <f t="shared" si="2"/>
        <v>158</v>
      </c>
      <c r="H11" s="382">
        <f t="shared" si="3"/>
        <v>76.237623762376231</v>
      </c>
      <c r="I11" s="383"/>
      <c r="J11" s="382">
        <f>'Section Load'!C14/G11</f>
        <v>137.69620253164558</v>
      </c>
      <c r="K11" s="556"/>
      <c r="L11" s="556"/>
    </row>
    <row r="12" spans="1:17">
      <c r="A12" s="248">
        <v>11</v>
      </c>
      <c r="B12" s="380">
        <f t="shared" si="0"/>
        <v>79.207920792079207</v>
      </c>
      <c r="C12" s="380">
        <v>160</v>
      </c>
      <c r="D12" s="380">
        <v>4</v>
      </c>
      <c r="E12" s="380">
        <f t="shared" si="1"/>
        <v>81.188118811881182</v>
      </c>
      <c r="F12" s="381"/>
      <c r="G12" s="381">
        <f t="shared" si="2"/>
        <v>164</v>
      </c>
      <c r="H12" s="382">
        <f t="shared" si="3"/>
        <v>79.207920792079207</v>
      </c>
      <c r="I12" s="383"/>
      <c r="J12" s="382">
        <f>'Section Load'!C15/G12</f>
        <v>132.82926829268294</v>
      </c>
      <c r="K12" s="556"/>
      <c r="L12" s="556"/>
    </row>
    <row r="13" spans="1:17">
      <c r="A13" s="248">
        <v>12</v>
      </c>
      <c r="B13" s="380">
        <f t="shared" si="0"/>
        <v>80.693069306930695</v>
      </c>
      <c r="C13" s="380">
        <v>163</v>
      </c>
      <c r="D13" s="380">
        <v>1</v>
      </c>
      <c r="E13" s="380">
        <f t="shared" si="1"/>
        <v>81.188118811881182</v>
      </c>
      <c r="F13" s="380"/>
      <c r="G13" s="381">
        <f t="shared" si="2"/>
        <v>164</v>
      </c>
      <c r="H13" s="382">
        <f t="shared" si="3"/>
        <v>80.693069306930695</v>
      </c>
      <c r="I13" s="383"/>
      <c r="J13" s="382">
        <f>'Section Load'!C16/G13</f>
        <v>130.70731707317074</v>
      </c>
    </row>
    <row r="14" spans="1:17">
      <c r="A14" s="248">
        <v>13</v>
      </c>
      <c r="B14" s="380">
        <f t="shared" si="0"/>
        <v>82.178217821782184</v>
      </c>
      <c r="C14" s="380">
        <v>166</v>
      </c>
      <c r="D14" s="380">
        <v>1</v>
      </c>
      <c r="E14" s="380">
        <f t="shared" si="1"/>
        <v>82.67326732673267</v>
      </c>
      <c r="F14" s="380"/>
      <c r="G14" s="381">
        <f t="shared" si="2"/>
        <v>167</v>
      </c>
      <c r="H14" s="382">
        <f t="shared" si="3"/>
        <v>82.178217821782184</v>
      </c>
      <c r="I14" s="383"/>
      <c r="J14" s="382">
        <f>'Section Load'!C17/G14</f>
        <v>132.42514970059881</v>
      </c>
    </row>
    <row r="15" spans="1:17">
      <c r="A15" s="248">
        <v>14</v>
      </c>
      <c r="B15" s="380">
        <f t="shared" si="0"/>
        <v>83.168316831683171</v>
      </c>
      <c r="C15" s="380">
        <v>168</v>
      </c>
      <c r="D15" s="380">
        <v>1</v>
      </c>
      <c r="E15" s="380">
        <f t="shared" si="1"/>
        <v>83.663366336633658</v>
      </c>
      <c r="F15" s="380"/>
      <c r="G15" s="381">
        <f t="shared" si="2"/>
        <v>169</v>
      </c>
      <c r="H15" s="382">
        <f t="shared" si="3"/>
        <v>83.168316831683171</v>
      </c>
      <c r="I15" s="383"/>
      <c r="J15" s="382">
        <f>'Section Load'!C18/G15</f>
        <v>123.64497041420118</v>
      </c>
    </row>
    <row r="16" spans="1:17">
      <c r="A16" s="248">
        <v>15</v>
      </c>
      <c r="B16" s="380">
        <f t="shared" si="0"/>
        <v>59.900990099009903</v>
      </c>
      <c r="C16" s="380">
        <v>121</v>
      </c>
      <c r="D16" s="380">
        <v>1</v>
      </c>
      <c r="E16" s="380">
        <f t="shared" si="1"/>
        <v>60.396039603960396</v>
      </c>
      <c r="F16" s="380"/>
      <c r="G16" s="381">
        <f t="shared" si="2"/>
        <v>122</v>
      </c>
      <c r="H16" s="382">
        <f t="shared" si="3"/>
        <v>59.900990099009903</v>
      </c>
      <c r="I16" s="383"/>
      <c r="J16" s="382">
        <f>'Section Load'!C19/G16</f>
        <v>169.08852459016384</v>
      </c>
    </row>
    <row r="17" spans="1:10">
      <c r="A17" s="248">
        <v>16</v>
      </c>
      <c r="B17" s="380">
        <f t="shared" si="0"/>
        <v>76.237623762376231</v>
      </c>
      <c r="C17" s="380">
        <v>154</v>
      </c>
      <c r="D17" s="380">
        <v>4</v>
      </c>
      <c r="E17" s="380">
        <f t="shared" si="1"/>
        <v>78.21782178217822</v>
      </c>
      <c r="F17" s="380"/>
      <c r="G17" s="381">
        <f t="shared" si="2"/>
        <v>158</v>
      </c>
      <c r="H17" s="382">
        <f t="shared" si="3"/>
        <v>76.237623762376231</v>
      </c>
      <c r="I17" s="383"/>
      <c r="J17" s="382">
        <f>'Section Load'!C20/G17</f>
        <v>136.08987341772161</v>
      </c>
    </row>
    <row r="18" spans="1:10">
      <c r="A18" s="248">
        <v>17</v>
      </c>
      <c r="B18" s="380">
        <f t="shared" si="0"/>
        <v>74.257425742574256</v>
      </c>
      <c r="C18" s="380">
        <v>150</v>
      </c>
      <c r="D18" s="380">
        <v>8</v>
      </c>
      <c r="E18" s="380">
        <f t="shared" si="1"/>
        <v>78.21782178217822</v>
      </c>
      <c r="F18" s="380"/>
      <c r="G18" s="381">
        <f t="shared" si="2"/>
        <v>158</v>
      </c>
      <c r="H18" s="382">
        <f t="shared" si="3"/>
        <v>74.257425742574256</v>
      </c>
      <c r="I18" s="383"/>
      <c r="J18" s="382">
        <f>'Section Load'!C21/G18</f>
        <v>126.91772151898734</v>
      </c>
    </row>
    <row r="19" spans="1:10">
      <c r="A19" s="248">
        <v>18</v>
      </c>
      <c r="B19" s="380">
        <f t="shared" si="0"/>
        <v>75.247524752475243</v>
      </c>
      <c r="C19" s="384">
        <v>152</v>
      </c>
      <c r="D19" s="384">
        <v>8</v>
      </c>
      <c r="E19" s="380">
        <f t="shared" si="1"/>
        <v>79.207920792079207</v>
      </c>
      <c r="F19" s="384"/>
      <c r="G19" s="381">
        <f t="shared" si="2"/>
        <v>160</v>
      </c>
      <c r="H19" s="382">
        <f t="shared" si="3"/>
        <v>75.247524752475243</v>
      </c>
      <c r="I19" s="383"/>
      <c r="J19" s="382">
        <f>'Section Load'!C22/G19</f>
        <v>127.825</v>
      </c>
    </row>
    <row r="20" spans="1:10">
      <c r="A20" s="248">
        <v>19</v>
      </c>
      <c r="B20" s="380">
        <f t="shared" si="0"/>
        <v>78.21782178217822</v>
      </c>
      <c r="C20" s="380">
        <v>158</v>
      </c>
      <c r="D20" s="380">
        <v>8</v>
      </c>
      <c r="E20" s="380">
        <f t="shared" si="1"/>
        <v>82.178217821782184</v>
      </c>
      <c r="F20" s="380"/>
      <c r="G20" s="381">
        <f t="shared" si="2"/>
        <v>166</v>
      </c>
      <c r="H20" s="382">
        <f t="shared" si="3"/>
        <v>78.21782178217822</v>
      </c>
      <c r="I20" s="383"/>
      <c r="J20" s="382">
        <f>'Section Load'!C23/G20</f>
        <v>130.45783132530121</v>
      </c>
    </row>
    <row r="21" spans="1:10">
      <c r="A21" s="248">
        <v>20</v>
      </c>
      <c r="B21" s="380">
        <f t="shared" si="0"/>
        <v>74.257425742574256</v>
      </c>
      <c r="C21" s="380">
        <v>150</v>
      </c>
      <c r="D21" s="380">
        <v>2</v>
      </c>
      <c r="E21" s="380">
        <f t="shared" si="1"/>
        <v>75.247524752475243</v>
      </c>
      <c r="F21" s="380"/>
      <c r="G21" s="381">
        <f t="shared" si="2"/>
        <v>152</v>
      </c>
      <c r="H21" s="382">
        <f t="shared" si="3"/>
        <v>74.257425742574256</v>
      </c>
      <c r="I21" s="383"/>
      <c r="J21" s="382">
        <f>'Section Load'!C24/G21</f>
        <v>140.86184210526315</v>
      </c>
    </row>
    <row r="22" spans="1:10">
      <c r="A22" s="248">
        <v>21</v>
      </c>
      <c r="B22" s="380">
        <f t="shared" si="0"/>
        <v>70.297029702970292</v>
      </c>
      <c r="C22" s="380">
        <v>142</v>
      </c>
      <c r="D22" s="380">
        <v>2</v>
      </c>
      <c r="E22" s="380">
        <f t="shared" si="1"/>
        <v>71.287128712871294</v>
      </c>
      <c r="F22" s="380"/>
      <c r="G22" s="381">
        <f t="shared" si="2"/>
        <v>144</v>
      </c>
      <c r="H22" s="382">
        <f t="shared" si="3"/>
        <v>70.297029702970292</v>
      </c>
      <c r="I22" s="383"/>
      <c r="J22" s="382">
        <f>'Section Load'!C25/G22</f>
        <v>144.59027777777777</v>
      </c>
    </row>
    <row r="23" spans="1:10">
      <c r="A23" s="248">
        <v>22</v>
      </c>
      <c r="B23" s="380">
        <v>83</v>
      </c>
      <c r="C23" s="380">
        <v>131</v>
      </c>
      <c r="D23" s="380">
        <v>4</v>
      </c>
      <c r="E23" s="380">
        <f t="shared" si="1"/>
        <v>66.831683168316829</v>
      </c>
      <c r="F23" s="380"/>
      <c r="G23" s="381">
        <f t="shared" si="2"/>
        <v>135</v>
      </c>
      <c r="H23" s="382">
        <f t="shared" si="3"/>
        <v>64.851485148514854</v>
      </c>
      <c r="I23" s="383"/>
      <c r="J23" s="382">
        <f>'Section Load'!C26/G23</f>
        <v>145.98518518518517</v>
      </c>
    </row>
    <row r="24" spans="1:10">
      <c r="A24" s="248">
        <v>23</v>
      </c>
      <c r="B24" s="380">
        <v>98</v>
      </c>
      <c r="C24" s="380">
        <v>137</v>
      </c>
      <c r="D24" s="380">
        <v>4</v>
      </c>
      <c r="E24" s="380">
        <f t="shared" si="1"/>
        <v>69.801980198019805</v>
      </c>
      <c r="F24" s="380"/>
      <c r="G24" s="381">
        <f t="shared" si="2"/>
        <v>141</v>
      </c>
      <c r="H24" s="382">
        <f t="shared" si="3"/>
        <v>67.821782178217816</v>
      </c>
      <c r="I24" s="383"/>
      <c r="J24" s="382">
        <f>'Section Load'!C27/G24</f>
        <v>143.60992907801418</v>
      </c>
    </row>
    <row r="25" spans="1:10">
      <c r="A25" s="248">
        <v>24</v>
      </c>
      <c r="B25" s="380">
        <f t="shared" si="0"/>
        <v>74.257425742574256</v>
      </c>
      <c r="C25" s="380">
        <v>150</v>
      </c>
      <c r="D25" s="380">
        <v>5</v>
      </c>
      <c r="E25" s="380">
        <f t="shared" si="1"/>
        <v>76.732673267326732</v>
      </c>
      <c r="F25" s="380"/>
      <c r="G25" s="381">
        <f t="shared" si="2"/>
        <v>155</v>
      </c>
      <c r="H25" s="382">
        <f t="shared" si="3"/>
        <v>74.257425742574256</v>
      </c>
      <c r="I25" s="383"/>
      <c r="J25" s="382">
        <f>'Section Load'!C28/G25</f>
        <v>125.44200000000006</v>
      </c>
    </row>
    <row r="26" spans="1:10">
      <c r="A26" s="248">
        <v>25</v>
      </c>
      <c r="B26" s="380">
        <f t="shared" si="0"/>
        <v>74.752475247524757</v>
      </c>
      <c r="C26" s="380">
        <v>151</v>
      </c>
      <c r="D26" s="380">
        <v>7</v>
      </c>
      <c r="E26" s="380">
        <f t="shared" si="1"/>
        <v>78.21782178217822</v>
      </c>
      <c r="F26" s="380"/>
      <c r="G26" s="381">
        <f t="shared" si="2"/>
        <v>158</v>
      </c>
      <c r="H26" s="382">
        <f t="shared" si="3"/>
        <v>74.752475247524757</v>
      </c>
      <c r="I26" s="383"/>
      <c r="J26" s="382">
        <f>'Section Load'!C29/G26</f>
        <v>124.71772151898749</v>
      </c>
    </row>
    <row r="27" spans="1:10">
      <c r="A27" s="248">
        <v>26</v>
      </c>
      <c r="B27" s="380">
        <f t="shared" si="0"/>
        <v>70.792079207920793</v>
      </c>
      <c r="C27" s="380">
        <v>143</v>
      </c>
      <c r="D27" s="380">
        <v>8</v>
      </c>
      <c r="E27" s="380">
        <f t="shared" si="1"/>
        <v>74.752475247524757</v>
      </c>
      <c r="F27" s="380"/>
      <c r="G27" s="381">
        <f t="shared" si="2"/>
        <v>151</v>
      </c>
      <c r="H27" s="382">
        <f t="shared" si="3"/>
        <v>70.792079207920793</v>
      </c>
      <c r="I27" s="383"/>
      <c r="J27" s="382">
        <f>'Section Load'!C30/G27</f>
        <v>130.92927152317847</v>
      </c>
    </row>
    <row r="28" spans="1:10">
      <c r="A28" s="248">
        <v>27</v>
      </c>
      <c r="B28" s="380">
        <f t="shared" si="0"/>
        <v>75.742574257425744</v>
      </c>
      <c r="C28" s="380">
        <v>153</v>
      </c>
      <c r="D28" s="380">
        <v>8</v>
      </c>
      <c r="E28" s="380">
        <f t="shared" si="1"/>
        <v>79.702970297029708</v>
      </c>
      <c r="F28" s="380"/>
      <c r="G28" s="381">
        <f t="shared" si="2"/>
        <v>161</v>
      </c>
      <c r="H28" s="382">
        <f t="shared" si="3"/>
        <v>75.742574257425744</v>
      </c>
      <c r="I28" s="383"/>
      <c r="J28" s="382">
        <f>'Section Load'!C31/G28</f>
        <v>139.38583850931673</v>
      </c>
    </row>
    <row r="29" spans="1:10">
      <c r="A29" s="248">
        <v>28</v>
      </c>
      <c r="B29" s="380">
        <f t="shared" si="0"/>
        <v>0</v>
      </c>
      <c r="C29" s="380"/>
      <c r="D29" s="380"/>
      <c r="E29" s="380">
        <f t="shared" si="1"/>
        <v>0</v>
      </c>
      <c r="F29" s="380"/>
      <c r="G29" s="381">
        <f t="shared" si="2"/>
        <v>0</v>
      </c>
      <c r="H29" s="382">
        <f t="shared" si="3"/>
        <v>0</v>
      </c>
      <c r="I29" s="383"/>
      <c r="J29" s="382" t="e">
        <f>'Section Load'!C32/G29</f>
        <v>#DIV/0!</v>
      </c>
    </row>
    <row r="30" spans="1:10">
      <c r="A30" s="248">
        <v>29</v>
      </c>
      <c r="B30" s="380">
        <f>C30/202%</f>
        <v>0</v>
      </c>
      <c r="C30" s="380"/>
      <c r="D30" s="380"/>
      <c r="E30" s="380">
        <f t="shared" si="1"/>
        <v>0</v>
      </c>
      <c r="F30" s="380"/>
      <c r="G30" s="381">
        <f t="shared" si="2"/>
        <v>0</v>
      </c>
      <c r="H30" s="382">
        <f>C30/202%</f>
        <v>0</v>
      </c>
      <c r="I30" s="383"/>
      <c r="J30" s="382" t="e">
        <f>'Section Load'!C33/G30</f>
        <v>#DIV/0!</v>
      </c>
    </row>
    <row r="31" spans="1:10">
      <c r="A31" s="248">
        <v>30</v>
      </c>
      <c r="B31" s="380">
        <f t="shared" si="0"/>
        <v>0</v>
      </c>
      <c r="C31" s="380"/>
      <c r="D31" s="380"/>
      <c r="E31" s="380">
        <f t="shared" si="1"/>
        <v>0</v>
      </c>
      <c r="F31" s="380"/>
      <c r="G31" s="385">
        <f t="shared" si="2"/>
        <v>0</v>
      </c>
      <c r="H31" s="382">
        <f t="shared" si="3"/>
        <v>0</v>
      </c>
      <c r="I31" s="383"/>
      <c r="J31" s="382" t="e">
        <f>'Section Load'!C34/G31</f>
        <v>#DIV/0!</v>
      </c>
    </row>
    <row r="32" spans="1:10">
      <c r="A32" s="248">
        <v>31</v>
      </c>
      <c r="B32" s="380">
        <f t="shared" si="0"/>
        <v>0</v>
      </c>
      <c r="C32" s="380"/>
      <c r="D32" s="380"/>
      <c r="E32" s="380">
        <f t="shared" si="1"/>
        <v>0</v>
      </c>
      <c r="F32" s="380"/>
      <c r="G32" s="385"/>
      <c r="H32" s="382">
        <f t="shared" si="3"/>
        <v>0</v>
      </c>
      <c r="I32" s="383"/>
      <c r="J32" s="382" t="e">
        <f>'Section Load'!C35/G32</f>
        <v>#DIV/0!</v>
      </c>
    </row>
    <row r="33" spans="1:8">
      <c r="A33" t="s">
        <v>316</v>
      </c>
      <c r="B33" s="275">
        <f>AVERAGE(B2:B31)</f>
        <v>69.779207920792061</v>
      </c>
      <c r="C33" s="275">
        <v>154</v>
      </c>
      <c r="D33" s="275">
        <f t="shared" ref="D33:H33" si="4">AVERAGE(D2:D31)</f>
        <v>4.7407407407407405</v>
      </c>
      <c r="E33" s="275">
        <f t="shared" si="4"/>
        <v>70.28052805280528</v>
      </c>
      <c r="F33" s="275">
        <f t="shared" si="4"/>
        <v>473.1</v>
      </c>
      <c r="G33" s="275">
        <f t="shared" si="4"/>
        <v>141.96666666666667</v>
      </c>
      <c r="H33" s="275">
        <f t="shared" si="4"/>
        <v>68.168316831683157</v>
      </c>
    </row>
    <row r="34" spans="1:8">
      <c r="C34" s="275">
        <v>4855</v>
      </c>
      <c r="D34" s="275">
        <v>158</v>
      </c>
      <c r="G34">
        <v>16958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AI31"/>
  <sheetViews>
    <sheetView zoomScale="90" zoomScaleNormal="90" workbookViewId="0">
      <selection activeCell="L4" sqref="L4"/>
    </sheetView>
  </sheetViews>
  <sheetFormatPr defaultRowHeight="15.75"/>
  <cols>
    <col min="2" max="2" width="16.44140625" style="92" customWidth="1"/>
    <col min="3" max="3" width="18.6640625" customWidth="1"/>
    <col min="4" max="4" width="6.5546875" customWidth="1"/>
    <col min="5" max="5" width="7.109375" customWidth="1"/>
    <col min="6" max="6" width="4.44140625" customWidth="1"/>
    <col min="7" max="7" width="3.77734375" customWidth="1"/>
    <col min="8" max="8" width="5.109375" customWidth="1"/>
    <col min="9" max="9" width="4.77734375" customWidth="1"/>
    <col min="10" max="10" width="6.21875" customWidth="1"/>
    <col min="11" max="11" width="3.77734375" customWidth="1"/>
    <col min="12" max="12" width="4.21875" customWidth="1"/>
    <col min="13" max="13" width="4.109375" customWidth="1"/>
    <col min="14" max="14" width="3.77734375" customWidth="1"/>
    <col min="15" max="15" width="4.109375" customWidth="1"/>
    <col min="16" max="35" width="3.77734375" customWidth="1"/>
  </cols>
  <sheetData>
    <row r="3" spans="2:35" s="37" customFormat="1">
      <c r="B3" s="259"/>
      <c r="C3" s="260" t="s">
        <v>0</v>
      </c>
      <c r="D3" s="250">
        <v>1</v>
      </c>
      <c r="E3" s="250">
        <v>2</v>
      </c>
      <c r="F3" s="250">
        <v>3</v>
      </c>
      <c r="G3" s="250">
        <v>4</v>
      </c>
      <c r="H3" s="250">
        <v>5</v>
      </c>
      <c r="I3" s="250">
        <v>6</v>
      </c>
      <c r="J3" s="250">
        <v>7</v>
      </c>
      <c r="K3" s="250">
        <v>8</v>
      </c>
      <c r="L3" s="250">
        <v>9</v>
      </c>
      <c r="M3" s="250">
        <v>10</v>
      </c>
      <c r="N3" s="250">
        <v>11</v>
      </c>
      <c r="O3" s="250">
        <v>12</v>
      </c>
      <c r="P3" s="250">
        <v>13</v>
      </c>
      <c r="Q3" s="250">
        <v>14</v>
      </c>
      <c r="R3" s="260">
        <v>15</v>
      </c>
      <c r="S3" s="260">
        <v>16</v>
      </c>
      <c r="T3" s="260">
        <v>17</v>
      </c>
      <c r="U3" s="260">
        <v>18</v>
      </c>
      <c r="V3" s="260">
        <v>19</v>
      </c>
      <c r="W3" s="260">
        <v>20</v>
      </c>
      <c r="X3" s="260">
        <v>21</v>
      </c>
      <c r="Y3" s="260">
        <v>22</v>
      </c>
      <c r="Z3" s="260">
        <v>23</v>
      </c>
      <c r="AA3" s="260">
        <v>24</v>
      </c>
      <c r="AB3" s="260">
        <v>25</v>
      </c>
      <c r="AC3" s="260">
        <v>26</v>
      </c>
      <c r="AD3" s="260">
        <v>27</v>
      </c>
      <c r="AE3" s="260">
        <v>28</v>
      </c>
      <c r="AF3" s="260">
        <v>29</v>
      </c>
      <c r="AG3" s="260">
        <v>30</v>
      </c>
      <c r="AH3" s="260">
        <v>31</v>
      </c>
      <c r="AI3" s="260"/>
    </row>
    <row r="4" spans="2:35">
      <c r="B4" s="93"/>
      <c r="C4" s="90" t="s">
        <v>67</v>
      </c>
      <c r="D4" s="91">
        <f>Occupancy!B2</f>
        <v>77.227722772277232</v>
      </c>
      <c r="E4" s="91">
        <f>Occupancy!B3</f>
        <v>73.267326732673268</v>
      </c>
      <c r="F4" s="91">
        <f>Occupancy!C3</f>
        <v>148</v>
      </c>
      <c r="G4" s="91">
        <f>Occupancy!D3</f>
        <v>4</v>
      </c>
      <c r="H4" s="91">
        <f>Occupancy!E3</f>
        <v>75.247524752475243</v>
      </c>
      <c r="I4" s="91">
        <f>Occupancy!F3</f>
        <v>351</v>
      </c>
      <c r="J4" s="91">
        <f>Occupancy!G3</f>
        <v>152</v>
      </c>
      <c r="K4" s="91">
        <f>Occupancy!H3</f>
        <v>73.267326732673268</v>
      </c>
      <c r="L4" s="91">
        <f>Occupancy!I3</f>
        <v>0</v>
      </c>
      <c r="M4" s="91">
        <f>Occupancy!J3</f>
        <v>137.32236842105263</v>
      </c>
      <c r="N4" s="91">
        <f>Occupancy!K3</f>
        <v>0</v>
      </c>
      <c r="O4" s="91">
        <f>Occupancy!L3</f>
        <v>0</v>
      </c>
      <c r="P4" s="91">
        <f>Occupancy!M3</f>
        <v>0</v>
      </c>
      <c r="Q4" s="91">
        <f>Occupancy!N3</f>
        <v>0</v>
      </c>
      <c r="R4" s="91">
        <f>Occupancy!O3</f>
        <v>0</v>
      </c>
      <c r="S4" s="91">
        <f>Occupancy!P3</f>
        <v>0</v>
      </c>
      <c r="T4" s="91">
        <f>Occupancy!Q3</f>
        <v>0</v>
      </c>
      <c r="U4" s="91">
        <f>Occupancy!R3</f>
        <v>0</v>
      </c>
      <c r="V4" s="91">
        <f>Occupancy!S3</f>
        <v>0</v>
      </c>
      <c r="W4" s="91">
        <f>Occupancy!T3</f>
        <v>0</v>
      </c>
      <c r="X4" s="91">
        <f>Occupancy!U3</f>
        <v>0</v>
      </c>
      <c r="Y4" s="91">
        <f>Occupancy!V3</f>
        <v>0</v>
      </c>
      <c r="Z4" s="91">
        <f>Occupancy!W3</f>
        <v>0</v>
      </c>
      <c r="AA4" s="91">
        <f>Occupancy!X3</f>
        <v>0</v>
      </c>
      <c r="AB4" s="91">
        <f>Occupancy!Y3</f>
        <v>0</v>
      </c>
      <c r="AC4" s="91">
        <f>Occupancy!Z3</f>
        <v>0</v>
      </c>
      <c r="AD4" s="91">
        <f>Occupancy!AA3</f>
        <v>0</v>
      </c>
      <c r="AE4" s="91">
        <f>Occupancy!AB3</f>
        <v>0</v>
      </c>
      <c r="AF4" s="91">
        <f>Occupancy!AC3</f>
        <v>0</v>
      </c>
      <c r="AG4" s="91">
        <f>Occupancy!AD3</f>
        <v>0</v>
      </c>
      <c r="AH4" s="91">
        <f>Occupancy!AE3</f>
        <v>0</v>
      </c>
      <c r="AI4" s="90"/>
    </row>
    <row r="5" spans="2:35">
      <c r="B5" s="93"/>
      <c r="C5" s="90" t="s">
        <v>68</v>
      </c>
      <c r="D5" s="91">
        <f>'1'!G18</f>
        <v>190</v>
      </c>
      <c r="E5" s="91">
        <f>'2'!G18</f>
        <v>230</v>
      </c>
      <c r="F5" s="91">
        <f>'3'!G18</f>
        <v>260</v>
      </c>
      <c r="G5" s="91">
        <f>'4'!G18</f>
        <v>210</v>
      </c>
      <c r="H5" s="91">
        <f>'5'!G18</f>
        <v>130</v>
      </c>
      <c r="I5" s="91">
        <f>'6'!G18</f>
        <v>260</v>
      </c>
      <c r="J5" s="91">
        <f>'7'!G18</f>
        <v>170</v>
      </c>
      <c r="K5" s="91">
        <f>'8'!G18</f>
        <v>240</v>
      </c>
      <c r="L5" s="91">
        <f>'9'!G18</f>
        <v>180</v>
      </c>
      <c r="M5" s="91">
        <f>'10'!G18</f>
        <v>200</v>
      </c>
      <c r="N5" s="91">
        <f>'11'!G18</f>
        <v>260</v>
      </c>
      <c r="O5" s="91">
        <f>'12'!G18</f>
        <v>190</v>
      </c>
      <c r="P5" s="91">
        <f>'13'!G18</f>
        <v>170</v>
      </c>
      <c r="Q5" s="91">
        <f>'14'!G18</f>
        <v>230</v>
      </c>
      <c r="R5" s="91">
        <f>'15'!G18</f>
        <v>300</v>
      </c>
      <c r="S5" s="91">
        <f>'16'!G18</f>
        <v>220</v>
      </c>
      <c r="T5" s="91">
        <f>'17'!G18</f>
        <v>150</v>
      </c>
      <c r="U5" s="91">
        <f>'18 '!G18</f>
        <v>230</v>
      </c>
      <c r="V5" s="91">
        <f>'19'!G18</f>
        <v>170</v>
      </c>
      <c r="W5" s="91">
        <f>'20'!G18</f>
        <v>220</v>
      </c>
      <c r="X5" s="91">
        <f>'21'!G18</f>
        <v>200</v>
      </c>
      <c r="Y5" s="91">
        <f>'22'!G18</f>
        <v>220</v>
      </c>
      <c r="Z5" s="91">
        <f>'23'!G18</f>
        <v>220</v>
      </c>
      <c r="AA5" s="91">
        <f>'24'!G18</f>
        <v>240</v>
      </c>
      <c r="AB5" s="91">
        <f>'25'!G18</f>
        <v>240</v>
      </c>
      <c r="AC5" s="91">
        <f>'26'!G18</f>
        <v>260</v>
      </c>
      <c r="AD5" s="91">
        <f>'27'!G18</f>
        <v>210</v>
      </c>
      <c r="AE5" s="91">
        <f>'28'!G18</f>
        <v>240</v>
      </c>
      <c r="AF5" s="91">
        <f>'29'!G18</f>
        <v>250</v>
      </c>
      <c r="AG5" s="91">
        <f>'30'!G18</f>
        <v>280</v>
      </c>
      <c r="AH5" s="91">
        <f>'31'!G18</f>
        <v>130</v>
      </c>
      <c r="AI5" s="90"/>
    </row>
    <row r="6" spans="2:35">
      <c r="B6" s="93"/>
      <c r="C6" s="90" t="s">
        <v>69</v>
      </c>
      <c r="D6" s="91">
        <f>'1'!G19</f>
        <v>88</v>
      </c>
      <c r="E6" s="91">
        <f>'2'!G19</f>
        <v>48</v>
      </c>
      <c r="F6" s="91">
        <f>'3'!G19</f>
        <v>62</v>
      </c>
      <c r="G6" s="91">
        <f>'4'!G19</f>
        <v>57</v>
      </c>
      <c r="H6" s="91">
        <f>'5'!G19</f>
        <v>53</v>
      </c>
      <c r="I6" s="91">
        <f>'6'!G19</f>
        <v>46</v>
      </c>
      <c r="J6" s="91">
        <f>'7'!G19</f>
        <v>54</v>
      </c>
      <c r="K6" s="91">
        <f>'8'!G19</f>
        <v>57</v>
      </c>
      <c r="L6" s="91">
        <f>'9'!G19</f>
        <v>63</v>
      </c>
      <c r="M6" s="91">
        <f>'10'!G19</f>
        <v>58</v>
      </c>
      <c r="N6" s="91">
        <f>'11'!G19</f>
        <v>50</v>
      </c>
      <c r="O6" s="91">
        <f>'12'!G19</f>
        <v>55</v>
      </c>
      <c r="P6" s="91">
        <f>'13'!G19</f>
        <v>53</v>
      </c>
      <c r="Q6" s="91">
        <f>'14'!G19</f>
        <v>59</v>
      </c>
      <c r="R6" s="91">
        <f>'15'!G19</f>
        <v>55</v>
      </c>
      <c r="S6" s="91">
        <f>'16'!G19</f>
        <v>52</v>
      </c>
      <c r="T6" s="91">
        <f>'17'!G19</f>
        <v>55</v>
      </c>
      <c r="U6" s="91">
        <f>'18 '!G19</f>
        <v>54</v>
      </c>
      <c r="V6" s="91">
        <f>'19'!G19</f>
        <v>61</v>
      </c>
      <c r="W6" s="91">
        <f>'20'!G19</f>
        <v>56</v>
      </c>
      <c r="X6" s="91">
        <f>'21'!G19</f>
        <v>61</v>
      </c>
      <c r="Y6" s="91">
        <f>'22'!G19</f>
        <v>55</v>
      </c>
      <c r="Z6" s="91">
        <f>'23'!G19</f>
        <v>55</v>
      </c>
      <c r="AA6" s="91">
        <f>'24'!G19</f>
        <v>58</v>
      </c>
      <c r="AB6" s="91">
        <f>'25'!G19</f>
        <v>54</v>
      </c>
      <c r="AC6" s="91">
        <f>'26'!G19</f>
        <v>51</v>
      </c>
      <c r="AD6" s="91">
        <f>'27'!G19</f>
        <v>57</v>
      </c>
      <c r="AE6" s="91">
        <f>'28'!G19</f>
        <v>60</v>
      </c>
      <c r="AF6" s="91">
        <f>'29'!G19</f>
        <v>66</v>
      </c>
      <c r="AG6" s="91">
        <f>'30'!G19</f>
        <v>41</v>
      </c>
      <c r="AH6" s="91">
        <f>'31'!G19</f>
        <v>64</v>
      </c>
      <c r="AI6" s="90"/>
    </row>
    <row r="7" spans="2:35">
      <c r="B7" s="93"/>
      <c r="C7" s="90" t="s">
        <v>70</v>
      </c>
      <c r="D7" s="91">
        <f>'1'!G62</f>
        <v>91.5</v>
      </c>
      <c r="E7" s="91">
        <f>'2'!G62</f>
        <v>90</v>
      </c>
      <c r="F7" s="91">
        <f>'3'!G62</f>
        <v>158</v>
      </c>
      <c r="G7" s="91">
        <f>'4'!G62</f>
        <v>87.5</v>
      </c>
      <c r="H7" s="91">
        <f>'5'!G62</f>
        <v>124</v>
      </c>
      <c r="I7" s="91">
        <f>'6'!G62</f>
        <v>114</v>
      </c>
      <c r="J7" s="91">
        <f>'7'!G62</f>
        <v>66</v>
      </c>
      <c r="K7" s="91">
        <f>'8'!G62</f>
        <v>134</v>
      </c>
      <c r="L7" s="91">
        <f>'9'!G62</f>
        <v>141.90000000002328</v>
      </c>
      <c r="M7" s="91">
        <f>'10'!G62</f>
        <v>131.39999999996508</v>
      </c>
      <c r="N7" s="91">
        <f>'11'!G62</f>
        <v>146.70000000001164</v>
      </c>
      <c r="O7" s="91">
        <f>'12'!G62</f>
        <v>0</v>
      </c>
      <c r="P7" s="91">
        <f>'13'!G62</f>
        <v>0</v>
      </c>
      <c r="Q7" s="91">
        <f>'14'!G62</f>
        <v>0</v>
      </c>
      <c r="R7" s="91">
        <f>'15'!G62</f>
        <v>143.5</v>
      </c>
      <c r="S7" s="91">
        <f>'16'!G62</f>
        <v>85.5</v>
      </c>
      <c r="T7" s="91">
        <f>'17'!G62</f>
        <v>96</v>
      </c>
      <c r="U7" s="91">
        <f>'18 '!G62</f>
        <v>106</v>
      </c>
      <c r="V7" s="91">
        <f>'19'!G62</f>
        <v>106</v>
      </c>
      <c r="W7" s="91">
        <f>'20'!G62</f>
        <v>121</v>
      </c>
      <c r="X7" s="91">
        <f>'21'!G62</f>
        <v>168</v>
      </c>
      <c r="Y7" s="91">
        <f>'22'!G62</f>
        <v>160</v>
      </c>
      <c r="Z7" s="91">
        <f>'23'!G62</f>
        <v>121.20000000001164</v>
      </c>
      <c r="AA7" s="91">
        <f>'24'!G62</f>
        <v>154.59999999997672</v>
      </c>
      <c r="AB7" s="91">
        <f>'25'!G62</f>
        <v>126.60000000003492</v>
      </c>
      <c r="AC7" s="91">
        <f>'26'!G62</f>
        <v>174.59999999997672</v>
      </c>
      <c r="AD7" s="91">
        <f>'27'!G62</f>
        <v>143</v>
      </c>
      <c r="AE7" s="91">
        <f>'28'!G62</f>
        <v>147</v>
      </c>
      <c r="AF7" s="91">
        <f>'29'!G62</f>
        <v>165</v>
      </c>
      <c r="AG7" s="91">
        <f>'30'!G62</f>
        <v>109</v>
      </c>
      <c r="AH7" s="91">
        <f>'31'!G62</f>
        <v>165</v>
      </c>
      <c r="AI7" s="90"/>
    </row>
    <row r="8" spans="2:35">
      <c r="B8" s="93"/>
      <c r="C8" s="90" t="s">
        <v>299</v>
      </c>
      <c r="D8" s="91">
        <f>'1'!G63</f>
        <v>101</v>
      </c>
      <c r="E8" s="91">
        <f>'2'!G63</f>
        <v>110</v>
      </c>
      <c r="F8" s="91">
        <f>'3'!G63</f>
        <v>91</v>
      </c>
      <c r="G8" s="91">
        <f>'4'!G63</f>
        <v>96</v>
      </c>
      <c r="H8" s="91">
        <f>'5'!G63</f>
        <v>114</v>
      </c>
      <c r="I8" s="91">
        <f>'6'!G63</f>
        <v>114</v>
      </c>
      <c r="J8" s="91">
        <f>'7'!G63</f>
        <v>96</v>
      </c>
      <c r="K8" s="91">
        <f>'8'!G63</f>
        <v>108</v>
      </c>
      <c r="L8" s="91">
        <f>'9'!G63</f>
        <v>117</v>
      </c>
      <c r="M8" s="91">
        <f>'10'!G63</f>
        <v>114</v>
      </c>
      <c r="N8" s="91">
        <f>'11'!G63</f>
        <v>107</v>
      </c>
      <c r="O8" s="91">
        <f>'12'!G63</f>
        <v>119</v>
      </c>
      <c r="P8" s="91">
        <f>'13'!G63</f>
        <v>117</v>
      </c>
      <c r="Q8" s="91">
        <f>'14'!G63</f>
        <v>127</v>
      </c>
      <c r="R8" s="91">
        <f>'15'!G63</f>
        <v>104</v>
      </c>
      <c r="S8" s="91">
        <f>'16'!G63</f>
        <v>113</v>
      </c>
      <c r="T8" s="91">
        <f>'17'!G63</f>
        <v>84</v>
      </c>
      <c r="U8" s="91">
        <f>'18 '!G63</f>
        <v>81</v>
      </c>
      <c r="V8" s="91">
        <f>'19'!G63</f>
        <v>105</v>
      </c>
      <c r="W8" s="91">
        <f>'20'!G63</f>
        <v>94</v>
      </c>
      <c r="X8" s="91">
        <f>'21'!G63</f>
        <v>111</v>
      </c>
      <c r="Y8" s="91">
        <f>'22'!G63</f>
        <v>123</v>
      </c>
      <c r="Z8" s="91">
        <f>'23'!G63</f>
        <v>94</v>
      </c>
      <c r="AA8" s="91">
        <f>'24'!G63</f>
        <v>93</v>
      </c>
      <c r="AB8" s="91">
        <f>'25'!G63</f>
        <v>127</v>
      </c>
      <c r="AC8" s="91">
        <f>'26'!G63</f>
        <v>101</v>
      </c>
      <c r="AD8" s="91">
        <f>'27'!G63</f>
        <v>105</v>
      </c>
      <c r="AE8" s="91">
        <f>'28'!G63</f>
        <v>90</v>
      </c>
      <c r="AF8" s="91">
        <f>'29'!G63</f>
        <v>103</v>
      </c>
      <c r="AG8" s="91">
        <f>'30'!G63</f>
        <v>140</v>
      </c>
      <c r="AH8" s="91">
        <f>'31'!G63</f>
        <v>90</v>
      </c>
      <c r="AI8" s="90"/>
    </row>
    <row r="9" spans="2:35">
      <c r="B9" s="772" t="s">
        <v>71</v>
      </c>
      <c r="C9" s="90" t="s">
        <v>31</v>
      </c>
      <c r="D9" s="91">
        <f>'1'!G65</f>
        <v>127</v>
      </c>
      <c r="E9" s="91">
        <f>'2'!G65</f>
        <v>124</v>
      </c>
      <c r="F9" s="91">
        <f>'3'!G65</f>
        <v>125</v>
      </c>
      <c r="G9" s="91">
        <f>'4'!G65</f>
        <v>102</v>
      </c>
      <c r="H9" s="91">
        <f>'5'!G65</f>
        <v>118</v>
      </c>
      <c r="I9" s="91">
        <f>'6'!G65</f>
        <v>146</v>
      </c>
      <c r="J9" s="91">
        <f>'7'!G65</f>
        <v>123</v>
      </c>
      <c r="K9" s="91">
        <f>'8'!G65</f>
        <v>115</v>
      </c>
      <c r="L9" s="91">
        <f>'9'!G65</f>
        <v>135</v>
      </c>
      <c r="M9" s="91">
        <f>'10'!G65</f>
        <v>125</v>
      </c>
      <c r="N9" s="91">
        <f>'11'!G65</f>
        <v>150</v>
      </c>
      <c r="O9" s="91">
        <f>'12'!G65</f>
        <v>92</v>
      </c>
      <c r="P9" s="91">
        <f>'13'!G65</f>
        <v>132</v>
      </c>
      <c r="Q9" s="91">
        <f>'14'!G65</f>
        <v>132</v>
      </c>
      <c r="R9" s="91">
        <f>'15'!G65</f>
        <v>121</v>
      </c>
      <c r="S9" s="91">
        <f>'16'!G65</f>
        <v>107</v>
      </c>
      <c r="T9" s="91">
        <f>'17'!G65</f>
        <v>118</v>
      </c>
      <c r="U9" s="91">
        <f>'18 '!G65</f>
        <v>127</v>
      </c>
      <c r="V9" s="91">
        <f>'19'!G65</f>
        <v>126</v>
      </c>
      <c r="W9" s="91">
        <f>'20'!G65</f>
        <v>139</v>
      </c>
      <c r="X9" s="91">
        <f>'21'!G65</f>
        <v>149</v>
      </c>
      <c r="Y9" s="91">
        <f>'22'!G65</f>
        <v>141</v>
      </c>
      <c r="Z9" s="91">
        <f>'23'!G65</f>
        <v>116</v>
      </c>
      <c r="AA9" s="91">
        <f>'24'!G65</f>
        <v>133</v>
      </c>
      <c r="AB9" s="91">
        <f>'25'!G65</f>
        <v>111</v>
      </c>
      <c r="AC9" s="91">
        <f>'26'!G65</f>
        <v>119</v>
      </c>
      <c r="AD9" s="91">
        <f>'27'!G65</f>
        <v>116</v>
      </c>
      <c r="AE9" s="91">
        <f>'28'!G65</f>
        <v>139</v>
      </c>
      <c r="AF9" s="91">
        <f>'29'!G65</f>
        <v>119</v>
      </c>
      <c r="AG9" s="91">
        <f>'30'!G65</f>
        <v>109</v>
      </c>
      <c r="AH9" s="91">
        <f>'31'!G65</f>
        <v>137</v>
      </c>
      <c r="AI9" s="90"/>
    </row>
    <row r="10" spans="2:35">
      <c r="B10" s="772"/>
      <c r="C10" s="90" t="s">
        <v>32</v>
      </c>
      <c r="D10" s="91">
        <f>'1'!G66</f>
        <v>12</v>
      </c>
      <c r="E10" s="91">
        <f>'2'!G66</f>
        <v>13</v>
      </c>
      <c r="F10" s="91">
        <f>'3'!G66</f>
        <v>12</v>
      </c>
      <c r="G10" s="91">
        <f>'4'!G66</f>
        <v>19</v>
      </c>
      <c r="H10" s="91">
        <f>'5'!G66</f>
        <v>13</v>
      </c>
      <c r="I10" s="91">
        <f>'6'!G66</f>
        <v>16</v>
      </c>
      <c r="J10" s="91">
        <f>'7'!G66</f>
        <v>20</v>
      </c>
      <c r="K10" s="91">
        <f>'8'!G66</f>
        <v>441</v>
      </c>
      <c r="L10" s="91">
        <f>'9'!G66</f>
        <v>475</v>
      </c>
      <c r="M10" s="91">
        <f>'10'!G66</f>
        <v>40</v>
      </c>
      <c r="N10" s="91">
        <f>'11'!G66</f>
        <v>47</v>
      </c>
      <c r="O10" s="91">
        <f>'12'!G66</f>
        <v>23</v>
      </c>
      <c r="P10" s="91">
        <f>'13'!G66</f>
        <v>46</v>
      </c>
      <c r="Q10" s="91">
        <f>'14'!G66</f>
        <v>46</v>
      </c>
      <c r="R10" s="91">
        <f>'15'!G66</f>
        <v>42</v>
      </c>
      <c r="S10" s="91">
        <f>'16'!G66</f>
        <v>18</v>
      </c>
      <c r="T10" s="91">
        <f>'17'!G66</f>
        <v>9</v>
      </c>
      <c r="U10" s="91">
        <f>'18 '!G66</f>
        <v>7</v>
      </c>
      <c r="V10" s="91">
        <f>'19'!G66</f>
        <v>8</v>
      </c>
      <c r="W10" s="91">
        <f>'20'!G66</f>
        <v>16</v>
      </c>
      <c r="X10" s="91">
        <f>'21'!G66</f>
        <v>13</v>
      </c>
      <c r="Y10" s="91">
        <f>'22'!G66</f>
        <v>57</v>
      </c>
      <c r="Z10" s="91">
        <f>'23'!G66</f>
        <v>35</v>
      </c>
      <c r="AA10" s="91">
        <f>'24'!G66</f>
        <v>36</v>
      </c>
      <c r="AB10" s="91">
        <f>'25'!G66</f>
        <v>43</v>
      </c>
      <c r="AC10" s="91">
        <f>'26'!G66</f>
        <v>38</v>
      </c>
      <c r="AD10" s="91">
        <f>'27'!G66</f>
        <v>45</v>
      </c>
      <c r="AE10" s="91">
        <f>'28'!G66</f>
        <v>37</v>
      </c>
      <c r="AF10" s="91">
        <f>'29'!G66</f>
        <v>39</v>
      </c>
      <c r="AG10" s="91">
        <f>'30'!G66</f>
        <v>38</v>
      </c>
      <c r="AH10" s="91">
        <f>'31'!G66</f>
        <v>40</v>
      </c>
      <c r="AI10" s="90"/>
    </row>
    <row r="11" spans="2:35">
      <c r="B11" s="772"/>
      <c r="C11" s="90" t="s">
        <v>33</v>
      </c>
      <c r="D11" s="91">
        <f>'1'!G67</f>
        <v>32</v>
      </c>
      <c r="E11" s="91">
        <f>'2'!G67</f>
        <v>22</v>
      </c>
      <c r="F11" s="91">
        <f>'3'!G67</f>
        <v>25</v>
      </c>
      <c r="G11" s="91">
        <f>'4'!G67</f>
        <v>19</v>
      </c>
      <c r="H11" s="91">
        <f>'5'!G67</f>
        <v>24</v>
      </c>
      <c r="I11" s="91">
        <f>'6'!G67</f>
        <v>30</v>
      </c>
      <c r="J11" s="91">
        <f>'7'!G67</f>
        <v>20</v>
      </c>
      <c r="K11" s="91">
        <f>'8'!G67</f>
        <v>23</v>
      </c>
      <c r="L11" s="91">
        <f>'9'!G67</f>
        <v>23</v>
      </c>
      <c r="M11" s="91">
        <f>'10'!G67</f>
        <v>21</v>
      </c>
      <c r="N11" s="91">
        <f>'11'!G67</f>
        <v>19</v>
      </c>
      <c r="O11" s="91">
        <f>'12'!G67</f>
        <v>3</v>
      </c>
      <c r="P11" s="91">
        <f>'13'!G67</f>
        <v>49</v>
      </c>
      <c r="Q11" s="91">
        <f>'14'!G67</f>
        <v>33</v>
      </c>
      <c r="R11" s="91">
        <f>'15'!G67</f>
        <v>7</v>
      </c>
      <c r="S11" s="91">
        <f>'16'!G67</f>
        <v>16</v>
      </c>
      <c r="T11" s="91">
        <f>'17'!G67</f>
        <v>19</v>
      </c>
      <c r="U11" s="91">
        <f>'18 '!G67</f>
        <v>25</v>
      </c>
      <c r="V11" s="91">
        <f>'19'!G67</f>
        <v>26</v>
      </c>
      <c r="W11" s="91">
        <f>'20'!G67</f>
        <v>24</v>
      </c>
      <c r="X11" s="91">
        <f>'21'!G67</f>
        <v>24</v>
      </c>
      <c r="Y11" s="91">
        <f>'22'!G67</f>
        <v>26</v>
      </c>
      <c r="Z11" s="91">
        <f>'23'!G67</f>
        <v>21</v>
      </c>
      <c r="AA11" s="91">
        <f>'24'!G67</f>
        <v>21</v>
      </c>
      <c r="AB11" s="91">
        <f>'25'!G67</f>
        <v>19</v>
      </c>
      <c r="AC11" s="91">
        <f>'26'!G67</f>
        <v>34</v>
      </c>
      <c r="AD11" s="91">
        <f>'27'!G67</f>
        <v>19</v>
      </c>
      <c r="AE11" s="91">
        <f>'28'!G67</f>
        <v>19</v>
      </c>
      <c r="AF11" s="91">
        <f>'29'!G67</f>
        <v>22</v>
      </c>
      <c r="AG11" s="91">
        <f>'30'!G67</f>
        <v>28</v>
      </c>
      <c r="AH11" s="91" t="e">
        <f>'31'!G67</f>
        <v>#VALUE!</v>
      </c>
      <c r="AI11" s="90"/>
    </row>
    <row r="12" spans="2:35">
      <c r="B12" s="93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</row>
    <row r="13" spans="2:35">
      <c r="B13" s="772" t="s">
        <v>72</v>
      </c>
      <c r="C13" s="90" t="s">
        <v>31</v>
      </c>
      <c r="D13" s="91">
        <f>'1'!G68</f>
        <v>20</v>
      </c>
      <c r="E13" s="91">
        <f>'2'!G68</f>
        <v>4</v>
      </c>
      <c r="F13" s="91">
        <f>'3'!G68</f>
        <v>24</v>
      </c>
      <c r="G13" s="91">
        <f>'4'!G68</f>
        <v>30</v>
      </c>
      <c r="H13" s="91">
        <f>'5'!G68</f>
        <v>22</v>
      </c>
      <c r="I13" s="91">
        <f>'6'!G68</f>
        <v>21</v>
      </c>
      <c r="J13" s="91">
        <f>'7'!G68</f>
        <v>24</v>
      </c>
      <c r="K13" s="91">
        <f>'8'!G68</f>
        <v>17</v>
      </c>
      <c r="L13" s="91">
        <f>'9'!G68</f>
        <v>15</v>
      </c>
      <c r="M13" s="91">
        <f>'10'!G68</f>
        <v>21</v>
      </c>
      <c r="N13" s="91">
        <f>'11'!G68</f>
        <v>21</v>
      </c>
      <c r="O13" s="91">
        <f>'12'!G68</f>
        <v>15</v>
      </c>
      <c r="P13" s="91">
        <f>'13'!G68</f>
        <v>13</v>
      </c>
      <c r="Q13" s="91">
        <f>'14'!G68</f>
        <v>12</v>
      </c>
      <c r="R13" s="91">
        <f>'15'!G68</f>
        <v>33</v>
      </c>
      <c r="S13" s="91">
        <f>'16'!G68</f>
        <v>30</v>
      </c>
      <c r="T13" s="91">
        <f>'17'!G68</f>
        <v>14</v>
      </c>
      <c r="U13" s="91">
        <f>'18 '!G68</f>
        <v>12</v>
      </c>
      <c r="V13" s="91">
        <f>'19'!G68</f>
        <v>34</v>
      </c>
      <c r="W13" s="91">
        <f>'20'!G68</f>
        <v>20</v>
      </c>
      <c r="X13" s="91">
        <f>'21'!G68</f>
        <v>10</v>
      </c>
      <c r="Y13" s="91">
        <f>'22'!G68</f>
        <v>25</v>
      </c>
      <c r="Z13" s="91">
        <f>'23'!G68</f>
        <v>14</v>
      </c>
      <c r="AA13" s="419">
        <f>'24'!G68</f>
        <v>22</v>
      </c>
      <c r="AB13" s="91">
        <f>'25'!G68</f>
        <v>14</v>
      </c>
      <c r="AC13" s="91">
        <f>'26'!G68</f>
        <v>9</v>
      </c>
      <c r="AD13" s="91">
        <f>'27'!G68</f>
        <v>12</v>
      </c>
      <c r="AE13" s="91">
        <f>'28'!G68</f>
        <v>15</v>
      </c>
      <c r="AF13" s="91">
        <f>'29'!G68</f>
        <v>30</v>
      </c>
      <c r="AG13" s="91">
        <f>'30'!G68</f>
        <v>11</v>
      </c>
      <c r="AH13" s="91">
        <f>'31'!G68</f>
        <v>27</v>
      </c>
      <c r="AI13" s="90"/>
    </row>
    <row r="14" spans="2:35">
      <c r="B14" s="772"/>
      <c r="C14" s="90" t="s">
        <v>32</v>
      </c>
      <c r="D14" s="91">
        <f>'1'!G69</f>
        <v>13</v>
      </c>
      <c r="E14" s="91">
        <f>'2'!G69</f>
        <v>8</v>
      </c>
      <c r="F14" s="91">
        <f>'3'!G69</f>
        <v>7</v>
      </c>
      <c r="G14" s="91">
        <f>'4'!G69</f>
        <v>0</v>
      </c>
      <c r="H14" s="91">
        <f>'5'!G69</f>
        <v>4</v>
      </c>
      <c r="I14" s="91">
        <f>'6'!G69</f>
        <v>4</v>
      </c>
      <c r="J14" s="91">
        <f>'7'!G69</f>
        <v>5</v>
      </c>
      <c r="K14" s="91">
        <f>'8'!G69</f>
        <v>4</v>
      </c>
      <c r="L14" s="91">
        <f>'9'!G69</f>
        <v>1</v>
      </c>
      <c r="M14" s="91">
        <f>'10'!G69</f>
        <v>5</v>
      </c>
      <c r="N14" s="91">
        <f>'11'!G69</f>
        <v>3</v>
      </c>
      <c r="O14" s="91">
        <f>'12'!G69</f>
        <v>4</v>
      </c>
      <c r="P14" s="91">
        <f>'13'!G69</f>
        <v>4</v>
      </c>
      <c r="Q14" s="91">
        <f>'14'!G69</f>
        <v>2</v>
      </c>
      <c r="R14" s="91">
        <f>'15'!G69</f>
        <v>4</v>
      </c>
      <c r="S14" s="91">
        <f>'16'!G69</f>
        <v>2</v>
      </c>
      <c r="T14" s="91">
        <f>'17'!G69</f>
        <v>2</v>
      </c>
      <c r="U14" s="91">
        <f>'18 '!G69</f>
        <v>2</v>
      </c>
      <c r="V14" s="91">
        <f>'19'!G69</f>
        <v>8</v>
      </c>
      <c r="W14" s="91">
        <f>'20'!G69</f>
        <v>6</v>
      </c>
      <c r="X14" s="91">
        <f>'21'!G69</f>
        <v>4</v>
      </c>
      <c r="Y14" s="91">
        <f>'22'!G69</f>
        <v>3</v>
      </c>
      <c r="Z14" s="91">
        <f>'23'!G69</f>
        <v>5</v>
      </c>
      <c r="AA14" s="91">
        <f>'24'!G69</f>
        <v>28</v>
      </c>
      <c r="AB14" s="91">
        <f>'25'!G69</f>
        <v>4</v>
      </c>
      <c r="AC14" s="91">
        <f>'26'!G69</f>
        <v>26</v>
      </c>
      <c r="AD14" s="91">
        <f>'27'!G69</f>
        <v>22</v>
      </c>
      <c r="AE14" s="91">
        <f>'28'!G69</f>
        <v>23</v>
      </c>
      <c r="AF14" s="91">
        <f>'29'!G69</f>
        <v>60</v>
      </c>
      <c r="AG14" s="91">
        <f>'30'!G69</f>
        <v>10</v>
      </c>
      <c r="AH14" s="91">
        <f>'31'!G69</f>
        <v>7</v>
      </c>
      <c r="AI14" s="90"/>
    </row>
    <row r="15" spans="2:35">
      <c r="B15" s="772"/>
      <c r="C15" s="90" t="s">
        <v>33</v>
      </c>
      <c r="D15" s="91">
        <f>'1'!G70</f>
        <v>10</v>
      </c>
      <c r="E15" s="91">
        <f>'2'!G70</f>
        <v>7</v>
      </c>
      <c r="F15" s="91">
        <f>'3'!G70</f>
        <v>7</v>
      </c>
      <c r="G15" s="91">
        <f>'4'!G70</f>
        <v>7</v>
      </c>
      <c r="H15" s="91">
        <f>'5'!G70</f>
        <v>6</v>
      </c>
      <c r="I15" s="91">
        <f>'6'!G70</f>
        <v>11</v>
      </c>
      <c r="J15" s="91">
        <f>'7'!G70</f>
        <v>5</v>
      </c>
      <c r="K15" s="91">
        <f>'8'!G70</f>
        <v>14</v>
      </c>
      <c r="L15" s="91">
        <f>'9'!G70</f>
        <v>7</v>
      </c>
      <c r="M15" s="91">
        <f>'10'!G70</f>
        <v>2</v>
      </c>
      <c r="N15" s="91">
        <f>'11'!G70</f>
        <v>2</v>
      </c>
      <c r="O15" s="91">
        <f>'12'!G70</f>
        <v>2</v>
      </c>
      <c r="P15" s="91">
        <f>'13'!G70</f>
        <v>26</v>
      </c>
      <c r="Q15" s="91">
        <f>'14'!G70</f>
        <v>14</v>
      </c>
      <c r="R15" s="91">
        <f>'15'!G70</f>
        <v>4</v>
      </c>
      <c r="S15" s="91">
        <f>'16'!G70</f>
        <v>6</v>
      </c>
      <c r="T15" s="91">
        <f>'17'!G70</f>
        <v>5</v>
      </c>
      <c r="U15" s="91">
        <f>'18 '!G70</f>
        <v>14</v>
      </c>
      <c r="V15" s="91">
        <f>'19'!G70</f>
        <v>7</v>
      </c>
      <c r="W15" s="91">
        <f>'20'!G70</f>
        <v>7</v>
      </c>
      <c r="X15" s="91">
        <f>'21'!G70</f>
        <v>8</v>
      </c>
      <c r="Y15" s="91">
        <f>'22'!G70</f>
        <v>5</v>
      </c>
      <c r="Z15" s="91">
        <f>'23'!G70</f>
        <v>9</v>
      </c>
      <c r="AA15" s="91">
        <f>'24'!G70</f>
        <v>7</v>
      </c>
      <c r="AB15" s="91">
        <f>'25'!G70</f>
        <v>5</v>
      </c>
      <c r="AC15" s="91">
        <f>'26'!G70</f>
        <v>7</v>
      </c>
      <c r="AD15" s="91">
        <f>'27'!G70</f>
        <v>5</v>
      </c>
      <c r="AE15" s="91">
        <f>'28'!G70</f>
        <v>5</v>
      </c>
      <c r="AF15" s="91">
        <f>'29'!G70</f>
        <v>8</v>
      </c>
      <c r="AG15" s="91">
        <f>'30'!G70</f>
        <v>11</v>
      </c>
      <c r="AH15" s="91">
        <f>'31'!G70</f>
        <v>-233</v>
      </c>
      <c r="AI15" s="90"/>
    </row>
    <row r="16" spans="2:35">
      <c r="B16" s="93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</row>
    <row r="17" spans="2:35">
      <c r="B17" s="772" t="s">
        <v>73</v>
      </c>
      <c r="C17" s="90" t="s">
        <v>74</v>
      </c>
      <c r="D17" s="90">
        <f>'1'!G173</f>
        <v>1</v>
      </c>
      <c r="E17" s="91">
        <f>'2'!G173</f>
        <v>1</v>
      </c>
      <c r="F17" s="91">
        <f>'3'!G173</f>
        <v>2</v>
      </c>
      <c r="G17" s="91">
        <f>'4'!G173</f>
        <v>2</v>
      </c>
      <c r="H17" s="91">
        <f>'5'!G173</f>
        <v>0</v>
      </c>
      <c r="I17" s="91">
        <f>'6'!G173</f>
        <v>1</v>
      </c>
      <c r="J17" s="91">
        <f>'7'!G173</f>
        <v>1</v>
      </c>
      <c r="K17" s="91">
        <f>'8'!G173</f>
        <v>0</v>
      </c>
      <c r="L17" s="91">
        <f>'9'!G173</f>
        <v>2</v>
      </c>
      <c r="M17" s="91">
        <f>'10'!G173</f>
        <v>2</v>
      </c>
      <c r="N17" s="91">
        <f>'11'!G173</f>
        <v>2</v>
      </c>
      <c r="O17" s="91">
        <f>'12'!G173</f>
        <v>2</v>
      </c>
      <c r="P17" s="91">
        <f>'13'!G173</f>
        <v>2</v>
      </c>
      <c r="Q17" s="91">
        <f>'14'!G173</f>
        <v>0</v>
      </c>
      <c r="R17" s="91">
        <f>'15'!G173</f>
        <v>0</v>
      </c>
      <c r="S17" s="91">
        <f>'16'!G173</f>
        <v>1</v>
      </c>
      <c r="T17" s="91">
        <f>'17'!G173</f>
        <v>0</v>
      </c>
      <c r="U17" s="91">
        <f>'18 '!G173</f>
        <v>1</v>
      </c>
      <c r="V17" s="91">
        <f>'19'!G173</f>
        <v>2</v>
      </c>
      <c r="W17" s="91">
        <f>'20'!G173</f>
        <v>1</v>
      </c>
      <c r="X17" s="91">
        <f>'21'!G173</f>
        <v>1</v>
      </c>
      <c r="Y17" s="91">
        <f>'22'!G173</f>
        <v>0</v>
      </c>
      <c r="Z17" s="91">
        <f>'23'!G173</f>
        <v>2</v>
      </c>
      <c r="AA17" s="91">
        <f>'24'!G173</f>
        <v>0</v>
      </c>
      <c r="AB17" s="91">
        <f>'25'!G173</f>
        <v>4</v>
      </c>
      <c r="AC17" s="91">
        <f>'26'!G173</f>
        <v>0</v>
      </c>
      <c r="AD17" s="91">
        <f>'27'!G173</f>
        <v>0</v>
      </c>
      <c r="AE17" s="91">
        <f>'28'!G173</f>
        <v>0</v>
      </c>
      <c r="AF17" s="91">
        <f>'29'!G173</f>
        <v>0</v>
      </c>
      <c r="AG17" s="91">
        <f>'30'!G173</f>
        <v>0</v>
      </c>
      <c r="AH17" s="91">
        <f>'31'!G173</f>
        <v>0</v>
      </c>
      <c r="AI17" s="90"/>
    </row>
    <row r="18" spans="2:35">
      <c r="B18" s="772"/>
      <c r="C18" s="90" t="s">
        <v>75</v>
      </c>
      <c r="D18" s="90">
        <f>'1'!G174</f>
        <v>-1</v>
      </c>
      <c r="E18" s="91">
        <f>'2'!G174</f>
        <v>13</v>
      </c>
      <c r="F18" s="91">
        <f>'3'!G174</f>
        <v>13</v>
      </c>
      <c r="G18" s="91">
        <f>'4'!G174</f>
        <v>13</v>
      </c>
      <c r="H18" s="91">
        <f>'5'!G174</f>
        <v>19</v>
      </c>
      <c r="I18" s="91">
        <f>'6'!G174</f>
        <v>12</v>
      </c>
      <c r="J18" s="91">
        <f>'7'!G174</f>
        <v>11</v>
      </c>
      <c r="K18" s="91">
        <f>'8'!G174</f>
        <v>11</v>
      </c>
      <c r="L18" s="91">
        <f>'9'!G174</f>
        <v>14</v>
      </c>
      <c r="M18" s="91">
        <f>'10'!G174</f>
        <v>11</v>
      </c>
      <c r="N18" s="91">
        <f>'11'!G174</f>
        <v>13</v>
      </c>
      <c r="O18" s="91">
        <f>'12'!G174</f>
        <v>13</v>
      </c>
      <c r="P18" s="91">
        <f>'13'!G174</f>
        <v>12</v>
      </c>
      <c r="Q18" s="91">
        <f>'14'!G174</f>
        <v>14</v>
      </c>
      <c r="R18" s="91">
        <f>'15'!G174</f>
        <v>7</v>
      </c>
      <c r="S18" s="91">
        <f>'16'!G174</f>
        <v>15</v>
      </c>
      <c r="T18" s="91">
        <f>'17'!G174</f>
        <v>10</v>
      </c>
      <c r="U18" s="91">
        <f>'18 '!G174</f>
        <v>10</v>
      </c>
      <c r="V18" s="91">
        <f>'19'!G174</f>
        <v>13</v>
      </c>
      <c r="W18" s="91">
        <f>'20'!G174</f>
        <v>12</v>
      </c>
      <c r="X18" s="91">
        <f>'21'!G174</f>
        <v>16</v>
      </c>
      <c r="Y18" s="91">
        <f>'22'!G174</f>
        <v>13</v>
      </c>
      <c r="Z18" s="91">
        <f>'23'!G174</f>
        <v>12</v>
      </c>
      <c r="AA18" s="91">
        <f>'24'!G174</f>
        <v>12</v>
      </c>
      <c r="AB18" s="91">
        <f>'25'!G174</f>
        <v>10</v>
      </c>
      <c r="AC18" s="91">
        <f>'26'!G174</f>
        <v>10</v>
      </c>
      <c r="AD18" s="91">
        <f>'27'!G174</f>
        <v>13</v>
      </c>
      <c r="AE18" s="91">
        <f>'28'!G174</f>
        <v>9</v>
      </c>
      <c r="AF18" s="91">
        <f>'29'!G174</f>
        <v>10</v>
      </c>
      <c r="AG18" s="91">
        <f>'30'!G174</f>
        <v>13</v>
      </c>
      <c r="AH18" s="91">
        <f>'31'!G174</f>
        <v>11</v>
      </c>
      <c r="AI18" s="90"/>
    </row>
    <row r="19" spans="2:35">
      <c r="B19" s="772"/>
      <c r="C19" s="90" t="s">
        <v>76</v>
      </c>
      <c r="D19" s="90">
        <f>'1'!G175</f>
        <v>14</v>
      </c>
      <c r="E19" s="91">
        <f>'2'!G175</f>
        <v>18</v>
      </c>
      <c r="F19" s="91">
        <f>'3'!G175</f>
        <v>17</v>
      </c>
      <c r="G19" s="91">
        <f>'4'!G175</f>
        <v>14</v>
      </c>
      <c r="H19" s="91">
        <f>'5'!G175</f>
        <v>13</v>
      </c>
      <c r="I19" s="91">
        <f>'6'!G175</f>
        <v>13</v>
      </c>
      <c r="J19" s="91">
        <f>'7'!G175</f>
        <v>15</v>
      </c>
      <c r="K19" s="91">
        <f>'8'!G175</f>
        <v>14</v>
      </c>
      <c r="L19" s="91">
        <f>'9'!G175</f>
        <v>16</v>
      </c>
      <c r="M19" s="91">
        <f>'10'!G175</f>
        <v>14</v>
      </c>
      <c r="N19" s="91">
        <f>'11'!G175</f>
        <v>15</v>
      </c>
      <c r="O19" s="91">
        <f>'12'!G175</f>
        <v>14</v>
      </c>
      <c r="P19" s="91">
        <f>'13'!G175</f>
        <v>15</v>
      </c>
      <c r="Q19" s="91">
        <f>'14'!G175</f>
        <v>12</v>
      </c>
      <c r="R19" s="91">
        <f>'15'!G175</f>
        <v>5</v>
      </c>
      <c r="S19" s="91">
        <f>'16'!G175</f>
        <v>23</v>
      </c>
      <c r="T19" s="91">
        <f>'17'!G175</f>
        <v>15</v>
      </c>
      <c r="U19" s="91">
        <f>'18 '!G175</f>
        <v>15</v>
      </c>
      <c r="V19" s="91">
        <f>'19'!G175</f>
        <v>19</v>
      </c>
      <c r="W19" s="91">
        <f>'20'!G175</f>
        <v>17</v>
      </c>
      <c r="X19" s="91">
        <f>'21'!G175</f>
        <v>23</v>
      </c>
      <c r="Y19" s="91">
        <f>'22'!G175</f>
        <v>16</v>
      </c>
      <c r="Z19" s="91">
        <f>'23'!G175</f>
        <v>14</v>
      </c>
      <c r="AA19" s="91">
        <f>'24'!G175</f>
        <v>14</v>
      </c>
      <c r="AB19" s="91">
        <f>'25'!G175</f>
        <v>15</v>
      </c>
      <c r="AC19" s="91">
        <f>'26'!G175</f>
        <v>13</v>
      </c>
      <c r="AD19" s="91">
        <f>'27'!G175</f>
        <v>15</v>
      </c>
      <c r="AE19" s="91">
        <f>'28'!G175</f>
        <v>17</v>
      </c>
      <c r="AF19" s="91">
        <f>'29'!G175</f>
        <v>13</v>
      </c>
      <c r="AG19" s="91">
        <f>'30'!G175</f>
        <v>14</v>
      </c>
      <c r="AH19" s="91">
        <f>'31'!G175</f>
        <v>14</v>
      </c>
      <c r="AI19" s="90"/>
    </row>
    <row r="20" spans="2:35">
      <c r="B20" s="93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</row>
    <row r="21" spans="2:35">
      <c r="B21" s="772" t="s">
        <v>77</v>
      </c>
      <c r="C21" s="90" t="s">
        <v>78</v>
      </c>
      <c r="D21" s="90">
        <f>'1'!G178</f>
        <v>109</v>
      </c>
      <c r="E21" s="91">
        <f>'2'!G178</f>
        <v>100</v>
      </c>
      <c r="F21" s="91">
        <f>'3'!G178</f>
        <v>115</v>
      </c>
      <c r="G21" s="91">
        <f>'4'!G178</f>
        <v>119</v>
      </c>
      <c r="H21" s="91">
        <f>'5'!G178</f>
        <v>133</v>
      </c>
      <c r="I21" s="91">
        <f>'6'!G178</f>
        <v>157</v>
      </c>
      <c r="J21" s="91">
        <f>'7'!G178</f>
        <v>87</v>
      </c>
      <c r="K21" s="91">
        <f>'8'!G178</f>
        <v>105</v>
      </c>
      <c r="L21" s="91">
        <f>'9'!G178</f>
        <v>105</v>
      </c>
      <c r="M21" s="91">
        <f>'10'!G178</f>
        <v>129</v>
      </c>
      <c r="N21" s="91">
        <f>'11'!G178</f>
        <v>100</v>
      </c>
      <c r="O21" s="91">
        <f>'12'!G178</f>
        <v>142</v>
      </c>
      <c r="P21" s="91">
        <f>'13'!G178</f>
        <v>112</v>
      </c>
      <c r="Q21" s="91">
        <f>'14'!G178</f>
        <v>105</v>
      </c>
      <c r="R21" s="91">
        <f>'15'!G178</f>
        <v>64</v>
      </c>
      <c r="S21" s="91">
        <f>'16'!G178</f>
        <v>141</v>
      </c>
      <c r="T21" s="91">
        <f>'17'!G178</f>
        <v>105</v>
      </c>
      <c r="U21" s="91">
        <f>'18 '!G178</f>
        <v>105</v>
      </c>
      <c r="V21" s="91">
        <f>'19'!G178</f>
        <v>98</v>
      </c>
      <c r="W21" s="91">
        <f>'20'!G178</f>
        <v>77</v>
      </c>
      <c r="X21" s="91">
        <f>'21'!G178</f>
        <v>127</v>
      </c>
      <c r="Y21" s="91">
        <f>'22'!G178</f>
        <v>91</v>
      </c>
      <c r="Z21" s="91">
        <f>'23'!G178</f>
        <v>153</v>
      </c>
      <c r="AA21" s="91">
        <f>'24'!G178</f>
        <v>88</v>
      </c>
      <c r="AB21" s="91">
        <f>'25'!G178</f>
        <v>132</v>
      </c>
      <c r="AC21" s="91">
        <f>'26'!G178</f>
        <v>93</v>
      </c>
      <c r="AD21" s="91">
        <f>'27'!G178</f>
        <v>126</v>
      </c>
      <c r="AE21" s="91">
        <f>'28'!G178</f>
        <v>87</v>
      </c>
      <c r="AF21" s="91">
        <f>'29'!G178</f>
        <v>133</v>
      </c>
      <c r="AG21" s="91">
        <f>'30'!G178</f>
        <v>72</v>
      </c>
      <c r="AH21" s="91">
        <f>'31'!G178</f>
        <v>82</v>
      </c>
      <c r="AI21" s="90"/>
    </row>
    <row r="22" spans="2:35">
      <c r="B22" s="772"/>
      <c r="C22" s="90" t="s">
        <v>79</v>
      </c>
      <c r="D22" s="90">
        <f>'1'!G179</f>
        <v>0</v>
      </c>
      <c r="E22" s="91">
        <f>'2'!G179</f>
        <v>0</v>
      </c>
      <c r="F22" s="91">
        <f>'3'!G179</f>
        <v>0</v>
      </c>
      <c r="G22" s="91">
        <f>'4'!G179</f>
        <v>0</v>
      </c>
      <c r="H22" s="91">
        <f>'5'!G179</f>
        <v>0</v>
      </c>
      <c r="I22" s="91">
        <f>'6'!G179</f>
        <v>0</v>
      </c>
      <c r="J22" s="91">
        <f>'7'!G179</f>
        <v>0</v>
      </c>
      <c r="K22" s="91">
        <f>'8'!G179</f>
        <v>0</v>
      </c>
      <c r="L22" s="91">
        <f>'9'!G179</f>
        <v>0</v>
      </c>
      <c r="M22" s="91">
        <f>'10'!G179</f>
        <v>0</v>
      </c>
      <c r="N22" s="91">
        <f>'11'!G179</f>
        <v>0</v>
      </c>
      <c r="O22" s="91">
        <f>'12'!G179</f>
        <v>0</v>
      </c>
      <c r="P22" s="91">
        <f>'13'!G179</f>
        <v>0</v>
      </c>
      <c r="Q22" s="91">
        <f>'14'!G179</f>
        <v>0</v>
      </c>
      <c r="R22" s="91">
        <f>'15'!G179</f>
        <v>0</v>
      </c>
      <c r="S22" s="91">
        <f>'16'!G179</f>
        <v>0</v>
      </c>
      <c r="T22" s="91">
        <f>'17'!G179</f>
        <v>0</v>
      </c>
      <c r="U22" s="91">
        <f>'18 '!G179</f>
        <v>0</v>
      </c>
      <c r="V22" s="91">
        <f>'19'!G179</f>
        <v>0</v>
      </c>
      <c r="W22" s="91">
        <f>'20'!G179</f>
        <v>0</v>
      </c>
      <c r="X22" s="91">
        <f>'21'!G179</f>
        <v>0</v>
      </c>
      <c r="Y22" s="91">
        <f>'22'!G179</f>
        <v>0</v>
      </c>
      <c r="Z22" s="91">
        <f>'23'!G179</f>
        <v>0</v>
      </c>
      <c r="AA22" s="91">
        <f>'24'!G179</f>
        <v>0</v>
      </c>
      <c r="AB22" s="91">
        <f>'25'!G179</f>
        <v>0</v>
      </c>
      <c r="AC22" s="91">
        <f>'26'!G179</f>
        <v>0</v>
      </c>
      <c r="AD22" s="91">
        <f>'27'!G179</f>
        <v>0</v>
      </c>
      <c r="AE22" s="91">
        <f>'28'!G179</f>
        <v>0</v>
      </c>
      <c r="AF22" s="91">
        <f>'29'!G179</f>
        <v>0</v>
      </c>
      <c r="AG22" s="91">
        <f>'30'!G179</f>
        <v>0</v>
      </c>
      <c r="AH22" s="91">
        <f>'31'!G179</f>
        <v>0</v>
      </c>
      <c r="AI22" s="90"/>
    </row>
    <row r="23" spans="2:35">
      <c r="B23" s="772"/>
      <c r="C23" s="90" t="s">
        <v>80</v>
      </c>
      <c r="D23" s="90">
        <f>'1'!G180</f>
        <v>0</v>
      </c>
      <c r="E23" s="91">
        <f>'2'!G180</f>
        <v>11</v>
      </c>
      <c r="F23" s="91">
        <f>'3'!G180</f>
        <v>0</v>
      </c>
      <c r="G23" s="91">
        <f>'4'!G180</f>
        <v>0</v>
      </c>
      <c r="H23" s="91">
        <f>'5'!G180</f>
        <v>10</v>
      </c>
      <c r="I23" s="91">
        <f>'6'!G180</f>
        <v>7</v>
      </c>
      <c r="J23" s="91">
        <f>'7'!G180</f>
        <v>8</v>
      </c>
      <c r="K23" s="91">
        <f>'8'!G180</f>
        <v>0</v>
      </c>
      <c r="L23" s="91">
        <f>'9'!G180</f>
        <v>0</v>
      </c>
      <c r="M23" s="91">
        <f>'10'!G180</f>
        <v>0</v>
      </c>
      <c r="N23" s="91">
        <f>'11'!G180</f>
        <v>18</v>
      </c>
      <c r="O23" s="91">
        <f>'12'!G180</f>
        <v>4</v>
      </c>
      <c r="P23" s="91">
        <f>'13'!G180</f>
        <v>0</v>
      </c>
      <c r="Q23" s="91">
        <f>'14'!G180</f>
        <v>10</v>
      </c>
      <c r="R23" s="91">
        <f>'15'!G180</f>
        <v>0</v>
      </c>
      <c r="S23" s="91">
        <f>'16'!G180</f>
        <v>9</v>
      </c>
      <c r="T23" s="91">
        <f>'17'!G180</f>
        <v>0</v>
      </c>
      <c r="U23" s="91">
        <f>'18 '!G180</f>
        <v>11</v>
      </c>
      <c r="V23" s="91">
        <f>'19'!G180</f>
        <v>0</v>
      </c>
      <c r="W23" s="91">
        <f>'20'!G180</f>
        <v>0</v>
      </c>
      <c r="X23" s="91">
        <f>'21'!G180</f>
        <v>11</v>
      </c>
      <c r="Y23" s="91">
        <f>'22'!G180</f>
        <v>0</v>
      </c>
      <c r="Z23" s="91">
        <f>'23'!G180</f>
        <v>0</v>
      </c>
      <c r="AA23" s="91">
        <f>'24'!G180</f>
        <v>11</v>
      </c>
      <c r="AB23" s="91">
        <f>'25'!G180</f>
        <v>9</v>
      </c>
      <c r="AC23" s="91">
        <f>'26'!G180</f>
        <v>0</v>
      </c>
      <c r="AD23" s="91">
        <f>'27'!G180</f>
        <v>0</v>
      </c>
      <c r="AE23" s="91">
        <f>'28'!G180</f>
        <v>10</v>
      </c>
      <c r="AF23" s="91">
        <f>'29'!G180</f>
        <v>0</v>
      </c>
      <c r="AG23" s="91">
        <f>'30'!G180</f>
        <v>4</v>
      </c>
      <c r="AH23" s="91">
        <f>'31'!G180</f>
        <v>5</v>
      </c>
      <c r="AI23" s="90"/>
    </row>
    <row r="24" spans="2:35" ht="30">
      <c r="B24" s="93" t="s">
        <v>301</v>
      </c>
      <c r="C24" s="90"/>
      <c r="D24" s="91">
        <f>SUM(D5:D6)</f>
        <v>278</v>
      </c>
      <c r="E24" s="91">
        <f t="shared" ref="E24:AH24" si="0">SUM(E5:E6)</f>
        <v>278</v>
      </c>
      <c r="F24" s="91">
        <f t="shared" si="0"/>
        <v>322</v>
      </c>
      <c r="G24" s="91">
        <f t="shared" si="0"/>
        <v>267</v>
      </c>
      <c r="H24" s="91">
        <f t="shared" si="0"/>
        <v>183</v>
      </c>
      <c r="I24" s="91">
        <f t="shared" si="0"/>
        <v>306</v>
      </c>
      <c r="J24" s="91">
        <f t="shared" si="0"/>
        <v>224</v>
      </c>
      <c r="K24" s="91">
        <f t="shared" si="0"/>
        <v>297</v>
      </c>
      <c r="L24" s="91">
        <f t="shared" si="0"/>
        <v>243</v>
      </c>
      <c r="M24" s="91">
        <f t="shared" si="0"/>
        <v>258</v>
      </c>
      <c r="N24" s="91">
        <f t="shared" si="0"/>
        <v>310</v>
      </c>
      <c r="O24" s="91">
        <f t="shared" si="0"/>
        <v>245</v>
      </c>
      <c r="P24" s="91">
        <f t="shared" si="0"/>
        <v>223</v>
      </c>
      <c r="Q24" s="91">
        <f t="shared" si="0"/>
        <v>289</v>
      </c>
      <c r="R24" s="91">
        <f t="shared" si="0"/>
        <v>355</v>
      </c>
      <c r="S24" s="91">
        <f t="shared" si="0"/>
        <v>272</v>
      </c>
      <c r="T24" s="91">
        <f t="shared" si="0"/>
        <v>205</v>
      </c>
      <c r="U24" s="91">
        <f t="shared" si="0"/>
        <v>284</v>
      </c>
      <c r="V24" s="91">
        <f t="shared" si="0"/>
        <v>231</v>
      </c>
      <c r="W24" s="91">
        <f t="shared" si="0"/>
        <v>276</v>
      </c>
      <c r="X24" s="91">
        <f t="shared" si="0"/>
        <v>261</v>
      </c>
      <c r="Y24" s="91">
        <f t="shared" si="0"/>
        <v>275</v>
      </c>
      <c r="Z24" s="91">
        <f t="shared" si="0"/>
        <v>275</v>
      </c>
      <c r="AA24" s="91">
        <f>SUM(AA5:AA6)</f>
        <v>298</v>
      </c>
      <c r="AB24" s="91">
        <f t="shared" si="0"/>
        <v>294</v>
      </c>
      <c r="AC24" s="91">
        <f t="shared" si="0"/>
        <v>311</v>
      </c>
      <c r="AD24" s="91">
        <f t="shared" si="0"/>
        <v>267</v>
      </c>
      <c r="AE24" s="91">
        <f t="shared" si="0"/>
        <v>300</v>
      </c>
      <c r="AF24" s="91">
        <f t="shared" si="0"/>
        <v>316</v>
      </c>
      <c r="AG24" s="91">
        <f t="shared" si="0"/>
        <v>321</v>
      </c>
      <c r="AH24" s="91">
        <f t="shared" si="0"/>
        <v>194</v>
      </c>
      <c r="AI24" s="90"/>
    </row>
    <row r="25" spans="2:35" ht="30">
      <c r="B25" s="93" t="s">
        <v>81</v>
      </c>
      <c r="C25" s="90"/>
      <c r="D25" s="91">
        <f>SUM(D9:D11,D14:D15,)</f>
        <v>194</v>
      </c>
      <c r="E25" s="91">
        <f t="shared" ref="E25:AI25" si="1">SUM(E9:E11,E14:E15,)</f>
        <v>174</v>
      </c>
      <c r="F25" s="91">
        <f t="shared" si="1"/>
        <v>176</v>
      </c>
      <c r="G25" s="91">
        <f t="shared" si="1"/>
        <v>147</v>
      </c>
      <c r="H25" s="91">
        <f t="shared" si="1"/>
        <v>165</v>
      </c>
      <c r="I25" s="91">
        <f t="shared" si="1"/>
        <v>207</v>
      </c>
      <c r="J25" s="91">
        <f t="shared" si="1"/>
        <v>173</v>
      </c>
      <c r="K25" s="91">
        <f>SUM(K9:K11,K14:K15,)</f>
        <v>597</v>
      </c>
      <c r="L25" s="91">
        <f t="shared" si="1"/>
        <v>641</v>
      </c>
      <c r="M25" s="91">
        <f t="shared" si="1"/>
        <v>193</v>
      </c>
      <c r="N25" s="91">
        <f t="shared" si="1"/>
        <v>221</v>
      </c>
      <c r="O25" s="91">
        <f t="shared" si="1"/>
        <v>124</v>
      </c>
      <c r="P25" s="91">
        <f t="shared" si="1"/>
        <v>257</v>
      </c>
      <c r="Q25" s="91">
        <f t="shared" si="1"/>
        <v>227</v>
      </c>
      <c r="R25" s="91">
        <f t="shared" si="1"/>
        <v>178</v>
      </c>
      <c r="S25" s="91">
        <f t="shared" si="1"/>
        <v>149</v>
      </c>
      <c r="T25" s="91">
        <f>SUM(T9:T11,T14:T15,)</f>
        <v>153</v>
      </c>
      <c r="U25" s="91">
        <f t="shared" si="1"/>
        <v>175</v>
      </c>
      <c r="V25" s="91">
        <f t="shared" si="1"/>
        <v>175</v>
      </c>
      <c r="W25" s="91">
        <f t="shared" si="1"/>
        <v>192</v>
      </c>
      <c r="X25" s="91">
        <f t="shared" si="1"/>
        <v>198</v>
      </c>
      <c r="Y25" s="91">
        <f t="shared" si="1"/>
        <v>232</v>
      </c>
      <c r="Z25" s="91">
        <f t="shared" si="1"/>
        <v>186</v>
      </c>
      <c r="AA25" s="91">
        <f t="shared" si="1"/>
        <v>225</v>
      </c>
      <c r="AB25" s="91">
        <f t="shared" si="1"/>
        <v>182</v>
      </c>
      <c r="AC25" s="91">
        <f t="shared" si="1"/>
        <v>224</v>
      </c>
      <c r="AD25" s="91">
        <f t="shared" si="1"/>
        <v>207</v>
      </c>
      <c r="AE25" s="91">
        <f t="shared" si="1"/>
        <v>223</v>
      </c>
      <c r="AF25" s="91">
        <f t="shared" si="1"/>
        <v>248</v>
      </c>
      <c r="AG25" s="91">
        <f t="shared" si="1"/>
        <v>196</v>
      </c>
      <c r="AH25" s="91" t="e">
        <f t="shared" si="1"/>
        <v>#VALUE!</v>
      </c>
      <c r="AI25" s="91">
        <f t="shared" si="1"/>
        <v>0</v>
      </c>
    </row>
    <row r="26" spans="2:35">
      <c r="B26" s="93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</row>
    <row r="27" spans="2:35" ht="30">
      <c r="B27" s="93" t="s">
        <v>82</v>
      </c>
      <c r="C27" s="90"/>
      <c r="D27" s="91">
        <f>SUM(D13,D21,D23)</f>
        <v>129</v>
      </c>
      <c r="E27" s="91">
        <f t="shared" ref="E27:AH27" si="2">SUM(E13,E21,E23)</f>
        <v>115</v>
      </c>
      <c r="F27" s="91">
        <f>SUM(F13,F21,F23)</f>
        <v>139</v>
      </c>
      <c r="G27" s="91">
        <f t="shared" si="2"/>
        <v>149</v>
      </c>
      <c r="H27" s="91">
        <f t="shared" si="2"/>
        <v>165</v>
      </c>
      <c r="I27" s="91">
        <f t="shared" si="2"/>
        <v>185</v>
      </c>
      <c r="J27" s="91">
        <f t="shared" si="2"/>
        <v>119</v>
      </c>
      <c r="K27" s="91">
        <f t="shared" si="2"/>
        <v>122</v>
      </c>
      <c r="L27" s="91">
        <f t="shared" si="2"/>
        <v>120</v>
      </c>
      <c r="M27" s="91">
        <f t="shared" si="2"/>
        <v>150</v>
      </c>
      <c r="N27" s="91">
        <f t="shared" si="2"/>
        <v>139</v>
      </c>
      <c r="O27" s="91">
        <f t="shared" si="2"/>
        <v>161</v>
      </c>
      <c r="P27" s="91">
        <f t="shared" si="2"/>
        <v>125</v>
      </c>
      <c r="Q27" s="91">
        <f t="shared" si="2"/>
        <v>127</v>
      </c>
      <c r="R27" s="91">
        <f t="shared" si="2"/>
        <v>97</v>
      </c>
      <c r="S27" s="91">
        <f t="shared" si="2"/>
        <v>180</v>
      </c>
      <c r="T27" s="91">
        <f t="shared" si="2"/>
        <v>119</v>
      </c>
      <c r="U27" s="91">
        <f t="shared" si="2"/>
        <v>128</v>
      </c>
      <c r="V27" s="91">
        <f t="shared" si="2"/>
        <v>132</v>
      </c>
      <c r="W27" s="91">
        <f t="shared" si="2"/>
        <v>97</v>
      </c>
      <c r="X27" s="91">
        <f t="shared" si="2"/>
        <v>148</v>
      </c>
      <c r="Y27" s="91">
        <f t="shared" si="2"/>
        <v>116</v>
      </c>
      <c r="Z27" s="91">
        <f t="shared" si="2"/>
        <v>167</v>
      </c>
      <c r="AA27" s="91">
        <f t="shared" si="2"/>
        <v>121</v>
      </c>
      <c r="AB27" s="91">
        <f t="shared" si="2"/>
        <v>155</v>
      </c>
      <c r="AC27" s="91">
        <f t="shared" si="2"/>
        <v>102</v>
      </c>
      <c r="AD27" s="91">
        <f t="shared" si="2"/>
        <v>138</v>
      </c>
      <c r="AE27" s="91">
        <f t="shared" si="2"/>
        <v>112</v>
      </c>
      <c r="AF27" s="91">
        <f t="shared" si="2"/>
        <v>163</v>
      </c>
      <c r="AG27" s="91">
        <f t="shared" si="2"/>
        <v>87</v>
      </c>
      <c r="AH27" s="91">
        <f t="shared" si="2"/>
        <v>114</v>
      </c>
      <c r="AI27" s="91">
        <f t="shared" ref="AI27" si="3">SUM(AI13)</f>
        <v>0</v>
      </c>
    </row>
    <row r="28" spans="2:35">
      <c r="B28" s="247"/>
      <c r="C28" s="248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  <c r="X28" s="248"/>
      <c r="Y28" s="248"/>
      <c r="Z28" s="248"/>
      <c r="AA28" s="248"/>
      <c r="AB28" s="248"/>
      <c r="AC28" s="248"/>
      <c r="AD28" s="248"/>
      <c r="AE28" s="248"/>
      <c r="AF28" s="248"/>
      <c r="AG28" s="248"/>
      <c r="AH28" s="248"/>
      <c r="AI28" s="248"/>
    </row>
    <row r="29" spans="2:35">
      <c r="B29" s="247" t="s">
        <v>83</v>
      </c>
      <c r="C29" s="248"/>
      <c r="D29" s="249">
        <f>D9</f>
        <v>127</v>
      </c>
      <c r="E29" s="249">
        <f t="shared" ref="E29:AH29" si="4">E9</f>
        <v>124</v>
      </c>
      <c r="F29" s="249">
        <f t="shared" si="4"/>
        <v>125</v>
      </c>
      <c r="G29" s="249">
        <f t="shared" si="4"/>
        <v>102</v>
      </c>
      <c r="H29" s="249">
        <f t="shared" si="4"/>
        <v>118</v>
      </c>
      <c r="I29" s="249">
        <f t="shared" si="4"/>
        <v>146</v>
      </c>
      <c r="J29" s="249">
        <f t="shared" si="4"/>
        <v>123</v>
      </c>
      <c r="K29" s="249">
        <f t="shared" si="4"/>
        <v>115</v>
      </c>
      <c r="L29" s="249">
        <f t="shared" si="4"/>
        <v>135</v>
      </c>
      <c r="M29" s="249">
        <f t="shared" si="4"/>
        <v>125</v>
      </c>
      <c r="N29" s="249">
        <f t="shared" si="4"/>
        <v>150</v>
      </c>
      <c r="O29" s="249">
        <f t="shared" si="4"/>
        <v>92</v>
      </c>
      <c r="P29" s="249">
        <f t="shared" si="4"/>
        <v>132</v>
      </c>
      <c r="Q29" s="249">
        <f t="shared" si="4"/>
        <v>132</v>
      </c>
      <c r="R29" s="249">
        <f t="shared" si="4"/>
        <v>121</v>
      </c>
      <c r="S29" s="249">
        <f t="shared" si="4"/>
        <v>107</v>
      </c>
      <c r="T29" s="249">
        <f t="shared" si="4"/>
        <v>118</v>
      </c>
      <c r="U29" s="249">
        <f t="shared" si="4"/>
        <v>127</v>
      </c>
      <c r="V29" s="249">
        <f t="shared" si="4"/>
        <v>126</v>
      </c>
      <c r="W29" s="249">
        <f t="shared" si="4"/>
        <v>139</v>
      </c>
      <c r="X29" s="249">
        <f t="shared" si="4"/>
        <v>149</v>
      </c>
      <c r="Y29" s="249">
        <f t="shared" si="4"/>
        <v>141</v>
      </c>
      <c r="Z29" s="249">
        <f t="shared" si="4"/>
        <v>116</v>
      </c>
      <c r="AA29" s="249">
        <f t="shared" si="4"/>
        <v>133</v>
      </c>
      <c r="AB29" s="249">
        <f t="shared" si="4"/>
        <v>111</v>
      </c>
      <c r="AC29" s="249">
        <f t="shared" si="4"/>
        <v>119</v>
      </c>
      <c r="AD29" s="249">
        <f t="shared" si="4"/>
        <v>116</v>
      </c>
      <c r="AE29" s="249">
        <f t="shared" si="4"/>
        <v>139</v>
      </c>
      <c r="AF29" s="249">
        <f t="shared" si="4"/>
        <v>119</v>
      </c>
      <c r="AG29" s="249">
        <f t="shared" si="4"/>
        <v>109</v>
      </c>
      <c r="AH29" s="249">
        <f t="shared" si="4"/>
        <v>137</v>
      </c>
      <c r="AI29" s="248"/>
    </row>
    <row r="30" spans="2:35">
      <c r="B30" s="247" t="s">
        <v>84</v>
      </c>
      <c r="C30" s="248"/>
      <c r="D30" s="249">
        <f>SUM(D10:D11,D14:D15)</f>
        <v>67</v>
      </c>
      <c r="E30" s="249">
        <f t="shared" ref="E30:AH30" si="5">SUM(E10:E11,E14:E15)</f>
        <v>50</v>
      </c>
      <c r="F30" s="249">
        <f t="shared" si="5"/>
        <v>51</v>
      </c>
      <c r="G30" s="249">
        <f t="shared" si="5"/>
        <v>45</v>
      </c>
      <c r="H30" s="249">
        <f t="shared" si="5"/>
        <v>47</v>
      </c>
      <c r="I30" s="249">
        <f t="shared" si="5"/>
        <v>61</v>
      </c>
      <c r="J30" s="249">
        <f t="shared" si="5"/>
        <v>50</v>
      </c>
      <c r="K30" s="249">
        <f t="shared" si="5"/>
        <v>482</v>
      </c>
      <c r="L30" s="249">
        <f t="shared" si="5"/>
        <v>506</v>
      </c>
      <c r="M30" s="249">
        <f t="shared" si="5"/>
        <v>68</v>
      </c>
      <c r="N30" s="249">
        <f t="shared" si="5"/>
        <v>71</v>
      </c>
      <c r="O30" s="249">
        <f t="shared" si="5"/>
        <v>32</v>
      </c>
      <c r="P30" s="249">
        <f t="shared" si="5"/>
        <v>125</v>
      </c>
      <c r="Q30" s="249">
        <f t="shared" si="5"/>
        <v>95</v>
      </c>
      <c r="R30" s="249">
        <f t="shared" si="5"/>
        <v>57</v>
      </c>
      <c r="S30" s="249">
        <f t="shared" si="5"/>
        <v>42</v>
      </c>
      <c r="T30" s="249">
        <f t="shared" si="5"/>
        <v>35</v>
      </c>
      <c r="U30" s="249">
        <f t="shared" si="5"/>
        <v>48</v>
      </c>
      <c r="V30" s="249">
        <f t="shared" si="5"/>
        <v>49</v>
      </c>
      <c r="W30" s="249">
        <f t="shared" si="5"/>
        <v>53</v>
      </c>
      <c r="X30" s="249">
        <f t="shared" si="5"/>
        <v>49</v>
      </c>
      <c r="Y30" s="249">
        <f t="shared" si="5"/>
        <v>91</v>
      </c>
      <c r="Z30" s="249">
        <f t="shared" si="5"/>
        <v>70</v>
      </c>
      <c r="AA30" s="249">
        <f t="shared" si="5"/>
        <v>92</v>
      </c>
      <c r="AB30" s="249">
        <f t="shared" si="5"/>
        <v>71</v>
      </c>
      <c r="AC30" s="249">
        <f t="shared" si="5"/>
        <v>105</v>
      </c>
      <c r="AD30" s="249">
        <f t="shared" si="5"/>
        <v>91</v>
      </c>
      <c r="AE30" s="249">
        <f t="shared" si="5"/>
        <v>84</v>
      </c>
      <c r="AF30" s="249">
        <f t="shared" si="5"/>
        <v>129</v>
      </c>
      <c r="AG30" s="249">
        <f t="shared" si="5"/>
        <v>87</v>
      </c>
      <c r="AH30" s="249" t="e">
        <f t="shared" si="5"/>
        <v>#VALUE!</v>
      </c>
      <c r="AI30" s="248"/>
    </row>
    <row r="31" spans="2:35">
      <c r="B31" s="247" t="s">
        <v>85</v>
      </c>
      <c r="C31" s="248"/>
      <c r="D31" s="248">
        <f>D30/SUM(D29:D30)%</f>
        <v>34.536082474226802</v>
      </c>
      <c r="E31" s="248">
        <f t="shared" ref="E31:AH31" si="6">E30/SUM(E29:E30)%</f>
        <v>28.735632183908045</v>
      </c>
      <c r="F31" s="248">
        <f t="shared" si="6"/>
        <v>28.977272727272727</v>
      </c>
      <c r="G31" s="248">
        <f t="shared" si="6"/>
        <v>30.612244897959183</v>
      </c>
      <c r="H31" s="248">
        <f t="shared" si="6"/>
        <v>28.484848484848488</v>
      </c>
      <c r="I31" s="248">
        <f t="shared" si="6"/>
        <v>29.468599033816428</v>
      </c>
      <c r="J31" s="248">
        <f t="shared" si="6"/>
        <v>28.901734104046245</v>
      </c>
      <c r="K31" s="248">
        <f t="shared" si="6"/>
        <v>80.737018425460633</v>
      </c>
      <c r="L31" s="248">
        <f t="shared" si="6"/>
        <v>78.939157566302654</v>
      </c>
      <c r="M31" s="248">
        <f t="shared" si="6"/>
        <v>35.233160621761662</v>
      </c>
      <c r="N31" s="248">
        <f t="shared" si="6"/>
        <v>32.126696832579185</v>
      </c>
      <c r="O31" s="248">
        <f t="shared" si="6"/>
        <v>25.806451612903228</v>
      </c>
      <c r="P31" s="248">
        <f t="shared" si="6"/>
        <v>48.638132295719849</v>
      </c>
      <c r="Q31" s="248">
        <f t="shared" si="6"/>
        <v>41.85022026431718</v>
      </c>
      <c r="R31" s="248">
        <f t="shared" si="6"/>
        <v>32.022471910112358</v>
      </c>
      <c r="S31" s="248">
        <f t="shared" si="6"/>
        <v>28.187919463087248</v>
      </c>
      <c r="T31" s="248">
        <f t="shared" si="6"/>
        <v>22.875816993464053</v>
      </c>
      <c r="U31" s="248">
        <f t="shared" si="6"/>
        <v>27.428571428571427</v>
      </c>
      <c r="V31" s="248">
        <f t="shared" si="6"/>
        <v>28</v>
      </c>
      <c r="W31" s="248">
        <f t="shared" si="6"/>
        <v>27.604166666666668</v>
      </c>
      <c r="X31" s="248">
        <f t="shared" si="6"/>
        <v>24.747474747474747</v>
      </c>
      <c r="Y31" s="248">
        <f t="shared" si="6"/>
        <v>39.224137931034484</v>
      </c>
      <c r="Z31" s="248">
        <f t="shared" si="6"/>
        <v>37.634408602150536</v>
      </c>
      <c r="AA31" s="248">
        <f t="shared" si="6"/>
        <v>40.888888888888886</v>
      </c>
      <c r="AB31" s="248">
        <f t="shared" si="6"/>
        <v>39.010989010989007</v>
      </c>
      <c r="AC31" s="248">
        <f t="shared" si="6"/>
        <v>46.874999999999993</v>
      </c>
      <c r="AD31" s="248">
        <f t="shared" si="6"/>
        <v>43.961352657004838</v>
      </c>
      <c r="AE31" s="248">
        <f t="shared" si="6"/>
        <v>37.668161434977577</v>
      </c>
      <c r="AF31" s="248">
        <f t="shared" si="6"/>
        <v>52.016129032258064</v>
      </c>
      <c r="AG31" s="248">
        <f t="shared" si="6"/>
        <v>44.387755102040821</v>
      </c>
      <c r="AH31" s="248" t="e">
        <f t="shared" si="6"/>
        <v>#VALUE!</v>
      </c>
      <c r="AI31" s="248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92"/>
  <sheetViews>
    <sheetView topLeftCell="A10" zoomScale="55" zoomScaleNormal="55" workbookViewId="0">
      <pane xSplit="1" topLeftCell="B1" activePane="topRight" state="frozen"/>
      <selection activeCell="A4" sqref="A4"/>
      <selection pane="topRight" activeCell="H27" sqref="H27"/>
    </sheetView>
  </sheetViews>
  <sheetFormatPr defaultRowHeight="15"/>
  <cols>
    <col min="1" max="5" width="8.88671875" style="311"/>
    <col min="6" max="6" width="8.109375" style="311" bestFit="1" customWidth="1"/>
    <col min="7" max="7" width="6.44140625" style="311" customWidth="1"/>
    <col min="8" max="8" width="7.5546875" style="311" bestFit="1" customWidth="1"/>
    <col min="9" max="9" width="7.77734375" style="311" bestFit="1" customWidth="1"/>
    <col min="10" max="10" width="8.109375" style="311" bestFit="1" customWidth="1"/>
    <col min="11" max="11" width="8.21875" style="311" bestFit="1" customWidth="1"/>
    <col min="12" max="13" width="7.109375" style="311" customWidth="1"/>
    <col min="14" max="32" width="7.33203125" style="311" customWidth="1"/>
    <col min="33" max="51" width="7" style="311" customWidth="1"/>
    <col min="52" max="53" width="8.88671875" style="311"/>
    <col min="54" max="54" width="11.21875" style="311" bestFit="1" customWidth="1"/>
    <col min="55" max="55" width="9.109375" style="311" bestFit="1" customWidth="1"/>
    <col min="56" max="16384" width="8.88671875" style="311"/>
  </cols>
  <sheetData>
    <row r="1" spans="1:55" ht="15.75" thickBot="1"/>
    <row r="2" spans="1:55">
      <c r="F2" s="776" t="s">
        <v>308</v>
      </c>
      <c r="G2" s="777"/>
      <c r="H2" s="777"/>
      <c r="I2" s="777"/>
      <c r="J2" s="777"/>
      <c r="K2" s="777"/>
      <c r="L2" s="777"/>
      <c r="M2" s="778"/>
      <c r="N2" s="775" t="s">
        <v>86</v>
      </c>
      <c r="O2" s="775"/>
      <c r="P2" s="775"/>
      <c r="Q2" s="775"/>
      <c r="R2" s="775"/>
      <c r="S2" s="775"/>
      <c r="T2" s="775"/>
      <c r="U2" s="775"/>
      <c r="V2" s="775"/>
      <c r="W2" s="775"/>
      <c r="X2" s="775"/>
      <c r="Y2" s="775"/>
      <c r="Z2" s="775"/>
      <c r="AA2" s="775"/>
      <c r="AB2" s="775"/>
      <c r="AC2" s="775"/>
      <c r="AD2" s="775"/>
      <c r="AE2" s="775"/>
      <c r="AF2" s="775"/>
      <c r="AG2" s="775"/>
      <c r="AH2" s="775"/>
      <c r="AI2" s="775"/>
      <c r="AJ2" s="775"/>
      <c r="AK2" s="775"/>
      <c r="AL2" s="775"/>
      <c r="AM2" s="775"/>
      <c r="AN2" s="774"/>
      <c r="AO2" s="774"/>
      <c r="AP2" s="774"/>
      <c r="AQ2" s="774"/>
      <c r="AR2" s="774"/>
      <c r="AS2" s="774"/>
      <c r="AT2" s="774"/>
      <c r="AU2" s="502"/>
      <c r="AV2" s="773" t="s">
        <v>87</v>
      </c>
      <c r="AW2" s="773"/>
      <c r="AX2" s="773"/>
      <c r="AY2" s="773"/>
      <c r="BB2" s="318" t="s">
        <v>334</v>
      </c>
      <c r="BC2" s="318" t="s">
        <v>335</v>
      </c>
    </row>
    <row r="3" spans="1:55">
      <c r="F3" s="504"/>
      <c r="G3" s="505"/>
      <c r="H3" s="505"/>
      <c r="I3" s="505"/>
      <c r="J3" s="505"/>
      <c r="K3" s="505"/>
      <c r="L3" s="505"/>
      <c r="M3" s="506"/>
      <c r="N3" s="503"/>
      <c r="O3" s="503"/>
      <c r="P3" s="503"/>
      <c r="Q3" s="503"/>
      <c r="R3" s="503"/>
      <c r="S3" s="503"/>
      <c r="T3" s="503"/>
      <c r="U3" s="503"/>
      <c r="V3" s="503"/>
      <c r="W3" s="503"/>
      <c r="X3" s="503"/>
      <c r="Y3" s="503"/>
      <c r="Z3" s="503"/>
      <c r="AA3" s="312"/>
      <c r="AB3" s="312"/>
      <c r="AC3" s="312"/>
      <c r="AD3" s="312"/>
      <c r="AE3" s="312"/>
      <c r="AF3" s="312"/>
      <c r="AG3" s="312"/>
      <c r="AH3" s="312"/>
      <c r="AI3" s="312"/>
      <c r="AJ3" s="312"/>
      <c r="AK3" s="312"/>
      <c r="AL3" s="312"/>
      <c r="AM3" s="503"/>
      <c r="AN3" s="779" t="s">
        <v>138</v>
      </c>
      <c r="AO3" s="779"/>
      <c r="AP3" s="779"/>
      <c r="AQ3" s="779"/>
      <c r="AR3" s="779"/>
      <c r="AS3" s="779"/>
      <c r="AT3" s="779"/>
      <c r="AU3" s="780" t="s">
        <v>283</v>
      </c>
      <c r="AV3" s="780"/>
      <c r="AW3" s="780"/>
      <c r="AX3" s="780"/>
      <c r="AY3" s="780"/>
      <c r="BB3" s="318"/>
      <c r="BC3" s="318"/>
    </row>
    <row r="4" spans="1:55" ht="39.75" customHeight="1">
      <c r="A4" s="252" t="s">
        <v>0</v>
      </c>
      <c r="B4" s="303" t="s">
        <v>304</v>
      </c>
      <c r="C4" s="303" t="s">
        <v>305</v>
      </c>
      <c r="D4" s="303" t="s">
        <v>307</v>
      </c>
      <c r="E4" s="303" t="s">
        <v>306</v>
      </c>
      <c r="F4" s="507" t="s">
        <v>284</v>
      </c>
      <c r="G4" s="508" t="s">
        <v>285</v>
      </c>
      <c r="H4" s="508" t="s">
        <v>286</v>
      </c>
      <c r="I4" s="508" t="s">
        <v>287</v>
      </c>
      <c r="J4" s="508" t="s">
        <v>282</v>
      </c>
      <c r="K4" s="508" t="s">
        <v>51</v>
      </c>
      <c r="L4" s="509" t="s">
        <v>60</v>
      </c>
      <c r="M4" s="509" t="s">
        <v>53</v>
      </c>
      <c r="N4" s="252" t="s">
        <v>88</v>
      </c>
      <c r="O4" s="252" t="s">
        <v>89</v>
      </c>
      <c r="P4" s="252" t="s">
        <v>104</v>
      </c>
      <c r="Q4" s="252" t="s">
        <v>288</v>
      </c>
      <c r="R4" s="252" t="s">
        <v>289</v>
      </c>
      <c r="S4" s="252" t="s">
        <v>290</v>
      </c>
      <c r="T4" s="252" t="s">
        <v>291</v>
      </c>
      <c r="U4" s="252" t="s">
        <v>90</v>
      </c>
      <c r="V4" s="252" t="s">
        <v>292</v>
      </c>
      <c r="W4" s="252" t="s">
        <v>293</v>
      </c>
      <c r="X4" s="252" t="s">
        <v>278</v>
      </c>
      <c r="Y4" s="252" t="s">
        <v>75</v>
      </c>
      <c r="Z4" s="252" t="s">
        <v>294</v>
      </c>
      <c r="AA4" s="253" t="s">
        <v>295</v>
      </c>
      <c r="AB4" s="253" t="s">
        <v>100</v>
      </c>
      <c r="AC4" s="253" t="s">
        <v>94</v>
      </c>
      <c r="AD4" s="253" t="s">
        <v>95</v>
      </c>
      <c r="AE4" s="82" t="s">
        <v>296</v>
      </c>
      <c r="AF4" s="83" t="s">
        <v>343</v>
      </c>
      <c r="AG4" s="83" t="s">
        <v>97</v>
      </c>
      <c r="AH4" s="83" t="s">
        <v>98</v>
      </c>
      <c r="AI4" s="83" t="s">
        <v>277</v>
      </c>
      <c r="AJ4" s="83" t="s">
        <v>100</v>
      </c>
      <c r="AK4" s="83" t="s">
        <v>101</v>
      </c>
      <c r="AL4" s="83" t="s">
        <v>102</v>
      </c>
      <c r="AM4" s="252" t="s">
        <v>195</v>
      </c>
      <c r="AN4" s="252" t="s">
        <v>297</v>
      </c>
      <c r="AO4" s="252" t="s">
        <v>103</v>
      </c>
      <c r="AP4" s="252" t="s">
        <v>104</v>
      </c>
      <c r="AQ4" s="252" t="s">
        <v>105</v>
      </c>
      <c r="AR4" s="252" t="s">
        <v>106</v>
      </c>
      <c r="AS4" s="252" t="s">
        <v>107</v>
      </c>
      <c r="AT4" s="252" t="s">
        <v>298</v>
      </c>
      <c r="AU4" s="252" t="s">
        <v>103</v>
      </c>
      <c r="AV4" s="252" t="s">
        <v>39</v>
      </c>
      <c r="AW4" s="252" t="s">
        <v>40</v>
      </c>
      <c r="AX4" s="252" t="s">
        <v>276</v>
      </c>
      <c r="AY4" s="252" t="s">
        <v>108</v>
      </c>
      <c r="BB4" s="318"/>
      <c r="BC4" s="318"/>
    </row>
    <row r="5" spans="1:55">
      <c r="A5" s="359">
        <v>1</v>
      </c>
      <c r="B5" s="510">
        <f>'1'!G7</f>
        <v>20405</v>
      </c>
      <c r="C5" s="510">
        <f>'1'!G8</f>
        <v>21364</v>
      </c>
      <c r="D5" s="510">
        <f>'1'!G15</f>
        <v>1177.1419999999925</v>
      </c>
      <c r="E5" s="510">
        <f>'1'!G20</f>
        <v>278</v>
      </c>
      <c r="F5" s="510">
        <f>SUM('1'!G35,'1'!G49)</f>
        <v>3465.0100000000093</v>
      </c>
      <c r="G5" s="510">
        <f>SUM('1'!H37,'1'!H51)</f>
        <v>1430.4000000000233</v>
      </c>
      <c r="H5" s="510">
        <f>SUM('1'!G38,'1'!G52)</f>
        <v>420.64000000000465</v>
      </c>
      <c r="I5" s="510">
        <f>SUM('1'!G39,'1'!G53)</f>
        <v>2801.9899999999907</v>
      </c>
      <c r="J5" s="510">
        <f>SUM('1'!G41,'1'!G42,'1'!G55,'1'!G56)</f>
        <v>4210.539999999979</v>
      </c>
      <c r="K5" s="510">
        <f>SUM('1'!G43,'1'!G57)</f>
        <v>2505.3499999999767</v>
      </c>
      <c r="L5" s="254">
        <f>'1'!G50</f>
        <v>1374.789999999979</v>
      </c>
      <c r="M5" s="254">
        <f>'1'!G36</f>
        <v>947.56999999994878</v>
      </c>
      <c r="N5" s="254">
        <f>'1'!G138</f>
        <v>151</v>
      </c>
      <c r="O5" s="254">
        <f>'1'!G139</f>
        <v>166</v>
      </c>
      <c r="P5" s="254">
        <f>'1'!G140</f>
        <v>19.458999999999833</v>
      </c>
      <c r="Q5" s="254">
        <f>'1'!G141</f>
        <v>206.30000000000291</v>
      </c>
      <c r="R5" s="254">
        <f>'1'!G142</f>
        <v>113.90999999999622</v>
      </c>
      <c r="S5" s="254">
        <f>'1'!$G$145</f>
        <v>0</v>
      </c>
      <c r="T5" s="254">
        <f>'1'!$G$146</f>
        <v>19</v>
      </c>
      <c r="U5" s="254">
        <f>'1'!$G$144</f>
        <v>251</v>
      </c>
      <c r="V5" s="254">
        <f>'1'!$G$147</f>
        <v>404.95999999996275</v>
      </c>
      <c r="W5" s="254">
        <f>'1'!$G$148</f>
        <v>440</v>
      </c>
      <c r="X5" s="254">
        <f>'1'!$G$143</f>
        <v>30.889999999999418</v>
      </c>
      <c r="Y5" s="254">
        <f>'1'!$G$58</f>
        <v>231.93099999999686</v>
      </c>
      <c r="Z5" s="254">
        <f>'1'!$G$151</f>
        <v>292</v>
      </c>
      <c r="AA5" s="254">
        <f>'1'!G161</f>
        <v>92.239999999990687</v>
      </c>
      <c r="AB5" s="254">
        <f>'1'!G162</f>
        <v>14.100000000000023</v>
      </c>
      <c r="AC5" s="254"/>
      <c r="AD5" s="254">
        <f>'1'!G163+'1'!G164</f>
        <v>3.8000000000001819</v>
      </c>
      <c r="AE5" s="254">
        <f>'1'!$G$116</f>
        <v>426.60999999998603</v>
      </c>
      <c r="AF5" s="254">
        <f>'1'!$G$117</f>
        <v>472.5</v>
      </c>
      <c r="AG5" s="254">
        <f>'1'!$G$118</f>
        <v>635.54000000000815</v>
      </c>
      <c r="AH5" s="254">
        <f>'1'!$G$119</f>
        <v>34.82499999999709</v>
      </c>
      <c r="AI5" s="254">
        <f>'1'!$G$120</f>
        <v>402.05999999999767</v>
      </c>
      <c r="AJ5" s="254">
        <f>'1'!$G$121</f>
        <v>403.7100000000064</v>
      </c>
      <c r="AK5" s="254">
        <f>'1'!$G$122</f>
        <v>282.52999999999884</v>
      </c>
      <c r="AL5" s="254">
        <f>'1'!$G$123</f>
        <v>394.5</v>
      </c>
      <c r="AM5" s="254">
        <f>'1'!$G$133</f>
        <v>761</v>
      </c>
      <c r="AN5" s="254">
        <f>'1'!$G$15</f>
        <v>1177.1419999999925</v>
      </c>
      <c r="AO5" s="254">
        <f>'1'!$G$74</f>
        <v>316</v>
      </c>
      <c r="AP5" s="254">
        <f>'1'!$G$75</f>
        <v>0</v>
      </c>
      <c r="AQ5" s="254">
        <f>'1'!$G$76</f>
        <v>120</v>
      </c>
      <c r="AR5" s="254">
        <f>'1'!$G$77</f>
        <v>59</v>
      </c>
      <c r="AS5" s="254">
        <f>'1'!$G$78</f>
        <v>-0.5</v>
      </c>
      <c r="AT5" s="254">
        <f>AN5-SUM(AO5:AS5)</f>
        <v>682.64199999999255</v>
      </c>
      <c r="AU5" s="254">
        <f>SUM('1'!G91:G92)</f>
        <v>11.360000000000582</v>
      </c>
      <c r="AV5" s="254">
        <f>'1'!$G$88</f>
        <v>6.0000000001309672E-2</v>
      </c>
      <c r="AW5" s="254">
        <f>'1'!$G$89</f>
        <v>12</v>
      </c>
      <c r="AX5" s="254">
        <f>'1'!$G$90</f>
        <v>13.700000000011642</v>
      </c>
      <c r="AY5" s="252">
        <f>SUM(AV5:AX5)</f>
        <v>25.760000000012951</v>
      </c>
      <c r="AZ5" s="311">
        <f>AO5/AU5</f>
        <v>27.816901408449279</v>
      </c>
      <c r="BA5" s="311">
        <f>AT5/AY5</f>
        <v>26.500077639737942</v>
      </c>
      <c r="BB5" s="351">
        <f>C5-SUM(F5:K5,Y5)</f>
        <v>6298.1390000000192</v>
      </c>
      <c r="BC5" s="351">
        <f>BB5/B5%</f>
        <v>30.8656652781182</v>
      </c>
    </row>
    <row r="6" spans="1:55">
      <c r="A6" s="359">
        <v>2</v>
      </c>
      <c r="B6" s="510">
        <f>'2'!G7</f>
        <v>19914</v>
      </c>
      <c r="C6" s="510">
        <f>'2'!G8</f>
        <v>20873</v>
      </c>
      <c r="D6" s="510">
        <f>'2'!G15</f>
        <v>1199.5</v>
      </c>
      <c r="E6" s="510">
        <f>'2'!G20</f>
        <v>278</v>
      </c>
      <c r="F6" s="510">
        <f>SUM('2'!G35,'2'!G49)</f>
        <v>3053.1199999999953</v>
      </c>
      <c r="G6" s="510">
        <f>SUM('2'!G37,'2'!G51)</f>
        <v>1463.929999999993</v>
      </c>
      <c r="H6" s="510">
        <f>SUM('2'!G38,'2'!G52)</f>
        <v>2497.2800000000279</v>
      </c>
      <c r="I6" s="510">
        <f>SUM('2'!G39,'2'!G53)</f>
        <v>2851.5600000000559</v>
      </c>
      <c r="J6" s="510">
        <f>SUM('2'!G41,'2'!G42,'2'!G55,'2'!G56)</f>
        <v>4203.2700000000768</v>
      </c>
      <c r="K6" s="510">
        <f>SUM('2'!G43,'2'!G57)</f>
        <v>2410.0800000000745</v>
      </c>
      <c r="L6" s="254">
        <f>'2'!G50</f>
        <v>1219.7200000000303</v>
      </c>
      <c r="M6" s="254">
        <f>'2'!G36</f>
        <v>989.76000000000931</v>
      </c>
      <c r="N6" s="254">
        <f>'2'!G138</f>
        <v>123</v>
      </c>
      <c r="O6" s="254">
        <f>'2'!$G$139</f>
        <v>171</v>
      </c>
      <c r="P6" s="254">
        <f>'2'!$G$140</f>
        <v>18.430000000000291</v>
      </c>
      <c r="Q6" s="254">
        <f>'2'!$G$141</f>
        <v>195.98999999999069</v>
      </c>
      <c r="R6" s="254">
        <f>'2'!$G$142</f>
        <v>73.540000000000873</v>
      </c>
      <c r="S6" s="254">
        <f>'2'!$G$145</f>
        <v>182</v>
      </c>
      <c r="T6" s="254">
        <f>'2'!$G$146</f>
        <v>32</v>
      </c>
      <c r="U6" s="254">
        <f>'2'!$G$144</f>
        <v>243</v>
      </c>
      <c r="V6" s="254">
        <f>'2'!$G$147</f>
        <v>381.28000000002794</v>
      </c>
      <c r="W6" s="251">
        <f>'2'!$G$148</f>
        <v>318.96000000007916</v>
      </c>
      <c r="X6" s="251">
        <f>'2'!$G$143</f>
        <v>34.909999999999854</v>
      </c>
      <c r="Y6" s="251">
        <f>'2'!$G$58</f>
        <v>269.17000000001281</v>
      </c>
      <c r="Z6" s="251">
        <f>'2'!$G$151</f>
        <v>295</v>
      </c>
      <c r="AA6" s="251">
        <f>'2'!G161</f>
        <v>185.0800000000163</v>
      </c>
      <c r="AB6" s="254">
        <f>'2'!G162</f>
        <v>32.799999999999955</v>
      </c>
      <c r="AC6" s="254"/>
      <c r="AD6" s="254">
        <f>'2'!G163+'2'!G164</f>
        <v>3.1999999999998181</v>
      </c>
      <c r="AE6" s="254">
        <f>'2'!$G$116</f>
        <v>429.26000000000931</v>
      </c>
      <c r="AF6" s="254">
        <f>'2'!$G$117</f>
        <v>340.80000000000291</v>
      </c>
      <c r="AG6" s="254">
        <f>'2'!$G$118</f>
        <v>647.91000000000349</v>
      </c>
      <c r="AH6" s="254">
        <f>'2'!$G$119</f>
        <v>36.30000000000291</v>
      </c>
      <c r="AI6" s="254">
        <f>'2'!$G$120</f>
        <v>421.90000000000873</v>
      </c>
      <c r="AJ6" s="254">
        <f>'2'!$G$121</f>
        <v>429.79999999998836</v>
      </c>
      <c r="AK6" s="254">
        <f>'2'!$G$122</f>
        <v>268</v>
      </c>
      <c r="AL6" s="254">
        <f>'2'!$G$123</f>
        <v>324.39999999999418</v>
      </c>
      <c r="AM6" s="254">
        <f>'2'!$G$133</f>
        <v>694</v>
      </c>
      <c r="AN6" s="254">
        <f>'2'!$G$15</f>
        <v>1199.5</v>
      </c>
      <c r="AO6" s="254">
        <f>'2'!$G$74</f>
        <v>359.82000000000016</v>
      </c>
      <c r="AP6" s="254">
        <f>'2'!$G$75</f>
        <v>0</v>
      </c>
      <c r="AQ6" s="254">
        <f>'2'!$G$76</f>
        <v>104</v>
      </c>
      <c r="AR6" s="254">
        <f>'2'!$G$77</f>
        <v>47</v>
      </c>
      <c r="AS6" s="254">
        <f>'2'!$G$78</f>
        <v>0</v>
      </c>
      <c r="AT6" s="254">
        <f t="shared" ref="AT6:AT34" si="0">AN6-SUM(AO6:AS6)</f>
        <v>688.67999999999984</v>
      </c>
      <c r="AU6" s="254">
        <f>SUM('2'!G91:G92)</f>
        <v>9.9299999999993815</v>
      </c>
      <c r="AV6" s="254">
        <f>'2'!$G$88</f>
        <v>3.8600000000005821</v>
      </c>
      <c r="AW6" s="254">
        <f>'2'!$G$89</f>
        <v>17.600000000002183</v>
      </c>
      <c r="AX6" s="254">
        <f>'2'!$G$90</f>
        <v>12.629999999990105</v>
      </c>
      <c r="AY6" s="252">
        <f t="shared" ref="AY6:AY34" si="1">SUM(AV6:AX6)</f>
        <v>34.08999999999287</v>
      </c>
      <c r="AZ6" s="311">
        <f t="shared" ref="AZ6:AZ8" si="2">AO6/AU6</f>
        <v>36.235649546830068</v>
      </c>
      <c r="BA6" s="311">
        <f t="shared" ref="BA6:BA35" si="3">AT6/AY6</f>
        <v>20.20181871516996</v>
      </c>
      <c r="BB6" s="351">
        <f t="shared" ref="BB6:BB35" si="4">C6-SUM(F6:K6,Y6)</f>
        <v>4124.5899999997637</v>
      </c>
      <c r="BC6" s="351">
        <f t="shared" ref="BC6:BC35" si="5">BB6/B6%</f>
        <v>20.712011650094226</v>
      </c>
    </row>
    <row r="7" spans="1:55" s="313" customFormat="1">
      <c r="A7" s="359">
        <v>3</v>
      </c>
      <c r="B7" s="510">
        <f>'3'!G7</f>
        <v>21700.800000000003</v>
      </c>
      <c r="C7" s="510">
        <f>'3'!G8</f>
        <v>21837</v>
      </c>
      <c r="D7" s="510">
        <f>'3'!G15</f>
        <v>1202</v>
      </c>
      <c r="E7" s="510">
        <f>'3'!G20</f>
        <v>322</v>
      </c>
      <c r="F7" s="510">
        <f>SUM('3'!G35,'3'!G49)</f>
        <v>3487.8800000000047</v>
      </c>
      <c r="G7" s="510">
        <f>SUM('3'!G37,'3'!G51)</f>
        <v>1407.8699999999953</v>
      </c>
      <c r="H7" s="510">
        <f>SUM('3'!G38,'3'!G52)</f>
        <v>2529.3499999999858</v>
      </c>
      <c r="I7" s="510">
        <f>SUM('3'!G39,'3'!G53)</f>
        <v>2805.4899999998743</v>
      </c>
      <c r="J7" s="510">
        <f>SUM('3'!G41,'3'!G42,'3'!G55,'3'!G56)</f>
        <v>4668.1099999999278</v>
      </c>
      <c r="K7" s="510">
        <f>SUM('3'!G43,'3'!G57)</f>
        <v>2365.6799999999348</v>
      </c>
      <c r="L7" s="251">
        <f>'3'!G50</f>
        <v>1788.390000000014</v>
      </c>
      <c r="M7" s="251">
        <f>'3'!G36</f>
        <v>938.44000000000233</v>
      </c>
      <c r="N7" s="251">
        <f>'3'!G138</f>
        <v>113</v>
      </c>
      <c r="O7" s="251">
        <f>'3'!$G$139</f>
        <v>175</v>
      </c>
      <c r="P7" s="251">
        <f>'3'!$G$140</f>
        <v>15.599999999999909</v>
      </c>
      <c r="Q7" s="251">
        <f>'3'!$G$141</f>
        <v>194.16000000000349</v>
      </c>
      <c r="R7" s="251">
        <f>'3'!$G$142</f>
        <v>80.110000000000582</v>
      </c>
      <c r="S7" s="251">
        <f>'3'!$G$145</f>
        <v>183</v>
      </c>
      <c r="T7" s="251">
        <f>'3'!$G$146</f>
        <v>31</v>
      </c>
      <c r="U7" s="251">
        <f>'3'!$G$144</f>
        <v>240</v>
      </c>
      <c r="V7" s="251">
        <f>'3'!$G$147</f>
        <v>399.25</v>
      </c>
      <c r="W7" s="251">
        <f>'3'!$G$148</f>
        <v>321.35999999998603</v>
      </c>
      <c r="X7" s="251">
        <f>'3'!$G$143</f>
        <v>34.659999999999854</v>
      </c>
      <c r="Y7" s="251">
        <f>'3'!$G$58</f>
        <v>279.77999999999884</v>
      </c>
      <c r="Z7" s="251">
        <f>'3'!$G$151</f>
        <v>274</v>
      </c>
      <c r="AA7" s="254">
        <f>'3'!G161</f>
        <v>200.79999999998836</v>
      </c>
      <c r="AB7" s="254">
        <f>'3'!G162</f>
        <v>37.200000000000045</v>
      </c>
      <c r="AC7" s="254"/>
      <c r="AD7" s="254">
        <f>'3'!G163+'3'!G164</f>
        <v>5</v>
      </c>
      <c r="AE7" s="251">
        <f>'3'!$G$116</f>
        <v>370.53999999997905</v>
      </c>
      <c r="AF7" s="251">
        <f>'3'!$G$117</f>
        <v>340.30000000000291</v>
      </c>
      <c r="AG7" s="251">
        <f>'3'!$G$118</f>
        <v>653</v>
      </c>
      <c r="AH7" s="251">
        <f>'3'!$G$119</f>
        <v>33.82999999999447</v>
      </c>
      <c r="AI7" s="251">
        <f>'3'!$G$120</f>
        <v>392.89999999999418</v>
      </c>
      <c r="AJ7" s="251">
        <f>'3'!$G$121</f>
        <v>447.60000000000582</v>
      </c>
      <c r="AK7" s="251">
        <f>'3'!$G$122</f>
        <v>261.5</v>
      </c>
      <c r="AL7" s="251">
        <f>'3'!$G$123</f>
        <v>292.10000000000582</v>
      </c>
      <c r="AM7" s="251">
        <f>'3'!$G$133</f>
        <v>-645954.83000000007</v>
      </c>
      <c r="AN7" s="251">
        <f>'3'!$G$15</f>
        <v>1202</v>
      </c>
      <c r="AO7" s="251">
        <f>'3'!$G$74</f>
        <v>296.94000000000005</v>
      </c>
      <c r="AP7" s="251">
        <f>'3'!$G$75</f>
        <v>0</v>
      </c>
      <c r="AQ7" s="251">
        <f>'3'!$G$76</f>
        <v>115</v>
      </c>
      <c r="AR7" s="251">
        <f>'3'!$G$77</f>
        <v>42</v>
      </c>
      <c r="AS7" s="251">
        <f>'3'!$G$78</f>
        <v>0</v>
      </c>
      <c r="AT7" s="251">
        <f t="shared" si="0"/>
        <v>748.06</v>
      </c>
      <c r="AU7" s="254">
        <f>SUM('3'!G91:G92)</f>
        <v>13.660000000000764</v>
      </c>
      <c r="AV7" s="251">
        <f>'3'!$G$88</f>
        <v>2.9799999999995634</v>
      </c>
      <c r="AW7" s="251">
        <f>'3'!$G$89</f>
        <v>10.399999999997817</v>
      </c>
      <c r="AX7" s="251">
        <f>'3'!$G$90</f>
        <v>11.290000000008149</v>
      </c>
      <c r="AY7" s="255">
        <f t="shared" si="1"/>
        <v>24.67000000000553</v>
      </c>
      <c r="AZ7" s="311">
        <f t="shared" si="2"/>
        <v>21.737920937041249</v>
      </c>
      <c r="BA7" s="311">
        <f t="shared" si="3"/>
        <v>30.322659100114805</v>
      </c>
      <c r="BB7" s="351">
        <f t="shared" si="4"/>
        <v>4292.8400000002803</v>
      </c>
      <c r="BC7" s="351">
        <f t="shared" si="5"/>
        <v>19.781943522820722</v>
      </c>
    </row>
    <row r="8" spans="1:55">
      <c r="A8" s="359">
        <v>4</v>
      </c>
      <c r="B8" s="510">
        <f>'4'!G7</f>
        <v>21026.199999999997</v>
      </c>
      <c r="C8" s="510">
        <f>'4'!G8</f>
        <v>21196</v>
      </c>
      <c r="D8" s="510">
        <f>'4'!G15</f>
        <v>1072</v>
      </c>
      <c r="E8" s="510">
        <f>'4'!G20</f>
        <v>267</v>
      </c>
      <c r="F8" s="510">
        <f>SUM('4'!G35,'4'!G49)</f>
        <v>2814.8499999999767</v>
      </c>
      <c r="G8" s="510">
        <f>SUM('4'!G37,'4'!G51)</f>
        <v>1416.929999999993</v>
      </c>
      <c r="H8" s="510">
        <f>SUM('4'!G38,'4'!G52)</f>
        <v>2404.1300000000047</v>
      </c>
      <c r="I8" s="510">
        <f>SUM('4'!G39,'4'!G53)</f>
        <v>2869.9300000000512</v>
      </c>
      <c r="J8" s="510">
        <f>SUM('4'!G41,'4'!G42,'4'!G55,'4'!G56)</f>
        <v>4497.0600000000559</v>
      </c>
      <c r="K8" s="510">
        <f>SUM('4'!G43,'4'!G57)</f>
        <v>2309.890000000014</v>
      </c>
      <c r="L8" s="254">
        <f>'4'!G50</f>
        <v>1602.0999999999767</v>
      </c>
      <c r="M8" s="254">
        <f>'4'!G36</f>
        <v>750.42999999999302</v>
      </c>
      <c r="N8" s="254">
        <f>'4'!G138</f>
        <v>112</v>
      </c>
      <c r="O8" s="254">
        <f>'4'!$G$139</f>
        <v>144</v>
      </c>
      <c r="P8" s="254">
        <f>'4'!$G$140</f>
        <v>13.899999999999636</v>
      </c>
      <c r="Q8" s="254">
        <f>'4'!$G$141</f>
        <v>191.55000000000291</v>
      </c>
      <c r="R8" s="254">
        <f>'4'!$G$142</f>
        <v>80.889999999999418</v>
      </c>
      <c r="S8" s="254">
        <f>'4'!$G$145</f>
        <v>182</v>
      </c>
      <c r="T8" s="254">
        <f>'4'!$G$146</f>
        <v>38</v>
      </c>
      <c r="U8" s="254">
        <f>'4'!$G$144</f>
        <v>240</v>
      </c>
      <c r="V8" s="251">
        <f>'4'!$G$147</f>
        <v>350.98999999999069</v>
      </c>
      <c r="W8" s="251">
        <f>'4'!$G$148</f>
        <v>289.11999999999534</v>
      </c>
      <c r="X8" s="254">
        <f>'4'!$G$143</f>
        <v>28.840000000000146</v>
      </c>
      <c r="Y8" s="254">
        <f>'4'!$G$58</f>
        <v>267.61999999999534</v>
      </c>
      <c r="Z8" s="254">
        <f>'4'!$G$151</f>
        <v>298</v>
      </c>
      <c r="AA8" s="254">
        <f>'4'!G161</f>
        <v>145.71999999997206</v>
      </c>
      <c r="AB8" s="254">
        <f>'4'!G162</f>
        <v>40.699999999999932</v>
      </c>
      <c r="AC8" s="254"/>
      <c r="AD8" s="254">
        <f>'4'!G163+'4'!G164</f>
        <v>4.8000000000001819</v>
      </c>
      <c r="AE8" s="254">
        <f>'4'!$G$116</f>
        <v>458.20000000001164</v>
      </c>
      <c r="AF8" s="254">
        <f>'4'!$G$117</f>
        <v>377.19999999999709</v>
      </c>
      <c r="AG8" s="254">
        <f>'4'!$G$118</f>
        <v>654.19999999998254</v>
      </c>
      <c r="AH8" s="254">
        <f>'4'!$G$119</f>
        <v>33.67000000000553</v>
      </c>
      <c r="AI8" s="254">
        <f>'4'!$G$120</f>
        <v>412.38000000000466</v>
      </c>
      <c r="AJ8" s="254">
        <f>'4'!$G$121</f>
        <v>444.10000000000582</v>
      </c>
      <c r="AK8" s="254">
        <f>'4'!$G$122</f>
        <v>277.20000000001164</v>
      </c>
      <c r="AL8" s="254">
        <f>'4'!$G$123</f>
        <v>316.5</v>
      </c>
      <c r="AM8" s="254">
        <f>'4'!$G$133</f>
        <v>0</v>
      </c>
      <c r="AN8" s="254">
        <f>'4'!$G$15</f>
        <v>1072</v>
      </c>
      <c r="AO8" s="254">
        <f>'4'!$G$74</f>
        <v>303.23999999999978</v>
      </c>
      <c r="AP8" s="254">
        <f>'4'!$G$75</f>
        <v>0</v>
      </c>
      <c r="AQ8" s="254">
        <f>'4'!$G$76</f>
        <v>65</v>
      </c>
      <c r="AR8" s="254">
        <f>'4'!$G$77</f>
        <v>61</v>
      </c>
      <c r="AS8" s="254">
        <f>'4'!$G$78</f>
        <v>-0.5</v>
      </c>
      <c r="AT8" s="254">
        <f t="shared" si="0"/>
        <v>643.26000000000022</v>
      </c>
      <c r="AU8" s="254">
        <f>SUM('4'!G91:G92)</f>
        <v>10.359999999999673</v>
      </c>
      <c r="AV8" s="254">
        <f>'4'!$G$88</f>
        <v>0</v>
      </c>
      <c r="AW8" s="254">
        <f>'4'!$G$89</f>
        <v>10.080000000001746</v>
      </c>
      <c r="AX8" s="254">
        <f>'4'!$G$90</f>
        <v>10.80000000000291</v>
      </c>
      <c r="AY8" s="252">
        <f t="shared" si="1"/>
        <v>20.880000000004657</v>
      </c>
      <c r="AZ8" s="311">
        <f t="shared" si="2"/>
        <v>29.270270270271173</v>
      </c>
      <c r="BA8" s="311">
        <f t="shared" si="3"/>
        <v>30.807471264360956</v>
      </c>
      <c r="BB8" s="351">
        <f t="shared" si="4"/>
        <v>4615.5899999999092</v>
      </c>
      <c r="BC8" s="351">
        <f t="shared" si="5"/>
        <v>21.951612749806955</v>
      </c>
    </row>
    <row r="9" spans="1:55">
      <c r="A9" s="359">
        <v>5</v>
      </c>
      <c r="B9" s="510">
        <f>'5'!G7</f>
        <v>20923</v>
      </c>
      <c r="C9" s="510">
        <f>'5'!G8</f>
        <v>21078</v>
      </c>
      <c r="D9" s="510">
        <f>'5'!G15</f>
        <v>1031</v>
      </c>
      <c r="E9" s="510">
        <f>'5'!G20</f>
        <v>183</v>
      </c>
      <c r="F9" s="510">
        <f>SUM('5'!G35,'5'!G49)</f>
        <v>3067</v>
      </c>
      <c r="G9" s="510">
        <f>SUM('5'!G37,'5'!G51)</f>
        <v>1489</v>
      </c>
      <c r="H9" s="510">
        <f>SUM('5'!G38,'5'!G52)</f>
        <v>2509.0100000000002</v>
      </c>
      <c r="I9" s="510">
        <f>SUM('5'!G39,'5'!G53)</f>
        <v>2895</v>
      </c>
      <c r="J9" s="510">
        <f>SUM('5'!G41,'5'!G42,'5'!G55,'5'!G56)</f>
        <v>4539.1999999999534</v>
      </c>
      <c r="K9" s="510">
        <f>SUM('5'!G43,'5'!G57)</f>
        <v>2309</v>
      </c>
      <c r="L9" s="254">
        <f>'5'!G50</f>
        <v>1163</v>
      </c>
      <c r="M9" s="254">
        <f>'5'!G36</f>
        <v>820.90000000002328</v>
      </c>
      <c r="N9" s="254">
        <f>'5'!G138</f>
        <v>103</v>
      </c>
      <c r="O9" s="254">
        <f>'5'!$G$139</f>
        <v>171</v>
      </c>
      <c r="P9" s="254">
        <f>'5'!$G$140</f>
        <v>17.100000000000364</v>
      </c>
      <c r="Q9" s="258">
        <f>'5'!$G$141</f>
        <v>199</v>
      </c>
      <c r="R9" s="254">
        <f>'5'!$G$142</f>
        <v>81</v>
      </c>
      <c r="S9" s="251">
        <f>'5'!$G$145</f>
        <v>157</v>
      </c>
      <c r="T9" s="254">
        <f>'5'!$G$146</f>
        <v>39</v>
      </c>
      <c r="U9" s="254">
        <f>'5'!$G$144</f>
        <v>240</v>
      </c>
      <c r="V9" s="256">
        <f>'5'!$G$147</f>
        <v>341.52000000001863</v>
      </c>
      <c r="W9" s="254">
        <f>'5'!$G$148</f>
        <v>314.47999999998137</v>
      </c>
      <c r="X9" s="254">
        <f>'5'!$G$143</f>
        <v>28.700000000000728</v>
      </c>
      <c r="Y9" s="254">
        <f>'5'!$G$58</f>
        <v>248</v>
      </c>
      <c r="Z9" s="254">
        <f>'5'!$G$151</f>
        <v>315</v>
      </c>
      <c r="AA9" s="254">
        <f>'5'!G161</f>
        <v>140.84000000002561</v>
      </c>
      <c r="AB9" s="254">
        <f>'5'!G162</f>
        <v>40.600000000000023</v>
      </c>
      <c r="AC9" s="254"/>
      <c r="AD9" s="254">
        <f>'5'!G163+'5'!G164</f>
        <v>4.1999999999998181</v>
      </c>
      <c r="AE9" s="254">
        <f>'5'!$G$116</f>
        <v>435</v>
      </c>
      <c r="AF9" s="254">
        <f>'5'!$G$117</f>
        <v>382.19999999999709</v>
      </c>
      <c r="AG9" s="254">
        <f>'5'!$G$118</f>
        <v>662.20000000001164</v>
      </c>
      <c r="AH9" s="254">
        <f>'5'!$G$119</f>
        <v>36.19999999999709</v>
      </c>
      <c r="AI9" s="254">
        <f>'5'!$G$120</f>
        <v>393.61999999999534</v>
      </c>
      <c r="AJ9" s="254">
        <f>'5'!$G$121</f>
        <v>444.89999999999418</v>
      </c>
      <c r="AK9" s="254">
        <f>'5'!$G$122</f>
        <v>317.39999999999418</v>
      </c>
      <c r="AL9" s="254">
        <f>'5'!$G$123</f>
        <v>299.5</v>
      </c>
      <c r="AM9" s="254">
        <f>'5'!$G$133</f>
        <v>-0.16999999998370185</v>
      </c>
      <c r="AN9" s="254">
        <f>'5'!$G$15</f>
        <v>1031</v>
      </c>
      <c r="AO9" s="256">
        <f>'5'!$G$74</f>
        <v>303</v>
      </c>
      <c r="AP9" s="256">
        <f>'5'!$G$75</f>
        <v>0</v>
      </c>
      <c r="AQ9" s="256">
        <f>'5'!$G$76</f>
        <v>130</v>
      </c>
      <c r="AR9" s="256">
        <f>'5'!$G$77</f>
        <v>43</v>
      </c>
      <c r="AS9" s="256">
        <f>'5'!$G$78</f>
        <v>0.3999999999996362</v>
      </c>
      <c r="AT9" s="256">
        <f t="shared" si="0"/>
        <v>554.60000000000036</v>
      </c>
      <c r="AU9" s="254">
        <f>SUM('5'!G91:G92)</f>
        <v>11.789999999999964</v>
      </c>
      <c r="AV9" s="254">
        <f>'5'!$G$88</f>
        <v>0.5</v>
      </c>
      <c r="AW9" s="254">
        <f>'5'!$G$89</f>
        <v>9.5299999999988358</v>
      </c>
      <c r="AX9" s="254">
        <f>'5'!$G$90</f>
        <v>10.399999999994179</v>
      </c>
      <c r="AY9" s="252">
        <f t="shared" si="1"/>
        <v>20.429999999993015</v>
      </c>
      <c r="AZ9" s="311">
        <f>AO9/AU9</f>
        <v>25.699745547073871</v>
      </c>
      <c r="BA9" s="311">
        <f t="shared" si="3"/>
        <v>27.146353401869309</v>
      </c>
      <c r="BB9" s="351">
        <f t="shared" si="4"/>
        <v>4021.7900000000445</v>
      </c>
      <c r="BC9" s="351">
        <f t="shared" si="5"/>
        <v>19.221861109783706</v>
      </c>
    </row>
    <row r="10" spans="1:55">
      <c r="A10" s="359">
        <v>6</v>
      </c>
      <c r="B10" s="510">
        <f>'6'!G7</f>
        <v>20388</v>
      </c>
      <c r="C10" s="510">
        <f>'6'!G8</f>
        <v>20586</v>
      </c>
      <c r="D10" s="510">
        <f>'6'!G15</f>
        <v>1061</v>
      </c>
      <c r="E10" s="510">
        <f>'6'!G20</f>
        <v>306</v>
      </c>
      <c r="F10" s="510">
        <f>SUM('6'!G35,'6'!G49)</f>
        <v>2935</v>
      </c>
      <c r="G10" s="510">
        <f>SUM('6'!G37,'6'!G51)</f>
        <v>1465</v>
      </c>
      <c r="H10" s="510">
        <f>SUM('6'!G38,'6'!G52)</f>
        <v>2505</v>
      </c>
      <c r="I10" s="510">
        <f>SUM('6'!G39,'6'!G53)</f>
        <v>2773</v>
      </c>
      <c r="J10" s="510">
        <f>SUM('6'!G41,'6'!G42,'6'!G55,'6'!G56)</f>
        <v>4307</v>
      </c>
      <c r="K10" s="510">
        <f>SUM('6'!G43,'6'!G57)</f>
        <v>2270</v>
      </c>
      <c r="L10" s="254">
        <f>'6'!G50</f>
        <v>1228</v>
      </c>
      <c r="M10" s="254">
        <f>'6'!G36</f>
        <v>849</v>
      </c>
      <c r="N10" s="254">
        <f>'6'!G138</f>
        <v>110</v>
      </c>
      <c r="O10" s="254">
        <f>'6'!$G$139</f>
        <v>180</v>
      </c>
      <c r="P10" s="254">
        <f>'6'!$G$140</f>
        <v>21</v>
      </c>
      <c r="Q10" s="254">
        <f>'6'!$G$141</f>
        <v>207</v>
      </c>
      <c r="R10" s="254">
        <f>'6'!$G$142</f>
        <v>87</v>
      </c>
      <c r="S10" s="254">
        <f>'6'!$G$145</f>
        <v>162</v>
      </c>
      <c r="T10" s="251">
        <f>'6'!$G$146</f>
        <v>31</v>
      </c>
      <c r="U10" s="251">
        <f>'6'!$G$144</f>
        <v>242</v>
      </c>
      <c r="V10" s="251">
        <f>'6'!$G$147</f>
        <v>340</v>
      </c>
      <c r="W10" s="251">
        <f>'6'!$G$148</f>
        <v>342</v>
      </c>
      <c r="X10" s="251">
        <f>'6'!$G$143</f>
        <v>33</v>
      </c>
      <c r="Y10" s="251">
        <f>'6'!$G$58</f>
        <v>251</v>
      </c>
      <c r="Z10" s="251">
        <f>'6'!$G$151</f>
        <v>308</v>
      </c>
      <c r="AA10" s="251">
        <f>'6'!G161</f>
        <v>253</v>
      </c>
      <c r="AB10" s="251">
        <f>'6'!G162</f>
        <v>38</v>
      </c>
      <c r="AC10" s="251"/>
      <c r="AD10" s="251">
        <f>'6'!G163+'6'!G164</f>
        <v>5</v>
      </c>
      <c r="AE10" s="254">
        <f>'6'!$G$116</f>
        <v>365</v>
      </c>
      <c r="AF10" s="254">
        <f>'6'!$G$117</f>
        <v>374</v>
      </c>
      <c r="AG10" s="254">
        <f>'6'!$G$118</f>
        <v>601</v>
      </c>
      <c r="AH10" s="254">
        <f>'6'!$G$119</f>
        <v>34</v>
      </c>
      <c r="AI10" s="254">
        <f>'6'!$G$120</f>
        <v>405</v>
      </c>
      <c r="AJ10" s="254">
        <f>'6'!$G$121</f>
        <v>449</v>
      </c>
      <c r="AK10" s="254">
        <f>'6'!$G$122</f>
        <v>322</v>
      </c>
      <c r="AL10" s="254">
        <f>'6'!$G$123</f>
        <v>307</v>
      </c>
      <c r="AM10" s="254">
        <f>'6'!$G$133</f>
        <v>0</v>
      </c>
      <c r="AN10" s="254">
        <f>'6'!$G$15</f>
        <v>1061</v>
      </c>
      <c r="AO10" s="256">
        <f>'6'!$G$74</f>
        <v>307</v>
      </c>
      <c r="AP10" s="256">
        <f>'6'!$G$75</f>
        <v>0</v>
      </c>
      <c r="AQ10" s="256">
        <f>'6'!$G$76</f>
        <v>100</v>
      </c>
      <c r="AR10" s="256">
        <f>'6'!$G$77</f>
        <v>52</v>
      </c>
      <c r="AS10" s="256">
        <f>'6'!$G$78</f>
        <v>0</v>
      </c>
      <c r="AT10" s="256">
        <f t="shared" si="0"/>
        <v>602</v>
      </c>
      <c r="AU10" s="254">
        <f>SUM('6'!G91:G92)</f>
        <v>11</v>
      </c>
      <c r="AV10" s="254">
        <f>'6'!$G$88</f>
        <v>4</v>
      </c>
      <c r="AW10" s="254">
        <f>'6'!$G$89</f>
        <v>7</v>
      </c>
      <c r="AX10" s="254">
        <f>'6'!$G$90</f>
        <v>11</v>
      </c>
      <c r="AY10" s="252">
        <f t="shared" si="1"/>
        <v>22</v>
      </c>
      <c r="AZ10" s="311">
        <f t="shared" ref="AZ10:AZ28" si="6">AO10/AU10</f>
        <v>27.90909090909091</v>
      </c>
      <c r="BA10" s="311">
        <f t="shared" si="3"/>
        <v>27.363636363636363</v>
      </c>
      <c r="BB10" s="351">
        <f t="shared" si="4"/>
        <v>4080</v>
      </c>
      <c r="BC10" s="351">
        <f t="shared" si="5"/>
        <v>20.011771630370806</v>
      </c>
    </row>
    <row r="11" spans="1:55">
      <c r="A11" s="359">
        <v>7</v>
      </c>
      <c r="B11" s="510">
        <f>'7'!G7</f>
        <v>21411</v>
      </c>
      <c r="C11" s="510">
        <f>'7'!G8</f>
        <v>21581</v>
      </c>
      <c r="D11" s="510">
        <f>'7'!G15</f>
        <v>1141</v>
      </c>
      <c r="E11" s="510">
        <f>'7'!G20</f>
        <v>224</v>
      </c>
      <c r="F11" s="510">
        <f>SUM('7'!G35,'7'!G49)</f>
        <v>2982</v>
      </c>
      <c r="G11" s="510">
        <f>SUM('7'!G37,'7'!G51)</f>
        <v>1528</v>
      </c>
      <c r="H11" s="510">
        <f>SUM('7'!G38,'7'!G52)</f>
        <v>2485</v>
      </c>
      <c r="I11" s="510">
        <f>SUM('7'!G39,'7'!G53)</f>
        <v>2864</v>
      </c>
      <c r="J11" s="510">
        <f>SUM('7'!G41,'7'!G42,'7'!G55,'7'!G56)</f>
        <v>4797</v>
      </c>
      <c r="K11" s="510">
        <f>SUM('7'!G43,'7'!G57)</f>
        <v>2251</v>
      </c>
      <c r="L11" s="254">
        <f>'7'!G50</f>
        <v>1307</v>
      </c>
      <c r="M11" s="254">
        <f>'7'!G36</f>
        <v>1091</v>
      </c>
      <c r="N11" s="254">
        <f>'7'!G138</f>
        <v>98</v>
      </c>
      <c r="O11" s="254">
        <f>'7'!$G$139</f>
        <v>152</v>
      </c>
      <c r="P11" s="254">
        <f>'7'!$G$140</f>
        <v>21</v>
      </c>
      <c r="Q11" s="254">
        <f>'7'!$G$141</f>
        <v>204</v>
      </c>
      <c r="R11" s="254">
        <f>'7'!$G$142</f>
        <v>93</v>
      </c>
      <c r="S11" s="254">
        <f>'7'!$G$145</f>
        <v>139</v>
      </c>
      <c r="T11" s="251">
        <f>'7'!$G$146</f>
        <v>31</v>
      </c>
      <c r="U11" s="251">
        <f>'7'!$G$144</f>
        <v>245</v>
      </c>
      <c r="V11" s="251">
        <f>'7'!$G$147</f>
        <v>367</v>
      </c>
      <c r="W11" s="251">
        <f>'7'!$G$148</f>
        <v>352</v>
      </c>
      <c r="X11" s="251">
        <f>'7'!$G$143</f>
        <v>29</v>
      </c>
      <c r="Y11" s="251">
        <f>'7'!$G$58</f>
        <v>250</v>
      </c>
      <c r="Z11" s="256">
        <f>'7'!$G$151</f>
        <v>302</v>
      </c>
      <c r="AA11" s="256">
        <f>'7'!G161</f>
        <v>239</v>
      </c>
      <c r="AB11" s="251">
        <f>'7'!G162</f>
        <v>39</v>
      </c>
      <c r="AC11" s="251"/>
      <c r="AD11" s="251">
        <f>'7'!G163+'7'!G164</f>
        <v>5</v>
      </c>
      <c r="AE11" s="254">
        <f>'7'!$G$116</f>
        <v>471</v>
      </c>
      <c r="AF11" s="254">
        <f>'7'!$G$117</f>
        <v>409</v>
      </c>
      <c r="AG11" s="254">
        <f>'7'!$G$118</f>
        <v>634</v>
      </c>
      <c r="AH11" s="254">
        <f>'7'!$G$119</f>
        <v>39</v>
      </c>
      <c r="AI11" s="254">
        <f>'7'!$G$120</f>
        <v>403</v>
      </c>
      <c r="AJ11" s="254">
        <f>'7'!$G$121</f>
        <v>415</v>
      </c>
      <c r="AK11" s="256">
        <f>'7'!$G$122</f>
        <v>338</v>
      </c>
      <c r="AL11" s="254">
        <f>'7'!$G$123</f>
        <v>303</v>
      </c>
      <c r="AM11" s="254">
        <f>'7'!$G$133</f>
        <v>0</v>
      </c>
      <c r="AN11" s="254">
        <f>'7'!$G$15</f>
        <v>1141</v>
      </c>
      <c r="AO11" s="256">
        <f>'7'!$G$74</f>
        <v>307</v>
      </c>
      <c r="AP11" s="256">
        <f>'7'!$G$75</f>
        <v>0</v>
      </c>
      <c r="AQ11" s="256">
        <f>'7'!$G$76</f>
        <v>90</v>
      </c>
      <c r="AR11" s="256">
        <f>'7'!$G$77</f>
        <v>47</v>
      </c>
      <c r="AS11" s="256">
        <f>'7'!$G$78</f>
        <v>0</v>
      </c>
      <c r="AT11" s="256">
        <f t="shared" si="0"/>
        <v>697</v>
      </c>
      <c r="AU11" s="254">
        <f>SUM('7'!G91:G92)</f>
        <v>10.760000000000218</v>
      </c>
      <c r="AV11" s="254">
        <f>'7'!$G$88</f>
        <v>2</v>
      </c>
      <c r="AW11" s="254">
        <f>'7'!$G$89</f>
        <v>10</v>
      </c>
      <c r="AX11" s="254">
        <f>'7'!$G$90</f>
        <v>11</v>
      </c>
      <c r="AY11" s="252">
        <f t="shared" si="1"/>
        <v>23</v>
      </c>
      <c r="AZ11" s="311">
        <f>AO11/AU11</f>
        <v>28.531598513010575</v>
      </c>
      <c r="BA11" s="311">
        <f t="shared" si="3"/>
        <v>30.304347826086957</v>
      </c>
      <c r="BB11" s="351">
        <f t="shared" si="4"/>
        <v>4424</v>
      </c>
      <c r="BC11" s="351">
        <f t="shared" si="5"/>
        <v>20.662276399981316</v>
      </c>
    </row>
    <row r="12" spans="1:55">
      <c r="A12" s="359">
        <v>8</v>
      </c>
      <c r="B12" s="510">
        <f>'8'!G7</f>
        <v>21381</v>
      </c>
      <c r="C12" s="510">
        <f>'8'!G8</f>
        <v>21598</v>
      </c>
      <c r="D12" s="510">
        <f>'8'!G15</f>
        <v>1112</v>
      </c>
      <c r="E12" s="510">
        <f>'8'!G20</f>
        <v>297</v>
      </c>
      <c r="F12" s="510">
        <f>SUM('8'!G35,'8'!G49)</f>
        <v>3011</v>
      </c>
      <c r="G12" s="510">
        <f>SUM('8'!G37,'8'!G51)</f>
        <v>1552</v>
      </c>
      <c r="H12" s="510">
        <f>SUM('8'!G38,'8'!G52)</f>
        <v>2595</v>
      </c>
      <c r="I12" s="510">
        <f>SUM('8'!G39,'8'!G53)</f>
        <v>2814</v>
      </c>
      <c r="J12" s="510">
        <f>SUM('8'!G41,'8'!G42,'8'!G55,'8'!G56)</f>
        <v>4796</v>
      </c>
      <c r="K12" s="510">
        <f>SUM('8'!G43,'8'!G57)</f>
        <v>2385</v>
      </c>
      <c r="L12" s="254">
        <f>'8'!G50</f>
        <v>1432</v>
      </c>
      <c r="M12" s="254">
        <f>'8'!G36</f>
        <v>719</v>
      </c>
      <c r="N12" s="254">
        <f>'8'!G138</f>
        <v>118</v>
      </c>
      <c r="O12" s="254">
        <f>'8'!$G$139</f>
        <v>149</v>
      </c>
      <c r="P12" s="254">
        <f>'8'!$G$140</f>
        <v>25</v>
      </c>
      <c r="Q12" s="254">
        <f>'8'!$G$141</f>
        <v>187</v>
      </c>
      <c r="R12" s="254">
        <f>'8'!$G$142</f>
        <v>99</v>
      </c>
      <c r="S12" s="254">
        <f>'8'!$G$145</f>
        <v>152</v>
      </c>
      <c r="T12" s="251">
        <f>'8'!$G$146</f>
        <v>37</v>
      </c>
      <c r="U12" s="251">
        <f>'8'!$G$144</f>
        <v>238</v>
      </c>
      <c r="V12" s="251">
        <f>'8'!$G$147</f>
        <v>400</v>
      </c>
      <c r="W12" s="251">
        <f>'8'!$G$148</f>
        <v>293</v>
      </c>
      <c r="X12" s="251">
        <f>'8'!$G$143</f>
        <v>28</v>
      </c>
      <c r="Y12" s="251">
        <f>'8'!$G$58</f>
        <v>247</v>
      </c>
      <c r="Z12" s="251">
        <f>'8'!$G$151</f>
        <v>327</v>
      </c>
      <c r="AA12" s="251">
        <f>'8'!G161</f>
        <v>62</v>
      </c>
      <c r="AB12" s="251">
        <f>'8'!G162</f>
        <v>23</v>
      </c>
      <c r="AC12" s="251"/>
      <c r="AD12" s="251">
        <f>'8'!G163+'8'!G164</f>
        <v>1</v>
      </c>
      <c r="AE12" s="254">
        <f>'8'!$G$116</f>
        <v>509</v>
      </c>
      <c r="AF12" s="254">
        <f>'8'!$G$117</f>
        <v>404</v>
      </c>
      <c r="AG12" s="254">
        <f>'8'!$G$118</f>
        <v>585</v>
      </c>
      <c r="AH12" s="254">
        <f>'8'!$G$119</f>
        <v>40</v>
      </c>
      <c r="AI12" s="254">
        <f>'8'!$G$120</f>
        <v>386</v>
      </c>
      <c r="AJ12" s="254">
        <f>'8'!$G$121</f>
        <v>410</v>
      </c>
      <c r="AK12" s="254">
        <f>'8'!$G$122</f>
        <v>326</v>
      </c>
      <c r="AL12" s="254">
        <f>'8'!$G$123</f>
        <v>303</v>
      </c>
      <c r="AM12" s="254">
        <f>'8'!$G$133</f>
        <v>0</v>
      </c>
      <c r="AN12" s="254">
        <f>'8'!$G$15</f>
        <v>1112</v>
      </c>
      <c r="AO12" s="256">
        <f>'8'!$G$74</f>
        <v>299</v>
      </c>
      <c r="AP12" s="256">
        <f>'8'!$G$75</f>
        <v>0</v>
      </c>
      <c r="AQ12" s="256">
        <f>'8'!$G$76</f>
        <v>106</v>
      </c>
      <c r="AR12" s="256">
        <f>'8'!$G$77</f>
        <v>48</v>
      </c>
      <c r="AS12" s="256">
        <f>'8'!$G$78</f>
        <v>0</v>
      </c>
      <c r="AT12" s="256">
        <f t="shared" si="0"/>
        <v>659</v>
      </c>
      <c r="AU12" s="254">
        <f>SUM('8'!G91:G92)</f>
        <v>11.239999999999782</v>
      </c>
      <c r="AV12" s="254">
        <f>'8'!$G$88</f>
        <v>4</v>
      </c>
      <c r="AW12" s="254">
        <f>'8'!$G$89</f>
        <v>12</v>
      </c>
      <c r="AX12" s="254">
        <f>'8'!$G$90</f>
        <v>6.4400000000023283</v>
      </c>
      <c r="AY12" s="252">
        <f t="shared" si="1"/>
        <v>22.440000000002328</v>
      </c>
      <c r="AZ12" s="311">
        <f t="shared" si="6"/>
        <v>26.601423487545002</v>
      </c>
      <c r="BA12" s="311">
        <f t="shared" si="3"/>
        <v>29.367201426021907</v>
      </c>
      <c r="BB12" s="351">
        <f t="shared" si="4"/>
        <v>4198</v>
      </c>
      <c r="BC12" s="351">
        <f t="shared" si="5"/>
        <v>19.634254712127589</v>
      </c>
    </row>
    <row r="13" spans="1:55">
      <c r="A13" s="359">
        <v>9</v>
      </c>
      <c r="B13" s="510">
        <f>'9'!G7</f>
        <v>20295</v>
      </c>
      <c r="C13" s="510">
        <f>'9'!G8</f>
        <v>20473</v>
      </c>
      <c r="D13" s="510">
        <f>'9'!G15</f>
        <v>1155</v>
      </c>
      <c r="E13" s="510">
        <f>'9'!G20</f>
        <v>243</v>
      </c>
      <c r="F13" s="510">
        <f>SUM('9'!G35,'9'!G49)</f>
        <v>2914.7199999999721</v>
      </c>
      <c r="G13" s="510">
        <f>SUM('9'!G37,'9'!G51)</f>
        <v>1591.1900000000023</v>
      </c>
      <c r="H13" s="510">
        <f>SUM('9'!G38,'9'!G52)</f>
        <v>2560.4300000000512</v>
      </c>
      <c r="I13" s="510">
        <f>SUM('9'!G39,'9'!G53)</f>
        <v>2799.1800000000512</v>
      </c>
      <c r="J13" s="510">
        <f>SUM('9'!G41,'9'!G42,'9'!G55,'9'!G56)</f>
        <v>3941.3099999999977</v>
      </c>
      <c r="K13" s="510">
        <f>SUM('9'!G43,'9'!G57)</f>
        <v>2366.5899999999674</v>
      </c>
      <c r="L13" s="254">
        <f>'9'!G50</f>
        <v>1264.7000000000116</v>
      </c>
      <c r="M13" s="254">
        <f>'9'!G36</f>
        <v>829.6699999999837</v>
      </c>
      <c r="N13" s="254">
        <f>'9'!G138</f>
        <v>123</v>
      </c>
      <c r="O13" s="254">
        <f>'9'!$G$139</f>
        <v>149</v>
      </c>
      <c r="P13" s="254">
        <f>'9'!$G$140</f>
        <v>25.590000000000146</v>
      </c>
      <c r="Q13" s="254">
        <f>'9'!$G$141</f>
        <v>192.30000000000291</v>
      </c>
      <c r="R13" s="254">
        <f>'9'!$G$142</f>
        <v>97.30000000000291</v>
      </c>
      <c r="S13" s="254">
        <f>'9'!$G$145</f>
        <v>152</v>
      </c>
      <c r="T13" s="251">
        <f>'9'!$G$146</f>
        <v>42</v>
      </c>
      <c r="U13" s="251">
        <f>'9'!$G$144</f>
        <v>236</v>
      </c>
      <c r="V13" s="251">
        <f>'9'!$G$147</f>
        <v>375.80000000004657</v>
      </c>
      <c r="W13" s="251">
        <f>'9'!$G$148</f>
        <v>298.43999999994412</v>
      </c>
      <c r="X13" s="251">
        <f>'9'!$G$143</f>
        <v>31</v>
      </c>
      <c r="Y13" s="251">
        <f>'9'!$G$58</f>
        <v>276</v>
      </c>
      <c r="Z13" s="251">
        <f>'9'!$G$151</f>
        <v>292</v>
      </c>
      <c r="AA13" s="251">
        <f>'9'!G161</f>
        <v>188.44000000000233</v>
      </c>
      <c r="AB13" s="251">
        <f>'9'!G162</f>
        <v>40</v>
      </c>
      <c r="AC13" s="251"/>
      <c r="AD13" s="251">
        <f>'9'!G163+'9'!G164</f>
        <v>4.8999999999996362</v>
      </c>
      <c r="AE13" s="254">
        <f>'9'!$G$116</f>
        <v>335</v>
      </c>
      <c r="AF13" s="254">
        <f>'9'!$G$117</f>
        <v>405</v>
      </c>
      <c r="AG13" s="254">
        <f>'9'!$G$118</f>
        <v>639.61999999999534</v>
      </c>
      <c r="AH13" s="254">
        <f>'9'!$G$119</f>
        <v>39.370000000002619</v>
      </c>
      <c r="AI13" s="254">
        <f>'9'!$G$120</f>
        <v>388.89999999999418</v>
      </c>
      <c r="AJ13" s="254">
        <f>'9'!$G$121</f>
        <v>410</v>
      </c>
      <c r="AK13" s="254">
        <f>'9'!$G$122</f>
        <v>326</v>
      </c>
      <c r="AL13" s="254">
        <f>'9'!$G$123</f>
        <v>309.89999999999418</v>
      </c>
      <c r="AM13" s="254">
        <f>'9'!$G$133</f>
        <v>0.16999999998370185</v>
      </c>
      <c r="AN13" s="254">
        <f>'9'!$G$15</f>
        <v>1155</v>
      </c>
      <c r="AO13" s="256">
        <f>'9'!$G$74</f>
        <v>300.48800000000028</v>
      </c>
      <c r="AP13" s="256">
        <f>'9'!$G$75</f>
        <v>0</v>
      </c>
      <c r="AQ13" s="256">
        <f>'9'!$G$76</f>
        <v>107</v>
      </c>
      <c r="AR13" s="256">
        <f>'9'!$G$77</f>
        <v>39</v>
      </c>
      <c r="AS13" s="256">
        <f>'9'!$G$78</f>
        <v>0</v>
      </c>
      <c r="AT13" s="256">
        <f t="shared" si="0"/>
        <v>708.51199999999972</v>
      </c>
      <c r="AU13" s="254">
        <f>SUM('9'!G91:G92)</f>
        <v>10.449999999999818</v>
      </c>
      <c r="AV13" s="254">
        <f>'9'!$G$88</f>
        <v>3.2900000000008731</v>
      </c>
      <c r="AW13" s="254">
        <f>'9'!$G$89</f>
        <v>10.650000000001455</v>
      </c>
      <c r="AX13" s="254">
        <f>'9'!$G$90</f>
        <v>10.419999999998254</v>
      </c>
      <c r="AY13" s="252">
        <f t="shared" si="1"/>
        <v>24.360000000000582</v>
      </c>
      <c r="AZ13" s="311">
        <f t="shared" si="6"/>
        <v>28.754832535885694</v>
      </c>
      <c r="BA13" s="311">
        <f t="shared" si="3"/>
        <v>29.08505747126366</v>
      </c>
      <c r="BB13" s="351">
        <f t="shared" si="4"/>
        <v>4023.5799999999581</v>
      </c>
      <c r="BC13" s="351">
        <f t="shared" si="5"/>
        <v>19.825474254742343</v>
      </c>
    </row>
    <row r="14" spans="1:55">
      <c r="A14" s="359">
        <v>10</v>
      </c>
      <c r="B14" s="510">
        <f>'10'!G7</f>
        <v>21496</v>
      </c>
      <c r="C14" s="510">
        <f>'10'!G8</f>
        <v>21756</v>
      </c>
      <c r="D14" s="510">
        <f>'10'!G15</f>
        <v>1088</v>
      </c>
      <c r="E14" s="510">
        <f>'10'!G20</f>
        <v>258</v>
      </c>
      <c r="F14" s="510">
        <f>SUM('10'!G35,'10'!G49)</f>
        <v>3062.5200000000186</v>
      </c>
      <c r="G14" s="510">
        <f>SUM('10'!G37,'10'!G51)</f>
        <v>1475.9799999999814</v>
      </c>
      <c r="H14" s="510">
        <f>SUM('10'!G38,'10'!G52)</f>
        <v>2505.359999999986</v>
      </c>
      <c r="I14" s="510">
        <f>SUM('10'!G39,'10'!G53)</f>
        <v>2694.7199999999721</v>
      </c>
      <c r="J14" s="510">
        <f>SUM('10'!G41,'10'!G42,'10'!G55,'10'!G56)</f>
        <v>4480.539999999979</v>
      </c>
      <c r="K14" s="510">
        <f>SUM('10'!G43,'10'!G57)</f>
        <v>2357.0400000000373</v>
      </c>
      <c r="L14" s="254">
        <f>'10'!G50</f>
        <v>1856.8499999999767</v>
      </c>
      <c r="M14" s="254">
        <f>'10'!G36</f>
        <v>1144.3300000000163</v>
      </c>
      <c r="N14" s="254">
        <f>'10'!G138</f>
        <v>102</v>
      </c>
      <c r="O14" s="254">
        <f>'10'!$G$139</f>
        <v>135</v>
      </c>
      <c r="P14" s="254">
        <f>'10'!$G$140</f>
        <v>23.010000000000218</v>
      </c>
      <c r="Q14" s="254">
        <f>'10'!$G$141</f>
        <v>195.69999999999709</v>
      </c>
      <c r="R14" s="254">
        <f>'10'!$G$142</f>
        <v>96.799999999995634</v>
      </c>
      <c r="S14" s="254">
        <f>'10'!$G$145</f>
        <v>198</v>
      </c>
      <c r="T14" s="251">
        <f>'10'!$G$146</f>
        <v>38</v>
      </c>
      <c r="U14" s="251">
        <f>'10'!$G$144</f>
        <v>236</v>
      </c>
      <c r="V14" s="257">
        <f>'10'!$G$147</f>
        <v>407.52999999991152</v>
      </c>
      <c r="W14" s="257">
        <f>'10'!$G$148</f>
        <v>316.32000000006519</v>
      </c>
      <c r="X14" s="251">
        <f>'10'!$G$143</f>
        <v>33.200000000000728</v>
      </c>
      <c r="Y14" s="251">
        <f>'10'!$G$58</f>
        <v>240.88999999999942</v>
      </c>
      <c r="Z14" s="251">
        <f>'10'!$G$151</f>
        <v>304</v>
      </c>
      <c r="AA14" s="251">
        <f>'10'!G161</f>
        <v>224.32000000000698</v>
      </c>
      <c r="AB14" s="251">
        <f>'10'!G162</f>
        <v>40</v>
      </c>
      <c r="AC14" s="251"/>
      <c r="AD14" s="251">
        <f>'10'!G163+'10'!G164</f>
        <v>4.1000000000003638</v>
      </c>
      <c r="AE14" s="254">
        <f>'10'!$G$116</f>
        <v>425</v>
      </c>
      <c r="AF14" s="254">
        <f>'10'!$G$117</f>
        <v>226.86999999999534</v>
      </c>
      <c r="AG14" s="254">
        <f>'10'!$G$118</f>
        <v>628.64000000001397</v>
      </c>
      <c r="AH14" s="254">
        <f>'10'!$G$119</f>
        <v>36.269999999996799</v>
      </c>
      <c r="AI14" s="254">
        <f>'10'!$G$120</f>
        <v>383.65000000000873</v>
      </c>
      <c r="AJ14" s="254">
        <f>'10'!$G$121</f>
        <v>470.75</v>
      </c>
      <c r="AK14" s="254">
        <f>'10'!$G$122</f>
        <v>328.63000000000466</v>
      </c>
      <c r="AL14" s="254">
        <f>'10'!$G$123</f>
        <v>301.65000000000873</v>
      </c>
      <c r="AM14" s="254">
        <f>'10'!$G$133</f>
        <v>0</v>
      </c>
      <c r="AN14" s="254">
        <f>'10'!$G$15</f>
        <v>1088</v>
      </c>
      <c r="AO14" s="256">
        <f>'10'!$G$74</f>
        <v>293.61200000000008</v>
      </c>
      <c r="AP14" s="256">
        <f>'10'!$G$75</f>
        <v>0</v>
      </c>
      <c r="AQ14" s="256">
        <f>'10'!$G$76</f>
        <v>103</v>
      </c>
      <c r="AR14" s="256">
        <f>'10'!$G$77</f>
        <v>40</v>
      </c>
      <c r="AS14" s="256">
        <f>'10'!$G$78</f>
        <v>-0.3999999999996362</v>
      </c>
      <c r="AT14" s="256">
        <f t="shared" si="0"/>
        <v>651.78799999999956</v>
      </c>
      <c r="AU14" s="254">
        <f>SUM('10'!G91:G92)</f>
        <v>10.630000000000109</v>
      </c>
      <c r="AV14" s="254">
        <f>'10'!$G$88</f>
        <v>2.0400000000008731</v>
      </c>
      <c r="AW14" s="254">
        <f>'10'!$G$89</f>
        <v>9.3599999999969441</v>
      </c>
      <c r="AX14" s="254">
        <f>'10'!$G$90</f>
        <v>11.149999999994179</v>
      </c>
      <c r="AY14" s="252">
        <f t="shared" si="1"/>
        <v>22.549999999991996</v>
      </c>
      <c r="AZ14" s="311">
        <f t="shared" si="6"/>
        <v>27.621072436500196</v>
      </c>
      <c r="BA14" s="311">
        <f t="shared" si="3"/>
        <v>28.904124168524653</v>
      </c>
      <c r="BB14" s="351">
        <f t="shared" si="4"/>
        <v>4938.9500000000262</v>
      </c>
      <c r="BC14" s="351">
        <f t="shared" si="5"/>
        <v>22.976135094901498</v>
      </c>
    </row>
    <row r="15" spans="1:55">
      <c r="A15" s="359">
        <v>11</v>
      </c>
      <c r="B15" s="510">
        <f>'11'!G7</f>
        <v>21732</v>
      </c>
      <c r="C15" s="510">
        <f>'11'!G8</f>
        <v>21784</v>
      </c>
      <c r="D15" s="510">
        <f>'11'!G15</f>
        <v>1166.4580000001006</v>
      </c>
      <c r="E15" s="510">
        <f>'11'!G20</f>
        <v>310</v>
      </c>
      <c r="F15" s="510">
        <f>SUM('11'!G35,'11'!G49)</f>
        <v>3119.0999999999767</v>
      </c>
      <c r="G15" s="510">
        <f>SUM('11'!G37,'11'!G51)</f>
        <v>1558.9000000000233</v>
      </c>
      <c r="H15" s="510">
        <f>SUM('11'!G38,'11'!G52)</f>
        <v>2568.5</v>
      </c>
      <c r="I15" s="510">
        <f>SUM('11'!G39,'11'!G53)</f>
        <v>2815.859999999986</v>
      </c>
      <c r="J15" s="510">
        <f>SUM('11'!G41,'11'!G42,'11'!G55,'11'!G56)</f>
        <v>4569.710000000021</v>
      </c>
      <c r="K15" s="510">
        <f>SUM('11'!G43,'11'!G57)</f>
        <v>2386.1600000000326</v>
      </c>
      <c r="L15" s="254">
        <f>'11'!G50</f>
        <v>1443.960000000021</v>
      </c>
      <c r="M15" s="254">
        <f>'11'!G36</f>
        <v>799.27000000001863</v>
      </c>
      <c r="N15" s="254">
        <f>'11'!G138</f>
        <v>125</v>
      </c>
      <c r="O15" s="254">
        <f>'11'!$G$139</f>
        <v>458.30000000004657</v>
      </c>
      <c r="P15" s="254">
        <f>'11'!$G$140</f>
        <v>27.329999999999927</v>
      </c>
      <c r="Q15" s="254">
        <f>'11'!$G$141</f>
        <v>192</v>
      </c>
      <c r="R15" s="254">
        <f>'11'!$G$142</f>
        <v>95.739999999997963</v>
      </c>
      <c r="S15" s="254">
        <f>'11'!$G$145</f>
        <v>513.09999999997672</v>
      </c>
      <c r="T15" s="251">
        <f>'11'!$G$146</f>
        <v>48</v>
      </c>
      <c r="U15" s="251">
        <f>'11'!$G$144</f>
        <v>248</v>
      </c>
      <c r="V15" s="251">
        <f>'11'!$G$147</f>
        <v>397.43000000005122</v>
      </c>
      <c r="W15" s="251">
        <f>'11'!$G$148</f>
        <v>304.40000000002328</v>
      </c>
      <c r="X15" s="251">
        <f>'11'!$G$143</f>
        <v>30.05199999999968</v>
      </c>
      <c r="Y15" s="251">
        <f>'11'!$G$58</f>
        <v>254.38899999999558</v>
      </c>
      <c r="Z15" s="251">
        <f>'11'!$G$151</f>
        <v>308</v>
      </c>
      <c r="AA15" s="251">
        <f>'11'!G161</f>
        <v>174.15999999997439</v>
      </c>
      <c r="AB15" s="251">
        <f>'11'!G162</f>
        <v>43</v>
      </c>
      <c r="AC15" s="251">
        <f>'11'!G88</f>
        <v>3.069999999999709</v>
      </c>
      <c r="AD15" s="251">
        <f>'11'!G163+'11'!G164</f>
        <v>8</v>
      </c>
      <c r="AE15" s="254">
        <f>'11'!$G$116</f>
        <v>472.16000000000349</v>
      </c>
      <c r="AF15" s="254">
        <f>'11'!$G$117</f>
        <v>255.16100000000733</v>
      </c>
      <c r="AG15" s="254">
        <f>'11'!$G$118</f>
        <v>677.88999999998487</v>
      </c>
      <c r="AH15" s="254">
        <f>'11'!$G$119</f>
        <v>34.470000000001164</v>
      </c>
      <c r="AI15" s="254">
        <f>'11'!$G$120</f>
        <v>372.8799999999901</v>
      </c>
      <c r="AJ15" s="254">
        <f>'11'!$G$121</f>
        <v>441.63999999999942</v>
      </c>
      <c r="AK15" s="254">
        <f>'11'!$G$122</f>
        <v>326.86999999999534</v>
      </c>
      <c r="AL15" s="254">
        <f>'11'!$G$123</f>
        <v>309.27999999999884</v>
      </c>
      <c r="AM15" s="254">
        <f>'11'!$G$133</f>
        <v>0</v>
      </c>
      <c r="AN15" s="254">
        <f>'11'!$G$15</f>
        <v>1166.4580000001006</v>
      </c>
      <c r="AO15" s="256">
        <f>'11'!$G$74</f>
        <v>990961</v>
      </c>
      <c r="AP15" s="256">
        <f>'11'!$G$75</f>
        <v>0</v>
      </c>
      <c r="AQ15" s="256">
        <f>'11'!$G$76</f>
        <v>122.20000000001164</v>
      </c>
      <c r="AR15" s="256">
        <f>'11'!$G$77</f>
        <v>52</v>
      </c>
      <c r="AS15" s="256">
        <f>'11'!$G$78</f>
        <v>0</v>
      </c>
      <c r="AT15" s="256">
        <f t="shared" si="0"/>
        <v>-989968.74199999985</v>
      </c>
      <c r="AU15" s="254">
        <f>SUM('11'!G91:G92)</f>
        <v>11.720000000000255</v>
      </c>
      <c r="AV15" s="254">
        <f>'11'!$G$88</f>
        <v>3.069999999999709</v>
      </c>
      <c r="AW15" s="254">
        <f>'11'!$G$89</f>
        <v>10.210000000002765</v>
      </c>
      <c r="AX15" s="254">
        <f>'11'!$G$90</f>
        <v>9.3500000000058208</v>
      </c>
      <c r="AY15" s="252">
        <f t="shared" si="1"/>
        <v>22.630000000008295</v>
      </c>
      <c r="AZ15" s="311">
        <f t="shared" si="6"/>
        <v>84552.986348121034</v>
      </c>
      <c r="BA15" s="311">
        <f t="shared" si="3"/>
        <v>-43745.856915582721</v>
      </c>
      <c r="BB15" s="351">
        <f t="shared" si="4"/>
        <v>4511.3809999999648</v>
      </c>
      <c r="BC15" s="351">
        <f t="shared" si="5"/>
        <v>20.75916160500628</v>
      </c>
    </row>
    <row r="16" spans="1:55">
      <c r="A16" s="359">
        <v>12</v>
      </c>
      <c r="B16" s="510">
        <f>'12'!G7</f>
        <v>20958.26999999999</v>
      </c>
      <c r="C16" s="510">
        <f>'12'!G8</f>
        <v>21436</v>
      </c>
      <c r="D16" s="510">
        <f>'12'!G15</f>
        <v>1163.5219999998808</v>
      </c>
      <c r="E16" s="510">
        <f>'12'!G20</f>
        <v>245</v>
      </c>
      <c r="F16" s="510">
        <f>SUM('12'!G35,'12'!G49)</f>
        <v>3121.1600000000326</v>
      </c>
      <c r="G16" s="510">
        <f>SUM('12'!G37,'12'!G51)</f>
        <v>1491.679999999993</v>
      </c>
      <c r="H16" s="510">
        <f>SUM('12'!G38,'12'!G52)</f>
        <v>2491.8599999999951</v>
      </c>
      <c r="I16" s="510">
        <f>SUM('12'!G39,'12'!G53)</f>
        <v>2692.1700000000419</v>
      </c>
      <c r="J16" s="510">
        <f>SUM('12'!G41,'12'!G42,'12'!G55,'12'!G56)</f>
        <v>3166.2000000000698</v>
      </c>
      <c r="K16" s="510">
        <f>SUM('12'!G43,'12'!G57)</f>
        <v>2592.7600000000093</v>
      </c>
      <c r="L16" s="254">
        <f>'12'!G50</f>
        <v>1312.2799999999697</v>
      </c>
      <c r="M16" s="254">
        <f>'12'!G36</f>
        <v>775.72999999998137</v>
      </c>
      <c r="N16" s="254">
        <f>'12'!G138</f>
        <v>131</v>
      </c>
      <c r="O16" s="254">
        <f>'12'!$G$139</f>
        <v>29.699999999953434</v>
      </c>
      <c r="P16" s="254">
        <f>'12'!$G$140</f>
        <v>30.069999999999709</v>
      </c>
      <c r="Q16" s="254">
        <f>'12'!$G$141</f>
        <v>194</v>
      </c>
      <c r="R16" s="254">
        <f>'12'!$G$142</f>
        <v>95.160000000003492</v>
      </c>
      <c r="S16" s="254">
        <f>'12'!$G$145</f>
        <v>11.900000000023283</v>
      </c>
      <c r="T16" s="251">
        <f>'12'!$G$146</f>
        <v>44</v>
      </c>
      <c r="U16" s="251">
        <f>'12'!$G$144</f>
        <v>246</v>
      </c>
      <c r="V16" s="251">
        <f>'12'!$G$147</f>
        <v>294.23999999999069</v>
      </c>
      <c r="W16" s="251">
        <f>'12'!$G$148</f>
        <v>389.8399999999674</v>
      </c>
      <c r="X16" s="251">
        <f>'12'!$G$143</f>
        <v>32.188000000000102</v>
      </c>
      <c r="Y16" s="251">
        <f>'12'!$G$58</f>
        <v>257.64080000000831</v>
      </c>
      <c r="Z16" s="251">
        <f>'12'!$G$151</f>
        <v>319</v>
      </c>
      <c r="AA16" s="251">
        <f>'12'!G161</f>
        <v>156.0800000000163</v>
      </c>
      <c r="AB16" s="251">
        <f>'12'!G162</f>
        <v>33</v>
      </c>
      <c r="AC16" s="251">
        <f>'12'!G88</f>
        <v>4.1399999999994179</v>
      </c>
      <c r="AD16" s="251">
        <f>'12'!G163+'12'!G164</f>
        <v>6</v>
      </c>
      <c r="AE16" s="254">
        <f>'12'!$G$116</f>
        <v>282.54000000000815</v>
      </c>
      <c r="AF16" s="254">
        <f>'12'!$G$117</f>
        <v>334.16799999999057</v>
      </c>
      <c r="AG16" s="254">
        <f>'12'!$G$118</f>
        <v>665.85000000000582</v>
      </c>
      <c r="AH16" s="254">
        <f>'12'!$G$119</f>
        <v>37.889999999999418</v>
      </c>
      <c r="AI16" s="254">
        <f>'12'!$G$120</f>
        <v>384.57000000000698</v>
      </c>
      <c r="AJ16" s="254">
        <f>'12'!$G$121</f>
        <v>465.61000000000058</v>
      </c>
      <c r="AK16" s="254">
        <f>'12'!$G$122</f>
        <v>324.5</v>
      </c>
      <c r="AL16" s="254">
        <f>'12'!$G$123</f>
        <v>314.79320000000007</v>
      </c>
      <c r="AM16" s="254">
        <f>'12'!$G$133</f>
        <v>-0.16999999998370185</v>
      </c>
      <c r="AN16" s="254">
        <f>'12'!$G$15</f>
        <v>1163.5219999998808</v>
      </c>
      <c r="AO16" s="256">
        <f>'12'!$G$74</f>
        <v>297.90000000002328</v>
      </c>
      <c r="AP16" s="256">
        <f>'12'!$G$75</f>
        <v>0.19999999999708962</v>
      </c>
      <c r="AQ16" s="256">
        <f>'12'!$G$76</f>
        <v>116.79999999998836</v>
      </c>
      <c r="AR16" s="256">
        <f>'12'!$G$77</f>
        <v>56</v>
      </c>
      <c r="AS16" s="256">
        <f>'12'!$G$78</f>
        <v>0</v>
      </c>
      <c r="AT16" s="256">
        <f t="shared" si="0"/>
        <v>692.62199999987206</v>
      </c>
      <c r="AU16" s="254">
        <f>SUM('12'!G91:G92)</f>
        <v>11.199999999999818</v>
      </c>
      <c r="AV16" s="254">
        <f>'12'!$G$88</f>
        <v>4.1399999999994179</v>
      </c>
      <c r="AW16" s="254">
        <f>'12'!$G$89</f>
        <v>10.44999999999709</v>
      </c>
      <c r="AX16" s="254">
        <f>'12'!$G$90</f>
        <v>6.9700000000011642</v>
      </c>
      <c r="AY16" s="252">
        <f t="shared" si="1"/>
        <v>21.559999999997672</v>
      </c>
      <c r="AZ16" s="311">
        <f t="shared" si="6"/>
        <v>26.598214285716796</v>
      </c>
      <c r="BA16" s="311">
        <f t="shared" si="3"/>
        <v>32.125324675322211</v>
      </c>
      <c r="BB16" s="351">
        <f t="shared" si="4"/>
        <v>5622.5291999998499</v>
      </c>
      <c r="BC16" s="351">
        <f t="shared" si="5"/>
        <v>26.827258165868901</v>
      </c>
    </row>
    <row r="17" spans="1:55">
      <c r="A17" s="359">
        <v>13</v>
      </c>
      <c r="B17" s="510">
        <f>'13'!G7</f>
        <v>21444.73000000001</v>
      </c>
      <c r="C17" s="510">
        <f>'13'!G8</f>
        <v>22115</v>
      </c>
      <c r="D17" s="510">
        <f>'13'!G15</f>
        <v>1140.0200000000186</v>
      </c>
      <c r="E17" s="510">
        <f>'13'!G20</f>
        <v>223</v>
      </c>
      <c r="F17" s="510">
        <f>SUM('13'!G35,'13'!G49)</f>
        <v>3212.5</v>
      </c>
      <c r="G17" s="510">
        <f>SUM('13'!G37,'13'!G51)</f>
        <v>1405.25</v>
      </c>
      <c r="H17" s="510">
        <f>SUM('13'!G38,'13'!G52)</f>
        <v>2482.0899999999674</v>
      </c>
      <c r="I17" s="510">
        <f>SUM('13'!G39,'13'!G53)</f>
        <v>2910.0699999999488</v>
      </c>
      <c r="J17" s="510">
        <f>SUM('13'!G41,'13'!G42,'13'!G55,'13'!G56)</f>
        <v>2810.3799999999464</v>
      </c>
      <c r="K17" s="510">
        <f>SUM('13'!G43,'13'!G57)</f>
        <v>2631.4499999999534</v>
      </c>
      <c r="L17" s="254">
        <f>'13'!G50</f>
        <v>1542.210000000021</v>
      </c>
      <c r="M17" s="254">
        <f>'13'!G36</f>
        <v>821</v>
      </c>
      <c r="N17" s="254">
        <f>'13'!G138</f>
        <v>80</v>
      </c>
      <c r="O17" s="254">
        <f>'13'!$G$139</f>
        <v>17</v>
      </c>
      <c r="P17" s="254">
        <f>'13'!$G$140</f>
        <v>29</v>
      </c>
      <c r="Q17" s="254">
        <f>'13'!$G$141</f>
        <v>115</v>
      </c>
      <c r="R17" s="254">
        <f>'13'!$G$142</f>
        <v>87.55000000000291</v>
      </c>
      <c r="S17" s="254">
        <f>'13'!$G$145</f>
        <v>13</v>
      </c>
      <c r="T17" s="251">
        <f>'13'!$G$146</f>
        <v>51</v>
      </c>
      <c r="U17" s="251">
        <f>'13'!$G$144</f>
        <v>243</v>
      </c>
      <c r="V17" s="251">
        <f>'13'!$G$147</f>
        <v>493.76000000000931</v>
      </c>
      <c r="W17" s="251">
        <f>'13'!$G$148</f>
        <v>271.28000000002794</v>
      </c>
      <c r="X17" s="251">
        <f>'13'!$G$143</f>
        <v>26.559999999999491</v>
      </c>
      <c r="Y17" s="251">
        <f>'13'!$G$58</f>
        <v>241.08019999999669</v>
      </c>
      <c r="Z17" s="251">
        <f>'13'!$G$151</f>
        <v>301</v>
      </c>
      <c r="AA17" s="251">
        <f>'13'!G161</f>
        <v>161.40000000002328</v>
      </c>
      <c r="AB17" s="251">
        <f>'13'!G162</f>
        <v>37</v>
      </c>
      <c r="AC17" s="251">
        <f>'13'!G88</f>
        <v>4.4599999999991269</v>
      </c>
      <c r="AD17" s="251">
        <f>'13'!G163+'13'!G164</f>
        <v>13.300000000000182</v>
      </c>
      <c r="AE17" s="254">
        <f>'13'!$G$116</f>
        <v>512.29999999998836</v>
      </c>
      <c r="AF17" s="254">
        <f>'13'!$G$117</f>
        <v>298.80100000000675</v>
      </c>
      <c r="AG17" s="254">
        <f>'13'!$G$118</f>
        <v>280</v>
      </c>
      <c r="AH17" s="254">
        <f>'13'!$G$119</f>
        <v>36</v>
      </c>
      <c r="AI17" s="254">
        <f>'13'!$G$120</f>
        <v>381</v>
      </c>
      <c r="AJ17" s="254">
        <f>'13'!$G$121</f>
        <v>444</v>
      </c>
      <c r="AK17" s="254">
        <f>'13'!$G$122</f>
        <v>329</v>
      </c>
      <c r="AL17" s="254">
        <f>'13'!$G$123</f>
        <v>157.37679999999818</v>
      </c>
      <c r="AM17" s="254">
        <f>'13'!$G$133</f>
        <v>0.16999999998370185</v>
      </c>
      <c r="AN17" s="254">
        <f>'13'!$G$15</f>
        <v>1140.0200000000186</v>
      </c>
      <c r="AO17" s="256">
        <f>'13'!$G$74</f>
        <v>298</v>
      </c>
      <c r="AP17" s="256">
        <f>'13'!$G$75</f>
        <v>-0.39999999999417923</v>
      </c>
      <c r="AQ17" s="256">
        <f>'13'!$G$76</f>
        <v>102</v>
      </c>
      <c r="AR17" s="256">
        <f>'13'!$G$77</f>
        <v>54</v>
      </c>
      <c r="AS17" s="256">
        <f>'13'!$G$78</f>
        <v>0</v>
      </c>
      <c r="AT17" s="256">
        <f t="shared" si="0"/>
        <v>686.42000000001281</v>
      </c>
      <c r="AU17" s="254">
        <f>SUM('13'!G91:G92)</f>
        <v>11.6899999999996</v>
      </c>
      <c r="AV17" s="254">
        <f>'13'!$G$88</f>
        <v>4.4599999999991269</v>
      </c>
      <c r="AW17" s="254">
        <f>'13'!$G$89</f>
        <v>10.330000000001746</v>
      </c>
      <c r="AX17" s="254">
        <f>'13'!$G$90</f>
        <v>6.6699999999982538</v>
      </c>
      <c r="AY17" s="252">
        <f t="shared" si="1"/>
        <v>21.459999999999127</v>
      </c>
      <c r="AZ17" s="311">
        <f t="shared" si="6"/>
        <v>25.491873396065884</v>
      </c>
      <c r="BA17" s="311">
        <f t="shared" si="3"/>
        <v>31.986020503263781</v>
      </c>
      <c r="BB17" s="351">
        <f t="shared" si="4"/>
        <v>6422.1798000001872</v>
      </c>
      <c r="BC17" s="351">
        <f t="shared" si="5"/>
        <v>29.947589920694661</v>
      </c>
    </row>
    <row r="18" spans="1:55">
      <c r="A18" s="359">
        <v>14</v>
      </c>
      <c r="B18" s="510">
        <f>'14'!G7</f>
        <v>20218</v>
      </c>
      <c r="C18" s="510">
        <f>'14'!G8</f>
        <v>20896</v>
      </c>
      <c r="D18" s="510">
        <f>'14'!G15</f>
        <v>1190</v>
      </c>
      <c r="E18" s="510">
        <f>'14'!G20</f>
        <v>289</v>
      </c>
      <c r="F18" s="510">
        <f>SUM('14'!G35,'14'!G49)</f>
        <v>3265.7799999999697</v>
      </c>
      <c r="G18" s="510">
        <f>SUM('14'!G37,'14'!G51)</f>
        <v>1401.9099999999744</v>
      </c>
      <c r="H18" s="510">
        <f>SUM('14'!G38,'14'!G52)</f>
        <v>2392.9899999999907</v>
      </c>
      <c r="I18" s="510">
        <f>SUM('14'!G39,'14'!G53)</f>
        <v>2750.2199999999721</v>
      </c>
      <c r="J18" s="510">
        <f>SUM('14'!G41,'14'!G42,'14'!G55,'14'!G56)</f>
        <v>2290.109999999986</v>
      </c>
      <c r="K18" s="510">
        <f>SUM('14'!G43,'14'!G57)</f>
        <v>2644.9899999999907</v>
      </c>
      <c r="L18" s="254">
        <f>'14'!G50</f>
        <v>1284.789999999979</v>
      </c>
      <c r="M18" s="254">
        <f>'14'!G36</f>
        <v>786.78999999997905</v>
      </c>
      <c r="N18" s="254">
        <f>'14'!G138</f>
        <v>84</v>
      </c>
      <c r="O18" s="254">
        <f>'14'!$G$139</f>
        <v>138</v>
      </c>
      <c r="P18" s="254">
        <f>'14'!$G$140</f>
        <v>28.970000000000255</v>
      </c>
      <c r="Q18" s="254">
        <f>'14'!$G$141</f>
        <v>311</v>
      </c>
      <c r="R18" s="254">
        <f>'14'!$G$142</f>
        <v>80.439999999995052</v>
      </c>
      <c r="S18" s="254">
        <f>'14'!$G$145</f>
        <v>9</v>
      </c>
      <c r="T18" s="251">
        <f>'14'!$G$146</f>
        <v>54</v>
      </c>
      <c r="U18" s="251">
        <f>'14'!$G$144</f>
        <v>238</v>
      </c>
      <c r="V18" s="251">
        <f>'14'!$G$147</f>
        <v>353.23999999999069</v>
      </c>
      <c r="W18" s="251">
        <f>'14'!$G$148</f>
        <v>280.79999999993015</v>
      </c>
      <c r="X18" s="251">
        <f>'14'!$G$143</f>
        <v>29</v>
      </c>
      <c r="Y18" s="251">
        <f>'14'!$G$58</f>
        <v>260.47000000000116</v>
      </c>
      <c r="Z18" s="251">
        <f>'14'!$G$151</f>
        <v>322</v>
      </c>
      <c r="AA18" s="251">
        <f>'14'!G161</f>
        <v>88.35999999998603</v>
      </c>
      <c r="AB18" s="251">
        <f>'14'!G162</f>
        <v>18</v>
      </c>
      <c r="AC18" s="251">
        <f>'14'!G88</f>
        <v>4</v>
      </c>
      <c r="AD18" s="251">
        <f>'14'!G163+'14'!G164</f>
        <v>2.6999999999998181</v>
      </c>
      <c r="AE18" s="254">
        <f>'14'!$G$116</f>
        <v>474</v>
      </c>
      <c r="AF18" s="254">
        <f>'14'!$G$117</f>
        <v>305.32000000000698</v>
      </c>
      <c r="AG18" s="254">
        <f>'14'!$G$118</f>
        <v>974</v>
      </c>
      <c r="AH18" s="254">
        <f>'14'!$G$119</f>
        <v>37</v>
      </c>
      <c r="AI18" s="254">
        <f>'14'!$G$120</f>
        <v>420</v>
      </c>
      <c r="AJ18" s="254">
        <f>'14'!$G$121</f>
        <v>434</v>
      </c>
      <c r="AK18" s="254">
        <f>'14'!$G$122</f>
        <v>330</v>
      </c>
      <c r="AL18" s="254">
        <f>'14'!$G$123</f>
        <v>130</v>
      </c>
      <c r="AM18" s="254">
        <f>'14'!$G$133</f>
        <v>0</v>
      </c>
      <c r="AN18" s="254">
        <f>'14'!$G$15</f>
        <v>1190</v>
      </c>
      <c r="AO18" s="256">
        <f>'14'!$G$74</f>
        <v>291</v>
      </c>
      <c r="AP18" s="256">
        <f>'14'!$G$75</f>
        <v>0</v>
      </c>
      <c r="AQ18" s="256">
        <f>'14'!$G$76</f>
        <v>112</v>
      </c>
      <c r="AR18" s="256">
        <f>'14'!$G$77</f>
        <v>54</v>
      </c>
      <c r="AS18" s="256">
        <f>'14'!$G$78</f>
        <v>0</v>
      </c>
      <c r="AT18" s="256">
        <f t="shared" si="0"/>
        <v>733</v>
      </c>
      <c r="AU18" s="254">
        <f>SUM('14'!G91:G92)</f>
        <v>11.660000000000764</v>
      </c>
      <c r="AV18" s="254">
        <f>'14'!$G$88</f>
        <v>4</v>
      </c>
      <c r="AW18" s="254">
        <f>'14'!$G$89</f>
        <v>10</v>
      </c>
      <c r="AX18" s="254">
        <f>'14'!$G$90</f>
        <v>8</v>
      </c>
      <c r="AY18" s="252">
        <f t="shared" si="1"/>
        <v>22</v>
      </c>
      <c r="AZ18" s="311">
        <f t="shared" si="6"/>
        <v>24.957118353343134</v>
      </c>
      <c r="BA18" s="311">
        <f t="shared" si="3"/>
        <v>33.31818181818182</v>
      </c>
      <c r="BB18" s="351">
        <f t="shared" si="4"/>
        <v>5889.5300000001153</v>
      </c>
      <c r="BC18" s="351">
        <f t="shared" si="5"/>
        <v>29.130131565931919</v>
      </c>
    </row>
    <row r="19" spans="1:55">
      <c r="A19" s="359">
        <v>15</v>
      </c>
      <c r="B19" s="510">
        <f>'15'!G7</f>
        <v>20261</v>
      </c>
      <c r="C19" s="510">
        <f>'15'!G8</f>
        <v>20628.799999999988</v>
      </c>
      <c r="D19" s="510">
        <f>'15'!G15</f>
        <v>1011</v>
      </c>
      <c r="E19" s="510">
        <f>'15'!G20</f>
        <v>355</v>
      </c>
      <c r="F19" s="510">
        <f>SUM('15'!G35,'15'!G49)</f>
        <v>3735.8900000000722</v>
      </c>
      <c r="G19" s="510">
        <f>SUM('15'!G37,'15'!G51)</f>
        <v>1412.640000000014</v>
      </c>
      <c r="H19" s="510">
        <f>SUM('15'!G38,'15'!G52)</f>
        <v>2492.6400000000049</v>
      </c>
      <c r="I19" s="510">
        <f>SUM('15'!G39,'15'!G53)</f>
        <v>2641.6800000000512</v>
      </c>
      <c r="J19" s="510">
        <f>SUM('15'!G41,'15'!G42,'15'!G55,'15'!G56)</f>
        <v>2576.7100000000792</v>
      </c>
      <c r="K19" s="510">
        <f>SUM('15'!G43,'15'!G57)</f>
        <v>2621.3200000000652</v>
      </c>
      <c r="L19" s="254">
        <f>'15'!G50</f>
        <v>1243.7200000000303</v>
      </c>
      <c r="M19" s="254">
        <f>'15'!G36</f>
        <v>693.60000000003492</v>
      </c>
      <c r="N19" s="254">
        <f>'15'!G138</f>
        <v>107</v>
      </c>
      <c r="O19" s="254">
        <f>'15'!$G$139</f>
        <v>141</v>
      </c>
      <c r="P19" s="254">
        <f>'15'!$G$140</f>
        <v>28.64469999999983</v>
      </c>
      <c r="Q19" s="254">
        <f>'15'!$G$141</f>
        <v>350</v>
      </c>
      <c r="R19" s="254">
        <f>'15'!$G$142</f>
        <v>83.010000000002037</v>
      </c>
      <c r="S19" s="254">
        <f>'15'!$G$145</f>
        <v>392</v>
      </c>
      <c r="T19" s="251">
        <f>'15'!$G$146</f>
        <v>31</v>
      </c>
      <c r="U19" s="251">
        <f>'15'!$G$144</f>
        <v>223</v>
      </c>
      <c r="V19" s="251">
        <f>'15'!$G$147</f>
        <v>316.68000000005122</v>
      </c>
      <c r="W19" s="251">
        <f>'15'!$G$148</f>
        <v>277.84000000008382</v>
      </c>
      <c r="X19" s="251">
        <f>'15'!$G$143</f>
        <v>30.510000000000218</v>
      </c>
      <c r="Y19" s="251">
        <f>'15'!$G$58</f>
        <v>259.88899999999558</v>
      </c>
      <c r="Z19" s="251">
        <f>'15'!$G$151</f>
        <v>265</v>
      </c>
      <c r="AA19" s="251">
        <f>'15'!G161</f>
        <v>55.760000000009313</v>
      </c>
      <c r="AB19" s="251">
        <f>'15'!G162</f>
        <v>14</v>
      </c>
      <c r="AC19" s="251">
        <f>'15'!G88</f>
        <v>6.3899999999994179</v>
      </c>
      <c r="AD19" s="251">
        <f>'15'!G163+'15'!G164</f>
        <v>1.8000000000001819</v>
      </c>
      <c r="AE19" s="254">
        <f>'15'!$G$116</f>
        <v>463.05999999999767</v>
      </c>
      <c r="AF19" s="254">
        <f>'15'!$G$117</f>
        <v>317.30299999999988</v>
      </c>
      <c r="AG19" s="254">
        <f>'15'!$G$118</f>
        <v>548.86999999999534</v>
      </c>
      <c r="AH19" s="254">
        <f>'15'!$G$119</f>
        <v>36</v>
      </c>
      <c r="AI19" s="254">
        <f>'15'!$G$120</f>
        <v>355</v>
      </c>
      <c r="AJ19" s="254">
        <f>'15'!$G$121</f>
        <v>400</v>
      </c>
      <c r="AK19" s="254">
        <f>'15'!$G$122</f>
        <v>301.85000000000582</v>
      </c>
      <c r="AL19" s="254">
        <f>'15'!$G$123</f>
        <v>638.17500000000291</v>
      </c>
      <c r="AM19" s="254">
        <f>'15'!$G$133</f>
        <v>0</v>
      </c>
      <c r="AN19" s="254">
        <f>'15'!$G$15</f>
        <v>1011</v>
      </c>
      <c r="AO19" s="256">
        <f>'15'!$G$74</f>
        <v>113</v>
      </c>
      <c r="AP19" s="256">
        <f>'15'!$G$75</f>
        <v>0.19999999999708962</v>
      </c>
      <c r="AQ19" s="256">
        <f>'15'!$G$76</f>
        <v>93</v>
      </c>
      <c r="AR19" s="256">
        <f>'15'!$G$77</f>
        <v>40</v>
      </c>
      <c r="AS19" s="256">
        <f>'15'!$G$78</f>
        <v>0</v>
      </c>
      <c r="AT19" s="256">
        <f t="shared" si="0"/>
        <v>764.80000000000291</v>
      </c>
      <c r="AU19" s="254">
        <f>SUM('15'!G91:G92)</f>
        <v>10.909999999999854</v>
      </c>
      <c r="AV19" s="254">
        <f>'15'!$G$88</f>
        <v>6.3899999999994179</v>
      </c>
      <c r="AW19" s="254">
        <f>'15'!$G$89</f>
        <v>7</v>
      </c>
      <c r="AX19" s="254">
        <f>'15'!$G$90</f>
        <v>9.4100000000034925</v>
      </c>
      <c r="AY19" s="252">
        <f t="shared" si="1"/>
        <v>22.80000000000291</v>
      </c>
      <c r="AZ19" s="311">
        <f t="shared" si="6"/>
        <v>10.357470210815903</v>
      </c>
      <c r="BA19" s="311">
        <f t="shared" si="3"/>
        <v>33.543859649118652</v>
      </c>
      <c r="BB19" s="351">
        <f t="shared" si="4"/>
        <v>4888.0309999997062</v>
      </c>
      <c r="BC19" s="351">
        <f t="shared" si="5"/>
        <v>24.125319579486234</v>
      </c>
    </row>
    <row r="20" spans="1:55">
      <c r="A20" s="359">
        <v>16</v>
      </c>
      <c r="B20" s="510">
        <f>'16'!G7</f>
        <v>21141</v>
      </c>
      <c r="C20" s="510">
        <f>'16'!G8</f>
        <v>21502.200000000012</v>
      </c>
      <c r="D20" s="510">
        <f>'16'!G15</f>
        <v>1059</v>
      </c>
      <c r="E20" s="510">
        <f>'16'!G20</f>
        <v>272</v>
      </c>
      <c r="F20" s="510">
        <f>SUM('16'!G35,'16'!G49)</f>
        <v>2441.3299999999581</v>
      </c>
      <c r="G20" s="510">
        <f>SUM('16'!G37,'16'!G51)</f>
        <v>1520.4500000000116</v>
      </c>
      <c r="H20" s="510">
        <f>SUM('16'!G38,'16'!G52)</f>
        <v>2503.1300000000047</v>
      </c>
      <c r="I20" s="510">
        <f>SUM('16'!G39,'16'!G53)</f>
        <v>2793.0999999999767</v>
      </c>
      <c r="J20" s="510">
        <f>SUM('16'!G41,'16'!G42,'16'!G55,'16'!G56)</f>
        <v>2955.1799999999348</v>
      </c>
      <c r="K20" s="510">
        <f>SUM('16'!G43,'16'!G57)</f>
        <v>2697.6899999999441</v>
      </c>
      <c r="L20" s="254">
        <f>'16'!G50</f>
        <v>1176.4899999999907</v>
      </c>
      <c r="M20" s="254">
        <f>'16'!G36</f>
        <v>698.60999999998603</v>
      </c>
      <c r="N20" s="254">
        <f>'16'!G138</f>
        <v>150</v>
      </c>
      <c r="O20" s="254">
        <f>'16'!$G$139</f>
        <v>144</v>
      </c>
      <c r="P20" s="254">
        <f>'16'!$G$140</f>
        <v>28.385299999999916</v>
      </c>
      <c r="Q20" s="254">
        <f>'16'!$G$141</f>
        <v>74</v>
      </c>
      <c r="R20" s="254">
        <f>'16'!$G$142</f>
        <v>86</v>
      </c>
      <c r="S20" s="254">
        <f>'16'!$G$145</f>
        <v>207</v>
      </c>
      <c r="T20" s="251">
        <f>'16'!$G$146</f>
        <v>31</v>
      </c>
      <c r="U20" s="251">
        <f>'16'!$G$144</f>
        <v>244</v>
      </c>
      <c r="V20" s="251">
        <f>'16'!$G$147</f>
        <v>377.31999999994878</v>
      </c>
      <c r="W20" s="251">
        <f>'16'!$G$148</f>
        <v>288.07999999995809</v>
      </c>
      <c r="X20" s="251">
        <f>'16'!$G$143</f>
        <v>28.489999999999782</v>
      </c>
      <c r="Y20" s="251">
        <f>'16'!$G$58</f>
        <v>256.64100000000326</v>
      </c>
      <c r="Z20" s="251">
        <f>'16'!$G$151</f>
        <v>339</v>
      </c>
      <c r="AA20" s="251">
        <f>'16'!G161</f>
        <v>130.47999999998137</v>
      </c>
      <c r="AB20" s="251">
        <f>'16'!G162</f>
        <v>64</v>
      </c>
      <c r="AC20" s="251">
        <f>'16'!G88</f>
        <v>7.6100000000005821</v>
      </c>
      <c r="AD20" s="251">
        <f>'16'!G163+'16'!G164</f>
        <v>4.1999999999998181</v>
      </c>
      <c r="AE20" s="254">
        <f>'16'!$G$116</f>
        <v>460.94000000000233</v>
      </c>
      <c r="AF20" s="254">
        <f>'16'!$G$117</f>
        <v>308.37699999999313</v>
      </c>
      <c r="AG20" s="254">
        <f>'16'!$G$118</f>
        <v>631.13000000000466</v>
      </c>
      <c r="AH20" s="254">
        <f>'16'!$G$119</f>
        <v>35</v>
      </c>
      <c r="AI20" s="254">
        <f>'16'!$G$120</f>
        <v>404</v>
      </c>
      <c r="AJ20" s="254">
        <f>'16'!$G$121</f>
        <v>425</v>
      </c>
      <c r="AK20" s="254">
        <f>'16'!$G$122</f>
        <v>313.14999999999418</v>
      </c>
      <c r="AL20" s="254">
        <f>'16'!$G$123</f>
        <v>295.82499999999709</v>
      </c>
      <c r="AM20" s="254">
        <f>'16'!$G$133</f>
        <v>-0.16999999998370185</v>
      </c>
      <c r="AN20" s="254">
        <f>'16'!$G$15</f>
        <v>1059</v>
      </c>
      <c r="AO20" s="256">
        <f>'16'!$G$74</f>
        <v>356</v>
      </c>
      <c r="AP20" s="256">
        <f>'16'!$G$75</f>
        <v>0</v>
      </c>
      <c r="AQ20" s="256">
        <f>'16'!$G$76</f>
        <v>101</v>
      </c>
      <c r="AR20" s="256">
        <f>'16'!$G$77</f>
        <v>48</v>
      </c>
      <c r="AS20" s="256">
        <f>'16'!$G$78</f>
        <v>0</v>
      </c>
      <c r="AT20" s="256">
        <f t="shared" si="0"/>
        <v>554</v>
      </c>
      <c r="AU20" s="254">
        <f>SUM('16'!G91:G92)</f>
        <v>12.739999999999782</v>
      </c>
      <c r="AV20" s="254">
        <f>'16'!$G$88</f>
        <v>7.6100000000005821</v>
      </c>
      <c r="AW20" s="254">
        <f>'16'!$G$89</f>
        <v>1</v>
      </c>
      <c r="AX20" s="254">
        <f>'16'!$G$90</f>
        <v>9.5899999999965075</v>
      </c>
      <c r="AY20" s="252">
        <f t="shared" si="1"/>
        <v>18.19999999999709</v>
      </c>
      <c r="AZ20" s="311">
        <f t="shared" si="6"/>
        <v>27.943485086342708</v>
      </c>
      <c r="BA20" s="311">
        <f t="shared" si="3"/>
        <v>30.439560439565309</v>
      </c>
      <c r="BB20" s="351">
        <f t="shared" si="4"/>
        <v>6334.6790000001783</v>
      </c>
      <c r="BC20" s="351">
        <f t="shared" si="5"/>
        <v>29.963951563313838</v>
      </c>
    </row>
    <row r="21" spans="1:55">
      <c r="A21" s="359">
        <v>17</v>
      </c>
      <c r="B21" s="510">
        <f>'17'!G7</f>
        <v>19508</v>
      </c>
      <c r="C21" s="510">
        <f>'17'!G8</f>
        <v>20053</v>
      </c>
      <c r="D21" s="510">
        <f>'17'!G15</f>
        <v>922</v>
      </c>
      <c r="E21" s="510">
        <f>'17'!G20</f>
        <v>205</v>
      </c>
      <c r="F21" s="510">
        <f>SUM('17'!G35,'17'!G49)</f>
        <v>2993</v>
      </c>
      <c r="G21" s="510">
        <f>SUM('17'!G37,'17'!G51)</f>
        <v>1424</v>
      </c>
      <c r="H21" s="510">
        <f>SUM('17'!G38,'17'!G52)</f>
        <v>2431</v>
      </c>
      <c r="I21" s="510">
        <f>SUM('17'!G39,'17'!G53)</f>
        <v>2759</v>
      </c>
      <c r="J21" s="510">
        <f>SUM('17'!G41,'17'!G42,'17'!G55,'17'!G56)</f>
        <v>2147.3699999999953</v>
      </c>
      <c r="K21" s="510">
        <f>SUM('17'!G43,'17'!G57)</f>
        <v>2642</v>
      </c>
      <c r="L21" s="254">
        <f>'17'!G50</f>
        <v>1107</v>
      </c>
      <c r="M21" s="254">
        <f>'17'!G36</f>
        <v>734</v>
      </c>
      <c r="N21" s="254">
        <f>'18 '!G138</f>
        <v>111</v>
      </c>
      <c r="O21" s="254">
        <f>'17'!$G$139</f>
        <v>159</v>
      </c>
      <c r="P21" s="254">
        <f>'17'!$G$140</f>
        <v>29</v>
      </c>
      <c r="Q21" s="254">
        <f>'17'!$G$141</f>
        <v>225</v>
      </c>
      <c r="R21" s="254">
        <f>'17'!$G$142</f>
        <v>87</v>
      </c>
      <c r="S21" s="254">
        <f>'17'!$G$145</f>
        <v>170</v>
      </c>
      <c r="T21" s="251">
        <f>'17'!$G$146</f>
        <v>26</v>
      </c>
      <c r="U21" s="251">
        <f>'17'!$G$144</f>
        <v>254</v>
      </c>
      <c r="V21" s="251">
        <f>'17'!$G$147</f>
        <v>335</v>
      </c>
      <c r="W21" s="251">
        <f>'17'!$G$148</f>
        <v>264</v>
      </c>
      <c r="X21" s="251">
        <f>'17'!$G$143</f>
        <v>25</v>
      </c>
      <c r="Y21" s="251">
        <f>'17'!$G$58</f>
        <v>266</v>
      </c>
      <c r="Z21" s="251">
        <f>'17'!$G$151</f>
        <v>283</v>
      </c>
      <c r="AA21" s="251">
        <f>'17'!G161</f>
        <v>159</v>
      </c>
      <c r="AB21" s="251">
        <f>'17'!G162</f>
        <v>32</v>
      </c>
      <c r="AC21" s="251">
        <f>'17'!G88</f>
        <v>10</v>
      </c>
      <c r="AD21" s="251">
        <f>'17'!G163+'17'!G164</f>
        <v>10</v>
      </c>
      <c r="AE21" s="254">
        <f>'17'!$G$116</f>
        <v>546</v>
      </c>
      <c r="AF21" s="254">
        <f>'17'!$G$117</f>
        <v>227</v>
      </c>
      <c r="AG21" s="254">
        <f>'17'!$G$118</f>
        <v>633</v>
      </c>
      <c r="AH21" s="254">
        <f>'17'!$G$119</f>
        <v>32</v>
      </c>
      <c r="AI21" s="254">
        <f>'17'!$G$120</f>
        <v>384</v>
      </c>
      <c r="AJ21" s="254">
        <f>'17'!$G$121</f>
        <v>426</v>
      </c>
      <c r="AK21" s="254">
        <f>'17'!$G$122</f>
        <v>305</v>
      </c>
      <c r="AL21" s="254">
        <f>'17'!$G$123</f>
        <v>299</v>
      </c>
      <c r="AM21" s="254">
        <f>'17'!$G$133</f>
        <v>0</v>
      </c>
      <c r="AN21" s="254">
        <f>'17'!$G$15</f>
        <v>922</v>
      </c>
      <c r="AO21" s="256">
        <f>'17'!$G$74</f>
        <v>300</v>
      </c>
      <c r="AP21" s="256">
        <f>'17'!$G$75</f>
        <v>0</v>
      </c>
      <c r="AQ21" s="256">
        <f>'17'!$G$76</f>
        <v>82</v>
      </c>
      <c r="AR21" s="256">
        <f>'17'!$G$77</f>
        <v>51</v>
      </c>
      <c r="AS21" s="256">
        <f>'17'!$G$78</f>
        <v>0</v>
      </c>
      <c r="AT21" s="256">
        <f t="shared" si="0"/>
        <v>489</v>
      </c>
      <c r="AU21" s="254">
        <f>SUM('17'!G91:G92)</f>
        <v>11</v>
      </c>
      <c r="AV21" s="254">
        <f>'17'!$G$88</f>
        <v>10</v>
      </c>
      <c r="AW21" s="254">
        <f>'17'!$G$89</f>
        <v>2</v>
      </c>
      <c r="AX21" s="254">
        <f>'17'!$G$90</f>
        <v>4</v>
      </c>
      <c r="AY21" s="252">
        <f t="shared" si="1"/>
        <v>16</v>
      </c>
      <c r="AZ21" s="311">
        <f t="shared" si="6"/>
        <v>27.272727272727273</v>
      </c>
      <c r="BA21" s="311">
        <f t="shared" si="3"/>
        <v>30.5625</v>
      </c>
      <c r="BB21" s="351">
        <f t="shared" si="4"/>
        <v>5390.6300000000047</v>
      </c>
      <c r="BC21" s="351">
        <f t="shared" si="5"/>
        <v>27.63291982776299</v>
      </c>
    </row>
    <row r="22" spans="1:55">
      <c r="A22" s="359">
        <v>18</v>
      </c>
      <c r="B22" s="510">
        <f>'18 '!G7</f>
        <v>20015</v>
      </c>
      <c r="C22" s="510">
        <f>'18 '!G8</f>
        <v>20452</v>
      </c>
      <c r="D22" s="510">
        <f>'18 '!G15</f>
        <v>1106</v>
      </c>
      <c r="E22" s="510">
        <f>'18 '!G20</f>
        <v>284</v>
      </c>
      <c r="F22" s="510">
        <f>SUM('18 '!G35,'18 '!G49)</f>
        <v>2991</v>
      </c>
      <c r="G22" s="510">
        <f>SUM('18 '!G37,'18 '!G51)</f>
        <v>1400</v>
      </c>
      <c r="H22" s="510">
        <f>SUM('18 '!G38,'18 '!G52)</f>
        <v>2550</v>
      </c>
      <c r="I22" s="510">
        <f>SUM('18 '!G39,'18 '!G53)</f>
        <v>2725</v>
      </c>
      <c r="J22" s="510">
        <f>SUM('18 '!G41,'18 '!G42,'18 '!G55,'18 '!G56)</f>
        <v>2492</v>
      </c>
      <c r="K22" s="510">
        <f>SUM('18 '!G43,'18 '!G57)</f>
        <v>2635</v>
      </c>
      <c r="L22" s="254">
        <f>'18 '!G50</f>
        <v>1107</v>
      </c>
      <c r="M22" s="254">
        <f>'18 '!G36</f>
        <v>686</v>
      </c>
      <c r="N22" s="254">
        <f>'18 '!G138</f>
        <v>111</v>
      </c>
      <c r="O22" s="254">
        <f>'18 '!$G$139</f>
        <v>147</v>
      </c>
      <c r="P22" s="254">
        <f>'18 '!$G$140</f>
        <v>28</v>
      </c>
      <c r="Q22" s="254">
        <f>'18 '!$G$141</f>
        <v>245</v>
      </c>
      <c r="R22" s="254">
        <f>'18 '!$G$142</f>
        <v>80</v>
      </c>
      <c r="S22" s="254">
        <f>'18 '!$G$145</f>
        <v>35</v>
      </c>
      <c r="T22" s="251">
        <f>'18 '!$G$146</f>
        <v>35</v>
      </c>
      <c r="U22" s="251">
        <f>'18 '!$G$144</f>
        <v>248</v>
      </c>
      <c r="V22" s="256">
        <f>'18 '!$G$147</f>
        <v>363</v>
      </c>
      <c r="W22" s="256">
        <f>'18 '!$G$148</f>
        <v>305</v>
      </c>
      <c r="X22" s="256">
        <f>'18 '!$G$143</f>
        <v>30</v>
      </c>
      <c r="Y22" s="256">
        <f>'18 '!$G$58</f>
        <v>247</v>
      </c>
      <c r="Z22" s="256">
        <f>'18 '!$G$151</f>
        <v>300</v>
      </c>
      <c r="AA22" s="256">
        <f>'18 '!G161</f>
        <v>141</v>
      </c>
      <c r="AB22" s="251">
        <f>'18 '!G162</f>
        <v>42</v>
      </c>
      <c r="AC22" s="251">
        <f>'18 '!G88</f>
        <v>8</v>
      </c>
      <c r="AD22" s="251">
        <f>'18 '!G163+'18 '!G164</f>
        <v>11</v>
      </c>
      <c r="AE22" s="254">
        <f>'18 '!$G$116</f>
        <v>467</v>
      </c>
      <c r="AF22" s="254">
        <f>'18 '!$G$117</f>
        <v>235</v>
      </c>
      <c r="AG22" s="254">
        <f>'18 '!$G$118</f>
        <v>610</v>
      </c>
      <c r="AH22" s="254">
        <f>'18 '!$G$119</f>
        <v>37</v>
      </c>
      <c r="AI22" s="254">
        <f>'18 '!$G$120</f>
        <v>379</v>
      </c>
      <c r="AJ22" s="254">
        <f>'18 '!$G$121</f>
        <v>449</v>
      </c>
      <c r="AK22" s="254">
        <f>'18 '!$G$122</f>
        <v>289</v>
      </c>
      <c r="AL22" s="254">
        <f>'18 '!$G$123</f>
        <v>307</v>
      </c>
      <c r="AM22" s="254">
        <f>'18 '!$G$133</f>
        <v>0</v>
      </c>
      <c r="AN22" s="254">
        <f>'18 '!$G$15</f>
        <v>1106</v>
      </c>
      <c r="AO22" s="256">
        <f>'18 '!$G$74</f>
        <v>283</v>
      </c>
      <c r="AP22" s="256">
        <f>'18 '!$G$75</f>
        <v>0</v>
      </c>
      <c r="AQ22" s="256">
        <f>'18 '!$G$76</f>
        <v>117</v>
      </c>
      <c r="AR22" s="256">
        <f>'18 '!$G$77</f>
        <v>53</v>
      </c>
      <c r="AS22" s="256">
        <f>'18 '!$G$78</f>
        <v>0</v>
      </c>
      <c r="AT22" s="256">
        <f t="shared" si="0"/>
        <v>653</v>
      </c>
      <c r="AU22" s="254">
        <f>SUM('18 '!G91:G92)</f>
        <v>10</v>
      </c>
      <c r="AV22" s="254">
        <f>'18 '!$G$88</f>
        <v>8</v>
      </c>
      <c r="AW22" s="254">
        <f>'18 '!$G$89</f>
        <v>10.490000000001601</v>
      </c>
      <c r="AX22" s="254">
        <f>'18 '!$G$90</f>
        <v>0</v>
      </c>
      <c r="AY22" s="252">
        <f t="shared" si="1"/>
        <v>18.490000000001601</v>
      </c>
      <c r="AZ22" s="311">
        <f t="shared" si="6"/>
        <v>28.3</v>
      </c>
      <c r="BA22" s="311">
        <f t="shared" si="3"/>
        <v>35.316387236340915</v>
      </c>
      <c r="BB22" s="351">
        <f t="shared" si="4"/>
        <v>5412</v>
      </c>
      <c r="BC22" s="351">
        <f t="shared" si="5"/>
        <v>27.039720209842617</v>
      </c>
    </row>
    <row r="23" spans="1:55" s="313" customFormat="1">
      <c r="A23" s="359">
        <v>19</v>
      </c>
      <c r="B23" s="510">
        <f>'19'!G7</f>
        <v>21220</v>
      </c>
      <c r="C23" s="510">
        <f>'19'!G8</f>
        <v>21656</v>
      </c>
      <c r="D23" s="510">
        <f>'19'!G15</f>
        <v>1171.7999999998137</v>
      </c>
      <c r="E23" s="510">
        <f>'19'!G20</f>
        <v>231</v>
      </c>
      <c r="F23" s="510">
        <f>SUM('19'!G35,'19'!G49)</f>
        <v>2808.4599999999627</v>
      </c>
      <c r="G23" s="510">
        <f>SUM('19'!G37,'19'!G51)</f>
        <v>1485.0100000000093</v>
      </c>
      <c r="H23" s="510">
        <f>SUM('19'!G38,'19'!G52)</f>
        <v>2582.6700000000419</v>
      </c>
      <c r="I23" s="510">
        <f>SUM('19'!G39,'19'!G53)</f>
        <v>2754.6600000000326</v>
      </c>
      <c r="J23" s="510">
        <f>SUM('19'!G41,'19'!G42,'19'!G55,'19'!G56)</f>
        <v>2703.4400000000605</v>
      </c>
      <c r="K23" s="510">
        <f>SUM('19'!G43,'19'!G57)</f>
        <v>2584</v>
      </c>
      <c r="L23" s="251">
        <f>'19'!G50</f>
        <v>1693.8000000000466</v>
      </c>
      <c r="M23" s="251">
        <f>'19'!G36</f>
        <v>993.19000000000233</v>
      </c>
      <c r="N23" s="251">
        <f>'19'!G138</f>
        <v>112</v>
      </c>
      <c r="O23" s="251">
        <f>'19'!$G$139</f>
        <v>145</v>
      </c>
      <c r="P23" s="251">
        <f>'19'!$G$140</f>
        <v>23.369999999999891</v>
      </c>
      <c r="Q23" s="251">
        <f>'19'!$G$141</f>
        <v>247.80000000000291</v>
      </c>
      <c r="R23" s="254">
        <f>'19'!G142</f>
        <v>87.19999999999709</v>
      </c>
      <c r="S23" s="251">
        <f>'19'!$G$145</f>
        <v>389</v>
      </c>
      <c r="T23" s="251">
        <f>'19'!$G$146</f>
        <v>45</v>
      </c>
      <c r="U23" s="251">
        <f>'19'!$G$144</f>
        <v>269</v>
      </c>
      <c r="V23" s="251">
        <f>'19'!$G$147</f>
        <v>371.64000000001397</v>
      </c>
      <c r="W23" s="251">
        <f>'19'!$G$148</f>
        <v>343.95999999996275</v>
      </c>
      <c r="X23" s="251">
        <f>'19'!$G$143</f>
        <v>35.459999999999127</v>
      </c>
      <c r="Y23" s="251">
        <f>'19'!$G$58</f>
        <v>265.27999999999884</v>
      </c>
      <c r="Z23" s="251">
        <f>'19'!$G$151</f>
        <v>297</v>
      </c>
      <c r="AA23" s="251">
        <f>'19'!G161</f>
        <v>137</v>
      </c>
      <c r="AB23" s="251">
        <f>'19'!G162</f>
        <v>43</v>
      </c>
      <c r="AC23" s="251">
        <f>'19'!G88</f>
        <v>8.1399999999994179</v>
      </c>
      <c r="AD23" s="251">
        <f>'19'!G163+'19'!G164</f>
        <v>4</v>
      </c>
      <c r="AE23" s="251">
        <f>'19'!$G$116</f>
        <v>453.67000000001281</v>
      </c>
      <c r="AF23" s="251">
        <f>'19'!$G$117</f>
        <v>224.89999999999418</v>
      </c>
      <c r="AG23" s="251">
        <f>'19'!$G$118</f>
        <v>614.25</v>
      </c>
      <c r="AH23" s="251">
        <f>'19'!$G$119</f>
        <v>48</v>
      </c>
      <c r="AI23" s="251">
        <f>'19'!$G$120</f>
        <v>386</v>
      </c>
      <c r="AJ23" s="251">
        <f>'19'!$G$121</f>
        <v>441</v>
      </c>
      <c r="AK23" s="251">
        <f>'19'!$G$122</f>
        <v>306.88000000000466</v>
      </c>
      <c r="AL23" s="251">
        <f>'19'!$G$123</f>
        <v>299.16000000000349</v>
      </c>
      <c r="AM23" s="251">
        <f>'19'!$G$133</f>
        <v>0</v>
      </c>
      <c r="AN23" s="251">
        <f>'19'!$G$15</f>
        <v>1171.7999999998137</v>
      </c>
      <c r="AO23" s="256">
        <f>'19'!$G$74</f>
        <v>335</v>
      </c>
      <c r="AP23" s="256">
        <f>'19'!$G$75</f>
        <v>0</v>
      </c>
      <c r="AQ23" s="256">
        <f>'19'!$G$76</f>
        <v>102.5</v>
      </c>
      <c r="AR23" s="256">
        <f>'19'!$G$77</f>
        <v>52</v>
      </c>
      <c r="AS23" s="256">
        <f>'19'!$G$78</f>
        <v>0</v>
      </c>
      <c r="AT23" s="256">
        <f t="shared" si="0"/>
        <v>682.29999999981374</v>
      </c>
      <c r="AU23" s="251">
        <f>SUM('19'!G91:G92)</f>
        <v>12.470000000000255</v>
      </c>
      <c r="AV23" s="251">
        <f>'19'!$G$88</f>
        <v>8.1399999999994179</v>
      </c>
      <c r="AW23" s="251">
        <f>'19'!$G$89</f>
        <v>9.8899999999994179</v>
      </c>
      <c r="AX23" s="251">
        <f>'19'!$G$90</f>
        <v>-0.19000000000232831</v>
      </c>
      <c r="AY23" s="255">
        <f t="shared" si="1"/>
        <v>17.839999999996508</v>
      </c>
      <c r="AZ23" s="311">
        <f t="shared" si="6"/>
        <v>26.86447473937395</v>
      </c>
      <c r="BA23" s="311">
        <f t="shared" si="3"/>
        <v>38.245515695064313</v>
      </c>
      <c r="BB23" s="351">
        <f t="shared" si="4"/>
        <v>6472.4799999998941</v>
      </c>
      <c r="BC23" s="351">
        <f t="shared" si="5"/>
        <v>30.501790763430229</v>
      </c>
    </row>
    <row r="24" spans="1:55">
      <c r="A24" s="359">
        <v>20</v>
      </c>
      <c r="B24" s="510">
        <f>'20'!G7</f>
        <v>21027</v>
      </c>
      <c r="C24" s="510">
        <f>'20'!G8</f>
        <v>21411</v>
      </c>
      <c r="D24" s="510">
        <f>'20'!G15</f>
        <v>1194.2000000001863</v>
      </c>
      <c r="E24" s="510">
        <f>'20'!G20</f>
        <v>276</v>
      </c>
      <c r="F24" s="510">
        <f>SUM('20'!G35,'20'!G49)</f>
        <v>2786.5400000000373</v>
      </c>
      <c r="G24" s="510">
        <f>SUM('20'!G37,'20'!G51)</f>
        <v>1459.9899999999907</v>
      </c>
      <c r="H24" s="510">
        <f>SUM('20'!G38,'20'!G52)</f>
        <v>2619.3299999999581</v>
      </c>
      <c r="I24" s="510">
        <f>SUM('20'!G39,'20'!G53)</f>
        <v>2766.3399999999674</v>
      </c>
      <c r="J24" s="510">
        <f>SUM('20'!G41,'20'!G42,'20'!G55,'20'!G56)</f>
        <v>2725.1899999999441</v>
      </c>
      <c r="K24" s="510">
        <f>SUM('20'!G43,'20'!G57)</f>
        <v>2679</v>
      </c>
      <c r="L24" s="254">
        <f>'20'!G50</f>
        <v>1490.1999999999534</v>
      </c>
      <c r="M24" s="254">
        <f>'20'!G36</f>
        <v>853.80999999999767</v>
      </c>
      <c r="N24" s="254">
        <f>'20'!G138</f>
        <v>109</v>
      </c>
      <c r="O24" s="254">
        <f>'20'!$G$139</f>
        <v>207</v>
      </c>
      <c r="P24" s="254">
        <f>'20'!$G$140</f>
        <v>16.630000000000109</v>
      </c>
      <c r="Q24" s="254">
        <f>'20'!$G$141</f>
        <v>248.19999999999709</v>
      </c>
      <c r="R24" s="254">
        <f>'20'!$G$142</f>
        <v>74.80000000000291</v>
      </c>
      <c r="S24" s="254">
        <f>'20'!$G$145</f>
        <v>192</v>
      </c>
      <c r="T24" s="251">
        <f>'20'!$G$146</f>
        <v>49</v>
      </c>
      <c r="U24" s="251">
        <f>'20'!$G$144</f>
        <v>228</v>
      </c>
      <c r="V24" s="251">
        <f>'20'!$G$147</f>
        <v>376.35999999998603</v>
      </c>
      <c r="W24" s="251">
        <f>'20'!$G$148</f>
        <v>353.04000000003725</v>
      </c>
      <c r="X24" s="251">
        <f>'20'!$G$143</f>
        <v>36.540000000000873</v>
      </c>
      <c r="Y24" s="251">
        <f>'20'!$G$58</f>
        <v>259.72000000000116</v>
      </c>
      <c r="Z24" s="251">
        <f>'20'!$G$151</f>
        <v>278</v>
      </c>
      <c r="AA24" s="251">
        <f>'20'!G161</f>
        <v>139</v>
      </c>
      <c r="AB24" s="251">
        <f>'20'!G162</f>
        <v>46</v>
      </c>
      <c r="AC24" s="251">
        <f>'20'!G88</f>
        <v>7.8600000000005821</v>
      </c>
      <c r="AD24" s="251">
        <f>'20'!G163+'20'!G164</f>
        <v>5</v>
      </c>
      <c r="AE24" s="254">
        <f>'20'!$G$116</f>
        <v>479.32999999998719</v>
      </c>
      <c r="AF24" s="254">
        <f>'20'!$G$117</f>
        <v>210.10000000000582</v>
      </c>
      <c r="AG24" s="254">
        <f>'20'!$G$118</f>
        <v>600.75</v>
      </c>
      <c r="AH24" s="254">
        <f>'20'!$G$119</f>
        <v>54</v>
      </c>
      <c r="AI24" s="254">
        <f>'20'!$G$120</f>
        <v>376</v>
      </c>
      <c r="AJ24" s="254">
        <f>'20'!$G$121</f>
        <v>458</v>
      </c>
      <c r="AK24" s="254">
        <f>'20'!$G$122</f>
        <v>336.11999999999534</v>
      </c>
      <c r="AL24" s="254">
        <f>'20'!$G$123</f>
        <v>308.83999999999651</v>
      </c>
      <c r="AM24" s="254">
        <f>'20'!$G$133</f>
        <v>0</v>
      </c>
      <c r="AN24" s="254">
        <f>'20'!$G$15</f>
        <v>1194.2000000001863</v>
      </c>
      <c r="AO24" s="256">
        <f>'20'!$G$74</f>
        <v>329</v>
      </c>
      <c r="AP24" s="256">
        <f>'20'!$G$75</f>
        <v>0</v>
      </c>
      <c r="AQ24" s="256">
        <f>'20'!$G$76</f>
        <v>108.5</v>
      </c>
      <c r="AR24" s="256">
        <f>'20'!$G$77</f>
        <v>59</v>
      </c>
      <c r="AS24" s="256">
        <f>'20'!$G$78</f>
        <v>0</v>
      </c>
      <c r="AT24" s="256">
        <f t="shared" si="0"/>
        <v>697.70000000018626</v>
      </c>
      <c r="AU24" s="254">
        <f>SUM('20'!G91:G92)</f>
        <v>11.529999999999745</v>
      </c>
      <c r="AV24" s="254">
        <f>'20'!$G$88</f>
        <v>7.8600000000005821</v>
      </c>
      <c r="AW24" s="254">
        <f>'20'!$G$89</f>
        <v>11.619999999998981</v>
      </c>
      <c r="AX24" s="254">
        <f>'20'!$G$90</f>
        <v>0.19000000000232831</v>
      </c>
      <c r="AY24" s="252">
        <f t="shared" si="1"/>
        <v>19.670000000001892</v>
      </c>
      <c r="AZ24" s="311">
        <f t="shared" si="6"/>
        <v>28.534258456201844</v>
      </c>
      <c r="BA24" s="311">
        <f t="shared" si="3"/>
        <v>35.470259278094517</v>
      </c>
      <c r="BB24" s="351">
        <f t="shared" si="4"/>
        <v>6114.8900000001013</v>
      </c>
      <c r="BC24" s="351">
        <f t="shared" si="5"/>
        <v>29.081133780378089</v>
      </c>
    </row>
    <row r="25" spans="1:55">
      <c r="A25" s="359">
        <v>21</v>
      </c>
      <c r="B25" s="510">
        <f>'21'!G7</f>
        <v>20435</v>
      </c>
      <c r="C25" s="510">
        <f>'21'!G8</f>
        <v>20821</v>
      </c>
      <c r="D25" s="510">
        <f>'21'!G15</f>
        <v>1220</v>
      </c>
      <c r="E25" s="510">
        <f>'21'!G20</f>
        <v>261</v>
      </c>
      <c r="F25" s="510">
        <f>SUM('21'!G35,'21'!G49)</f>
        <v>2795</v>
      </c>
      <c r="G25" s="510">
        <f>SUM('21'!G37,'21'!G51)</f>
        <v>1407</v>
      </c>
      <c r="H25" s="510">
        <f>SUM('21'!G38,'21'!G52)</f>
        <v>2664</v>
      </c>
      <c r="I25" s="510">
        <f>SUM('21'!G39,'21'!G53)</f>
        <v>2740</v>
      </c>
      <c r="J25" s="510">
        <f>SUM('21'!G41,'21'!G42,'21'!G55,'21'!G56)</f>
        <v>2544.859999999986</v>
      </c>
      <c r="K25" s="510">
        <f>SUM('21'!G43,'21'!G57)</f>
        <v>2637</v>
      </c>
      <c r="L25" s="254">
        <f>'21'!G50</f>
        <v>1159</v>
      </c>
      <c r="M25" s="254">
        <f>'21'!G36</f>
        <v>944</v>
      </c>
      <c r="N25" s="254">
        <f>'21'!G138</f>
        <v>131</v>
      </c>
      <c r="O25" s="254">
        <f>'21'!$G$139</f>
        <v>151</v>
      </c>
      <c r="P25" s="254">
        <f>'21'!$G$140</f>
        <v>17</v>
      </c>
      <c r="Q25" s="254">
        <f>'21'!$G$141</f>
        <v>238</v>
      </c>
      <c r="R25" s="254">
        <f>'21'!$G$142</f>
        <v>73</v>
      </c>
      <c r="S25" s="254">
        <f>'21'!$G$145</f>
        <v>178</v>
      </c>
      <c r="T25" s="251">
        <f>'21'!$G$146</f>
        <v>40</v>
      </c>
      <c r="U25" s="251">
        <f>'21'!$G$144</f>
        <v>263</v>
      </c>
      <c r="V25" s="251">
        <f>'21'!$G$147</f>
        <v>398</v>
      </c>
      <c r="W25" s="251">
        <f>'21'!$G$148</f>
        <v>376</v>
      </c>
      <c r="X25" s="251">
        <f>'21'!$G$143</f>
        <v>34</v>
      </c>
      <c r="Y25" s="251">
        <f>'21'!$G$58</f>
        <v>268</v>
      </c>
      <c r="Z25" s="251">
        <f>'21'!$G$151</f>
        <v>346</v>
      </c>
      <c r="AA25" s="251">
        <f>'21'!G161</f>
        <v>104</v>
      </c>
      <c r="AB25" s="251">
        <f>'21'!G162</f>
        <v>42</v>
      </c>
      <c r="AC25" s="251">
        <f>'21'!G88</f>
        <v>6</v>
      </c>
      <c r="AD25" s="251">
        <f>'21'!G163+'21'!G164</f>
        <v>4</v>
      </c>
      <c r="AE25" s="254">
        <f>'21'!$G$116</f>
        <v>460</v>
      </c>
      <c r="AF25" s="254">
        <f>'21'!$G$117</f>
        <v>225</v>
      </c>
      <c r="AG25" s="254">
        <f>'21'!$G$118</f>
        <v>596</v>
      </c>
      <c r="AH25" s="254">
        <f>'21'!$G$119</f>
        <v>49</v>
      </c>
      <c r="AI25" s="254">
        <f>'21'!$G$120</f>
        <v>408</v>
      </c>
      <c r="AJ25" s="254">
        <f>'21'!$G$121</f>
        <v>451</v>
      </c>
      <c r="AK25" s="254">
        <f>'21'!$G$122</f>
        <v>343</v>
      </c>
      <c r="AL25" s="254">
        <f>'21'!$G$123</f>
        <v>302</v>
      </c>
      <c r="AM25" s="254">
        <f>'21'!$G$133</f>
        <v>0</v>
      </c>
      <c r="AN25" s="254">
        <f>'21'!$G$15</f>
        <v>1220</v>
      </c>
      <c r="AO25" s="256">
        <f>'21'!$G$74</f>
        <v>324</v>
      </c>
      <c r="AP25" s="256">
        <f>'21'!$G$75</f>
        <v>0</v>
      </c>
      <c r="AQ25" s="256">
        <f>'21'!$G$76</f>
        <v>102</v>
      </c>
      <c r="AR25" s="256">
        <f>'21'!$G$77</f>
        <v>65</v>
      </c>
      <c r="AS25" s="256">
        <f>'21'!$G$78</f>
        <v>0</v>
      </c>
      <c r="AT25" s="256">
        <f t="shared" si="0"/>
        <v>729</v>
      </c>
      <c r="AU25" s="254">
        <f>SUM('21'!G91:G92)</f>
        <v>12</v>
      </c>
      <c r="AV25" s="254">
        <f>'21'!$G$88</f>
        <v>6</v>
      </c>
      <c r="AW25" s="254">
        <f>'21'!$G$89</f>
        <v>9.5999999999985448</v>
      </c>
      <c r="AX25" s="254">
        <f>'21'!$G$90</f>
        <v>8</v>
      </c>
      <c r="AY25" s="252">
        <f t="shared" si="1"/>
        <v>23.599999999998545</v>
      </c>
      <c r="AZ25" s="311">
        <f t="shared" si="6"/>
        <v>27</v>
      </c>
      <c r="BA25" s="311">
        <f t="shared" si="3"/>
        <v>30.889830508476482</v>
      </c>
      <c r="BB25" s="351">
        <f t="shared" si="4"/>
        <v>5765.140000000014</v>
      </c>
      <c r="BC25" s="351">
        <f t="shared" si="5"/>
        <v>28.212087105456394</v>
      </c>
    </row>
    <row r="26" spans="1:55">
      <c r="A26" s="359">
        <v>22</v>
      </c>
      <c r="B26" s="510">
        <f>'22'!G7</f>
        <v>19181</v>
      </c>
      <c r="C26" s="510">
        <f>'22'!G8</f>
        <v>19708</v>
      </c>
      <c r="D26" s="510">
        <f>'22'!G15</f>
        <v>1281</v>
      </c>
      <c r="E26" s="510">
        <f>'22'!G20</f>
        <v>275</v>
      </c>
      <c r="F26" s="510">
        <f>SUM('22'!G35,'22'!G49)</f>
        <v>2756</v>
      </c>
      <c r="G26" s="510">
        <f>SUM('22'!G37,'22'!G51)</f>
        <v>1477</v>
      </c>
      <c r="H26" s="510">
        <f>SUM('22'!G38,'22'!G52)</f>
        <v>2557</v>
      </c>
      <c r="I26" s="510">
        <f>SUM('22'!G39,'22'!G53)</f>
        <v>2680</v>
      </c>
      <c r="J26" s="510">
        <f>SUM('22'!G41,'22'!G42,'22'!G55,'22'!G56)</f>
        <v>2007</v>
      </c>
      <c r="K26" s="510">
        <f>SUM('22'!G43,'22'!G57)</f>
        <v>2638</v>
      </c>
      <c r="L26" s="254">
        <f>'22'!G50</f>
        <v>1059</v>
      </c>
      <c r="M26" s="254">
        <f>'22'!G36</f>
        <v>921</v>
      </c>
      <c r="N26" s="254">
        <f>'22'!G138</f>
        <v>80</v>
      </c>
      <c r="O26" s="254">
        <f>'22'!$G$139</f>
        <v>146</v>
      </c>
      <c r="P26" s="254">
        <f>'22'!$G$140</f>
        <v>27</v>
      </c>
      <c r="Q26" s="254">
        <f>'22'!$G$141</f>
        <v>244</v>
      </c>
      <c r="R26" s="254">
        <f>'22'!$G$142</f>
        <v>74</v>
      </c>
      <c r="S26" s="254">
        <f>'22'!$G$145</f>
        <v>173</v>
      </c>
      <c r="T26" s="251">
        <f>'22'!$G$146</f>
        <v>24</v>
      </c>
      <c r="U26" s="251">
        <f>'22'!$G$144</f>
        <v>250</v>
      </c>
      <c r="V26" s="251">
        <f>'22'!$G$147</f>
        <v>353</v>
      </c>
      <c r="W26" s="251">
        <f>'22'!$G$148</f>
        <v>393</v>
      </c>
      <c r="X26" s="251">
        <f>'22'!$G$143</f>
        <v>37</v>
      </c>
      <c r="Y26" s="251">
        <f>'22'!$G$58</f>
        <v>265</v>
      </c>
      <c r="Z26" s="251">
        <f>'22'!$G$151</f>
        <v>314</v>
      </c>
      <c r="AA26" s="251">
        <f>'22'!G161</f>
        <v>57</v>
      </c>
      <c r="AB26" s="251">
        <f>'22'!G162</f>
        <v>19</v>
      </c>
      <c r="AC26" s="251">
        <f>'22'!G88</f>
        <v>4</v>
      </c>
      <c r="AD26" s="251">
        <f>'22'!G163+'22'!G164</f>
        <v>0</v>
      </c>
      <c r="AE26" s="254">
        <f>'22'!$G$116</f>
        <v>445</v>
      </c>
      <c r="AF26" s="254">
        <f>'22'!$G$117</f>
        <v>218</v>
      </c>
      <c r="AG26" s="254">
        <f>'22'!$G$118</f>
        <v>624</v>
      </c>
      <c r="AH26" s="254">
        <f>'22'!$G$119</f>
        <v>44</v>
      </c>
      <c r="AI26" s="254">
        <f>'22'!$G$120</f>
        <v>389</v>
      </c>
      <c r="AJ26" s="254">
        <f>'22'!$G$121</f>
        <v>404</v>
      </c>
      <c r="AK26" s="254">
        <f>'22'!$G$122</f>
        <v>266</v>
      </c>
      <c r="AL26" s="254">
        <f>'22'!$G$123</f>
        <v>308</v>
      </c>
      <c r="AM26" s="254">
        <f>'22'!$G$133</f>
        <v>0</v>
      </c>
      <c r="AN26" s="254">
        <f>'22'!$G$15</f>
        <v>1281</v>
      </c>
      <c r="AO26" s="256">
        <f>'22'!$G$74</f>
        <v>336</v>
      </c>
      <c r="AP26" s="256">
        <f>'22'!$G$75</f>
        <v>0</v>
      </c>
      <c r="AQ26" s="256">
        <f>'22'!$G$76</f>
        <v>114</v>
      </c>
      <c r="AR26" s="256">
        <f>'22'!$G$77</f>
        <v>64</v>
      </c>
      <c r="AS26" s="256">
        <f>'22'!$G$78</f>
        <v>0</v>
      </c>
      <c r="AT26" s="256">
        <f t="shared" si="0"/>
        <v>767</v>
      </c>
      <c r="AU26" s="254">
        <f>SUM('22'!G91:G92)</f>
        <v>12</v>
      </c>
      <c r="AV26" s="254">
        <f>'22'!$G$88</f>
        <v>4</v>
      </c>
      <c r="AW26" s="254">
        <f>'22'!$G$89</f>
        <v>10.400000000001455</v>
      </c>
      <c r="AX26" s="254">
        <f>'22'!$G$90</f>
        <v>10</v>
      </c>
      <c r="AY26" s="252">
        <f t="shared" si="1"/>
        <v>24.400000000001455</v>
      </c>
      <c r="AZ26" s="311">
        <f t="shared" si="6"/>
        <v>28</v>
      </c>
      <c r="BA26" s="311">
        <f t="shared" si="3"/>
        <v>31.434426229506322</v>
      </c>
      <c r="BB26" s="351">
        <f t="shared" si="4"/>
        <v>5328</v>
      </c>
      <c r="BC26" s="351">
        <f t="shared" si="5"/>
        <v>27.77748813930452</v>
      </c>
    </row>
    <row r="27" spans="1:55">
      <c r="A27" s="359">
        <v>23</v>
      </c>
      <c r="B27" s="510">
        <f>'23'!G7</f>
        <v>19773.799999999988</v>
      </c>
      <c r="C27" s="510">
        <f>'23'!G8</f>
        <v>20249</v>
      </c>
      <c r="D27" s="510">
        <f>'23'!G15</f>
        <v>1201</v>
      </c>
      <c r="E27" s="510">
        <f>'23'!G20</f>
        <v>275</v>
      </c>
      <c r="F27" s="510">
        <f>SUM('23'!G35,'23'!G49)</f>
        <v>2681.5799999999581</v>
      </c>
      <c r="G27" s="510">
        <f>SUM('23'!G37,'23'!G51)</f>
        <v>1518.4699999999721</v>
      </c>
      <c r="H27" s="510">
        <f>SUM('23'!G38,'23'!G52)</f>
        <v>2587.9100000000326</v>
      </c>
      <c r="I27" s="510">
        <f>SUM('23'!G39,'23'!G53)</f>
        <v>2702.6700000000419</v>
      </c>
      <c r="J27" s="510">
        <f>SUM('23'!G41,'23'!G42,'23'!G55,'23'!G56)</f>
        <v>2704.9099999999744</v>
      </c>
      <c r="K27" s="510">
        <f>SUM('23'!G43,'23'!G57)</f>
        <v>2429.0300000000279</v>
      </c>
      <c r="L27" s="254">
        <f>'23'!G50</f>
        <v>1081.109999999986</v>
      </c>
      <c r="M27" s="254">
        <f>'23'!G36</f>
        <v>1190.5100000000093</v>
      </c>
      <c r="N27" s="254">
        <f>'23'!G138</f>
        <v>112</v>
      </c>
      <c r="O27" s="254">
        <f>'23'!G139</f>
        <v>165</v>
      </c>
      <c r="P27" s="254">
        <f>'23'!$G$140</f>
        <v>27.720000000000255</v>
      </c>
      <c r="Q27" s="254">
        <f>'23'!$G$141</f>
        <v>171.89999999999418</v>
      </c>
      <c r="R27" s="254">
        <f>'23'!$G$142</f>
        <v>72</v>
      </c>
      <c r="S27" s="254">
        <f>'23'!$G$145</f>
        <v>170</v>
      </c>
      <c r="T27" s="251">
        <f>'23'!$G$146</f>
        <v>23</v>
      </c>
      <c r="U27" s="251">
        <f>'23'!$G$144</f>
        <v>249</v>
      </c>
      <c r="V27" s="251">
        <f>'23'!$G$147</f>
        <v>357.11999999999534</v>
      </c>
      <c r="W27" s="251">
        <f>'23'!$G$148</f>
        <v>390.76000000000931</v>
      </c>
      <c r="X27" s="251">
        <f>'23'!$G$143</f>
        <v>21.229999999999563</v>
      </c>
      <c r="Y27" s="251">
        <f>'23'!$G$58</f>
        <v>270.19999999999709</v>
      </c>
      <c r="Z27" s="251">
        <f>'23'!$G$151</f>
        <v>300</v>
      </c>
      <c r="AA27" s="251">
        <f>'23'!$G$161</f>
        <v>107.70000000001164</v>
      </c>
      <c r="AB27" s="251">
        <f>'23'!G162</f>
        <v>31.200000000000045</v>
      </c>
      <c r="AC27" s="251">
        <f>'23'!G88</f>
        <v>4.3699999999989814</v>
      </c>
      <c r="AD27" s="251">
        <f>'23'!G163+'23'!G164</f>
        <v>4.5</v>
      </c>
      <c r="AE27" s="254">
        <f>'23'!$G$116</f>
        <v>445.79999999998836</v>
      </c>
      <c r="AF27" s="254">
        <f>'23'!$G$117</f>
        <v>210</v>
      </c>
      <c r="AG27" s="254">
        <f>'23'!$G$118</f>
        <v>606.54999999998836</v>
      </c>
      <c r="AH27" s="254">
        <f>'23'!$G$119</f>
        <v>49.30000000000291</v>
      </c>
      <c r="AI27" s="254">
        <f>'23'!$G$120</f>
        <v>380.5</v>
      </c>
      <c r="AJ27" s="254">
        <f>'23'!$G$121</f>
        <v>409</v>
      </c>
      <c r="AK27" s="254">
        <f>'23'!$G$122</f>
        <v>282.5</v>
      </c>
      <c r="AL27" s="254">
        <f>'23'!$G$123</f>
        <v>314.69999999999709</v>
      </c>
      <c r="AM27" s="254">
        <f>'23'!$G$133</f>
        <v>0.16999999998370185</v>
      </c>
      <c r="AN27" s="254">
        <f>'23'!$G$15</f>
        <v>1201</v>
      </c>
      <c r="AO27" s="256">
        <f>'23'!$G$74</f>
        <v>282.53399999999965</v>
      </c>
      <c r="AP27" s="256">
        <f>'23'!$G$75</f>
        <v>0</v>
      </c>
      <c r="AQ27" s="256">
        <f>'23'!$G$76</f>
        <v>110</v>
      </c>
      <c r="AR27" s="256">
        <f>'23'!$G$77</f>
        <v>62</v>
      </c>
      <c r="AS27" s="256">
        <f>'23'!$G$78</f>
        <v>0</v>
      </c>
      <c r="AT27" s="256">
        <f t="shared" si="0"/>
        <v>746.46600000000035</v>
      </c>
      <c r="AU27" s="254">
        <f>SUM('23'!G91:G92)</f>
        <v>10.340000000000146</v>
      </c>
      <c r="AV27" s="254">
        <f>'23'!$G$88</f>
        <v>4.3699999999989814</v>
      </c>
      <c r="AW27" s="254">
        <f>'23'!$G$89</f>
        <v>9.8699999999989814</v>
      </c>
      <c r="AX27" s="254">
        <f>'23'!$G$90</f>
        <v>9.3800000000046566</v>
      </c>
      <c r="AY27" s="252">
        <f t="shared" si="1"/>
        <v>23.620000000002619</v>
      </c>
      <c r="AZ27" s="311">
        <f t="shared" si="6"/>
        <v>27.324371373307127</v>
      </c>
      <c r="BA27" s="311">
        <f t="shared" si="3"/>
        <v>31.603132938184487</v>
      </c>
      <c r="BB27" s="351">
        <f t="shared" si="4"/>
        <v>5354.2299999999959</v>
      </c>
      <c r="BC27" s="351">
        <f t="shared" si="5"/>
        <v>27.077395341310215</v>
      </c>
    </row>
    <row r="28" spans="1:55" s="315" customFormat="1">
      <c r="A28" s="359">
        <v>24</v>
      </c>
      <c r="B28" s="510">
        <f>'24'!G7</f>
        <v>18979.270000000019</v>
      </c>
      <c r="C28" s="510">
        <f>'24'!G8</f>
        <v>19443.510000000009</v>
      </c>
      <c r="D28" s="510">
        <f>'24'!G15</f>
        <v>1139.910000000149</v>
      </c>
      <c r="E28" s="510">
        <f>'24'!G20</f>
        <v>298</v>
      </c>
      <c r="F28" s="510">
        <f>SUM('24'!G35,'24'!G49)</f>
        <v>2548.7200000000885</v>
      </c>
      <c r="G28" s="510">
        <f>SUM('24'!G37,'24'!G51)</f>
        <v>1513.7600000000093</v>
      </c>
      <c r="H28" s="510">
        <f>SUM('24'!G38,'24'!G52)</f>
        <v>4109.5899999999256</v>
      </c>
      <c r="I28" s="510">
        <f>SUM('24'!G39,'24'!G53)</f>
        <v>2635.5999999999767</v>
      </c>
      <c r="J28" s="510">
        <f>SUM('24'!G41,'24'!G42,'24'!G55,'24'!G56)</f>
        <v>2847.0200000000186</v>
      </c>
      <c r="K28" s="510">
        <f>SUM('24'!G43,'24'!G57)</f>
        <v>2368</v>
      </c>
      <c r="L28" s="254">
        <f>'24'!G50</f>
        <v>1059.2000000000698</v>
      </c>
      <c r="M28" s="251">
        <f>'24'!G36</f>
        <v>801.11999999999534</v>
      </c>
      <c r="N28" s="251">
        <f>'24'!G138</f>
        <v>103</v>
      </c>
      <c r="O28" s="251">
        <f>'24'!G139</f>
        <v>148</v>
      </c>
      <c r="P28" s="251">
        <f>'24'!$G$140</f>
        <v>22.710000000000036</v>
      </c>
      <c r="Q28" s="251">
        <f>'24'!$G$141</f>
        <v>292.56000000001222</v>
      </c>
      <c r="R28" s="251">
        <f>'24'!$G$142</f>
        <v>75.879999999997381</v>
      </c>
      <c r="S28" s="251">
        <f>'24'!$G$145</f>
        <v>172</v>
      </c>
      <c r="T28" s="251">
        <f>'24'!$G$146</f>
        <v>23</v>
      </c>
      <c r="U28" s="251">
        <f>'24'!$G$144</f>
        <v>256</v>
      </c>
      <c r="V28" s="251">
        <f>'24'!$G$147</f>
        <v>319.88000000000466</v>
      </c>
      <c r="W28" s="251">
        <f>'24'!$G$148</f>
        <v>293.23999999999069</v>
      </c>
      <c r="X28" s="251">
        <f>'24'!$G$143</f>
        <v>22.420000000000073</v>
      </c>
      <c r="Y28" s="251">
        <f>'24'!$G$58</f>
        <v>258.63000000000466</v>
      </c>
      <c r="Z28" s="251">
        <f>'24'!$G$151</f>
        <v>300</v>
      </c>
      <c r="AA28" s="251">
        <f>'24'!G161</f>
        <v>73.299999999988358</v>
      </c>
      <c r="AB28" s="251">
        <f>'24'!G162</f>
        <v>32</v>
      </c>
      <c r="AC28" s="251">
        <f>'24'!G88</f>
        <v>4.8700000000026193</v>
      </c>
      <c r="AD28" s="251">
        <f>'24'!G163+'24'!G164</f>
        <v>4.6999999999998181</v>
      </c>
      <c r="AE28" s="251">
        <f>'24'!$G$116</f>
        <v>284.14000000001397</v>
      </c>
      <c r="AF28" s="251">
        <f>'24'!$G$117</f>
        <v>267.63000000000466</v>
      </c>
      <c r="AG28" s="251">
        <f>'24'!$G$118</f>
        <v>617.94000000000233</v>
      </c>
      <c r="AH28" s="251">
        <f>'24'!$G$119</f>
        <v>49.219999999993888</v>
      </c>
      <c r="AI28" s="251">
        <f>'24'!$G$120</f>
        <v>381.88999999999942</v>
      </c>
      <c r="AJ28" s="251">
        <f>'24'!$G$121</f>
        <v>398.79000000000815</v>
      </c>
      <c r="AK28" s="251">
        <f>'24'!$G$122</f>
        <v>313.64999999999418</v>
      </c>
      <c r="AL28" s="251">
        <f>'24'!$G$123</f>
        <v>314.27000000000407</v>
      </c>
      <c r="AM28" s="251">
        <f>'24'!$G$133</f>
        <v>433</v>
      </c>
      <c r="AN28" s="251">
        <f>'24'!$G$15</f>
        <v>1139.910000000149</v>
      </c>
      <c r="AO28" s="256">
        <f>'24'!$G$74</f>
        <v>298.46600000000035</v>
      </c>
      <c r="AP28" s="256">
        <f>'24'!$G$75</f>
        <v>0</v>
      </c>
      <c r="AQ28" s="256">
        <f>'24'!$G$76</f>
        <v>110</v>
      </c>
      <c r="AR28" s="256">
        <f>'24'!$G$77</f>
        <v>41</v>
      </c>
      <c r="AS28" s="256">
        <f>'24'!$G$78</f>
        <v>0</v>
      </c>
      <c r="AT28" s="256">
        <f>AN28-SUM(AO28:AS28)</f>
        <v>690.44400000014866</v>
      </c>
      <c r="AU28" s="251">
        <f>SUM('24'!G91:G92)</f>
        <v>11.130000000000109</v>
      </c>
      <c r="AV28" s="251">
        <f>'24'!$G$88</f>
        <v>4.8700000000026193</v>
      </c>
      <c r="AW28" s="251">
        <f>'24'!$G$89</f>
        <v>10.900000000001455</v>
      </c>
      <c r="AX28" s="251">
        <f>'24'!$G$90</f>
        <v>6.1699999999982538</v>
      </c>
      <c r="AY28" s="255">
        <f t="shared" si="1"/>
        <v>21.940000000002328</v>
      </c>
      <c r="AZ28" s="311">
        <f t="shared" si="6"/>
        <v>26.816352201257629</v>
      </c>
      <c r="BA28" s="311">
        <f t="shared" si="3"/>
        <v>31.469644484962416</v>
      </c>
      <c r="BB28" s="351">
        <f t="shared" si="4"/>
        <v>3162.189999999986</v>
      </c>
      <c r="BC28" s="351">
        <f t="shared" si="5"/>
        <v>16.661283600475585</v>
      </c>
    </row>
    <row r="29" spans="1:55">
      <c r="A29" s="359">
        <v>25</v>
      </c>
      <c r="B29" s="510">
        <f>'25'!G7</f>
        <v>19232.039999999979</v>
      </c>
      <c r="C29" s="510">
        <f>'25'!G8</f>
        <v>19705.400000000023</v>
      </c>
      <c r="D29" s="510">
        <f>'25'!G15</f>
        <v>1187.8899999996647</v>
      </c>
      <c r="E29" s="510">
        <f>'25'!G20</f>
        <v>294</v>
      </c>
      <c r="F29" s="510">
        <f>SUM('25'!G35,'25'!G49)</f>
        <v>2553.6999999999534</v>
      </c>
      <c r="G29" s="510">
        <f>SUM('25'!G37,'25'!G51)</f>
        <v>1451.7700000000186</v>
      </c>
      <c r="H29" s="510">
        <f>SUM('25'!G38,'25'!G52)</f>
        <v>2635.7400000000416</v>
      </c>
      <c r="I29" s="510">
        <f>SUM('25'!G39,'25'!G53)</f>
        <v>2764.7299999999814</v>
      </c>
      <c r="J29" s="510">
        <f>SUM('25'!G41,'25'!G42,'25'!G55,'25'!G56)</f>
        <v>2821.4500000000116</v>
      </c>
      <c r="K29" s="510">
        <f>SUM('25'!G43,'25'!G57)</f>
        <v>2369.6699999999255</v>
      </c>
      <c r="L29" s="254">
        <f>'25'!G50</f>
        <v>1110.6899999999441</v>
      </c>
      <c r="M29" s="254">
        <f>'25'!G36</f>
        <v>905.36999999999534</v>
      </c>
      <c r="N29" s="254">
        <f>'25'!G138</f>
        <v>109</v>
      </c>
      <c r="O29" s="254">
        <f>'25'!$G$139</f>
        <v>162</v>
      </c>
      <c r="P29" s="254">
        <f>'25'!$G$140</f>
        <v>21.569999999999709</v>
      </c>
      <c r="Q29" s="254">
        <f>'25'!$G$141</f>
        <v>241.5399999999936</v>
      </c>
      <c r="R29" s="254">
        <f>'25'!$G$142</f>
        <v>78.120000000002619</v>
      </c>
      <c r="S29" s="254">
        <f>'25'!$G$145</f>
        <v>250</v>
      </c>
      <c r="T29" s="251">
        <f>'25'!$G$146</f>
        <v>43</v>
      </c>
      <c r="U29" s="251">
        <f>'25'!$G$144</f>
        <v>269</v>
      </c>
      <c r="V29" s="251">
        <f>'25'!$G$147</f>
        <v>364.80000000004657</v>
      </c>
      <c r="W29" s="251">
        <f>'25'!$G$148</f>
        <v>349</v>
      </c>
      <c r="X29" s="251">
        <f>'25'!$G$143</f>
        <v>22.350000000000364</v>
      </c>
      <c r="Y29" s="251">
        <f>'25'!$G$58</f>
        <v>253.16999999999825</v>
      </c>
      <c r="Z29" s="251">
        <f>'25'!$G$151</f>
        <v>312</v>
      </c>
      <c r="AA29" s="251">
        <f>'25'!G161</f>
        <v>81</v>
      </c>
      <c r="AB29" s="251">
        <f>'25'!G162</f>
        <v>37.299999999999955</v>
      </c>
      <c r="AC29" s="251">
        <f>'25'!G88</f>
        <v>8.4599999999991269</v>
      </c>
      <c r="AD29" s="251">
        <f>'25'!G163+'25'!G164</f>
        <v>4.6999999999998181</v>
      </c>
      <c r="AE29" s="254">
        <f>'25'!$G$116</f>
        <v>349.51000000000931</v>
      </c>
      <c r="AF29" s="254">
        <f>'25'!$G$117</f>
        <v>289.66999999999825</v>
      </c>
      <c r="AG29" s="254">
        <f>'25'!$G$118</f>
        <v>646.51000000000931</v>
      </c>
      <c r="AH29" s="254">
        <f>'25'!$G$119</f>
        <v>49.580000000001746</v>
      </c>
      <c r="AI29" s="254">
        <f>'25'!$G$120</f>
        <v>391.61000000000058</v>
      </c>
      <c r="AJ29" s="254">
        <f>'25'!$G$121</f>
        <v>414.80999999999767</v>
      </c>
      <c r="AK29" s="254">
        <f>'25'!$G$122</f>
        <v>321.95000000001164</v>
      </c>
      <c r="AL29" s="254">
        <f>'25'!$G$123</f>
        <v>318.13000000000466</v>
      </c>
      <c r="AM29" s="254">
        <f>'25'!$G$133</f>
        <v>489</v>
      </c>
      <c r="AN29" s="254">
        <f>'25'!$G$15</f>
        <v>1187.8899999996647</v>
      </c>
      <c r="AO29" s="256">
        <f>'25'!$G$74</f>
        <v>347.3799999999992</v>
      </c>
      <c r="AP29" s="256">
        <f>'25'!$G$75</f>
        <v>0</v>
      </c>
      <c r="AQ29" s="256">
        <f>'25'!$G$76</f>
        <v>120</v>
      </c>
      <c r="AR29" s="256">
        <f>'25'!$G$77</f>
        <v>55</v>
      </c>
      <c r="AS29" s="256">
        <f>'25'!$G$78</f>
        <v>0</v>
      </c>
      <c r="AT29" s="256">
        <f t="shared" si="0"/>
        <v>665.50999999966552</v>
      </c>
      <c r="AU29" s="254">
        <f>SUM('25'!G91:G92)</f>
        <v>12.309999999999491</v>
      </c>
      <c r="AV29" s="254">
        <f>'25'!$G$88</f>
        <v>8.4599999999991269</v>
      </c>
      <c r="AW29" s="254">
        <f>'25'!$G$89</f>
        <v>5.930000000000291</v>
      </c>
      <c r="AX29" s="254">
        <f>'25'!$G$90</f>
        <v>7.5500000000029104</v>
      </c>
      <c r="AY29" s="252">
        <f t="shared" si="1"/>
        <v>21.940000000002328</v>
      </c>
      <c r="BA29" s="311">
        <f t="shared" si="3"/>
        <v>30.333181403810158</v>
      </c>
      <c r="BB29" s="351">
        <f t="shared" si="4"/>
        <v>4855.1700000000928</v>
      </c>
      <c r="BC29" s="351">
        <f t="shared" si="5"/>
        <v>25.245215796140702</v>
      </c>
    </row>
    <row r="30" spans="1:55">
      <c r="A30" s="359">
        <v>26</v>
      </c>
      <c r="B30" s="510">
        <f>'26'!G7</f>
        <v>19301</v>
      </c>
      <c r="C30" s="510">
        <f>'26'!G8</f>
        <v>19770.319999999949</v>
      </c>
      <c r="D30" s="510">
        <f>'26'!G15</f>
        <v>1156.3700000001118</v>
      </c>
      <c r="E30" s="510">
        <f>'26'!G20</f>
        <v>311</v>
      </c>
      <c r="F30" s="510">
        <f>SUM('26'!G35,'26'!G49)</f>
        <v>2561.4200000000419</v>
      </c>
      <c r="G30" s="510">
        <f>SUM('26'!G37,'26'!G51)</f>
        <v>1384.1500000000233</v>
      </c>
      <c r="H30" s="510">
        <f>SUM('26'!G38,'26'!G52)</f>
        <v>2631.7000000000189</v>
      </c>
      <c r="I30" s="510">
        <f>SUM('26'!G39,'26'!G53)</f>
        <v>2594.5</v>
      </c>
      <c r="J30" s="510">
        <f>SUM('26'!G41,'26'!G42,'26'!G55,'26'!G56)</f>
        <v>2952.8300000000163</v>
      </c>
      <c r="K30" s="510">
        <f>SUM('26'!G43,'26'!G57)</f>
        <v>2358.5700000000652</v>
      </c>
      <c r="L30" s="254">
        <f>'26'!G50</f>
        <v>1073.1899999999441</v>
      </c>
      <c r="M30" s="254">
        <f>'26'!G36</f>
        <v>1121.4699999999721</v>
      </c>
      <c r="N30" s="254">
        <f>'26'!G138</f>
        <v>100</v>
      </c>
      <c r="O30" s="254">
        <f>'26'!$G$139</f>
        <v>149</v>
      </c>
      <c r="P30" s="254">
        <f>'26'!$G$140</f>
        <v>20.720000000000255</v>
      </c>
      <c r="Q30" s="254">
        <f>'26'!$G$141</f>
        <v>233.10000000000582</v>
      </c>
      <c r="R30" s="254">
        <f>'26'!$G$142</f>
        <v>82.010000000002037</v>
      </c>
      <c r="S30" s="254">
        <f>'26'!$G$145</f>
        <v>270</v>
      </c>
      <c r="T30" s="251">
        <f>'26'!$G$146</f>
        <v>28</v>
      </c>
      <c r="U30" s="251">
        <f>'26'!$G$144</f>
        <v>256</v>
      </c>
      <c r="V30" s="251">
        <f>'26'!$G$147</f>
        <v>360.19999999995343</v>
      </c>
      <c r="W30" s="251">
        <f>'26'!$G$148</f>
        <v>452</v>
      </c>
      <c r="X30" s="251">
        <f>'26'!$G$143</f>
        <v>19.700000000000728</v>
      </c>
      <c r="Y30" s="251">
        <f>'26'!$G$58</f>
        <v>234.10000000000582</v>
      </c>
      <c r="Z30" s="251">
        <f>'26'!$G$151</f>
        <v>290</v>
      </c>
      <c r="AA30" s="251">
        <f>'26'!G161</f>
        <v>62.760000000009313</v>
      </c>
      <c r="AB30" s="251">
        <f>'26'!G162</f>
        <v>16</v>
      </c>
      <c r="AC30" s="251">
        <f>'26'!G88</f>
        <v>4.9699999999975262</v>
      </c>
      <c r="AD30" s="251">
        <f>'26'!G163+'26'!G164</f>
        <v>2.6000000000003638</v>
      </c>
      <c r="AE30" s="254">
        <f>'26'!$G$116</f>
        <v>228.54999999998836</v>
      </c>
      <c r="AF30" s="254">
        <f>'26'!$G$117</f>
        <v>266.39999999999418</v>
      </c>
      <c r="AG30" s="254">
        <f>'26'!$G$118</f>
        <v>596.70000000001164</v>
      </c>
      <c r="AH30" s="254">
        <f>'26'!$G$119</f>
        <v>50.099999999998545</v>
      </c>
      <c r="AI30" s="254">
        <f>'26'!$G$120</f>
        <v>383</v>
      </c>
      <c r="AJ30" s="254">
        <f>'26'!$G$121</f>
        <v>397.29999999998836</v>
      </c>
      <c r="AK30" s="254">
        <f>'26'!$G$122</f>
        <v>309.5</v>
      </c>
      <c r="AL30" s="254">
        <f>'26'!$G$123</f>
        <v>307.79999999998836</v>
      </c>
      <c r="AM30" s="254">
        <f>'26'!$G$133</f>
        <v>517</v>
      </c>
      <c r="AN30" s="254">
        <f>'26'!$G$15</f>
        <v>1156.3700000001118</v>
      </c>
      <c r="AO30" s="256">
        <f>'26'!$G$74</f>
        <v>341.6200000000008</v>
      </c>
      <c r="AP30" s="256">
        <f>'26'!$G$75</f>
        <v>0</v>
      </c>
      <c r="AQ30" s="256">
        <f>'26'!$G$76</f>
        <v>112</v>
      </c>
      <c r="AR30" s="256">
        <f>'26'!$G$77</f>
        <v>52.69999999999709</v>
      </c>
      <c r="AS30" s="256">
        <f>'26'!$G$78</f>
        <v>0</v>
      </c>
      <c r="AT30" s="256">
        <f t="shared" si="0"/>
        <v>650.05000000011387</v>
      </c>
      <c r="AU30" s="254">
        <f>SUM('26'!G91:G92)</f>
        <v>12.360000000000582</v>
      </c>
      <c r="AV30" s="254">
        <f>'26'!$G$88</f>
        <v>4.9699999999975262</v>
      </c>
      <c r="AW30" s="254">
        <f>'26'!$G$89</f>
        <v>9.4500000000007276</v>
      </c>
      <c r="AX30" s="254">
        <f>'26'!$G$90</f>
        <v>4.9899999999906868</v>
      </c>
      <c r="AY30" s="252">
        <f t="shared" si="1"/>
        <v>19.409999999988941</v>
      </c>
      <c r="BA30" s="311">
        <f t="shared" si="3"/>
        <v>33.490468830524691</v>
      </c>
      <c r="BB30" s="351">
        <f t="shared" si="4"/>
        <v>5053.0499999997774</v>
      </c>
      <c r="BC30" s="351">
        <f t="shared" si="5"/>
        <v>26.180249727992216</v>
      </c>
    </row>
    <row r="31" spans="1:55">
      <c r="A31" s="359">
        <v>27</v>
      </c>
      <c r="B31" s="510">
        <f>'27'!G7</f>
        <v>22051.489999999991</v>
      </c>
      <c r="C31" s="510">
        <f>'27'!G8</f>
        <v>22441.119999999995</v>
      </c>
      <c r="D31" s="510">
        <f>'27'!G15</f>
        <v>1160.8300000000745</v>
      </c>
      <c r="E31" s="510">
        <f>'27'!G20</f>
        <v>267</v>
      </c>
      <c r="F31" s="510">
        <f>SUM('27'!G35,'27'!G49)</f>
        <v>2670.0799999999581</v>
      </c>
      <c r="G31" s="510">
        <f>SUM('27'!G37,'27'!G51)</f>
        <v>1449.7799999999697</v>
      </c>
      <c r="H31" s="510">
        <f>SUM('27'!G38,'27'!G52)</f>
        <v>2759.7600000000093</v>
      </c>
      <c r="I31" s="510">
        <f>SUM('27'!G39,'27'!G53)</f>
        <v>2809.5999999999767</v>
      </c>
      <c r="J31" s="510">
        <f>SUM('27'!G41,'27'!G42,'27'!G55,'27'!G56)</f>
        <v>3793.8399999999674</v>
      </c>
      <c r="K31" s="510">
        <f>SUM('27'!G43,'27'!G57)</f>
        <v>2359.4399999999441</v>
      </c>
      <c r="L31" s="254">
        <f>'27'!G50</f>
        <v>1449.2800000000279</v>
      </c>
      <c r="M31" s="254">
        <f>'27'!G36</f>
        <v>1049.7200000000303</v>
      </c>
      <c r="N31" s="254">
        <f>'27'!G138</f>
        <v>112</v>
      </c>
      <c r="O31" s="254">
        <f>'27'!$G$139</f>
        <v>159</v>
      </c>
      <c r="P31" s="254">
        <f>'27'!$G$140</f>
        <v>21.420000000000073</v>
      </c>
      <c r="Q31" s="254">
        <f>'27'!$G$141</f>
        <v>196.89999999999418</v>
      </c>
      <c r="R31" s="254">
        <f>'27'!$G$142</f>
        <v>85.989999999997963</v>
      </c>
      <c r="S31" s="254">
        <f>'27'!$G$145</f>
        <v>270</v>
      </c>
      <c r="T31" s="251">
        <f>'27'!$G$146</f>
        <v>57</v>
      </c>
      <c r="U31" s="251">
        <f>'27'!$G$144</f>
        <v>258</v>
      </c>
      <c r="V31" s="251">
        <f>'27'!$G$147</f>
        <v>370</v>
      </c>
      <c r="W31" s="251">
        <f>'27'!$G$148</f>
        <v>341</v>
      </c>
      <c r="X31" s="251">
        <f>'27'!$G$143</f>
        <v>25.299999999999272</v>
      </c>
      <c r="Y31" s="251">
        <f>'27'!$G$58</f>
        <v>247.97000000000116</v>
      </c>
      <c r="Z31" s="251">
        <f>'27'!$G$151</f>
        <v>331</v>
      </c>
      <c r="AA31" s="251">
        <f>'27'!G161</f>
        <v>100.14000000001397</v>
      </c>
      <c r="AB31" s="251">
        <f>'27'!G162</f>
        <v>35.099999999999909</v>
      </c>
      <c r="AC31" s="251">
        <f>'27'!G88</f>
        <v>5.9200000000018917</v>
      </c>
      <c r="AD31" s="251">
        <f>'27'!G163+'27'!G164</f>
        <v>2.6999999999998181</v>
      </c>
      <c r="AE31" s="254">
        <f>'27'!$G$116</f>
        <v>484.27999999999884</v>
      </c>
      <c r="AF31" s="254">
        <f>'27'!$G$117</f>
        <v>275.51000000000931</v>
      </c>
      <c r="AG31" s="254">
        <f>'27'!$G$118</f>
        <v>577.00999999998021</v>
      </c>
      <c r="AH31" s="254">
        <f>'27'!$G$119</f>
        <v>48.25</v>
      </c>
      <c r="AI31" s="254">
        <f>'27'!$G$120</f>
        <v>387.72000000000116</v>
      </c>
      <c r="AJ31" s="254">
        <f>'27'!$G$121</f>
        <v>435.89000000001397</v>
      </c>
      <c r="AK31" s="254">
        <f>'27'!$G$122</f>
        <v>309.98999999999069</v>
      </c>
      <c r="AL31" s="254">
        <f>'27'!$G$123</f>
        <v>316.04000000000815</v>
      </c>
      <c r="AM31" s="254">
        <f>'27'!$G$133</f>
        <v>437</v>
      </c>
      <c r="AN31" s="254">
        <f>'27'!$G$15</f>
        <v>1160.8300000000745</v>
      </c>
      <c r="AO31" s="254">
        <f>'27'!$G$74</f>
        <v>281.54000000000087</v>
      </c>
      <c r="AP31" s="254">
        <f>'27'!$G$75</f>
        <v>0</v>
      </c>
      <c r="AQ31" s="254">
        <f>'27'!$G$76</f>
        <v>107</v>
      </c>
      <c r="AR31" s="254">
        <f>'27'!$G$77</f>
        <v>48.30000000000291</v>
      </c>
      <c r="AS31" s="254">
        <f>'27'!$G$78</f>
        <v>0</v>
      </c>
      <c r="AT31" s="254">
        <f t="shared" si="0"/>
        <v>723.99000000007072</v>
      </c>
      <c r="AU31" s="254">
        <f>SUM('27'!G91:G92)</f>
        <v>11.049999999999272</v>
      </c>
      <c r="AV31" s="254">
        <f>'27'!$G$88</f>
        <v>5.9200000000018917</v>
      </c>
      <c r="AW31" s="254">
        <f>'27'!$G$89</f>
        <v>10.590000000000146</v>
      </c>
      <c r="AX31" s="254">
        <f>'27'!$G$90</f>
        <v>5.25</v>
      </c>
      <c r="AY31" s="252">
        <f t="shared" si="1"/>
        <v>21.760000000002037</v>
      </c>
      <c r="BA31" s="311">
        <f t="shared" si="3"/>
        <v>33.271599264706019</v>
      </c>
      <c r="BB31" s="351">
        <f t="shared" si="4"/>
        <v>6350.6500000001688</v>
      </c>
      <c r="BC31" s="351">
        <f t="shared" si="5"/>
        <v>28.799187719288682</v>
      </c>
    </row>
    <row r="32" spans="1:55">
      <c r="A32" s="359">
        <v>28</v>
      </c>
      <c r="B32" s="510">
        <f>'28'!G7</f>
        <v>21792.400000000023</v>
      </c>
      <c r="C32" s="510">
        <f>'28'!G8</f>
        <v>22309.650000000023</v>
      </c>
      <c r="D32" s="510">
        <f>'28'!G15</f>
        <v>1214</v>
      </c>
      <c r="E32" s="510">
        <f>'28'!G20</f>
        <v>300</v>
      </c>
      <c r="F32" s="510">
        <f>SUM('28'!G35,'28'!G49)</f>
        <v>2664.8399999999674</v>
      </c>
      <c r="G32" s="510">
        <f>SUM('28'!G37,'28'!G51)</f>
        <v>1379.9000000000233</v>
      </c>
      <c r="H32" s="510">
        <f>SUM('28'!G38,'28'!G52)</f>
        <v>2568.5599999999395</v>
      </c>
      <c r="I32" s="510">
        <f>SUM('28'!G39,'28'!G53)</f>
        <v>2622.8000000000466</v>
      </c>
      <c r="J32" s="510">
        <f>SUM('28'!G41,'28'!G42,'28'!G55,'28'!G56)</f>
        <v>3576.9000000000233</v>
      </c>
      <c r="K32" s="510">
        <f>SUM('28'!G43,'28'!G57)</f>
        <v>2434.640000000014</v>
      </c>
      <c r="L32" s="254">
        <f>'28'!G50</f>
        <v>1196.5300000000279</v>
      </c>
      <c r="M32" s="254">
        <f>'28'!G36</f>
        <v>956.80999999999767</v>
      </c>
      <c r="N32" s="254">
        <f>'28'!G138</f>
        <v>105</v>
      </c>
      <c r="O32" s="254">
        <f>'28'!$G$139</f>
        <v>163</v>
      </c>
      <c r="P32" s="254">
        <f>'28'!$G$140</f>
        <v>19.4699999999998</v>
      </c>
      <c r="Q32" s="254">
        <f>'28'!$G$141</f>
        <v>222.7100000000064</v>
      </c>
      <c r="R32" s="254">
        <f>'28'!$G$142</f>
        <v>70.298999999999069</v>
      </c>
      <c r="S32" s="254">
        <f>'28'!$G$145</f>
        <v>79</v>
      </c>
      <c r="T32" s="251">
        <f>'28'!$G$146</f>
        <v>40</v>
      </c>
      <c r="U32" s="251">
        <f>'28'!$G$144</f>
        <v>280</v>
      </c>
      <c r="V32" s="251">
        <f>'28'!$G$147</f>
        <v>375.04000000003725</v>
      </c>
      <c r="W32" s="251">
        <f>'28'!$G$148</f>
        <v>390</v>
      </c>
      <c r="X32" s="251">
        <f>'28'!$G$143</f>
        <v>30.412000000000262</v>
      </c>
      <c r="Y32" s="251">
        <f>'28'!$G$58</f>
        <v>259.93899999999849</v>
      </c>
      <c r="Z32" s="251">
        <f>'28'!$G$151</f>
        <v>310</v>
      </c>
      <c r="AA32" s="251">
        <f>'28'!G161</f>
        <v>58.5</v>
      </c>
      <c r="AB32" s="251">
        <f>'28'!G162</f>
        <v>26</v>
      </c>
      <c r="AC32" s="251">
        <f>'28'!G88</f>
        <v>4.4099999999998545</v>
      </c>
      <c r="AD32" s="251">
        <f>'28'!G163+'28'!G164</f>
        <v>1.8000000000001819</v>
      </c>
      <c r="AE32" s="254">
        <f>'28'!$G$116</f>
        <v>376.55999999999767</v>
      </c>
      <c r="AF32" s="254">
        <f>'28'!$G$117</f>
        <v>239.41999999999825</v>
      </c>
      <c r="AG32" s="254">
        <f>'28'!$G$118</f>
        <v>614.83999999999651</v>
      </c>
      <c r="AH32" s="254">
        <f>'28'!$G$119</f>
        <v>43.249000000003434</v>
      </c>
      <c r="AI32" s="254">
        <f>'28'!$G$120</f>
        <v>345.13999999999942</v>
      </c>
      <c r="AJ32" s="254">
        <f>'28'!$G$121</f>
        <v>400.20999999999185</v>
      </c>
      <c r="AK32" s="254">
        <f>'28'!$G$122</f>
        <v>286.83999999999651</v>
      </c>
      <c r="AL32" s="254">
        <f>'28'!$G$123</f>
        <v>297.38700000000244</v>
      </c>
      <c r="AM32" s="254">
        <f>'28'!$G$133</f>
        <v>551</v>
      </c>
      <c r="AN32" s="254">
        <f>'28'!$G$15</f>
        <v>1214</v>
      </c>
      <c r="AO32" s="254">
        <f>'28'!$G$74</f>
        <v>336.45999999999913</v>
      </c>
      <c r="AP32" s="254">
        <f>'28'!$G$75</f>
        <v>0</v>
      </c>
      <c r="AQ32" s="254">
        <f>'28'!$G$76</f>
        <v>98.5</v>
      </c>
      <c r="AR32" s="254">
        <f>'28'!$G$77</f>
        <v>54</v>
      </c>
      <c r="AS32" s="254">
        <f>'28'!$G$78</f>
        <v>0</v>
      </c>
      <c r="AT32" s="254">
        <f t="shared" si="0"/>
        <v>725.04000000000087</v>
      </c>
      <c r="AU32" s="254">
        <f>SUM('28'!G91:G92)</f>
        <v>11.6200000000008</v>
      </c>
      <c r="AV32" s="254">
        <f>'28'!$G$88</f>
        <v>4.4099999999998545</v>
      </c>
      <c r="AW32" s="254">
        <f>'28'!$G$89</f>
        <v>11.43999999999869</v>
      </c>
      <c r="AX32" s="254">
        <f>'28'!$G$90</f>
        <v>5.8099999999976717</v>
      </c>
      <c r="AY32" s="252">
        <f t="shared" si="1"/>
        <v>21.659999999996217</v>
      </c>
      <c r="BA32" s="311">
        <f t="shared" si="3"/>
        <v>33.473684210532205</v>
      </c>
      <c r="BB32" s="351">
        <f t="shared" si="4"/>
        <v>6802.0710000000108</v>
      </c>
      <c r="BC32" s="351">
        <f t="shared" si="5"/>
        <v>31.213042161487508</v>
      </c>
    </row>
    <row r="33" spans="1:55">
      <c r="A33" s="359">
        <v>29</v>
      </c>
      <c r="B33" s="510">
        <f>'29'!G7</f>
        <v>22598.900000000023</v>
      </c>
      <c r="C33" s="510">
        <f>'29'!G8</f>
        <v>23194.300000000047</v>
      </c>
      <c r="D33" s="510">
        <f>'29'!G15</f>
        <v>1033.1000000000931</v>
      </c>
      <c r="E33" s="510">
        <f>'29'!G20</f>
        <v>316</v>
      </c>
      <c r="F33" s="510">
        <f>SUM('29'!G35,'29'!G49)</f>
        <v>3139.1200000001118</v>
      </c>
      <c r="G33" s="510">
        <f>SUM('29'!G37,'29'!G51)</f>
        <v>1493.5599999999977</v>
      </c>
      <c r="H33" s="510">
        <f>SUM('29'!G38,'29'!G52)</f>
        <v>2833.0100000000602</v>
      </c>
      <c r="I33" s="510">
        <f>SUM('29'!G39,'29'!G53)</f>
        <v>2866.6899999999441</v>
      </c>
      <c r="J33" s="510">
        <f>SUM('29'!G41,'29'!G42,'29'!G55,'29'!G56)</f>
        <v>3947.4899999999907</v>
      </c>
      <c r="K33" s="510">
        <f>SUM('29'!G43,'29'!G57)</f>
        <v>2594.2399999999907</v>
      </c>
      <c r="L33" s="254">
        <f>'29'!G50</f>
        <v>1334.5899999999674</v>
      </c>
      <c r="M33" s="254">
        <f>'29'!G36</f>
        <v>831.59000000002561</v>
      </c>
      <c r="N33" s="254">
        <f>'29'!G138</f>
        <v>117</v>
      </c>
      <c r="O33" s="254">
        <f>'29'!$G$139</f>
        <v>150</v>
      </c>
      <c r="P33" s="254">
        <f>'29'!$G$140</f>
        <v>19.080000000000382</v>
      </c>
      <c r="Q33" s="254">
        <f>'29'!$G$141</f>
        <v>245.11000000000058</v>
      </c>
      <c r="R33" s="254">
        <f>'29'!$G$142</f>
        <v>76.701000000000931</v>
      </c>
      <c r="S33" s="254">
        <f>'29'!$G$145</f>
        <v>151</v>
      </c>
      <c r="T33" s="254">
        <f>'29'!$G$146</f>
        <v>36</v>
      </c>
      <c r="U33" s="254">
        <f>'29'!$G$144</f>
        <v>268</v>
      </c>
      <c r="V33" s="254">
        <f>'29'!$G$147</f>
        <v>410</v>
      </c>
      <c r="W33" s="254">
        <f>'29'!$G$148</f>
        <v>318.43999999994412</v>
      </c>
      <c r="X33" s="254">
        <f>'29'!$G$143</f>
        <v>30.528000000000247</v>
      </c>
      <c r="Y33" s="254">
        <f>'29'!$G$58</f>
        <v>276.99099999999453</v>
      </c>
      <c r="Z33" s="254">
        <f>'29'!$G$151</f>
        <v>328</v>
      </c>
      <c r="AA33" s="254">
        <f>'29'!G161</f>
        <v>64.399999999965075</v>
      </c>
      <c r="AB33" s="254">
        <f>'29'!G162</f>
        <v>21.5</v>
      </c>
      <c r="AC33" s="254">
        <f>'29'!G88</f>
        <v>10</v>
      </c>
      <c r="AD33" s="254">
        <f>'29'!G163+'29'!G164</f>
        <v>2</v>
      </c>
      <c r="AE33" s="254">
        <f>'29'!$G$116</f>
        <v>552.16000000000349</v>
      </c>
      <c r="AF33" s="254">
        <f>'29'!$G$117</f>
        <v>290.36999999999534</v>
      </c>
      <c r="AG33" s="254">
        <f>'29'!$G$118</f>
        <v>628.20000000001164</v>
      </c>
      <c r="AH33" s="254">
        <f>'29'!$G$119</f>
        <v>43.300999999999476</v>
      </c>
      <c r="AI33" s="254">
        <f>'29'!$G$120</f>
        <v>377.97999999999593</v>
      </c>
      <c r="AJ33" s="254">
        <f>'29'!$G$121</f>
        <v>423.67999999999302</v>
      </c>
      <c r="AK33" s="254">
        <f>'29'!$G$122</f>
        <v>324.57000000000698</v>
      </c>
      <c r="AL33" s="254">
        <f>'29'!$G$123</f>
        <v>318.86000000000058</v>
      </c>
      <c r="AM33" s="254">
        <f>'29'!$G$133</f>
        <v>541</v>
      </c>
      <c r="AN33" s="254">
        <f>'29'!$G$15</f>
        <v>1033.1000000000931</v>
      </c>
      <c r="AO33" s="254">
        <f>'29'!$G$74</f>
        <v>328.89999999999964</v>
      </c>
      <c r="AP33" s="254">
        <f>'29'!$G$75</f>
        <v>0</v>
      </c>
      <c r="AQ33" s="254">
        <f>'29'!$G$76</f>
        <v>102.5</v>
      </c>
      <c r="AR33" s="254">
        <f>'29'!$G$77</f>
        <v>53.400000000001455</v>
      </c>
      <c r="AS33" s="254">
        <f>'29'!$G$78</f>
        <v>0</v>
      </c>
      <c r="AT33" s="254">
        <f t="shared" si="0"/>
        <v>548.30000000009204</v>
      </c>
      <c r="AU33" s="254">
        <f>SUM('29'!G91:G92)</f>
        <v>11.699999999999818</v>
      </c>
      <c r="AV33" s="254">
        <f>'29'!$G$88</f>
        <v>10</v>
      </c>
      <c r="AW33" s="254">
        <f>'29'!$G$89</f>
        <v>0.36000000000058208</v>
      </c>
      <c r="AX33" s="254">
        <f>'29'!$G$90</f>
        <v>11.420000000012806</v>
      </c>
      <c r="AY33" s="252">
        <f t="shared" si="1"/>
        <v>21.780000000013388</v>
      </c>
      <c r="BA33" s="311">
        <f t="shared" si="3"/>
        <v>25.174471992642562</v>
      </c>
      <c r="BB33" s="351">
        <f t="shared" si="4"/>
        <v>6043.1989999999569</v>
      </c>
      <c r="BC33" s="351">
        <f t="shared" si="5"/>
        <v>26.741120143015593</v>
      </c>
    </row>
    <row r="34" spans="1:55" s="313" customFormat="1">
      <c r="A34" s="359">
        <v>30</v>
      </c>
      <c r="B34" s="510">
        <f>'30'!G7</f>
        <v>21796.099999999977</v>
      </c>
      <c r="C34" s="510">
        <f>'30'!G8</f>
        <v>22328.699999999953</v>
      </c>
      <c r="D34" s="510">
        <f>'30'!G15</f>
        <v>1104.6529999999329</v>
      </c>
      <c r="E34" s="510">
        <f>'30'!G20</f>
        <v>321</v>
      </c>
      <c r="F34" s="510">
        <f>SUM('30'!G35,'30'!G49)</f>
        <v>2983.6499999999069</v>
      </c>
      <c r="G34" s="510">
        <f>SUM('30'!G37,'30'!G51)</f>
        <v>1421.9599999999627</v>
      </c>
      <c r="H34" s="510">
        <f>SUM('30'!G38,'30'!G52)</f>
        <v>2733.8799999999537</v>
      </c>
      <c r="I34" s="510">
        <f>SUM('30'!G39,'30'!G53)</f>
        <v>2812</v>
      </c>
      <c r="J34" s="510">
        <f>SUM('30'!G41,'30'!G42,'30'!G55,'30'!G56)</f>
        <v>3269.7200000000303</v>
      </c>
      <c r="K34" s="510">
        <f>SUM('30'!G43,'30'!G57)</f>
        <v>2442.7200000000885</v>
      </c>
      <c r="L34" s="251">
        <f>'30'!G50</f>
        <v>1146.2399999999907</v>
      </c>
      <c r="M34" s="251">
        <f>'30'!G36</f>
        <v>888.29999999998836</v>
      </c>
      <c r="N34" s="251">
        <f>'30'!G138</f>
        <v>121</v>
      </c>
      <c r="O34" s="251">
        <f>'30'!$G$139</f>
        <v>156</v>
      </c>
      <c r="P34" s="251">
        <f>'30'!$G$140</f>
        <v>15.960000000000036</v>
      </c>
      <c r="Q34" s="251">
        <f>'30'!$G$141</f>
        <v>183.17999999999302</v>
      </c>
      <c r="R34" s="251">
        <f>'30'!$G$142</f>
        <v>87.135000000002037</v>
      </c>
      <c r="S34" s="251">
        <f>'30'!$G$145</f>
        <v>206</v>
      </c>
      <c r="T34" s="251">
        <f>'30'!$G$146</f>
        <v>56</v>
      </c>
      <c r="U34" s="251">
        <f>'30'!$G$144</f>
        <v>287</v>
      </c>
      <c r="V34" s="251">
        <f>'30'!$G$147</f>
        <v>395.19999999995343</v>
      </c>
      <c r="W34" s="251">
        <f>'30'!$G$148</f>
        <v>311.76000000000931</v>
      </c>
      <c r="X34" s="251">
        <f>'30'!$G$143</f>
        <v>33.659999999999854</v>
      </c>
      <c r="Y34" s="251">
        <f>'30'!$G$58</f>
        <v>268</v>
      </c>
      <c r="Z34" s="251">
        <f>'30'!$G$151</f>
        <v>312</v>
      </c>
      <c r="AA34" s="251">
        <f>'30'!G161</f>
        <v>130.55999999999767</v>
      </c>
      <c r="AB34" s="251">
        <f>'30'!G162</f>
        <v>34.600000000000136</v>
      </c>
      <c r="AC34" s="251">
        <f>'30'!G88</f>
        <v>10</v>
      </c>
      <c r="AD34" s="251">
        <f>'30'!G163+'30'!G164</f>
        <v>1</v>
      </c>
      <c r="AE34" s="251">
        <f>'30'!$G$116</f>
        <v>509</v>
      </c>
      <c r="AF34" s="251">
        <f>'30'!$G$117</f>
        <v>257</v>
      </c>
      <c r="AG34" s="251">
        <f>'30'!$G$118</f>
        <v>627.25</v>
      </c>
      <c r="AH34" s="251">
        <f>'30'!$G$119</f>
        <v>40.910000000003492</v>
      </c>
      <c r="AI34" s="251">
        <f>'30'!$G$120</f>
        <v>368.63999999999942</v>
      </c>
      <c r="AJ34" s="251">
        <f>'30'!$G$121</f>
        <v>455.04000000000815</v>
      </c>
      <c r="AK34" s="251">
        <f>'30'!$G$122</f>
        <v>341</v>
      </c>
      <c r="AL34" s="251">
        <f>'30'!$G$123</f>
        <v>311.81299999999464</v>
      </c>
      <c r="AM34" s="251">
        <f>'30'!$G$133</f>
        <v>616</v>
      </c>
      <c r="AN34" s="251">
        <f>'30'!$G$15</f>
        <v>1104.6529999999329</v>
      </c>
      <c r="AO34" s="251">
        <f>'30'!$G$74</f>
        <v>265.10000000000036</v>
      </c>
      <c r="AP34" s="251">
        <f>'30'!$G$75</f>
        <v>0</v>
      </c>
      <c r="AQ34" s="251">
        <f>'30'!$G$76</f>
        <v>110</v>
      </c>
      <c r="AR34" s="251">
        <f>'30'!$G$77</f>
        <v>57.599999999998545</v>
      </c>
      <c r="AS34" s="251">
        <f>'30'!$G$78</f>
        <v>0</v>
      </c>
      <c r="AT34" s="251">
        <f t="shared" si="0"/>
        <v>671.95299999993404</v>
      </c>
      <c r="AU34" s="251">
        <f>SUM('30'!G91:G92)</f>
        <v>9.4899999999997817</v>
      </c>
      <c r="AV34" s="251">
        <f>'30'!$G$88</f>
        <v>10</v>
      </c>
      <c r="AW34" s="251">
        <f>'30'!$G$89</f>
        <v>4.4599999999991269</v>
      </c>
      <c r="AX34" s="251">
        <f>'30'!$G$90</f>
        <v>7.4299999999930151</v>
      </c>
      <c r="AY34" s="255">
        <f t="shared" si="1"/>
        <v>21.889999999992142</v>
      </c>
      <c r="BA34" s="311">
        <f t="shared" si="3"/>
        <v>30.696802192790098</v>
      </c>
      <c r="BB34" s="351">
        <f t="shared" si="4"/>
        <v>6396.7700000000114</v>
      </c>
      <c r="BC34" s="351">
        <f t="shared" si="5"/>
        <v>29.348232023160193</v>
      </c>
    </row>
    <row r="35" spans="1:55">
      <c r="A35" s="359">
        <v>31</v>
      </c>
      <c r="B35" s="510">
        <f>'31'!G7</f>
        <v>23574</v>
      </c>
      <c r="C35" s="510">
        <f>'31'!G8</f>
        <v>24006</v>
      </c>
      <c r="D35" s="510">
        <f>'31'!G15</f>
        <v>1110.9619999998249</v>
      </c>
      <c r="E35" s="510">
        <f>'31'!G20</f>
        <v>194</v>
      </c>
      <c r="F35" s="510">
        <f>SUM('31'!G35,'31'!G49)</f>
        <v>3323.890000000014</v>
      </c>
      <c r="G35" s="510">
        <f>SUM('31'!G37,'31'!G51)</f>
        <v>1471.6500000000233</v>
      </c>
      <c r="H35" s="510">
        <f>SUM('31'!G38,'31'!G52)</f>
        <v>2690.0900000000183</v>
      </c>
      <c r="I35" s="510">
        <f>SUM('31'!G39,'31'!G53)</f>
        <v>2840.4400000000605</v>
      </c>
      <c r="J35" s="510">
        <f>SUM('31'!G41,'31'!G42,'31'!G55,'31'!G56)</f>
        <v>4628.6999999999534</v>
      </c>
      <c r="K35" s="510">
        <f>SUM('31'!G43,'31'!G57)</f>
        <v>2589.6899999999441</v>
      </c>
      <c r="L35" s="251">
        <f>'31'!G50</f>
        <v>1514.1700000000419</v>
      </c>
      <c r="M35" s="251">
        <f>'31'!G36</f>
        <v>1200.109999999986</v>
      </c>
      <c r="N35" s="251">
        <f>'31'!G138</f>
        <v>113</v>
      </c>
      <c r="O35" s="251">
        <f>'31'!$G$139</f>
        <v>171</v>
      </c>
      <c r="P35" s="251">
        <f>'31'!$G$140</f>
        <v>747.48999999999978</v>
      </c>
      <c r="Q35" s="251">
        <f>'31'!$G$141</f>
        <v>278</v>
      </c>
      <c r="R35" s="251">
        <f>'31'!$G$142</f>
        <v>90.864999999997963</v>
      </c>
      <c r="S35" s="251">
        <f>'31'!$G$145</f>
        <v>194</v>
      </c>
      <c r="T35" s="251">
        <f>'31'!$G$146</f>
        <v>45</v>
      </c>
      <c r="U35" s="251">
        <f>'31'!$G$144</f>
        <v>268</v>
      </c>
      <c r="V35" s="251">
        <f>'31'!$G$147</f>
        <v>368.64000000001397</v>
      </c>
      <c r="W35" s="251">
        <f>'31'!$G$148</f>
        <v>429.04000000003725</v>
      </c>
      <c r="X35" s="251">
        <f>'31'!$G$143</f>
        <v>32.399999999999636</v>
      </c>
      <c r="Y35" s="251">
        <f>'31'!$G$58</f>
        <v>277.82000000000698</v>
      </c>
      <c r="Z35" s="251">
        <f>'31'!$G$151</f>
        <v>283</v>
      </c>
      <c r="AA35" s="251">
        <f>'31'!G161</f>
        <v>148.64000000001397</v>
      </c>
      <c r="AB35" s="251">
        <f>'31'!G162</f>
        <v>38.299999999999955</v>
      </c>
      <c r="AC35" s="251">
        <f>'31'!G89</f>
        <v>5</v>
      </c>
      <c r="AD35" s="251">
        <f>'31'!G163+'31'!G164</f>
        <v>3</v>
      </c>
      <c r="AE35" s="251">
        <f>'31'!$G$116</f>
        <v>471</v>
      </c>
      <c r="AF35" s="251">
        <f>'31'!$G$117</f>
        <v>292.39900000000489</v>
      </c>
      <c r="AG35" s="251">
        <f>'31'!$G$118</f>
        <v>683.52999999999884</v>
      </c>
      <c r="AH35" s="251">
        <f>'31'!$G$119</f>
        <v>36.089999999996508</v>
      </c>
      <c r="AI35" s="251">
        <f>'31'!$G$120</f>
        <v>361.52000000000407</v>
      </c>
      <c r="AJ35" s="251">
        <f>'31'!$G$121</f>
        <v>441.27999999999884</v>
      </c>
      <c r="AK35" s="251">
        <f>'31'!$G$122</f>
        <v>294</v>
      </c>
      <c r="AL35" s="251">
        <f>'31'!$G$123</f>
        <v>310</v>
      </c>
      <c r="AM35" s="251">
        <f>'31'!$G$133</f>
        <v>693</v>
      </c>
      <c r="AN35" s="251">
        <f>'31'!$G$15</f>
        <v>1110.9619999998249</v>
      </c>
      <c r="AO35" s="251">
        <f>'31'!$G$74</f>
        <v>334</v>
      </c>
      <c r="AP35" s="251">
        <f>'31'!$G$75</f>
        <v>0</v>
      </c>
      <c r="AQ35" s="251">
        <f>'31'!$G$76</f>
        <v>100</v>
      </c>
      <c r="AR35" s="251">
        <f>'31'!$G$77</f>
        <v>59</v>
      </c>
      <c r="AS35" s="251">
        <f>'31'!$G$78</f>
        <v>0</v>
      </c>
      <c r="AT35" s="251">
        <f t="shared" ref="AT35" si="7">AN35-SUM(AO35:AS35)</f>
        <v>617.96199999982491</v>
      </c>
      <c r="AU35" s="251">
        <f>SUM('31'!G92:G142)</f>
        <v>33073.938367947732</v>
      </c>
      <c r="AV35" s="251">
        <f>'31'!$G$88</f>
        <v>9</v>
      </c>
      <c r="AW35" s="251">
        <f>'31'!$G$89</f>
        <v>5</v>
      </c>
      <c r="AX35" s="251">
        <f>'30'!$G$90</f>
        <v>7.4299999999930151</v>
      </c>
      <c r="AY35" s="255">
        <f t="shared" ref="AY35" si="8">SUM(AV35:AX35)</f>
        <v>21.429999999993015</v>
      </c>
      <c r="BA35" s="311">
        <f t="shared" si="3"/>
        <v>28.836304246384802</v>
      </c>
      <c r="BB35" s="351">
        <f t="shared" si="4"/>
        <v>6183.7199999999793</v>
      </c>
      <c r="BC35" s="351">
        <f t="shared" si="5"/>
        <v>26.231102061593191</v>
      </c>
    </row>
    <row r="36" spans="1:55" s="316" customFormat="1">
      <c r="A36" s="304" t="s">
        <v>357</v>
      </c>
      <c r="B36" s="305">
        <f>AVERAGE(B5:B35)</f>
        <v>20812.258064516129</v>
      </c>
      <c r="C36" s="305">
        <f t="shared" ref="C36:BC36" si="9">AVERAGE(C5:C35)</f>
        <v>21233.967741935485</v>
      </c>
      <c r="D36" s="305">
        <f t="shared" si="9"/>
        <v>1134.5921612903176</v>
      </c>
      <c r="E36" s="305">
        <f t="shared" si="9"/>
        <v>272.83870967741933</v>
      </c>
      <c r="F36" s="305">
        <f t="shared" si="9"/>
        <v>2965.9954838709673</v>
      </c>
      <c r="G36" s="305">
        <f t="shared" si="9"/>
        <v>1462.8751612903227</v>
      </c>
      <c r="H36" s="305">
        <f t="shared" si="9"/>
        <v>2545.0532258064522</v>
      </c>
      <c r="I36" s="305">
        <f t="shared" si="9"/>
        <v>2769.2258064516127</v>
      </c>
      <c r="J36" s="305">
        <f t="shared" si="9"/>
        <v>3482.9367741935475</v>
      </c>
      <c r="K36" s="305">
        <f t="shared" si="9"/>
        <v>2479.516129032258</v>
      </c>
      <c r="L36" s="305">
        <f t="shared" si="9"/>
        <v>1316.8064516129032</v>
      </c>
      <c r="M36" s="305">
        <f t="shared" si="9"/>
        <v>894.58387096774118</v>
      </c>
      <c r="N36" s="305">
        <f t="shared" si="9"/>
        <v>112.12903225806451</v>
      </c>
      <c r="O36" s="305">
        <f t="shared" si="9"/>
        <v>158</v>
      </c>
      <c r="P36" s="305">
        <f t="shared" si="9"/>
        <v>46.117064516129041</v>
      </c>
      <c r="Q36" s="305">
        <f t="shared" si="9"/>
        <v>216.83870967741936</v>
      </c>
      <c r="R36" s="305">
        <f t="shared" si="9"/>
        <v>84.691935483870878</v>
      </c>
      <c r="S36" s="305">
        <f t="shared" si="9"/>
        <v>179.09677419354838</v>
      </c>
      <c r="T36" s="305">
        <f t="shared" si="9"/>
        <v>37.645161290322584</v>
      </c>
      <c r="U36" s="305">
        <f t="shared" si="9"/>
        <v>250.19354838709677</v>
      </c>
      <c r="V36" s="305">
        <f t="shared" si="9"/>
        <v>371.57677419354854</v>
      </c>
      <c r="W36" s="305">
        <f t="shared" si="9"/>
        <v>335.74709677419457</v>
      </c>
      <c r="X36" s="305">
        <f t="shared" si="9"/>
        <v>29.838709677419356</v>
      </c>
      <c r="Y36" s="305">
        <f t="shared" si="9"/>
        <v>258.36519354838742</v>
      </c>
      <c r="Z36" s="305">
        <f t="shared" si="9"/>
        <v>304.67741935483872</v>
      </c>
      <c r="AA36" s="305">
        <f t="shared" si="9"/>
        <v>131.02193548387075</v>
      </c>
      <c r="AB36" s="305">
        <f t="shared" si="9"/>
        <v>33.883870967741942</v>
      </c>
      <c r="AC36" s="305">
        <f t="shared" si="9"/>
        <v>6.269999999999917</v>
      </c>
      <c r="AD36" s="305">
        <f t="shared" si="9"/>
        <v>4.4516129032258061</v>
      </c>
      <c r="AE36" s="305">
        <f t="shared" si="9"/>
        <v>433.60032258064473</v>
      </c>
      <c r="AF36" s="305">
        <f t="shared" si="9"/>
        <v>299.3354516129034</v>
      </c>
      <c r="AG36" s="305">
        <f t="shared" si="9"/>
        <v>625.65741935483891</v>
      </c>
      <c r="AH36" s="305">
        <f t="shared" si="9"/>
        <v>40.445967741935391</v>
      </c>
      <c r="AI36" s="305">
        <f t="shared" si="9"/>
        <v>387.31806451612903</v>
      </c>
      <c r="AJ36" s="305">
        <f t="shared" si="9"/>
        <v>430.32612903225811</v>
      </c>
      <c r="AK36" s="305">
        <f t="shared" si="9"/>
        <v>309.76225806451629</v>
      </c>
      <c r="AL36" s="305">
        <f t="shared" si="9"/>
        <v>310.64516129032256</v>
      </c>
      <c r="AM36" s="305">
        <f t="shared" si="9"/>
        <v>-20652.349354838712</v>
      </c>
      <c r="AN36" s="305">
        <f t="shared" si="9"/>
        <v>1134.5921612903176</v>
      </c>
      <c r="AO36" s="305">
        <f t="shared" si="9"/>
        <v>32262.129032258064</v>
      </c>
      <c r="AP36" s="305">
        <f t="shared" si="9"/>
        <v>0</v>
      </c>
      <c r="AQ36" s="305">
        <f t="shared" si="9"/>
        <v>105.90322580645162</v>
      </c>
      <c r="AR36" s="305">
        <f t="shared" si="9"/>
        <v>51.903225806451616</v>
      </c>
      <c r="AS36" s="305">
        <f t="shared" si="9"/>
        <v>-3.2258064516129031E-2</v>
      </c>
      <c r="AT36" s="305">
        <f t="shared" si="9"/>
        <v>-31285.311064516125</v>
      </c>
      <c r="AU36" s="305">
        <f t="shared" si="9"/>
        <v>1077.8722054176687</v>
      </c>
      <c r="AV36" s="305">
        <f t="shared" si="9"/>
        <v>5.1096774193548855</v>
      </c>
      <c r="AW36" s="305">
        <f t="shared" si="9"/>
        <v>9.0196774193548581</v>
      </c>
      <c r="AX36" s="305">
        <f t="shared" si="9"/>
        <v>7.943548387096774</v>
      </c>
      <c r="AY36" s="305">
        <f t="shared" si="9"/>
        <v>22.072903225806517</v>
      </c>
      <c r="AZ36" s="305">
        <f t="shared" si="9"/>
        <v>3548.6927166286619</v>
      </c>
      <c r="BA36" s="305">
        <f t="shared" si="9"/>
        <v>-1381.424935890595</v>
      </c>
      <c r="BB36" s="305">
        <f t="shared" si="9"/>
        <v>5269.9999677419355</v>
      </c>
      <c r="BC36" s="305">
        <f t="shared" si="9"/>
        <v>25.294786683989933</v>
      </c>
    </row>
    <row r="37" spans="1:55">
      <c r="A37" s="261" t="s">
        <v>196</v>
      </c>
      <c r="B37" s="305">
        <f>SUM(B5:B35)</f>
        <v>645180</v>
      </c>
      <c r="C37" s="305">
        <f t="shared" ref="C37:BC37" si="10">SUM(C5:C35)</f>
        <v>658253</v>
      </c>
      <c r="D37" s="305">
        <f t="shared" si="10"/>
        <v>35172.356999999844</v>
      </c>
      <c r="E37" s="305">
        <f t="shared" si="10"/>
        <v>8458</v>
      </c>
      <c r="F37" s="305">
        <f>SUM(F5:F35)</f>
        <v>91945.859999999986</v>
      </c>
      <c r="G37" s="305">
        <f t="shared" si="10"/>
        <v>45349.130000000005</v>
      </c>
      <c r="H37" s="305">
        <f t="shared" si="10"/>
        <v>78896.650000000023</v>
      </c>
      <c r="I37" s="305">
        <f t="shared" si="10"/>
        <v>85846</v>
      </c>
      <c r="J37" s="305">
        <f t="shared" si="10"/>
        <v>107971.03999999998</v>
      </c>
      <c r="K37" s="305">
        <f t="shared" si="10"/>
        <v>76865</v>
      </c>
      <c r="L37" s="305">
        <f t="shared" si="10"/>
        <v>40821</v>
      </c>
      <c r="M37" s="305">
        <f t="shared" si="10"/>
        <v>27732.099999999977</v>
      </c>
      <c r="N37" s="305">
        <f t="shared" si="10"/>
        <v>3476</v>
      </c>
      <c r="O37" s="305">
        <f t="shared" si="10"/>
        <v>4898</v>
      </c>
      <c r="P37" s="305">
        <f t="shared" si="10"/>
        <v>1429.6290000000004</v>
      </c>
      <c r="Q37" s="305">
        <f t="shared" si="10"/>
        <v>6722</v>
      </c>
      <c r="R37" s="305">
        <f t="shared" si="10"/>
        <v>2625.4499999999971</v>
      </c>
      <c r="S37" s="305">
        <f t="shared" si="10"/>
        <v>5552</v>
      </c>
      <c r="T37" s="305">
        <f t="shared" si="10"/>
        <v>1167</v>
      </c>
      <c r="U37" s="305">
        <f t="shared" si="10"/>
        <v>7756</v>
      </c>
      <c r="V37" s="305">
        <f t="shared" si="10"/>
        <v>11518.880000000005</v>
      </c>
      <c r="W37" s="305">
        <f t="shared" si="10"/>
        <v>10408.160000000033</v>
      </c>
      <c r="X37" s="305">
        <f t="shared" si="10"/>
        <v>925</v>
      </c>
      <c r="Y37" s="305">
        <f t="shared" si="10"/>
        <v>8009.3210000000108</v>
      </c>
      <c r="Z37" s="305">
        <f t="shared" si="10"/>
        <v>9445</v>
      </c>
      <c r="AA37" s="305">
        <f t="shared" si="10"/>
        <v>4061.679999999993</v>
      </c>
      <c r="AB37" s="305">
        <f t="shared" si="10"/>
        <v>1050.4000000000001</v>
      </c>
      <c r="AC37" s="305">
        <f t="shared" si="10"/>
        <v>131.66999999999825</v>
      </c>
      <c r="AD37" s="305">
        <f t="shared" si="10"/>
        <v>138</v>
      </c>
      <c r="AE37" s="305">
        <f t="shared" si="10"/>
        <v>13441.609999999986</v>
      </c>
      <c r="AF37" s="305">
        <f t="shared" si="10"/>
        <v>9279.3990000000049</v>
      </c>
      <c r="AG37" s="305">
        <f t="shared" si="10"/>
        <v>19395.380000000005</v>
      </c>
      <c r="AH37" s="305">
        <f t="shared" si="10"/>
        <v>1253.8249999999971</v>
      </c>
      <c r="AI37" s="305">
        <f t="shared" si="10"/>
        <v>12006.86</v>
      </c>
      <c r="AJ37" s="305">
        <f t="shared" si="10"/>
        <v>13340.11</v>
      </c>
      <c r="AK37" s="305">
        <f t="shared" si="10"/>
        <v>9602.6300000000047</v>
      </c>
      <c r="AL37" s="305">
        <f t="shared" si="10"/>
        <v>9630</v>
      </c>
      <c r="AM37" s="305">
        <f t="shared" si="10"/>
        <v>-640222.83000000007</v>
      </c>
      <c r="AN37" s="305">
        <f t="shared" si="10"/>
        <v>35172.356999999844</v>
      </c>
      <c r="AO37" s="305">
        <f t="shared" si="10"/>
        <v>1000126</v>
      </c>
      <c r="AP37" s="305">
        <f t="shared" si="10"/>
        <v>0</v>
      </c>
      <c r="AQ37" s="305">
        <f t="shared" si="10"/>
        <v>3283</v>
      </c>
      <c r="AR37" s="305">
        <f t="shared" si="10"/>
        <v>1609</v>
      </c>
      <c r="AS37" s="305">
        <f t="shared" si="10"/>
        <v>-1</v>
      </c>
      <c r="AT37" s="305">
        <f t="shared" si="10"/>
        <v>-969844.64299999992</v>
      </c>
      <c r="AU37" s="305">
        <f t="shared" si="10"/>
        <v>33414.038367947731</v>
      </c>
      <c r="AV37" s="305">
        <f t="shared" si="10"/>
        <v>158.40000000000146</v>
      </c>
      <c r="AW37" s="305">
        <f t="shared" si="10"/>
        <v>279.61000000000058</v>
      </c>
      <c r="AX37" s="305">
        <f t="shared" si="10"/>
        <v>246.25</v>
      </c>
      <c r="AY37" s="305">
        <f t="shared" si="10"/>
        <v>684.26000000000204</v>
      </c>
      <c r="AZ37" s="305">
        <f t="shared" si="10"/>
        <v>85168.625199087881</v>
      </c>
      <c r="BA37" s="305">
        <f t="shared" si="10"/>
        <v>-42824.173012608444</v>
      </c>
      <c r="BB37" s="305">
        <f t="shared" si="10"/>
        <v>163369.99900000001</v>
      </c>
      <c r="BC37" s="305">
        <f t="shared" si="10"/>
        <v>784.1383872036879</v>
      </c>
    </row>
    <row r="38" spans="1:55" s="316" customFormat="1">
      <c r="A38" s="304"/>
      <c r="B38" s="305"/>
      <c r="C38" s="304"/>
      <c r="D38" s="304"/>
      <c r="E38" s="304"/>
      <c r="F38" s="304"/>
      <c r="G38" s="304"/>
      <c r="H38" s="304"/>
      <c r="I38" s="304"/>
      <c r="J38" s="304"/>
      <c r="K38" s="304"/>
      <c r="L38" s="304"/>
      <c r="M38" s="304"/>
      <c r="N38" s="304"/>
      <c r="O38" s="304"/>
      <c r="P38" s="304"/>
      <c r="Q38" s="304"/>
      <c r="R38" s="304"/>
      <c r="S38" s="304"/>
      <c r="T38" s="304"/>
      <c r="U38" s="304"/>
      <c r="V38" s="304"/>
      <c r="W38" s="304"/>
      <c r="X38" s="304"/>
      <c r="Y38" s="304"/>
      <c r="Z38" s="304"/>
      <c r="AA38" s="304"/>
      <c r="AB38" s="304"/>
      <c r="AC38" s="304"/>
      <c r="AD38" s="304"/>
      <c r="AE38" s="304"/>
      <c r="AF38" s="304"/>
      <c r="AG38" s="304"/>
      <c r="AH38" s="304"/>
      <c r="AI38" s="304"/>
      <c r="AJ38" s="304"/>
      <c r="AK38" s="304"/>
      <c r="AL38" s="304"/>
      <c r="AM38" s="304"/>
      <c r="AN38" s="304"/>
      <c r="AO38" s="304"/>
      <c r="AP38" s="304"/>
      <c r="AQ38" s="304"/>
      <c r="AR38" s="304"/>
      <c r="AS38" s="304"/>
      <c r="AT38" s="304"/>
      <c r="AU38" s="304"/>
      <c r="AV38" s="304"/>
      <c r="AW38" s="304"/>
      <c r="AX38" s="304"/>
      <c r="AY38" s="304"/>
      <c r="BB38" s="350"/>
      <c r="BC38" s="350"/>
    </row>
    <row r="39" spans="1:55">
      <c r="A39" s="261"/>
      <c r="B39" s="261"/>
      <c r="C39" s="261"/>
      <c r="D39" s="261"/>
      <c r="E39" s="261"/>
      <c r="F39" s="511">
        <f t="shared" ref="F39:K39" si="11">F19-F18</f>
        <v>470.11000000010245</v>
      </c>
      <c r="G39" s="511">
        <f t="shared" si="11"/>
        <v>10.730000000039581</v>
      </c>
      <c r="H39" s="511">
        <f t="shared" si="11"/>
        <v>99.650000000014188</v>
      </c>
      <c r="I39" s="511">
        <f t="shared" si="11"/>
        <v>-108.53999999992084</v>
      </c>
      <c r="J39" s="511">
        <f t="shared" si="11"/>
        <v>286.60000000009313</v>
      </c>
      <c r="K39" s="511">
        <f t="shared" si="11"/>
        <v>-23.669999999925494</v>
      </c>
      <c r="L39" s="511"/>
      <c r="M39" s="511"/>
      <c r="AO39" s="317" t="s">
        <v>109</v>
      </c>
      <c r="AP39" s="318">
        <v>191</v>
      </c>
      <c r="AQ39" s="318"/>
      <c r="AR39" s="318"/>
    </row>
    <row r="40" spans="1:55">
      <c r="A40" s="261"/>
      <c r="B40" s="261"/>
      <c r="C40" s="261"/>
      <c r="D40" s="261"/>
      <c r="E40" s="261"/>
      <c r="AO40" s="318"/>
      <c r="AP40" s="318">
        <v>88</v>
      </c>
      <c r="AQ40" s="318"/>
      <c r="AR40" s="318"/>
    </row>
    <row r="41" spans="1:55">
      <c r="A41" s="261"/>
      <c r="B41" s="261"/>
      <c r="C41" s="261"/>
      <c r="D41" s="261"/>
      <c r="E41" s="261"/>
      <c r="AO41" s="318"/>
      <c r="AP41" s="319">
        <f>SUM(AP39:AP40)</f>
        <v>279</v>
      </c>
      <c r="AQ41" s="318" t="s">
        <v>110</v>
      </c>
      <c r="AR41" s="318">
        <v>335</v>
      </c>
    </row>
    <row r="42" spans="1:55">
      <c r="A42" s="261"/>
      <c r="B42" s="261"/>
      <c r="C42" s="261"/>
      <c r="D42" s="261"/>
      <c r="E42" s="261"/>
      <c r="AO42" s="318"/>
      <c r="AP42" s="318"/>
      <c r="AQ42" s="318"/>
      <c r="AR42" s="318"/>
    </row>
    <row r="43" spans="1:55">
      <c r="A43" s="261"/>
      <c r="B43" s="261"/>
      <c r="C43" s="261"/>
      <c r="D43" s="261"/>
      <c r="E43" s="261"/>
      <c r="N43" s="314"/>
      <c r="O43" s="314"/>
      <c r="P43" s="314"/>
      <c r="Q43" s="314"/>
      <c r="R43" s="314"/>
      <c r="S43" s="314"/>
      <c r="T43" s="314"/>
      <c r="U43" s="314"/>
      <c r="V43" s="314"/>
      <c r="W43" s="314"/>
      <c r="X43" s="314"/>
      <c r="Y43" s="314"/>
      <c r="Z43" s="314"/>
      <c r="AA43" s="314"/>
      <c r="AB43" s="314"/>
      <c r="AC43" s="314"/>
      <c r="AD43" s="314"/>
      <c r="AE43" s="314"/>
      <c r="AF43" s="314"/>
      <c r="AG43" s="314"/>
      <c r="AH43" s="314"/>
      <c r="AI43" s="314"/>
      <c r="AJ43" s="314"/>
      <c r="AK43" s="314"/>
      <c r="AL43" s="314"/>
      <c r="AN43" s="314"/>
      <c r="AO43" s="317" t="s">
        <v>111</v>
      </c>
      <c r="AP43" s="319">
        <v>168</v>
      </c>
      <c r="AQ43" s="318"/>
      <c r="AR43" s="318"/>
    </row>
    <row r="44" spans="1:55">
      <c r="A44" s="261"/>
      <c r="B44" s="261"/>
      <c r="C44" s="261"/>
      <c r="D44" s="261"/>
      <c r="E44" s="261"/>
      <c r="AO44" s="318"/>
      <c r="AP44" s="318"/>
      <c r="AQ44" s="318" t="s">
        <v>112</v>
      </c>
      <c r="AR44" s="318"/>
    </row>
    <row r="45" spans="1:55">
      <c r="A45" s="261"/>
      <c r="B45" s="261"/>
      <c r="C45" s="261"/>
      <c r="D45" s="261"/>
      <c r="E45" s="261"/>
      <c r="AO45" s="318" t="s">
        <v>113</v>
      </c>
      <c r="AP45" s="318">
        <f>20*38.68</f>
        <v>773.6</v>
      </c>
      <c r="AQ45" s="318" t="s">
        <v>114</v>
      </c>
      <c r="AR45" s="318"/>
    </row>
    <row r="46" spans="1:55">
      <c r="A46" s="261"/>
      <c r="B46" s="261"/>
      <c r="C46" s="261"/>
      <c r="D46" s="261"/>
      <c r="E46" s="261"/>
    </row>
    <row r="47" spans="1:55">
      <c r="A47" s="261"/>
      <c r="B47" s="261"/>
      <c r="C47" s="261"/>
      <c r="D47" s="261"/>
      <c r="E47" s="261"/>
    </row>
    <row r="48" spans="1:55">
      <c r="A48" s="261"/>
      <c r="B48" s="261"/>
      <c r="C48" s="261"/>
      <c r="D48" s="261"/>
      <c r="E48" s="261"/>
    </row>
    <row r="49" spans="1:5">
      <c r="A49" s="261"/>
      <c r="B49" s="261"/>
      <c r="C49" s="261"/>
      <c r="D49" s="261"/>
      <c r="E49" s="261"/>
    </row>
    <row r="50" spans="1:5">
      <c r="A50" s="261"/>
      <c r="B50" s="261"/>
      <c r="C50" s="261"/>
      <c r="D50" s="261"/>
      <c r="E50" s="261"/>
    </row>
    <row r="51" spans="1:5">
      <c r="A51" s="261"/>
      <c r="B51" s="261"/>
      <c r="C51" s="261"/>
      <c r="D51" s="261"/>
      <c r="E51" s="261"/>
    </row>
    <row r="52" spans="1:5">
      <c r="A52" s="261"/>
      <c r="B52" s="261"/>
      <c r="C52" s="261"/>
      <c r="D52" s="261"/>
      <c r="E52" s="261"/>
    </row>
    <row r="53" spans="1:5">
      <c r="A53" s="261"/>
      <c r="B53" s="261"/>
      <c r="C53" s="261"/>
      <c r="D53" s="261"/>
      <c r="E53" s="261"/>
    </row>
    <row r="54" spans="1:5">
      <c r="A54" s="261"/>
      <c r="B54" s="261"/>
      <c r="C54" s="261"/>
      <c r="D54" s="261"/>
      <c r="E54" s="261"/>
    </row>
    <row r="55" spans="1:5">
      <c r="A55" s="261"/>
      <c r="B55" s="261"/>
      <c r="C55" s="261"/>
      <c r="D55" s="261"/>
      <c r="E55" s="261"/>
    </row>
    <row r="56" spans="1:5">
      <c r="A56" s="261"/>
      <c r="B56" s="261"/>
      <c r="C56" s="261"/>
      <c r="D56" s="261"/>
      <c r="E56" s="261"/>
    </row>
    <row r="57" spans="1:5">
      <c r="A57" s="261"/>
      <c r="B57" s="261"/>
      <c r="C57" s="261"/>
      <c r="D57" s="261"/>
      <c r="E57" s="261"/>
    </row>
    <row r="58" spans="1:5">
      <c r="A58" s="261"/>
      <c r="B58" s="261"/>
      <c r="C58" s="261"/>
      <c r="D58" s="261"/>
      <c r="E58" s="261"/>
    </row>
    <row r="59" spans="1:5">
      <c r="A59" s="261"/>
      <c r="B59" s="261"/>
      <c r="C59" s="261"/>
      <c r="D59" s="261"/>
      <c r="E59" s="261"/>
    </row>
    <row r="60" spans="1:5">
      <c r="A60" s="261"/>
      <c r="B60" s="261"/>
      <c r="C60" s="261"/>
      <c r="D60" s="261"/>
      <c r="E60" s="261"/>
    </row>
    <row r="61" spans="1:5">
      <c r="A61" s="261"/>
      <c r="B61" s="261"/>
      <c r="C61" s="261"/>
      <c r="D61" s="261"/>
      <c r="E61" s="261"/>
    </row>
    <row r="62" spans="1:5">
      <c r="A62" s="261"/>
      <c r="B62" s="261"/>
      <c r="C62" s="261"/>
      <c r="D62" s="261"/>
      <c r="E62" s="261"/>
    </row>
    <row r="63" spans="1:5">
      <c r="A63" s="261"/>
      <c r="B63" s="261"/>
      <c r="C63" s="261"/>
      <c r="D63" s="261"/>
      <c r="E63" s="261"/>
    </row>
    <row r="64" spans="1:5">
      <c r="A64" s="261"/>
      <c r="B64" s="261"/>
      <c r="C64" s="261"/>
      <c r="D64" s="261"/>
      <c r="E64" s="261"/>
    </row>
    <row r="65" spans="1:5">
      <c r="A65" s="261"/>
      <c r="B65" s="261"/>
      <c r="C65" s="261"/>
      <c r="D65" s="261"/>
      <c r="E65" s="261"/>
    </row>
    <row r="66" spans="1:5">
      <c r="A66" s="261"/>
      <c r="B66" s="261"/>
      <c r="C66" s="261"/>
      <c r="D66" s="261"/>
      <c r="E66" s="261"/>
    </row>
    <row r="67" spans="1:5">
      <c r="A67" s="261"/>
      <c r="B67" s="261"/>
      <c r="C67" s="261"/>
      <c r="D67" s="261"/>
      <c r="E67" s="261"/>
    </row>
    <row r="68" spans="1:5">
      <c r="A68" s="261"/>
      <c r="B68" s="261"/>
      <c r="C68" s="261"/>
      <c r="D68" s="261"/>
      <c r="E68" s="261"/>
    </row>
    <row r="69" spans="1:5">
      <c r="A69" s="261"/>
      <c r="B69" s="261"/>
      <c r="C69" s="261"/>
      <c r="D69" s="261"/>
      <c r="E69" s="261"/>
    </row>
    <row r="70" spans="1:5">
      <c r="A70" s="261"/>
      <c r="B70" s="261"/>
      <c r="C70" s="261"/>
      <c r="D70" s="261"/>
      <c r="E70" s="261"/>
    </row>
    <row r="71" spans="1:5">
      <c r="A71" s="261"/>
      <c r="B71" s="261"/>
      <c r="C71" s="261"/>
      <c r="D71" s="261"/>
      <c r="E71" s="261"/>
    </row>
    <row r="72" spans="1:5">
      <c r="A72" s="261"/>
      <c r="B72" s="261"/>
      <c r="C72" s="261"/>
      <c r="D72" s="261"/>
      <c r="E72" s="261"/>
    </row>
    <row r="73" spans="1:5">
      <c r="A73" s="261"/>
      <c r="B73" s="261"/>
      <c r="C73" s="261"/>
      <c r="D73" s="261"/>
      <c r="E73" s="261"/>
    </row>
    <row r="74" spans="1:5">
      <c r="A74" s="261"/>
      <c r="B74" s="261"/>
      <c r="C74" s="261"/>
      <c r="D74" s="261"/>
      <c r="E74" s="261"/>
    </row>
    <row r="75" spans="1:5">
      <c r="A75" s="261"/>
      <c r="B75" s="261"/>
      <c r="C75" s="261"/>
      <c r="D75" s="261"/>
      <c r="E75" s="261"/>
    </row>
    <row r="76" spans="1:5">
      <c r="A76" s="261"/>
      <c r="B76" s="261"/>
      <c r="C76" s="261"/>
      <c r="D76" s="261"/>
      <c r="E76" s="261"/>
    </row>
    <row r="77" spans="1:5">
      <c r="A77" s="261"/>
      <c r="B77" s="261"/>
      <c r="C77" s="261"/>
      <c r="D77" s="261"/>
      <c r="E77" s="261"/>
    </row>
    <row r="78" spans="1:5">
      <c r="A78" s="261"/>
      <c r="B78" s="261"/>
      <c r="C78" s="261"/>
      <c r="D78" s="261"/>
      <c r="E78" s="261"/>
    </row>
    <row r="79" spans="1:5">
      <c r="A79" s="261"/>
      <c r="B79" s="261"/>
      <c r="C79" s="261"/>
      <c r="D79" s="261"/>
      <c r="E79" s="261"/>
    </row>
    <row r="80" spans="1:5">
      <c r="A80" s="261"/>
      <c r="B80" s="261"/>
      <c r="C80" s="261"/>
      <c r="D80" s="261"/>
      <c r="E80" s="261"/>
    </row>
    <row r="81" spans="1:5">
      <c r="A81" s="261"/>
      <c r="B81" s="261"/>
      <c r="C81" s="261"/>
      <c r="D81" s="261"/>
      <c r="E81" s="261"/>
    </row>
    <row r="82" spans="1:5">
      <c r="A82" s="261"/>
      <c r="B82" s="261"/>
      <c r="C82" s="261"/>
      <c r="D82" s="261"/>
      <c r="E82" s="261"/>
    </row>
    <row r="83" spans="1:5">
      <c r="A83" s="261"/>
      <c r="B83" s="261"/>
      <c r="C83" s="261"/>
      <c r="D83" s="261"/>
      <c r="E83" s="261"/>
    </row>
    <row r="84" spans="1:5">
      <c r="A84" s="261"/>
      <c r="B84" s="261"/>
      <c r="C84" s="261"/>
      <c r="D84" s="261"/>
      <c r="E84" s="261"/>
    </row>
    <row r="85" spans="1:5">
      <c r="A85" s="261"/>
      <c r="B85" s="261"/>
      <c r="C85" s="261"/>
      <c r="D85" s="261"/>
      <c r="E85" s="261"/>
    </row>
    <row r="86" spans="1:5">
      <c r="A86" s="261"/>
      <c r="B86" s="261"/>
      <c r="C86" s="261"/>
      <c r="D86" s="261"/>
      <c r="E86" s="261"/>
    </row>
    <row r="87" spans="1:5">
      <c r="A87" s="261"/>
      <c r="B87" s="261"/>
      <c r="C87" s="261"/>
      <c r="D87" s="261"/>
      <c r="E87" s="261"/>
    </row>
    <row r="88" spans="1:5">
      <c r="A88" s="261"/>
      <c r="B88" s="261"/>
      <c r="C88" s="261"/>
      <c r="D88" s="261"/>
      <c r="E88" s="261"/>
    </row>
    <row r="89" spans="1:5">
      <c r="A89" s="320"/>
      <c r="B89" s="320"/>
      <c r="C89" s="320"/>
      <c r="D89" s="320"/>
      <c r="E89" s="320"/>
    </row>
    <row r="90" spans="1:5">
      <c r="A90" s="320"/>
      <c r="B90" s="320"/>
      <c r="C90" s="320"/>
      <c r="D90" s="320"/>
      <c r="E90" s="320"/>
    </row>
    <row r="91" spans="1:5">
      <c r="A91" s="320"/>
      <c r="B91" s="320"/>
      <c r="C91" s="320"/>
      <c r="D91" s="320"/>
      <c r="E91" s="320"/>
    </row>
    <row r="92" spans="1:5">
      <c r="A92" s="320"/>
      <c r="B92" s="320"/>
      <c r="C92" s="320"/>
      <c r="D92" s="320"/>
      <c r="E92" s="320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270"/>
  <sheetViews>
    <sheetView view="pageBreakPreview" topLeftCell="A124" zoomScale="55" zoomScaleNormal="61" zoomScaleSheetLayoutView="55" zoomScalePageLayoutView="70" workbookViewId="0">
      <selection sqref="A1:J1"/>
    </sheetView>
  </sheetViews>
  <sheetFormatPr defaultColWidth="22.33203125" defaultRowHeight="21.95" customHeight="1"/>
  <cols>
    <col min="1" max="1" width="59.6640625" style="97" customWidth="1"/>
    <col min="2" max="2" width="27.88671875" style="96" bestFit="1" customWidth="1"/>
    <col min="3" max="3" width="14.44140625" style="96" customWidth="1"/>
    <col min="4" max="4" width="24.77734375" style="97" bestFit="1" customWidth="1"/>
    <col min="5" max="5" width="21.5546875" style="413" customWidth="1"/>
    <col min="6" max="6" width="19.44140625" style="716" customWidth="1"/>
    <col min="7" max="7" width="28.88671875" style="717" customWidth="1"/>
    <col min="8" max="8" width="24.6640625" style="718" customWidth="1"/>
    <col min="9" max="9" width="23.5546875" style="716" customWidth="1"/>
    <col min="10" max="10" width="24" style="718" customWidth="1"/>
    <col min="11" max="11" width="43.21875" style="96" hidden="1" customWidth="1"/>
    <col min="12" max="13" width="0" style="96" hidden="1" customWidth="1"/>
    <col min="14" max="14" width="25.109375" style="96" customWidth="1"/>
    <col min="15" max="16" width="22.33203125" style="96"/>
    <col min="17" max="17" width="44.77734375" style="96" customWidth="1"/>
    <col min="18" max="16384" width="22.33203125" style="96"/>
  </cols>
  <sheetData>
    <row r="1" spans="1:15" ht="26.25">
      <c r="A1" s="841" t="s">
        <v>115</v>
      </c>
      <c r="B1" s="842"/>
      <c r="C1" s="842"/>
      <c r="D1" s="842"/>
      <c r="E1" s="842"/>
      <c r="F1" s="842"/>
      <c r="G1" s="842"/>
      <c r="H1" s="842"/>
      <c r="I1" s="842"/>
      <c r="J1" s="843"/>
    </row>
    <row r="2" spans="1:15" s="105" customFormat="1" ht="28.5">
      <c r="A2" s="191" t="s">
        <v>349</v>
      </c>
      <c r="B2" s="565">
        <v>44927</v>
      </c>
      <c r="C2" s="566" t="s">
        <v>67</v>
      </c>
      <c r="D2" s="610">
        <v>0.92</v>
      </c>
      <c r="E2" s="100"/>
      <c r="F2" s="636"/>
      <c r="G2" s="637" t="s">
        <v>116</v>
      </c>
      <c r="H2" s="638" t="s">
        <v>5</v>
      </c>
      <c r="I2" s="636" t="s">
        <v>7</v>
      </c>
      <c r="J2" s="639" t="s">
        <v>117</v>
      </c>
    </row>
    <row r="3" spans="1:15" s="105" customFormat="1" ht="28.5">
      <c r="A3" s="189"/>
      <c r="B3" s="567"/>
      <c r="C3" s="566" t="s">
        <v>118</v>
      </c>
      <c r="D3" s="611">
        <v>26</v>
      </c>
      <c r="E3" s="850" t="s">
        <v>119</v>
      </c>
      <c r="F3" s="851"/>
      <c r="G3" s="637">
        <f>G8-G7</f>
        <v>959</v>
      </c>
      <c r="H3" s="638"/>
      <c r="I3" s="638"/>
      <c r="J3" s="639"/>
      <c r="K3" s="568"/>
      <c r="L3" s="569"/>
    </row>
    <row r="4" spans="1:15" s="105" customFormat="1" ht="28.5">
      <c r="A4" s="192"/>
      <c r="B4" s="570"/>
      <c r="C4" s="566" t="s">
        <v>120</v>
      </c>
      <c r="D4" s="610">
        <v>0.78</v>
      </c>
      <c r="E4" s="103"/>
      <c r="F4" s="640"/>
      <c r="G4" s="637"/>
      <c r="H4" s="638"/>
      <c r="I4" s="641"/>
      <c r="J4" s="639"/>
      <c r="K4" s="571"/>
      <c r="L4" s="569"/>
    </row>
    <row r="5" spans="1:15" s="97" customFormat="1" ht="28.5">
      <c r="A5" s="562" t="s">
        <v>121</v>
      </c>
      <c r="B5" s="98"/>
      <c r="C5" s="98"/>
      <c r="D5" s="98" t="s">
        <v>122</v>
      </c>
      <c r="E5" s="106" t="s">
        <v>123</v>
      </c>
      <c r="F5" s="744" t="s">
        <v>110</v>
      </c>
      <c r="G5" s="745" t="s">
        <v>124</v>
      </c>
      <c r="H5" s="746" t="s">
        <v>125</v>
      </c>
      <c r="I5" s="746" t="s">
        <v>126</v>
      </c>
      <c r="J5" s="747" t="s">
        <v>127</v>
      </c>
      <c r="K5" s="563"/>
      <c r="L5" s="564"/>
    </row>
    <row r="6" spans="1:15" s="105" customFormat="1" ht="28.5">
      <c r="A6" s="844" t="s">
        <v>128</v>
      </c>
      <c r="B6" s="845"/>
      <c r="C6" s="846"/>
      <c r="D6" s="612"/>
      <c r="E6" s="110"/>
      <c r="F6" s="644"/>
      <c r="G6" s="645"/>
      <c r="H6" s="646"/>
      <c r="I6" s="644"/>
      <c r="J6" s="647"/>
      <c r="K6" s="572"/>
      <c r="L6" s="569"/>
    </row>
    <row r="7" spans="1:15" s="105" customFormat="1" ht="29.25" thickBot="1">
      <c r="A7" s="194" t="s">
        <v>129</v>
      </c>
      <c r="B7" s="573"/>
      <c r="C7" s="573"/>
      <c r="D7" s="307" t="s">
        <v>130</v>
      </c>
      <c r="E7" s="95">
        <v>976800</v>
      </c>
      <c r="F7" s="643">
        <v>997205</v>
      </c>
      <c r="G7" s="649">
        <f>F7-E7</f>
        <v>20405</v>
      </c>
      <c r="H7" s="643">
        <f>G7</f>
        <v>20405</v>
      </c>
      <c r="I7" s="650">
        <v>12000</v>
      </c>
      <c r="J7" s="651">
        <f>H7/DAY(B2)</f>
        <v>20405</v>
      </c>
      <c r="K7" s="575">
        <v>1375467</v>
      </c>
      <c r="L7" s="569"/>
      <c r="N7" s="576"/>
      <c r="O7" s="577"/>
    </row>
    <row r="8" spans="1:15" s="105" customFormat="1" ht="29.25" thickBot="1">
      <c r="A8" s="196" t="s">
        <v>131</v>
      </c>
      <c r="B8" s="578"/>
      <c r="C8" s="579"/>
      <c r="D8" s="613" t="s">
        <v>24</v>
      </c>
      <c r="E8" s="114">
        <v>157857</v>
      </c>
      <c r="F8" s="643">
        <v>179221</v>
      </c>
      <c r="G8" s="649">
        <f>F8-E8</f>
        <v>21364</v>
      </c>
      <c r="H8" s="643">
        <f>G8</f>
        <v>21364</v>
      </c>
      <c r="I8" s="652">
        <v>12000</v>
      </c>
      <c r="J8" s="651">
        <f>H8/DAY(B2)</f>
        <v>21364</v>
      </c>
      <c r="K8" s="575">
        <v>1715917</v>
      </c>
      <c r="L8" s="580">
        <v>1728480</v>
      </c>
      <c r="M8" s="576">
        <f>L8-K8</f>
        <v>12563</v>
      </c>
      <c r="N8" s="576"/>
      <c r="O8" s="577">
        <f>G8-G7</f>
        <v>959</v>
      </c>
    </row>
    <row r="9" spans="1:15" s="105" customFormat="1" ht="28.5">
      <c r="A9" s="199" t="s">
        <v>132</v>
      </c>
      <c r="B9" s="581"/>
      <c r="C9" s="581"/>
      <c r="D9" s="307" t="s">
        <v>130</v>
      </c>
      <c r="E9" s="468">
        <v>4416605.9000000004</v>
      </c>
      <c r="F9" s="653">
        <v>4432599.5</v>
      </c>
      <c r="G9" s="654">
        <f>F9-E9</f>
        <v>15993.599999999627</v>
      </c>
      <c r="H9" s="643">
        <f t="shared" ref="H9:H13" si="0">G9</f>
        <v>15993.599999999627</v>
      </c>
      <c r="I9" s="650">
        <f>I8-J8</f>
        <v>-9364</v>
      </c>
      <c r="J9" s="651">
        <f>H9/DAY(B2)</f>
        <v>15993.599999999627</v>
      </c>
      <c r="K9" s="582">
        <f>K8-100</f>
        <v>1715817</v>
      </c>
      <c r="L9" s="569"/>
      <c r="N9" s="576"/>
      <c r="O9" s="577"/>
    </row>
    <row r="10" spans="1:15" s="105" customFormat="1" ht="28.5">
      <c r="A10" s="194" t="s">
        <v>133</v>
      </c>
      <c r="B10" s="573"/>
      <c r="C10" s="573"/>
      <c r="D10" s="307" t="s">
        <v>130</v>
      </c>
      <c r="E10" s="353">
        <v>4070036.3</v>
      </c>
      <c r="F10" s="653">
        <v>4074903.1</v>
      </c>
      <c r="G10" s="654">
        <f t="shared" ref="G10:G11" si="1">F10-E10</f>
        <v>4866.8000000002794</v>
      </c>
      <c r="H10" s="643">
        <f t="shared" si="0"/>
        <v>4866.8000000002794</v>
      </c>
      <c r="I10" s="643"/>
      <c r="J10" s="651">
        <f>H10/DAY(B2)</f>
        <v>4866.8000000002794</v>
      </c>
      <c r="K10" s="582"/>
      <c r="L10" s="569"/>
      <c r="N10" s="576"/>
      <c r="O10" s="577"/>
    </row>
    <row r="11" spans="1:15" s="105" customFormat="1" ht="28.5">
      <c r="A11" s="194" t="s">
        <v>134</v>
      </c>
      <c r="B11" s="573"/>
      <c r="C11" s="573"/>
      <c r="D11" s="307" t="s">
        <v>130</v>
      </c>
      <c r="E11" s="95">
        <v>38700</v>
      </c>
      <c r="F11" s="643">
        <v>38700</v>
      </c>
      <c r="G11" s="654">
        <f t="shared" si="1"/>
        <v>0</v>
      </c>
      <c r="H11" s="643">
        <f t="shared" si="0"/>
        <v>0</v>
      </c>
      <c r="I11" s="643"/>
      <c r="J11" s="651">
        <f>H11/DAY(B2)</f>
        <v>0</v>
      </c>
      <c r="K11" s="582"/>
      <c r="L11" s="569"/>
      <c r="N11" s="576"/>
      <c r="O11" s="577">
        <f>142-18</f>
        <v>124</v>
      </c>
    </row>
    <row r="12" spans="1:15" s="105" customFormat="1" ht="28.5">
      <c r="A12" s="194" t="s">
        <v>135</v>
      </c>
      <c r="B12" s="573"/>
      <c r="C12" s="573"/>
      <c r="D12" s="307" t="s">
        <v>130</v>
      </c>
      <c r="E12" s="117">
        <v>40550</v>
      </c>
      <c r="F12" s="653">
        <v>40550</v>
      </c>
      <c r="G12" s="654">
        <f>F12-E12</f>
        <v>0</v>
      </c>
      <c r="H12" s="643">
        <f t="shared" si="0"/>
        <v>0</v>
      </c>
      <c r="I12" s="643"/>
      <c r="J12" s="651">
        <f>H12/DAY(B2)</f>
        <v>0</v>
      </c>
      <c r="K12" s="582"/>
      <c r="L12" s="569"/>
      <c r="N12" s="576"/>
      <c r="O12" s="577"/>
    </row>
    <row r="13" spans="1:15" s="105" customFormat="1" ht="28.5">
      <c r="A13" s="201" t="s">
        <v>136</v>
      </c>
      <c r="B13" s="583"/>
      <c r="C13" s="583"/>
      <c r="D13" s="307"/>
      <c r="E13" s="95"/>
      <c r="F13" s="643"/>
      <c r="G13" s="654">
        <f>SUM(G9:G12)</f>
        <v>20860.399999999907</v>
      </c>
      <c r="H13" s="643">
        <f t="shared" si="0"/>
        <v>20860.399999999907</v>
      </c>
      <c r="I13" s="650">
        <f>G7-G13</f>
        <v>-455.39999999990687</v>
      </c>
      <c r="J13" s="651">
        <f>H13/DAY(B2)</f>
        <v>20860.399999999907</v>
      </c>
      <c r="K13" s="582"/>
      <c r="L13" s="569"/>
      <c r="N13" s="576"/>
      <c r="O13" s="577"/>
    </row>
    <row r="14" spans="1:15" s="105" customFormat="1" ht="28.5">
      <c r="A14" s="847" t="s">
        <v>137</v>
      </c>
      <c r="B14" s="848"/>
      <c r="C14" s="849"/>
      <c r="D14" s="614"/>
      <c r="E14" s="111"/>
      <c r="F14" s="646"/>
      <c r="G14" s="655"/>
      <c r="H14" s="646"/>
      <c r="I14" s="646"/>
      <c r="J14" s="647"/>
      <c r="K14" s="584"/>
      <c r="L14" s="569"/>
      <c r="N14" s="576"/>
      <c r="O14" s="577"/>
    </row>
    <row r="15" spans="1:15" s="105" customFormat="1" ht="28.5">
      <c r="A15" s="345" t="s">
        <v>138</v>
      </c>
      <c r="B15" s="585"/>
      <c r="C15" s="585"/>
      <c r="D15" s="307" t="s">
        <v>139</v>
      </c>
      <c r="E15" s="468">
        <v>2253301.358</v>
      </c>
      <c r="F15" s="656">
        <v>2254478.5</v>
      </c>
      <c r="G15" s="657">
        <f>(F15-E15)</f>
        <v>1177.1419999999925</v>
      </c>
      <c r="H15" s="650">
        <f>G15</f>
        <v>1177.1419999999925</v>
      </c>
      <c r="I15" s="650">
        <v>800</v>
      </c>
      <c r="J15" s="651">
        <f>H15/DAY(B2)</f>
        <v>1177.1419999999925</v>
      </c>
      <c r="K15" s="582"/>
      <c r="L15" s="569"/>
      <c r="N15" s="576"/>
      <c r="O15" s="577"/>
    </row>
    <row r="16" spans="1:15" s="105" customFormat="1" ht="28.5">
      <c r="A16" s="203"/>
      <c r="B16" s="586"/>
      <c r="C16" s="586"/>
      <c r="D16" s="615"/>
      <c r="E16" s="123"/>
      <c r="F16" s="658"/>
      <c r="G16" s="654"/>
      <c r="H16" s="650"/>
      <c r="I16" s="650">
        <f>I15-J15</f>
        <v>-377.14199999999255</v>
      </c>
      <c r="J16" s="659"/>
      <c r="K16" s="582"/>
      <c r="L16" s="569"/>
      <c r="N16" s="576"/>
      <c r="O16" s="577"/>
    </row>
    <row r="17" spans="1:15" s="105" customFormat="1" ht="28.5">
      <c r="A17" s="847" t="s">
        <v>140</v>
      </c>
      <c r="B17" s="848"/>
      <c r="C17" s="849"/>
      <c r="D17" s="614"/>
      <c r="E17" s="111"/>
      <c r="F17" s="646"/>
      <c r="G17" s="655"/>
      <c r="H17" s="646"/>
      <c r="I17" s="646"/>
      <c r="J17" s="647"/>
      <c r="K17" s="582"/>
      <c r="L17" s="569"/>
      <c r="N17" s="576"/>
      <c r="O17" s="577"/>
    </row>
    <row r="18" spans="1:15" s="105" customFormat="1" ht="28.5">
      <c r="A18" s="815" t="s">
        <v>141</v>
      </c>
      <c r="B18" s="816"/>
      <c r="C18" s="817"/>
      <c r="D18" s="307" t="s">
        <v>142</v>
      </c>
      <c r="E18" s="164">
        <v>18</v>
      </c>
      <c r="F18" s="660">
        <v>19</v>
      </c>
      <c r="G18" s="661">
        <f>F18*10</f>
        <v>190</v>
      </c>
      <c r="H18" s="643">
        <f>G18</f>
        <v>190</v>
      </c>
      <c r="I18" s="650">
        <v>65</v>
      </c>
      <c r="J18" s="651">
        <f>H18/DAY(B2)</f>
        <v>190</v>
      </c>
      <c r="K18" s="582"/>
      <c r="L18" s="569"/>
      <c r="N18" s="576"/>
      <c r="O18" s="577"/>
    </row>
    <row r="19" spans="1:15" s="105" customFormat="1" ht="28.5">
      <c r="A19" s="815" t="s">
        <v>69</v>
      </c>
      <c r="B19" s="816"/>
      <c r="C19" s="817"/>
      <c r="D19" s="307" t="s">
        <v>142</v>
      </c>
      <c r="E19" s="122">
        <v>169560</v>
      </c>
      <c r="F19" s="751">
        <v>169648</v>
      </c>
      <c r="G19" s="654">
        <f t="shared" ref="G19" si="2">F19-E19</f>
        <v>88</v>
      </c>
      <c r="H19" s="643">
        <f t="shared" ref="H19" si="3">G19</f>
        <v>88</v>
      </c>
      <c r="I19" s="653"/>
      <c r="J19" s="651">
        <f>H19/DAY(B2)</f>
        <v>88</v>
      </c>
      <c r="K19" s="582"/>
      <c r="L19" s="569"/>
      <c r="N19" s="576"/>
      <c r="O19" s="577"/>
    </row>
    <row r="20" spans="1:15" s="105" customFormat="1" ht="28.5">
      <c r="A20" s="201" t="s">
        <v>143</v>
      </c>
      <c r="B20" s="583"/>
      <c r="C20" s="583"/>
      <c r="D20" s="616"/>
      <c r="E20" s="126"/>
      <c r="F20" s="662"/>
      <c r="G20" s="663">
        <f>G18+G19</f>
        <v>278</v>
      </c>
      <c r="H20" s="643">
        <f>G20</f>
        <v>278</v>
      </c>
      <c r="I20" s="664">
        <f>I18-J20</f>
        <v>-213</v>
      </c>
      <c r="J20" s="651">
        <f>H20/DAY(B2)</f>
        <v>278</v>
      </c>
      <c r="K20" s="582"/>
      <c r="L20" s="569"/>
      <c r="N20" s="576"/>
      <c r="O20" s="577"/>
    </row>
    <row r="21" spans="1:15" s="105" customFormat="1" ht="28.5">
      <c r="A21" s="847" t="s">
        <v>144</v>
      </c>
      <c r="B21" s="848"/>
      <c r="C21" s="849"/>
      <c r="D21" s="614"/>
      <c r="E21" s="111"/>
      <c r="F21" s="646"/>
      <c r="G21" s="655"/>
      <c r="H21" s="646"/>
      <c r="I21" s="646"/>
      <c r="J21" s="647"/>
      <c r="K21" s="582"/>
      <c r="L21" s="569"/>
      <c r="N21" s="576"/>
      <c r="O21" s="577"/>
    </row>
    <row r="22" spans="1:15" s="105" customFormat="1" ht="28.5">
      <c r="A22" s="345" t="s">
        <v>145</v>
      </c>
      <c r="B22" s="585"/>
      <c r="C22" s="585"/>
      <c r="D22" s="307" t="s">
        <v>146</v>
      </c>
      <c r="E22" s="122">
        <v>2970</v>
      </c>
      <c r="F22" s="660">
        <v>2970</v>
      </c>
      <c r="G22" s="661">
        <f>(F22-E22)</f>
        <v>0</v>
      </c>
      <c r="H22" s="643">
        <f>G22</f>
        <v>0</v>
      </c>
      <c r="I22" s="643"/>
      <c r="J22" s="651">
        <f>H22/DAY(B2)</f>
        <v>0</v>
      </c>
      <c r="K22" s="582"/>
      <c r="L22" s="569"/>
      <c r="N22" s="576"/>
      <c r="O22" s="577"/>
    </row>
    <row r="23" spans="1:15" s="105" customFormat="1" ht="28.5">
      <c r="A23" s="345" t="s">
        <v>147</v>
      </c>
      <c r="B23" s="585"/>
      <c r="C23" s="585"/>
      <c r="D23" s="307" t="s">
        <v>146</v>
      </c>
      <c r="E23" s="122">
        <v>2000</v>
      </c>
      <c r="F23" s="660">
        <v>2000</v>
      </c>
      <c r="G23" s="661">
        <f t="shared" ref="G23" si="4">(F23-E23)</f>
        <v>0</v>
      </c>
      <c r="H23" s="643">
        <f t="shared" ref="H23:H24" si="5">G23</f>
        <v>0</v>
      </c>
      <c r="I23" s="643"/>
      <c r="J23" s="651">
        <f>H23/DAY(B2)</f>
        <v>0</v>
      </c>
      <c r="K23" s="582"/>
      <c r="L23" s="569"/>
      <c r="N23" s="576"/>
      <c r="O23" s="577"/>
    </row>
    <row r="24" spans="1:15" s="105" customFormat="1" ht="28.5">
      <c r="A24" s="206" t="s">
        <v>148</v>
      </c>
      <c r="B24" s="587"/>
      <c r="C24" s="587"/>
      <c r="D24" s="617" t="s">
        <v>146</v>
      </c>
      <c r="E24" s="128">
        <v>4970</v>
      </c>
      <c r="F24" s="665">
        <v>4970</v>
      </c>
      <c r="G24" s="661">
        <f>SUM(G22:G23)</f>
        <v>0</v>
      </c>
      <c r="H24" s="643">
        <f t="shared" si="5"/>
        <v>0</v>
      </c>
      <c r="I24" s="643"/>
      <c r="J24" s="651">
        <f>H24/DAY(B2)</f>
        <v>0</v>
      </c>
      <c r="K24" s="582"/>
      <c r="L24" s="569"/>
      <c r="N24" s="576"/>
      <c r="O24" s="577"/>
    </row>
    <row r="25" spans="1:15" s="105" customFormat="1" ht="28.5">
      <c r="A25" s="844" t="s">
        <v>149</v>
      </c>
      <c r="B25" s="845"/>
      <c r="C25" s="846"/>
      <c r="D25" s="612"/>
      <c r="E25" s="110"/>
      <c r="F25" s="646"/>
      <c r="G25" s="655"/>
      <c r="H25" s="646"/>
      <c r="I25" s="666"/>
      <c r="J25" s="647"/>
      <c r="K25" s="582"/>
      <c r="L25" s="569"/>
      <c r="N25" s="576"/>
      <c r="O25" s="577"/>
    </row>
    <row r="26" spans="1:15" s="105" customFormat="1" ht="28.5">
      <c r="A26" s="208" t="s">
        <v>150</v>
      </c>
      <c r="B26" s="588"/>
      <c r="C26" s="589"/>
      <c r="D26" s="618" t="s">
        <v>151</v>
      </c>
      <c r="E26" s="132"/>
      <c r="F26" s="667"/>
      <c r="G26" s="668"/>
      <c r="H26" s="643"/>
      <c r="I26" s="669"/>
      <c r="J26" s="651"/>
      <c r="K26" s="584"/>
      <c r="L26" s="569"/>
      <c r="N26" s="576"/>
      <c r="O26" s="577"/>
    </row>
    <row r="27" spans="1:15" s="105" customFormat="1" ht="28.5">
      <c r="A27" s="208" t="s">
        <v>5</v>
      </c>
      <c r="B27" s="588"/>
      <c r="C27" s="589"/>
      <c r="D27" s="619" t="s">
        <v>24</v>
      </c>
      <c r="E27" s="136">
        <f>G8</f>
        <v>21364</v>
      </c>
      <c r="F27" s="671">
        <v>10</v>
      </c>
      <c r="G27" s="672">
        <f>F27*E27</f>
        <v>213640</v>
      </c>
      <c r="H27" s="643">
        <f t="shared" ref="H27:H32" si="6">G27</f>
        <v>213640</v>
      </c>
      <c r="I27" s="673"/>
      <c r="J27" s="651">
        <f>H27/DAY(B2)</f>
        <v>213640</v>
      </c>
      <c r="K27" s="582"/>
      <c r="L27" s="569"/>
      <c r="N27" s="576"/>
      <c r="O27" s="577"/>
    </row>
    <row r="28" spans="1:15" s="105" customFormat="1" ht="28.5">
      <c r="A28" s="208" t="s">
        <v>152</v>
      </c>
      <c r="B28" s="588"/>
      <c r="C28" s="589"/>
      <c r="D28" s="619" t="s">
        <v>153</v>
      </c>
      <c r="E28" s="136">
        <f>G15</f>
        <v>1177.1419999999925</v>
      </c>
      <c r="F28" s="671">
        <v>75</v>
      </c>
      <c r="G28" s="672">
        <f>E28*F28</f>
        <v>88285.649999999441</v>
      </c>
      <c r="H28" s="643">
        <f t="shared" si="6"/>
        <v>88285.649999999441</v>
      </c>
      <c r="I28" s="669"/>
      <c r="J28" s="651">
        <f>H28/DAY(B2)</f>
        <v>88285.649999999441</v>
      </c>
      <c r="K28" s="582"/>
      <c r="L28" s="569"/>
      <c r="N28" s="576"/>
      <c r="O28" s="577"/>
    </row>
    <row r="29" spans="1:15" s="105" customFormat="1" ht="28.5">
      <c r="A29" s="208" t="s">
        <v>154</v>
      </c>
      <c r="B29" s="588"/>
      <c r="C29" s="589"/>
      <c r="D29" s="619" t="s">
        <v>155</v>
      </c>
      <c r="E29" s="136">
        <f>G24</f>
        <v>0</v>
      </c>
      <c r="F29" s="671">
        <v>69</v>
      </c>
      <c r="G29" s="672">
        <f>E29*F29</f>
        <v>0</v>
      </c>
      <c r="H29" s="643">
        <f t="shared" si="6"/>
        <v>0</v>
      </c>
      <c r="I29" s="669"/>
      <c r="J29" s="651">
        <f>H29/DAY(B2)</f>
        <v>0</v>
      </c>
      <c r="K29" s="582"/>
      <c r="L29" s="569"/>
      <c r="N29" s="576"/>
      <c r="O29" s="577"/>
    </row>
    <row r="30" spans="1:15" s="105" customFormat="1" ht="28.5">
      <c r="A30" s="208" t="s">
        <v>156</v>
      </c>
      <c r="B30" s="588"/>
      <c r="C30" s="589"/>
      <c r="D30" s="619" t="s">
        <v>157</v>
      </c>
      <c r="E30" s="136">
        <f>G19</f>
        <v>88</v>
      </c>
      <c r="F30" s="671">
        <v>151</v>
      </c>
      <c r="G30" s="672">
        <f>E30*F30</f>
        <v>13288</v>
      </c>
      <c r="H30" s="643">
        <f t="shared" si="6"/>
        <v>13288</v>
      </c>
      <c r="I30" s="669"/>
      <c r="J30" s="651">
        <f>H30/DAY(B2)</f>
        <v>13288</v>
      </c>
      <c r="K30" s="582"/>
      <c r="L30" s="569"/>
      <c r="N30" s="576"/>
      <c r="O30" s="577"/>
    </row>
    <row r="31" spans="1:15" s="105" customFormat="1" ht="28.5">
      <c r="A31" s="208" t="s">
        <v>158</v>
      </c>
      <c r="B31" s="588"/>
      <c r="C31" s="589"/>
      <c r="D31" s="619" t="s">
        <v>142</v>
      </c>
      <c r="E31" s="136">
        <f>G18</f>
        <v>190</v>
      </c>
      <c r="F31" s="671">
        <v>80</v>
      </c>
      <c r="G31" s="672">
        <f>E31*F31</f>
        <v>15200</v>
      </c>
      <c r="H31" s="643">
        <f t="shared" si="6"/>
        <v>15200</v>
      </c>
      <c r="I31" s="669"/>
      <c r="J31" s="651">
        <f>H31/DAY(B2)</f>
        <v>15200</v>
      </c>
      <c r="K31" s="582"/>
      <c r="L31" s="569"/>
      <c r="N31" s="576"/>
      <c r="O31" s="577"/>
    </row>
    <row r="32" spans="1:15" s="105" customFormat="1" ht="28.5">
      <c r="A32" s="211" t="s">
        <v>159</v>
      </c>
      <c r="B32" s="590"/>
      <c r="C32" s="591"/>
      <c r="D32" s="620"/>
      <c r="E32" s="142"/>
      <c r="F32" s="674"/>
      <c r="G32" s="675">
        <f>G27+G28+G29+G30+G31</f>
        <v>330413.64999999944</v>
      </c>
      <c r="H32" s="676">
        <f t="shared" si="6"/>
        <v>330413.64999999944</v>
      </c>
      <c r="I32" s="677"/>
      <c r="J32" s="678">
        <f>H32/DAY(B2)</f>
        <v>330413.64999999944</v>
      </c>
      <c r="K32" s="582"/>
      <c r="L32" s="569"/>
      <c r="N32" s="576"/>
      <c r="O32" s="577"/>
    </row>
    <row r="33" spans="1:15" s="105" customFormat="1" ht="25.5" customHeight="1">
      <c r="A33" s="852" t="s">
        <v>331</v>
      </c>
      <c r="B33" s="853"/>
      <c r="C33" s="853"/>
      <c r="D33" s="621"/>
      <c r="E33" s="529"/>
      <c r="F33" s="679"/>
      <c r="G33" s="679"/>
      <c r="H33" s="679"/>
      <c r="I33" s="679"/>
      <c r="J33" s="680"/>
      <c r="K33" s="582"/>
      <c r="L33" s="569"/>
      <c r="N33" s="576"/>
      <c r="O33" s="577"/>
    </row>
    <row r="34" spans="1:15" s="105" customFormat="1" ht="28.5">
      <c r="A34" s="214" t="s">
        <v>160</v>
      </c>
      <c r="B34" s="592"/>
      <c r="C34" s="592"/>
      <c r="D34" s="614"/>
      <c r="E34" s="110"/>
      <c r="F34" s="646"/>
      <c r="G34" s="646"/>
      <c r="H34" s="646"/>
      <c r="I34" s="646"/>
      <c r="J34" s="647"/>
      <c r="K34" s="582"/>
      <c r="L34" s="569"/>
      <c r="N34" s="576"/>
      <c r="O34" s="577"/>
    </row>
    <row r="35" spans="1:15" s="105" customFormat="1" ht="28.5">
      <c r="A35" s="194" t="s">
        <v>161</v>
      </c>
      <c r="B35" s="573"/>
      <c r="C35" s="573"/>
      <c r="D35" s="307" t="s">
        <v>130</v>
      </c>
      <c r="E35" s="145">
        <v>454517.99</v>
      </c>
      <c r="F35" s="653">
        <v>457477.35</v>
      </c>
      <c r="G35" s="654">
        <f t="shared" ref="G35:G46" si="7">F35-E35</f>
        <v>2959.359999999986</v>
      </c>
      <c r="H35" s="643">
        <f t="shared" ref="H35:H47" si="8">G35</f>
        <v>2959.359999999986</v>
      </c>
      <c r="I35" s="643"/>
      <c r="J35" s="651">
        <f>H35/DAY(B2)</f>
        <v>2959.359999999986</v>
      </c>
      <c r="K35" s="582"/>
      <c r="L35" s="569"/>
      <c r="N35" s="576"/>
      <c r="O35" s="577"/>
    </row>
    <row r="36" spans="1:15" s="105" customFormat="1" ht="28.5">
      <c r="A36" s="194" t="s">
        <v>162</v>
      </c>
      <c r="B36" s="573"/>
      <c r="C36" s="573"/>
      <c r="D36" s="307" t="s">
        <v>130</v>
      </c>
      <c r="E36" s="145">
        <v>354088.9</v>
      </c>
      <c r="F36" s="653">
        <v>355036.47</v>
      </c>
      <c r="G36" s="654">
        <f t="shared" si="7"/>
        <v>947.56999999994878</v>
      </c>
      <c r="H36" s="643">
        <f t="shared" si="8"/>
        <v>947.56999999994878</v>
      </c>
      <c r="I36" s="643"/>
      <c r="J36" s="651">
        <f>H36/DAY(B2)</f>
        <v>947.56999999994878</v>
      </c>
      <c r="K36" s="582"/>
      <c r="L36" s="569"/>
      <c r="N36" s="576"/>
      <c r="O36" s="593"/>
    </row>
    <row r="37" spans="1:15" s="105" customFormat="1" ht="28.5">
      <c r="A37" s="194" t="s">
        <v>163</v>
      </c>
      <c r="B37" s="573"/>
      <c r="C37" s="573"/>
      <c r="D37" s="307" t="s">
        <v>130</v>
      </c>
      <c r="E37" s="145">
        <v>338269.87</v>
      </c>
      <c r="F37" s="653">
        <v>339699.83</v>
      </c>
      <c r="G37" s="654">
        <f t="shared" si="7"/>
        <v>1429.960000000021</v>
      </c>
      <c r="H37" s="643">
        <f t="shared" si="8"/>
        <v>1429.960000000021</v>
      </c>
      <c r="I37" s="643"/>
      <c r="J37" s="651">
        <f>H37/DAY(B2)</f>
        <v>1429.960000000021</v>
      </c>
      <c r="K37" s="582"/>
      <c r="L37" s="569"/>
      <c r="N37" s="576"/>
      <c r="O37" s="594"/>
    </row>
    <row r="38" spans="1:15" s="105" customFormat="1" ht="28.5">
      <c r="A38" s="194" t="s">
        <v>164</v>
      </c>
      <c r="B38" s="573"/>
      <c r="C38" s="573"/>
      <c r="D38" s="307" t="s">
        <v>130</v>
      </c>
      <c r="E38" s="108">
        <v>799677.35</v>
      </c>
      <c r="F38" s="643">
        <v>800098.23</v>
      </c>
      <c r="G38" s="654">
        <f t="shared" si="7"/>
        <v>420.88000000000466</v>
      </c>
      <c r="H38" s="643">
        <f t="shared" si="8"/>
        <v>420.88000000000466</v>
      </c>
      <c r="I38" s="643"/>
      <c r="J38" s="651">
        <f>H38/DAY(B2)</f>
        <v>420.88000000000466</v>
      </c>
      <c r="K38" s="582"/>
      <c r="L38" s="569"/>
      <c r="N38" s="576"/>
      <c r="O38" s="577"/>
    </row>
    <row r="39" spans="1:15" s="105" customFormat="1" ht="28.5">
      <c r="A39" s="194" t="s">
        <v>165</v>
      </c>
      <c r="B39" s="573"/>
      <c r="C39" s="573"/>
      <c r="D39" s="307" t="s">
        <v>130</v>
      </c>
      <c r="E39" s="145">
        <v>620290</v>
      </c>
      <c r="F39" s="653">
        <v>623091.99</v>
      </c>
      <c r="G39" s="654">
        <f t="shared" si="7"/>
        <v>2801.9899999999907</v>
      </c>
      <c r="H39" s="643">
        <f t="shared" si="8"/>
        <v>2801.9899999999907</v>
      </c>
      <c r="I39" s="643"/>
      <c r="J39" s="651">
        <f>H39/DAY(B2)</f>
        <v>2801.9899999999907</v>
      </c>
      <c r="K39" s="582"/>
      <c r="L39" s="569"/>
      <c r="N39" s="576"/>
      <c r="O39" s="577"/>
    </row>
    <row r="40" spans="1:15" s="105" customFormat="1" ht="28.5">
      <c r="A40" s="215" t="s">
        <v>166</v>
      </c>
      <c r="B40" s="595"/>
      <c r="C40" s="595"/>
      <c r="D40" s="307" t="s">
        <v>130</v>
      </c>
      <c r="E40" s="145">
        <v>209686.35</v>
      </c>
      <c r="F40" s="653">
        <v>210157.81</v>
      </c>
      <c r="G40" s="654">
        <f t="shared" si="7"/>
        <v>471.45999999999185</v>
      </c>
      <c r="H40" s="643">
        <f t="shared" si="8"/>
        <v>471.45999999999185</v>
      </c>
      <c r="I40" s="643"/>
      <c r="J40" s="651">
        <f>H40/DAY(B2)</f>
        <v>471.45999999999185</v>
      </c>
      <c r="K40" s="584"/>
      <c r="L40" s="569"/>
      <c r="N40" s="576"/>
      <c r="O40" s="577"/>
    </row>
    <row r="41" spans="1:15" s="105" customFormat="1" ht="28.5">
      <c r="A41" s="194" t="s">
        <v>167</v>
      </c>
      <c r="B41" s="573"/>
      <c r="C41" s="573"/>
      <c r="D41" s="307" t="s">
        <v>130</v>
      </c>
      <c r="E41" s="145">
        <v>420212.51</v>
      </c>
      <c r="F41" s="653">
        <v>420212.5</v>
      </c>
      <c r="G41" s="654">
        <f t="shared" si="7"/>
        <v>-1.0000000009313226E-2</v>
      </c>
      <c r="H41" s="643">
        <f t="shared" si="8"/>
        <v>-1.0000000009313226E-2</v>
      </c>
      <c r="I41" s="643"/>
      <c r="J41" s="651">
        <f>H41/DAY(B2)</f>
        <v>-1.0000000009313226E-2</v>
      </c>
      <c r="K41" s="582"/>
      <c r="L41" s="569"/>
      <c r="N41" s="576"/>
      <c r="O41" s="577"/>
    </row>
    <row r="42" spans="1:15" s="105" customFormat="1" ht="28.5">
      <c r="A42" s="194" t="s">
        <v>168</v>
      </c>
      <c r="B42" s="573"/>
      <c r="C42" s="573"/>
      <c r="D42" s="307" t="s">
        <v>130</v>
      </c>
      <c r="E42" s="145">
        <v>920954.47</v>
      </c>
      <c r="F42" s="653">
        <v>924988.23</v>
      </c>
      <c r="G42" s="654">
        <f t="shared" si="7"/>
        <v>4033.7600000000093</v>
      </c>
      <c r="H42" s="643">
        <f t="shared" si="8"/>
        <v>4033.7600000000093</v>
      </c>
      <c r="I42" s="643"/>
      <c r="J42" s="651">
        <f>H42/DAY(B2)</f>
        <v>4033.7600000000093</v>
      </c>
      <c r="K42" s="582"/>
      <c r="L42" s="569"/>
      <c r="N42" s="576"/>
      <c r="O42" s="577"/>
    </row>
    <row r="43" spans="1:15" s="105" customFormat="1" ht="28.5">
      <c r="A43" s="194" t="s">
        <v>169</v>
      </c>
      <c r="B43" s="573"/>
      <c r="C43" s="573"/>
      <c r="D43" s="307" t="s">
        <v>130</v>
      </c>
      <c r="E43" s="145">
        <v>422444</v>
      </c>
      <c r="F43" s="752">
        <v>422444</v>
      </c>
      <c r="G43" s="654">
        <f t="shared" si="7"/>
        <v>0</v>
      </c>
      <c r="H43" s="643">
        <f t="shared" si="8"/>
        <v>0</v>
      </c>
      <c r="I43" s="643"/>
      <c r="J43" s="651">
        <f>H43/DAY(B2)</f>
        <v>0</v>
      </c>
      <c r="K43" s="582"/>
      <c r="L43" s="569"/>
      <c r="N43" s="576"/>
      <c r="O43" s="577"/>
    </row>
    <row r="44" spans="1:15" s="105" customFormat="1" ht="28.5">
      <c r="A44" s="194" t="s">
        <v>170</v>
      </c>
      <c r="B44" s="573"/>
      <c r="C44" s="573"/>
      <c r="D44" s="307" t="s">
        <v>130</v>
      </c>
      <c r="E44" s="145">
        <v>0</v>
      </c>
      <c r="F44" s="653">
        <v>0</v>
      </c>
      <c r="G44" s="654">
        <f t="shared" si="7"/>
        <v>0</v>
      </c>
      <c r="H44" s="643">
        <f t="shared" si="8"/>
        <v>0</v>
      </c>
      <c r="I44" s="643"/>
      <c r="J44" s="651">
        <f>H44/DAY(B2)</f>
        <v>0</v>
      </c>
      <c r="K44" s="582"/>
      <c r="L44" s="569"/>
      <c r="N44" s="576"/>
      <c r="O44" s="577"/>
    </row>
    <row r="45" spans="1:15" s="105" customFormat="1" ht="28.5">
      <c r="A45" s="194" t="s">
        <v>171</v>
      </c>
      <c r="B45" s="573"/>
      <c r="C45" s="573"/>
      <c r="D45" s="307" t="s">
        <v>130</v>
      </c>
      <c r="E45" s="145">
        <v>0</v>
      </c>
      <c r="F45" s="653">
        <v>0</v>
      </c>
      <c r="G45" s="654">
        <f t="shared" si="7"/>
        <v>0</v>
      </c>
      <c r="H45" s="643">
        <f t="shared" si="8"/>
        <v>0</v>
      </c>
      <c r="I45" s="643"/>
      <c r="J45" s="651">
        <f>H45/DAY(B2)</f>
        <v>0</v>
      </c>
      <c r="K45" s="582"/>
      <c r="L45" s="569"/>
      <c r="N45" s="576"/>
      <c r="O45" s="577"/>
    </row>
    <row r="46" spans="1:15" s="105" customFormat="1" ht="28.5">
      <c r="A46" s="194" t="s">
        <v>172</v>
      </c>
      <c r="B46" s="573"/>
      <c r="C46" s="573"/>
      <c r="D46" s="307" t="s">
        <v>130</v>
      </c>
      <c r="E46" s="145">
        <v>0</v>
      </c>
      <c r="F46" s="653">
        <v>0</v>
      </c>
      <c r="G46" s="654">
        <f t="shared" si="7"/>
        <v>0</v>
      </c>
      <c r="H46" s="643">
        <f t="shared" si="8"/>
        <v>0</v>
      </c>
      <c r="I46" s="643"/>
      <c r="J46" s="651">
        <f>H46/DAY(B2)</f>
        <v>0</v>
      </c>
      <c r="K46" s="582"/>
      <c r="L46" s="569"/>
      <c r="N46" s="576"/>
      <c r="O46" s="577"/>
    </row>
    <row r="47" spans="1:15" s="105" customFormat="1" ht="28.5">
      <c r="A47" s="201" t="s">
        <v>173</v>
      </c>
      <c r="B47" s="583"/>
      <c r="C47" s="583"/>
      <c r="D47" s="622"/>
      <c r="E47" s="146"/>
      <c r="F47" s="643"/>
      <c r="G47" s="661">
        <f>G35+G36+G37+G38+G39+G40+G41+G42+G43+G44+G45+G46</f>
        <v>13064.969999999943</v>
      </c>
      <c r="H47" s="643">
        <f t="shared" si="8"/>
        <v>13064.969999999943</v>
      </c>
      <c r="I47" s="643"/>
      <c r="J47" s="651">
        <f>H47/DAY(B2)</f>
        <v>13064.969999999943</v>
      </c>
      <c r="K47" s="582"/>
      <c r="L47" s="569"/>
      <c r="N47" s="576"/>
      <c r="O47" s="577"/>
    </row>
    <row r="48" spans="1:15" s="105" customFormat="1" ht="28.5">
      <c r="A48" s="214" t="s">
        <v>174</v>
      </c>
      <c r="B48" s="592"/>
      <c r="C48" s="592"/>
      <c r="D48" s="614"/>
      <c r="E48" s="110"/>
      <c r="F48" s="646"/>
      <c r="G48" s="646"/>
      <c r="H48" s="646"/>
      <c r="I48" s="646"/>
      <c r="J48" s="647"/>
      <c r="K48" s="582"/>
      <c r="L48" s="569"/>
      <c r="N48" s="576"/>
      <c r="O48" s="577"/>
    </row>
    <row r="49" spans="1:15" s="105" customFormat="1" ht="28.5">
      <c r="A49" s="194" t="s">
        <v>161</v>
      </c>
      <c r="B49" s="596"/>
      <c r="C49" s="596"/>
      <c r="D49" s="307" t="s">
        <v>130</v>
      </c>
      <c r="E49" s="145">
        <v>806504.15</v>
      </c>
      <c r="F49" s="653">
        <v>807009.8</v>
      </c>
      <c r="G49" s="654">
        <f t="shared" ref="G49:G58" si="9">F49-E49</f>
        <v>505.65000000002328</v>
      </c>
      <c r="H49" s="643">
        <f t="shared" ref="H49:H60" si="10">G49</f>
        <v>505.65000000002328</v>
      </c>
      <c r="I49" s="643"/>
      <c r="J49" s="651">
        <f>H49/DAY(B2)</f>
        <v>505.65000000002328</v>
      </c>
      <c r="K49" s="582"/>
      <c r="L49" s="569"/>
      <c r="N49" s="576"/>
      <c r="O49" s="577"/>
    </row>
    <row r="50" spans="1:15" s="105" customFormat="1" ht="28.5">
      <c r="A50" s="194" t="s">
        <v>175</v>
      </c>
      <c r="B50" s="596"/>
      <c r="C50" s="596"/>
      <c r="D50" s="307" t="s">
        <v>130</v>
      </c>
      <c r="E50" s="145">
        <v>501153</v>
      </c>
      <c r="F50" s="653">
        <v>502527.79</v>
      </c>
      <c r="G50" s="654">
        <f t="shared" si="9"/>
        <v>1374.789999999979</v>
      </c>
      <c r="H50" s="643">
        <f t="shared" si="10"/>
        <v>1374.789999999979</v>
      </c>
      <c r="I50" s="643"/>
      <c r="J50" s="651">
        <f>H50/DAY(B2)</f>
        <v>1374.789999999979</v>
      </c>
      <c r="K50" s="582"/>
      <c r="L50" s="569"/>
      <c r="N50" s="576"/>
      <c r="O50" s="577"/>
    </row>
    <row r="51" spans="1:15" s="105" customFormat="1" ht="28.5">
      <c r="A51" s="194" t="s">
        <v>163</v>
      </c>
      <c r="B51" s="596"/>
      <c r="C51" s="596"/>
      <c r="D51" s="307" t="s">
        <v>130</v>
      </c>
      <c r="E51" s="145">
        <v>156958</v>
      </c>
      <c r="F51" s="653">
        <v>156958.44</v>
      </c>
      <c r="G51" s="654">
        <f t="shared" si="9"/>
        <v>0.44000000000232831</v>
      </c>
      <c r="H51" s="643">
        <f t="shared" si="10"/>
        <v>0.44000000000232831</v>
      </c>
      <c r="I51" s="643"/>
      <c r="J51" s="651">
        <f>H51/DAY(B2)</f>
        <v>0.44000000000232831</v>
      </c>
      <c r="K51" s="582"/>
      <c r="L51" s="569"/>
      <c r="N51" s="576"/>
      <c r="O51" s="577"/>
    </row>
    <row r="52" spans="1:15" s="105" customFormat="1" ht="28.5">
      <c r="A52" s="194" t="s">
        <v>176</v>
      </c>
      <c r="B52" s="596"/>
      <c r="C52" s="596"/>
      <c r="D52" s="307" t="s">
        <v>130</v>
      </c>
      <c r="E52" s="145">
        <v>10</v>
      </c>
      <c r="F52" s="653">
        <v>9.76</v>
      </c>
      <c r="G52" s="654">
        <f t="shared" si="9"/>
        <v>-0.24000000000000021</v>
      </c>
      <c r="H52" s="643">
        <f t="shared" si="10"/>
        <v>-0.24000000000000021</v>
      </c>
      <c r="I52" s="643"/>
      <c r="J52" s="651">
        <f>H52/DAY(B2)</f>
        <v>-0.24000000000000021</v>
      </c>
      <c r="K52" s="582"/>
      <c r="L52" s="569"/>
      <c r="N52" s="576"/>
      <c r="O52" s="577"/>
    </row>
    <row r="53" spans="1:15" s="105" customFormat="1" ht="28.5">
      <c r="A53" s="194" t="s">
        <v>165</v>
      </c>
      <c r="B53" s="596"/>
      <c r="C53" s="596"/>
      <c r="D53" s="307" t="s">
        <v>130</v>
      </c>
      <c r="E53" s="145">
        <v>630355.03</v>
      </c>
      <c r="F53" s="653">
        <v>630355.03</v>
      </c>
      <c r="G53" s="654">
        <f t="shared" si="9"/>
        <v>0</v>
      </c>
      <c r="H53" s="643">
        <f t="shared" si="10"/>
        <v>0</v>
      </c>
      <c r="I53" s="643"/>
      <c r="J53" s="651">
        <f>H53/DAY(B2)</f>
        <v>0</v>
      </c>
      <c r="K53" s="582"/>
      <c r="L53" s="569"/>
      <c r="N53" s="576"/>
      <c r="O53" s="577"/>
    </row>
    <row r="54" spans="1:15" s="105" customFormat="1" ht="28.5">
      <c r="A54" s="194" t="s">
        <v>177</v>
      </c>
      <c r="B54" s="596"/>
      <c r="C54" s="596"/>
      <c r="D54" s="307" t="s">
        <v>130</v>
      </c>
      <c r="E54" s="145">
        <v>114597.13</v>
      </c>
      <c r="F54" s="653">
        <v>114958.95</v>
      </c>
      <c r="G54" s="654">
        <f t="shared" si="9"/>
        <v>361.81999999999243</v>
      </c>
      <c r="H54" s="643">
        <f t="shared" si="10"/>
        <v>361.81999999999243</v>
      </c>
      <c r="I54" s="643"/>
      <c r="J54" s="651">
        <f>H54/DAY(B2)</f>
        <v>361.81999999999243</v>
      </c>
      <c r="K54" s="582"/>
      <c r="L54" s="569"/>
      <c r="N54" s="576"/>
      <c r="O54" s="577"/>
    </row>
    <row r="55" spans="1:15" s="105" customFormat="1" ht="28.5">
      <c r="A55" s="194" t="s">
        <v>178</v>
      </c>
      <c r="B55" s="596"/>
      <c r="C55" s="596"/>
      <c r="D55" s="307" t="s">
        <v>130</v>
      </c>
      <c r="E55" s="145">
        <v>576335.63</v>
      </c>
      <c r="F55" s="653">
        <v>576335.63</v>
      </c>
      <c r="G55" s="654">
        <f t="shared" si="9"/>
        <v>0</v>
      </c>
      <c r="H55" s="643">
        <f t="shared" si="10"/>
        <v>0</v>
      </c>
      <c r="I55" s="643"/>
      <c r="J55" s="651">
        <f>H55/DAY(B2)</f>
        <v>0</v>
      </c>
      <c r="K55" s="582"/>
      <c r="L55" s="569"/>
      <c r="N55" s="576"/>
      <c r="O55" s="577"/>
    </row>
    <row r="56" spans="1:15" s="105" customFormat="1" ht="28.5">
      <c r="A56" s="194" t="s">
        <v>179</v>
      </c>
      <c r="B56" s="596"/>
      <c r="C56" s="596"/>
      <c r="D56" s="307" t="s">
        <v>180</v>
      </c>
      <c r="E56" s="145">
        <v>335226.21000000002</v>
      </c>
      <c r="F56" s="653">
        <v>335403</v>
      </c>
      <c r="G56" s="654">
        <f t="shared" si="9"/>
        <v>176.78999999997905</v>
      </c>
      <c r="H56" s="643">
        <f t="shared" si="10"/>
        <v>176.78999999997905</v>
      </c>
      <c r="I56" s="643"/>
      <c r="J56" s="651">
        <f>H56/DAY(B2)</f>
        <v>176.78999999997905</v>
      </c>
      <c r="K56" s="572"/>
      <c r="L56" s="569"/>
      <c r="N56" s="576"/>
      <c r="O56" s="577"/>
    </row>
    <row r="57" spans="1:15" s="105" customFormat="1" ht="28.5">
      <c r="A57" s="194" t="s">
        <v>169</v>
      </c>
      <c r="B57" s="596"/>
      <c r="C57" s="596"/>
      <c r="D57" s="307" t="s">
        <v>130</v>
      </c>
      <c r="E57" s="145">
        <v>630833</v>
      </c>
      <c r="F57" s="653">
        <v>633338.35</v>
      </c>
      <c r="G57" s="654">
        <f t="shared" si="9"/>
        <v>2505.3499999999767</v>
      </c>
      <c r="H57" s="643">
        <f t="shared" si="10"/>
        <v>2505.3499999999767</v>
      </c>
      <c r="I57" s="643"/>
      <c r="J57" s="651">
        <f>H57/DAY(B2)</f>
        <v>2505.3499999999767</v>
      </c>
      <c r="K57" s="582"/>
      <c r="L57" s="569"/>
      <c r="N57" s="576"/>
      <c r="O57" s="577"/>
    </row>
    <row r="58" spans="1:15" s="105" customFormat="1" ht="28.5">
      <c r="A58" s="194" t="s">
        <v>181</v>
      </c>
      <c r="B58" s="596"/>
      <c r="C58" s="596"/>
      <c r="D58" s="307" t="s">
        <v>130</v>
      </c>
      <c r="E58" s="145">
        <v>86560.498999999996</v>
      </c>
      <c r="F58" s="653">
        <v>86792.43</v>
      </c>
      <c r="G58" s="654">
        <f t="shared" si="9"/>
        <v>231.93099999999686</v>
      </c>
      <c r="H58" s="643">
        <f t="shared" si="10"/>
        <v>231.93099999999686</v>
      </c>
      <c r="I58" s="643"/>
      <c r="J58" s="651">
        <f>H58/DAY(B2)</f>
        <v>231.93099999999686</v>
      </c>
      <c r="K58" s="582"/>
      <c r="L58" s="569"/>
      <c r="N58" s="576"/>
      <c r="O58" s="577"/>
    </row>
    <row r="59" spans="1:15" s="105" customFormat="1" ht="28.5">
      <c r="A59" s="201" t="s">
        <v>173</v>
      </c>
      <c r="B59" s="583"/>
      <c r="C59" s="583"/>
      <c r="D59" s="617"/>
      <c r="E59" s="146"/>
      <c r="F59" s="643"/>
      <c r="G59" s="661">
        <f>G49+G50+G51+G52+G53+G54+G55+G56+G57+G58</f>
        <v>5156.5309999999499</v>
      </c>
      <c r="H59" s="643">
        <f t="shared" si="10"/>
        <v>5156.5309999999499</v>
      </c>
      <c r="I59" s="643">
        <f>G7-G60</f>
        <v>2183.4990000001053</v>
      </c>
      <c r="J59" s="651">
        <f>H59/DAY(B2)</f>
        <v>5156.5309999999499</v>
      </c>
      <c r="K59" s="582"/>
      <c r="L59" s="569"/>
      <c r="N59" s="576"/>
      <c r="O59" s="577"/>
    </row>
    <row r="60" spans="1:15" s="105" customFormat="1" ht="28.5">
      <c r="A60" s="194"/>
      <c r="B60" s="573"/>
      <c r="C60" s="573"/>
      <c r="D60" s="617" t="s">
        <v>182</v>
      </c>
      <c r="E60" s="146"/>
      <c r="F60" s="643"/>
      <c r="G60" s="661">
        <f>G47+G59</f>
        <v>18221.500999999895</v>
      </c>
      <c r="H60" s="643">
        <f t="shared" si="10"/>
        <v>18221.500999999895</v>
      </c>
      <c r="I60" s="643">
        <f>G13-G60</f>
        <v>2638.8990000000122</v>
      </c>
      <c r="J60" s="651">
        <f>H60/DAY(B2)</f>
        <v>18221.500999999895</v>
      </c>
      <c r="K60" s="582"/>
      <c r="L60" s="569"/>
      <c r="N60" s="576"/>
      <c r="O60" s="577"/>
    </row>
    <row r="61" spans="1:15" s="599" customFormat="1" ht="28.5">
      <c r="A61" s="835" t="s">
        <v>332</v>
      </c>
      <c r="B61" s="836"/>
      <c r="C61" s="837"/>
      <c r="D61" s="623"/>
      <c r="E61" s="339"/>
      <c r="F61" s="681"/>
      <c r="G61" s="682"/>
      <c r="H61" s="681"/>
      <c r="I61" s="681"/>
      <c r="J61" s="683"/>
      <c r="K61" s="597"/>
      <c r="L61" s="598"/>
      <c r="N61" s="576"/>
      <c r="O61" s="577"/>
    </row>
    <row r="62" spans="1:15" s="105" customFormat="1" ht="28.5">
      <c r="A62" s="815" t="s">
        <v>198</v>
      </c>
      <c r="B62" s="816"/>
      <c r="C62" s="817"/>
      <c r="D62" s="307" t="s">
        <v>142</v>
      </c>
      <c r="E62" s="122">
        <v>312100</v>
      </c>
      <c r="F62" s="660">
        <v>312191.5</v>
      </c>
      <c r="G62" s="654">
        <f t="shared" ref="G62:G63" si="11">F62-E62</f>
        <v>91.5</v>
      </c>
      <c r="H62" s="643">
        <f t="shared" ref="H62:H71" si="12">G62</f>
        <v>91.5</v>
      </c>
      <c r="I62" s="643"/>
      <c r="J62" s="651">
        <f>H62/DAY(B2)</f>
        <v>91.5</v>
      </c>
      <c r="K62" s="584"/>
      <c r="L62" s="569"/>
      <c r="N62" s="576"/>
      <c r="O62" s="577"/>
    </row>
    <row r="63" spans="1:15" s="105" customFormat="1" ht="28.5">
      <c r="A63" s="815" t="s">
        <v>199</v>
      </c>
      <c r="B63" s="816"/>
      <c r="C63" s="817"/>
      <c r="D63" s="307" t="s">
        <v>142</v>
      </c>
      <c r="E63" s="164">
        <v>249035</v>
      </c>
      <c r="F63" s="660">
        <v>249136</v>
      </c>
      <c r="G63" s="654">
        <f t="shared" si="11"/>
        <v>101</v>
      </c>
      <c r="H63" s="643">
        <f t="shared" si="12"/>
        <v>101</v>
      </c>
      <c r="I63" s="643"/>
      <c r="J63" s="651">
        <f>H63/DAY(B2)</f>
        <v>101</v>
      </c>
      <c r="K63" s="597"/>
      <c r="L63" s="569"/>
      <c r="N63" s="576"/>
      <c r="O63" s="577"/>
    </row>
    <row r="64" spans="1:15" s="105" customFormat="1" ht="28.5">
      <c r="A64" s="809" t="s">
        <v>200</v>
      </c>
      <c r="B64" s="810"/>
      <c r="C64" s="811"/>
      <c r="D64" s="307"/>
      <c r="E64" s="122"/>
      <c r="F64" s="660"/>
      <c r="G64" s="654">
        <f>G62+G63</f>
        <v>192.5</v>
      </c>
      <c r="H64" s="643">
        <f t="shared" si="12"/>
        <v>192.5</v>
      </c>
      <c r="I64" s="643"/>
      <c r="J64" s="651">
        <f>H64/DAY(B2)</f>
        <v>192.5</v>
      </c>
      <c r="K64" s="597"/>
      <c r="L64" s="569"/>
      <c r="N64" s="576"/>
      <c r="O64" s="577"/>
    </row>
    <row r="65" spans="1:15" s="105" customFormat="1" ht="28.5">
      <c r="A65" s="815" t="s">
        <v>201</v>
      </c>
      <c r="B65" s="816"/>
      <c r="C65" s="817"/>
      <c r="D65" s="307" t="s">
        <v>142</v>
      </c>
      <c r="E65" s="122">
        <v>472030</v>
      </c>
      <c r="F65" s="660">
        <v>472157</v>
      </c>
      <c r="G65" s="654">
        <f t="shared" ref="G65:G70" si="13">F65-E65</f>
        <v>127</v>
      </c>
      <c r="H65" s="643">
        <f t="shared" si="12"/>
        <v>127</v>
      </c>
      <c r="I65" s="643"/>
      <c r="J65" s="651">
        <f>H65/DAY(B2)</f>
        <v>127</v>
      </c>
      <c r="K65" s="597"/>
      <c r="L65" s="569"/>
      <c r="N65" s="576"/>
      <c r="O65" s="577"/>
    </row>
    <row r="66" spans="1:15" s="105" customFormat="1" ht="28.5">
      <c r="A66" s="345" t="s">
        <v>202</v>
      </c>
      <c r="B66" s="585"/>
      <c r="C66" s="585"/>
      <c r="D66" s="307" t="s">
        <v>142</v>
      </c>
      <c r="E66" s="122">
        <v>113559</v>
      </c>
      <c r="F66" s="660">
        <v>113571</v>
      </c>
      <c r="G66" s="654">
        <f t="shared" si="13"/>
        <v>12</v>
      </c>
      <c r="H66" s="643">
        <f t="shared" si="12"/>
        <v>12</v>
      </c>
      <c r="I66" s="643"/>
      <c r="J66" s="651">
        <f>H66/DAY(B2)</f>
        <v>12</v>
      </c>
      <c r="K66" s="572"/>
      <c r="L66" s="569"/>
      <c r="N66" s="576"/>
      <c r="O66" s="577"/>
    </row>
    <row r="67" spans="1:15" s="105" customFormat="1" ht="28.5">
      <c r="A67" s="345" t="s">
        <v>203</v>
      </c>
      <c r="B67" s="585"/>
      <c r="C67" s="585"/>
      <c r="D67" s="307" t="s">
        <v>142</v>
      </c>
      <c r="E67" s="122">
        <v>116567</v>
      </c>
      <c r="F67" s="660">
        <v>116599</v>
      </c>
      <c r="G67" s="654">
        <f t="shared" si="13"/>
        <v>32</v>
      </c>
      <c r="H67" s="643">
        <f t="shared" si="12"/>
        <v>32</v>
      </c>
      <c r="I67" s="643"/>
      <c r="J67" s="651">
        <f>H67/DAY(B2)</f>
        <v>32</v>
      </c>
      <c r="K67" s="600"/>
      <c r="L67" s="569"/>
      <c r="N67" s="576"/>
      <c r="O67" s="577"/>
    </row>
    <row r="68" spans="1:15" s="105" customFormat="1" ht="28.5">
      <c r="A68" s="345" t="s">
        <v>204</v>
      </c>
      <c r="B68" s="585"/>
      <c r="C68" s="585"/>
      <c r="D68" s="307" t="s">
        <v>142</v>
      </c>
      <c r="E68" s="122">
        <v>169359</v>
      </c>
      <c r="F68" s="751">
        <f>20+169359</f>
        <v>169379</v>
      </c>
      <c r="G68" s="654">
        <f t="shared" si="13"/>
        <v>20</v>
      </c>
      <c r="H68" s="643">
        <f t="shared" si="12"/>
        <v>20</v>
      </c>
      <c r="I68" s="643"/>
      <c r="J68" s="651">
        <f>H68/DAY(B2)</f>
        <v>20</v>
      </c>
      <c r="K68" s="597"/>
      <c r="L68" s="569"/>
      <c r="N68" s="576"/>
      <c r="O68" s="577"/>
    </row>
    <row r="69" spans="1:15" s="105" customFormat="1" ht="28.5">
      <c r="A69" s="345" t="s">
        <v>205</v>
      </c>
      <c r="B69" s="585"/>
      <c r="C69" s="585"/>
      <c r="D69" s="307" t="s">
        <v>142</v>
      </c>
      <c r="E69" s="122">
        <v>12998</v>
      </c>
      <c r="F69" s="660">
        <v>13011</v>
      </c>
      <c r="G69" s="654">
        <f t="shared" si="13"/>
        <v>13</v>
      </c>
      <c r="H69" s="643">
        <f t="shared" si="12"/>
        <v>13</v>
      </c>
      <c r="I69" s="643"/>
      <c r="J69" s="651">
        <f>H69/DAY(B2)</f>
        <v>13</v>
      </c>
      <c r="K69" s="597"/>
      <c r="L69" s="569"/>
      <c r="N69" s="576"/>
      <c r="O69" s="577"/>
    </row>
    <row r="70" spans="1:15" s="105" customFormat="1" ht="28.5">
      <c r="A70" s="345" t="s">
        <v>206</v>
      </c>
      <c r="B70" s="585"/>
      <c r="C70" s="585"/>
      <c r="D70" s="307" t="s">
        <v>142</v>
      </c>
      <c r="E70" s="122">
        <v>11016</v>
      </c>
      <c r="F70" s="684">
        <v>11026</v>
      </c>
      <c r="G70" s="685">
        <f t="shared" si="13"/>
        <v>10</v>
      </c>
      <c r="H70" s="643">
        <f t="shared" si="12"/>
        <v>10</v>
      </c>
      <c r="I70" s="686"/>
      <c r="J70" s="651">
        <f>H70/DAY(B2)</f>
        <v>10</v>
      </c>
      <c r="K70" s="597"/>
      <c r="L70" s="569"/>
      <c r="N70" s="576"/>
      <c r="O70" s="577"/>
    </row>
    <row r="71" spans="1:15" s="105" customFormat="1" ht="28.5">
      <c r="A71" s="809" t="s">
        <v>208</v>
      </c>
      <c r="B71" s="810"/>
      <c r="C71" s="811"/>
      <c r="D71" s="615"/>
      <c r="E71" s="152"/>
      <c r="F71" s="687"/>
      <c r="G71" s="688">
        <f>SUM(G65:G70)</f>
        <v>214</v>
      </c>
      <c r="H71" s="643">
        <f t="shared" si="12"/>
        <v>214</v>
      </c>
      <c r="I71" s="689"/>
      <c r="J71" s="651">
        <f>H71/DAY(B2)</f>
        <v>214</v>
      </c>
      <c r="K71" s="597"/>
      <c r="L71" s="569"/>
      <c r="N71" s="576"/>
      <c r="O71" s="577"/>
    </row>
    <row r="72" spans="1:15" s="105" customFormat="1" ht="28.5">
      <c r="A72" s="854"/>
      <c r="B72" s="805"/>
      <c r="C72" s="601"/>
      <c r="D72" s="624"/>
      <c r="E72" s="411"/>
      <c r="F72" s="690"/>
      <c r="G72" s="691"/>
      <c r="H72" s="692"/>
      <c r="I72" s="690"/>
      <c r="J72" s="693"/>
      <c r="N72" s="576"/>
      <c r="O72" s="577"/>
    </row>
    <row r="73" spans="1:15" s="105" customFormat="1" ht="28.5">
      <c r="A73" s="835" t="s">
        <v>333</v>
      </c>
      <c r="B73" s="836"/>
      <c r="C73" s="837"/>
      <c r="D73" s="623"/>
      <c r="E73" s="339"/>
      <c r="F73" s="694"/>
      <c r="G73" s="695"/>
      <c r="H73" s="682"/>
      <c r="I73" s="696"/>
      <c r="J73" s="697"/>
      <c r="K73" s="597"/>
      <c r="L73" s="569"/>
      <c r="N73" s="576"/>
      <c r="O73" s="577"/>
    </row>
    <row r="74" spans="1:15" s="105" customFormat="1" ht="28.5">
      <c r="A74" s="815" t="s">
        <v>220</v>
      </c>
      <c r="B74" s="816"/>
      <c r="C74" s="817"/>
      <c r="D74" s="307" t="s">
        <v>139</v>
      </c>
      <c r="E74" s="123">
        <v>2515</v>
      </c>
      <c r="F74" s="698">
        <v>2831</v>
      </c>
      <c r="G74" s="685">
        <f t="shared" ref="G74:G78" si="14">F74-E74</f>
        <v>316</v>
      </c>
      <c r="H74" s="643">
        <f t="shared" ref="H74:H79" si="15">G74</f>
        <v>316</v>
      </c>
      <c r="I74" s="689"/>
      <c r="J74" s="651">
        <f>H74/DAY(B2)</f>
        <v>316</v>
      </c>
      <c r="K74" s="597"/>
      <c r="L74" s="569"/>
      <c r="N74" s="576"/>
      <c r="O74" s="577"/>
    </row>
    <row r="75" spans="1:15" s="105" customFormat="1" ht="28.5">
      <c r="A75" s="815" t="s">
        <v>221</v>
      </c>
      <c r="B75" s="816"/>
      <c r="C75" s="817"/>
      <c r="D75" s="307" t="s">
        <v>139</v>
      </c>
      <c r="E75" s="123">
        <v>73586.8</v>
      </c>
      <c r="F75" s="698">
        <v>73586.8</v>
      </c>
      <c r="G75" s="685">
        <f t="shared" si="14"/>
        <v>0</v>
      </c>
      <c r="H75" s="643">
        <f t="shared" si="15"/>
        <v>0</v>
      </c>
      <c r="I75" s="689"/>
      <c r="J75" s="651">
        <f>H75/DAY(B2)</f>
        <v>0</v>
      </c>
      <c r="K75" s="597"/>
      <c r="L75" s="569"/>
      <c r="N75" s="576"/>
      <c r="O75" s="577"/>
    </row>
    <row r="76" spans="1:15" s="105" customFormat="1" ht="28.5">
      <c r="A76" s="838" t="s">
        <v>222</v>
      </c>
      <c r="B76" s="839"/>
      <c r="C76" s="840"/>
      <c r="D76" s="307" t="s">
        <v>139</v>
      </c>
      <c r="E76" s="123">
        <v>207377</v>
      </c>
      <c r="F76" s="698">
        <v>207497</v>
      </c>
      <c r="G76" s="685">
        <f t="shared" si="14"/>
        <v>120</v>
      </c>
      <c r="H76" s="643">
        <f t="shared" si="15"/>
        <v>120</v>
      </c>
      <c r="I76" s="689"/>
      <c r="J76" s="651">
        <f>H76/DAY(B2)</f>
        <v>120</v>
      </c>
      <c r="K76" s="597"/>
      <c r="L76" s="569"/>
      <c r="N76" s="576"/>
      <c r="O76" s="577"/>
    </row>
    <row r="77" spans="1:15" s="105" customFormat="1" ht="28.5">
      <c r="A77" s="838" t="s">
        <v>223</v>
      </c>
      <c r="B77" s="839"/>
      <c r="C77" s="840"/>
      <c r="D77" s="307" t="s">
        <v>139</v>
      </c>
      <c r="E77" s="409">
        <v>58152</v>
      </c>
      <c r="F77" s="698">
        <v>58211</v>
      </c>
      <c r="G77" s="685">
        <f t="shared" si="14"/>
        <v>59</v>
      </c>
      <c r="H77" s="643">
        <f t="shared" si="15"/>
        <v>59</v>
      </c>
      <c r="I77" s="689"/>
      <c r="J77" s="651">
        <f>H77/DAY(B2)</f>
        <v>59</v>
      </c>
      <c r="K77" s="597"/>
      <c r="L77" s="569"/>
      <c r="N77" s="576"/>
      <c r="O77" s="577"/>
    </row>
    <row r="78" spans="1:15" s="105" customFormat="1" ht="28.5">
      <c r="A78" s="838" t="s">
        <v>224</v>
      </c>
      <c r="B78" s="839"/>
      <c r="C78" s="840"/>
      <c r="D78" s="307" t="s">
        <v>139</v>
      </c>
      <c r="E78" s="409">
        <v>9564</v>
      </c>
      <c r="F78" s="698">
        <v>9563.5</v>
      </c>
      <c r="G78" s="685">
        <f t="shared" si="14"/>
        <v>-0.5</v>
      </c>
      <c r="H78" s="643">
        <f t="shared" si="15"/>
        <v>-0.5</v>
      </c>
      <c r="I78" s="686"/>
      <c r="J78" s="651">
        <f>H78/DAY(B2)</f>
        <v>-0.5</v>
      </c>
      <c r="K78" s="597"/>
      <c r="L78" s="569"/>
      <c r="N78" s="576"/>
      <c r="O78" s="577"/>
    </row>
    <row r="79" spans="1:15" s="105" customFormat="1" ht="28.5">
      <c r="A79" s="838" t="s">
        <v>225</v>
      </c>
      <c r="B79" s="839"/>
      <c r="C79" s="840"/>
      <c r="D79" s="307"/>
      <c r="E79" s="123"/>
      <c r="F79" s="698"/>
      <c r="G79" s="685">
        <f>G15-SUM(G74:G78)</f>
        <v>682.64199999999255</v>
      </c>
      <c r="H79" s="643">
        <f t="shared" si="15"/>
        <v>682.64199999999255</v>
      </c>
      <c r="I79" s="686"/>
      <c r="J79" s="651"/>
      <c r="K79" s="597"/>
      <c r="L79" s="569"/>
      <c r="N79" s="576"/>
      <c r="O79" s="577"/>
    </row>
    <row r="80" spans="1:15" s="105" customFormat="1" ht="28.5">
      <c r="A80" s="809" t="s">
        <v>329</v>
      </c>
      <c r="B80" s="810"/>
      <c r="C80" s="811"/>
      <c r="D80" s="307"/>
      <c r="E80" s="117"/>
      <c r="F80" s="699"/>
      <c r="G80" s="685">
        <f>SUM(G74:G79)</f>
        <v>1177.1419999999925</v>
      </c>
      <c r="H80" s="643"/>
      <c r="I80" s="686"/>
      <c r="J80" s="651"/>
      <c r="K80" s="597"/>
      <c r="L80" s="569"/>
      <c r="N80" s="576"/>
      <c r="O80" s="577"/>
    </row>
    <row r="81" spans="1:15" s="105" customFormat="1" ht="28.5">
      <c r="A81" s="829" t="s">
        <v>226</v>
      </c>
      <c r="B81" s="830"/>
      <c r="C81" s="831"/>
      <c r="D81" s="612"/>
      <c r="E81" s="110"/>
      <c r="F81" s="644"/>
      <c r="G81" s="700"/>
      <c r="H81" s="701"/>
      <c r="I81" s="701"/>
      <c r="J81" s="702"/>
      <c r="O81" s="577"/>
    </row>
    <row r="82" spans="1:15" s="105" customFormat="1" ht="28.5">
      <c r="A82" s="345" t="s">
        <v>227</v>
      </c>
      <c r="B82" s="585"/>
      <c r="C82" s="585"/>
      <c r="D82" s="307" t="s">
        <v>228</v>
      </c>
      <c r="E82" s="122">
        <v>0</v>
      </c>
      <c r="F82" s="684">
        <v>0</v>
      </c>
      <c r="G82" s="685">
        <f t="shared" ref="G82:G92" si="16">F82-E82</f>
        <v>0</v>
      </c>
      <c r="H82" s="643">
        <f t="shared" ref="H82:H92" si="17">G82</f>
        <v>0</v>
      </c>
      <c r="I82" s="686"/>
      <c r="J82" s="651">
        <f>H82/DAY(B2)</f>
        <v>0</v>
      </c>
      <c r="O82" s="577"/>
    </row>
    <row r="83" spans="1:15" s="105" customFormat="1" ht="28.5">
      <c r="A83" s="345" t="s">
        <v>229</v>
      </c>
      <c r="B83" s="585"/>
      <c r="C83" s="585"/>
      <c r="D83" s="307" t="s">
        <v>228</v>
      </c>
      <c r="E83" s="122">
        <v>0</v>
      </c>
      <c r="F83" s="684">
        <v>0</v>
      </c>
      <c r="G83" s="685">
        <f t="shared" si="16"/>
        <v>0</v>
      </c>
      <c r="H83" s="643">
        <f t="shared" si="17"/>
        <v>0</v>
      </c>
      <c r="I83" s="686"/>
      <c r="J83" s="651">
        <f>H83/DAY(B2)</f>
        <v>0</v>
      </c>
      <c r="O83" s="577"/>
    </row>
    <row r="84" spans="1:15" s="105" customFormat="1" ht="28.5">
      <c r="A84" s="345" t="s">
        <v>230</v>
      </c>
      <c r="B84" s="585"/>
      <c r="C84" s="585"/>
      <c r="D84" s="307" t="s">
        <v>228</v>
      </c>
      <c r="E84" s="164">
        <v>43546</v>
      </c>
      <c r="F84" s="703">
        <v>43546</v>
      </c>
      <c r="G84" s="685">
        <f t="shared" si="16"/>
        <v>0</v>
      </c>
      <c r="H84" s="643">
        <f t="shared" si="17"/>
        <v>0</v>
      </c>
      <c r="I84" s="686"/>
      <c r="J84" s="651">
        <f>H84/DAY(B2)</f>
        <v>0</v>
      </c>
      <c r="O84" s="577"/>
    </row>
    <row r="85" spans="1:15" s="105" customFormat="1" ht="28.5">
      <c r="A85" s="345" t="s">
        <v>231</v>
      </c>
      <c r="B85" s="585"/>
      <c r="C85" s="585"/>
      <c r="D85" s="307" t="s">
        <v>228</v>
      </c>
      <c r="E85" s="164">
        <v>5932.45</v>
      </c>
      <c r="F85" s="703">
        <v>5956.3</v>
      </c>
      <c r="G85" s="685">
        <f t="shared" si="16"/>
        <v>23.850000000000364</v>
      </c>
      <c r="H85" s="643">
        <f t="shared" si="17"/>
        <v>23.850000000000364</v>
      </c>
      <c r="I85" s="686"/>
      <c r="J85" s="651">
        <f>H85/DAY(B2)</f>
        <v>23.850000000000364</v>
      </c>
      <c r="O85" s="577"/>
    </row>
    <row r="86" spans="1:15" s="105" customFormat="1" ht="28.5">
      <c r="A86" s="345" t="s">
        <v>232</v>
      </c>
      <c r="B86" s="585"/>
      <c r="C86" s="585"/>
      <c r="D86" s="307" t="s">
        <v>228</v>
      </c>
      <c r="E86" s="164">
        <v>46834</v>
      </c>
      <c r="F86" s="703">
        <v>46834</v>
      </c>
      <c r="G86" s="704">
        <f t="shared" si="16"/>
        <v>0</v>
      </c>
      <c r="H86" s="643">
        <f t="shared" si="17"/>
        <v>0</v>
      </c>
      <c r="I86" s="686"/>
      <c r="J86" s="651">
        <f>H86/DAY(B2)</f>
        <v>0</v>
      </c>
      <c r="O86" s="577"/>
    </row>
    <row r="87" spans="1:15" s="105" customFormat="1" ht="28.5">
      <c r="A87" s="345" t="s">
        <v>233</v>
      </c>
      <c r="B87" s="585"/>
      <c r="C87" s="585"/>
      <c r="D87" s="307" t="s">
        <v>228</v>
      </c>
      <c r="E87" s="164">
        <v>37028</v>
      </c>
      <c r="F87" s="703">
        <v>37028</v>
      </c>
      <c r="G87" s="685">
        <f t="shared" si="16"/>
        <v>0</v>
      </c>
      <c r="H87" s="643">
        <f t="shared" si="17"/>
        <v>0</v>
      </c>
      <c r="I87" s="686">
        <f>G84+G85+G86+G87</f>
        <v>23.850000000000364</v>
      </c>
      <c r="J87" s="651">
        <f>H87/DAY(B2)</f>
        <v>0</v>
      </c>
      <c r="O87" s="577"/>
    </row>
    <row r="88" spans="1:15" s="105" customFormat="1" ht="28.5">
      <c r="A88" s="345" t="s">
        <v>234</v>
      </c>
      <c r="B88" s="585"/>
      <c r="C88" s="585"/>
      <c r="D88" s="307" t="s">
        <v>228</v>
      </c>
      <c r="E88" s="164">
        <v>24603.599999999999</v>
      </c>
      <c r="F88" s="703">
        <v>24603.66</v>
      </c>
      <c r="G88" s="685">
        <f t="shared" si="16"/>
        <v>6.0000000001309672E-2</v>
      </c>
      <c r="H88" s="643">
        <f t="shared" si="17"/>
        <v>6.0000000001309672E-2</v>
      </c>
      <c r="I88" s="686"/>
      <c r="J88" s="651">
        <f>H88/DAY(B2)</f>
        <v>6.0000000001309672E-2</v>
      </c>
      <c r="O88" s="577"/>
    </row>
    <row r="89" spans="1:15" s="105" customFormat="1" ht="28.5">
      <c r="A89" s="345" t="s">
        <v>235</v>
      </c>
      <c r="B89" s="585"/>
      <c r="C89" s="585"/>
      <c r="D89" s="307" t="s">
        <v>228</v>
      </c>
      <c r="E89" s="164">
        <v>28748.39</v>
      </c>
      <c r="F89" s="703">
        <v>28760.39</v>
      </c>
      <c r="G89" s="685">
        <f t="shared" si="16"/>
        <v>12</v>
      </c>
      <c r="H89" s="643">
        <f t="shared" si="17"/>
        <v>12</v>
      </c>
      <c r="I89" s="686">
        <f>G88+G89</f>
        <v>12.06000000000131</v>
      </c>
      <c r="J89" s="651">
        <f>H89/DAY(B2)</f>
        <v>12</v>
      </c>
      <c r="O89" s="577"/>
    </row>
    <row r="90" spans="1:15" s="105" customFormat="1" ht="28.5">
      <c r="A90" s="345" t="s">
        <v>236</v>
      </c>
      <c r="B90" s="585"/>
      <c r="C90" s="585"/>
      <c r="D90" s="307" t="s">
        <v>228</v>
      </c>
      <c r="E90" s="164">
        <v>74203.179999999993</v>
      </c>
      <c r="F90" s="703">
        <v>74216.88</v>
      </c>
      <c r="G90" s="685">
        <f t="shared" si="16"/>
        <v>13.700000000011642</v>
      </c>
      <c r="H90" s="643">
        <f t="shared" si="17"/>
        <v>13.700000000011642</v>
      </c>
      <c r="I90" s="686">
        <f>G90</f>
        <v>13.700000000011642</v>
      </c>
      <c r="J90" s="651">
        <f>H90/DAY(B2)</f>
        <v>13.700000000011642</v>
      </c>
      <c r="O90" s="577"/>
    </row>
    <row r="91" spans="1:15" s="105" customFormat="1" ht="28.5">
      <c r="A91" s="345" t="s">
        <v>237</v>
      </c>
      <c r="B91" s="585"/>
      <c r="C91" s="585"/>
      <c r="D91" s="307" t="s">
        <v>228</v>
      </c>
      <c r="E91" s="122">
        <v>5618.21</v>
      </c>
      <c r="F91" s="684">
        <v>5618.21</v>
      </c>
      <c r="G91" s="685">
        <f t="shared" si="16"/>
        <v>0</v>
      </c>
      <c r="H91" s="643">
        <f t="shared" si="17"/>
        <v>0</v>
      </c>
      <c r="I91" s="648"/>
      <c r="J91" s="651">
        <f>H91/DAY(B2)</f>
        <v>0</v>
      </c>
      <c r="O91" s="577"/>
    </row>
    <row r="92" spans="1:15" s="105" customFormat="1" ht="28.5">
      <c r="A92" s="345" t="s">
        <v>238</v>
      </c>
      <c r="B92" s="585"/>
      <c r="C92" s="585"/>
      <c r="D92" s="307" t="s">
        <v>228</v>
      </c>
      <c r="E92" s="122">
        <v>7079.69</v>
      </c>
      <c r="F92" s="684">
        <v>7091.05</v>
      </c>
      <c r="G92" s="685">
        <f t="shared" si="16"/>
        <v>11.360000000000582</v>
      </c>
      <c r="H92" s="643">
        <f t="shared" si="17"/>
        <v>11.360000000000582</v>
      </c>
      <c r="I92" s="705">
        <f>G91+G92</f>
        <v>11.360000000000582</v>
      </c>
      <c r="J92" s="651">
        <f>H92/DAY(B2)</f>
        <v>11.360000000000582</v>
      </c>
      <c r="O92" s="577"/>
    </row>
    <row r="93" spans="1:15" s="105" customFormat="1" ht="28.5">
      <c r="A93" s="832" t="s">
        <v>239</v>
      </c>
      <c r="B93" s="833"/>
      <c r="C93" s="834"/>
      <c r="D93" s="614"/>
      <c r="E93" s="111"/>
      <c r="F93" s="644"/>
      <c r="G93" s="706"/>
      <c r="H93" s="655"/>
      <c r="I93" s="707"/>
      <c r="J93" s="708"/>
      <c r="K93" s="597"/>
      <c r="L93" s="569"/>
      <c r="O93" s="577"/>
    </row>
    <row r="94" spans="1:15" s="105" customFormat="1" ht="28.5">
      <c r="A94" s="815" t="s">
        <v>240</v>
      </c>
      <c r="B94" s="816"/>
      <c r="C94" s="817"/>
      <c r="D94" s="307" t="s">
        <v>130</v>
      </c>
      <c r="E94" s="151"/>
      <c r="F94" s="709"/>
      <c r="G94" s="710">
        <f>G35+G43+G49+G57</f>
        <v>5970.359999999986</v>
      </c>
      <c r="H94" s="643">
        <f t="shared" ref="H94:H105" si="18">G94</f>
        <v>5970.359999999986</v>
      </c>
      <c r="I94" s="686"/>
      <c r="J94" s="651">
        <f>H94/DAY(B2)</f>
        <v>5970.359999999986</v>
      </c>
      <c r="K94" s="597"/>
      <c r="L94" s="569"/>
      <c r="O94" s="577"/>
    </row>
    <row r="95" spans="1:15" s="105" customFormat="1" ht="28.5">
      <c r="A95" s="815" t="s">
        <v>241</v>
      </c>
      <c r="B95" s="816"/>
      <c r="C95" s="817"/>
      <c r="D95" s="307" t="s">
        <v>23</v>
      </c>
      <c r="E95" s="146"/>
      <c r="F95" s="709"/>
      <c r="G95" s="711">
        <f>G94/G7</f>
        <v>0.29259299191374594</v>
      </c>
      <c r="H95" s="643">
        <f t="shared" si="18"/>
        <v>0.29259299191374594</v>
      </c>
      <c r="I95" s="712"/>
      <c r="J95" s="651">
        <f>H95/DAY(B2)</f>
        <v>0.29259299191374594</v>
      </c>
      <c r="K95" s="597"/>
      <c r="L95" s="569"/>
      <c r="O95" s="577"/>
    </row>
    <row r="96" spans="1:15" s="105" customFormat="1" ht="28.5">
      <c r="A96" s="815" t="s">
        <v>242</v>
      </c>
      <c r="B96" s="816"/>
      <c r="C96" s="817"/>
      <c r="D96" s="307" t="s">
        <v>130</v>
      </c>
      <c r="E96" s="95"/>
      <c r="F96" s="686"/>
      <c r="G96" s="710">
        <f>G41+G42+G55+G56</f>
        <v>4210.539999999979</v>
      </c>
      <c r="H96" s="643">
        <f t="shared" si="18"/>
        <v>4210.539999999979</v>
      </c>
      <c r="I96" s="686"/>
      <c r="J96" s="651">
        <f>H96/DAY(B2)</f>
        <v>4210.539999999979</v>
      </c>
      <c r="K96" s="597"/>
      <c r="L96" s="569"/>
      <c r="O96" s="577"/>
    </row>
    <row r="97" spans="1:15" s="105" customFormat="1" ht="28.5">
      <c r="A97" s="815" t="s">
        <v>243</v>
      </c>
      <c r="B97" s="816"/>
      <c r="C97" s="817"/>
      <c r="D97" s="307" t="s">
        <v>23</v>
      </c>
      <c r="E97" s="95"/>
      <c r="F97" s="686"/>
      <c r="G97" s="711">
        <f>G96/G7</f>
        <v>0.20634844400882035</v>
      </c>
      <c r="H97" s="643">
        <f t="shared" si="18"/>
        <v>0.20634844400882035</v>
      </c>
      <c r="I97" s="712"/>
      <c r="J97" s="651">
        <f>H97/DAY(B2)</f>
        <v>0.20634844400882035</v>
      </c>
      <c r="K97" s="597"/>
      <c r="L97" s="569"/>
      <c r="O97" s="577"/>
    </row>
    <row r="98" spans="1:15" s="105" customFormat="1" ht="28.5">
      <c r="A98" s="815" t="s">
        <v>244</v>
      </c>
      <c r="B98" s="816"/>
      <c r="C98" s="817"/>
      <c r="D98" s="307" t="s">
        <v>130</v>
      </c>
      <c r="E98" s="95"/>
      <c r="F98" s="686"/>
      <c r="G98" s="710">
        <f>G39+G53</f>
        <v>2801.9899999999907</v>
      </c>
      <c r="H98" s="643">
        <f t="shared" si="18"/>
        <v>2801.9899999999907</v>
      </c>
      <c r="I98" s="661"/>
      <c r="J98" s="651">
        <f>H98/DAY(B2)</f>
        <v>2801.9899999999907</v>
      </c>
      <c r="K98" s="597"/>
      <c r="L98" s="569"/>
      <c r="O98" s="577"/>
    </row>
    <row r="99" spans="1:15" s="105" customFormat="1" ht="28.5">
      <c r="A99" s="815" t="s">
        <v>245</v>
      </c>
      <c r="B99" s="816"/>
      <c r="C99" s="817"/>
      <c r="D99" s="307" t="s">
        <v>23</v>
      </c>
      <c r="E99" s="95"/>
      <c r="F99" s="686"/>
      <c r="G99" s="711">
        <f>G98/G7</f>
        <v>0.13731879441313358</v>
      </c>
      <c r="H99" s="643">
        <f t="shared" si="18"/>
        <v>0.13731879441313358</v>
      </c>
      <c r="I99" s="661"/>
      <c r="J99" s="651">
        <f>H99/DAY(B2)</f>
        <v>0.13731879441313358</v>
      </c>
      <c r="O99" s="577"/>
    </row>
    <row r="100" spans="1:15" s="105" customFormat="1" ht="28.5">
      <c r="A100" s="815" t="s">
        <v>246</v>
      </c>
      <c r="B100" s="816"/>
      <c r="C100" s="817"/>
      <c r="D100" s="307" t="s">
        <v>180</v>
      </c>
      <c r="E100" s="95"/>
      <c r="F100" s="686"/>
      <c r="G100" s="710">
        <f>G38+G52</f>
        <v>420.64000000000465</v>
      </c>
      <c r="H100" s="643">
        <f t="shared" si="18"/>
        <v>420.64000000000465</v>
      </c>
      <c r="I100" s="686"/>
      <c r="J100" s="651">
        <f>H100/DAY(B2)</f>
        <v>420.64000000000465</v>
      </c>
      <c r="K100" s="602"/>
      <c r="O100" s="577"/>
    </row>
    <row r="101" spans="1:15" s="105" customFormat="1" ht="28.5">
      <c r="A101" s="815" t="s">
        <v>247</v>
      </c>
      <c r="B101" s="816"/>
      <c r="C101" s="817"/>
      <c r="D101" s="307" t="s">
        <v>23</v>
      </c>
      <c r="E101" s="95"/>
      <c r="F101" s="686"/>
      <c r="G101" s="711">
        <f>G100/G7</f>
        <v>2.0614555256064919E-2</v>
      </c>
      <c r="H101" s="643">
        <f t="shared" si="18"/>
        <v>2.0614555256064919E-2</v>
      </c>
      <c r="I101" s="661"/>
      <c r="J101" s="651">
        <f>H101/DAY(B2)</f>
        <v>2.0614555256064919E-2</v>
      </c>
      <c r="O101" s="577"/>
    </row>
    <row r="102" spans="1:15" s="105" customFormat="1" ht="28.5">
      <c r="A102" s="815" t="s">
        <v>248</v>
      </c>
      <c r="B102" s="816"/>
      <c r="C102" s="817"/>
      <c r="D102" s="307" t="s">
        <v>180</v>
      </c>
      <c r="E102" s="95"/>
      <c r="F102" s="686"/>
      <c r="G102" s="710">
        <f>G36+G50</f>
        <v>2322.3599999999278</v>
      </c>
      <c r="H102" s="643">
        <f t="shared" si="18"/>
        <v>2322.3599999999278</v>
      </c>
      <c r="I102" s="661"/>
      <c r="J102" s="651">
        <f>H102/DAY(B2)</f>
        <v>2322.3599999999278</v>
      </c>
      <c r="O102" s="577"/>
    </row>
    <row r="103" spans="1:15" s="105" customFormat="1" ht="28.5">
      <c r="A103" s="815" t="s">
        <v>249</v>
      </c>
      <c r="B103" s="816"/>
      <c r="C103" s="817"/>
      <c r="D103" s="307" t="s">
        <v>23</v>
      </c>
      <c r="E103" s="95"/>
      <c r="F103" s="686"/>
      <c r="G103" s="711">
        <f>G102/G7</f>
        <v>0.11381328105856053</v>
      </c>
      <c r="H103" s="643">
        <f t="shared" si="18"/>
        <v>0.11381328105856053</v>
      </c>
      <c r="I103" s="686"/>
      <c r="J103" s="651">
        <f>H103/DAY(B2)</f>
        <v>0.11381328105856053</v>
      </c>
      <c r="O103" s="577"/>
    </row>
    <row r="104" spans="1:15" s="105" customFormat="1" ht="28.5">
      <c r="A104" s="815" t="s">
        <v>250</v>
      </c>
      <c r="B104" s="816"/>
      <c r="C104" s="817"/>
      <c r="D104" s="307" t="s">
        <v>180</v>
      </c>
      <c r="E104" s="95"/>
      <c r="F104" s="686"/>
      <c r="G104" s="710">
        <f>G37+G51</f>
        <v>1430.4000000000233</v>
      </c>
      <c r="H104" s="643">
        <f t="shared" si="18"/>
        <v>1430.4000000000233</v>
      </c>
      <c r="I104" s="686"/>
      <c r="J104" s="651">
        <f>H104/DAY(B2)</f>
        <v>1430.4000000000233</v>
      </c>
      <c r="O104" s="577"/>
    </row>
    <row r="105" spans="1:15" s="105" customFormat="1" ht="29.25" thickBot="1">
      <c r="A105" s="822" t="s">
        <v>251</v>
      </c>
      <c r="B105" s="823"/>
      <c r="C105" s="824"/>
      <c r="D105" s="625" t="s">
        <v>23</v>
      </c>
      <c r="E105" s="185"/>
      <c r="F105" s="713"/>
      <c r="G105" s="714">
        <f>G104/G7</f>
        <v>7.010046557216483E-2</v>
      </c>
      <c r="H105" s="643">
        <f t="shared" si="18"/>
        <v>7.010046557216483E-2</v>
      </c>
      <c r="I105" s="713"/>
      <c r="J105" s="715">
        <f>H105/DAY(B2)</f>
        <v>7.010046557216483E-2</v>
      </c>
      <c r="O105" s="577"/>
    </row>
    <row r="106" spans="1:15" s="105" customFormat="1" ht="28.5">
      <c r="A106" s="94"/>
      <c r="D106" s="94"/>
      <c r="E106" s="412"/>
      <c r="F106" s="716"/>
      <c r="G106" s="717"/>
      <c r="H106" s="718"/>
      <c r="I106" s="716"/>
      <c r="J106" s="718"/>
      <c r="O106" s="577"/>
    </row>
    <row r="107" spans="1:15" s="105" customFormat="1" ht="28.5">
      <c r="A107" s="94"/>
      <c r="D107" s="94"/>
      <c r="E107" s="413"/>
      <c r="F107" s="716"/>
      <c r="G107" s="717"/>
      <c r="H107" s="718"/>
      <c r="I107" s="716"/>
      <c r="J107" s="718"/>
    </row>
    <row r="108" spans="1:15" s="105" customFormat="1" ht="23.25">
      <c r="A108" s="825" t="s">
        <v>324</v>
      </c>
      <c r="B108" s="825"/>
      <c r="C108" s="825"/>
      <c r="D108" s="825"/>
      <c r="E108" s="825"/>
      <c r="F108" s="825"/>
      <c r="G108" s="825"/>
      <c r="H108" s="825"/>
      <c r="I108" s="825"/>
      <c r="J108" s="825"/>
    </row>
    <row r="109" spans="1:15" s="105" customFormat="1" ht="28.5">
      <c r="A109" s="818"/>
      <c r="B109" s="818"/>
      <c r="D109" s="94"/>
      <c r="E109" s="413"/>
      <c r="F109" s="716"/>
      <c r="G109" s="717"/>
      <c r="H109" s="718"/>
      <c r="I109" s="716"/>
      <c r="J109" s="718"/>
    </row>
    <row r="110" spans="1:15" s="105" customFormat="1" ht="23.25">
      <c r="A110" s="826" t="s">
        <v>165</v>
      </c>
      <c r="B110" s="827"/>
      <c r="C110" s="827"/>
      <c r="D110" s="827"/>
      <c r="E110" s="827"/>
      <c r="F110" s="827"/>
      <c r="G110" s="827"/>
      <c r="H110" s="827"/>
      <c r="I110" s="827"/>
      <c r="J110" s="828"/>
    </row>
    <row r="111" spans="1:15" s="105" customFormat="1" ht="28.5">
      <c r="A111" s="812"/>
      <c r="B111" s="813"/>
      <c r="C111" s="814"/>
      <c r="D111" s="245"/>
      <c r="E111" s="155"/>
      <c r="F111" s="648"/>
      <c r="G111" s="705"/>
      <c r="H111" s="670"/>
      <c r="I111" s="648"/>
      <c r="J111" s="670"/>
    </row>
    <row r="112" spans="1:15" s="105" customFormat="1" ht="28.5">
      <c r="A112" s="804" t="s">
        <v>252</v>
      </c>
      <c r="B112" s="807"/>
      <c r="C112" s="805"/>
      <c r="D112" s="617" t="s">
        <v>183</v>
      </c>
      <c r="E112" s="237">
        <v>17511.3</v>
      </c>
      <c r="F112" s="719">
        <v>17570.599999999999</v>
      </c>
      <c r="G112" s="685">
        <f t="shared" ref="G112:G123" si="19">F112-E112</f>
        <v>59.299999999999272</v>
      </c>
      <c r="H112" s="643">
        <f t="shared" ref="H112:H123" si="20">G112</f>
        <v>59.299999999999272</v>
      </c>
      <c r="I112" s="648"/>
      <c r="J112" s="720">
        <f>H112/DAY(B2)</f>
        <v>59.299999999999272</v>
      </c>
    </row>
    <row r="113" spans="1:18" s="105" customFormat="1" ht="29.25" customHeight="1">
      <c r="A113" s="804" t="s">
        <v>253</v>
      </c>
      <c r="B113" s="807"/>
      <c r="C113" s="805"/>
      <c r="D113" s="617" t="s">
        <v>183</v>
      </c>
      <c r="E113" s="237">
        <v>37079</v>
      </c>
      <c r="F113" s="721">
        <v>37222.199999999997</v>
      </c>
      <c r="G113" s="685">
        <f t="shared" si="19"/>
        <v>143.19999999999709</v>
      </c>
      <c r="H113" s="643">
        <f t="shared" si="20"/>
        <v>143.19999999999709</v>
      </c>
      <c r="I113" s="648"/>
      <c r="J113" s="720">
        <f>H113/DAY(B2)</f>
        <v>143.19999999999709</v>
      </c>
    </row>
    <row r="114" spans="1:18" s="105" customFormat="1" ht="29.25" customHeight="1">
      <c r="A114" s="804" t="s">
        <v>254</v>
      </c>
      <c r="B114" s="807"/>
      <c r="C114" s="805"/>
      <c r="D114" s="617" t="s">
        <v>183</v>
      </c>
      <c r="E114" s="237">
        <v>54267.78</v>
      </c>
      <c r="F114" s="719">
        <v>54490.69</v>
      </c>
      <c r="G114" s="685">
        <f t="shared" si="19"/>
        <v>222.91000000000349</v>
      </c>
      <c r="H114" s="643">
        <f t="shared" si="20"/>
        <v>222.91000000000349</v>
      </c>
      <c r="I114" s="648"/>
      <c r="J114" s="720">
        <f>H114/DAY(B2)</f>
        <v>222.91000000000349</v>
      </c>
    </row>
    <row r="115" spans="1:18" s="105" customFormat="1" ht="29.25" customHeight="1">
      <c r="A115" s="804" t="s">
        <v>255</v>
      </c>
      <c r="B115" s="807"/>
      <c r="C115" s="805"/>
      <c r="D115" s="617" t="s">
        <v>183</v>
      </c>
      <c r="E115" s="237">
        <v>34966.910000000003</v>
      </c>
      <c r="F115" s="719">
        <v>35120</v>
      </c>
      <c r="G115" s="685">
        <f t="shared" si="19"/>
        <v>153.08999999999651</v>
      </c>
      <c r="H115" s="643">
        <f t="shared" si="20"/>
        <v>153.08999999999651</v>
      </c>
      <c r="I115" s="648"/>
      <c r="J115" s="720">
        <f>H115/DAY(B2)</f>
        <v>153.08999999999651</v>
      </c>
    </row>
    <row r="116" spans="1:18" s="105" customFormat="1" ht="29.25" customHeight="1">
      <c r="A116" s="819" t="s">
        <v>96</v>
      </c>
      <c r="B116" s="820"/>
      <c r="C116" s="821"/>
      <c r="D116" s="617" t="s">
        <v>183</v>
      </c>
      <c r="E116" s="237">
        <v>134488.39000000001</v>
      </c>
      <c r="F116" s="719">
        <v>134915</v>
      </c>
      <c r="G116" s="685">
        <f t="shared" si="19"/>
        <v>426.60999999998603</v>
      </c>
      <c r="H116" s="643">
        <f t="shared" si="20"/>
        <v>426.60999999998603</v>
      </c>
      <c r="I116" s="648"/>
      <c r="J116" s="720">
        <f>H116/DAY(B2)</f>
        <v>426.60999999998603</v>
      </c>
      <c r="Q116" s="804"/>
      <c r="R116" s="805"/>
    </row>
    <row r="117" spans="1:18" s="105" customFormat="1" ht="29.25" customHeight="1">
      <c r="A117" s="819" t="s">
        <v>184</v>
      </c>
      <c r="B117" s="820"/>
      <c r="C117" s="821"/>
      <c r="D117" s="617" t="s">
        <v>183</v>
      </c>
      <c r="E117" s="237">
        <v>82710</v>
      </c>
      <c r="F117" s="719">
        <v>83182.5</v>
      </c>
      <c r="G117" s="685">
        <f t="shared" si="19"/>
        <v>472.5</v>
      </c>
      <c r="H117" s="643">
        <f t="shared" si="20"/>
        <v>472.5</v>
      </c>
      <c r="I117" s="648"/>
      <c r="J117" s="720">
        <f>H117/DAY(B2)</f>
        <v>472.5</v>
      </c>
      <c r="Q117" s="804"/>
      <c r="R117" s="805"/>
    </row>
    <row r="118" spans="1:18" s="105" customFormat="1" ht="28.5">
      <c r="A118" s="803" t="s">
        <v>97</v>
      </c>
      <c r="B118" s="803"/>
      <c r="C118" s="803"/>
      <c r="D118" s="307" t="s">
        <v>183</v>
      </c>
      <c r="E118" s="237">
        <v>158137.15</v>
      </c>
      <c r="F118" s="719">
        <v>158772.69</v>
      </c>
      <c r="G118" s="685">
        <f t="shared" si="19"/>
        <v>635.54000000000815</v>
      </c>
      <c r="H118" s="643">
        <f t="shared" si="20"/>
        <v>635.54000000000815</v>
      </c>
      <c r="I118" s="648"/>
      <c r="J118" s="720">
        <f>H118/DAY(B2)</f>
        <v>635.54000000000815</v>
      </c>
      <c r="Q118" s="804"/>
      <c r="R118" s="805"/>
    </row>
    <row r="119" spans="1:18" s="105" customFormat="1" ht="28.5">
      <c r="A119" s="803" t="s">
        <v>98</v>
      </c>
      <c r="B119" s="803"/>
      <c r="C119" s="803"/>
      <c r="D119" s="307" t="s">
        <v>183</v>
      </c>
      <c r="E119" s="237">
        <v>43939.175000000003</v>
      </c>
      <c r="F119" s="719">
        <v>43974</v>
      </c>
      <c r="G119" s="685">
        <f t="shared" si="19"/>
        <v>34.82499999999709</v>
      </c>
      <c r="H119" s="643">
        <f t="shared" si="20"/>
        <v>34.82499999999709</v>
      </c>
      <c r="I119" s="648"/>
      <c r="J119" s="720">
        <f>H119/DAY(B2)</f>
        <v>34.82499999999709</v>
      </c>
    </row>
    <row r="120" spans="1:18" s="105" customFormat="1" ht="28.5">
      <c r="A120" s="803" t="s">
        <v>99</v>
      </c>
      <c r="B120" s="803"/>
      <c r="C120" s="803"/>
      <c r="D120" s="307" t="s">
        <v>183</v>
      </c>
      <c r="E120" s="237">
        <v>108437.14</v>
      </c>
      <c r="F120" s="719">
        <v>108839.2</v>
      </c>
      <c r="G120" s="685">
        <f t="shared" si="19"/>
        <v>402.05999999999767</v>
      </c>
      <c r="H120" s="643">
        <f t="shared" si="20"/>
        <v>402.05999999999767</v>
      </c>
      <c r="I120" s="648"/>
      <c r="J120" s="720">
        <f>H120/DAY(B2)</f>
        <v>402.05999999999767</v>
      </c>
    </row>
    <row r="121" spans="1:18" s="105" customFormat="1" ht="28.5">
      <c r="A121" s="803" t="s">
        <v>100</v>
      </c>
      <c r="B121" s="803"/>
      <c r="C121" s="803"/>
      <c r="D121" s="307" t="s">
        <v>183</v>
      </c>
      <c r="E121" s="237">
        <v>121222.89</v>
      </c>
      <c r="F121" s="719">
        <v>121626.6</v>
      </c>
      <c r="G121" s="685">
        <f t="shared" si="19"/>
        <v>403.7100000000064</v>
      </c>
      <c r="H121" s="643">
        <f t="shared" si="20"/>
        <v>403.7100000000064</v>
      </c>
      <c r="I121" s="648"/>
      <c r="J121" s="720">
        <f>H121/DAY(B2)</f>
        <v>403.7100000000064</v>
      </c>
    </row>
    <row r="122" spans="1:18" s="105" customFormat="1" ht="28.5">
      <c r="A122" s="803" t="s">
        <v>101</v>
      </c>
      <c r="B122" s="803"/>
      <c r="C122" s="803"/>
      <c r="D122" s="307" t="s">
        <v>183</v>
      </c>
      <c r="E122" s="237">
        <v>81274.37</v>
      </c>
      <c r="F122" s="719">
        <v>81556.899999999994</v>
      </c>
      <c r="G122" s="685">
        <f t="shared" si="19"/>
        <v>282.52999999999884</v>
      </c>
      <c r="H122" s="643">
        <f t="shared" si="20"/>
        <v>282.52999999999884</v>
      </c>
      <c r="I122" s="648"/>
      <c r="J122" s="720">
        <f>H122/DAY(B2)</f>
        <v>282.52999999999884</v>
      </c>
    </row>
    <row r="123" spans="1:18" s="105" customFormat="1" ht="28.5">
      <c r="A123" s="803" t="s">
        <v>102</v>
      </c>
      <c r="B123" s="803"/>
      <c r="C123" s="803"/>
      <c r="D123" s="307" t="s">
        <v>183</v>
      </c>
      <c r="E123" s="237">
        <v>77949</v>
      </c>
      <c r="F123" s="719">
        <v>78343.5</v>
      </c>
      <c r="G123" s="685">
        <f t="shared" si="19"/>
        <v>394.5</v>
      </c>
      <c r="H123" s="643">
        <f t="shared" si="20"/>
        <v>394.5</v>
      </c>
      <c r="I123" s="648"/>
      <c r="J123" s="720">
        <f>H123/DAY(B2)</f>
        <v>394.5</v>
      </c>
    </row>
    <row r="124" spans="1:18" s="105" customFormat="1" ht="29.25" customHeight="1">
      <c r="A124" s="812"/>
      <c r="B124" s="813"/>
      <c r="C124" s="814"/>
      <c r="D124" s="245"/>
      <c r="E124" s="155"/>
      <c r="F124" s="648"/>
      <c r="G124" s="705"/>
      <c r="H124" s="670"/>
      <c r="I124" s="648"/>
      <c r="J124" s="670"/>
    </row>
    <row r="125" spans="1:18" s="105" customFormat="1" ht="28.5">
      <c r="A125" s="809" t="s">
        <v>196</v>
      </c>
      <c r="B125" s="810"/>
      <c r="C125" s="811"/>
      <c r="D125" s="307"/>
      <c r="E125" s="308"/>
      <c r="F125" s="648"/>
      <c r="G125" s="685">
        <f>SUM(G112:G124)</f>
        <v>3630.7749999999905</v>
      </c>
      <c r="H125" s="670"/>
      <c r="I125" s="670">
        <f>G125-(G39+G53)</f>
        <v>828.78499999999985</v>
      </c>
      <c r="J125" s="670"/>
    </row>
    <row r="126" spans="1:18" s="105" customFormat="1" ht="23.25">
      <c r="A126" s="797" t="s">
        <v>317</v>
      </c>
      <c r="B126" s="797"/>
      <c r="C126" s="797"/>
      <c r="D126" s="797"/>
      <c r="E126" s="797"/>
      <c r="F126" s="797"/>
      <c r="G126" s="797"/>
      <c r="H126" s="797"/>
      <c r="I126" s="797"/>
      <c r="J126" s="797"/>
    </row>
    <row r="127" spans="1:18" s="105" customFormat="1" ht="28.5">
      <c r="A127" s="798"/>
      <c r="B127" s="798"/>
      <c r="C127" s="574"/>
      <c r="D127" s="307"/>
      <c r="E127" s="308"/>
      <c r="F127" s="648"/>
      <c r="G127" s="685"/>
      <c r="H127" s="643">
        <f t="shared" ref="H127:H135" si="21">G127</f>
        <v>0</v>
      </c>
      <c r="I127" s="648"/>
      <c r="J127" s="720">
        <f>H127/DAY(B2)</f>
        <v>0</v>
      </c>
    </row>
    <row r="128" spans="1:18" s="105" customFormat="1" ht="29.25" customHeight="1">
      <c r="A128" s="804" t="s">
        <v>318</v>
      </c>
      <c r="B128" s="807"/>
      <c r="C128" s="805"/>
      <c r="D128" s="307" t="s">
        <v>183</v>
      </c>
      <c r="E128" s="155">
        <v>191885.63</v>
      </c>
      <c r="F128" s="648">
        <v>192162.19</v>
      </c>
      <c r="G128" s="685">
        <f t="shared" ref="G128:G133" si="22">F128-E128</f>
        <v>276.55999999999767</v>
      </c>
      <c r="H128" s="643">
        <f t="shared" si="21"/>
        <v>276.55999999999767</v>
      </c>
      <c r="I128" s="648"/>
      <c r="J128" s="720">
        <f>H128/DAY(B2)</f>
        <v>276.55999999999767</v>
      </c>
    </row>
    <row r="129" spans="1:15" s="105" customFormat="1" ht="28.5">
      <c r="A129" s="329" t="s">
        <v>319</v>
      </c>
      <c r="B129" s="604"/>
      <c r="C129" s="605"/>
      <c r="D129" s="307" t="s">
        <v>183</v>
      </c>
      <c r="E129" s="155">
        <v>101277</v>
      </c>
      <c r="F129" s="648">
        <v>101452.8</v>
      </c>
      <c r="G129" s="685">
        <f t="shared" si="22"/>
        <v>175.80000000000291</v>
      </c>
      <c r="H129" s="643">
        <f t="shared" si="21"/>
        <v>175.80000000000291</v>
      </c>
      <c r="I129" s="648"/>
      <c r="J129" s="720">
        <f>H129/DAY(B2)</f>
        <v>175.80000000000291</v>
      </c>
      <c r="N129" s="606"/>
      <c r="O129" s="603"/>
    </row>
    <row r="130" spans="1:15" s="105" customFormat="1" ht="28.5">
      <c r="A130" s="329" t="s">
        <v>320</v>
      </c>
      <c r="B130" s="604"/>
      <c r="C130" s="605"/>
      <c r="D130" s="307" t="s">
        <v>183</v>
      </c>
      <c r="E130" s="157">
        <v>268815</v>
      </c>
      <c r="F130" s="642">
        <v>268815.3</v>
      </c>
      <c r="G130" s="685">
        <f t="shared" si="22"/>
        <v>0.29999999998835847</v>
      </c>
      <c r="H130" s="643">
        <f t="shared" si="21"/>
        <v>0.29999999998835847</v>
      </c>
      <c r="I130" s="648"/>
      <c r="J130" s="720">
        <f>H130/DAY(B2)</f>
        <v>0.29999999998835847</v>
      </c>
      <c r="N130" s="606"/>
      <c r="O130" s="603"/>
    </row>
    <row r="131" spans="1:15" s="105" customFormat="1" ht="28.5">
      <c r="A131" s="804" t="s">
        <v>321</v>
      </c>
      <c r="B131" s="807"/>
      <c r="C131" s="805"/>
      <c r="D131" s="307" t="s">
        <v>183</v>
      </c>
      <c r="E131" s="156">
        <v>79550.63</v>
      </c>
      <c r="F131" s="642">
        <v>79768.752999999997</v>
      </c>
      <c r="G131" s="704">
        <f t="shared" si="22"/>
        <v>218.12299999999232</v>
      </c>
      <c r="H131" s="643">
        <f t="shared" si="21"/>
        <v>218.12299999999232</v>
      </c>
      <c r="I131" s="648"/>
      <c r="J131" s="720">
        <f>H131/DAY(B2)</f>
        <v>218.12299999999232</v>
      </c>
      <c r="N131" s="606"/>
      <c r="O131" s="603"/>
    </row>
    <row r="132" spans="1:15" s="105" customFormat="1" ht="28.5">
      <c r="A132" s="804" t="s">
        <v>322</v>
      </c>
      <c r="B132" s="807"/>
      <c r="C132" s="805"/>
      <c r="D132" s="307" t="s">
        <v>183</v>
      </c>
      <c r="E132" s="155">
        <v>148274</v>
      </c>
      <c r="F132" s="642">
        <v>148274</v>
      </c>
      <c r="G132" s="704">
        <f t="shared" si="22"/>
        <v>0</v>
      </c>
      <c r="H132" s="643">
        <f t="shared" si="21"/>
        <v>0</v>
      </c>
      <c r="I132" s="648"/>
      <c r="J132" s="720">
        <f>H132/DAY(B2)</f>
        <v>0</v>
      </c>
    </row>
    <row r="133" spans="1:15" s="105" customFormat="1" ht="28.5">
      <c r="A133" s="804" t="s">
        <v>342</v>
      </c>
      <c r="B133" s="807"/>
      <c r="C133" s="805"/>
      <c r="D133" s="307" t="s">
        <v>183</v>
      </c>
      <c r="E133" s="155">
        <v>933048</v>
      </c>
      <c r="F133" s="642">
        <v>933809</v>
      </c>
      <c r="G133" s="704">
        <f t="shared" si="22"/>
        <v>761</v>
      </c>
      <c r="H133" s="643">
        <f t="shared" si="21"/>
        <v>761</v>
      </c>
      <c r="I133" s="648"/>
      <c r="J133" s="720">
        <f>H133/DAY(B2)</f>
        <v>761</v>
      </c>
    </row>
    <row r="134" spans="1:15" s="105" customFormat="1" ht="28.5">
      <c r="A134" s="808" t="s">
        <v>340</v>
      </c>
      <c r="B134" s="802"/>
      <c r="C134" s="790"/>
      <c r="D134" s="307" t="s">
        <v>183</v>
      </c>
      <c r="E134" s="155">
        <v>85952</v>
      </c>
      <c r="F134" s="642">
        <v>86223.8</v>
      </c>
      <c r="G134" s="704">
        <f>F134-E134</f>
        <v>271.80000000000291</v>
      </c>
      <c r="H134" s="643">
        <f t="shared" ref="H134" si="23">G134</f>
        <v>271.80000000000291</v>
      </c>
      <c r="I134" s="648"/>
      <c r="J134" s="720">
        <f>H134/DAY(B2)</f>
        <v>271.80000000000291</v>
      </c>
    </row>
    <row r="135" spans="1:15" s="105" customFormat="1" ht="28.5">
      <c r="A135" s="809" t="s">
        <v>196</v>
      </c>
      <c r="B135" s="810"/>
      <c r="C135" s="811"/>
      <c r="D135" s="307"/>
      <c r="E135" s="155"/>
      <c r="F135" s="648"/>
      <c r="G135" s="685">
        <f>SUM(G128:G134)</f>
        <v>1703.5829999999842</v>
      </c>
      <c r="H135" s="643">
        <f t="shared" si="21"/>
        <v>1703.5829999999842</v>
      </c>
      <c r="I135" s="670">
        <f>G135-(G35+G49)</f>
        <v>-1761.4270000000251</v>
      </c>
      <c r="J135" s="720">
        <f>H135/DAY(B2)</f>
        <v>1703.5829999999842</v>
      </c>
    </row>
    <row r="136" spans="1:15" s="105" customFormat="1" ht="23.25">
      <c r="A136" s="797" t="s">
        <v>325</v>
      </c>
      <c r="B136" s="797"/>
      <c r="C136" s="797"/>
      <c r="D136" s="797"/>
      <c r="E136" s="797"/>
      <c r="F136" s="797"/>
      <c r="G136" s="797"/>
      <c r="H136" s="797"/>
      <c r="I136" s="797"/>
      <c r="J136" s="797"/>
    </row>
    <row r="137" spans="1:15" s="105" customFormat="1" ht="28.5">
      <c r="A137" s="245"/>
      <c r="B137" s="574"/>
      <c r="C137" s="574"/>
      <c r="D137" s="245"/>
      <c r="E137" s="155"/>
      <c r="F137" s="648"/>
      <c r="G137" s="705"/>
      <c r="H137" s="670"/>
      <c r="I137" s="648"/>
      <c r="J137" s="670"/>
    </row>
    <row r="138" spans="1:15" s="105" customFormat="1" ht="28.5">
      <c r="A138" s="803" t="s">
        <v>185</v>
      </c>
      <c r="B138" s="803"/>
      <c r="C138" s="803"/>
      <c r="D138" s="307" t="s">
        <v>183</v>
      </c>
      <c r="E138" s="147">
        <v>909479</v>
      </c>
      <c r="F138" s="722">
        <v>909630</v>
      </c>
      <c r="G138" s="685">
        <f t="shared" ref="G138:G150" si="24">F138-E138</f>
        <v>151</v>
      </c>
      <c r="H138" s="643">
        <f t="shared" ref="H138:H150" si="25">G138</f>
        <v>151</v>
      </c>
      <c r="I138" s="686"/>
      <c r="J138" s="720">
        <f>H138/DAY(B2)</f>
        <v>151</v>
      </c>
    </row>
    <row r="139" spans="1:15" s="105" customFormat="1" ht="28.5">
      <c r="A139" s="803" t="s">
        <v>186</v>
      </c>
      <c r="B139" s="803"/>
      <c r="C139" s="803"/>
      <c r="D139" s="307" t="s">
        <v>183</v>
      </c>
      <c r="E139" s="148">
        <v>932360</v>
      </c>
      <c r="F139" s="723">
        <v>932526</v>
      </c>
      <c r="G139" s="685">
        <f t="shared" si="24"/>
        <v>166</v>
      </c>
      <c r="H139" s="643">
        <f t="shared" si="25"/>
        <v>166</v>
      </c>
      <c r="I139" s="686"/>
      <c r="J139" s="720">
        <f>H139/DAY(B2)</f>
        <v>166</v>
      </c>
    </row>
    <row r="140" spans="1:15" s="105" customFormat="1" ht="28.5">
      <c r="A140" s="803" t="s">
        <v>187</v>
      </c>
      <c r="B140" s="803"/>
      <c r="C140" s="803"/>
      <c r="D140" s="307" t="s">
        <v>183</v>
      </c>
      <c r="E140" s="149">
        <v>4033.511</v>
      </c>
      <c r="F140" s="724">
        <v>4052.97</v>
      </c>
      <c r="G140" s="685">
        <f t="shared" si="24"/>
        <v>19.458999999999833</v>
      </c>
      <c r="H140" s="643">
        <f t="shared" si="25"/>
        <v>19.458999999999833</v>
      </c>
      <c r="I140" s="686"/>
      <c r="J140" s="720">
        <f>H140/DAY(B2)</f>
        <v>19.458999999999833</v>
      </c>
    </row>
    <row r="141" spans="1:15" s="105" customFormat="1" ht="28.5">
      <c r="A141" s="806" t="s">
        <v>188</v>
      </c>
      <c r="B141" s="806"/>
      <c r="C141" s="806"/>
      <c r="D141" s="626" t="s">
        <v>183</v>
      </c>
      <c r="E141" s="149">
        <v>124598</v>
      </c>
      <c r="F141" s="723">
        <v>124804.3</v>
      </c>
      <c r="G141" s="704">
        <f t="shared" si="24"/>
        <v>206.30000000000291</v>
      </c>
      <c r="H141" s="725">
        <f t="shared" si="25"/>
        <v>206.30000000000291</v>
      </c>
      <c r="I141" s="726"/>
      <c r="J141" s="727">
        <f>H141/DAY(B2)</f>
        <v>206.30000000000291</v>
      </c>
    </row>
    <row r="142" spans="1:15" s="105" customFormat="1" ht="28.5">
      <c r="A142" s="806" t="s">
        <v>189</v>
      </c>
      <c r="B142" s="806"/>
      <c r="C142" s="806"/>
      <c r="D142" s="626" t="s">
        <v>183</v>
      </c>
      <c r="E142" s="148">
        <v>50565.55</v>
      </c>
      <c r="F142" s="723">
        <v>50679.46</v>
      </c>
      <c r="G142" s="704">
        <f t="shared" si="24"/>
        <v>113.90999999999622</v>
      </c>
      <c r="H142" s="725">
        <f t="shared" si="25"/>
        <v>113.90999999999622</v>
      </c>
      <c r="I142" s="728"/>
      <c r="J142" s="727">
        <f>H142/DAY(B2)</f>
        <v>113.90999999999622</v>
      </c>
    </row>
    <row r="143" spans="1:15" s="105" customFormat="1" ht="28.5">
      <c r="A143" s="859" t="s">
        <v>91</v>
      </c>
      <c r="B143" s="859"/>
      <c r="C143" s="859"/>
      <c r="D143" s="626" t="s">
        <v>183</v>
      </c>
      <c r="E143" s="149">
        <v>13387</v>
      </c>
      <c r="F143" s="723">
        <v>13417.89</v>
      </c>
      <c r="G143" s="704">
        <f t="shared" si="24"/>
        <v>30.889999999999418</v>
      </c>
      <c r="H143" s="725">
        <f t="shared" si="25"/>
        <v>30.889999999999418</v>
      </c>
      <c r="I143" s="728"/>
      <c r="J143" s="727">
        <f>H143/DAY(B2)</f>
        <v>30.889999999999418</v>
      </c>
    </row>
    <row r="144" spans="1:15" s="105" customFormat="1" ht="28.5">
      <c r="A144" s="806" t="s">
        <v>90</v>
      </c>
      <c r="B144" s="806"/>
      <c r="C144" s="806"/>
      <c r="D144" s="626" t="s">
        <v>183</v>
      </c>
      <c r="E144" s="149">
        <v>955470</v>
      </c>
      <c r="F144" s="723">
        <v>955721</v>
      </c>
      <c r="G144" s="704">
        <f t="shared" si="24"/>
        <v>251</v>
      </c>
      <c r="H144" s="725">
        <f t="shared" si="25"/>
        <v>251</v>
      </c>
      <c r="I144" s="728"/>
      <c r="J144" s="727">
        <f>H144/DAY(B2)</f>
        <v>251</v>
      </c>
    </row>
    <row r="145" spans="1:10" s="105" customFormat="1" ht="28.5">
      <c r="A145" s="859" t="s">
        <v>190</v>
      </c>
      <c r="B145" s="859"/>
      <c r="C145" s="859"/>
      <c r="D145" s="626" t="s">
        <v>183</v>
      </c>
      <c r="E145" s="149">
        <v>26991.77</v>
      </c>
      <c r="F145" s="723">
        <v>745181</v>
      </c>
      <c r="G145" s="704">
        <v>0</v>
      </c>
      <c r="H145" s="725">
        <f t="shared" si="25"/>
        <v>0</v>
      </c>
      <c r="I145" s="728"/>
      <c r="J145" s="727">
        <f>H145/DAY(B2)</f>
        <v>0</v>
      </c>
    </row>
    <row r="146" spans="1:10" s="105" customFormat="1" ht="28.5">
      <c r="A146" s="860" t="s">
        <v>191</v>
      </c>
      <c r="B146" s="861"/>
      <c r="C146" s="862"/>
      <c r="D146" s="626" t="s">
        <v>183</v>
      </c>
      <c r="E146" s="148">
        <v>787858</v>
      </c>
      <c r="F146" s="723">
        <v>787877</v>
      </c>
      <c r="G146" s="704">
        <f t="shared" si="24"/>
        <v>19</v>
      </c>
      <c r="H146" s="725">
        <f t="shared" si="25"/>
        <v>19</v>
      </c>
      <c r="I146" s="728"/>
      <c r="J146" s="727">
        <f>H146/DAY(B2)</f>
        <v>19</v>
      </c>
    </row>
    <row r="147" spans="1:10" s="105" customFormat="1" ht="28.5">
      <c r="A147" s="806" t="s">
        <v>192</v>
      </c>
      <c r="B147" s="806"/>
      <c r="C147" s="806"/>
      <c r="D147" s="626" t="s">
        <v>183</v>
      </c>
      <c r="E147" s="148">
        <v>760138</v>
      </c>
      <c r="F147" s="723">
        <v>760542.96</v>
      </c>
      <c r="G147" s="704">
        <f t="shared" si="24"/>
        <v>404.95999999996275</v>
      </c>
      <c r="H147" s="725">
        <f t="shared" si="25"/>
        <v>404.95999999996275</v>
      </c>
      <c r="I147" s="728"/>
      <c r="J147" s="727">
        <f>H147/DAY(B2)</f>
        <v>404.95999999996275</v>
      </c>
    </row>
    <row r="148" spans="1:10" s="105" customFormat="1" ht="28.5">
      <c r="A148" s="855" t="s">
        <v>193</v>
      </c>
      <c r="B148" s="856"/>
      <c r="C148" s="857"/>
      <c r="D148" s="627" t="s">
        <v>130</v>
      </c>
      <c r="E148" s="150">
        <v>796412.08</v>
      </c>
      <c r="F148" s="703">
        <v>796852.08</v>
      </c>
      <c r="G148" s="704">
        <f t="shared" si="24"/>
        <v>440</v>
      </c>
      <c r="H148" s="725">
        <f t="shared" si="25"/>
        <v>440</v>
      </c>
      <c r="I148" s="725"/>
      <c r="J148" s="727">
        <f>H148/DAY(B2)</f>
        <v>440</v>
      </c>
    </row>
    <row r="149" spans="1:10" s="105" customFormat="1" ht="28.5">
      <c r="A149" s="855" t="s">
        <v>336</v>
      </c>
      <c r="B149" s="856"/>
      <c r="C149" s="857"/>
      <c r="D149" s="628" t="s">
        <v>130</v>
      </c>
      <c r="E149" s="146">
        <v>201291.27</v>
      </c>
      <c r="F149" s="729">
        <v>201291</v>
      </c>
      <c r="G149" s="704">
        <f t="shared" si="24"/>
        <v>-0.26999999998952262</v>
      </c>
      <c r="H149" s="725">
        <f t="shared" si="25"/>
        <v>-0.26999999998952262</v>
      </c>
      <c r="I149" s="649"/>
      <c r="J149" s="727">
        <f>H149/DAY(B2)</f>
        <v>-0.26999999998952262</v>
      </c>
    </row>
    <row r="150" spans="1:10" s="105" customFormat="1" ht="28.5">
      <c r="A150" s="855" t="s">
        <v>337</v>
      </c>
      <c r="B150" s="856"/>
      <c r="C150" s="857"/>
      <c r="D150" s="627" t="s">
        <v>130</v>
      </c>
      <c r="E150" s="233">
        <v>85214</v>
      </c>
      <c r="F150" s="729">
        <v>85214</v>
      </c>
      <c r="G150" s="704">
        <f t="shared" si="24"/>
        <v>0</v>
      </c>
      <c r="H150" s="725">
        <f t="shared" si="25"/>
        <v>0</v>
      </c>
      <c r="I150" s="649"/>
      <c r="J150" s="727">
        <f>H150/DAY(B2)</f>
        <v>0</v>
      </c>
    </row>
    <row r="151" spans="1:10" s="105" customFormat="1" ht="28.5">
      <c r="A151" s="855" t="s">
        <v>338</v>
      </c>
      <c r="B151" s="856"/>
      <c r="C151" s="857"/>
      <c r="D151" s="629"/>
      <c r="E151" s="233">
        <v>166730</v>
      </c>
      <c r="F151" s="729">
        <v>167022</v>
      </c>
      <c r="G151" s="704">
        <f t="shared" ref="G151:G152" si="26">F151-E151</f>
        <v>292</v>
      </c>
      <c r="H151" s="725">
        <f t="shared" ref="H151:H158" si="27">G151</f>
        <v>292</v>
      </c>
      <c r="I151" s="649"/>
      <c r="J151" s="727">
        <f>H151/DAY(B2)</f>
        <v>292</v>
      </c>
    </row>
    <row r="152" spans="1:10" s="105" customFormat="1" ht="28.5">
      <c r="A152" s="855" t="s">
        <v>339</v>
      </c>
      <c r="B152" s="856"/>
      <c r="C152" s="857"/>
      <c r="D152" s="629"/>
      <c r="E152" s="233">
        <v>42511</v>
      </c>
      <c r="F152" s="729">
        <v>42639.8</v>
      </c>
      <c r="G152" s="704">
        <f t="shared" si="26"/>
        <v>128.80000000000291</v>
      </c>
      <c r="H152" s="725">
        <f t="shared" si="27"/>
        <v>128.80000000000291</v>
      </c>
      <c r="I152" s="649"/>
      <c r="J152" s="727">
        <f>H152/DAY(B2)</f>
        <v>128.80000000000291</v>
      </c>
    </row>
    <row r="153" spans="1:10" s="105" customFormat="1" ht="28.5">
      <c r="A153" s="809" t="s">
        <v>196</v>
      </c>
      <c r="B153" s="810"/>
      <c r="C153" s="811"/>
      <c r="D153" s="629"/>
      <c r="E153" s="361"/>
      <c r="F153" s="730"/>
      <c r="G153" s="731">
        <f>SUM(G138:G152)</f>
        <v>2223.0489999999745</v>
      </c>
      <c r="H153" s="732">
        <f t="shared" si="27"/>
        <v>2223.0489999999745</v>
      </c>
      <c r="I153" s="661">
        <f>G153-(G38+G52)</f>
        <v>1802.4089999999699</v>
      </c>
      <c r="J153" s="733"/>
    </row>
    <row r="154" spans="1:10" s="105" customFormat="1" ht="23.25">
      <c r="A154" s="858" t="s">
        <v>344</v>
      </c>
      <c r="B154" s="858"/>
      <c r="C154" s="858"/>
      <c r="D154" s="858"/>
      <c r="E154" s="858"/>
      <c r="F154" s="858"/>
      <c r="G154" s="858"/>
      <c r="H154" s="858"/>
      <c r="I154" s="858"/>
      <c r="J154" s="858"/>
    </row>
    <row r="155" spans="1:10" s="105" customFormat="1" ht="27.75" customHeight="1">
      <c r="A155" s="806" t="s">
        <v>345</v>
      </c>
      <c r="B155" s="806"/>
      <c r="C155" s="806"/>
      <c r="D155" s="630" t="s">
        <v>130</v>
      </c>
      <c r="E155" s="388">
        <v>239034</v>
      </c>
      <c r="F155" s="642">
        <v>239616</v>
      </c>
      <c r="G155" s="704">
        <f t="shared" ref="G155:G158" si="28">F155-E155</f>
        <v>582</v>
      </c>
      <c r="H155" s="725">
        <f t="shared" si="27"/>
        <v>582</v>
      </c>
      <c r="I155" s="642"/>
      <c r="J155" s="727">
        <f>H155/DAY(B2)</f>
        <v>582</v>
      </c>
    </row>
    <row r="156" spans="1:10" s="105" customFormat="1" ht="25.5" customHeight="1">
      <c r="A156" s="806" t="s">
        <v>368</v>
      </c>
      <c r="B156" s="806"/>
      <c r="C156" s="806"/>
      <c r="D156" s="630" t="s">
        <v>130</v>
      </c>
      <c r="E156" s="155">
        <v>29679.5</v>
      </c>
      <c r="F156" s="642">
        <v>29679.5</v>
      </c>
      <c r="G156" s="704">
        <f t="shared" si="28"/>
        <v>0</v>
      </c>
      <c r="H156" s="725">
        <f t="shared" si="27"/>
        <v>0</v>
      </c>
      <c r="I156" s="642"/>
      <c r="J156" s="727">
        <f>H156/DAY(B2)</f>
        <v>0</v>
      </c>
    </row>
    <row r="157" spans="1:10" s="105" customFormat="1" ht="25.5" customHeight="1">
      <c r="A157" s="781" t="s">
        <v>360</v>
      </c>
      <c r="B157" s="782"/>
      <c r="C157" s="783"/>
      <c r="D157" s="630" t="s">
        <v>130</v>
      </c>
      <c r="E157" s="95">
        <v>37559</v>
      </c>
      <c r="F157" s="642">
        <v>37559</v>
      </c>
      <c r="G157" s="704">
        <f t="shared" si="28"/>
        <v>0</v>
      </c>
      <c r="H157" s="725">
        <f t="shared" si="27"/>
        <v>0</v>
      </c>
      <c r="I157" s="642"/>
      <c r="J157" s="727"/>
    </row>
    <row r="158" spans="1:10" s="105" customFormat="1" ht="25.5" customHeight="1">
      <c r="A158" s="781" t="s">
        <v>361</v>
      </c>
      <c r="B158" s="782"/>
      <c r="C158" s="783"/>
      <c r="D158" s="630" t="s">
        <v>130</v>
      </c>
      <c r="E158" s="155">
        <v>1758</v>
      </c>
      <c r="F158" s="642">
        <v>1758.7</v>
      </c>
      <c r="G158" s="704">
        <f t="shared" si="28"/>
        <v>0.70000000000004547</v>
      </c>
      <c r="H158" s="725">
        <f t="shared" si="27"/>
        <v>0.70000000000004547</v>
      </c>
      <c r="I158" s="642"/>
      <c r="J158" s="727"/>
    </row>
    <row r="159" spans="1:10" s="105" customFormat="1" ht="25.5" customHeight="1">
      <c r="A159" s="784"/>
      <c r="B159" s="785"/>
      <c r="C159" s="786"/>
      <c r="D159" s="631"/>
      <c r="E159" s="155"/>
      <c r="F159" s="642"/>
      <c r="G159" s="704"/>
      <c r="H159" s="734"/>
      <c r="I159" s="642"/>
      <c r="J159" s="727"/>
    </row>
    <row r="160" spans="1:10" s="105" customFormat="1" ht="23.25">
      <c r="A160" s="797" t="s">
        <v>326</v>
      </c>
      <c r="B160" s="797"/>
      <c r="C160" s="797"/>
      <c r="D160" s="797"/>
      <c r="E160" s="797"/>
      <c r="F160" s="797"/>
      <c r="G160" s="797"/>
      <c r="H160" s="797"/>
      <c r="I160" s="797"/>
      <c r="J160" s="797"/>
    </row>
    <row r="161" spans="1:10" s="105" customFormat="1" ht="28.5">
      <c r="A161" s="242" t="s">
        <v>92</v>
      </c>
      <c r="B161" s="607"/>
      <c r="C161" s="607"/>
      <c r="D161" s="632" t="s">
        <v>180</v>
      </c>
      <c r="E161" s="235">
        <v>508383.32</v>
      </c>
      <c r="F161" s="735">
        <v>508475.56</v>
      </c>
      <c r="G161" s="736">
        <f t="shared" ref="G161:G165" si="29">F161-E161</f>
        <v>92.239999999990687</v>
      </c>
      <c r="H161" s="643">
        <f t="shared" ref="H161:H165" si="30">G161</f>
        <v>92.239999999990687</v>
      </c>
      <c r="I161" s="649"/>
      <c r="J161" s="737">
        <f>H161/DAY(B2)</f>
        <v>92.239999999990687</v>
      </c>
    </row>
    <row r="162" spans="1:10" s="105" customFormat="1" ht="28.5">
      <c r="A162" s="242" t="s">
        <v>93</v>
      </c>
      <c r="B162" s="607"/>
      <c r="C162" s="607"/>
      <c r="D162" s="632" t="s">
        <v>180</v>
      </c>
      <c r="E162" s="235">
        <v>771.6</v>
      </c>
      <c r="F162" s="735">
        <v>785.7</v>
      </c>
      <c r="G162" s="736">
        <f t="shared" si="29"/>
        <v>14.100000000000023</v>
      </c>
      <c r="H162" s="643">
        <f t="shared" si="30"/>
        <v>14.100000000000023</v>
      </c>
      <c r="I162" s="649"/>
      <c r="J162" s="737">
        <f>H162/DAY(B2)</f>
        <v>14.100000000000023</v>
      </c>
    </row>
    <row r="163" spans="1:10" s="105" customFormat="1" ht="28.5">
      <c r="A163" s="242" t="s">
        <v>367</v>
      </c>
      <c r="B163" s="607"/>
      <c r="C163" s="607"/>
      <c r="D163" s="632" t="s">
        <v>180</v>
      </c>
      <c r="E163" s="235">
        <v>0</v>
      </c>
      <c r="F163" s="735">
        <v>0</v>
      </c>
      <c r="G163" s="736">
        <f t="shared" si="29"/>
        <v>0</v>
      </c>
      <c r="H163" s="643">
        <f t="shared" si="30"/>
        <v>0</v>
      </c>
      <c r="I163" s="649"/>
      <c r="J163" s="737">
        <f>H163/DAY(B2)</f>
        <v>0</v>
      </c>
    </row>
    <row r="164" spans="1:10" s="105" customFormat="1" ht="28.5">
      <c r="A164" s="242" t="s">
        <v>367</v>
      </c>
      <c r="B164" s="607"/>
      <c r="C164" s="607"/>
      <c r="D164" s="632" t="s">
        <v>180</v>
      </c>
      <c r="E164" s="235">
        <v>7199</v>
      </c>
      <c r="F164" s="735">
        <v>7202.8</v>
      </c>
      <c r="G164" s="736">
        <f>F164-E164</f>
        <v>3.8000000000001819</v>
      </c>
      <c r="H164" s="643">
        <f t="shared" si="30"/>
        <v>3.8000000000001819</v>
      </c>
      <c r="I164" s="649"/>
      <c r="J164" s="737">
        <f>H164/DAY(B2)</f>
        <v>3.8000000000001819</v>
      </c>
    </row>
    <row r="165" spans="1:10" s="105" customFormat="1" ht="28.5">
      <c r="A165" s="242" t="s">
        <v>309</v>
      </c>
      <c r="B165" s="607"/>
      <c r="C165" s="607"/>
      <c r="D165" s="632" t="s">
        <v>180</v>
      </c>
      <c r="E165" s="235">
        <v>32780.088000000003</v>
      </c>
      <c r="F165" s="735">
        <v>32781.64</v>
      </c>
      <c r="G165" s="736">
        <f t="shared" si="29"/>
        <v>1.5519999999960419</v>
      </c>
      <c r="H165" s="643">
        <f t="shared" si="30"/>
        <v>1.5519999999960419</v>
      </c>
      <c r="I165" s="649"/>
      <c r="J165" s="737">
        <f>H165/DAY(B2)</f>
        <v>1.5519999999960419</v>
      </c>
    </row>
    <row r="166" spans="1:10" s="105" customFormat="1" ht="28.5" hidden="1">
      <c r="A166" s="798"/>
      <c r="B166" s="798"/>
      <c r="C166" s="574"/>
      <c r="D166" s="632" t="s">
        <v>180</v>
      </c>
      <c r="E166" s="155"/>
      <c r="F166" s="648"/>
      <c r="G166" s="736"/>
      <c r="H166" s="643"/>
      <c r="I166" s="648"/>
      <c r="J166" s="670"/>
    </row>
    <row r="167" spans="1:10" s="105" customFormat="1" ht="28.5" hidden="1">
      <c r="A167" s="798"/>
      <c r="B167" s="798"/>
      <c r="C167" s="574"/>
      <c r="D167" s="632" t="s">
        <v>180</v>
      </c>
      <c r="E167" s="155"/>
      <c r="F167" s="648"/>
      <c r="G167" s="736"/>
      <c r="H167" s="643"/>
      <c r="I167" s="648"/>
      <c r="J167" s="670"/>
    </row>
    <row r="168" spans="1:10" s="105" customFormat="1" ht="28.5" hidden="1">
      <c r="A168" s="798"/>
      <c r="B168" s="798"/>
      <c r="C168" s="574"/>
      <c r="D168" s="632" t="s">
        <v>180</v>
      </c>
      <c r="E168" s="155"/>
      <c r="F168" s="648"/>
      <c r="G168" s="736"/>
      <c r="H168" s="643"/>
      <c r="I168" s="648"/>
      <c r="J168" s="670"/>
    </row>
    <row r="169" spans="1:10" s="105" customFormat="1" ht="28.5">
      <c r="A169" s="94"/>
      <c r="D169" s="94"/>
      <c r="E169" s="413"/>
      <c r="F169" s="716"/>
      <c r="G169" s="717"/>
      <c r="H169" s="718"/>
      <c r="I169" s="716"/>
      <c r="J169" s="718"/>
    </row>
    <row r="170" spans="1:10" s="105" customFormat="1" ht="28.5">
      <c r="A170" s="94"/>
      <c r="D170" s="94"/>
      <c r="E170" s="413"/>
      <c r="F170" s="716"/>
      <c r="G170" s="717"/>
      <c r="H170" s="718"/>
      <c r="I170" s="716"/>
      <c r="J170" s="718"/>
    </row>
    <row r="171" spans="1:10" s="105" customFormat="1" ht="23.25">
      <c r="A171" s="799" t="s">
        <v>330</v>
      </c>
      <c r="B171" s="800"/>
      <c r="C171" s="800"/>
      <c r="D171" s="800"/>
      <c r="E171" s="800"/>
      <c r="F171" s="800"/>
      <c r="G171" s="800"/>
      <c r="H171" s="800"/>
      <c r="I171" s="800"/>
      <c r="J171" s="801"/>
    </row>
    <row r="172" spans="1:10" s="105" customFormat="1" ht="28.5">
      <c r="A172" s="795"/>
      <c r="B172" s="796"/>
      <c r="C172" s="608"/>
      <c r="D172" s="560"/>
      <c r="E172" s="155"/>
      <c r="F172" s="648"/>
      <c r="G172" s="705"/>
      <c r="H172" s="670"/>
      <c r="I172" s="648"/>
      <c r="J172" s="738">
        <f>H172/DAY(B2)</f>
        <v>0</v>
      </c>
    </row>
    <row r="173" spans="1:10" s="105" customFormat="1" ht="28.5">
      <c r="A173" s="789" t="s">
        <v>209</v>
      </c>
      <c r="B173" s="790"/>
      <c r="C173" s="561"/>
      <c r="D173" s="560" t="s">
        <v>142</v>
      </c>
      <c r="E173" s="157">
        <v>8612</v>
      </c>
      <c r="F173" s="648">
        <v>8613</v>
      </c>
      <c r="G173" s="705">
        <f>F173-E173</f>
        <v>1</v>
      </c>
      <c r="H173" s="643">
        <f t="shared" ref="H173:H189" si="31">G173</f>
        <v>1</v>
      </c>
      <c r="I173" s="648"/>
      <c r="J173" s="738">
        <f>H173/DAY(B2)</f>
        <v>1</v>
      </c>
    </row>
    <row r="174" spans="1:10" s="105" customFormat="1" ht="28.5">
      <c r="A174" s="789" t="s">
        <v>75</v>
      </c>
      <c r="B174" s="790"/>
      <c r="C174" s="561"/>
      <c r="D174" s="560" t="s">
        <v>142</v>
      </c>
      <c r="E174" s="157">
        <v>43050</v>
      </c>
      <c r="F174" s="642">
        <v>43049</v>
      </c>
      <c r="G174" s="705">
        <f t="shared" ref="G174:G175" si="32">F174-E174</f>
        <v>-1</v>
      </c>
      <c r="H174" s="643">
        <f t="shared" si="31"/>
        <v>-1</v>
      </c>
      <c r="I174" s="648"/>
      <c r="J174" s="738">
        <f>H174/DAY(B2)</f>
        <v>-1</v>
      </c>
    </row>
    <row r="175" spans="1:10" s="105" customFormat="1" ht="28.5">
      <c r="A175" s="789" t="s">
        <v>76</v>
      </c>
      <c r="B175" s="802"/>
      <c r="C175" s="790"/>
      <c r="D175" s="560" t="s">
        <v>142</v>
      </c>
      <c r="E175" s="155">
        <v>25821</v>
      </c>
      <c r="F175" s="648">
        <v>25835</v>
      </c>
      <c r="G175" s="705">
        <f t="shared" si="32"/>
        <v>14</v>
      </c>
      <c r="H175" s="643">
        <f t="shared" si="31"/>
        <v>14</v>
      </c>
      <c r="I175" s="648"/>
      <c r="J175" s="738"/>
    </row>
    <row r="176" spans="1:10" s="105" customFormat="1" ht="28.5">
      <c r="A176" s="787" t="s">
        <v>196</v>
      </c>
      <c r="B176" s="788"/>
      <c r="C176" s="561"/>
      <c r="D176" s="560"/>
      <c r="E176" s="155"/>
      <c r="F176" s="648"/>
      <c r="G176" s="705">
        <f>SUM(G173:G175)</f>
        <v>14</v>
      </c>
      <c r="H176" s="643">
        <f t="shared" si="31"/>
        <v>14</v>
      </c>
      <c r="I176" s="648"/>
      <c r="J176" s="738">
        <f>H176/DAY(B2)</f>
        <v>14</v>
      </c>
    </row>
    <row r="177" spans="1:10" s="105" customFormat="1" ht="28.5">
      <c r="A177" s="789" t="s">
        <v>77</v>
      </c>
      <c r="B177" s="790"/>
      <c r="C177" s="561"/>
      <c r="D177" s="560" t="s">
        <v>142</v>
      </c>
      <c r="E177" s="155"/>
      <c r="F177" s="648"/>
      <c r="G177" s="705"/>
      <c r="H177" s="643">
        <f t="shared" si="31"/>
        <v>0</v>
      </c>
      <c r="I177" s="648"/>
      <c r="J177" s="738">
        <f>H177/DAY(B2)</f>
        <v>0</v>
      </c>
    </row>
    <row r="178" spans="1:10" s="105" customFormat="1" ht="28.5">
      <c r="A178" s="789" t="s">
        <v>210</v>
      </c>
      <c r="B178" s="790"/>
      <c r="C178" s="561"/>
      <c r="D178" s="560" t="s">
        <v>142</v>
      </c>
      <c r="E178" s="155">
        <v>106999</v>
      </c>
      <c r="F178" s="648">
        <v>107108</v>
      </c>
      <c r="G178" s="705">
        <f>F178-E178</f>
        <v>109</v>
      </c>
      <c r="H178" s="643">
        <f t="shared" si="31"/>
        <v>109</v>
      </c>
      <c r="I178" s="648"/>
      <c r="J178" s="738">
        <f>H178/DAY(B2)</f>
        <v>109</v>
      </c>
    </row>
    <row r="179" spans="1:10" s="105" customFormat="1" ht="28.5">
      <c r="A179" s="789" t="s">
        <v>211</v>
      </c>
      <c r="B179" s="790"/>
      <c r="C179" s="561"/>
      <c r="D179" s="560" t="s">
        <v>142</v>
      </c>
      <c r="E179" s="157">
        <v>37501</v>
      </c>
      <c r="F179" s="648">
        <v>37501</v>
      </c>
      <c r="G179" s="705">
        <f t="shared" ref="G179:G180" si="33">F179-E179</f>
        <v>0</v>
      </c>
      <c r="H179" s="643">
        <f t="shared" si="31"/>
        <v>0</v>
      </c>
      <c r="I179" s="648"/>
      <c r="J179" s="738">
        <f>H179/DAY(B2)</f>
        <v>0</v>
      </c>
    </row>
    <row r="180" spans="1:10" s="105" customFormat="1" ht="28.5">
      <c r="A180" s="789" t="s">
        <v>212</v>
      </c>
      <c r="B180" s="790"/>
      <c r="C180" s="561"/>
      <c r="D180" s="560" t="s">
        <v>142</v>
      </c>
      <c r="E180" s="157">
        <v>7563</v>
      </c>
      <c r="F180" s="648">
        <v>7563</v>
      </c>
      <c r="G180" s="705">
        <f t="shared" si="33"/>
        <v>0</v>
      </c>
      <c r="H180" s="643">
        <f t="shared" si="31"/>
        <v>0</v>
      </c>
      <c r="I180" s="648"/>
      <c r="J180" s="738">
        <f>H180/DAY(B2)</f>
        <v>0</v>
      </c>
    </row>
    <row r="181" spans="1:10" s="105" customFormat="1" ht="28.5">
      <c r="A181" s="787" t="s">
        <v>108</v>
      </c>
      <c r="B181" s="788"/>
      <c r="C181" s="561"/>
      <c r="D181" s="560"/>
      <c r="E181" s="157"/>
      <c r="F181" s="648"/>
      <c r="G181" s="705">
        <f>SUM(G178:G180)</f>
        <v>109</v>
      </c>
      <c r="H181" s="643">
        <f t="shared" si="31"/>
        <v>109</v>
      </c>
      <c r="I181" s="648"/>
      <c r="J181" s="738">
        <f>H181/DAY(B2)</f>
        <v>109</v>
      </c>
    </row>
    <row r="182" spans="1:10" s="105" customFormat="1" ht="21.95" customHeight="1">
      <c r="A182" s="789" t="s">
        <v>213</v>
      </c>
      <c r="B182" s="790"/>
      <c r="C182" s="561"/>
      <c r="D182" s="560"/>
      <c r="E182" s="155"/>
      <c r="F182" s="648"/>
      <c r="G182" s="705"/>
      <c r="H182" s="643">
        <f t="shared" si="31"/>
        <v>0</v>
      </c>
      <c r="I182" s="648"/>
      <c r="J182" s="738">
        <f>H182/DAY(B2)</f>
        <v>0</v>
      </c>
    </row>
    <row r="183" spans="1:10" s="105" customFormat="1" ht="28.5">
      <c r="A183" s="789" t="s">
        <v>214</v>
      </c>
      <c r="B183" s="790"/>
      <c r="C183" s="561"/>
      <c r="D183" s="560" t="s">
        <v>142</v>
      </c>
      <c r="E183" s="157">
        <v>18378</v>
      </c>
      <c r="F183" s="642">
        <v>18386</v>
      </c>
      <c r="G183" s="739">
        <f>F183-E183</f>
        <v>8</v>
      </c>
      <c r="H183" s="643">
        <f t="shared" si="31"/>
        <v>8</v>
      </c>
      <c r="I183" s="648"/>
      <c r="J183" s="738">
        <f>H183/DAY(B2)</f>
        <v>8</v>
      </c>
    </row>
    <row r="184" spans="1:10" s="105" customFormat="1" ht="28.5">
      <c r="A184" s="789" t="s">
        <v>215</v>
      </c>
      <c r="B184" s="790"/>
      <c r="C184" s="561"/>
      <c r="D184" s="560" t="s">
        <v>142</v>
      </c>
      <c r="E184" s="157">
        <v>12980</v>
      </c>
      <c r="F184" s="642">
        <v>12982</v>
      </c>
      <c r="G184" s="739">
        <f t="shared" ref="G184:G185" si="34">F184-E184</f>
        <v>2</v>
      </c>
      <c r="H184" s="643">
        <f t="shared" si="31"/>
        <v>2</v>
      </c>
      <c r="I184" s="648"/>
      <c r="J184" s="738">
        <f>H184/DAY(B2)</f>
        <v>2</v>
      </c>
    </row>
    <row r="185" spans="1:10" s="105" customFormat="1" ht="28.5">
      <c r="A185" s="789" t="s">
        <v>216</v>
      </c>
      <c r="B185" s="790"/>
      <c r="C185" s="561"/>
      <c r="D185" s="560" t="s">
        <v>142</v>
      </c>
      <c r="E185" s="157"/>
      <c r="F185" s="642"/>
      <c r="G185" s="739">
        <f t="shared" si="34"/>
        <v>0</v>
      </c>
      <c r="H185" s="643">
        <f t="shared" si="31"/>
        <v>0</v>
      </c>
      <c r="I185" s="648"/>
      <c r="J185" s="740">
        <f>H185/DAY(B2)</f>
        <v>0</v>
      </c>
    </row>
    <row r="186" spans="1:10" s="105" customFormat="1" ht="28.5">
      <c r="A186" s="787" t="s">
        <v>196</v>
      </c>
      <c r="B186" s="788"/>
      <c r="C186" s="561"/>
      <c r="D186" s="633"/>
      <c r="E186" s="157"/>
      <c r="F186" s="642"/>
      <c r="G186" s="739">
        <f>SUM(G183:G185)</f>
        <v>10</v>
      </c>
      <c r="H186" s="643">
        <f t="shared" si="31"/>
        <v>10</v>
      </c>
      <c r="I186" s="642"/>
      <c r="J186" s="740">
        <f>H186/DAY(B2)</f>
        <v>10</v>
      </c>
    </row>
    <row r="187" spans="1:10" s="105" customFormat="1" ht="28.5">
      <c r="A187" s="789" t="s">
        <v>217</v>
      </c>
      <c r="B187" s="790"/>
      <c r="C187" s="561"/>
      <c r="D187" s="634" t="s">
        <v>142</v>
      </c>
      <c r="E187" s="159"/>
      <c r="F187" s="734"/>
      <c r="G187" s="739">
        <f>G62+G19</f>
        <v>179.5</v>
      </c>
      <c r="H187" s="643">
        <f t="shared" si="31"/>
        <v>179.5</v>
      </c>
      <c r="I187" s="642"/>
      <c r="J187" s="740">
        <f>H187/DAY(B2)</f>
        <v>179.5</v>
      </c>
    </row>
    <row r="188" spans="1:10" s="105" customFormat="1" ht="28.5">
      <c r="A188" s="789" t="s">
        <v>218</v>
      </c>
      <c r="B188" s="790"/>
      <c r="C188" s="561"/>
      <c r="D188" s="634" t="s">
        <v>142</v>
      </c>
      <c r="E188" s="159"/>
      <c r="F188" s="734"/>
      <c r="G188" s="739">
        <f>G65+G66+G67+G69+G70</f>
        <v>194</v>
      </c>
      <c r="H188" s="643">
        <f t="shared" si="31"/>
        <v>194</v>
      </c>
      <c r="I188" s="642"/>
      <c r="J188" s="693"/>
    </row>
    <row r="189" spans="1:10" s="105" customFormat="1" ht="28.5">
      <c r="A189" s="789" t="s">
        <v>219</v>
      </c>
      <c r="B189" s="790"/>
      <c r="C189" s="561"/>
      <c r="D189" s="634" t="s">
        <v>142</v>
      </c>
      <c r="E189" s="157"/>
      <c r="F189" s="642"/>
      <c r="G189" s="739">
        <f>G181</f>
        <v>109</v>
      </c>
      <c r="H189" s="643">
        <f t="shared" si="31"/>
        <v>109</v>
      </c>
      <c r="I189" s="642"/>
      <c r="J189" s="737">
        <f>H189/DAY(B2)</f>
        <v>109</v>
      </c>
    </row>
    <row r="190" spans="1:10" s="105" customFormat="1" ht="28.5">
      <c r="A190" s="793" t="s">
        <v>358</v>
      </c>
      <c r="B190" s="794"/>
      <c r="C190" s="609"/>
      <c r="D190" s="635"/>
      <c r="E190" s="414"/>
      <c r="F190" s="741">
        <v>53763</v>
      </c>
      <c r="G190" s="742">
        <f>F190-E190</f>
        <v>53763</v>
      </c>
      <c r="H190" s="743"/>
      <c r="I190" s="741"/>
      <c r="J190" s="743"/>
    </row>
    <row r="191" spans="1:10" ht="28.5">
      <c r="A191" s="791"/>
      <c r="B191" s="792"/>
    </row>
    <row r="192" spans="1:10" ht="28.5"/>
    <row r="193" ht="28.5"/>
    <row r="194" ht="28.5"/>
    <row r="195" ht="28.5"/>
    <row r="196" ht="28.5"/>
    <row r="197" ht="28.5"/>
    <row r="198" ht="28.5"/>
    <row r="199" ht="28.5"/>
    <row r="200" ht="28.5"/>
    <row r="201" ht="28.5"/>
    <row r="202" ht="28.5"/>
    <row r="203" ht="28.5"/>
    <row r="204" ht="28.5"/>
    <row r="205" ht="28.5"/>
    <row r="206" ht="28.5"/>
    <row r="207" ht="28.5"/>
    <row r="208" ht="28.5"/>
    <row r="209" ht="28.5"/>
    <row r="210" ht="28.5"/>
    <row r="211" ht="28.5"/>
    <row r="212" ht="28.5"/>
    <row r="213" ht="28.5"/>
    <row r="214" ht="28.5"/>
    <row r="215" ht="28.5"/>
    <row r="216" ht="28.5"/>
    <row r="217" ht="28.5"/>
    <row r="218" ht="28.5"/>
    <row r="219" ht="28.5"/>
    <row r="220" ht="28.5"/>
    <row r="221" ht="28.5"/>
    <row r="222" ht="28.5"/>
    <row r="223" ht="28.5"/>
    <row r="224" ht="28.5"/>
    <row r="225" ht="28.5"/>
    <row r="226" ht="28.5"/>
    <row r="227" ht="28.5"/>
    <row r="228" ht="28.5"/>
    <row r="229" ht="28.5"/>
    <row r="230" ht="28.5"/>
    <row r="231" ht="28.5"/>
    <row r="232" ht="28.5"/>
    <row r="233" ht="28.5"/>
    <row r="234" ht="28.5"/>
    <row r="235" ht="28.5"/>
    <row r="236" ht="28.5"/>
    <row r="237" ht="28.5"/>
    <row r="238" ht="28.5"/>
    <row r="239" ht="28.5"/>
    <row r="240" ht="28.5"/>
    <row r="241" ht="28.5"/>
    <row r="242" ht="28.5"/>
    <row r="243" ht="28.5"/>
    <row r="244" ht="28.5"/>
    <row r="245" ht="28.5"/>
    <row r="246" ht="28.5"/>
    <row r="247" ht="28.5"/>
    <row r="248" ht="28.5"/>
    <row r="249" ht="28.5"/>
    <row r="250" ht="28.5"/>
    <row r="251" ht="28.5"/>
    <row r="252" ht="28.5"/>
    <row r="253" ht="28.5"/>
    <row r="254" ht="28.5"/>
    <row r="255" ht="28.5"/>
    <row r="256" ht="28.5"/>
    <row r="257" ht="28.5"/>
    <row r="258" ht="28.5"/>
    <row r="259" ht="28.5"/>
    <row r="260" ht="28.5"/>
    <row r="261" ht="28.5"/>
    <row r="262" ht="28.5"/>
    <row r="263" ht="28.5"/>
    <row r="264" ht="28.5"/>
    <row r="265" ht="28.5"/>
    <row r="266" ht="28.5"/>
    <row r="267" ht="28.5"/>
    <row r="268" ht="28.5"/>
    <row r="269" ht="28.5"/>
    <row r="270" ht="28.5"/>
  </sheetData>
  <mergeCells count="116">
    <mergeCell ref="A153:C153"/>
    <mergeCell ref="A125:C125"/>
    <mergeCell ref="A148:C148"/>
    <mergeCell ref="A149:C149"/>
    <mergeCell ref="A150:C150"/>
    <mergeCell ref="A151:C151"/>
    <mergeCell ref="A152:C152"/>
    <mergeCell ref="A156:C156"/>
    <mergeCell ref="A147:C147"/>
    <mergeCell ref="A154:J154"/>
    <mergeCell ref="A155:C155"/>
    <mergeCell ref="A145:C145"/>
    <mergeCell ref="A146:C146"/>
    <mergeCell ref="A144:C144"/>
    <mergeCell ref="A143:C143"/>
    <mergeCell ref="A142:C142"/>
    <mergeCell ref="A131:C131"/>
    <mergeCell ref="A99:C99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C33"/>
    <mergeCell ref="A61:C61"/>
    <mergeCell ref="A62:C62"/>
    <mergeCell ref="A63:C63"/>
    <mergeCell ref="A71:C71"/>
    <mergeCell ref="A72:B72"/>
    <mergeCell ref="A78:C78"/>
    <mergeCell ref="A97:C97"/>
    <mergeCell ref="A98:C98"/>
    <mergeCell ref="A77:C77"/>
    <mergeCell ref="A79:C79"/>
    <mergeCell ref="A80:C80"/>
    <mergeCell ref="A81:C81"/>
    <mergeCell ref="A93:C93"/>
    <mergeCell ref="A73:C73"/>
    <mergeCell ref="A74:C74"/>
    <mergeCell ref="A75:C75"/>
    <mergeCell ref="A76:C76"/>
    <mergeCell ref="A95:C95"/>
    <mergeCell ref="A96:C96"/>
    <mergeCell ref="A94:C94"/>
    <mergeCell ref="A100:C100"/>
    <mergeCell ref="A101:C101"/>
    <mergeCell ref="A103:C103"/>
    <mergeCell ref="A104:C104"/>
    <mergeCell ref="A102:C102"/>
    <mergeCell ref="A109:B109"/>
    <mergeCell ref="Q116:R116"/>
    <mergeCell ref="A117:C117"/>
    <mergeCell ref="Q117:R117"/>
    <mergeCell ref="A113:C113"/>
    <mergeCell ref="A114:C114"/>
    <mergeCell ref="A115:C115"/>
    <mergeCell ref="A116:C116"/>
    <mergeCell ref="A105:C105"/>
    <mergeCell ref="A108:J108"/>
    <mergeCell ref="A110:J110"/>
    <mergeCell ref="A111:C111"/>
    <mergeCell ref="A112:C112"/>
    <mergeCell ref="A167:B167"/>
    <mergeCell ref="A168:B168"/>
    <mergeCell ref="A171:J171"/>
    <mergeCell ref="A175:C175"/>
    <mergeCell ref="A118:C118"/>
    <mergeCell ref="Q118:R118"/>
    <mergeCell ref="A138:C138"/>
    <mergeCell ref="A139:C139"/>
    <mergeCell ref="A140:C140"/>
    <mergeCell ref="A141:C141"/>
    <mergeCell ref="A132:C132"/>
    <mergeCell ref="A133:C133"/>
    <mergeCell ref="A134:C134"/>
    <mergeCell ref="A135:C135"/>
    <mergeCell ref="A136:J136"/>
    <mergeCell ref="A119:C119"/>
    <mergeCell ref="A120:C120"/>
    <mergeCell ref="A121:C121"/>
    <mergeCell ref="A122:C122"/>
    <mergeCell ref="A124:C124"/>
    <mergeCell ref="A123:C123"/>
    <mergeCell ref="A126:J126"/>
    <mergeCell ref="A127:B127"/>
    <mergeCell ref="A128:C128"/>
    <mergeCell ref="A157:C157"/>
    <mergeCell ref="A158:C158"/>
    <mergeCell ref="A159:C159"/>
    <mergeCell ref="A186:B186"/>
    <mergeCell ref="A187:B187"/>
    <mergeCell ref="A188:B188"/>
    <mergeCell ref="A189:B189"/>
    <mergeCell ref="A191:B191"/>
    <mergeCell ref="A178:B178"/>
    <mergeCell ref="A179:B179"/>
    <mergeCell ref="A180:B180"/>
    <mergeCell ref="A181:B181"/>
    <mergeCell ref="A185:B185"/>
    <mergeCell ref="A182:B182"/>
    <mergeCell ref="A183:B183"/>
    <mergeCell ref="A184:B184"/>
    <mergeCell ref="A190:B190"/>
    <mergeCell ref="A172:B172"/>
    <mergeCell ref="A173:B173"/>
    <mergeCell ref="A174:B174"/>
    <mergeCell ref="A176:B176"/>
    <mergeCell ref="A177:B177"/>
    <mergeCell ref="A160:J160"/>
    <mergeCell ref="A166:B166"/>
  </mergeCells>
  <pageMargins left="0.22" right="0.17" top="0.14000000000000001" bottom="0.2" header="0.2" footer="0.2"/>
  <pageSetup paperSize="5" scale="1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270"/>
  <sheetViews>
    <sheetView view="pageBreakPreview" topLeftCell="A124" zoomScale="55" zoomScaleSheetLayoutView="55" workbookViewId="0">
      <selection sqref="A1:J1"/>
    </sheetView>
  </sheetViews>
  <sheetFormatPr defaultColWidth="22.33203125" defaultRowHeight="21.95" customHeight="1"/>
  <cols>
    <col min="1" max="1" width="36" style="94" customWidth="1"/>
    <col min="2" max="2" width="22.88671875" style="97" customWidth="1"/>
    <col min="3" max="3" width="15.88671875" style="97" customWidth="1"/>
    <col min="4" max="4" width="13.6640625" style="160" customWidth="1"/>
    <col min="5" max="5" width="27" style="160" customWidth="1"/>
    <col min="6" max="6" width="27.44140625" style="160" customWidth="1"/>
    <col min="7" max="7" width="28.88671875" style="160" customWidth="1"/>
    <col min="8" max="8" width="2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919" t="s">
        <v>115</v>
      </c>
      <c r="B1" s="920"/>
      <c r="C1" s="920"/>
      <c r="D1" s="920"/>
      <c r="E1" s="920"/>
      <c r="F1" s="920"/>
      <c r="G1" s="920"/>
      <c r="H1" s="920"/>
      <c r="I1" s="920"/>
      <c r="J1" s="921"/>
    </row>
    <row r="2" spans="1:16" s="57" customFormat="1" ht="23.25">
      <c r="A2" s="191" t="s">
        <v>349</v>
      </c>
      <c r="B2" s="262">
        <v>44928</v>
      </c>
      <c r="C2" s="348" t="s">
        <v>67</v>
      </c>
      <c r="D2" s="218">
        <v>0.46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3.25">
      <c r="A3" s="189"/>
      <c r="B3" s="221"/>
      <c r="C3" s="348" t="s">
        <v>118</v>
      </c>
      <c r="D3" s="219">
        <v>28</v>
      </c>
      <c r="E3" s="928" t="s">
        <v>119</v>
      </c>
      <c r="F3" s="929"/>
      <c r="G3" s="101"/>
      <c r="H3" s="102"/>
      <c r="I3" s="102"/>
      <c r="J3" s="222"/>
      <c r="K3" s="61"/>
      <c r="L3" s="58"/>
    </row>
    <row r="4" spans="1:16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6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6.25">
      <c r="A6" s="922" t="s">
        <v>128</v>
      </c>
      <c r="B6" s="923"/>
      <c r="C6" s="924"/>
      <c r="D6" s="110"/>
      <c r="E6" s="110"/>
      <c r="F6" s="110"/>
      <c r="G6" s="110"/>
      <c r="H6" s="111"/>
      <c r="I6" s="111"/>
      <c r="J6" s="174"/>
      <c r="K6" s="78"/>
      <c r="L6" s="66"/>
    </row>
    <row r="7" spans="1:16" ht="27" thickBot="1">
      <c r="A7" s="194" t="s">
        <v>129</v>
      </c>
      <c r="B7" s="195"/>
      <c r="C7" s="195"/>
      <c r="D7" s="151" t="s">
        <v>130</v>
      </c>
      <c r="E7" s="95">
        <f>'1'!F7</f>
        <v>997205</v>
      </c>
      <c r="F7" s="95">
        <v>17938</v>
      </c>
      <c r="G7" s="236">
        <v>19914</v>
      </c>
      <c r="H7" s="99">
        <f>G7+'1'!H7</f>
        <v>40319</v>
      </c>
      <c r="I7" s="113">
        <f>'[1]1'!I7</f>
        <v>12000</v>
      </c>
      <c r="J7" s="175">
        <f>H7/DAY(B2)</f>
        <v>20159.5</v>
      </c>
      <c r="K7" s="172">
        <v>1375467</v>
      </c>
      <c r="L7" s="66"/>
      <c r="N7" s="87"/>
      <c r="O7" s="373"/>
      <c r="P7" s="57"/>
    </row>
    <row r="8" spans="1:16" ht="27" thickBot="1">
      <c r="A8" s="196" t="s">
        <v>131</v>
      </c>
      <c r="B8" s="197"/>
      <c r="C8" s="198"/>
      <c r="D8" s="224" t="s">
        <v>24</v>
      </c>
      <c r="E8" s="95">
        <f>'1'!F8</f>
        <v>179221</v>
      </c>
      <c r="F8" s="114">
        <v>200094</v>
      </c>
      <c r="G8" s="115">
        <f>F8-E8</f>
        <v>20873</v>
      </c>
      <c r="H8" s="99">
        <f>G8+'1'!H8</f>
        <v>42237</v>
      </c>
      <c r="I8" s="116">
        <v>12000</v>
      </c>
      <c r="J8" s="175">
        <f>H8/DAY(B2)</f>
        <v>21118.5</v>
      </c>
      <c r="K8" s="172">
        <v>1715917</v>
      </c>
      <c r="L8" s="76">
        <v>1728480</v>
      </c>
      <c r="M8" s="87">
        <f>L8-K8</f>
        <v>12563</v>
      </c>
      <c r="N8" s="87"/>
      <c r="O8" s="373">
        <f>G8-959</f>
        <v>19914</v>
      </c>
      <c r="P8" s="57"/>
    </row>
    <row r="9" spans="1:16" ht="26.25">
      <c r="A9" s="199" t="s">
        <v>132</v>
      </c>
      <c r="B9" s="200"/>
      <c r="C9" s="200"/>
      <c r="D9" s="151" t="s">
        <v>130</v>
      </c>
      <c r="E9" s="95">
        <f>'1'!F9</f>
        <v>4432599.5</v>
      </c>
      <c r="F9" s="353">
        <v>4448377.9000000004</v>
      </c>
      <c r="G9" s="112">
        <f t="shared" ref="G9:G11" si="0">F9-E9</f>
        <v>15778.400000000373</v>
      </c>
      <c r="H9" s="99">
        <f>G9+'1'!H9</f>
        <v>31772</v>
      </c>
      <c r="I9" s="124">
        <f>I8-J8</f>
        <v>-9118.5</v>
      </c>
      <c r="J9" s="175">
        <f>H9/DAY(B2)</f>
        <v>15886</v>
      </c>
      <c r="K9" s="79">
        <f>K8-100</f>
        <v>1715817</v>
      </c>
      <c r="L9" s="66"/>
      <c r="N9" s="87"/>
      <c r="O9" s="71"/>
    </row>
    <row r="10" spans="1:16" ht="26.25">
      <c r="A10" s="194" t="s">
        <v>133</v>
      </c>
      <c r="B10" s="195"/>
      <c r="C10" s="195"/>
      <c r="D10" s="151" t="s">
        <v>130</v>
      </c>
      <c r="E10" s="95">
        <f>'1'!F10</f>
        <v>4074903.1</v>
      </c>
      <c r="F10" s="117">
        <v>4079259.9</v>
      </c>
      <c r="G10" s="112">
        <f t="shared" si="0"/>
        <v>4356.7999999998137</v>
      </c>
      <c r="H10" s="99">
        <f>G10+'1'!H10</f>
        <v>9223.6000000000931</v>
      </c>
      <c r="I10" s="118"/>
      <c r="J10" s="175">
        <f>H10/DAY(B2)</f>
        <v>4611.8000000000466</v>
      </c>
      <c r="K10" s="79"/>
      <c r="L10" s="66"/>
      <c r="N10" s="87"/>
      <c r="O10" s="71"/>
    </row>
    <row r="11" spans="1:16" ht="26.25">
      <c r="A11" s="194" t="s">
        <v>134</v>
      </c>
      <c r="B11" s="195"/>
      <c r="C11" s="195"/>
      <c r="D11" s="151" t="s">
        <v>130</v>
      </c>
      <c r="E11" s="95">
        <f>'1'!F11</f>
        <v>38700</v>
      </c>
      <c r="F11" s="95">
        <v>38700</v>
      </c>
      <c r="G11" s="112">
        <f t="shared" si="0"/>
        <v>0</v>
      </c>
      <c r="H11" s="99">
        <f>G11+'1'!H11</f>
        <v>0</v>
      </c>
      <c r="I11" s="118"/>
      <c r="J11" s="175">
        <f>H11/DAY(B2)</f>
        <v>0</v>
      </c>
      <c r="K11" s="79"/>
      <c r="L11" s="66"/>
      <c r="N11" s="87"/>
      <c r="O11" s="71"/>
    </row>
    <row r="12" spans="1:16" ht="26.25">
      <c r="A12" s="194" t="s">
        <v>135</v>
      </c>
      <c r="B12" s="195"/>
      <c r="C12" s="195"/>
      <c r="D12" s="151" t="s">
        <v>130</v>
      </c>
      <c r="E12" s="95">
        <f>'1'!F12</f>
        <v>40550</v>
      </c>
      <c r="F12" s="117">
        <v>40550</v>
      </c>
      <c r="G12" s="112">
        <v>0</v>
      </c>
      <c r="H12" s="99">
        <f>G12+'1'!H12</f>
        <v>0</v>
      </c>
      <c r="I12" s="118"/>
      <c r="J12" s="175">
        <f>H12/DAY(B2)</f>
        <v>0</v>
      </c>
      <c r="K12" s="79"/>
      <c r="L12" s="66"/>
      <c r="N12" s="87"/>
      <c r="O12" s="71"/>
    </row>
    <row r="13" spans="1:16" ht="26.25">
      <c r="A13" s="201" t="s">
        <v>136</v>
      </c>
      <c r="B13" s="202"/>
      <c r="C13" s="202"/>
      <c r="D13" s="151"/>
      <c r="E13" s="95"/>
      <c r="F13" s="95"/>
      <c r="G13" s="119">
        <f>G9+G10+G11+G12</f>
        <v>20135.200000000186</v>
      </c>
      <c r="H13" s="99">
        <f>G13+'1'!H13</f>
        <v>40995.600000000093</v>
      </c>
      <c r="I13" s="120">
        <f>G7-G13</f>
        <v>-221.20000000018626</v>
      </c>
      <c r="J13" s="175">
        <f>H13/DAY(B2)</f>
        <v>20497.800000000047</v>
      </c>
      <c r="K13" s="79"/>
      <c r="L13" s="66"/>
      <c r="N13" s="87"/>
      <c r="O13" s="71"/>
    </row>
    <row r="14" spans="1:16" ht="26.25">
      <c r="A14" s="925" t="s">
        <v>137</v>
      </c>
      <c r="B14" s="926"/>
      <c r="C14" s="92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6.25">
      <c r="A15" s="345" t="s">
        <v>138</v>
      </c>
      <c r="B15" s="205"/>
      <c r="C15" s="205"/>
      <c r="D15" s="151" t="s">
        <v>139</v>
      </c>
      <c r="E15" s="95">
        <f>'1'!F15</f>
        <v>2254478.5</v>
      </c>
      <c r="F15" s="352">
        <v>2255678</v>
      </c>
      <c r="G15" s="356">
        <f>(F15-E15)</f>
        <v>1199.5</v>
      </c>
      <c r="H15" s="99">
        <f>G15+'1'!H15</f>
        <v>2376.6419999999925</v>
      </c>
      <c r="I15" s="113">
        <v>800</v>
      </c>
      <c r="J15" s="175">
        <f>H15/DAY(B2)</f>
        <v>1188.3209999999963</v>
      </c>
      <c r="K15" s="79"/>
      <c r="L15" s="66"/>
      <c r="N15" s="87"/>
      <c r="O15" s="71"/>
    </row>
    <row r="16" spans="1:16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-388.32099999999627</v>
      </c>
      <c r="J16" s="176"/>
      <c r="K16" s="79"/>
      <c r="L16" s="66"/>
      <c r="N16" s="87"/>
      <c r="O16" s="71"/>
      <c r="P16" s="71"/>
    </row>
    <row r="17" spans="1:16" ht="26.25">
      <c r="A17" s="925" t="s">
        <v>140</v>
      </c>
      <c r="B17" s="926"/>
      <c r="C17" s="92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  <c r="P17" s="71"/>
    </row>
    <row r="18" spans="1:16" ht="25.5">
      <c r="A18" s="902" t="s">
        <v>141</v>
      </c>
      <c r="B18" s="903"/>
      <c r="C18" s="904"/>
      <c r="D18" s="151" t="s">
        <v>142</v>
      </c>
      <c r="E18" s="95">
        <f>'1'!F18</f>
        <v>19</v>
      </c>
      <c r="F18" s="117">
        <v>23</v>
      </c>
      <c r="G18" s="119">
        <f>F18*10</f>
        <v>230</v>
      </c>
      <c r="H18" s="99">
        <f>G18+'1'!H18</f>
        <v>420</v>
      </c>
      <c r="I18" s="113">
        <f>'[1]1'!I18</f>
        <v>65</v>
      </c>
      <c r="J18" s="175">
        <f>H18/DAY(B2)</f>
        <v>210</v>
      </c>
      <c r="K18" s="79"/>
      <c r="L18" s="66"/>
      <c r="N18" s="87"/>
      <c r="O18" s="71"/>
    </row>
    <row r="19" spans="1:16" ht="25.5">
      <c r="A19" s="902" t="s">
        <v>69</v>
      </c>
      <c r="B19" s="903"/>
      <c r="C19" s="904"/>
      <c r="D19" s="151" t="s">
        <v>142</v>
      </c>
      <c r="E19" s="95">
        <f>'1'!F19</f>
        <v>169648</v>
      </c>
      <c r="F19" s="353">
        <v>169696</v>
      </c>
      <c r="G19" s="236">
        <f>F19-E19</f>
        <v>48</v>
      </c>
      <c r="H19" s="99">
        <f>G19+'1'!H19</f>
        <v>136</v>
      </c>
      <c r="I19" s="354"/>
      <c r="J19" s="175">
        <f>H19/DAY(B2)</f>
        <v>68</v>
      </c>
      <c r="K19" s="79"/>
      <c r="L19" s="66"/>
      <c r="N19" s="87"/>
      <c r="O19" s="71"/>
    </row>
    <row r="20" spans="1:16" ht="26.25">
      <c r="A20" s="201" t="s">
        <v>143</v>
      </c>
      <c r="B20" s="202"/>
      <c r="C20" s="202"/>
      <c r="D20" s="126"/>
      <c r="E20" s="126"/>
      <c r="F20" s="151"/>
      <c r="G20" s="355">
        <f>G18+G19</f>
        <v>278</v>
      </c>
      <c r="H20" s="99">
        <f>G20+'1'!H20</f>
        <v>556</v>
      </c>
      <c r="I20" s="336">
        <f>I18-J20</f>
        <v>-213</v>
      </c>
      <c r="J20" s="175">
        <f>H20/DAY(B2)</f>
        <v>278</v>
      </c>
      <c r="K20" s="79"/>
      <c r="L20" s="66"/>
      <c r="N20" s="87"/>
      <c r="O20" s="71"/>
    </row>
    <row r="21" spans="1:16" ht="26.25">
      <c r="A21" s="925" t="s">
        <v>144</v>
      </c>
      <c r="B21" s="926"/>
      <c r="C21" s="92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6" ht="26.25">
      <c r="A22" s="345" t="s">
        <v>145</v>
      </c>
      <c r="B22" s="205"/>
      <c r="C22" s="205"/>
      <c r="D22" s="151" t="s">
        <v>146</v>
      </c>
      <c r="E22" s="95">
        <f>'1'!F22</f>
        <v>2970</v>
      </c>
      <c r="F22" s="117">
        <v>2970</v>
      </c>
      <c r="G22" s="119">
        <f t="shared" ref="G22" si="1">(F22-E22)</f>
        <v>0</v>
      </c>
      <c r="H22" s="99">
        <f>G22+'1'!H22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6.25">
      <c r="A23" s="345" t="s">
        <v>147</v>
      </c>
      <c r="B23" s="205"/>
      <c r="C23" s="205"/>
      <c r="D23" s="151" t="s">
        <v>146</v>
      </c>
      <c r="E23" s="95">
        <f>'1'!F23</f>
        <v>2000</v>
      </c>
      <c r="F23" s="117">
        <v>2000</v>
      </c>
      <c r="G23" s="119">
        <v>0</v>
      </c>
      <c r="H23" s="99">
        <f>G23+'1'!H23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6" ht="26.25">
      <c r="A24" s="206" t="s">
        <v>148</v>
      </c>
      <c r="B24" s="207"/>
      <c r="C24" s="207"/>
      <c r="D24" s="146" t="s">
        <v>146</v>
      </c>
      <c r="E24" s="95">
        <f>'1'!F24</f>
        <v>4970</v>
      </c>
      <c r="F24" s="123">
        <v>4970</v>
      </c>
      <c r="G24" s="119">
        <v>0</v>
      </c>
      <c r="H24" s="99">
        <f>G24+'1'!H24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6" s="88" customFormat="1" ht="25.5">
      <c r="A25" s="930" t="s">
        <v>149</v>
      </c>
      <c r="B25" s="931"/>
      <c r="C25" s="93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6" s="88" customFormat="1" ht="25.5">
      <c r="A27" s="208" t="s">
        <v>5</v>
      </c>
      <c r="B27" s="209"/>
      <c r="C27" s="210"/>
      <c r="D27" s="226" t="s">
        <v>24</v>
      </c>
      <c r="E27" s="135">
        <f>G8</f>
        <v>20873</v>
      </c>
      <c r="F27" s="136">
        <v>9</v>
      </c>
      <c r="G27" s="137">
        <f>E27*F27</f>
        <v>187857</v>
      </c>
      <c r="H27" s="99">
        <f>G27+'1'!H27</f>
        <v>401497</v>
      </c>
      <c r="I27" s="138"/>
      <c r="J27" s="175">
        <f>H27/DAY(B2)</f>
        <v>200748.5</v>
      </c>
      <c r="K27" s="63"/>
      <c r="L27" s="89"/>
      <c r="N27" s="87"/>
      <c r="O27" s="71"/>
    </row>
    <row r="28" spans="1:16" s="88" customFormat="1" ht="25.5">
      <c r="A28" s="208" t="s">
        <v>152</v>
      </c>
      <c r="B28" s="209"/>
      <c r="C28" s="210"/>
      <c r="D28" s="226" t="s">
        <v>153</v>
      </c>
      <c r="E28" s="139">
        <f>G15</f>
        <v>1199.5</v>
      </c>
      <c r="F28" s="136">
        <v>75</v>
      </c>
      <c r="G28" s="137">
        <f t="shared" ref="G28:G31" si="2">E28*F28</f>
        <v>89962.5</v>
      </c>
      <c r="H28" s="99">
        <f>G28+'1'!H28</f>
        <v>178248.14999999944</v>
      </c>
      <c r="I28" s="140"/>
      <c r="J28" s="175">
        <f>H28/DAY(B2)</f>
        <v>89124.074999999721</v>
      </c>
      <c r="K28" s="63"/>
      <c r="L28" s="89"/>
      <c r="N28" s="87"/>
      <c r="O28" s="71"/>
    </row>
    <row r="29" spans="1:16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 t="shared" si="2"/>
        <v>0</v>
      </c>
      <c r="H29" s="99">
        <f>G29+'1'!H29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6" s="88" customFormat="1" ht="25.5">
      <c r="A30" s="208" t="s">
        <v>156</v>
      </c>
      <c r="B30" s="209"/>
      <c r="C30" s="210"/>
      <c r="D30" s="226" t="s">
        <v>157</v>
      </c>
      <c r="E30" s="141">
        <f>G19</f>
        <v>48</v>
      </c>
      <c r="F30" s="136">
        <v>151</v>
      </c>
      <c r="G30" s="137">
        <f t="shared" si="2"/>
        <v>7248</v>
      </c>
      <c r="H30" s="99">
        <f>G30+'1'!H30</f>
        <v>20536</v>
      </c>
      <c r="I30" s="140"/>
      <c r="J30" s="175">
        <f>H30/DAY(B2)</f>
        <v>10268</v>
      </c>
      <c r="K30" s="63"/>
      <c r="L30" s="89"/>
      <c r="N30" s="87"/>
      <c r="O30" s="71"/>
    </row>
    <row r="31" spans="1:16" s="88" customFormat="1" ht="25.5">
      <c r="A31" s="208" t="s">
        <v>158</v>
      </c>
      <c r="B31" s="209"/>
      <c r="C31" s="210"/>
      <c r="D31" s="226" t="s">
        <v>142</v>
      </c>
      <c r="E31" s="141">
        <f>G18</f>
        <v>230</v>
      </c>
      <c r="F31" s="136">
        <v>80</v>
      </c>
      <c r="G31" s="137">
        <f t="shared" si="2"/>
        <v>18400</v>
      </c>
      <c r="H31" s="99">
        <f>G31+'1'!H31</f>
        <v>33600</v>
      </c>
      <c r="I31" s="140"/>
      <c r="J31" s="175">
        <f>H31/DAY(B2)</f>
        <v>16800</v>
      </c>
      <c r="K31" s="63"/>
      <c r="L31" s="89"/>
      <c r="N31" s="87"/>
      <c r="O31" s="71"/>
    </row>
    <row r="32" spans="1:16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303467.5</v>
      </c>
      <c r="H32" s="99">
        <f>G32+'1'!H32</f>
        <v>633881.14999999944</v>
      </c>
      <c r="I32" s="144"/>
      <c r="J32" s="175">
        <f>H32/DAY(B2)</f>
        <v>316940.57499999972</v>
      </c>
      <c r="K32" s="63"/>
      <c r="L32" s="89"/>
      <c r="N32" s="87"/>
      <c r="O32" s="71"/>
    </row>
    <row r="33" spans="1:15" ht="25.5" customHeight="1">
      <c r="A33" s="933" t="s">
        <v>331</v>
      </c>
      <c r="B33" s="934"/>
      <c r="C33" s="93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'1'!F35</f>
        <v>457477.35</v>
      </c>
      <c r="F35" s="145">
        <v>460016.23</v>
      </c>
      <c r="G35" s="112">
        <f t="shared" ref="G35:G46" si="3">F35-E35</f>
        <v>2538.8800000000047</v>
      </c>
      <c r="H35" s="99">
        <f>G35+'1'!H35</f>
        <v>5498.2399999999907</v>
      </c>
      <c r="I35" s="95"/>
      <c r="J35" s="175">
        <f>H35/DAY(B2)</f>
        <v>2749.1199999999953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'1'!F36</f>
        <v>355036.47</v>
      </c>
      <c r="F36" s="753">
        <v>356026.23</v>
      </c>
      <c r="G36" s="112">
        <f t="shared" si="3"/>
        <v>989.76000000000931</v>
      </c>
      <c r="H36" s="99">
        <f>G36+'1'!H36</f>
        <v>1937.3299999999581</v>
      </c>
      <c r="I36" s="95"/>
      <c r="J36" s="175">
        <f>H36/DAY(B2)</f>
        <v>968.66499999997905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'1'!F37</f>
        <v>339699.83</v>
      </c>
      <c r="F37" s="145">
        <v>341163.71</v>
      </c>
      <c r="G37" s="112">
        <f t="shared" si="3"/>
        <v>1463.8800000000047</v>
      </c>
      <c r="H37" s="99">
        <f>G37+'1'!H37</f>
        <v>2893.8400000000256</v>
      </c>
      <c r="I37" s="95"/>
      <c r="J37" s="175">
        <f>H37/DAY(B2)</f>
        <v>1446.9200000000128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'1'!F38</f>
        <v>800098.23</v>
      </c>
      <c r="F38" s="108">
        <v>802595.51</v>
      </c>
      <c r="G38" s="112">
        <f t="shared" si="3"/>
        <v>2497.2800000000279</v>
      </c>
      <c r="H38" s="99">
        <f>G38+'1'!H38</f>
        <v>2918.1600000000326</v>
      </c>
      <c r="I38" s="95"/>
      <c r="J38" s="175">
        <f>H38/DAY(B2)</f>
        <v>1459.0800000000163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'1'!F39</f>
        <v>623091.99</v>
      </c>
      <c r="F39" s="145">
        <v>625943.55000000005</v>
      </c>
      <c r="G39" s="112">
        <f t="shared" si="3"/>
        <v>2851.5600000000559</v>
      </c>
      <c r="H39" s="99">
        <f>G39+'1'!H39</f>
        <v>5653.5500000000466</v>
      </c>
      <c r="I39" s="95"/>
      <c r="J39" s="175">
        <f>H39/DAY(B2)</f>
        <v>2826.7750000000233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'1'!F40</f>
        <v>210157.81</v>
      </c>
      <c r="F40" s="145">
        <v>210851.43</v>
      </c>
      <c r="G40" s="112">
        <f t="shared" si="3"/>
        <v>693.61999999999534</v>
      </c>
      <c r="H40" s="99">
        <f>G40+'1'!H40</f>
        <v>1165.0799999999872</v>
      </c>
      <c r="I40" s="95"/>
      <c r="J40" s="175">
        <f>H40/DAY(B2)</f>
        <v>582.5399999999936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'1'!F41</f>
        <v>420212.5</v>
      </c>
      <c r="F41" s="145">
        <v>420212.51</v>
      </c>
      <c r="G41" s="112">
        <f t="shared" si="3"/>
        <v>1.0000000009313226E-2</v>
      </c>
      <c r="H41" s="99">
        <f>G41+'1'!H41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'1'!F42</f>
        <v>924988.23</v>
      </c>
      <c r="F42" s="145">
        <v>929190.79</v>
      </c>
      <c r="G42" s="236">
        <f t="shared" si="3"/>
        <v>4202.5600000000559</v>
      </c>
      <c r="H42" s="99">
        <f>G42+'1'!H42</f>
        <v>8236.3200000000652</v>
      </c>
      <c r="I42" s="95"/>
      <c r="J42" s="175">
        <f>H42/DAY(B2)</f>
        <v>4118.1600000000326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'1'!F43</f>
        <v>422444</v>
      </c>
      <c r="F43" s="145">
        <v>422444</v>
      </c>
      <c r="G43" s="112">
        <f t="shared" si="3"/>
        <v>0</v>
      </c>
      <c r="H43" s="99">
        <f>G43+'1'!H43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'1'!F44</f>
        <v>0</v>
      </c>
      <c r="F44" s="145">
        <v>0</v>
      </c>
      <c r="G44" s="112">
        <f t="shared" si="3"/>
        <v>0</v>
      </c>
      <c r="H44" s="99">
        <f>G44+'1'!H44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'1'!F45</f>
        <v>0</v>
      </c>
      <c r="F45" s="145">
        <v>0</v>
      </c>
      <c r="G45" s="112">
        <f t="shared" si="3"/>
        <v>0</v>
      </c>
      <c r="H45" s="99">
        <f>G45+'1'!H45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'1'!F46</f>
        <v>0</v>
      </c>
      <c r="F46" s="145">
        <v>0</v>
      </c>
      <c r="G46" s="112">
        <f t="shared" si="3"/>
        <v>0</v>
      </c>
      <c r="H46" s="99">
        <f>G46+'1'!H46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15237.550000000163</v>
      </c>
      <c r="H47" s="99">
        <f>G47+'1'!H47</f>
        <v>28302.520000000106</v>
      </c>
      <c r="I47" s="95"/>
      <c r="J47" s="175">
        <f>H47/DAY(B2)</f>
        <v>14151.260000000053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'1'!F49</f>
        <v>807009.8</v>
      </c>
      <c r="F49" s="145">
        <v>807524.04</v>
      </c>
      <c r="G49" s="112">
        <f t="shared" ref="G49:G58" si="4">F49-E49</f>
        <v>514.23999999999069</v>
      </c>
      <c r="H49" s="99">
        <f>G49+'1'!H49</f>
        <v>1019.890000000014</v>
      </c>
      <c r="I49" s="95"/>
      <c r="J49" s="175">
        <f>H49/DAY(B2)</f>
        <v>509.94500000000698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'1'!F50</f>
        <v>502527.79</v>
      </c>
      <c r="F50" s="145">
        <v>503747.51</v>
      </c>
      <c r="G50" s="112">
        <f t="shared" si="4"/>
        <v>1219.7200000000303</v>
      </c>
      <c r="H50" s="99">
        <f>G50+'1'!H50</f>
        <v>2594.5100000000093</v>
      </c>
      <c r="I50" s="95"/>
      <c r="J50" s="175">
        <f>H50/DAY(B2)</f>
        <v>1297.2550000000047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'1'!F51</f>
        <v>156958.44</v>
      </c>
      <c r="F51" s="145">
        <v>156958.49</v>
      </c>
      <c r="G51" s="112">
        <f t="shared" si="4"/>
        <v>4.9999999988358468E-2</v>
      </c>
      <c r="H51" s="99">
        <f>G51+'1'!H51</f>
        <v>0.48999999999068677</v>
      </c>
      <c r="I51" s="95"/>
      <c r="J51" s="175">
        <f>H51/DAY(B2)</f>
        <v>0.24499999999534339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'1'!F52</f>
        <v>9.76</v>
      </c>
      <c r="F52" s="145">
        <v>9.76</v>
      </c>
      <c r="G52" s="112">
        <f t="shared" si="4"/>
        <v>0</v>
      </c>
      <c r="H52" s="99">
        <f>G52+'1'!H52</f>
        <v>-0.24000000000000021</v>
      </c>
      <c r="I52" s="95"/>
      <c r="J52" s="175">
        <f>H52/DAY(B2)</f>
        <v>-0.12000000000000011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'1'!F53</f>
        <v>630355.03</v>
      </c>
      <c r="F53" s="145">
        <v>630355.03</v>
      </c>
      <c r="G53" s="112">
        <f t="shared" si="4"/>
        <v>0</v>
      </c>
      <c r="H53" s="99">
        <f>G53+'1'!H53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'1'!F54</f>
        <v>114958.95</v>
      </c>
      <c r="F54" s="145">
        <v>115323.32</v>
      </c>
      <c r="G54" s="112">
        <f t="shared" si="4"/>
        <v>364.3700000000099</v>
      </c>
      <c r="H54" s="99">
        <f>G54+'1'!H54</f>
        <v>726.19000000000233</v>
      </c>
      <c r="I54" s="95"/>
      <c r="J54" s="175">
        <f>H54/DAY(B2)</f>
        <v>363.09500000000116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'1'!F55</f>
        <v>576335.63</v>
      </c>
      <c r="F55" s="145">
        <v>576335.63</v>
      </c>
      <c r="G55" s="112">
        <f t="shared" si="4"/>
        <v>0</v>
      </c>
      <c r="H55" s="99">
        <f>G55+'1'!H55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'1'!F56</f>
        <v>335403</v>
      </c>
      <c r="F56" s="145">
        <v>335403.7</v>
      </c>
      <c r="G56" s="112">
        <f t="shared" si="4"/>
        <v>0.70000000001164153</v>
      </c>
      <c r="H56" s="99">
        <f>G56+'1'!H56</f>
        <v>177.48999999999069</v>
      </c>
      <c r="I56" s="95"/>
      <c r="J56" s="175">
        <f>H56/DAY(B2)</f>
        <v>88.744999999995343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'1'!F57</f>
        <v>633338.35</v>
      </c>
      <c r="F57" s="145">
        <v>635748.43000000005</v>
      </c>
      <c r="G57" s="112">
        <f t="shared" si="4"/>
        <v>2410.0800000000745</v>
      </c>
      <c r="H57" s="99">
        <f>G57+'1'!H57</f>
        <v>4915.4300000000512</v>
      </c>
      <c r="I57" s="95"/>
      <c r="J57" s="175">
        <f>H57/DAY(B2)</f>
        <v>2457.7150000000256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'1'!F58</f>
        <v>86792.43</v>
      </c>
      <c r="F58" s="145">
        <v>87061.6</v>
      </c>
      <c r="G58" s="112">
        <f t="shared" si="4"/>
        <v>269.17000000001281</v>
      </c>
      <c r="H58" s="99">
        <f>G58+'1'!H58</f>
        <v>501.10100000000966</v>
      </c>
      <c r="I58" s="95"/>
      <c r="J58" s="175">
        <f>H58/DAY(B2)</f>
        <v>250.55050000000483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4778.3300000001182</v>
      </c>
      <c r="H59" s="99">
        <f>G59+'1'!H59</f>
        <v>9934.8610000000681</v>
      </c>
      <c r="I59" s="95">
        <f>G7-G60</f>
        <v>-101.88000000028114</v>
      </c>
      <c r="J59" s="175">
        <f>H59/DAY(B2)</f>
        <v>4967.430500000034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20015.880000000281</v>
      </c>
      <c r="H60" s="99">
        <f>G60+'1'!H60</f>
        <v>38237.381000000176</v>
      </c>
      <c r="I60" s="95">
        <f>G13-G60</f>
        <v>119.31999999990512</v>
      </c>
      <c r="J60" s="175">
        <f>H60/DAY(B2)</f>
        <v>19118.690500000088</v>
      </c>
      <c r="K60" s="79"/>
      <c r="L60" s="66"/>
      <c r="N60" s="87"/>
      <c r="O60" s="71"/>
    </row>
    <row r="61" spans="1:15" s="68" customFormat="1" ht="26.25">
      <c r="A61" s="935" t="s">
        <v>332</v>
      </c>
      <c r="B61" s="936"/>
      <c r="C61" s="93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02" t="s">
        <v>198</v>
      </c>
      <c r="B62" s="903"/>
      <c r="C62" s="904"/>
      <c r="D62" s="151" t="s">
        <v>142</v>
      </c>
      <c r="E62" s="95">
        <f>'1'!F62</f>
        <v>312191.5</v>
      </c>
      <c r="F62" s="164">
        <v>312281.5</v>
      </c>
      <c r="G62" s="112">
        <f t="shared" ref="G62:G63" si="5">F62-E62</f>
        <v>90</v>
      </c>
      <c r="H62" s="99">
        <f>G62+'1'!H62</f>
        <v>181.5</v>
      </c>
      <c r="I62" s="118"/>
      <c r="J62" s="175">
        <f>H62/DAY(B2)</f>
        <v>90.75</v>
      </c>
      <c r="K62" s="80"/>
      <c r="L62" s="66"/>
      <c r="N62" s="87"/>
      <c r="O62" s="71"/>
    </row>
    <row r="63" spans="1:15" ht="25.5">
      <c r="A63" s="902" t="s">
        <v>199</v>
      </c>
      <c r="B63" s="903"/>
      <c r="C63" s="904"/>
      <c r="D63" s="151" t="s">
        <v>142</v>
      </c>
      <c r="E63" s="95">
        <f>'1'!F63</f>
        <v>249136</v>
      </c>
      <c r="F63" s="122">
        <v>249246</v>
      </c>
      <c r="G63" s="112">
        <f t="shared" si="5"/>
        <v>110</v>
      </c>
      <c r="H63" s="99">
        <f>G63+'1'!H63</f>
        <v>211</v>
      </c>
      <c r="I63" s="118"/>
      <c r="J63" s="175">
        <f>H63/DAY(B2)</f>
        <v>105.5</v>
      </c>
      <c r="K63" s="69"/>
      <c r="L63" s="66"/>
      <c r="N63" s="87"/>
      <c r="O63" s="71"/>
    </row>
    <row r="64" spans="1:15" ht="26.25">
      <c r="A64" s="911" t="s">
        <v>200</v>
      </c>
      <c r="B64" s="912"/>
      <c r="C64" s="913"/>
      <c r="D64" s="151"/>
      <c r="E64" s="95">
        <f>'1'!F64</f>
        <v>0</v>
      </c>
      <c r="F64" s="122"/>
      <c r="G64" s="112">
        <f>G62+G63</f>
        <v>200</v>
      </c>
      <c r="H64" s="99">
        <f>G64+'1'!H64</f>
        <v>392.5</v>
      </c>
      <c r="I64" s="118"/>
      <c r="J64" s="175">
        <f>H64/DAY(B2)</f>
        <v>196.25</v>
      </c>
      <c r="K64" s="69"/>
      <c r="L64" s="66"/>
      <c r="N64" s="87"/>
      <c r="O64" s="71"/>
    </row>
    <row r="65" spans="1:15" ht="25.5">
      <c r="A65" s="902" t="s">
        <v>201</v>
      </c>
      <c r="B65" s="903"/>
      <c r="C65" s="904"/>
      <c r="D65" s="151" t="s">
        <v>142</v>
      </c>
      <c r="E65" s="95">
        <f>'1'!F65</f>
        <v>472157</v>
      </c>
      <c r="F65" s="122">
        <v>472281</v>
      </c>
      <c r="G65" s="112">
        <f t="shared" ref="G65:G70" si="6">F65-E65</f>
        <v>124</v>
      </c>
      <c r="H65" s="99">
        <f>G65+'1'!H65</f>
        <v>251</v>
      </c>
      <c r="I65" s="118"/>
      <c r="J65" s="175">
        <f>H65/DAY(B2)</f>
        <v>125.5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'1'!F66</f>
        <v>113571</v>
      </c>
      <c r="F66" s="122">
        <v>113584</v>
      </c>
      <c r="G66" s="112">
        <f t="shared" si="6"/>
        <v>13</v>
      </c>
      <c r="H66" s="99">
        <f>G66+'1'!H66</f>
        <v>25</v>
      </c>
      <c r="I66" s="118"/>
      <c r="J66" s="175">
        <f>H66/DAY(B2)</f>
        <v>12.5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'1'!F67</f>
        <v>116599</v>
      </c>
      <c r="F67" s="164">
        <v>116621</v>
      </c>
      <c r="G67" s="112">
        <f t="shared" si="6"/>
        <v>22</v>
      </c>
      <c r="H67" s="99">
        <f>G67+'1'!H67</f>
        <v>54</v>
      </c>
      <c r="I67" s="118"/>
      <c r="J67" s="175">
        <f>H67/DAY(B2)</f>
        <v>27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'1'!F68</f>
        <v>169379</v>
      </c>
      <c r="F68" s="122">
        <v>169383</v>
      </c>
      <c r="G68" s="112">
        <f t="shared" si="6"/>
        <v>4</v>
      </c>
      <c r="H68" s="99">
        <f>G68+'1'!H68</f>
        <v>24</v>
      </c>
      <c r="I68" s="118"/>
      <c r="J68" s="175">
        <f>H68/DAY(B2)</f>
        <v>12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'1'!F69</f>
        <v>13011</v>
      </c>
      <c r="F69" s="164">
        <v>13019</v>
      </c>
      <c r="G69" s="236">
        <f t="shared" si="6"/>
        <v>8</v>
      </c>
      <c r="H69" s="99">
        <f>G69+'1'!H69</f>
        <v>21</v>
      </c>
      <c r="I69" s="118"/>
      <c r="J69" s="175">
        <f>H69/DAY(B2)</f>
        <v>10.5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'1'!F70</f>
        <v>11026</v>
      </c>
      <c r="F70" s="122">
        <v>11033</v>
      </c>
      <c r="G70" s="112">
        <f t="shared" si="6"/>
        <v>7</v>
      </c>
      <c r="H70" s="99">
        <f>G70+'1'!H70</f>
        <v>17</v>
      </c>
      <c r="I70" s="118"/>
      <c r="J70" s="175">
        <f>H70/DAY(B2)</f>
        <v>8.5</v>
      </c>
      <c r="K70" s="69"/>
      <c r="L70" s="66"/>
      <c r="N70" s="87"/>
      <c r="O70" s="71"/>
    </row>
    <row r="71" spans="1:15" ht="26.25">
      <c r="A71" s="911" t="s">
        <v>208</v>
      </c>
      <c r="B71" s="912"/>
      <c r="C71" s="913"/>
      <c r="D71" s="152"/>
      <c r="E71" s="152"/>
      <c r="F71" s="152"/>
      <c r="G71" s="153">
        <f>SUM(G65:G70)</f>
        <v>178</v>
      </c>
      <c r="H71" s="99">
        <f>G71+'1'!H71</f>
        <v>392</v>
      </c>
      <c r="I71" s="154"/>
      <c r="J71" s="175">
        <f>H71/DAY(B2)</f>
        <v>196</v>
      </c>
      <c r="K71" s="69"/>
      <c r="L71" s="66"/>
      <c r="N71" s="87"/>
      <c r="O71" s="71"/>
    </row>
    <row r="72" spans="1:15" s="88" customFormat="1" ht="25.5">
      <c r="A72" s="898"/>
      <c r="B72" s="88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08" t="s">
        <v>333</v>
      </c>
      <c r="B73" s="909"/>
      <c r="C73" s="910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02" t="s">
        <v>220</v>
      </c>
      <c r="B74" s="903"/>
      <c r="C74" s="904"/>
      <c r="D74" s="151" t="s">
        <v>139</v>
      </c>
      <c r="E74" s="95">
        <f>'1'!F74</f>
        <v>2831</v>
      </c>
      <c r="F74" s="123">
        <v>3190.82</v>
      </c>
      <c r="G74" s="112">
        <f t="shared" ref="G74:G78" si="7">F74-E74</f>
        <v>359.82000000000016</v>
      </c>
      <c r="H74" s="99">
        <f>G74+'1'!H74</f>
        <v>675.82000000000016</v>
      </c>
      <c r="I74" s="154"/>
      <c r="J74" s="175">
        <f>H74/DAY(B2)</f>
        <v>337.91000000000008</v>
      </c>
      <c r="K74" s="69"/>
      <c r="L74" s="66"/>
      <c r="N74" s="87"/>
      <c r="O74" s="71"/>
    </row>
    <row r="75" spans="1:15" ht="25.5">
      <c r="A75" s="902" t="s">
        <v>221</v>
      </c>
      <c r="B75" s="903"/>
      <c r="C75" s="904"/>
      <c r="D75" s="151" t="s">
        <v>139</v>
      </c>
      <c r="E75" s="95">
        <f>'1'!F75</f>
        <v>73586.8</v>
      </c>
      <c r="F75" s="123">
        <v>73586.8</v>
      </c>
      <c r="G75" s="112">
        <f t="shared" si="7"/>
        <v>0</v>
      </c>
      <c r="H75" s="99">
        <f>G75+'1'!H75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899" t="s">
        <v>222</v>
      </c>
      <c r="B76" s="900"/>
      <c r="C76" s="901"/>
      <c r="D76" s="151" t="s">
        <v>139</v>
      </c>
      <c r="E76" s="95">
        <f>'1'!F76</f>
        <v>207497</v>
      </c>
      <c r="F76" s="123">
        <v>207601</v>
      </c>
      <c r="G76" s="112">
        <f t="shared" si="7"/>
        <v>104</v>
      </c>
      <c r="H76" s="99">
        <f>G76+'1'!H76</f>
        <v>224</v>
      </c>
      <c r="I76" s="154"/>
      <c r="J76" s="175">
        <f>H76/DAY(B2)</f>
        <v>112</v>
      </c>
      <c r="K76" s="69"/>
      <c r="L76" s="66"/>
      <c r="N76" s="87"/>
      <c r="O76" s="71"/>
    </row>
    <row r="77" spans="1:15" ht="25.5">
      <c r="A77" s="899" t="s">
        <v>223</v>
      </c>
      <c r="B77" s="900"/>
      <c r="C77" s="901"/>
      <c r="D77" s="151" t="s">
        <v>139</v>
      </c>
      <c r="E77" s="95">
        <f>'1'!F77</f>
        <v>58211</v>
      </c>
      <c r="F77" s="123">
        <v>58258</v>
      </c>
      <c r="G77" s="112">
        <f t="shared" si="7"/>
        <v>47</v>
      </c>
      <c r="H77" s="99">
        <f>G77+'1'!H77</f>
        <v>106</v>
      </c>
      <c r="I77" s="154"/>
      <c r="J77" s="175">
        <f>H77/DAY(B2)</f>
        <v>53</v>
      </c>
      <c r="K77" s="69"/>
      <c r="L77" s="66"/>
      <c r="N77" s="87"/>
      <c r="O77" s="71"/>
    </row>
    <row r="78" spans="1:15" ht="25.5">
      <c r="A78" s="899" t="s">
        <v>224</v>
      </c>
      <c r="B78" s="900"/>
      <c r="C78" s="901"/>
      <c r="D78" s="151" t="s">
        <v>139</v>
      </c>
      <c r="E78" s="95">
        <f>'1'!F78</f>
        <v>9563.5</v>
      </c>
      <c r="F78" s="123">
        <v>9563.5</v>
      </c>
      <c r="G78" s="112">
        <f t="shared" si="7"/>
        <v>0</v>
      </c>
      <c r="H78" s="99">
        <f>G78+'1'!H78</f>
        <v>-0.5</v>
      </c>
      <c r="I78" s="118"/>
      <c r="J78" s="175">
        <f>H78/DAY(B2)</f>
        <v>-0.25</v>
      </c>
      <c r="K78" s="69"/>
      <c r="L78" s="66"/>
      <c r="N78" s="87"/>
      <c r="O78" s="71"/>
    </row>
    <row r="79" spans="1:15" s="57" customFormat="1" ht="25.5">
      <c r="A79" s="899" t="s">
        <v>225</v>
      </c>
      <c r="B79" s="900"/>
      <c r="C79" s="901"/>
      <c r="D79" s="151"/>
      <c r="E79" s="95">
        <f>'1'!F79</f>
        <v>0</v>
      </c>
      <c r="F79" s="123"/>
      <c r="G79" s="112">
        <f>G15-SUM(G74:G78)</f>
        <v>688.67999999999984</v>
      </c>
      <c r="H79" s="99">
        <f>G79+'1'!H79</f>
        <v>1371.3219999999924</v>
      </c>
      <c r="I79" s="118"/>
      <c r="J79" s="175"/>
      <c r="K79" s="59"/>
      <c r="L79" s="58"/>
      <c r="N79" s="87"/>
      <c r="O79" s="71"/>
    </row>
    <row r="80" spans="1:15" s="57" customFormat="1" ht="26.25">
      <c r="A80" s="911" t="s">
        <v>329</v>
      </c>
      <c r="B80" s="912"/>
      <c r="C80" s="913"/>
      <c r="D80" s="151"/>
      <c r="E80" s="117"/>
      <c r="F80" s="117"/>
      <c r="G80" s="112">
        <f>SUM(G74:G79)</f>
        <v>1199.5</v>
      </c>
      <c r="H80" s="99">
        <f>G80+'1'!H80</f>
        <v>1199.5</v>
      </c>
      <c r="I80" s="118"/>
      <c r="J80" s="175"/>
      <c r="K80" s="59"/>
      <c r="L80" s="58"/>
      <c r="N80" s="87"/>
      <c r="O80" s="71"/>
    </row>
    <row r="81" spans="1:15" ht="25.5">
      <c r="A81" s="915" t="s">
        <v>226</v>
      </c>
      <c r="B81" s="916"/>
      <c r="C81" s="917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'1'!F82</f>
        <v>0</v>
      </c>
      <c r="F82" s="122">
        <v>0</v>
      </c>
      <c r="G82" s="112">
        <f t="shared" ref="G82:G91" si="8">F82-E82</f>
        <v>0</v>
      </c>
      <c r="H82" s="99">
        <f>G82+'1'!H82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'1'!F83</f>
        <v>0</v>
      </c>
      <c r="F83" s="122">
        <v>0</v>
      </c>
      <c r="G83" s="112">
        <f t="shared" si="8"/>
        <v>0</v>
      </c>
      <c r="H83" s="99">
        <f>G83+'1'!H83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'1'!F84</f>
        <v>43546</v>
      </c>
      <c r="F84" s="164">
        <v>43546</v>
      </c>
      <c r="G84" s="112">
        <f t="shared" si="8"/>
        <v>0</v>
      </c>
      <c r="H84" s="99">
        <f>G84+'1'!H84</f>
        <v>0</v>
      </c>
      <c r="I84" s="545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'1'!F85</f>
        <v>5956.3</v>
      </c>
      <c r="F85" s="164">
        <v>5980.5</v>
      </c>
      <c r="G85" s="112">
        <f t="shared" si="8"/>
        <v>24.199999999999818</v>
      </c>
      <c r="H85" s="99">
        <f>G85+'1'!H85</f>
        <v>48.050000000000182</v>
      </c>
      <c r="I85" s="545"/>
      <c r="J85" s="175">
        <f>H85/DAY(B2)</f>
        <v>24.025000000000091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'1'!F86</f>
        <v>46834</v>
      </c>
      <c r="F86" s="164">
        <v>46834</v>
      </c>
      <c r="G86" s="112">
        <f t="shared" si="8"/>
        <v>0</v>
      </c>
      <c r="H86" s="99">
        <f>G86+'1'!H86</f>
        <v>0</v>
      </c>
      <c r="I86" s="545"/>
      <c r="J86" s="175">
        <f>H86/DAY(B2)</f>
        <v>0</v>
      </c>
      <c r="O86" s="71">
        <f>24-8</f>
        <v>16</v>
      </c>
    </row>
    <row r="87" spans="1:15" ht="26.25">
      <c r="A87" s="345" t="s">
        <v>233</v>
      </c>
      <c r="B87" s="346"/>
      <c r="C87" s="346"/>
      <c r="D87" s="151" t="s">
        <v>228</v>
      </c>
      <c r="E87" s="95">
        <f>'1'!F87</f>
        <v>37028</v>
      </c>
      <c r="F87" s="164">
        <v>37028</v>
      </c>
      <c r="G87" s="112">
        <f t="shared" si="8"/>
        <v>0</v>
      </c>
      <c r="H87" s="99">
        <f>G87+'1'!H87</f>
        <v>0</v>
      </c>
      <c r="I87" s="545">
        <f>G84+G85+G86+G87</f>
        <v>24.199999999999818</v>
      </c>
      <c r="J87" s="175">
        <f>H87/DAY(B2)</f>
        <v>0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405">
        <f>'1'!F88</f>
        <v>24603.66</v>
      </c>
      <c r="F88" s="164">
        <v>24607.52</v>
      </c>
      <c r="G88" s="236">
        <f t="shared" si="8"/>
        <v>3.8600000000005821</v>
      </c>
      <c r="H88" s="99">
        <f>G88+'1'!H88</f>
        <v>3.9200000000018917</v>
      </c>
      <c r="I88" s="545"/>
      <c r="J88" s="175">
        <f>H88/DAY(B2)</f>
        <v>1.9600000000009459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405">
        <f>'1'!F89</f>
        <v>28760.39</v>
      </c>
      <c r="F89" s="164">
        <v>28777.99</v>
      </c>
      <c r="G89" s="236">
        <f t="shared" si="8"/>
        <v>17.600000000002183</v>
      </c>
      <c r="H89" s="99">
        <f>G89+'1'!H89</f>
        <v>29.600000000002183</v>
      </c>
      <c r="I89" s="545">
        <f>G88+G89</f>
        <v>21.460000000002765</v>
      </c>
      <c r="J89" s="175">
        <f>H89/DAY(B2)</f>
        <v>14.800000000001091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405">
        <f>'1'!F90</f>
        <v>74216.88</v>
      </c>
      <c r="F90" s="164">
        <v>74229.509999999995</v>
      </c>
      <c r="G90" s="236">
        <f t="shared" si="8"/>
        <v>12.629999999990105</v>
      </c>
      <c r="H90" s="99">
        <f>G90+'1'!H90</f>
        <v>26.330000000001746</v>
      </c>
      <c r="I90" s="545">
        <f>G90</f>
        <v>12.629999999990105</v>
      </c>
      <c r="J90" s="175">
        <f>H90/DAY(B2)</f>
        <v>13.165000000000873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'1'!F91</f>
        <v>5618.21</v>
      </c>
      <c r="F91" s="122">
        <v>5618.21</v>
      </c>
      <c r="G91" s="112">
        <f t="shared" si="8"/>
        <v>0</v>
      </c>
      <c r="H91" s="99">
        <f>G91+'1'!H91</f>
        <v>0</v>
      </c>
      <c r="I91" s="546"/>
      <c r="J91" s="175">
        <f>H91/DAY(B2)</f>
        <v>0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'1'!F92</f>
        <v>7091.05</v>
      </c>
      <c r="F92" s="122">
        <v>7100.98</v>
      </c>
      <c r="G92" s="112">
        <f>F92-E92</f>
        <v>9.9299999999993815</v>
      </c>
      <c r="H92" s="99">
        <f>G92+'1'!H92</f>
        <v>21.289999999999964</v>
      </c>
      <c r="I92" s="547">
        <f>G91+G92</f>
        <v>9.9299999999993815</v>
      </c>
      <c r="J92" s="175">
        <f>H92/DAY(B2)</f>
        <v>10.644999999999982</v>
      </c>
      <c r="O92" s="71"/>
    </row>
    <row r="93" spans="1:15" ht="26.25">
      <c r="A93" s="905" t="s">
        <v>239</v>
      </c>
      <c r="B93" s="906"/>
      <c r="C93" s="90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5463.2000000000698</v>
      </c>
      <c r="H94" s="99">
        <f>G94+'1'!H94</f>
        <v>11433.560000000056</v>
      </c>
      <c r="I94" s="118"/>
      <c r="J94" s="175">
        <f>H94/DAY(B2)</f>
        <v>5716.7800000000279</v>
      </c>
      <c r="K94" s="69"/>
      <c r="L94" s="66"/>
      <c r="O94" s="71"/>
    </row>
    <row r="95" spans="1:15" ht="25.5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0.27433966054032688</v>
      </c>
      <c r="H95" s="99">
        <f>G95+'1'!H95</f>
        <v>0.56693265245407276</v>
      </c>
      <c r="I95" s="167"/>
      <c r="J95" s="175">
        <f>H95/DAY(B2)</f>
        <v>0.28346632622703638</v>
      </c>
      <c r="K95" s="69"/>
      <c r="L95" s="66"/>
      <c r="O95" s="71"/>
    </row>
    <row r="96" spans="1:15" ht="25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4203.2700000000768</v>
      </c>
      <c r="H96" s="99">
        <f>G96+'1'!H96</f>
        <v>8413.8100000000559</v>
      </c>
      <c r="I96" s="118"/>
      <c r="J96" s="175">
        <f>H96/DAY(B2)</f>
        <v>4206.9050000000279</v>
      </c>
      <c r="K96" s="69"/>
      <c r="L96" s="66"/>
      <c r="O96" s="71"/>
    </row>
    <row r="97" spans="1:15" ht="25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0.21107110575474927</v>
      </c>
      <c r="H97" s="99">
        <f>G97+'1'!H97</f>
        <v>0.41741954976356965</v>
      </c>
      <c r="I97" s="167"/>
      <c r="J97" s="175">
        <f>H97/DAY(B2)</f>
        <v>0.20870977488178483</v>
      </c>
      <c r="K97" s="69"/>
      <c r="L97" s="66"/>
      <c r="O97" s="71"/>
    </row>
    <row r="98" spans="1:15" ht="25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2851.5600000000559</v>
      </c>
      <c r="H98" s="99">
        <f>G98+'1'!H98</f>
        <v>5653.5500000000466</v>
      </c>
      <c r="I98" s="168"/>
      <c r="J98" s="175">
        <f>H98/DAY(B2)</f>
        <v>2826.7750000000233</v>
      </c>
      <c r="K98" s="69"/>
      <c r="L98" s="66"/>
      <c r="O98" s="71"/>
    </row>
    <row r="99" spans="1:15" ht="25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0.14319373305212693</v>
      </c>
      <c r="H99" s="99">
        <f>G99+'1'!H99</f>
        <v>0.28051252746526051</v>
      </c>
      <c r="I99" s="168"/>
      <c r="J99" s="175">
        <f>H99/DAY(B2)</f>
        <v>0.14025626373263025</v>
      </c>
      <c r="O99" s="71"/>
    </row>
    <row r="100" spans="1:15" ht="26.2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2497.2800000000279</v>
      </c>
      <c r="H100" s="99">
        <f>G100+'1'!H100</f>
        <v>2917.9200000000328</v>
      </c>
      <c r="I100" s="118"/>
      <c r="J100" s="175">
        <f>H100/DAY(B2)</f>
        <v>1458.9600000000164</v>
      </c>
      <c r="K100" s="70"/>
      <c r="O100" s="71"/>
    </row>
    <row r="101" spans="1:15" ht="25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0.12540323390579633</v>
      </c>
      <c r="H101" s="99">
        <f>G101+'1'!H101</f>
        <v>0.14601778916186126</v>
      </c>
      <c r="I101" s="168"/>
      <c r="J101" s="175">
        <f>H101/DAY(B2)</f>
        <v>7.3008894580930628E-2</v>
      </c>
      <c r="O101" s="71"/>
    </row>
    <row r="102" spans="1:15" ht="25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2209.4800000000396</v>
      </c>
      <c r="H102" s="99">
        <f>G102+'1'!H102</f>
        <v>4531.8399999999674</v>
      </c>
      <c r="I102" s="168"/>
      <c r="J102" s="175">
        <f>H102/DAY(B2)</f>
        <v>2265.9199999999837</v>
      </c>
      <c r="O102" s="71"/>
    </row>
    <row r="103" spans="1:15" ht="25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0.11095108968565028</v>
      </c>
      <c r="H103" s="99">
        <f>G103+'1'!H103</f>
        <v>0.2247643707442108</v>
      </c>
      <c r="I103" s="118"/>
      <c r="J103" s="175">
        <f>H103/DAY(B2)</f>
        <v>0.1123821853721054</v>
      </c>
      <c r="O103" s="71"/>
    </row>
    <row r="104" spans="1:15" ht="25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1463.929999999993</v>
      </c>
      <c r="H104" s="99">
        <f>G104+'1'!H104</f>
        <v>2894.3300000000163</v>
      </c>
      <c r="I104" s="118"/>
      <c r="J104" s="175">
        <f>H104/DAY(B2)</f>
        <v>1447.1650000000081</v>
      </c>
      <c r="O104" s="71"/>
    </row>
    <row r="105" spans="1:15" ht="26.25" thickBot="1">
      <c r="A105" s="895" t="s">
        <v>251</v>
      </c>
      <c r="B105" s="896"/>
      <c r="C105" s="897"/>
      <c r="D105" s="231" t="s">
        <v>23</v>
      </c>
      <c r="E105" s="185"/>
      <c r="F105" s="185"/>
      <c r="G105" s="186">
        <f>G104/G7</f>
        <v>7.3512604198051265E-2</v>
      </c>
      <c r="H105" s="99">
        <f>G105+'1'!H105</f>
        <v>0.1436130697702161</v>
      </c>
      <c r="I105" s="187"/>
      <c r="J105" s="188">
        <f>H105/DAY(B2)</f>
        <v>7.1806534885108048E-2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891" t="s">
        <v>324</v>
      </c>
      <c r="B108" s="891"/>
      <c r="C108" s="891"/>
      <c r="D108" s="891"/>
      <c r="E108" s="891"/>
      <c r="F108" s="891"/>
      <c r="G108" s="891"/>
      <c r="H108" s="891"/>
      <c r="I108" s="891"/>
      <c r="J108" s="891"/>
    </row>
    <row r="109" spans="1:15" ht="26.25">
      <c r="A109" s="918"/>
      <c r="B109" s="918"/>
    </row>
    <row r="110" spans="1:15" ht="26.25">
      <c r="A110" s="892" t="s">
        <v>165</v>
      </c>
      <c r="B110" s="893"/>
      <c r="C110" s="893"/>
      <c r="D110" s="893"/>
      <c r="E110" s="893"/>
      <c r="F110" s="893"/>
      <c r="G110" s="893"/>
      <c r="H110" s="893"/>
      <c r="I110" s="893"/>
      <c r="J110" s="894"/>
    </row>
    <row r="111" spans="1:15" ht="25.5">
      <c r="A111" s="885"/>
      <c r="B111" s="886"/>
      <c r="C111" s="887"/>
      <c r="D111" s="165"/>
      <c r="E111" s="165"/>
      <c r="F111" s="165"/>
      <c r="G111" s="165"/>
      <c r="H111" s="156"/>
      <c r="I111" s="165"/>
      <c r="J111" s="327"/>
    </row>
    <row r="112" spans="1:15" ht="25.5">
      <c r="A112" s="881" t="s">
        <v>252</v>
      </c>
      <c r="B112" s="882"/>
      <c r="C112" s="883"/>
      <c r="D112" s="146" t="s">
        <v>183</v>
      </c>
      <c r="E112" s="95">
        <f>'1'!F112</f>
        <v>17570.599999999999</v>
      </c>
      <c r="F112" s="237">
        <v>17632.599999999999</v>
      </c>
      <c r="G112" s="112">
        <f t="shared" ref="G112:G123" si="9">F112-E112</f>
        <v>62</v>
      </c>
      <c r="H112" s="99">
        <f>G112+'1'!H112</f>
        <v>121.29999999999927</v>
      </c>
      <c r="I112" s="165"/>
      <c r="J112" s="328">
        <f>H112/DAY(B2)</f>
        <v>60.649999999999636</v>
      </c>
    </row>
    <row r="113" spans="1:18" ht="29.25" customHeight="1">
      <c r="A113" s="881" t="s">
        <v>253</v>
      </c>
      <c r="B113" s="882"/>
      <c r="C113" s="883"/>
      <c r="D113" s="146" t="s">
        <v>183</v>
      </c>
      <c r="E113" s="95">
        <f>'1'!F113</f>
        <v>37222.199999999997</v>
      </c>
      <c r="F113" s="237">
        <v>37367.599999999999</v>
      </c>
      <c r="G113" s="112">
        <f t="shared" si="9"/>
        <v>145.40000000000146</v>
      </c>
      <c r="H113" s="99">
        <f>G113+'1'!H113</f>
        <v>288.59999999999854</v>
      </c>
      <c r="I113" s="165"/>
      <c r="J113" s="328">
        <f>H113/DAY(B2)</f>
        <v>144.29999999999927</v>
      </c>
    </row>
    <row r="114" spans="1:18" ht="29.25" customHeight="1">
      <c r="A114" s="881" t="s">
        <v>254</v>
      </c>
      <c r="B114" s="882"/>
      <c r="C114" s="883"/>
      <c r="D114" s="146" t="s">
        <v>183</v>
      </c>
      <c r="E114" s="95">
        <f>'1'!F114</f>
        <v>54490.69</v>
      </c>
      <c r="F114" s="237">
        <v>54718.1</v>
      </c>
      <c r="G114" s="112">
        <f t="shared" si="9"/>
        <v>227.40999999999622</v>
      </c>
      <c r="H114" s="99">
        <f>G114+'1'!H114</f>
        <v>450.31999999999971</v>
      </c>
      <c r="I114" s="165"/>
      <c r="J114" s="328">
        <f>H114/DAY(B2)</f>
        <v>225.15999999999985</v>
      </c>
    </row>
    <row r="115" spans="1:18" ht="29.25" customHeight="1">
      <c r="A115" s="881" t="s">
        <v>255</v>
      </c>
      <c r="B115" s="882"/>
      <c r="C115" s="883"/>
      <c r="D115" s="146" t="s">
        <v>183</v>
      </c>
      <c r="E115" s="95">
        <f>'1'!F115</f>
        <v>35120</v>
      </c>
      <c r="F115" s="416">
        <v>35266.480000000003</v>
      </c>
      <c r="G115" s="112">
        <f t="shared" si="9"/>
        <v>146.4800000000032</v>
      </c>
      <c r="H115" s="99">
        <f>G115+'1'!H115</f>
        <v>299.56999999999971</v>
      </c>
      <c r="I115" s="165"/>
      <c r="J115" s="328">
        <f>H115/DAY(B2)</f>
        <v>149.78499999999985</v>
      </c>
    </row>
    <row r="116" spans="1:18" ht="29.25" customHeight="1">
      <c r="A116" s="888" t="s">
        <v>96</v>
      </c>
      <c r="B116" s="889"/>
      <c r="C116" s="890"/>
      <c r="D116" s="515" t="s">
        <v>183</v>
      </c>
      <c r="E116" s="95">
        <f>'1'!F116</f>
        <v>134915</v>
      </c>
      <c r="F116" s="416">
        <v>135344.26</v>
      </c>
      <c r="G116" s="112">
        <f t="shared" si="9"/>
        <v>429.26000000000931</v>
      </c>
      <c r="H116" s="99">
        <f>G116+'1'!H116</f>
        <v>855.86999999999534</v>
      </c>
      <c r="I116" s="165"/>
      <c r="J116" s="328">
        <f>H116/DAY(B2)</f>
        <v>427.93499999999767</v>
      </c>
      <c r="Q116" s="881"/>
      <c r="R116" s="883"/>
    </row>
    <row r="117" spans="1:18" ht="29.25" customHeight="1">
      <c r="A117" s="888" t="s">
        <v>184</v>
      </c>
      <c r="B117" s="889"/>
      <c r="C117" s="890"/>
      <c r="D117" s="146" t="s">
        <v>183</v>
      </c>
      <c r="E117" s="95">
        <f>'1'!F117</f>
        <v>83182.5</v>
      </c>
      <c r="F117" s="416">
        <v>83523.3</v>
      </c>
      <c r="G117" s="112">
        <f t="shared" si="9"/>
        <v>340.80000000000291</v>
      </c>
      <c r="H117" s="99">
        <f>G117+'1'!H117</f>
        <v>813.30000000000291</v>
      </c>
      <c r="I117" s="165"/>
      <c r="J117" s="328">
        <f>H117/DAY(B2)</f>
        <v>406.65000000000146</v>
      </c>
      <c r="Q117" s="881"/>
      <c r="R117" s="883"/>
    </row>
    <row r="118" spans="1:18" ht="25.5">
      <c r="A118" s="880" t="s">
        <v>97</v>
      </c>
      <c r="B118" s="880"/>
      <c r="C118" s="880"/>
      <c r="D118" s="151" t="s">
        <v>183</v>
      </c>
      <c r="E118" s="95">
        <f>'1'!F118</f>
        <v>158772.69</v>
      </c>
      <c r="F118" s="416">
        <v>159420.6</v>
      </c>
      <c r="G118" s="112">
        <f t="shared" si="9"/>
        <v>647.91000000000349</v>
      </c>
      <c r="H118" s="99">
        <f>G118+'1'!H118</f>
        <v>1283.4500000000116</v>
      </c>
      <c r="I118" s="165"/>
      <c r="J118" s="328">
        <f>H118/DAY(B2)</f>
        <v>641.72500000000582</v>
      </c>
      <c r="Q118" s="881"/>
      <c r="R118" s="883"/>
    </row>
    <row r="119" spans="1:18" ht="25.5">
      <c r="A119" s="880" t="s">
        <v>98</v>
      </c>
      <c r="B119" s="880"/>
      <c r="C119" s="880"/>
      <c r="D119" s="151" t="s">
        <v>183</v>
      </c>
      <c r="E119" s="95">
        <f>'1'!F119</f>
        <v>43974</v>
      </c>
      <c r="F119" s="416">
        <v>44010.3</v>
      </c>
      <c r="G119" s="112">
        <f t="shared" si="9"/>
        <v>36.30000000000291</v>
      </c>
      <c r="H119" s="99">
        <f>G119+'1'!H119</f>
        <v>71.125</v>
      </c>
      <c r="I119" s="165"/>
      <c r="J119" s="328">
        <f>H119/DAY(B2)</f>
        <v>35.5625</v>
      </c>
    </row>
    <row r="120" spans="1:18" ht="25.5">
      <c r="A120" s="880" t="s">
        <v>99</v>
      </c>
      <c r="B120" s="880"/>
      <c r="C120" s="880"/>
      <c r="D120" s="151" t="s">
        <v>183</v>
      </c>
      <c r="E120" s="95">
        <f>'1'!F120</f>
        <v>108839.2</v>
      </c>
      <c r="F120" s="237">
        <v>109261.1</v>
      </c>
      <c r="G120" s="112">
        <f t="shared" si="9"/>
        <v>421.90000000000873</v>
      </c>
      <c r="H120" s="99">
        <f>G120+'1'!H120</f>
        <v>823.9600000000064</v>
      </c>
      <c r="I120" s="165"/>
      <c r="J120" s="328">
        <f>H120/DAY(B2)</f>
        <v>411.9800000000032</v>
      </c>
    </row>
    <row r="121" spans="1:18" ht="25.5">
      <c r="A121" s="880" t="s">
        <v>100</v>
      </c>
      <c r="B121" s="880"/>
      <c r="C121" s="880"/>
      <c r="D121" s="151" t="s">
        <v>183</v>
      </c>
      <c r="E121" s="95">
        <f>'1'!F121</f>
        <v>121626.6</v>
      </c>
      <c r="F121" s="237">
        <v>122056.4</v>
      </c>
      <c r="G121" s="112">
        <f t="shared" si="9"/>
        <v>429.79999999998836</v>
      </c>
      <c r="H121" s="99">
        <f>G121+'1'!H121</f>
        <v>833.50999999999476</v>
      </c>
      <c r="I121" s="165"/>
      <c r="J121" s="328">
        <f>H121/DAY(B2)</f>
        <v>416.75499999999738</v>
      </c>
    </row>
    <row r="122" spans="1:18" ht="25.5">
      <c r="A122" s="880" t="s">
        <v>101</v>
      </c>
      <c r="B122" s="880"/>
      <c r="C122" s="880"/>
      <c r="D122" s="151" t="s">
        <v>183</v>
      </c>
      <c r="E122" s="95">
        <f>'1'!F122</f>
        <v>81556.899999999994</v>
      </c>
      <c r="F122" s="237">
        <v>81824.899999999994</v>
      </c>
      <c r="G122" s="112">
        <f t="shared" si="9"/>
        <v>268</v>
      </c>
      <c r="H122" s="99">
        <f>G122+'1'!H122</f>
        <v>550.52999999999884</v>
      </c>
      <c r="I122" s="165"/>
      <c r="J122" s="328">
        <f>H122/DAY(B2)</f>
        <v>275.26499999999942</v>
      </c>
    </row>
    <row r="123" spans="1:18" ht="25.5">
      <c r="A123" s="880" t="s">
        <v>102</v>
      </c>
      <c r="B123" s="880"/>
      <c r="C123" s="880"/>
      <c r="D123" s="151" t="s">
        <v>183</v>
      </c>
      <c r="E123" s="95">
        <f>'1'!F123</f>
        <v>78343.5</v>
      </c>
      <c r="F123" s="237">
        <v>78667.899999999994</v>
      </c>
      <c r="G123" s="112">
        <f t="shared" si="9"/>
        <v>324.39999999999418</v>
      </c>
      <c r="H123" s="99">
        <f>G123+'1'!H123</f>
        <v>718.89999999999418</v>
      </c>
      <c r="I123" s="165"/>
      <c r="J123" s="328">
        <f>H123/DAY(B2)</f>
        <v>359.44999999999709</v>
      </c>
    </row>
    <row r="124" spans="1:18" ht="29.25" customHeight="1">
      <c r="A124" s="885"/>
      <c r="B124" s="886"/>
      <c r="C124" s="887"/>
      <c r="D124" s="165"/>
      <c r="E124" s="165"/>
      <c r="F124" s="165"/>
      <c r="G124" s="327"/>
      <c r="H124" s="156"/>
      <c r="I124" s="165"/>
      <c r="J124" s="327"/>
    </row>
    <row r="125" spans="1:18" ht="25.5">
      <c r="A125" s="787" t="s">
        <v>196</v>
      </c>
      <c r="B125" s="788"/>
      <c r="C125" s="245"/>
      <c r="D125" s="307"/>
      <c r="E125" s="308"/>
      <c r="F125" s="308"/>
      <c r="G125" s="309">
        <f>SUM(G112:G124)</f>
        <v>3479.6600000000108</v>
      </c>
      <c r="H125" s="156"/>
      <c r="I125" s="327">
        <f>G125-(G39+G53)</f>
        <v>628.09999999995489</v>
      </c>
      <c r="J125" s="327"/>
    </row>
    <row r="126" spans="1:18" ht="25.5">
      <c r="A126" s="884" t="s">
        <v>317</v>
      </c>
      <c r="B126" s="884"/>
      <c r="C126" s="884"/>
      <c r="D126" s="884"/>
      <c r="E126" s="884"/>
      <c r="F126" s="884"/>
      <c r="G126" s="884"/>
      <c r="H126" s="884"/>
      <c r="I126" s="884"/>
      <c r="J126" s="884"/>
    </row>
    <row r="127" spans="1:18" ht="25.5">
      <c r="A127" s="870"/>
      <c r="B127" s="870"/>
      <c r="C127" s="245"/>
      <c r="D127" s="307"/>
      <c r="E127" s="308"/>
      <c r="F127" s="308"/>
      <c r="G127" s="309"/>
      <c r="H127" s="99">
        <f>G127+'1'!H127</f>
        <v>0</v>
      </c>
      <c r="I127" s="165"/>
      <c r="J127" s="328">
        <f>H127/DAY(B2)</f>
        <v>0</v>
      </c>
    </row>
    <row r="128" spans="1:18" ht="29.25" customHeight="1">
      <c r="A128" s="881" t="s">
        <v>318</v>
      </c>
      <c r="B128" s="882"/>
      <c r="C128" s="883"/>
      <c r="D128" s="151" t="s">
        <v>183</v>
      </c>
      <c r="E128" s="95">
        <f>'1'!F128</f>
        <v>192162.19</v>
      </c>
      <c r="F128" s="165">
        <v>192266.09</v>
      </c>
      <c r="G128" s="112">
        <f t="shared" ref="G128:G133" si="10">F128-E128</f>
        <v>103.89999999999418</v>
      </c>
      <c r="H128" s="99">
        <f>G128+'1'!H128</f>
        <v>380.45999999999185</v>
      </c>
      <c r="I128" s="165"/>
      <c r="J128" s="328">
        <f>H128/DAY(B2)</f>
        <v>190.22999999999593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'1'!F129</f>
        <v>101452.8</v>
      </c>
      <c r="F129" s="165">
        <v>101637.54</v>
      </c>
      <c r="G129" s="112">
        <f t="shared" si="10"/>
        <v>184.73999999999069</v>
      </c>
      <c r="H129" s="99">
        <f>G129+'1'!H129</f>
        <v>360.5399999999936</v>
      </c>
      <c r="I129" s="165"/>
      <c r="J129" s="328">
        <f>H129/DAY(B2)</f>
        <v>180.2699999999968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'1'!F130</f>
        <v>268815.3</v>
      </c>
      <c r="F130" s="165">
        <v>269285.8</v>
      </c>
      <c r="G130" s="112">
        <f t="shared" si="10"/>
        <v>470.5</v>
      </c>
      <c r="H130" s="99">
        <f>G130+'1'!H130</f>
        <v>470.79999999998836</v>
      </c>
      <c r="I130" s="165"/>
      <c r="J130" s="328">
        <f>H130/DAY(B2)</f>
        <v>235.39999999999418</v>
      </c>
      <c r="N130" s="240"/>
      <c r="O130" s="241"/>
    </row>
    <row r="131" spans="1:15" ht="25.5">
      <c r="A131" s="881" t="s">
        <v>321</v>
      </c>
      <c r="B131" s="882"/>
      <c r="C131" s="883"/>
      <c r="D131" s="151" t="s">
        <v>183</v>
      </c>
      <c r="E131" s="405">
        <f>'1'!F131</f>
        <v>79768.752999999997</v>
      </c>
      <c r="F131" s="158">
        <v>79933.850000000006</v>
      </c>
      <c r="G131" s="236">
        <f t="shared" si="10"/>
        <v>165.09700000000885</v>
      </c>
      <c r="H131" s="99">
        <f>G131+'1'!H131</f>
        <v>383.22000000000116</v>
      </c>
      <c r="I131" s="165"/>
      <c r="J131" s="328">
        <f>H131/DAY(B2)</f>
        <v>191.61000000000058</v>
      </c>
      <c r="N131" s="240"/>
      <c r="O131" s="241"/>
    </row>
    <row r="132" spans="1:15" ht="25.5">
      <c r="A132" s="881" t="s">
        <v>322</v>
      </c>
      <c r="B132" s="882"/>
      <c r="C132" s="883"/>
      <c r="D132" s="151" t="s">
        <v>183</v>
      </c>
      <c r="E132" s="95">
        <f>'1'!F132</f>
        <v>148274</v>
      </c>
      <c r="F132" s="158">
        <v>148274</v>
      </c>
      <c r="G132" s="112">
        <f t="shared" si="10"/>
        <v>0</v>
      </c>
      <c r="H132" s="99">
        <f>G132+'1'!H132</f>
        <v>0</v>
      </c>
      <c r="I132" s="165"/>
      <c r="J132" s="328">
        <f>H132/DAY(B2)</f>
        <v>0</v>
      </c>
    </row>
    <row r="133" spans="1:15" ht="25.5">
      <c r="A133" s="881" t="s">
        <v>342</v>
      </c>
      <c r="B133" s="882"/>
      <c r="C133" s="883"/>
      <c r="D133" s="151" t="s">
        <v>183</v>
      </c>
      <c r="E133" s="95">
        <f>'1'!F133</f>
        <v>933809</v>
      </c>
      <c r="F133" s="158">
        <v>934503</v>
      </c>
      <c r="G133" s="112">
        <f t="shared" si="10"/>
        <v>694</v>
      </c>
      <c r="H133" s="99">
        <f>G133+'1'!H133</f>
        <v>1455</v>
      </c>
      <c r="I133" s="165"/>
      <c r="J133" s="328">
        <f>H133/DAY(B2)</f>
        <v>727.5</v>
      </c>
    </row>
    <row r="134" spans="1:15" ht="25.5">
      <c r="A134" s="881" t="s">
        <v>340</v>
      </c>
      <c r="B134" s="882"/>
      <c r="C134" s="883"/>
      <c r="D134" s="513" t="s">
        <v>183</v>
      </c>
      <c r="E134" s="95">
        <f>'1'!F134</f>
        <v>86223.8</v>
      </c>
      <c r="F134" s="158">
        <v>86493.8</v>
      </c>
      <c r="G134" s="112">
        <f>F134-E134</f>
        <v>270</v>
      </c>
      <c r="H134" s="99">
        <f>G134+'1'!H134</f>
        <v>541.80000000000291</v>
      </c>
      <c r="I134" s="165"/>
      <c r="J134" s="328">
        <f>H134/DAY(B2)</f>
        <v>270.90000000000146</v>
      </c>
    </row>
    <row r="135" spans="1:15" ht="25.5">
      <c r="A135" s="787" t="s">
        <v>196</v>
      </c>
      <c r="B135" s="788"/>
      <c r="C135" s="331"/>
      <c r="D135" s="151"/>
      <c r="E135" s="95"/>
      <c r="F135" s="165"/>
      <c r="G135" s="112">
        <f>SUM(G128:G134)</f>
        <v>1888.2369999999937</v>
      </c>
      <c r="H135" s="99">
        <f>G135+'1'!H135</f>
        <v>3591.8199999999779</v>
      </c>
      <c r="I135" s="327">
        <f>G135-(G35+G49)</f>
        <v>-1164.8830000000016</v>
      </c>
      <c r="J135" s="328">
        <f>H135/DAY(B2)</f>
        <v>1795.9099999999889</v>
      </c>
    </row>
    <row r="136" spans="1:15" ht="27.75">
      <c r="A136" s="869" t="s">
        <v>325</v>
      </c>
      <c r="B136" s="869"/>
      <c r="C136" s="869"/>
      <c r="D136" s="869"/>
      <c r="E136" s="869"/>
      <c r="F136" s="869"/>
      <c r="G136" s="869"/>
      <c r="H136" s="869"/>
      <c r="I136" s="869"/>
      <c r="J136" s="869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80" t="s">
        <v>185</v>
      </c>
      <c r="B138" s="880"/>
      <c r="C138" s="880"/>
      <c r="D138" s="513" t="s">
        <v>183</v>
      </c>
      <c r="E138" s="95">
        <f>'1'!F138</f>
        <v>909630</v>
      </c>
      <c r="F138" s="147">
        <v>909753</v>
      </c>
      <c r="G138" s="112">
        <f t="shared" ref="G138:G152" si="11">F138-E138</f>
        <v>123</v>
      </c>
      <c r="H138" s="99">
        <f>G138+'1'!H138</f>
        <v>274</v>
      </c>
      <c r="I138" s="118"/>
      <c r="J138" s="328">
        <f>H138/DAY(B2)</f>
        <v>137</v>
      </c>
    </row>
    <row r="139" spans="1:15" ht="25.5">
      <c r="A139" s="880" t="s">
        <v>186</v>
      </c>
      <c r="B139" s="880"/>
      <c r="C139" s="880"/>
      <c r="D139" s="513" t="s">
        <v>183</v>
      </c>
      <c r="E139" s="95">
        <f>'1'!F139</f>
        <v>932526</v>
      </c>
      <c r="F139" s="148">
        <v>932697</v>
      </c>
      <c r="G139" s="112">
        <f t="shared" si="11"/>
        <v>171</v>
      </c>
      <c r="H139" s="99">
        <f>G139+'1'!H139</f>
        <v>337</v>
      </c>
      <c r="I139" s="118"/>
      <c r="J139" s="328">
        <f>H139/DAY(B2)</f>
        <v>168.5</v>
      </c>
    </row>
    <row r="140" spans="1:15" ht="25.5">
      <c r="A140" s="880" t="s">
        <v>187</v>
      </c>
      <c r="B140" s="880"/>
      <c r="C140" s="880"/>
      <c r="D140" s="513" t="s">
        <v>183</v>
      </c>
      <c r="E140" s="95">
        <f>'1'!F140</f>
        <v>4052.97</v>
      </c>
      <c r="F140" s="149">
        <v>4071.4</v>
      </c>
      <c r="G140" s="112">
        <f t="shared" si="11"/>
        <v>18.430000000000291</v>
      </c>
      <c r="H140" s="99">
        <f>G140+'1'!H140</f>
        <v>37.889000000000124</v>
      </c>
      <c r="I140" s="118"/>
      <c r="J140" s="328">
        <f>H140/DAY(B2)</f>
        <v>18.944500000000062</v>
      </c>
    </row>
    <row r="141" spans="1:15" ht="25.5">
      <c r="A141" s="863" t="s">
        <v>188</v>
      </c>
      <c r="B141" s="863"/>
      <c r="C141" s="863"/>
      <c r="D141" s="151" t="s">
        <v>183</v>
      </c>
      <c r="E141" s="95">
        <f>'1'!F141</f>
        <v>124804.3</v>
      </c>
      <c r="F141" s="149">
        <v>125000.29</v>
      </c>
      <c r="G141" s="112">
        <f t="shared" si="11"/>
        <v>195.98999999999069</v>
      </c>
      <c r="H141" s="99">
        <f>G141+'1'!H141</f>
        <v>402.2899999999936</v>
      </c>
      <c r="I141" s="118"/>
      <c r="J141" s="328">
        <f>H141/DAY(B2)</f>
        <v>201.1449999999968</v>
      </c>
    </row>
    <row r="142" spans="1:15" ht="25.5">
      <c r="A142" s="863" t="s">
        <v>189</v>
      </c>
      <c r="B142" s="863"/>
      <c r="C142" s="863"/>
      <c r="D142" s="151" t="s">
        <v>183</v>
      </c>
      <c r="E142" s="95">
        <f>'1'!F142</f>
        <v>50679.46</v>
      </c>
      <c r="F142" s="148">
        <v>50753</v>
      </c>
      <c r="G142" s="112">
        <f t="shared" si="11"/>
        <v>73.540000000000873</v>
      </c>
      <c r="H142" s="99">
        <f>G142+'1'!H142</f>
        <v>187.44999999999709</v>
      </c>
      <c r="I142" s="140"/>
      <c r="J142" s="328">
        <f>H142/DAY(B2)</f>
        <v>93.724999999998545</v>
      </c>
    </row>
    <row r="143" spans="1:15" ht="25.5">
      <c r="A143" s="880" t="s">
        <v>91</v>
      </c>
      <c r="B143" s="880"/>
      <c r="C143" s="880"/>
      <c r="D143" s="151" t="s">
        <v>183</v>
      </c>
      <c r="E143" s="95">
        <f>'1'!F143</f>
        <v>13417.89</v>
      </c>
      <c r="F143" s="148">
        <v>13452.8</v>
      </c>
      <c r="G143" s="112">
        <f t="shared" si="11"/>
        <v>34.909999999999854</v>
      </c>
      <c r="H143" s="99">
        <f>G143+'1'!H143</f>
        <v>65.799999999999272</v>
      </c>
      <c r="I143" s="140"/>
      <c r="J143" s="328">
        <f>H143/DAY(B2)</f>
        <v>32.899999999999636</v>
      </c>
    </row>
    <row r="144" spans="1:15" ht="25.5">
      <c r="A144" s="863" t="s">
        <v>90</v>
      </c>
      <c r="B144" s="863"/>
      <c r="C144" s="863"/>
      <c r="D144" s="513" t="s">
        <v>183</v>
      </c>
      <c r="E144" s="95">
        <f>'1'!F144</f>
        <v>955721</v>
      </c>
      <c r="F144" s="148">
        <v>955964</v>
      </c>
      <c r="G144" s="112">
        <f t="shared" si="11"/>
        <v>243</v>
      </c>
      <c r="H144" s="99">
        <f>G144+'1'!H144</f>
        <v>494</v>
      </c>
      <c r="I144" s="140"/>
      <c r="J144" s="328">
        <f>H144/DAY(B2)</f>
        <v>247</v>
      </c>
    </row>
    <row r="145" spans="1:10" ht="25.5">
      <c r="A145" s="880" t="s">
        <v>190</v>
      </c>
      <c r="B145" s="880"/>
      <c r="C145" s="880"/>
      <c r="D145" s="152" t="s">
        <v>183</v>
      </c>
      <c r="E145" s="95">
        <f>'1'!F145</f>
        <v>745181</v>
      </c>
      <c r="F145" s="148">
        <v>745363</v>
      </c>
      <c r="G145" s="112">
        <f t="shared" si="11"/>
        <v>182</v>
      </c>
      <c r="H145" s="99">
        <f>G145+'1'!H145</f>
        <v>182</v>
      </c>
      <c r="I145" s="140"/>
      <c r="J145" s="328">
        <f>H145/DAY(B2)</f>
        <v>91</v>
      </c>
    </row>
    <row r="146" spans="1:10" ht="25.5">
      <c r="A146" s="914" t="s">
        <v>191</v>
      </c>
      <c r="B146" s="900"/>
      <c r="C146" s="901"/>
      <c r="D146" s="513" t="s">
        <v>183</v>
      </c>
      <c r="E146" s="95">
        <f>'1'!F146</f>
        <v>787877</v>
      </c>
      <c r="F146" s="148">
        <v>787909</v>
      </c>
      <c r="G146" s="112">
        <f t="shared" si="11"/>
        <v>32</v>
      </c>
      <c r="H146" s="99">
        <f>G146+'1'!H146</f>
        <v>51</v>
      </c>
      <c r="I146" s="140"/>
      <c r="J146" s="328">
        <f>H146/DAY(B2)</f>
        <v>25.5</v>
      </c>
    </row>
    <row r="147" spans="1:10" ht="25.5">
      <c r="A147" s="863" t="s">
        <v>192</v>
      </c>
      <c r="B147" s="863"/>
      <c r="C147" s="863"/>
      <c r="D147" s="513" t="s">
        <v>183</v>
      </c>
      <c r="E147" s="95">
        <f>'1'!F147</f>
        <v>760542.96</v>
      </c>
      <c r="F147" s="148">
        <v>760924.24</v>
      </c>
      <c r="G147" s="112">
        <f t="shared" si="11"/>
        <v>381.28000000002794</v>
      </c>
      <c r="H147" s="99">
        <f>G147+'1'!H147</f>
        <v>786.23999999999069</v>
      </c>
      <c r="I147" s="140"/>
      <c r="J147" s="328">
        <f>H147/DAY(B2)</f>
        <v>393.11999999999534</v>
      </c>
    </row>
    <row r="148" spans="1:10" ht="25.5">
      <c r="A148" s="864" t="s">
        <v>193</v>
      </c>
      <c r="B148" s="865"/>
      <c r="C148" s="866"/>
      <c r="D148" s="514" t="s">
        <v>130</v>
      </c>
      <c r="E148" s="95">
        <f>'1'!F148</f>
        <v>796852.08</v>
      </c>
      <c r="F148" s="164">
        <v>797171.04</v>
      </c>
      <c r="G148" s="112">
        <f t="shared" si="11"/>
        <v>318.96000000007916</v>
      </c>
      <c r="H148" s="99">
        <f>G148+'1'!H148</f>
        <v>758.96000000007916</v>
      </c>
      <c r="I148" s="124"/>
      <c r="J148" s="328">
        <f>H148/DAY(B2)</f>
        <v>379.48000000003958</v>
      </c>
    </row>
    <row r="149" spans="1:10" ht="25.5">
      <c r="A149" s="864" t="s">
        <v>336</v>
      </c>
      <c r="B149" s="865"/>
      <c r="C149" s="866"/>
      <c r="D149" s="515" t="s">
        <v>130</v>
      </c>
      <c r="E149" s="95">
        <f>'1'!F149</f>
        <v>201291</v>
      </c>
      <c r="F149" s="146">
        <v>201766.19</v>
      </c>
      <c r="G149" s="112">
        <f t="shared" si="11"/>
        <v>475.19000000000233</v>
      </c>
      <c r="H149" s="99">
        <f>G149+'1'!H149</f>
        <v>474.92000000001281</v>
      </c>
      <c r="I149" s="119"/>
      <c r="J149" s="328">
        <f>H149/DAY(B2)</f>
        <v>237.4600000000064</v>
      </c>
    </row>
    <row r="150" spans="1:10" ht="25.5">
      <c r="A150" s="864" t="s">
        <v>337</v>
      </c>
      <c r="B150" s="865"/>
      <c r="C150" s="866"/>
      <c r="D150" s="117" t="s">
        <v>130</v>
      </c>
      <c r="E150" s="95">
        <f>'1'!F150</f>
        <v>85214</v>
      </c>
      <c r="F150" s="233">
        <v>85443.1</v>
      </c>
      <c r="G150" s="112">
        <f t="shared" si="11"/>
        <v>229.10000000000582</v>
      </c>
      <c r="H150" s="99">
        <f>G150+'1'!H150</f>
        <v>229.10000000000582</v>
      </c>
      <c r="I150" s="119"/>
      <c r="J150" s="328">
        <f>H150/DAY(B2)</f>
        <v>114.55000000000291</v>
      </c>
    </row>
    <row r="151" spans="1:10" ht="25.5">
      <c r="A151" s="864" t="s">
        <v>338</v>
      </c>
      <c r="B151" s="865"/>
      <c r="C151" s="866"/>
      <c r="D151" s="514" t="s">
        <v>130</v>
      </c>
      <c r="E151" s="95">
        <f>'1'!F151</f>
        <v>167022</v>
      </c>
      <c r="F151" s="233">
        <v>167317</v>
      </c>
      <c r="G151" s="112">
        <f t="shared" si="11"/>
        <v>295</v>
      </c>
      <c r="H151" s="99">
        <f>G151+'1'!H151</f>
        <v>587</v>
      </c>
      <c r="I151" s="119"/>
      <c r="J151" s="328">
        <f>H151/DAY(B2)</f>
        <v>293.5</v>
      </c>
    </row>
    <row r="152" spans="1:10" ht="25.5">
      <c r="A152" s="864" t="s">
        <v>339</v>
      </c>
      <c r="B152" s="865"/>
      <c r="C152" s="866"/>
      <c r="D152" s="117" t="s">
        <v>130</v>
      </c>
      <c r="E152" s="95">
        <f>'1'!F152</f>
        <v>42639.8</v>
      </c>
      <c r="F152" s="233">
        <v>42769</v>
      </c>
      <c r="G152" s="112">
        <f t="shared" si="11"/>
        <v>129.19999999999709</v>
      </c>
      <c r="H152" s="99">
        <f>G152+'1'!H152</f>
        <v>258</v>
      </c>
      <c r="I152" s="119"/>
      <c r="J152" s="328">
        <f>H152/DAY(B2)</f>
        <v>129</v>
      </c>
    </row>
    <row r="153" spans="1:10" ht="25.5">
      <c r="A153" s="787" t="s">
        <v>196</v>
      </c>
      <c r="B153" s="788"/>
      <c r="C153" s="365"/>
      <c r="D153" s="358"/>
      <c r="E153" s="360"/>
      <c r="F153" s="361"/>
      <c r="G153" s="362">
        <f>SUM(G138:G152)</f>
        <v>2902.600000000104</v>
      </c>
      <c r="H153" s="363"/>
      <c r="I153" s="119">
        <f>G153-(G38+G52)</f>
        <v>405.32000000007611</v>
      </c>
      <c r="J153" s="366"/>
    </row>
    <row r="154" spans="1:10" ht="27.75">
      <c r="A154" s="869" t="s">
        <v>344</v>
      </c>
      <c r="B154" s="869"/>
      <c r="C154" s="869"/>
      <c r="D154" s="869"/>
      <c r="E154" s="869"/>
      <c r="F154" s="869"/>
      <c r="G154" s="869"/>
      <c r="H154" s="869"/>
      <c r="I154" s="869"/>
      <c r="J154" s="869"/>
    </row>
    <row r="155" spans="1:10" ht="27.75">
      <c r="A155" s="863" t="s">
        <v>345</v>
      </c>
      <c r="B155" s="863"/>
      <c r="C155" s="863"/>
      <c r="D155" s="516" t="s">
        <v>130</v>
      </c>
      <c r="E155" s="95">
        <f>'1'!F155</f>
        <v>239616</v>
      </c>
      <c r="F155" s="421">
        <v>240184</v>
      </c>
      <c r="G155" s="112">
        <f t="shared" ref="G155:G158" si="12">F155-E155</f>
        <v>568</v>
      </c>
      <c r="H155" s="99">
        <f>G155+'1'!H155</f>
        <v>1150</v>
      </c>
      <c r="I155" s="364"/>
      <c r="J155" s="328">
        <f>H155/DAY(B2)</f>
        <v>575</v>
      </c>
    </row>
    <row r="156" spans="1:10" ht="25.5">
      <c r="A156" s="863" t="s">
        <v>347</v>
      </c>
      <c r="B156" s="863"/>
      <c r="C156" s="863"/>
      <c r="D156" s="516" t="s">
        <v>130</v>
      </c>
      <c r="E156" s="95">
        <f>'1'!F156</f>
        <v>29679.5</v>
      </c>
      <c r="F156" s="155">
        <v>29780.2</v>
      </c>
      <c r="G156" s="112">
        <f t="shared" si="12"/>
        <v>100.70000000000073</v>
      </c>
      <c r="H156" s="99">
        <f>G156+'1'!H156</f>
        <v>100.70000000000073</v>
      </c>
      <c r="I156" s="165"/>
      <c r="J156" s="328">
        <f>H156/DAY(B2)</f>
        <v>50.350000000000364</v>
      </c>
    </row>
    <row r="157" spans="1:10" ht="25.5">
      <c r="A157" s="864" t="s">
        <v>360</v>
      </c>
      <c r="B157" s="865"/>
      <c r="C157" s="866"/>
      <c r="D157" s="516" t="s">
        <v>130</v>
      </c>
      <c r="E157" s="95">
        <f>'1'!F157</f>
        <v>37559</v>
      </c>
      <c r="F157" s="155">
        <v>37559</v>
      </c>
      <c r="G157" s="112">
        <f t="shared" si="12"/>
        <v>0</v>
      </c>
      <c r="H157" s="99">
        <f>G157+'1'!H157</f>
        <v>0</v>
      </c>
      <c r="I157" s="165"/>
      <c r="J157" s="328"/>
    </row>
    <row r="158" spans="1:10" ht="25.5">
      <c r="A158" s="864" t="s">
        <v>361</v>
      </c>
      <c r="B158" s="865"/>
      <c r="C158" s="866"/>
      <c r="D158" s="117" t="s">
        <v>130</v>
      </c>
      <c r="E158" s="95">
        <f>'1'!F158</f>
        <v>1758.7</v>
      </c>
      <c r="F158" s="155">
        <v>1762.1</v>
      </c>
      <c r="G158" s="112">
        <f t="shared" si="12"/>
        <v>3.3999999999998636</v>
      </c>
      <c r="H158" s="99">
        <f>G158+'1'!H158</f>
        <v>4.0999999999999091</v>
      </c>
      <c r="I158" s="165"/>
      <c r="J158" s="328"/>
    </row>
    <row r="159" spans="1:10" ht="25.5">
      <c r="A159" s="864"/>
      <c r="B159" s="865"/>
      <c r="C159" s="866"/>
      <c r="D159" s="117"/>
      <c r="E159" s="95"/>
      <c r="F159" s="165"/>
      <c r="G159" s="112"/>
      <c r="H159" s="99"/>
      <c r="I159" s="165"/>
      <c r="J159" s="328"/>
    </row>
    <row r="160" spans="1:10" ht="27.75">
      <c r="A160" s="869" t="s">
        <v>326</v>
      </c>
      <c r="B160" s="869"/>
      <c r="C160" s="869"/>
      <c r="D160" s="869"/>
      <c r="E160" s="869"/>
      <c r="F160" s="869"/>
      <c r="G160" s="869"/>
      <c r="H160" s="869"/>
      <c r="I160" s="869"/>
      <c r="J160" s="869"/>
    </row>
    <row r="161" spans="1:14" ht="26.25">
      <c r="A161" s="242" t="s">
        <v>92</v>
      </c>
      <c r="B161" s="243"/>
      <c r="C161" s="243"/>
      <c r="D161" s="244" t="s">
        <v>180</v>
      </c>
      <c r="E161" s="95">
        <f>'1'!F161</f>
        <v>508475.56</v>
      </c>
      <c r="F161" s="235">
        <v>508660.64</v>
      </c>
      <c r="G161" s="238">
        <f t="shared" ref="G161:G165" si="13">F161-E161</f>
        <v>185.0800000000163</v>
      </c>
      <c r="H161" s="99">
        <f>G161+'1'!H161</f>
        <v>277.32000000000698</v>
      </c>
      <c r="I161" s="236"/>
      <c r="J161" s="239">
        <f>H161/DAY(B2)</f>
        <v>138.66000000000349</v>
      </c>
    </row>
    <row r="162" spans="1:14" ht="26.25">
      <c r="A162" s="242" t="s">
        <v>93</v>
      </c>
      <c r="B162" s="243"/>
      <c r="C162" s="243"/>
      <c r="D162" s="244" t="s">
        <v>180</v>
      </c>
      <c r="E162" s="95">
        <f>'1'!F162</f>
        <v>785.7</v>
      </c>
      <c r="F162" s="235">
        <v>818.5</v>
      </c>
      <c r="G162" s="238">
        <f t="shared" si="13"/>
        <v>32.799999999999955</v>
      </c>
      <c r="H162" s="99">
        <f>G162+'1'!H162</f>
        <v>46.899999999999977</v>
      </c>
      <c r="I162" s="236"/>
      <c r="J162" s="239">
        <f>H162/DAY(B2)</f>
        <v>23.449999999999989</v>
      </c>
    </row>
    <row r="163" spans="1:14" ht="26.25">
      <c r="A163" s="242" t="s">
        <v>197</v>
      </c>
      <c r="B163" s="243"/>
      <c r="C163" s="243"/>
      <c r="D163" s="244" t="s">
        <v>180</v>
      </c>
      <c r="E163" s="95">
        <f>'1'!F163</f>
        <v>0</v>
      </c>
      <c r="F163" s="235">
        <v>0</v>
      </c>
      <c r="G163" s="238">
        <f t="shared" si="13"/>
        <v>0</v>
      </c>
      <c r="H163" s="99">
        <f>G163+'1'!H163</f>
        <v>0</v>
      </c>
      <c r="I163" s="236"/>
      <c r="J163" s="239">
        <f>H163/DAY(B2)</f>
        <v>0</v>
      </c>
    </row>
    <row r="164" spans="1:14" ht="26.25">
      <c r="A164" s="242" t="s">
        <v>197</v>
      </c>
      <c r="B164" s="243"/>
      <c r="C164" s="243"/>
      <c r="D164" s="244" t="s">
        <v>180</v>
      </c>
      <c r="E164" s="95">
        <f>'1'!F164</f>
        <v>7202.8</v>
      </c>
      <c r="F164" s="235">
        <v>7206</v>
      </c>
      <c r="G164" s="238">
        <f t="shared" si="13"/>
        <v>3.1999999999998181</v>
      </c>
      <c r="H164" s="99">
        <f>G164+'1'!H164</f>
        <v>7</v>
      </c>
      <c r="I164" s="236"/>
      <c r="J164" s="239">
        <f>H164/DAY(B2)</f>
        <v>3.5</v>
      </c>
    </row>
    <row r="165" spans="1:14" ht="26.25">
      <c r="A165" s="242" t="s">
        <v>309</v>
      </c>
      <c r="B165" s="243"/>
      <c r="C165" s="243"/>
      <c r="D165" s="244" t="s">
        <v>180</v>
      </c>
      <c r="E165" s="95">
        <f>'1'!F165</f>
        <v>32781.64</v>
      </c>
      <c r="F165" s="235">
        <v>32789.4</v>
      </c>
      <c r="G165" s="238">
        <f t="shared" si="13"/>
        <v>7.7600000000020373</v>
      </c>
      <c r="H165" s="99">
        <f>G165+'1'!H165</f>
        <v>9.3119999999980791</v>
      </c>
      <c r="I165" s="236"/>
      <c r="J165" s="239">
        <f>H165/DAY(B2)</f>
        <v>4.6559999999990396</v>
      </c>
    </row>
    <row r="166" spans="1:14" ht="29.25" customHeight="1">
      <c r="A166" s="870"/>
      <c r="B166" s="870"/>
      <c r="C166" s="246"/>
      <c r="D166" s="244" t="s">
        <v>180</v>
      </c>
      <c r="E166" s="95">
        <f>'1'!F166</f>
        <v>0</v>
      </c>
      <c r="F166" s="165"/>
      <c r="G166" s="165"/>
      <c r="H166" s="99">
        <f>G166+'1'!H166</f>
        <v>0</v>
      </c>
      <c r="I166" s="165"/>
      <c r="J166" s="327"/>
    </row>
    <row r="167" spans="1:14" ht="26.25">
      <c r="A167" s="870"/>
      <c r="B167" s="870"/>
      <c r="C167" s="246"/>
      <c r="D167" s="244" t="s">
        <v>180</v>
      </c>
      <c r="E167" s="95">
        <f>'1'!F167</f>
        <v>0</v>
      </c>
      <c r="F167" s="165"/>
      <c r="G167" s="165"/>
      <c r="H167" s="99">
        <f>G167+'1'!H167</f>
        <v>0</v>
      </c>
      <c r="I167" s="165"/>
      <c r="J167" s="327"/>
    </row>
    <row r="168" spans="1:14" ht="26.25">
      <c r="A168" s="870"/>
      <c r="B168" s="870"/>
      <c r="C168" s="246"/>
      <c r="D168" s="244" t="s">
        <v>180</v>
      </c>
      <c r="E168" s="95">
        <f>'1'!F168</f>
        <v>0</v>
      </c>
      <c r="F168" s="165"/>
      <c r="G168" s="165"/>
      <c r="H168" s="99">
        <f>G168+'1'!H168</f>
        <v>0</v>
      </c>
      <c r="I168" s="165"/>
      <c r="J168" s="327"/>
    </row>
    <row r="169" spans="1:14" ht="26.25"/>
    <row r="170" spans="1:14" ht="26.25"/>
    <row r="171" spans="1:14" ht="27.75">
      <c r="A171" s="871" t="s">
        <v>330</v>
      </c>
      <c r="B171" s="872"/>
      <c r="C171" s="872"/>
      <c r="D171" s="872"/>
      <c r="E171" s="872"/>
      <c r="F171" s="872"/>
      <c r="G171" s="872"/>
      <c r="H171" s="872"/>
      <c r="I171" s="872"/>
      <c r="J171" s="873"/>
    </row>
    <row r="172" spans="1:14" ht="25.5">
      <c r="A172" s="878"/>
      <c r="B172" s="879"/>
      <c r="C172" s="332"/>
      <c r="D172" s="228"/>
      <c r="E172" s="155"/>
      <c r="F172" s="155"/>
      <c r="G172" s="155"/>
      <c r="H172" s="156"/>
      <c r="I172" s="155"/>
      <c r="J172" s="178"/>
    </row>
    <row r="173" spans="1:14" ht="35.25" customHeight="1">
      <c r="A173" s="789" t="s">
        <v>209</v>
      </c>
      <c r="B173" s="790"/>
      <c r="C173" s="333"/>
      <c r="D173" s="228" t="s">
        <v>142</v>
      </c>
      <c r="E173" s="95">
        <f>'1'!F173</f>
        <v>8613</v>
      </c>
      <c r="F173" s="155">
        <v>8614</v>
      </c>
      <c r="G173" s="155">
        <f>F173-E173</f>
        <v>1</v>
      </c>
      <c r="H173" s="99">
        <f>G173+'1'!H173</f>
        <v>2</v>
      </c>
      <c r="I173" s="155"/>
      <c r="J173" s="178">
        <f>H173/DAY(B2)</f>
        <v>1</v>
      </c>
    </row>
    <row r="174" spans="1:14" ht="25.5">
      <c r="A174" s="789" t="s">
        <v>75</v>
      </c>
      <c r="B174" s="790"/>
      <c r="C174" s="333"/>
      <c r="D174" s="228" t="s">
        <v>142</v>
      </c>
      <c r="E174" s="95">
        <f>'1'!F174</f>
        <v>43049</v>
      </c>
      <c r="F174" s="157">
        <v>43062</v>
      </c>
      <c r="G174" s="155">
        <f t="shared" ref="G174:G175" si="14">F174-E174</f>
        <v>13</v>
      </c>
      <c r="H174" s="99">
        <f>G174+'1'!H174</f>
        <v>12</v>
      </c>
      <c r="I174" s="155"/>
      <c r="J174" s="178">
        <f>H174/DAY(B2)</f>
        <v>6</v>
      </c>
    </row>
    <row r="175" spans="1:14" ht="25.5">
      <c r="A175" s="789" t="s">
        <v>76</v>
      </c>
      <c r="B175" s="802"/>
      <c r="C175" s="790"/>
      <c r="D175" s="228" t="s">
        <v>142</v>
      </c>
      <c r="E175" s="95">
        <f>'1'!F175</f>
        <v>25835</v>
      </c>
      <c r="F175" s="155">
        <v>25853</v>
      </c>
      <c r="G175" s="155">
        <f t="shared" si="14"/>
        <v>18</v>
      </c>
      <c r="H175" s="99">
        <f>G175+'1'!H175</f>
        <v>32</v>
      </c>
      <c r="I175" s="155"/>
      <c r="J175" s="178">
        <f>H175/DAY(B2)</f>
        <v>16</v>
      </c>
      <c r="N175" s="469"/>
    </row>
    <row r="176" spans="1:14" ht="25.5">
      <c r="A176" s="787" t="s">
        <v>196</v>
      </c>
      <c r="B176" s="788"/>
      <c r="C176" s="400"/>
      <c r="D176" s="228"/>
      <c r="E176" s="95"/>
      <c r="F176" s="155"/>
      <c r="G176" s="155">
        <f>SUM(G173:G175)</f>
        <v>32</v>
      </c>
      <c r="H176" s="99">
        <f>G176+'1'!H176</f>
        <v>46</v>
      </c>
      <c r="I176" s="155"/>
      <c r="J176" s="178">
        <f>H176/DAY(B2)</f>
        <v>23</v>
      </c>
    </row>
    <row r="177" spans="1:10" ht="25.5">
      <c r="A177" s="789" t="s">
        <v>77</v>
      </c>
      <c r="B177" s="790"/>
      <c r="C177" s="333"/>
      <c r="D177" s="228" t="s">
        <v>142</v>
      </c>
      <c r="E177" s="95"/>
      <c r="F177" s="155"/>
      <c r="G177" s="155"/>
      <c r="H177" s="99">
        <f>G177+'1'!H177</f>
        <v>0</v>
      </c>
      <c r="I177" s="155"/>
      <c r="J177" s="178"/>
    </row>
    <row r="178" spans="1:10" ht="25.5">
      <c r="A178" s="789" t="s">
        <v>210</v>
      </c>
      <c r="B178" s="790"/>
      <c r="C178" s="333"/>
      <c r="D178" s="228" t="s">
        <v>142</v>
      </c>
      <c r="E178" s="95">
        <f>'1'!F178</f>
        <v>107108</v>
      </c>
      <c r="F178" s="157">
        <v>107208</v>
      </c>
      <c r="G178" s="155">
        <f>F178-E178</f>
        <v>100</v>
      </c>
      <c r="H178" s="99">
        <f>G178+'1'!H178</f>
        <v>209</v>
      </c>
      <c r="I178" s="155"/>
      <c r="J178" s="178">
        <f>H178/DAY(B2)</f>
        <v>104.5</v>
      </c>
    </row>
    <row r="179" spans="1:10" ht="25.5">
      <c r="A179" s="789" t="s">
        <v>211</v>
      </c>
      <c r="B179" s="790"/>
      <c r="C179" s="333"/>
      <c r="D179" s="228" t="s">
        <v>142</v>
      </c>
      <c r="E179" s="95">
        <f>'1'!F179</f>
        <v>37501</v>
      </c>
      <c r="F179" s="155">
        <v>37501</v>
      </c>
      <c r="G179" s="155">
        <f t="shared" ref="G179:G180" si="15">F179-E179</f>
        <v>0</v>
      </c>
      <c r="H179" s="99">
        <f>G179+'1'!H179</f>
        <v>0</v>
      </c>
      <c r="I179" s="155"/>
      <c r="J179" s="178">
        <f>H179/DAY(B2)</f>
        <v>0</v>
      </c>
    </row>
    <row r="180" spans="1:10" ht="25.5">
      <c r="A180" s="789" t="s">
        <v>212</v>
      </c>
      <c r="B180" s="790"/>
      <c r="C180" s="333"/>
      <c r="D180" s="228" t="s">
        <v>142</v>
      </c>
      <c r="E180" s="95">
        <f>'1'!F180</f>
        <v>7563</v>
      </c>
      <c r="F180" s="155">
        <v>7574</v>
      </c>
      <c r="G180" s="155">
        <f t="shared" si="15"/>
        <v>11</v>
      </c>
      <c r="H180" s="99">
        <f>G180+'1'!H180</f>
        <v>11</v>
      </c>
      <c r="I180" s="155"/>
      <c r="J180" s="178">
        <f>H180/DAY(B2)</f>
        <v>5.5</v>
      </c>
    </row>
    <row r="181" spans="1:10" ht="25.5">
      <c r="A181" s="876" t="s">
        <v>108</v>
      </c>
      <c r="B181" s="877"/>
      <c r="C181" s="400"/>
      <c r="D181" s="228"/>
      <c r="E181" s="95"/>
      <c r="F181" s="155"/>
      <c r="G181" s="155">
        <f>SUM(G178:G180)</f>
        <v>111</v>
      </c>
      <c r="H181" s="99">
        <f>G181+'1'!H181</f>
        <v>220</v>
      </c>
      <c r="I181" s="155"/>
      <c r="J181" s="178">
        <f>H181/DAY(B2)</f>
        <v>110</v>
      </c>
    </row>
    <row r="182" spans="1:10" ht="31.5" customHeight="1">
      <c r="A182" s="789" t="s">
        <v>213</v>
      </c>
      <c r="B182" s="790"/>
      <c r="C182" s="333"/>
      <c r="D182" s="228"/>
      <c r="E182" s="95"/>
      <c r="F182" s="155"/>
      <c r="G182" s="155"/>
      <c r="H182" s="99">
        <f>G182+'1'!H182</f>
        <v>0</v>
      </c>
      <c r="I182" s="155"/>
      <c r="J182" s="178">
        <f>H182/DAY(B2)</f>
        <v>0</v>
      </c>
    </row>
    <row r="183" spans="1:10" ht="29.25" customHeight="1">
      <c r="A183" s="789" t="s">
        <v>214</v>
      </c>
      <c r="B183" s="790"/>
      <c r="C183" s="334"/>
      <c r="D183" s="228" t="s">
        <v>142</v>
      </c>
      <c r="E183" s="95">
        <f>'1'!F183</f>
        <v>18386</v>
      </c>
      <c r="F183" s="157">
        <v>18396</v>
      </c>
      <c r="G183" s="157">
        <f>F183-E183</f>
        <v>10</v>
      </c>
      <c r="H183" s="99">
        <f>G183+'1'!H183</f>
        <v>18</v>
      </c>
      <c r="I183" s="155"/>
      <c r="J183" s="178">
        <f>H183/DAY(B2)</f>
        <v>9</v>
      </c>
    </row>
    <row r="184" spans="1:10" ht="27.75" customHeight="1">
      <c r="A184" s="789" t="s">
        <v>215</v>
      </c>
      <c r="B184" s="790"/>
      <c r="C184" s="334"/>
      <c r="D184" s="228" t="s">
        <v>142</v>
      </c>
      <c r="E184" s="95">
        <f>'1'!F184</f>
        <v>12982</v>
      </c>
      <c r="F184" s="157">
        <v>12982</v>
      </c>
      <c r="G184" s="157">
        <f t="shared" ref="G184:G185" si="16">F184-E184</f>
        <v>0</v>
      </c>
      <c r="H184" s="99">
        <f>G184+'1'!H184</f>
        <v>2</v>
      </c>
      <c r="I184" s="155"/>
      <c r="J184" s="178">
        <f>H184/DAY(B2)</f>
        <v>1</v>
      </c>
    </row>
    <row r="185" spans="1:10" ht="24.75" customHeight="1">
      <c r="A185" s="789" t="s">
        <v>216</v>
      </c>
      <c r="B185" s="790"/>
      <c r="C185" s="334"/>
      <c r="D185" s="228" t="s">
        <v>142</v>
      </c>
      <c r="E185" s="95">
        <f>'1'!F185</f>
        <v>0</v>
      </c>
      <c r="F185" s="157"/>
      <c r="G185" s="157">
        <f t="shared" si="16"/>
        <v>0</v>
      </c>
      <c r="H185" s="99">
        <f>G185+'1'!H185</f>
        <v>0</v>
      </c>
      <c r="I185" s="155"/>
      <c r="J185" s="178">
        <f>H185/DAY(B2)</f>
        <v>0</v>
      </c>
    </row>
    <row r="186" spans="1:10" ht="33.75" customHeight="1">
      <c r="A186" s="787" t="s">
        <v>196</v>
      </c>
      <c r="B186" s="788"/>
      <c r="C186" s="399"/>
      <c r="D186" s="229"/>
      <c r="E186" s="95"/>
      <c r="F186" s="157"/>
      <c r="G186" s="157">
        <f>SUM(G183:G185)</f>
        <v>10</v>
      </c>
      <c r="H186" s="99">
        <f>G186+'1'!H186</f>
        <v>20</v>
      </c>
      <c r="I186" s="157"/>
      <c r="J186" s="178">
        <f>H186/DAY(B2)</f>
        <v>10</v>
      </c>
    </row>
    <row r="187" spans="1:10" ht="28.5" customHeight="1">
      <c r="A187" s="867" t="s">
        <v>217</v>
      </c>
      <c r="B187" s="868"/>
      <c r="C187" s="333"/>
      <c r="D187" s="230" t="s">
        <v>142</v>
      </c>
      <c r="E187" s="95"/>
      <c r="F187" s="159"/>
      <c r="G187" s="377">
        <f>G62+G19</f>
        <v>138</v>
      </c>
      <c r="H187" s="99">
        <f>G187+'1'!H187</f>
        <v>317.5</v>
      </c>
      <c r="I187" s="158"/>
      <c r="J187" s="179">
        <f>H187/DAY(B2)</f>
        <v>158.75</v>
      </c>
    </row>
    <row r="188" spans="1:10" ht="24" customHeight="1">
      <c r="A188" s="867" t="s">
        <v>218</v>
      </c>
      <c r="B188" s="868"/>
      <c r="C188" s="333"/>
      <c r="D188" s="230" t="s">
        <v>142</v>
      </c>
      <c r="E188" s="95"/>
      <c r="F188" s="159"/>
      <c r="G188" s="377">
        <f>G65+G66+G67+G69+G70</f>
        <v>174</v>
      </c>
      <c r="H188" s="99">
        <f>G188+'1'!H188</f>
        <v>368</v>
      </c>
      <c r="I188" s="158"/>
      <c r="J188" s="179">
        <f>H188/DAY(B2)</f>
        <v>184</v>
      </c>
    </row>
    <row r="189" spans="1:10" ht="24.75" customHeight="1">
      <c r="A189" s="867" t="s">
        <v>219</v>
      </c>
      <c r="B189" s="868"/>
      <c r="C189" s="333"/>
      <c r="D189" s="230" t="s">
        <v>142</v>
      </c>
      <c r="E189" s="95"/>
      <c r="F189" s="157"/>
      <c r="G189" s="376">
        <f>G181</f>
        <v>111</v>
      </c>
      <c r="H189" s="99">
        <f>G189+'1'!H189</f>
        <v>220</v>
      </c>
      <c r="I189" s="158"/>
      <c r="J189" s="179">
        <f>H189/DAY(B2)</f>
        <v>110</v>
      </c>
    </row>
    <row r="190" spans="1:10" ht="25.5">
      <c r="A190" s="874"/>
      <c r="B190" s="875"/>
      <c r="C190" s="398"/>
      <c r="D190" s="395"/>
      <c r="E190" s="395" t="s">
        <v>207</v>
      </c>
      <c r="F190" s="395"/>
      <c r="G190" s="395"/>
      <c r="H190" s="396"/>
      <c r="I190" s="395"/>
      <c r="J190" s="397"/>
    </row>
    <row r="191" spans="1:10" ht="26.25"/>
    <row r="192" spans="1:10" ht="26.25"/>
    <row r="193" spans="8:8" ht="26.25"/>
    <row r="194" spans="8:8" ht="26.25"/>
    <row r="195" spans="8:8" ht="26.25"/>
    <row r="196" spans="8:8" ht="26.25"/>
    <row r="197" spans="8:8" ht="26.25">
      <c r="H197" s="161">
        <f>218476.89+166486.57</f>
        <v>384963.46</v>
      </c>
    </row>
    <row r="198" spans="8:8" ht="26.25"/>
    <row r="199" spans="8:8" ht="26.25"/>
    <row r="200" spans="8:8" ht="26.25"/>
    <row r="201" spans="8:8" ht="26.25"/>
    <row r="202" spans="8:8" ht="26.25"/>
    <row r="203" spans="8:8" ht="26.25"/>
    <row r="204" spans="8:8" ht="26.25"/>
    <row r="205" spans="8:8" ht="26.25"/>
    <row r="206" spans="8:8" ht="26.25"/>
    <row r="207" spans="8:8" ht="26.25"/>
    <row r="208" spans="8: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182:B182"/>
    <mergeCell ref="A183:B183"/>
    <mergeCell ref="A184:B184"/>
    <mergeCell ref="A149:C149"/>
    <mergeCell ref="A175:C175"/>
    <mergeCell ref="A145:C145"/>
    <mergeCell ref="A146:C146"/>
    <mergeCell ref="A147:C147"/>
    <mergeCell ref="A148:C148"/>
    <mergeCell ref="A114:C114"/>
    <mergeCell ref="A115:C115"/>
    <mergeCell ref="A81:C81"/>
    <mergeCell ref="A143:C143"/>
    <mergeCell ref="A144:C144"/>
    <mergeCell ref="A102:C102"/>
    <mergeCell ref="A123:C123"/>
    <mergeCell ref="A109:B109"/>
    <mergeCell ref="A95:C95"/>
    <mergeCell ref="A96:C96"/>
    <mergeCell ref="A100:C100"/>
    <mergeCell ref="A101:C101"/>
    <mergeCell ref="A103:C103"/>
    <mergeCell ref="A104:C104"/>
    <mergeCell ref="A105:C105"/>
    <mergeCell ref="A72:B72"/>
    <mergeCell ref="A78:C78"/>
    <mergeCell ref="A97:C97"/>
    <mergeCell ref="A98:C98"/>
    <mergeCell ref="A99:C99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116:C116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25:B125"/>
    <mergeCell ref="A126:J126"/>
    <mergeCell ref="A127:B127"/>
    <mergeCell ref="A128:C128"/>
    <mergeCell ref="A131:C131"/>
    <mergeCell ref="A119:C119"/>
    <mergeCell ref="A120:C120"/>
    <mergeCell ref="A121:C121"/>
    <mergeCell ref="A122:C122"/>
    <mergeCell ref="A124:C124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6:J136"/>
    <mergeCell ref="A135:B135"/>
    <mergeCell ref="A190:B190"/>
    <mergeCell ref="A178:B178"/>
    <mergeCell ref="A179:B179"/>
    <mergeCell ref="A180:B180"/>
    <mergeCell ref="A181:B181"/>
    <mergeCell ref="A185:B185"/>
    <mergeCell ref="A172:B172"/>
    <mergeCell ref="A173:B173"/>
    <mergeCell ref="A174:B174"/>
    <mergeCell ref="A176:B176"/>
    <mergeCell ref="A177:B177"/>
    <mergeCell ref="A155:C155"/>
    <mergeCell ref="A156:C156"/>
    <mergeCell ref="A150:C150"/>
    <mergeCell ref="A151:C151"/>
    <mergeCell ref="A152:C152"/>
    <mergeCell ref="A186:B186"/>
    <mergeCell ref="A187:B187"/>
    <mergeCell ref="A188:B188"/>
    <mergeCell ref="A189:B189"/>
    <mergeCell ref="A160:J160"/>
    <mergeCell ref="A166:B166"/>
    <mergeCell ref="A167:B167"/>
    <mergeCell ref="A168:B168"/>
    <mergeCell ref="A171:J171"/>
    <mergeCell ref="A154:J154"/>
    <mergeCell ref="A153:B153"/>
    <mergeCell ref="A157:C157"/>
    <mergeCell ref="A158:C158"/>
    <mergeCell ref="A159:C159"/>
  </mergeCells>
  <pageMargins left="0.22" right="0.17" top="0.14000000000000001" bottom="0.2" header="0.2" footer="0.2"/>
  <pageSetup paperSize="5" scale="19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1:R270"/>
  <sheetViews>
    <sheetView view="pageBreakPreview" zoomScale="55" zoomScaleSheetLayoutView="55" workbookViewId="0">
      <selection activeCell="F133" sqref="F133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919" t="s">
        <v>115</v>
      </c>
      <c r="B1" s="920"/>
      <c r="C1" s="920"/>
      <c r="D1" s="920"/>
      <c r="E1" s="920"/>
      <c r="F1" s="920"/>
      <c r="G1" s="920"/>
      <c r="H1" s="920"/>
      <c r="I1" s="920"/>
      <c r="J1" s="921"/>
    </row>
    <row r="2" spans="1:16" s="57" customFormat="1" ht="23.25">
      <c r="A2" s="191" t="s">
        <v>349</v>
      </c>
      <c r="B2" s="375">
        <v>44929</v>
      </c>
      <c r="C2" s="348" t="s">
        <v>67</v>
      </c>
      <c r="D2" s="218">
        <v>0.8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  <c r="O2" s="57" t="s">
        <v>350</v>
      </c>
      <c r="P2" s="57">
        <v>19293.8</v>
      </c>
    </row>
    <row r="3" spans="1:16" s="57" customFormat="1" ht="23.25">
      <c r="A3" s="189"/>
      <c r="B3" s="221"/>
      <c r="C3" s="348" t="s">
        <v>118</v>
      </c>
      <c r="D3" s="219">
        <v>28</v>
      </c>
      <c r="E3" s="928" t="s">
        <v>119</v>
      </c>
      <c r="F3" s="929"/>
      <c r="G3" s="101"/>
      <c r="H3" s="102"/>
      <c r="I3" s="102"/>
      <c r="J3" s="222"/>
      <c r="K3" s="61"/>
      <c r="L3" s="58"/>
      <c r="P3" s="57">
        <v>70944.800000000003</v>
      </c>
    </row>
    <row r="4" spans="1:16" s="57" customFormat="1" ht="23.2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 t="s">
        <v>351</v>
      </c>
      <c r="P4" s="57">
        <v>28131.4</v>
      </c>
    </row>
    <row r="5" spans="1:16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P5" s="57">
        <v>48693.66</v>
      </c>
    </row>
    <row r="6" spans="1:16" ht="26.25">
      <c r="A6" s="922" t="s">
        <v>128</v>
      </c>
      <c r="B6" s="923"/>
      <c r="C6" s="924"/>
      <c r="D6" s="110"/>
      <c r="E6" s="110"/>
      <c r="F6" s="110"/>
      <c r="G6" s="110"/>
      <c r="H6" s="111"/>
      <c r="I6" s="111"/>
      <c r="J6" s="174"/>
      <c r="K6" s="78"/>
      <c r="L6" s="66"/>
    </row>
    <row r="7" spans="1:16" ht="27" thickBot="1">
      <c r="A7" s="194" t="s">
        <v>129</v>
      </c>
      <c r="B7" s="195"/>
      <c r="C7" s="195"/>
      <c r="D7" s="151" t="s">
        <v>130</v>
      </c>
      <c r="E7" s="95">
        <f>'2'!F7</f>
        <v>17938</v>
      </c>
      <c r="F7" s="95">
        <v>39638.800000000003</v>
      </c>
      <c r="G7" s="112">
        <f>F7-E7</f>
        <v>21700.800000000003</v>
      </c>
      <c r="H7" s="99">
        <f>G7+'2'!H7</f>
        <v>62019.8</v>
      </c>
      <c r="I7" s="113">
        <f>'1'!I7</f>
        <v>12000</v>
      </c>
      <c r="J7" s="175">
        <f>H7/DAY(B2)</f>
        <v>20673.266666666666</v>
      </c>
      <c r="K7" s="172">
        <v>1375467</v>
      </c>
      <c r="L7" s="66"/>
      <c r="N7" s="87"/>
      <c r="O7" s="71"/>
    </row>
    <row r="8" spans="1:16" ht="27" thickBot="1">
      <c r="A8" s="196" t="s">
        <v>131</v>
      </c>
      <c r="B8" s="197"/>
      <c r="C8" s="198"/>
      <c r="D8" s="224" t="s">
        <v>24</v>
      </c>
      <c r="E8" s="95">
        <f>'2'!F8</f>
        <v>200094</v>
      </c>
      <c r="F8" s="114">
        <v>221931</v>
      </c>
      <c r="G8" s="115">
        <f>F8-E8</f>
        <v>21837</v>
      </c>
      <c r="H8" s="99">
        <f>G8+'2'!H8</f>
        <v>64074</v>
      </c>
      <c r="I8" s="116"/>
      <c r="J8" s="175">
        <f>H8/DAY(B2)</f>
        <v>21358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6.25">
      <c r="A9" s="199" t="s">
        <v>132</v>
      </c>
      <c r="B9" s="200"/>
      <c r="C9" s="200"/>
      <c r="D9" s="151" t="s">
        <v>130</v>
      </c>
      <c r="E9" s="95">
        <f>'2'!F9</f>
        <v>4448377.9000000004</v>
      </c>
      <c r="F9" s="117">
        <v>4464582.7</v>
      </c>
      <c r="G9" s="112">
        <f>F9-E9</f>
        <v>16204.799999999814</v>
      </c>
      <c r="H9" s="99">
        <f>G9+'2'!H9</f>
        <v>47976.799999999814</v>
      </c>
      <c r="I9" s="124">
        <f>I7-J7</f>
        <v>-8673.2666666666664</v>
      </c>
      <c r="J9" s="175">
        <f>H9/DAY(B2)</f>
        <v>15992.266666666605</v>
      </c>
      <c r="K9" s="79">
        <f>K8-100</f>
        <v>1715817</v>
      </c>
      <c r="L9" s="66"/>
      <c r="N9" s="87"/>
      <c r="O9" s="71"/>
    </row>
    <row r="10" spans="1:16" ht="26.25">
      <c r="A10" s="194" t="s">
        <v>133</v>
      </c>
      <c r="B10" s="195"/>
      <c r="C10" s="195"/>
      <c r="D10" s="151" t="s">
        <v>130</v>
      </c>
      <c r="E10" s="95">
        <f>'2'!F10</f>
        <v>4079259.9</v>
      </c>
      <c r="F10" s="117">
        <v>4084162.3</v>
      </c>
      <c r="G10" s="112">
        <f t="shared" ref="G10:G12" si="0">F10-E10</f>
        <v>4902.3999999999069</v>
      </c>
      <c r="H10" s="99">
        <f>G10+'2'!H10</f>
        <v>14126</v>
      </c>
      <c r="I10" s="282"/>
      <c r="J10" s="175">
        <f>H10/DAY(B2)</f>
        <v>4708.666666666667</v>
      </c>
      <c r="K10" s="79"/>
      <c r="L10" s="66"/>
      <c r="N10" s="87"/>
      <c r="O10" s="71"/>
    </row>
    <row r="11" spans="1:16" ht="26.25">
      <c r="A11" s="194" t="s">
        <v>134</v>
      </c>
      <c r="B11" s="195"/>
      <c r="C11" s="195"/>
      <c r="D11" s="151" t="s">
        <v>130</v>
      </c>
      <c r="E11" s="95">
        <f>'2'!F11</f>
        <v>38700</v>
      </c>
      <c r="F11" s="95">
        <v>38700</v>
      </c>
      <c r="G11" s="112">
        <f t="shared" si="0"/>
        <v>0</v>
      </c>
      <c r="H11" s="99">
        <f>G11+'2'!H11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6.25">
      <c r="A12" s="194" t="s">
        <v>135</v>
      </c>
      <c r="B12" s="195"/>
      <c r="C12" s="195"/>
      <c r="D12" s="151" t="s">
        <v>130</v>
      </c>
      <c r="E12" s="95">
        <f>'2'!F12</f>
        <v>40550</v>
      </c>
      <c r="F12" s="117">
        <v>40550</v>
      </c>
      <c r="G12" s="112">
        <f t="shared" si="0"/>
        <v>0</v>
      </c>
      <c r="H12" s="99">
        <f>G12+'2'!H12</f>
        <v>0</v>
      </c>
      <c r="I12" s="282"/>
      <c r="J12" s="175">
        <f>H12/DAY(B2)</f>
        <v>0</v>
      </c>
      <c r="K12" s="79"/>
      <c r="L12" s="66"/>
      <c r="N12" s="87"/>
      <c r="O12" s="71">
        <f>G13-G7</f>
        <v>-593.60000000028231</v>
      </c>
    </row>
    <row r="13" spans="1:16" ht="26.25">
      <c r="A13" s="201" t="s">
        <v>136</v>
      </c>
      <c r="B13" s="202"/>
      <c r="C13" s="202"/>
      <c r="D13" s="151"/>
      <c r="E13" s="95"/>
      <c r="F13" s="95"/>
      <c r="G13" s="119">
        <f>G9+G10+G11+G12</f>
        <v>21107.199999999721</v>
      </c>
      <c r="H13" s="99">
        <f>G13+'2'!H13</f>
        <v>62102.799999999814</v>
      </c>
      <c r="I13" s="120">
        <f>G7-G13</f>
        <v>593.60000000028231</v>
      </c>
      <c r="J13" s="175">
        <f>H13/DAY(B2)</f>
        <v>20700.933333333272</v>
      </c>
      <c r="K13" s="79"/>
      <c r="L13" s="66"/>
      <c r="N13" s="87"/>
      <c r="O13" s="71"/>
    </row>
    <row r="14" spans="1:16" ht="26.25">
      <c r="A14" s="925" t="s">
        <v>137</v>
      </c>
      <c r="B14" s="926"/>
      <c r="C14" s="92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6.25">
      <c r="A15" s="345" t="s">
        <v>138</v>
      </c>
      <c r="B15" s="205"/>
      <c r="C15" s="205"/>
      <c r="D15" s="151" t="s">
        <v>139</v>
      </c>
      <c r="E15" s="95">
        <f>'2'!F15</f>
        <v>2255678</v>
      </c>
      <c r="F15" s="409">
        <v>2256880</v>
      </c>
      <c r="G15" s="112">
        <f>(F15-E15)</f>
        <v>1202</v>
      </c>
      <c r="H15" s="99">
        <f>G15+'2'!H15</f>
        <v>3578.6419999999925</v>
      </c>
      <c r="I15" s="113">
        <f>'1'!I15</f>
        <v>800</v>
      </c>
      <c r="J15" s="175">
        <f>H15/DAY(B2)</f>
        <v>1192.8806666666642</v>
      </c>
      <c r="K15" s="79"/>
      <c r="L15" s="66"/>
      <c r="N15" s="87"/>
      <c r="O15" s="71"/>
    </row>
    <row r="16" spans="1:16" ht="26.25">
      <c r="A16" s="203"/>
      <c r="B16" s="204"/>
      <c r="C16" s="204"/>
      <c r="D16" s="152"/>
      <c r="E16" s="123"/>
      <c r="F16" s="409"/>
      <c r="G16" s="112"/>
      <c r="H16" s="124"/>
      <c r="I16" s="120">
        <f>I15-J15</f>
        <v>-392.88066666666418</v>
      </c>
      <c r="J16" s="176"/>
      <c r="K16" s="79"/>
      <c r="L16" s="66"/>
      <c r="N16" s="87"/>
      <c r="O16" s="71"/>
    </row>
    <row r="17" spans="1:15" ht="26.25">
      <c r="A17" s="925" t="s">
        <v>140</v>
      </c>
      <c r="B17" s="926"/>
      <c r="C17" s="92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02">
        <v>0</v>
      </c>
      <c r="B18" s="903"/>
      <c r="C18" s="904"/>
      <c r="D18" s="151" t="s">
        <v>142</v>
      </c>
      <c r="E18" s="95">
        <f>'2'!F18</f>
        <v>23</v>
      </c>
      <c r="F18" s="164">
        <v>26</v>
      </c>
      <c r="G18" s="119">
        <f>F18*10</f>
        <v>260</v>
      </c>
      <c r="H18" s="99">
        <f>G18+'2'!H18</f>
        <v>680</v>
      </c>
      <c r="I18" s="113">
        <f>'1'!I18</f>
        <v>65</v>
      </c>
      <c r="J18" s="175">
        <f>H18/DAY(B2)</f>
        <v>226.66666666666666</v>
      </c>
      <c r="K18" s="79"/>
      <c r="L18" s="66"/>
      <c r="N18" s="87"/>
      <c r="O18" s="71"/>
    </row>
    <row r="19" spans="1:15" ht="25.5">
      <c r="A19" s="902" t="s">
        <v>69</v>
      </c>
      <c r="B19" s="903"/>
      <c r="C19" s="904"/>
      <c r="D19" s="151" t="s">
        <v>142</v>
      </c>
      <c r="E19" s="95">
        <f>'2'!F19</f>
        <v>169696</v>
      </c>
      <c r="F19" s="164">
        <v>169758</v>
      </c>
      <c r="G19" s="112">
        <f t="shared" ref="G19" si="1">F19-E19</f>
        <v>62</v>
      </c>
      <c r="H19" s="99">
        <f>G19+'2'!H19</f>
        <v>198</v>
      </c>
      <c r="I19" s="335"/>
      <c r="J19" s="175">
        <f>H19/DAY(B2)</f>
        <v>66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322</v>
      </c>
      <c r="H20" s="99">
        <f>G20+'2'!H20</f>
        <v>878</v>
      </c>
      <c r="I20" s="336">
        <f>I18-J20</f>
        <v>-227.66666666666669</v>
      </c>
      <c r="J20" s="175">
        <f>H20/DAY(B2)</f>
        <v>292.66666666666669</v>
      </c>
      <c r="K20" s="79"/>
      <c r="L20" s="66"/>
      <c r="N20" s="87"/>
      <c r="O20" s="71"/>
    </row>
    <row r="21" spans="1:15" ht="26.25">
      <c r="A21" s="925" t="s">
        <v>144</v>
      </c>
      <c r="B21" s="926"/>
      <c r="C21" s="92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'2'!F22</f>
        <v>2970</v>
      </c>
      <c r="F22" s="122">
        <v>2970</v>
      </c>
      <c r="G22" s="119">
        <f t="shared" ref="G22" si="2">(F22-E22)</f>
        <v>0</v>
      </c>
      <c r="H22" s="99">
        <f>G22+'2'!H22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'2'!F23</f>
        <v>2000</v>
      </c>
      <c r="F23" s="122">
        <v>1500</v>
      </c>
      <c r="G23" s="119">
        <v>0</v>
      </c>
      <c r="H23" s="99">
        <f>G23+'2'!H23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'2'!F24</f>
        <v>4970</v>
      </c>
      <c r="F24" s="128">
        <v>4970</v>
      </c>
      <c r="G24" s="119">
        <v>0</v>
      </c>
      <c r="H24" s="99">
        <f>G24+'2'!H24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30" t="s">
        <v>149</v>
      </c>
      <c r="B25" s="931"/>
      <c r="C25" s="93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21837</v>
      </c>
      <c r="F27" s="136">
        <v>9</v>
      </c>
      <c r="G27" s="137">
        <f>E27*F27</f>
        <v>196533</v>
      </c>
      <c r="H27" s="99">
        <f>G27+'2'!H27</f>
        <v>598030</v>
      </c>
      <c r="I27" s="138"/>
      <c r="J27" s="175">
        <f>H27/DAY(B2)</f>
        <v>199343.33333333334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1202</v>
      </c>
      <c r="F28" s="136">
        <v>70</v>
      </c>
      <c r="G28" s="137">
        <f>E28*F28</f>
        <v>84140</v>
      </c>
      <c r="H28" s="99">
        <f>G28+'2'!H28</f>
        <v>262388.14999999944</v>
      </c>
      <c r="I28" s="140"/>
      <c r="J28" s="175">
        <f>H28/DAY(B2)</f>
        <v>87462.716666666485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62</v>
      </c>
      <c r="F30" s="136">
        <v>151</v>
      </c>
      <c r="G30" s="137">
        <f>E30*F30</f>
        <v>9362</v>
      </c>
      <c r="H30" s="99">
        <f>G30+'2'!H30</f>
        <v>29898</v>
      </c>
      <c r="I30" s="140"/>
      <c r="J30" s="175">
        <f>H30/DAY(B2)</f>
        <v>9966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80</v>
      </c>
      <c r="G31" s="137">
        <f>E31*F31</f>
        <v>20800</v>
      </c>
      <c r="H31" s="99">
        <f>G31+'2'!H31</f>
        <v>54400</v>
      </c>
      <c r="I31" s="140"/>
      <c r="J31" s="175">
        <f>H31/DAY(B2)</f>
        <v>18133.333333333332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310835</v>
      </c>
      <c r="H32" s="99">
        <f>G32+'2'!H32</f>
        <v>944716.14999999944</v>
      </c>
      <c r="I32" s="144"/>
      <c r="J32" s="175">
        <f>H32/DAY(B2)</f>
        <v>314905.38333333313</v>
      </c>
      <c r="K32" s="63"/>
      <c r="L32" s="89"/>
      <c r="N32" s="87"/>
      <c r="O32" s="71"/>
    </row>
    <row r="33" spans="1:15" ht="25.5" customHeight="1">
      <c r="A33" s="933" t="s">
        <v>331</v>
      </c>
      <c r="B33" s="934"/>
      <c r="C33" s="93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'2'!F35</f>
        <v>460016.23</v>
      </c>
      <c r="F35" s="422">
        <v>462982</v>
      </c>
      <c r="G35" s="112">
        <f t="shared" ref="G35:G46" si="3">F35-E35</f>
        <v>2965.7700000000186</v>
      </c>
      <c r="H35" s="99">
        <f>G35+'2'!H35</f>
        <v>8464.0100000000093</v>
      </c>
      <c r="I35" s="95"/>
      <c r="J35" s="175">
        <f>H35/DAY(B2)</f>
        <v>2821.3366666666698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'2'!F36</f>
        <v>356026.23</v>
      </c>
      <c r="F36" s="145">
        <v>356964.67</v>
      </c>
      <c r="G36" s="112">
        <f t="shared" si="3"/>
        <v>938.44000000000233</v>
      </c>
      <c r="H36" s="99">
        <f>G36+'2'!H36</f>
        <v>2875.7699999999604</v>
      </c>
      <c r="I36" s="95"/>
      <c r="J36" s="175">
        <f>H36/DAY(B2)</f>
        <v>958.58999999998684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'2'!F37</f>
        <v>341163.71</v>
      </c>
      <c r="F37" s="145">
        <v>342571.63</v>
      </c>
      <c r="G37" s="112">
        <f t="shared" si="3"/>
        <v>1407.9199999999837</v>
      </c>
      <c r="H37" s="99">
        <f>G37+'2'!H37</f>
        <v>4301.7600000000093</v>
      </c>
      <c r="I37" s="95"/>
      <c r="J37" s="175">
        <f>H37/DAY(B2)</f>
        <v>1433.920000000003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'2'!F38</f>
        <v>802595.51</v>
      </c>
      <c r="F38" s="108">
        <v>805124.87</v>
      </c>
      <c r="G38" s="112">
        <f t="shared" si="3"/>
        <v>2529.359999999986</v>
      </c>
      <c r="H38" s="99">
        <f>G38+'2'!H38</f>
        <v>5447.5200000000186</v>
      </c>
      <c r="I38" s="95"/>
      <c r="J38" s="175">
        <f>H38/DAY(B2)</f>
        <v>1815.8400000000063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'2'!F39</f>
        <v>625943.55000000005</v>
      </c>
      <c r="F39" s="145">
        <v>628749.06999999995</v>
      </c>
      <c r="G39" s="112">
        <f t="shared" si="3"/>
        <v>2805.5199999999022</v>
      </c>
      <c r="H39" s="99">
        <f>G39+'2'!H39</f>
        <v>8459.0699999999488</v>
      </c>
      <c r="I39" s="95"/>
      <c r="J39" s="175">
        <f>H39/DAY(B2)</f>
        <v>2819.6899999999828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'2'!F40</f>
        <v>210851.43</v>
      </c>
      <c r="F40" s="145">
        <v>211299.99</v>
      </c>
      <c r="G40" s="112">
        <f t="shared" si="3"/>
        <v>448.55999999999767</v>
      </c>
      <c r="H40" s="99">
        <f>G40+'2'!H40</f>
        <v>1613.6399999999849</v>
      </c>
      <c r="I40" s="95"/>
      <c r="J40" s="175">
        <f>H40/DAY(B2)</f>
        <v>537.87999999999499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'2'!F41</f>
        <v>420212.51</v>
      </c>
      <c r="F41" s="145">
        <v>420212.1</v>
      </c>
      <c r="G41" s="112">
        <f t="shared" si="3"/>
        <v>-0.41000000003259629</v>
      </c>
      <c r="H41" s="99">
        <f>G41+'2'!H41</f>
        <v>-0.41000000003259629</v>
      </c>
      <c r="I41" s="95"/>
      <c r="J41" s="175">
        <f>H41/DAY(B2)</f>
        <v>-0.13666666667753211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'2'!F42</f>
        <v>929190.79</v>
      </c>
      <c r="F42" s="145">
        <v>933859.9</v>
      </c>
      <c r="G42" s="112">
        <f t="shared" si="3"/>
        <v>4669.109999999986</v>
      </c>
      <c r="H42" s="99">
        <f>G42+'2'!H42</f>
        <v>12905.430000000051</v>
      </c>
      <c r="I42" s="95"/>
      <c r="J42" s="175">
        <f>H42/DAY(B2)</f>
        <v>4301.8100000000168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'2'!F43</f>
        <v>422444</v>
      </c>
      <c r="F43" s="145">
        <v>422444</v>
      </c>
      <c r="G43" s="112">
        <f t="shared" si="3"/>
        <v>0</v>
      </c>
      <c r="H43" s="99">
        <f>G43+'2'!H43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'2'!F44</f>
        <v>0</v>
      </c>
      <c r="F44" s="145">
        <v>0</v>
      </c>
      <c r="G44" s="112">
        <f t="shared" si="3"/>
        <v>0</v>
      </c>
      <c r="H44" s="99">
        <f>G44+'2'!H44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'2'!F45</f>
        <v>0</v>
      </c>
      <c r="F45" s="145">
        <v>0</v>
      </c>
      <c r="G45" s="112">
        <f t="shared" si="3"/>
        <v>0</v>
      </c>
      <c r="H45" s="99">
        <f>G45+'2'!H45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'2'!F46</f>
        <v>0</v>
      </c>
      <c r="F46" s="145">
        <v>0</v>
      </c>
      <c r="G46" s="112">
        <f t="shared" si="3"/>
        <v>0</v>
      </c>
      <c r="H46" s="99">
        <f>G46+'2'!H46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15764.269999999844</v>
      </c>
      <c r="H47" s="99">
        <f>G47+'2'!H47</f>
        <v>44066.78999999995</v>
      </c>
      <c r="I47" s="95"/>
      <c r="J47" s="175">
        <f>H47/DAY(B2)</f>
        <v>14688.929999999984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'2'!F49</f>
        <v>807524.04</v>
      </c>
      <c r="F49" s="145">
        <v>808046.15</v>
      </c>
      <c r="G49" s="112">
        <f t="shared" ref="G49:G58" si="4">F49-E49</f>
        <v>522.10999999998603</v>
      </c>
      <c r="H49" s="99">
        <f>G49+'2'!H49</f>
        <v>1542</v>
      </c>
      <c r="I49" s="95"/>
      <c r="J49" s="175">
        <f>H49/DAY(B2)</f>
        <v>514</v>
      </c>
      <c r="K49" s="79"/>
      <c r="L49" s="66"/>
      <c r="N49" s="87">
        <f>G35+G49</f>
        <v>3487.8800000000047</v>
      </c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'2'!F50</f>
        <v>503747.51</v>
      </c>
      <c r="F50" s="145">
        <v>505535.9</v>
      </c>
      <c r="G50" s="112">
        <f t="shared" si="4"/>
        <v>1788.390000000014</v>
      </c>
      <c r="H50" s="99">
        <f>G50+'2'!H50</f>
        <v>4382.9000000000233</v>
      </c>
      <c r="I50" s="95"/>
      <c r="J50" s="175">
        <f>H50/DAY(B2)</f>
        <v>1460.9666666666744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'2'!F51</f>
        <v>156958.49</v>
      </c>
      <c r="F51" s="145">
        <v>156958.44</v>
      </c>
      <c r="G51" s="112">
        <f t="shared" si="4"/>
        <v>-4.9999999988358468E-2</v>
      </c>
      <c r="H51" s="99">
        <f>G51+'2'!H51</f>
        <v>0.44000000000232831</v>
      </c>
      <c r="I51" s="95"/>
      <c r="J51" s="175">
        <f>H51/DAY(B2)</f>
        <v>0.14666666666744277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'2'!F52</f>
        <v>9.76</v>
      </c>
      <c r="F52" s="145">
        <v>9.75</v>
      </c>
      <c r="G52" s="112">
        <f t="shared" si="4"/>
        <v>-9.9999999999997868E-3</v>
      </c>
      <c r="H52" s="99">
        <f>G52+'2'!H52</f>
        <v>-0.25</v>
      </c>
      <c r="I52" s="95"/>
      <c r="J52" s="175">
        <f>H52/DAY(B2)</f>
        <v>-8.3333333333333329E-2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'2'!F53</f>
        <v>630355.03</v>
      </c>
      <c r="F53" s="145">
        <v>630355</v>
      </c>
      <c r="G53" s="112">
        <f t="shared" si="4"/>
        <v>-3.0000000027939677E-2</v>
      </c>
      <c r="H53" s="99">
        <f>G53+'2'!H53</f>
        <v>-3.0000000027939677E-2</v>
      </c>
      <c r="I53" s="95"/>
      <c r="J53" s="175">
        <f>H53/DAY(B2)</f>
        <v>-1.0000000009313226E-2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'2'!F54</f>
        <v>115323.32</v>
      </c>
      <c r="F54" s="145">
        <v>115563.11</v>
      </c>
      <c r="G54" s="112">
        <f t="shared" si="4"/>
        <v>239.7899999999936</v>
      </c>
      <c r="H54" s="99">
        <f>G54+'2'!H54</f>
        <v>965.97999999999593</v>
      </c>
      <c r="I54" s="95"/>
      <c r="J54" s="175">
        <f>H54/DAY(B2)</f>
        <v>321.99333333333198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'2'!F55</f>
        <v>576335.63</v>
      </c>
      <c r="F55" s="145">
        <v>576335.63</v>
      </c>
      <c r="G55" s="112">
        <f t="shared" si="4"/>
        <v>0</v>
      </c>
      <c r="H55" s="99">
        <f>G55+'2'!H55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'2'!F56</f>
        <v>335403.7</v>
      </c>
      <c r="F56" s="145">
        <v>335403.11</v>
      </c>
      <c r="G56" s="112">
        <f t="shared" si="4"/>
        <v>-0.59000000002561137</v>
      </c>
      <c r="H56" s="99">
        <f>G56+'2'!H56</f>
        <v>176.89999999996508</v>
      </c>
      <c r="I56" s="95"/>
      <c r="J56" s="175">
        <f>H56/DAY(B2)</f>
        <v>58.966666666655023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'2'!F57</f>
        <v>635748.43000000005</v>
      </c>
      <c r="F57" s="145">
        <v>638114.11</v>
      </c>
      <c r="G57" s="112">
        <f t="shared" si="4"/>
        <v>2365.6799999999348</v>
      </c>
      <c r="H57" s="99">
        <f>G57+'2'!H57</f>
        <v>7281.109999999986</v>
      </c>
      <c r="I57" s="95"/>
      <c r="J57" s="175">
        <f>H57/DAY(B2)</f>
        <v>2427.0366666666619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'2'!F58</f>
        <v>87061.6</v>
      </c>
      <c r="F58" s="145">
        <v>87341.38</v>
      </c>
      <c r="G58" s="112">
        <f t="shared" si="4"/>
        <v>279.77999999999884</v>
      </c>
      <c r="H58" s="99">
        <f>G58+'2'!H58</f>
        <v>780.8810000000085</v>
      </c>
      <c r="I58" s="95"/>
      <c r="J58" s="175">
        <f>H58/DAY(B2)</f>
        <v>260.29366666666948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5195.0699999998851</v>
      </c>
      <c r="H59" s="99">
        <f>G59+'2'!H59</f>
        <v>15129.930999999953</v>
      </c>
      <c r="I59" s="95">
        <f>G7-G60</f>
        <v>741.46000000027561</v>
      </c>
      <c r="J59" s="175">
        <f>H59/DAY(B2)</f>
        <v>5043.3103333333174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20959.339999999727</v>
      </c>
      <c r="H60" s="99">
        <f>G60+'2'!H60</f>
        <v>59196.720999999903</v>
      </c>
      <c r="I60" s="95">
        <f>G13-G60</f>
        <v>147.85999999999331</v>
      </c>
      <c r="J60" s="175">
        <f>H60/DAY(B2)</f>
        <v>19732.240333333302</v>
      </c>
      <c r="K60" s="79"/>
      <c r="L60" s="66"/>
      <c r="N60" s="87"/>
      <c r="O60" s="71"/>
    </row>
    <row r="61" spans="1:15" s="68" customFormat="1" ht="26.25">
      <c r="A61" s="935" t="s">
        <v>332</v>
      </c>
      <c r="B61" s="936"/>
      <c r="C61" s="93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02" t="s">
        <v>198</v>
      </c>
      <c r="B62" s="903"/>
      <c r="C62" s="904"/>
      <c r="D62" s="151" t="s">
        <v>142</v>
      </c>
      <c r="E62" s="95">
        <f>'2'!F62</f>
        <v>312281.5</v>
      </c>
      <c r="F62" s="164">
        <v>312439.5</v>
      </c>
      <c r="G62" s="112">
        <f t="shared" ref="G62" si="5">F62-E62</f>
        <v>158</v>
      </c>
      <c r="H62" s="99">
        <f>G62+'2'!H62</f>
        <v>339.5</v>
      </c>
      <c r="I62" s="118"/>
      <c r="J62" s="175">
        <f>H62/DAY(B2)</f>
        <v>113.16666666666667</v>
      </c>
      <c r="K62" s="80"/>
      <c r="L62" s="66"/>
      <c r="N62" s="87"/>
      <c r="O62" s="71"/>
    </row>
    <row r="63" spans="1:15" ht="25.5">
      <c r="A63" s="902" t="s">
        <v>199</v>
      </c>
      <c r="B63" s="903"/>
      <c r="C63" s="904"/>
      <c r="D63" s="151" t="s">
        <v>142</v>
      </c>
      <c r="E63" s="95">
        <f>'2'!F63</f>
        <v>249246</v>
      </c>
      <c r="F63" s="122">
        <v>249337</v>
      </c>
      <c r="G63" s="112">
        <f>F63-E63</f>
        <v>91</v>
      </c>
      <c r="H63" s="99">
        <f>G63+'2'!H63</f>
        <v>302</v>
      </c>
      <c r="I63" s="118"/>
      <c r="J63" s="175">
        <f>H63/DAY(B2)</f>
        <v>100.66666666666667</v>
      </c>
      <c r="K63" s="69"/>
      <c r="L63" s="66"/>
      <c r="N63" s="87"/>
      <c r="O63" s="71"/>
    </row>
    <row r="64" spans="1:15" ht="26.25">
      <c r="A64" s="911" t="s">
        <v>200</v>
      </c>
      <c r="B64" s="912"/>
      <c r="C64" s="913"/>
      <c r="D64" s="151"/>
      <c r="E64" s="95">
        <f>'2'!F64</f>
        <v>0</v>
      </c>
      <c r="F64" s="122"/>
      <c r="G64" s="112">
        <f>G62+G63</f>
        <v>249</v>
      </c>
      <c r="H64" s="99">
        <f>G64+'2'!H64</f>
        <v>641.5</v>
      </c>
      <c r="I64" s="118"/>
      <c r="J64" s="175">
        <f>H64/DAY(B2)</f>
        <v>213.83333333333334</v>
      </c>
      <c r="K64" s="69"/>
      <c r="L64" s="66"/>
      <c r="N64" s="87"/>
      <c r="O64" s="71"/>
    </row>
    <row r="65" spans="1:15" ht="25.5">
      <c r="A65" s="902" t="s">
        <v>201</v>
      </c>
      <c r="B65" s="903"/>
      <c r="C65" s="904"/>
      <c r="D65" s="151" t="s">
        <v>142</v>
      </c>
      <c r="E65" s="95">
        <f>'2'!F65</f>
        <v>472281</v>
      </c>
      <c r="F65" s="122">
        <v>472406</v>
      </c>
      <c r="G65" s="112">
        <f t="shared" ref="G65:G70" si="6">F65-E65</f>
        <v>125</v>
      </c>
      <c r="H65" s="99">
        <f>G65+'2'!H65</f>
        <v>376</v>
      </c>
      <c r="I65" s="118"/>
      <c r="J65" s="175">
        <f>H65/DAY(B2)</f>
        <v>125.33333333333333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'2'!F66</f>
        <v>113584</v>
      </c>
      <c r="F66" s="164">
        <v>113596</v>
      </c>
      <c r="G66" s="112">
        <f t="shared" si="6"/>
        <v>12</v>
      </c>
      <c r="H66" s="99">
        <f>G66+'2'!H66</f>
        <v>37</v>
      </c>
      <c r="I66" s="118"/>
      <c r="J66" s="175">
        <f>H66/DAY(B2)</f>
        <v>12.333333333333334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'2'!F67</f>
        <v>116621</v>
      </c>
      <c r="F67" s="164">
        <v>116646</v>
      </c>
      <c r="G67" s="112">
        <f t="shared" si="6"/>
        <v>25</v>
      </c>
      <c r="H67" s="99">
        <f>G67+'2'!H67</f>
        <v>79</v>
      </c>
      <c r="I67" s="118"/>
      <c r="J67" s="175">
        <f>H67/DAY(B2)</f>
        <v>26.333333333333332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'2'!F68</f>
        <v>169383</v>
      </c>
      <c r="F68" s="164">
        <v>169407</v>
      </c>
      <c r="G68" s="112">
        <f t="shared" si="6"/>
        <v>24</v>
      </c>
      <c r="H68" s="99">
        <f>G68+'2'!H68</f>
        <v>48</v>
      </c>
      <c r="I68" s="118"/>
      <c r="J68" s="175">
        <f>H68/DAY(B2)</f>
        <v>16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'2'!F69</f>
        <v>13019</v>
      </c>
      <c r="F69" s="164">
        <v>13026</v>
      </c>
      <c r="G69" s="112">
        <f t="shared" si="6"/>
        <v>7</v>
      </c>
      <c r="H69" s="99">
        <f>G69+'2'!H69</f>
        <v>28</v>
      </c>
      <c r="I69" s="118"/>
      <c r="J69" s="175">
        <f>H69/DAY(B2)</f>
        <v>9.3333333333333339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'2'!F70</f>
        <v>11033</v>
      </c>
      <c r="F70" s="164">
        <v>11040</v>
      </c>
      <c r="G70" s="112">
        <f t="shared" si="6"/>
        <v>7</v>
      </c>
      <c r="H70" s="99">
        <f>G70+'2'!H70</f>
        <v>24</v>
      </c>
      <c r="I70" s="118"/>
      <c r="J70" s="175">
        <f>H70/DAY(B2)</f>
        <v>8</v>
      </c>
      <c r="K70" s="69"/>
      <c r="L70" s="66"/>
      <c r="N70" s="87"/>
      <c r="O70" s="71"/>
    </row>
    <row r="71" spans="1:15" ht="26.25">
      <c r="A71" s="911" t="s">
        <v>208</v>
      </c>
      <c r="B71" s="912"/>
      <c r="C71" s="913"/>
      <c r="D71" s="152"/>
      <c r="E71" s="152"/>
      <c r="F71" s="233"/>
      <c r="G71" s="153">
        <f>SUM(G65:G70)</f>
        <v>200</v>
      </c>
      <c r="H71" s="99">
        <f>G71+'2'!H71</f>
        <v>592</v>
      </c>
      <c r="I71" s="154"/>
      <c r="J71" s="175">
        <f>H71/DAY(B2)</f>
        <v>197.33333333333334</v>
      </c>
      <c r="K71" s="69"/>
      <c r="L71" s="66"/>
      <c r="N71" s="87"/>
      <c r="O71" s="71"/>
    </row>
    <row r="72" spans="1:15" s="88" customFormat="1" ht="25.5">
      <c r="A72" s="898"/>
      <c r="B72" s="88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08" t="s">
        <v>333</v>
      </c>
      <c r="B73" s="909"/>
      <c r="C73" s="910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02" t="s">
        <v>220</v>
      </c>
      <c r="B74" s="903"/>
      <c r="C74" s="904"/>
      <c r="D74" s="151" t="s">
        <v>139</v>
      </c>
      <c r="E74" s="95">
        <f>'2'!F74</f>
        <v>3190.82</v>
      </c>
      <c r="F74" s="117">
        <v>3487.76</v>
      </c>
      <c r="G74" s="112">
        <f t="shared" ref="G74:G78" si="7">F74-E74</f>
        <v>296.94000000000005</v>
      </c>
      <c r="H74" s="99">
        <f>G74+'2'!H74</f>
        <v>972.76000000000022</v>
      </c>
      <c r="I74" s="154"/>
      <c r="J74" s="175">
        <f>H74/DAY(B2)</f>
        <v>324.25333333333339</v>
      </c>
      <c r="K74" s="69"/>
      <c r="L74" s="66"/>
      <c r="N74" s="87"/>
      <c r="O74" s="71"/>
    </row>
    <row r="75" spans="1:15" ht="25.5">
      <c r="A75" s="902" t="s">
        <v>221</v>
      </c>
      <c r="B75" s="903"/>
      <c r="C75" s="904"/>
      <c r="D75" s="151" t="s">
        <v>139</v>
      </c>
      <c r="E75" s="95">
        <f>'2'!F75</f>
        <v>73586.8</v>
      </c>
      <c r="F75" s="123">
        <v>73586.8</v>
      </c>
      <c r="G75" s="112">
        <f t="shared" si="7"/>
        <v>0</v>
      </c>
      <c r="H75" s="99">
        <f>G75+'2'!H75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899" t="s">
        <v>222</v>
      </c>
      <c r="B76" s="900"/>
      <c r="C76" s="901"/>
      <c r="D76" s="151" t="s">
        <v>139</v>
      </c>
      <c r="E76" s="95">
        <f>'2'!F76</f>
        <v>207601</v>
      </c>
      <c r="F76" s="123">
        <v>207716</v>
      </c>
      <c r="G76" s="112">
        <f t="shared" si="7"/>
        <v>115</v>
      </c>
      <c r="H76" s="99">
        <f>G76+'2'!H76</f>
        <v>339</v>
      </c>
      <c r="I76" s="154"/>
      <c r="J76" s="175">
        <f>H76/DAY(B2)</f>
        <v>113</v>
      </c>
      <c r="K76" s="69"/>
      <c r="L76" s="66"/>
      <c r="N76" s="87"/>
      <c r="O76" s="71"/>
    </row>
    <row r="77" spans="1:15" ht="25.5">
      <c r="A77" s="899" t="s">
        <v>223</v>
      </c>
      <c r="B77" s="900"/>
      <c r="C77" s="901"/>
      <c r="D77" s="151" t="s">
        <v>139</v>
      </c>
      <c r="E77" s="95">
        <f>'2'!F77</f>
        <v>58258</v>
      </c>
      <c r="F77" s="123">
        <v>58300</v>
      </c>
      <c r="G77" s="112">
        <f t="shared" si="7"/>
        <v>42</v>
      </c>
      <c r="H77" s="99">
        <f>G77+'2'!H77</f>
        <v>148</v>
      </c>
      <c r="I77" s="154"/>
      <c r="J77" s="175">
        <f>H77/DAY(B2)</f>
        <v>49.333333333333336</v>
      </c>
      <c r="K77" s="69"/>
      <c r="L77" s="66"/>
      <c r="N77" s="87"/>
      <c r="O77" s="71"/>
    </row>
    <row r="78" spans="1:15" ht="25.5">
      <c r="A78" s="899" t="s">
        <v>224</v>
      </c>
      <c r="B78" s="900"/>
      <c r="C78" s="901"/>
      <c r="D78" s="151" t="s">
        <v>139</v>
      </c>
      <c r="E78" s="95">
        <f>'2'!F78</f>
        <v>9563.5</v>
      </c>
      <c r="F78" s="123">
        <v>9563.5</v>
      </c>
      <c r="G78" s="112">
        <f t="shared" si="7"/>
        <v>0</v>
      </c>
      <c r="H78" s="99">
        <f>G78+'2'!H78</f>
        <v>-0.5</v>
      </c>
      <c r="I78" s="118"/>
      <c r="J78" s="175">
        <f>H78/DAY(B2)</f>
        <v>-0.16666666666666666</v>
      </c>
      <c r="K78" s="69"/>
      <c r="L78" s="66"/>
      <c r="N78" s="87"/>
      <c r="O78" s="71"/>
    </row>
    <row r="79" spans="1:15" s="57" customFormat="1" ht="25.5">
      <c r="A79" s="899" t="s">
        <v>225</v>
      </c>
      <c r="B79" s="900"/>
      <c r="C79" s="901"/>
      <c r="D79" s="151"/>
      <c r="E79" s="95">
        <f>'2'!F79</f>
        <v>0</v>
      </c>
      <c r="F79" s="117"/>
      <c r="G79" s="112">
        <f>G15-SUM(G74:G78)</f>
        <v>748.06</v>
      </c>
      <c r="H79" s="99">
        <f>G79+'2'!H79</f>
        <v>2119.3819999999923</v>
      </c>
      <c r="I79" s="118"/>
      <c r="J79" s="175"/>
      <c r="K79" s="59"/>
      <c r="L79" s="58"/>
      <c r="N79" s="87"/>
      <c r="O79" s="71"/>
    </row>
    <row r="80" spans="1:15" s="57" customFormat="1" ht="26.25">
      <c r="A80" s="911" t="s">
        <v>329</v>
      </c>
      <c r="B80" s="912"/>
      <c r="C80" s="913"/>
      <c r="D80" s="151"/>
      <c r="E80" s="117"/>
      <c r="F80" s="117"/>
      <c r="G80" s="112">
        <f>SUM(G74:G79)</f>
        <v>1202</v>
      </c>
      <c r="H80" s="99">
        <f>G80+'2'!H80</f>
        <v>2401.5</v>
      </c>
      <c r="I80" s="118"/>
      <c r="J80" s="175"/>
      <c r="K80" s="59"/>
      <c r="L80" s="58"/>
      <c r="N80" s="87"/>
      <c r="O80" s="71"/>
    </row>
    <row r="81" spans="1:15" ht="25.5">
      <c r="A81" s="915" t="s">
        <v>226</v>
      </c>
      <c r="B81" s="916"/>
      <c r="C81" s="917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'2'!F82</f>
        <v>0</v>
      </c>
      <c r="F82" s="122">
        <v>0</v>
      </c>
      <c r="G82" s="112">
        <f t="shared" ref="G82:G92" si="8">F82-E82</f>
        <v>0</v>
      </c>
      <c r="H82" s="99">
        <f>G82+'2'!H82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'2'!F83</f>
        <v>0</v>
      </c>
      <c r="F83" s="122">
        <v>0</v>
      </c>
      <c r="G83" s="112">
        <f t="shared" si="8"/>
        <v>0</v>
      </c>
      <c r="H83" s="99">
        <f>G83+'2'!H83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'2'!F84</f>
        <v>43546</v>
      </c>
      <c r="F84" s="164">
        <v>43546</v>
      </c>
      <c r="G84" s="112">
        <f t="shared" si="8"/>
        <v>0</v>
      </c>
      <c r="H84" s="99">
        <f>G84+'2'!H84</f>
        <v>0</v>
      </c>
      <c r="I84" s="545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'2'!F85</f>
        <v>5980.5</v>
      </c>
      <c r="F85" s="164">
        <v>6004</v>
      </c>
      <c r="G85" s="112">
        <f t="shared" si="8"/>
        <v>23.5</v>
      </c>
      <c r="H85" s="99">
        <f>G85+'2'!H85</f>
        <v>71.550000000000182</v>
      </c>
      <c r="I85" s="545"/>
      <c r="J85" s="175">
        <f>H85/DAY(B2)</f>
        <v>23.850000000000062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'2'!F86</f>
        <v>46834</v>
      </c>
      <c r="F86" s="164">
        <v>46834</v>
      </c>
      <c r="G86" s="112">
        <f t="shared" si="8"/>
        <v>0</v>
      </c>
      <c r="H86" s="99">
        <f>G86+'2'!H86</f>
        <v>0</v>
      </c>
      <c r="I86" s="545"/>
      <c r="J86" s="175">
        <f>H86/DAY(B2)</f>
        <v>0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'2'!F87</f>
        <v>37028</v>
      </c>
      <c r="F87" s="164">
        <v>37028</v>
      </c>
      <c r="G87" s="112">
        <f t="shared" si="8"/>
        <v>0</v>
      </c>
      <c r="H87" s="99">
        <f>G87+'2'!H87</f>
        <v>0</v>
      </c>
      <c r="I87" s="545">
        <f>G84+G85+G86+G87</f>
        <v>23.5</v>
      </c>
      <c r="J87" s="175">
        <f>H87/DAY(B2)</f>
        <v>0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'2'!F88</f>
        <v>24607.52</v>
      </c>
      <c r="F88" s="164">
        <v>24610.5</v>
      </c>
      <c r="G88" s="112">
        <f t="shared" si="8"/>
        <v>2.9799999999995634</v>
      </c>
      <c r="H88" s="99">
        <f>G88+'2'!H88</f>
        <v>6.9000000000014552</v>
      </c>
      <c r="I88" s="545"/>
      <c r="J88" s="175">
        <f>H88/DAY(B2)</f>
        <v>2.3000000000004852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'2'!F89</f>
        <v>28777.99</v>
      </c>
      <c r="F89" s="164">
        <v>28788.39</v>
      </c>
      <c r="G89" s="112">
        <f t="shared" si="8"/>
        <v>10.399999999997817</v>
      </c>
      <c r="H89" s="99">
        <f>G89+'2'!H89</f>
        <v>40</v>
      </c>
      <c r="I89" s="545">
        <f>G88+G89</f>
        <v>13.379999999997381</v>
      </c>
      <c r="J89" s="175">
        <f>H89/DAY(B2)</f>
        <v>13.333333333333334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'2'!F90</f>
        <v>74229.509999999995</v>
      </c>
      <c r="F90" s="164">
        <v>74240.800000000003</v>
      </c>
      <c r="G90" s="112">
        <f t="shared" si="8"/>
        <v>11.290000000008149</v>
      </c>
      <c r="H90" s="99">
        <f>G90+'2'!H90</f>
        <v>37.620000000009895</v>
      </c>
      <c r="I90" s="545">
        <f>G90</f>
        <v>11.290000000008149</v>
      </c>
      <c r="J90" s="175">
        <f>H90/DAY(B2)</f>
        <v>12.540000000003298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'2'!F91</f>
        <v>5618.21</v>
      </c>
      <c r="F91" s="164">
        <v>5618.21</v>
      </c>
      <c r="G91" s="112">
        <f t="shared" si="8"/>
        <v>0</v>
      </c>
      <c r="H91" s="99">
        <f>G91+'2'!H91</f>
        <v>0</v>
      </c>
      <c r="I91" s="546"/>
      <c r="J91" s="175">
        <f>H91/DAY(B2)</f>
        <v>0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'2'!F92</f>
        <v>7100.98</v>
      </c>
      <c r="F92" s="122">
        <v>7114.64</v>
      </c>
      <c r="G92" s="112">
        <f t="shared" si="8"/>
        <v>13.660000000000764</v>
      </c>
      <c r="H92" s="99">
        <f>G92+'2'!H92</f>
        <v>34.950000000000728</v>
      </c>
      <c r="I92" s="547">
        <f>G91+G92</f>
        <v>13.660000000000764</v>
      </c>
      <c r="J92" s="175">
        <f>H92/DAY(B2)</f>
        <v>11.650000000000242</v>
      </c>
      <c r="O92" s="71"/>
    </row>
    <row r="93" spans="1:15" ht="26.25">
      <c r="A93" s="905" t="s">
        <v>239</v>
      </c>
      <c r="B93" s="906"/>
      <c r="C93" s="90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5853.5599999999395</v>
      </c>
      <c r="H94" s="99">
        <f>G94+'2'!H94</f>
        <v>17287.119999999995</v>
      </c>
      <c r="I94" s="118"/>
      <c r="J94" s="175">
        <f>H94/DAY(B2)</f>
        <v>5762.3733333333321</v>
      </c>
      <c r="K94" s="69"/>
      <c r="L94" s="66"/>
      <c r="O94" s="71"/>
    </row>
    <row r="95" spans="1:15" ht="25.5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0.26973936444739083</v>
      </c>
      <c r="H95" s="99">
        <f>G95+'2'!H95</f>
        <v>0.83667201690146364</v>
      </c>
      <c r="I95" s="167"/>
      <c r="J95" s="175">
        <f>H95/DAY(B2)</f>
        <v>0.27889067230048786</v>
      </c>
      <c r="K95" s="69"/>
      <c r="L95" s="66"/>
      <c r="O95" s="71"/>
    </row>
    <row r="96" spans="1:15" ht="25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4668.1099999999278</v>
      </c>
      <c r="H96" s="99">
        <f>G96+'2'!H96</f>
        <v>13081.919999999984</v>
      </c>
      <c r="I96" s="118"/>
      <c r="J96" s="175">
        <f>H96/DAY(B2)</f>
        <v>4360.6399999999949</v>
      </c>
      <c r="K96" s="69"/>
      <c r="L96" s="66"/>
      <c r="O96" s="71"/>
    </row>
    <row r="97" spans="1:15" ht="25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0.21511234608862009</v>
      </c>
      <c r="H97" s="99">
        <f>G97+'2'!H97</f>
        <v>0.63253189585218972</v>
      </c>
      <c r="I97" s="167"/>
      <c r="J97" s="175">
        <f>H97/DAY(B2)</f>
        <v>0.21084396528406324</v>
      </c>
      <c r="K97" s="69"/>
      <c r="L97" s="66"/>
      <c r="O97" s="71"/>
    </row>
    <row r="98" spans="1:15" ht="25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2805.4899999998743</v>
      </c>
      <c r="H98" s="99">
        <f>G98+'2'!H98</f>
        <v>8459.0399999999208</v>
      </c>
      <c r="I98" s="168"/>
      <c r="J98" s="175">
        <f>H98/DAY(B2)</f>
        <v>2819.6799999999735</v>
      </c>
      <c r="K98" s="69"/>
      <c r="L98" s="66"/>
      <c r="O98" s="71"/>
    </row>
    <row r="99" spans="1:15" ht="25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0.12928048735529907</v>
      </c>
      <c r="H99" s="99">
        <f>G99+'2'!H99</f>
        <v>0.40979301482055958</v>
      </c>
      <c r="I99" s="168"/>
      <c r="J99" s="175">
        <f>H99/DAY(B2)</f>
        <v>0.13659767160685318</v>
      </c>
      <c r="O99" s="71"/>
    </row>
    <row r="100" spans="1:15" ht="26.2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2529.3499999999858</v>
      </c>
      <c r="H100" s="99">
        <f>G100+'2'!H100</f>
        <v>5447.2700000000186</v>
      </c>
      <c r="I100" s="118"/>
      <c r="J100" s="175">
        <f>H100/DAY(B2)</f>
        <v>1815.7566666666728</v>
      </c>
      <c r="K100" s="70"/>
      <c r="O100" s="71"/>
    </row>
    <row r="101" spans="1:15" ht="25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0.11655561085305544</v>
      </c>
      <c r="H101" s="99">
        <f>G101+'2'!H101</f>
        <v>0.26257340001491669</v>
      </c>
      <c r="I101" s="168"/>
      <c r="J101" s="175">
        <f>H101/DAY(B2)</f>
        <v>8.7524466671638892E-2</v>
      </c>
      <c r="O101" s="71"/>
    </row>
    <row r="102" spans="1:15" ht="25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2726.8300000000163</v>
      </c>
      <c r="H102" s="99">
        <f>G102+'2'!H102</f>
        <v>7258.6699999999837</v>
      </c>
      <c r="I102" s="168"/>
      <c r="J102" s="175">
        <f>H102/DAY(B2)</f>
        <v>2419.5566666666614</v>
      </c>
      <c r="O102" s="71"/>
    </row>
    <row r="103" spans="1:15" ht="25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0.12565573619405809</v>
      </c>
      <c r="H103" s="99">
        <f>G103+'2'!H103</f>
        <v>0.35042010693826886</v>
      </c>
      <c r="I103" s="118"/>
      <c r="J103" s="175">
        <f>H103/DAY(B2)</f>
        <v>0.11680670231275629</v>
      </c>
      <c r="O103" s="71"/>
    </row>
    <row r="104" spans="1:15" ht="25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1407.8699999999953</v>
      </c>
      <c r="H104" s="99">
        <f>G104+'2'!H104</f>
        <v>4302.2000000000116</v>
      </c>
      <c r="I104" s="118"/>
      <c r="J104" s="175">
        <f>H104/DAY(B2)</f>
        <v>1434.0666666666705</v>
      </c>
      <c r="O104" s="71"/>
    </row>
    <row r="105" spans="1:15" ht="26.25" thickBot="1">
      <c r="A105" s="895" t="s">
        <v>251</v>
      </c>
      <c r="B105" s="896"/>
      <c r="C105" s="897"/>
      <c r="D105" s="231" t="s">
        <v>23</v>
      </c>
      <c r="E105" s="185"/>
      <c r="F105" s="185"/>
      <c r="G105" s="186">
        <f>G104/G7</f>
        <v>6.487641008626388E-2</v>
      </c>
      <c r="H105" s="99">
        <f>G105+'2'!H105</f>
        <v>0.20848947985647998</v>
      </c>
      <c r="I105" s="187"/>
      <c r="J105" s="188">
        <f>H105/DAY(B2)</f>
        <v>6.949649328549333E-2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891" t="s">
        <v>324</v>
      </c>
      <c r="B108" s="891"/>
      <c r="C108" s="891"/>
      <c r="D108" s="891"/>
      <c r="E108" s="891"/>
      <c r="F108" s="891"/>
      <c r="G108" s="891"/>
      <c r="H108" s="891"/>
      <c r="I108" s="891"/>
      <c r="J108" s="891"/>
    </row>
    <row r="109" spans="1:15" ht="26.25">
      <c r="A109" s="918"/>
      <c r="B109" s="918"/>
    </row>
    <row r="110" spans="1:15" ht="26.25">
      <c r="A110" s="892" t="s">
        <v>165</v>
      </c>
      <c r="B110" s="893"/>
      <c r="C110" s="893"/>
      <c r="D110" s="893"/>
      <c r="E110" s="893"/>
      <c r="F110" s="893"/>
      <c r="G110" s="893"/>
      <c r="H110" s="893"/>
      <c r="I110" s="893"/>
      <c r="J110" s="894"/>
    </row>
    <row r="111" spans="1:15" ht="25.5">
      <c r="A111" s="885"/>
      <c r="B111" s="886"/>
      <c r="C111" s="887"/>
      <c r="D111" s="165"/>
      <c r="E111" s="165"/>
      <c r="F111" s="165"/>
      <c r="G111" s="165"/>
      <c r="H111" s="156"/>
      <c r="I111" s="165"/>
      <c r="J111" s="327"/>
    </row>
    <row r="112" spans="1:15" ht="25.5">
      <c r="A112" s="881" t="s">
        <v>252</v>
      </c>
      <c r="B112" s="882"/>
      <c r="C112" s="883"/>
      <c r="D112" s="146" t="s">
        <v>183</v>
      </c>
      <c r="E112" s="95">
        <f>'2'!F112</f>
        <v>17632.599999999999</v>
      </c>
      <c r="F112" s="237">
        <v>17642.900000000001</v>
      </c>
      <c r="G112" s="112">
        <f t="shared" ref="G112:G123" si="9">F112-E112</f>
        <v>10.30000000000291</v>
      </c>
      <c r="H112" s="99">
        <f>G112+'2'!H112</f>
        <v>131.60000000000218</v>
      </c>
      <c r="I112" s="165"/>
      <c r="J112" s="328">
        <f>H112/DAY(B2)</f>
        <v>43.866666666667392</v>
      </c>
    </row>
    <row r="113" spans="1:18" ht="29.25" customHeight="1">
      <c r="A113" s="881" t="s">
        <v>253</v>
      </c>
      <c r="B113" s="882"/>
      <c r="C113" s="883"/>
      <c r="D113" s="146" t="s">
        <v>183</v>
      </c>
      <c r="E113" s="95">
        <f>'2'!F113</f>
        <v>37367.599999999999</v>
      </c>
      <c r="F113" s="237">
        <v>37511</v>
      </c>
      <c r="G113" s="112">
        <f t="shared" si="9"/>
        <v>143.40000000000146</v>
      </c>
      <c r="H113" s="99">
        <f>G113+'2'!H113</f>
        <v>432</v>
      </c>
      <c r="I113" s="165"/>
      <c r="J113" s="328">
        <f>H113/DAY(B2)</f>
        <v>144</v>
      </c>
    </row>
    <row r="114" spans="1:18" ht="29.25" customHeight="1">
      <c r="A114" s="881" t="s">
        <v>254</v>
      </c>
      <c r="B114" s="882"/>
      <c r="C114" s="883"/>
      <c r="D114" s="146" t="s">
        <v>183</v>
      </c>
      <c r="E114" s="95">
        <f>'2'!F114</f>
        <v>54718.1</v>
      </c>
      <c r="F114" s="237">
        <v>54942.9</v>
      </c>
      <c r="G114" s="112">
        <f t="shared" si="9"/>
        <v>224.80000000000291</v>
      </c>
      <c r="H114" s="99">
        <f>G114+'2'!H114</f>
        <v>675.12000000000262</v>
      </c>
      <c r="I114" s="165"/>
      <c r="J114" s="328">
        <f>H114/DAY(B2)</f>
        <v>225.04000000000087</v>
      </c>
    </row>
    <row r="115" spans="1:18" ht="29.25" customHeight="1">
      <c r="A115" s="881" t="s">
        <v>255</v>
      </c>
      <c r="B115" s="882"/>
      <c r="C115" s="883"/>
      <c r="D115" s="146" t="s">
        <v>183</v>
      </c>
      <c r="E115" s="95">
        <f>'2'!F115</f>
        <v>35266.480000000003</v>
      </c>
      <c r="F115" s="237">
        <v>35430</v>
      </c>
      <c r="G115" s="112">
        <f t="shared" si="9"/>
        <v>163.5199999999968</v>
      </c>
      <c r="H115" s="99">
        <f>G115+'2'!H115</f>
        <v>463.08999999999651</v>
      </c>
      <c r="I115" s="165"/>
      <c r="J115" s="328">
        <f>H115/DAY(B2)</f>
        <v>154.36333333333218</v>
      </c>
    </row>
    <row r="116" spans="1:18" ht="29.25" customHeight="1">
      <c r="A116" s="888" t="s">
        <v>96</v>
      </c>
      <c r="B116" s="889"/>
      <c r="C116" s="890"/>
      <c r="D116" s="146" t="s">
        <v>183</v>
      </c>
      <c r="E116" s="95">
        <f>'2'!F116</f>
        <v>135344.26</v>
      </c>
      <c r="F116" s="237">
        <v>135714.79999999999</v>
      </c>
      <c r="G116" s="112">
        <f t="shared" si="9"/>
        <v>370.53999999997905</v>
      </c>
      <c r="H116" s="99">
        <f>G116+'2'!H116</f>
        <v>1226.4099999999744</v>
      </c>
      <c r="I116" s="165"/>
      <c r="J116" s="328">
        <f>H116/DAY(B2)</f>
        <v>408.80333333332482</v>
      </c>
      <c r="Q116" s="881"/>
      <c r="R116" s="883"/>
    </row>
    <row r="117" spans="1:18" ht="29.25" customHeight="1">
      <c r="A117" s="888" t="s">
        <v>184</v>
      </c>
      <c r="B117" s="889"/>
      <c r="C117" s="890"/>
      <c r="D117" s="146" t="s">
        <v>183</v>
      </c>
      <c r="E117" s="95">
        <f>'2'!F117</f>
        <v>83523.3</v>
      </c>
      <c r="F117" s="237">
        <v>83863.600000000006</v>
      </c>
      <c r="G117" s="112">
        <f t="shared" si="9"/>
        <v>340.30000000000291</v>
      </c>
      <c r="H117" s="99">
        <f>G117+'2'!H117</f>
        <v>1153.6000000000058</v>
      </c>
      <c r="I117" s="165"/>
      <c r="J117" s="328">
        <f>H117/DAY(B2)</f>
        <v>384.53333333333529</v>
      </c>
      <c r="Q117" s="881"/>
      <c r="R117" s="883"/>
    </row>
    <row r="118" spans="1:18" ht="25.5">
      <c r="A118" s="880" t="s">
        <v>97</v>
      </c>
      <c r="B118" s="880"/>
      <c r="C118" s="880"/>
      <c r="D118" s="151" t="s">
        <v>183</v>
      </c>
      <c r="E118" s="95">
        <f>'2'!F118</f>
        <v>159420.6</v>
      </c>
      <c r="F118" s="237">
        <v>160073.60000000001</v>
      </c>
      <c r="G118" s="112">
        <f t="shared" si="9"/>
        <v>653</v>
      </c>
      <c r="H118" s="99">
        <f>G118+'2'!H118</f>
        <v>1936.4500000000116</v>
      </c>
      <c r="I118" s="165"/>
      <c r="J118" s="328">
        <f>H118/DAY(B2)</f>
        <v>645.48333333333721</v>
      </c>
      <c r="Q118" s="881"/>
      <c r="R118" s="883"/>
    </row>
    <row r="119" spans="1:18" ht="25.5">
      <c r="A119" s="880" t="s">
        <v>98</v>
      </c>
      <c r="B119" s="880"/>
      <c r="C119" s="880"/>
      <c r="D119" s="151" t="s">
        <v>183</v>
      </c>
      <c r="E119" s="95">
        <f>'2'!F119</f>
        <v>44010.3</v>
      </c>
      <c r="F119" s="237">
        <v>44044.13</v>
      </c>
      <c r="G119" s="112">
        <f t="shared" si="9"/>
        <v>33.82999999999447</v>
      </c>
      <c r="H119" s="99">
        <f>G119+'2'!H119</f>
        <v>104.95499999999447</v>
      </c>
      <c r="I119" s="165"/>
      <c r="J119" s="328">
        <f>H119/DAY(B2)</f>
        <v>34.984999999998159</v>
      </c>
    </row>
    <row r="120" spans="1:18" ht="25.5">
      <c r="A120" s="880" t="s">
        <v>99</v>
      </c>
      <c r="B120" s="880"/>
      <c r="C120" s="880"/>
      <c r="D120" s="151" t="s">
        <v>183</v>
      </c>
      <c r="E120" s="95">
        <f>'2'!F120</f>
        <v>109261.1</v>
      </c>
      <c r="F120" s="237">
        <v>109654</v>
      </c>
      <c r="G120" s="112">
        <f t="shared" si="9"/>
        <v>392.89999999999418</v>
      </c>
      <c r="H120" s="99">
        <f>G120+'2'!H120</f>
        <v>1216.8600000000006</v>
      </c>
      <c r="I120" s="165"/>
      <c r="J120" s="328">
        <f>H120/DAY(B2)</f>
        <v>405.62000000000018</v>
      </c>
    </row>
    <row r="121" spans="1:18" ht="25.5">
      <c r="A121" s="880" t="s">
        <v>100</v>
      </c>
      <c r="B121" s="880"/>
      <c r="C121" s="880"/>
      <c r="D121" s="151" t="s">
        <v>183</v>
      </c>
      <c r="E121" s="95">
        <f>'2'!F121</f>
        <v>122056.4</v>
      </c>
      <c r="F121" s="237">
        <v>122504</v>
      </c>
      <c r="G121" s="112">
        <f t="shared" si="9"/>
        <v>447.60000000000582</v>
      </c>
      <c r="H121" s="99">
        <f>G121+'2'!H121</f>
        <v>1281.1100000000006</v>
      </c>
      <c r="I121" s="165"/>
      <c r="J121" s="328">
        <f>H121/DAY(B2)</f>
        <v>427.03666666666686</v>
      </c>
    </row>
    <row r="122" spans="1:18" ht="25.5">
      <c r="A122" s="880" t="s">
        <v>101</v>
      </c>
      <c r="B122" s="880"/>
      <c r="C122" s="880"/>
      <c r="D122" s="151" t="s">
        <v>183</v>
      </c>
      <c r="E122" s="95">
        <f>'2'!F122</f>
        <v>81824.899999999994</v>
      </c>
      <c r="F122" s="237">
        <v>82086.399999999994</v>
      </c>
      <c r="G122" s="112">
        <f t="shared" si="9"/>
        <v>261.5</v>
      </c>
      <c r="H122" s="99">
        <f>G122+'2'!H122</f>
        <v>812.02999999999884</v>
      </c>
      <c r="I122" s="165"/>
      <c r="J122" s="328">
        <f>H122/DAY(B2)</f>
        <v>270.67666666666628</v>
      </c>
    </row>
    <row r="123" spans="1:18" ht="25.5">
      <c r="A123" s="880" t="s">
        <v>102</v>
      </c>
      <c r="B123" s="880"/>
      <c r="C123" s="880"/>
      <c r="D123" s="151" t="s">
        <v>183</v>
      </c>
      <c r="E123" s="95">
        <f>'2'!F123</f>
        <v>78667.899999999994</v>
      </c>
      <c r="F123" s="237">
        <v>78960</v>
      </c>
      <c r="G123" s="112">
        <f t="shared" si="9"/>
        <v>292.10000000000582</v>
      </c>
      <c r="H123" s="99">
        <f>G123+'2'!H123</f>
        <v>1011</v>
      </c>
      <c r="I123" s="165"/>
      <c r="J123" s="328">
        <f>H123/DAY(B2)</f>
        <v>337</v>
      </c>
    </row>
    <row r="124" spans="1:18" ht="29.25" customHeight="1">
      <c r="A124" s="885"/>
      <c r="B124" s="886"/>
      <c r="C124" s="887"/>
      <c r="D124" s="165"/>
      <c r="E124" s="165"/>
      <c r="F124" s="165"/>
      <c r="G124" s="327"/>
      <c r="H124" s="156"/>
      <c r="I124" s="165"/>
      <c r="J124" s="327"/>
    </row>
    <row r="125" spans="1:18" ht="26.25">
      <c r="A125" s="911" t="s">
        <v>196</v>
      </c>
      <c r="B125" s="912"/>
      <c r="C125" s="913"/>
      <c r="D125" s="307"/>
      <c r="E125" s="308"/>
      <c r="F125" s="308"/>
      <c r="G125" s="309">
        <f>SUM(G112:G124)</f>
        <v>3333.7899999999863</v>
      </c>
      <c r="H125" s="156"/>
      <c r="I125" s="327">
        <f>G125-(G39+G53)</f>
        <v>528.30000000011205</v>
      </c>
      <c r="J125" s="327"/>
    </row>
    <row r="126" spans="1:18" ht="25.5">
      <c r="A126" s="884" t="s">
        <v>317</v>
      </c>
      <c r="B126" s="884"/>
      <c r="C126" s="884"/>
      <c r="D126" s="884"/>
      <c r="E126" s="884"/>
      <c r="F126" s="884"/>
      <c r="G126" s="884"/>
      <c r="H126" s="884"/>
      <c r="I126" s="884"/>
      <c r="J126" s="884"/>
    </row>
    <row r="127" spans="1:18" ht="25.5">
      <c r="A127" s="870"/>
      <c r="B127" s="870"/>
      <c r="C127" s="245"/>
      <c r="D127" s="307"/>
      <c r="E127" s="95"/>
      <c r="F127" s="308"/>
      <c r="G127" s="309"/>
      <c r="H127" s="99">
        <f>G127+'2'!H127</f>
        <v>0</v>
      </c>
      <c r="I127" s="165"/>
      <c r="J127" s="328">
        <f>H127/DAY(B2)</f>
        <v>0</v>
      </c>
    </row>
    <row r="128" spans="1:18" ht="29.25" customHeight="1">
      <c r="A128" s="881" t="s">
        <v>318</v>
      </c>
      <c r="B128" s="882"/>
      <c r="C128" s="883"/>
      <c r="D128" s="151" t="s">
        <v>183</v>
      </c>
      <c r="E128" s="95">
        <f>'2'!F128</f>
        <v>192266.09</v>
      </c>
      <c r="F128" s="165">
        <v>193350.99</v>
      </c>
      <c r="G128" s="112">
        <f t="shared" ref="G128:G134" si="10">F128-E128</f>
        <v>1084.8999999999942</v>
      </c>
      <c r="H128" s="99">
        <f>G128+'2'!H128</f>
        <v>1465.359999999986</v>
      </c>
      <c r="I128" s="165"/>
      <c r="J128" s="328">
        <f>H128/DAY(B2)</f>
        <v>488.45333333332866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'2'!F129</f>
        <v>101637.54</v>
      </c>
      <c r="F129" s="165">
        <v>101837.37</v>
      </c>
      <c r="G129" s="112">
        <f t="shared" si="10"/>
        <v>199.83000000000175</v>
      </c>
      <c r="H129" s="99">
        <f>G129+'2'!H129</f>
        <v>560.36999999999534</v>
      </c>
      <c r="I129" s="165"/>
      <c r="J129" s="328">
        <f>H129/DAY(B2)</f>
        <v>186.78999999999846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'2'!F130</f>
        <v>269285.8</v>
      </c>
      <c r="F130" s="165">
        <v>269914.17</v>
      </c>
      <c r="G130" s="112">
        <f t="shared" si="10"/>
        <v>628.36999999999534</v>
      </c>
      <c r="H130" s="99">
        <f>G130+'2'!H130</f>
        <v>1099.1699999999837</v>
      </c>
      <c r="I130" s="165"/>
      <c r="J130" s="328">
        <f>H130/DAY(B2)</f>
        <v>366.38999999999459</v>
      </c>
      <c r="N130" s="240"/>
      <c r="O130" s="241"/>
    </row>
    <row r="131" spans="1:15" ht="25.5">
      <c r="A131" s="881" t="s">
        <v>321</v>
      </c>
      <c r="B131" s="882"/>
      <c r="C131" s="883"/>
      <c r="D131" s="151" t="s">
        <v>183</v>
      </c>
      <c r="E131" s="95">
        <f>'2'!F131</f>
        <v>79933.850000000006</v>
      </c>
      <c r="F131" s="165">
        <v>80110.63</v>
      </c>
      <c r="G131" s="112">
        <f t="shared" si="10"/>
        <v>176.77999999999884</v>
      </c>
      <c r="H131" s="99">
        <f>G131+'2'!H131</f>
        <v>560</v>
      </c>
      <c r="I131" s="165"/>
      <c r="J131" s="328">
        <f>H131/DAY(B2)</f>
        <v>186.66666666666666</v>
      </c>
      <c r="N131" s="240"/>
      <c r="O131" s="241"/>
    </row>
    <row r="132" spans="1:15" ht="25.5">
      <c r="A132" s="881" t="s">
        <v>322</v>
      </c>
      <c r="B132" s="882"/>
      <c r="C132" s="883"/>
      <c r="D132" s="151" t="s">
        <v>183</v>
      </c>
      <c r="E132" s="95">
        <f>'2'!F132</f>
        <v>148274</v>
      </c>
      <c r="F132" s="158">
        <v>148274</v>
      </c>
      <c r="G132" s="112">
        <f t="shared" si="10"/>
        <v>0</v>
      </c>
      <c r="H132" s="99">
        <f>G132+'2'!H132</f>
        <v>0</v>
      </c>
      <c r="I132" s="165"/>
      <c r="J132" s="328">
        <f>H132/DAY(B2)</f>
        <v>0</v>
      </c>
    </row>
    <row r="133" spans="1:15" ht="25.5">
      <c r="A133" s="881" t="s">
        <v>342</v>
      </c>
      <c r="B133" s="882"/>
      <c r="C133" s="883"/>
      <c r="D133" s="151" t="s">
        <v>183</v>
      </c>
      <c r="E133" s="95">
        <f>'2'!F133</f>
        <v>934503</v>
      </c>
      <c r="F133" s="165">
        <v>288548.17</v>
      </c>
      <c r="G133" s="112">
        <f t="shared" si="10"/>
        <v>-645954.83000000007</v>
      </c>
      <c r="H133" s="99">
        <f>G133+'2'!H133</f>
        <v>-644499.83000000007</v>
      </c>
      <c r="I133" s="165"/>
      <c r="J133" s="328">
        <f>H133/DAY(B2)</f>
        <v>-214833.2766666667</v>
      </c>
    </row>
    <row r="134" spans="1:15" ht="25.5">
      <c r="A134" s="942" t="s">
        <v>340</v>
      </c>
      <c r="B134" s="943"/>
      <c r="C134" s="868"/>
      <c r="D134" s="151" t="s">
        <v>183</v>
      </c>
      <c r="E134" s="95">
        <f>'2'!F134</f>
        <v>86493.8</v>
      </c>
      <c r="F134" s="165">
        <v>86759.43</v>
      </c>
      <c r="G134" s="112">
        <f t="shared" si="10"/>
        <v>265.6299999999901</v>
      </c>
      <c r="H134" s="99">
        <f>G134+'2'!H134</f>
        <v>807.42999999999302</v>
      </c>
      <c r="I134" s="165"/>
      <c r="J134" s="328">
        <f>H134/DAY(B2)</f>
        <v>269.14333333333099</v>
      </c>
    </row>
    <row r="135" spans="1:15" ht="26.25">
      <c r="A135" s="911" t="s">
        <v>196</v>
      </c>
      <c r="B135" s="912"/>
      <c r="C135" s="913"/>
      <c r="D135" s="151"/>
      <c r="E135" s="95"/>
      <c r="F135" s="165"/>
      <c r="G135" s="112">
        <f>SUM(G128:G134)</f>
        <v>-643599.32000000007</v>
      </c>
      <c r="H135" s="99">
        <f>G135+'2'!H135</f>
        <v>-640007.50000000012</v>
      </c>
      <c r="I135" s="327">
        <f>G135-(G35+G49)</f>
        <v>-647087.20000000007</v>
      </c>
      <c r="J135" s="328">
        <f>H135/DAY(B2)</f>
        <v>-213335.83333333337</v>
      </c>
    </row>
    <row r="136" spans="1:15" ht="27.75">
      <c r="A136" s="869" t="s">
        <v>325</v>
      </c>
      <c r="B136" s="869"/>
      <c r="C136" s="869"/>
      <c r="D136" s="869"/>
      <c r="E136" s="869"/>
      <c r="F136" s="869"/>
      <c r="G136" s="869"/>
      <c r="H136" s="869"/>
      <c r="I136" s="869"/>
      <c r="J136" s="869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80" t="s">
        <v>185</v>
      </c>
      <c r="B138" s="880"/>
      <c r="C138" s="880"/>
      <c r="D138" s="151" t="s">
        <v>183</v>
      </c>
      <c r="E138" s="95">
        <f>'2'!F138</f>
        <v>909753</v>
      </c>
      <c r="F138" s="147">
        <v>909866</v>
      </c>
      <c r="G138" s="112">
        <f t="shared" ref="G138:G152" si="11">F138-E138</f>
        <v>113</v>
      </c>
      <c r="H138" s="99">
        <f>G138+'2'!H138</f>
        <v>387</v>
      </c>
      <c r="I138" s="118"/>
      <c r="J138" s="328">
        <f>H138/DAY(B2)</f>
        <v>129</v>
      </c>
    </row>
    <row r="139" spans="1:15" ht="25.5">
      <c r="A139" s="880" t="s">
        <v>186</v>
      </c>
      <c r="B139" s="880"/>
      <c r="C139" s="880"/>
      <c r="D139" s="151" t="s">
        <v>183</v>
      </c>
      <c r="E139" s="95">
        <f>'2'!F139</f>
        <v>932697</v>
      </c>
      <c r="F139" s="148">
        <v>932872</v>
      </c>
      <c r="G139" s="112">
        <f t="shared" si="11"/>
        <v>175</v>
      </c>
      <c r="H139" s="99">
        <f>G139+'2'!H139</f>
        <v>512</v>
      </c>
      <c r="I139" s="118"/>
      <c r="J139" s="328">
        <f>H139/DAY(B2)</f>
        <v>170.66666666666666</v>
      </c>
    </row>
    <row r="140" spans="1:15" ht="25.5">
      <c r="A140" s="880" t="s">
        <v>187</v>
      </c>
      <c r="B140" s="880"/>
      <c r="C140" s="880"/>
      <c r="D140" s="151" t="s">
        <v>183</v>
      </c>
      <c r="E140" s="95">
        <f>'2'!F140</f>
        <v>4071.4</v>
      </c>
      <c r="F140" s="149">
        <v>4087</v>
      </c>
      <c r="G140" s="112">
        <f t="shared" si="11"/>
        <v>15.599999999999909</v>
      </c>
      <c r="H140" s="99">
        <f>G140+'2'!H140</f>
        <v>53.489000000000033</v>
      </c>
      <c r="I140" s="118"/>
      <c r="J140" s="328">
        <f>H140/DAY(B2)</f>
        <v>17.829666666666679</v>
      </c>
    </row>
    <row r="141" spans="1:15" ht="25.5">
      <c r="A141" s="863" t="s">
        <v>188</v>
      </c>
      <c r="B141" s="863"/>
      <c r="C141" s="863"/>
      <c r="D141" s="151" t="s">
        <v>183</v>
      </c>
      <c r="E141" s="95">
        <f>'2'!F141</f>
        <v>125000.29</v>
      </c>
      <c r="F141" s="149">
        <v>125194.45</v>
      </c>
      <c r="G141" s="112">
        <f t="shared" si="11"/>
        <v>194.16000000000349</v>
      </c>
      <c r="H141" s="99">
        <f>G141+'2'!H141</f>
        <v>596.44999999999709</v>
      </c>
      <c r="I141" s="118"/>
      <c r="J141" s="328">
        <f>H141/DAY(B2)</f>
        <v>198.8166666666657</v>
      </c>
    </row>
    <row r="142" spans="1:15" ht="25.5">
      <c r="A142" s="863" t="s">
        <v>189</v>
      </c>
      <c r="B142" s="863"/>
      <c r="C142" s="863"/>
      <c r="D142" s="151" t="s">
        <v>183</v>
      </c>
      <c r="E142" s="95">
        <f>'2'!F142</f>
        <v>50753</v>
      </c>
      <c r="F142" s="148">
        <v>50833.11</v>
      </c>
      <c r="G142" s="112">
        <f t="shared" si="11"/>
        <v>80.110000000000582</v>
      </c>
      <c r="H142" s="99">
        <f>G142+'2'!H142</f>
        <v>267.55999999999767</v>
      </c>
      <c r="I142" s="140"/>
      <c r="J142" s="328">
        <f>H142/DAY(B2)</f>
        <v>89.186666666665886</v>
      </c>
    </row>
    <row r="143" spans="1:15" ht="25.5">
      <c r="A143" s="880" t="s">
        <v>91</v>
      </c>
      <c r="B143" s="880"/>
      <c r="C143" s="880"/>
      <c r="D143" s="151" t="s">
        <v>183</v>
      </c>
      <c r="E143" s="95">
        <f>'2'!F143</f>
        <v>13452.8</v>
      </c>
      <c r="F143" s="149">
        <v>13487.46</v>
      </c>
      <c r="G143" s="112">
        <f t="shared" si="11"/>
        <v>34.659999999999854</v>
      </c>
      <c r="H143" s="99">
        <f>G143+'2'!H143</f>
        <v>100.45999999999913</v>
      </c>
      <c r="I143" s="140"/>
      <c r="J143" s="328">
        <f>H143/DAY(B2)</f>
        <v>33.486666666666373</v>
      </c>
    </row>
    <row r="144" spans="1:15" ht="25.5">
      <c r="A144" s="863" t="s">
        <v>90</v>
      </c>
      <c r="B144" s="863"/>
      <c r="C144" s="863"/>
      <c r="D144" s="151" t="s">
        <v>183</v>
      </c>
      <c r="E144" s="95">
        <f>'2'!F144</f>
        <v>955964</v>
      </c>
      <c r="F144" s="149">
        <v>956204</v>
      </c>
      <c r="G144" s="112">
        <f t="shared" si="11"/>
        <v>240</v>
      </c>
      <c r="H144" s="99">
        <f>G144+'2'!H144</f>
        <v>734</v>
      </c>
      <c r="I144" s="140"/>
      <c r="J144" s="328">
        <f>H144/DAY(B2)</f>
        <v>244.66666666666666</v>
      </c>
    </row>
    <row r="145" spans="1:10" ht="25.5">
      <c r="A145" s="880" t="s">
        <v>190</v>
      </c>
      <c r="B145" s="880"/>
      <c r="C145" s="880"/>
      <c r="D145" s="152" t="s">
        <v>183</v>
      </c>
      <c r="E145" s="95">
        <f>'2'!F145</f>
        <v>745363</v>
      </c>
      <c r="F145" s="148">
        <v>745546</v>
      </c>
      <c r="G145" s="112">
        <f t="shared" si="11"/>
        <v>183</v>
      </c>
      <c r="H145" s="99">
        <f>G145+'2'!H145</f>
        <v>365</v>
      </c>
      <c r="I145" s="140"/>
      <c r="J145" s="328">
        <f>H145/DAY(B2)</f>
        <v>121.66666666666667</v>
      </c>
    </row>
    <row r="146" spans="1:10" ht="25.5">
      <c r="A146" s="914" t="s">
        <v>191</v>
      </c>
      <c r="B146" s="900"/>
      <c r="C146" s="901"/>
      <c r="D146" s="152" t="s">
        <v>183</v>
      </c>
      <c r="E146" s="95">
        <f>'2'!F146</f>
        <v>787909</v>
      </c>
      <c r="F146" s="148">
        <v>787940</v>
      </c>
      <c r="G146" s="112">
        <f t="shared" si="11"/>
        <v>31</v>
      </c>
      <c r="H146" s="99">
        <f>G146+'2'!H146</f>
        <v>82</v>
      </c>
      <c r="I146" s="140"/>
      <c r="J146" s="328">
        <f>H146/DAY(B2)</f>
        <v>27.333333333333332</v>
      </c>
    </row>
    <row r="147" spans="1:10" ht="25.5">
      <c r="A147" s="863" t="s">
        <v>192</v>
      </c>
      <c r="B147" s="863"/>
      <c r="C147" s="863"/>
      <c r="D147" s="152" t="s">
        <v>183</v>
      </c>
      <c r="E147" s="95">
        <f>'2'!F147</f>
        <v>760924.24</v>
      </c>
      <c r="F147" s="148">
        <v>761323.49</v>
      </c>
      <c r="G147" s="112">
        <f t="shared" si="11"/>
        <v>399.25</v>
      </c>
      <c r="H147" s="99">
        <f>G147+'2'!H147</f>
        <v>1185.4899999999907</v>
      </c>
      <c r="I147" s="140"/>
      <c r="J147" s="328">
        <f>H147/DAY(B2)</f>
        <v>395.16333333333023</v>
      </c>
    </row>
    <row r="148" spans="1:10" ht="25.5">
      <c r="A148" s="864" t="s">
        <v>193</v>
      </c>
      <c r="B148" s="865"/>
      <c r="C148" s="866"/>
      <c r="D148" s="123" t="s">
        <v>130</v>
      </c>
      <c r="E148" s="95">
        <f>'2'!F148</f>
        <v>797171.04</v>
      </c>
      <c r="F148" s="150">
        <v>797492.4</v>
      </c>
      <c r="G148" s="112">
        <f t="shared" si="11"/>
        <v>321.35999999998603</v>
      </c>
      <c r="H148" s="99">
        <f>G148+'2'!H148</f>
        <v>1080.3200000000652</v>
      </c>
      <c r="I148" s="124"/>
      <c r="J148" s="328">
        <f>H148/DAY(B2)</f>
        <v>360.1066666666884</v>
      </c>
    </row>
    <row r="149" spans="1:10" ht="25.5">
      <c r="A149" s="938" t="s">
        <v>336</v>
      </c>
      <c r="B149" s="939"/>
      <c r="C149" s="940"/>
      <c r="D149" s="227" t="s">
        <v>130</v>
      </c>
      <c r="E149" s="95">
        <f>'2'!F149</f>
        <v>201766.19</v>
      </c>
      <c r="F149" s="146">
        <v>202297.60000000001</v>
      </c>
      <c r="G149" s="112">
        <f t="shared" si="11"/>
        <v>531.41000000000349</v>
      </c>
      <c r="H149" s="99">
        <f>G149+'2'!H149</f>
        <v>1006.3300000000163</v>
      </c>
      <c r="I149" s="119"/>
      <c r="J149" s="328">
        <f>H149/DAY(B2)</f>
        <v>335.44333333333878</v>
      </c>
    </row>
    <row r="150" spans="1:10" ht="25.5">
      <c r="A150" s="938" t="s">
        <v>337</v>
      </c>
      <c r="B150" s="939"/>
      <c r="C150" s="940"/>
      <c r="D150" s="117" t="s">
        <v>130</v>
      </c>
      <c r="E150" s="95">
        <f>'2'!F150</f>
        <v>85443.1</v>
      </c>
      <c r="F150" s="233">
        <v>85689.66</v>
      </c>
      <c r="G150" s="112">
        <f t="shared" si="11"/>
        <v>246.55999999999767</v>
      </c>
      <c r="H150" s="99">
        <f>G150+'2'!H150</f>
        <v>475.66000000000349</v>
      </c>
      <c r="I150" s="119"/>
      <c r="J150" s="328">
        <f>H150/DAY(B2)</f>
        <v>158.55333333333451</v>
      </c>
    </row>
    <row r="151" spans="1:10" ht="29.25" customHeight="1">
      <c r="A151" s="938" t="s">
        <v>338</v>
      </c>
      <c r="B151" s="939"/>
      <c r="C151" s="940"/>
      <c r="D151" s="117" t="s">
        <v>130</v>
      </c>
      <c r="E151" s="95">
        <f>'2'!F151</f>
        <v>167317</v>
      </c>
      <c r="F151" s="233">
        <v>167591</v>
      </c>
      <c r="G151" s="112">
        <f t="shared" si="11"/>
        <v>274</v>
      </c>
      <c r="H151" s="99">
        <f>G151+'2'!H151</f>
        <v>861</v>
      </c>
      <c r="I151" s="119"/>
      <c r="J151" s="328">
        <f>H151/DAY(B2)</f>
        <v>287</v>
      </c>
    </row>
    <row r="152" spans="1:10" ht="29.25" customHeight="1">
      <c r="A152" s="938" t="s">
        <v>339</v>
      </c>
      <c r="B152" s="939"/>
      <c r="C152" s="940"/>
      <c r="D152" s="117" t="s">
        <v>130</v>
      </c>
      <c r="E152" s="95">
        <f>'2'!F152</f>
        <v>42769</v>
      </c>
      <c r="F152" s="233">
        <v>42900.15</v>
      </c>
      <c r="G152" s="112">
        <f t="shared" si="11"/>
        <v>131.15000000000146</v>
      </c>
      <c r="H152" s="99">
        <f>G152+'2'!H152</f>
        <v>389.15000000000146</v>
      </c>
      <c r="I152" s="119"/>
      <c r="J152" s="328">
        <f>H152/DAY(B2)</f>
        <v>129.71666666666715</v>
      </c>
    </row>
    <row r="153" spans="1:10" ht="29.25" customHeight="1">
      <c r="A153" s="911" t="s">
        <v>196</v>
      </c>
      <c r="B153" s="912"/>
      <c r="C153" s="913"/>
      <c r="D153" s="367"/>
      <c r="E153" s="368"/>
      <c r="F153" s="369"/>
      <c r="G153" s="370">
        <f>SUM(G138:G152)</f>
        <v>2970.2599999999925</v>
      </c>
      <c r="H153" s="371"/>
      <c r="I153" s="119">
        <f>G153-(G38+G52)</f>
        <v>440.91000000000668</v>
      </c>
      <c r="J153" s="372"/>
    </row>
    <row r="154" spans="1:10" ht="29.25" customHeight="1">
      <c r="A154" s="869" t="s">
        <v>344</v>
      </c>
      <c r="B154" s="869"/>
      <c r="C154" s="869"/>
      <c r="D154" s="869"/>
      <c r="E154" s="869"/>
      <c r="F154" s="869"/>
      <c r="G154" s="869"/>
      <c r="H154" s="869"/>
      <c r="I154" s="869"/>
      <c r="J154" s="869"/>
    </row>
    <row r="155" spans="1:10" ht="29.25" customHeight="1">
      <c r="A155" s="863" t="s">
        <v>345</v>
      </c>
      <c r="B155" s="863"/>
      <c r="C155" s="863"/>
      <c r="D155" s="117" t="s">
        <v>130</v>
      </c>
      <c r="E155" s="95">
        <f>'2'!F155</f>
        <v>240184</v>
      </c>
      <c r="F155" s="388">
        <v>240744</v>
      </c>
      <c r="G155" s="112">
        <f t="shared" ref="G155:G158" si="12">F155-E155</f>
        <v>560</v>
      </c>
      <c r="H155" s="99">
        <f>G155+'2'!H155</f>
        <v>1710</v>
      </c>
      <c r="I155" s="364"/>
      <c r="J155" s="328">
        <f>H155/DAY(B2)</f>
        <v>570</v>
      </c>
    </row>
    <row r="156" spans="1:10" ht="29.25" customHeight="1">
      <c r="A156" s="941" t="s">
        <v>346</v>
      </c>
      <c r="B156" s="941"/>
      <c r="C156" s="941"/>
      <c r="D156" s="117" t="s">
        <v>130</v>
      </c>
      <c r="E156" s="95">
        <f>'2'!F156</f>
        <v>29780.2</v>
      </c>
      <c r="F156" s="388">
        <v>29876.29</v>
      </c>
      <c r="G156" s="112">
        <f t="shared" si="12"/>
        <v>96.090000000000146</v>
      </c>
      <c r="H156" s="99">
        <f>G156+'2'!H156</f>
        <v>196.79000000000087</v>
      </c>
      <c r="I156" s="165"/>
      <c r="J156" s="328">
        <f>H156/DAY(B2)</f>
        <v>65.596666666666962</v>
      </c>
    </row>
    <row r="157" spans="1:10" ht="29.25" customHeight="1">
      <c r="A157" s="864" t="s">
        <v>360</v>
      </c>
      <c r="B157" s="865"/>
      <c r="C157" s="866"/>
      <c r="D157" s="117" t="s">
        <v>130</v>
      </c>
      <c r="E157" s="95">
        <f>'2'!F157</f>
        <v>37559</v>
      </c>
      <c r="F157" s="388">
        <v>37559</v>
      </c>
      <c r="G157" s="112">
        <f t="shared" si="12"/>
        <v>0</v>
      </c>
      <c r="H157" s="99">
        <f>G157+'2'!H157</f>
        <v>0</v>
      </c>
      <c r="I157" s="165"/>
      <c r="J157" s="328"/>
    </row>
    <row r="158" spans="1:10" ht="29.25" customHeight="1">
      <c r="A158" s="864" t="s">
        <v>361</v>
      </c>
      <c r="B158" s="865"/>
      <c r="C158" s="866"/>
      <c r="D158" s="117" t="s">
        <v>130</v>
      </c>
      <c r="E158" s="95">
        <f>'2'!F158</f>
        <v>1762.1</v>
      </c>
      <c r="F158" s="388">
        <v>1762</v>
      </c>
      <c r="G158" s="112">
        <f t="shared" si="12"/>
        <v>-9.9999999999909051E-2</v>
      </c>
      <c r="H158" s="99">
        <f>G158+'2'!H158</f>
        <v>4</v>
      </c>
      <c r="I158" s="165"/>
      <c r="J158" s="328"/>
    </row>
    <row r="159" spans="1:10" ht="29.25" customHeight="1">
      <c r="A159" s="938"/>
      <c r="B159" s="939"/>
      <c r="C159" s="940"/>
      <c r="D159" s="117"/>
      <c r="E159" s="95"/>
      <c r="F159" s="165"/>
      <c r="G159" s="112"/>
      <c r="H159" s="99"/>
      <c r="I159" s="165"/>
      <c r="J159" s="328"/>
    </row>
    <row r="160" spans="1:10" ht="27.75">
      <c r="A160" s="869" t="s">
        <v>326</v>
      </c>
      <c r="B160" s="869"/>
      <c r="C160" s="869"/>
      <c r="D160" s="869"/>
      <c r="E160" s="869"/>
      <c r="F160" s="869"/>
      <c r="G160" s="869"/>
      <c r="H160" s="869"/>
      <c r="I160" s="869"/>
      <c r="J160" s="869"/>
    </row>
    <row r="161" spans="1:10" ht="26.25">
      <c r="A161" s="242" t="s">
        <v>92</v>
      </c>
      <c r="B161" s="243"/>
      <c r="C161" s="243"/>
      <c r="D161" s="244" t="s">
        <v>180</v>
      </c>
      <c r="E161" s="95">
        <f>'2'!F161</f>
        <v>508660.64</v>
      </c>
      <c r="F161" s="235">
        <v>508861.44</v>
      </c>
      <c r="G161" s="238">
        <f t="shared" ref="G161:G165" si="13">F161-E161</f>
        <v>200.79999999998836</v>
      </c>
      <c r="H161" s="99">
        <f>G161+'2'!H161</f>
        <v>478.11999999999534</v>
      </c>
      <c r="I161" s="236"/>
      <c r="J161" s="239">
        <f>H161/DAY(B2)</f>
        <v>159.37333333333177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'2'!F162</f>
        <v>818.5</v>
      </c>
      <c r="F162" s="235">
        <v>855.7</v>
      </c>
      <c r="G162" s="238">
        <f t="shared" si="13"/>
        <v>37.200000000000045</v>
      </c>
      <c r="H162" s="99">
        <f>G162+'2'!H162</f>
        <v>84.100000000000023</v>
      </c>
      <c r="I162" s="236"/>
      <c r="J162" s="239">
        <f>H162/DAY(B2)</f>
        <v>28.033333333333342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'2'!F163</f>
        <v>0</v>
      </c>
      <c r="F163" s="235">
        <v>0</v>
      </c>
      <c r="G163" s="238">
        <f t="shared" si="13"/>
        <v>0</v>
      </c>
      <c r="H163" s="99">
        <f>G163+'2'!H163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'2'!F164</f>
        <v>7206</v>
      </c>
      <c r="F164" s="235">
        <v>7211</v>
      </c>
      <c r="G164" s="238">
        <f t="shared" si="13"/>
        <v>5</v>
      </c>
      <c r="H164" s="99">
        <f>G164+'2'!H164</f>
        <v>12</v>
      </c>
      <c r="I164" s="236"/>
      <c r="J164" s="239">
        <f>H164/DAY(B2)</f>
        <v>4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'2'!F165</f>
        <v>32789.4</v>
      </c>
      <c r="F165" s="235">
        <v>32796.5</v>
      </c>
      <c r="G165" s="238">
        <f t="shared" si="13"/>
        <v>7.0999999999985448</v>
      </c>
      <c r="H165" s="99">
        <f>G165+'2'!H165</f>
        <v>16.411999999996624</v>
      </c>
      <c r="I165" s="236"/>
      <c r="J165" s="239">
        <f>H165/DAY(B2)</f>
        <v>5.470666666665541</v>
      </c>
    </row>
    <row r="166" spans="1:10" ht="26.25">
      <c r="A166" s="870"/>
      <c r="B166" s="870"/>
      <c r="C166" s="246"/>
      <c r="D166" s="244" t="s">
        <v>180</v>
      </c>
      <c r="E166" s="95">
        <f>'2'!F166</f>
        <v>0</v>
      </c>
      <c r="F166" s="158"/>
      <c r="G166" s="165"/>
      <c r="H166" s="99">
        <f>G166+'2'!H166</f>
        <v>0</v>
      </c>
      <c r="I166" s="165"/>
      <c r="J166" s="327"/>
    </row>
    <row r="167" spans="1:10" ht="26.25">
      <c r="A167" s="870"/>
      <c r="B167" s="870"/>
      <c r="C167" s="246"/>
      <c r="D167" s="244" t="s">
        <v>180</v>
      </c>
      <c r="E167" s="95">
        <f>'2'!F167</f>
        <v>0</v>
      </c>
      <c r="F167" s="165"/>
      <c r="G167" s="165"/>
      <c r="H167" s="99">
        <f>G167+'2'!H167</f>
        <v>0</v>
      </c>
      <c r="I167" s="165"/>
      <c r="J167" s="327"/>
    </row>
    <row r="168" spans="1:10" ht="26.25">
      <c r="A168" s="870"/>
      <c r="B168" s="870"/>
      <c r="C168" s="246"/>
      <c r="D168" s="244" t="s">
        <v>180</v>
      </c>
      <c r="E168" s="95">
        <f>'2'!F168</f>
        <v>0</v>
      </c>
      <c r="F168" s="165"/>
      <c r="G168" s="165"/>
      <c r="H168" s="99">
        <f>G168+'2'!H168</f>
        <v>0</v>
      </c>
      <c r="I168" s="165"/>
      <c r="J168" s="327"/>
    </row>
    <row r="169" spans="1:10" ht="26.25"/>
    <row r="170" spans="1:10" ht="26.25"/>
    <row r="171" spans="1:10" ht="27.75">
      <c r="A171" s="871" t="s">
        <v>330</v>
      </c>
      <c r="B171" s="872"/>
      <c r="C171" s="872"/>
      <c r="D171" s="872"/>
      <c r="E171" s="872"/>
      <c r="F171" s="872"/>
      <c r="G171" s="872"/>
      <c r="H171" s="872"/>
      <c r="I171" s="872"/>
      <c r="J171" s="873"/>
    </row>
    <row r="172" spans="1:10" ht="25.5">
      <c r="A172" s="878"/>
      <c r="B172" s="879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789" t="s">
        <v>209</v>
      </c>
      <c r="B173" s="790"/>
      <c r="C173" s="333"/>
      <c r="D173" s="228" t="s">
        <v>142</v>
      </c>
      <c r="E173" s="95">
        <f>'2'!F173</f>
        <v>8614</v>
      </c>
      <c r="F173" s="157">
        <v>8616</v>
      </c>
      <c r="G173" s="155">
        <f>F173-E173</f>
        <v>2</v>
      </c>
      <c r="H173" s="99">
        <f>G173+'2'!H173</f>
        <v>4</v>
      </c>
      <c r="I173" s="155"/>
      <c r="J173" s="178">
        <f>H173/DAY(B2)</f>
        <v>1.3333333333333333</v>
      </c>
    </row>
    <row r="174" spans="1:10" ht="25.5">
      <c r="A174" s="789" t="s">
        <v>75</v>
      </c>
      <c r="B174" s="790"/>
      <c r="C174" s="333"/>
      <c r="D174" s="228" t="s">
        <v>142</v>
      </c>
      <c r="E174" s="95">
        <f>'2'!F174</f>
        <v>43062</v>
      </c>
      <c r="F174" s="157">
        <v>43075</v>
      </c>
      <c r="G174" s="155">
        <f t="shared" ref="G174:G175" si="14">F174-E174</f>
        <v>13</v>
      </c>
      <c r="H174" s="99">
        <f>G174+'2'!H174</f>
        <v>25</v>
      </c>
      <c r="I174" s="155"/>
      <c r="J174" s="178">
        <f>H174/DAY(B2)</f>
        <v>8.3333333333333339</v>
      </c>
    </row>
    <row r="175" spans="1:10" ht="25.5">
      <c r="A175" s="789" t="s">
        <v>76</v>
      </c>
      <c r="B175" s="802"/>
      <c r="C175" s="790"/>
      <c r="D175" s="228" t="s">
        <v>142</v>
      </c>
      <c r="E175" s="95">
        <f>'2'!F175</f>
        <v>25853</v>
      </c>
      <c r="F175" s="155">
        <v>25870</v>
      </c>
      <c r="G175" s="155">
        <f t="shared" si="14"/>
        <v>17</v>
      </c>
      <c r="H175" s="99">
        <f>G175+'2'!H175</f>
        <v>49</v>
      </c>
      <c r="I175" s="155"/>
      <c r="J175" s="178">
        <f>H175/DAY(B2)</f>
        <v>16.333333333333332</v>
      </c>
    </row>
    <row r="176" spans="1:10" ht="26.25">
      <c r="A176" s="911" t="s">
        <v>196</v>
      </c>
      <c r="B176" s="912"/>
      <c r="C176" s="913"/>
      <c r="D176" s="228"/>
      <c r="E176" s="95"/>
      <c r="F176" s="155"/>
      <c r="G176" s="155">
        <f>SUM(G173:G175)</f>
        <v>32</v>
      </c>
      <c r="H176" s="99">
        <f>G176+'2'!H176</f>
        <v>78</v>
      </c>
      <c r="I176" s="155"/>
      <c r="J176" s="178">
        <f>H176/DAY(B2)</f>
        <v>26</v>
      </c>
    </row>
    <row r="177" spans="1:10" ht="25.5">
      <c r="A177" s="789" t="s">
        <v>77</v>
      </c>
      <c r="B177" s="790"/>
      <c r="C177" s="333"/>
      <c r="D177" s="228" t="s">
        <v>142</v>
      </c>
      <c r="E177" s="95"/>
      <c r="F177" s="155"/>
      <c r="G177" s="155"/>
      <c r="H177" s="99">
        <f>G177+'2'!H177</f>
        <v>0</v>
      </c>
      <c r="I177" s="155"/>
      <c r="J177" s="178">
        <f>H177/DAY(B2)</f>
        <v>0</v>
      </c>
    </row>
    <row r="178" spans="1:10" ht="25.5">
      <c r="A178" s="789" t="s">
        <v>210</v>
      </c>
      <c r="B178" s="790"/>
      <c r="C178" s="333"/>
      <c r="D178" s="228" t="s">
        <v>142</v>
      </c>
      <c r="E178" s="95">
        <f>'2'!F178</f>
        <v>107208</v>
      </c>
      <c r="F178" s="157">
        <v>107323</v>
      </c>
      <c r="G178" s="155">
        <f>F178-E178</f>
        <v>115</v>
      </c>
      <c r="H178" s="99">
        <f>G178+'2'!H178</f>
        <v>324</v>
      </c>
      <c r="I178" s="155"/>
      <c r="J178" s="178">
        <f>H178/DAY(B2)</f>
        <v>108</v>
      </c>
    </row>
    <row r="179" spans="1:10" ht="25.5">
      <c r="A179" s="789" t="s">
        <v>211</v>
      </c>
      <c r="B179" s="790"/>
      <c r="C179" s="333"/>
      <c r="D179" s="228" t="s">
        <v>142</v>
      </c>
      <c r="E179" s="95">
        <f>'2'!F179</f>
        <v>37501</v>
      </c>
      <c r="F179" s="155">
        <v>37501</v>
      </c>
      <c r="G179" s="155">
        <f t="shared" ref="G179:G180" si="15">F179-E179</f>
        <v>0</v>
      </c>
      <c r="H179" s="99">
        <f>G179+'2'!H179</f>
        <v>0</v>
      </c>
      <c r="I179" s="155"/>
      <c r="J179" s="178">
        <f>H179/DAY(B2)</f>
        <v>0</v>
      </c>
    </row>
    <row r="180" spans="1:10" ht="25.5">
      <c r="A180" s="789" t="s">
        <v>212</v>
      </c>
      <c r="B180" s="790"/>
      <c r="C180" s="333"/>
      <c r="D180" s="228" t="s">
        <v>142</v>
      </c>
      <c r="E180" s="95">
        <f>'2'!F180</f>
        <v>7574</v>
      </c>
      <c r="F180" s="155">
        <v>7574</v>
      </c>
      <c r="G180" s="155">
        <f t="shared" si="15"/>
        <v>0</v>
      </c>
      <c r="H180" s="99">
        <f>G180+'2'!H180</f>
        <v>11</v>
      </c>
      <c r="I180" s="155"/>
      <c r="J180" s="178">
        <f>H180/DAY(B2)</f>
        <v>3.6666666666666665</v>
      </c>
    </row>
    <row r="181" spans="1:10" ht="26.25">
      <c r="A181" s="911" t="s">
        <v>196</v>
      </c>
      <c r="B181" s="912"/>
      <c r="C181" s="913"/>
      <c r="D181" s="228"/>
      <c r="E181" s="95"/>
      <c r="F181" s="155"/>
      <c r="G181" s="155">
        <f>SUM(G178:G180)</f>
        <v>115</v>
      </c>
      <c r="H181" s="99">
        <f>G181+'2'!H181</f>
        <v>335</v>
      </c>
      <c r="I181" s="155"/>
      <c r="J181" s="178">
        <f>H181/DAY(B2)</f>
        <v>111.66666666666667</v>
      </c>
    </row>
    <row r="182" spans="1:10" ht="25.5">
      <c r="A182" s="789" t="s">
        <v>213</v>
      </c>
      <c r="B182" s="790"/>
      <c r="C182" s="333"/>
      <c r="D182" s="228"/>
      <c r="E182" s="95"/>
      <c r="F182" s="155"/>
      <c r="G182" s="155"/>
      <c r="H182" s="99">
        <f>G182+'2'!H182</f>
        <v>0</v>
      </c>
      <c r="I182" s="155"/>
      <c r="J182" s="178">
        <f>H182/DAY(B2)</f>
        <v>0</v>
      </c>
    </row>
    <row r="183" spans="1:10" ht="25.5">
      <c r="A183" s="789" t="s">
        <v>214</v>
      </c>
      <c r="B183" s="790"/>
      <c r="C183" s="334"/>
      <c r="D183" s="228" t="s">
        <v>142</v>
      </c>
      <c r="E183" s="95">
        <f>'2'!F183</f>
        <v>18396</v>
      </c>
      <c r="F183" s="157">
        <v>18408</v>
      </c>
      <c r="G183" s="157">
        <f>F183-E183</f>
        <v>12</v>
      </c>
      <c r="H183" s="99">
        <f>G183+'2'!H183</f>
        <v>30</v>
      </c>
      <c r="I183" s="155"/>
      <c r="J183" s="178">
        <f>H183/DAY(B2)</f>
        <v>10</v>
      </c>
    </row>
    <row r="184" spans="1:10" ht="25.5">
      <c r="A184" s="789" t="s">
        <v>215</v>
      </c>
      <c r="B184" s="790"/>
      <c r="C184" s="334"/>
      <c r="D184" s="228" t="s">
        <v>142</v>
      </c>
      <c r="E184" s="95">
        <f>'2'!F184</f>
        <v>12982</v>
      </c>
      <c r="F184" s="157">
        <v>13026</v>
      </c>
      <c r="G184" s="157">
        <f t="shared" ref="G184:G185" si="16">F184-E184</f>
        <v>44</v>
      </c>
      <c r="H184" s="99">
        <f>G184+'2'!H184</f>
        <v>46</v>
      </c>
      <c r="I184" s="155"/>
      <c r="J184" s="178">
        <f>H184/DAY(B2)</f>
        <v>15.333333333333334</v>
      </c>
    </row>
    <row r="185" spans="1:10" ht="25.5">
      <c r="A185" s="789" t="s">
        <v>216</v>
      </c>
      <c r="B185" s="790"/>
      <c r="C185" s="334"/>
      <c r="D185" s="228" t="s">
        <v>142</v>
      </c>
      <c r="E185" s="95">
        <f>'2'!F185</f>
        <v>0</v>
      </c>
      <c r="F185" s="157"/>
      <c r="G185" s="157">
        <f t="shared" si="16"/>
        <v>0</v>
      </c>
      <c r="H185" s="99">
        <f>G185+'2'!H185</f>
        <v>0</v>
      </c>
      <c r="I185" s="155"/>
      <c r="J185" s="178">
        <f>H185/DAY(B2)</f>
        <v>0</v>
      </c>
    </row>
    <row r="186" spans="1:10" ht="26.25">
      <c r="A186" s="911" t="s">
        <v>196</v>
      </c>
      <c r="B186" s="912"/>
      <c r="C186" s="913"/>
      <c r="D186" s="229"/>
      <c r="E186" s="95"/>
      <c r="F186" s="157"/>
      <c r="G186" s="157">
        <f>SUM(G183:G185)</f>
        <v>56</v>
      </c>
      <c r="H186" s="99">
        <f>G186+'2'!H186</f>
        <v>76</v>
      </c>
      <c r="I186" s="157"/>
      <c r="J186" s="178">
        <f>H186/DAY(B2)</f>
        <v>25.333333333333332</v>
      </c>
    </row>
    <row r="187" spans="1:10" ht="25.5">
      <c r="A187" s="867" t="s">
        <v>217</v>
      </c>
      <c r="B187" s="868"/>
      <c r="C187" s="333"/>
      <c r="D187" s="230" t="s">
        <v>142</v>
      </c>
      <c r="E187" s="95"/>
      <c r="F187" s="159"/>
      <c r="G187" s="377">
        <f>G62+G19</f>
        <v>220</v>
      </c>
      <c r="H187" s="99">
        <f>G187+'2'!H187</f>
        <v>537.5</v>
      </c>
      <c r="I187" s="158"/>
      <c r="J187" s="179">
        <f>H187/DAY(B2)</f>
        <v>179.16666666666666</v>
      </c>
    </row>
    <row r="188" spans="1:10" ht="25.5">
      <c r="A188" s="867" t="s">
        <v>218</v>
      </c>
      <c r="B188" s="868"/>
      <c r="C188" s="333"/>
      <c r="D188" s="230" t="s">
        <v>142</v>
      </c>
      <c r="E188" s="95"/>
      <c r="F188" s="159"/>
      <c r="G188" s="377">
        <f>G65+G66+G67+G69+G70</f>
        <v>176</v>
      </c>
      <c r="H188" s="99">
        <f>G188+'2'!H188</f>
        <v>544</v>
      </c>
      <c r="I188" s="158"/>
      <c r="J188" s="179">
        <f>H188/DAY(B2)</f>
        <v>181.33333333333334</v>
      </c>
    </row>
    <row r="189" spans="1:10" ht="25.5">
      <c r="A189" s="867" t="s">
        <v>219</v>
      </c>
      <c r="B189" s="868"/>
      <c r="C189" s="333"/>
      <c r="D189" s="230" t="s">
        <v>142</v>
      </c>
      <c r="E189" s="95"/>
      <c r="F189" s="157"/>
      <c r="G189" s="376">
        <f>G181</f>
        <v>115</v>
      </c>
      <c r="H189" s="99">
        <f>G189+'2'!H189</f>
        <v>335</v>
      </c>
      <c r="I189" s="158"/>
      <c r="J189" s="179">
        <f>H189/DAY(B2)</f>
        <v>111.66666666666667</v>
      </c>
    </row>
    <row r="190" spans="1:10" ht="25.5">
      <c r="A190" s="867"/>
      <c r="B190" s="868"/>
      <c r="C190" s="333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6.25"/>
    <row r="192" spans="1:10" ht="26.25"/>
    <row r="193" ht="26.25"/>
    <row r="194" ht="26.25"/>
    <row r="195" ht="26.25"/>
    <row r="196" ht="29.25" customHeight="1"/>
    <row r="197" ht="29.25" customHeight="1"/>
    <row r="198" ht="29.25" customHeight="1"/>
    <row r="199" ht="29.25" customHeight="1"/>
    <row r="200" ht="29.25" customHeight="1"/>
    <row r="201" ht="29.25" customHeight="1"/>
    <row r="202" ht="29.25" customHeight="1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97:C97"/>
    <mergeCell ref="A98:C98"/>
    <mergeCell ref="A99:C99"/>
    <mergeCell ref="A114:C114"/>
    <mergeCell ref="A115:C115"/>
    <mergeCell ref="A116:C116"/>
    <mergeCell ref="A119:C119"/>
    <mergeCell ref="A120:C120"/>
    <mergeCell ref="A121:C121"/>
    <mergeCell ref="A102:C102"/>
    <mergeCell ref="A108:J108"/>
    <mergeCell ref="A110:J110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09:B109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80:C80"/>
    <mergeCell ref="A81:C81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64:C64"/>
    <mergeCell ref="A65:C65"/>
    <mergeCell ref="A72:B72"/>
    <mergeCell ref="A78:C78"/>
    <mergeCell ref="A132:C132"/>
    <mergeCell ref="Q116:R116"/>
    <mergeCell ref="A117:C117"/>
    <mergeCell ref="Q117:R117"/>
    <mergeCell ref="A118:C118"/>
    <mergeCell ref="Q118:R118"/>
    <mergeCell ref="A139:C139"/>
    <mergeCell ref="A140:C140"/>
    <mergeCell ref="A141:C141"/>
    <mergeCell ref="A126:J126"/>
    <mergeCell ref="A127:B127"/>
    <mergeCell ref="A128:C128"/>
    <mergeCell ref="A131:C131"/>
    <mergeCell ref="A122:C122"/>
    <mergeCell ref="A124:C124"/>
    <mergeCell ref="A123:C123"/>
    <mergeCell ref="A125:C125"/>
    <mergeCell ref="A142:C142"/>
    <mergeCell ref="A160:J160"/>
    <mergeCell ref="A133:C133"/>
    <mergeCell ref="A134:C134"/>
    <mergeCell ref="A135:C135"/>
    <mergeCell ref="A136:J136"/>
    <mergeCell ref="A138:C138"/>
    <mergeCell ref="A187:B187"/>
    <mergeCell ref="A171:J171"/>
    <mergeCell ref="A172:B172"/>
    <mergeCell ref="A173:B173"/>
    <mergeCell ref="A174:B174"/>
    <mergeCell ref="A177:B177"/>
    <mergeCell ref="A144:C144"/>
    <mergeCell ref="A145:C145"/>
    <mergeCell ref="A146:C146"/>
    <mergeCell ref="A147:C147"/>
    <mergeCell ref="A148:C148"/>
    <mergeCell ref="A143:C143"/>
    <mergeCell ref="A149:C149"/>
    <mergeCell ref="A175:C175"/>
    <mergeCell ref="A166:B166"/>
    <mergeCell ref="A150:C150"/>
    <mergeCell ref="A151:C151"/>
    <mergeCell ref="A152:C152"/>
    <mergeCell ref="A188:B188"/>
    <mergeCell ref="A189:B189"/>
    <mergeCell ref="A190:B190"/>
    <mergeCell ref="A178:B178"/>
    <mergeCell ref="A179:B179"/>
    <mergeCell ref="A180:B180"/>
    <mergeCell ref="A185:B185"/>
    <mergeCell ref="A182:B182"/>
    <mergeCell ref="A183:B183"/>
    <mergeCell ref="A184:B184"/>
    <mergeCell ref="A167:B167"/>
    <mergeCell ref="A168:B168"/>
    <mergeCell ref="A154:J154"/>
    <mergeCell ref="A155:C155"/>
    <mergeCell ref="A156:C156"/>
    <mergeCell ref="A153:C153"/>
    <mergeCell ref="A176:C176"/>
    <mergeCell ref="A181:C181"/>
    <mergeCell ref="A186:C186"/>
    <mergeCell ref="A157:C157"/>
    <mergeCell ref="A158:C158"/>
    <mergeCell ref="A159:C159"/>
  </mergeCells>
  <pageMargins left="0.22" right="0.17" top="0.14000000000000001" bottom="0.2" header="0.2" footer="0.2"/>
  <pageSetup paperSize="5" scale="2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270"/>
  <sheetViews>
    <sheetView view="pageBreakPreview" topLeftCell="A97" zoomScale="55" zoomScaleNormal="48" zoomScaleSheetLayoutView="55" workbookViewId="0">
      <selection activeCell="F29" sqref="F29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19" t="s">
        <v>115</v>
      </c>
      <c r="B1" s="920"/>
      <c r="C1" s="920"/>
      <c r="D1" s="920"/>
      <c r="E1" s="920"/>
      <c r="F1" s="920"/>
      <c r="G1" s="920"/>
      <c r="H1" s="920"/>
      <c r="I1" s="920"/>
      <c r="J1" s="921"/>
    </row>
    <row r="2" spans="1:15" s="57" customFormat="1" ht="23.25">
      <c r="A2" s="191" t="s">
        <v>349</v>
      </c>
      <c r="B2" s="262">
        <v>44930</v>
      </c>
      <c r="C2" s="348" t="s">
        <v>67</v>
      </c>
      <c r="D2" s="218">
        <v>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29</v>
      </c>
      <c r="E3" s="928" t="s">
        <v>119</v>
      </c>
      <c r="F3" s="929"/>
      <c r="G3" s="101"/>
      <c r="H3" s="102"/>
      <c r="I3" s="102"/>
      <c r="J3" s="222"/>
      <c r="K3" s="61"/>
      <c r="L3" s="58"/>
      <c r="N3" s="57" t="s">
        <v>352</v>
      </c>
      <c r="O3" s="57">
        <v>19294.8</v>
      </c>
    </row>
    <row r="4" spans="1:15" s="57" customFormat="1" ht="23.2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>
        <v>70950.2</v>
      </c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N5" s="65" t="s">
        <v>351</v>
      </c>
      <c r="O5" s="65">
        <v>28135.7</v>
      </c>
    </row>
    <row r="6" spans="1:15" ht="26.25">
      <c r="A6" s="922" t="s">
        <v>128</v>
      </c>
      <c r="B6" s="923"/>
      <c r="C6" s="924"/>
      <c r="D6" s="110"/>
      <c r="E6" s="110"/>
      <c r="F6" s="110"/>
      <c r="G6" s="110"/>
      <c r="H6" s="111"/>
      <c r="I6" s="111"/>
      <c r="J6" s="174"/>
      <c r="K6" s="78"/>
      <c r="L6" s="66"/>
      <c r="O6" s="65">
        <v>48780.83</v>
      </c>
    </row>
    <row r="7" spans="1:15" ht="27" thickBot="1">
      <c r="A7" s="194" t="s">
        <v>129</v>
      </c>
      <c r="B7" s="195"/>
      <c r="C7" s="195"/>
      <c r="D7" s="151" t="s">
        <v>130</v>
      </c>
      <c r="E7" s="95">
        <f>'3'!F7</f>
        <v>39638.800000000003</v>
      </c>
      <c r="F7" s="95">
        <v>60665</v>
      </c>
      <c r="G7" s="112">
        <f>F7-E7</f>
        <v>21026.199999999997</v>
      </c>
      <c r="H7" s="99">
        <f>G7+'3'!H7</f>
        <v>83046</v>
      </c>
      <c r="I7" s="113">
        <f>'1'!I7</f>
        <v>12000</v>
      </c>
      <c r="J7" s="175">
        <f>H7/DAY(B2)</f>
        <v>20761.5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'3'!F8</f>
        <v>221931</v>
      </c>
      <c r="F8" s="114">
        <v>243127</v>
      </c>
      <c r="G8" s="115">
        <f>F8-E8</f>
        <v>21196</v>
      </c>
      <c r="H8" s="99">
        <f>G8+'3'!H8</f>
        <v>85270</v>
      </c>
      <c r="I8" s="116"/>
      <c r="J8" s="175">
        <f>H8/DAY(B2)</f>
        <v>21317.5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'3'!F9</f>
        <v>4464582.7</v>
      </c>
      <c r="F9" s="117">
        <v>4480377.0999999996</v>
      </c>
      <c r="G9" s="112">
        <f>F9-E9</f>
        <v>15794.399999999441</v>
      </c>
      <c r="H9" s="99">
        <f>G9+'3'!H9</f>
        <v>63771.199999999255</v>
      </c>
      <c r="I9" s="124">
        <f>I7-J7</f>
        <v>-8761.5</v>
      </c>
      <c r="J9" s="175">
        <f>H9/DAY(B2)</f>
        <v>15942.799999999814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'3'!F10</f>
        <v>4084162.3</v>
      </c>
      <c r="F10" s="117">
        <v>4088799.1</v>
      </c>
      <c r="G10" s="112">
        <f t="shared" ref="G10:G12" si="0">F10-E10</f>
        <v>4636.8000000002794</v>
      </c>
      <c r="H10" s="99">
        <f>G10+'3'!H10</f>
        <v>18762.800000000279</v>
      </c>
      <c r="I10" s="282"/>
      <c r="J10" s="175">
        <f>H10/DAY(B2)</f>
        <v>4690.7000000000698</v>
      </c>
      <c r="K10" s="79"/>
      <c r="L10" s="66"/>
      <c r="N10" s="87"/>
      <c r="O10" s="71">
        <f>G13-G7</f>
        <v>-595.00000000027649</v>
      </c>
    </row>
    <row r="11" spans="1:15" ht="26.25">
      <c r="A11" s="194" t="s">
        <v>134</v>
      </c>
      <c r="B11" s="195"/>
      <c r="C11" s="195"/>
      <c r="D11" s="151" t="s">
        <v>130</v>
      </c>
      <c r="E11" s="95">
        <f>'3'!F11</f>
        <v>38700</v>
      </c>
      <c r="F11" s="95">
        <v>38700</v>
      </c>
      <c r="G11" s="112">
        <f t="shared" si="0"/>
        <v>0</v>
      </c>
      <c r="H11" s="99">
        <f>G11+'3'!H11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'3'!F12</f>
        <v>40550</v>
      </c>
      <c r="F12" s="117">
        <v>40550</v>
      </c>
      <c r="G12" s="112">
        <f t="shared" si="0"/>
        <v>0</v>
      </c>
      <c r="H12" s="99">
        <f>G12+'3'!H12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20431.199999999721</v>
      </c>
      <c r="H13" s="99">
        <f>G13+'3'!H13</f>
        <v>82533.999999999534</v>
      </c>
      <c r="I13" s="120">
        <f>G7-G13</f>
        <v>595.00000000027649</v>
      </c>
      <c r="J13" s="175">
        <f>H13/DAY(B2)</f>
        <v>20633.499999999884</v>
      </c>
      <c r="K13" s="79"/>
      <c r="L13" s="66"/>
      <c r="N13" s="87"/>
      <c r="O13" s="71"/>
    </row>
    <row r="14" spans="1:15" ht="26.25">
      <c r="A14" s="925" t="s">
        <v>137</v>
      </c>
      <c r="B14" s="926"/>
      <c r="C14" s="92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'3'!F15</f>
        <v>2256880</v>
      </c>
      <c r="F15" s="468">
        <v>2257952</v>
      </c>
      <c r="G15" s="112">
        <f>(F15-E15)</f>
        <v>1072</v>
      </c>
      <c r="H15" s="99">
        <f>G15+'3'!H15</f>
        <v>4650.6419999999925</v>
      </c>
      <c r="I15" s="113">
        <f>'1'!I15</f>
        <v>800</v>
      </c>
      <c r="J15" s="175">
        <f>H15/DAY(B2)</f>
        <v>1162.6604999999981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-362.66049999999814</v>
      </c>
      <c r="J16" s="176"/>
      <c r="K16" s="79"/>
      <c r="L16" s="66"/>
      <c r="N16" s="87"/>
      <c r="O16" s="71"/>
    </row>
    <row r="17" spans="1:15" ht="26.25">
      <c r="A17" s="925" t="s">
        <v>140</v>
      </c>
      <c r="B17" s="926"/>
      <c r="C17" s="92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02" t="s">
        <v>141</v>
      </c>
      <c r="B18" s="903"/>
      <c r="C18" s="904"/>
      <c r="D18" s="151" t="s">
        <v>142</v>
      </c>
      <c r="E18" s="95">
        <f>'3'!F18</f>
        <v>26</v>
      </c>
      <c r="F18" s="122">
        <v>21</v>
      </c>
      <c r="G18" s="119">
        <f>F18*10</f>
        <v>210</v>
      </c>
      <c r="H18" s="99">
        <f>G18+'3'!H18</f>
        <v>890</v>
      </c>
      <c r="I18" s="113">
        <f>'1'!I18</f>
        <v>65</v>
      </c>
      <c r="J18" s="175">
        <f>H18/DAY(B2)</f>
        <v>222.5</v>
      </c>
      <c r="K18" s="79"/>
      <c r="L18" s="66"/>
      <c r="N18" s="87"/>
      <c r="O18" s="71"/>
    </row>
    <row r="19" spans="1:15" ht="25.5">
      <c r="A19" s="902" t="s">
        <v>69</v>
      </c>
      <c r="B19" s="903"/>
      <c r="C19" s="904"/>
      <c r="D19" s="151" t="s">
        <v>142</v>
      </c>
      <c r="E19" s="95">
        <f>'3'!F19</f>
        <v>169758</v>
      </c>
      <c r="F19" s="122">
        <v>169815</v>
      </c>
      <c r="G19" s="112">
        <f t="shared" ref="G19" si="1">F19-E19</f>
        <v>57</v>
      </c>
      <c r="H19" s="99">
        <f>G19+'3'!H19</f>
        <v>255</v>
      </c>
      <c r="I19" s="335"/>
      <c r="J19" s="175">
        <f>H19/DAY(B2)</f>
        <v>63.75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267</v>
      </c>
      <c r="H20" s="99">
        <f>G20+'3'!H20</f>
        <v>1145</v>
      </c>
      <c r="I20" s="336">
        <f>I18-J20</f>
        <v>-221.25</v>
      </c>
      <c r="J20" s="175">
        <f>H20/DAY(B2)</f>
        <v>286.25</v>
      </c>
      <c r="K20" s="79"/>
      <c r="L20" s="66"/>
      <c r="N20" s="87"/>
      <c r="O20" s="71"/>
    </row>
    <row r="21" spans="1:15" ht="26.25">
      <c r="A21" s="925" t="s">
        <v>144</v>
      </c>
      <c r="B21" s="926"/>
      <c r="C21" s="92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'3'!F22</f>
        <v>2970</v>
      </c>
      <c r="F22" s="122">
        <v>2970</v>
      </c>
      <c r="G22" s="119">
        <f t="shared" ref="G22" si="2">(F22-E22)</f>
        <v>0</v>
      </c>
      <c r="H22" s="99">
        <f>G22+'3'!H22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'3'!F23</f>
        <v>1500</v>
      </c>
      <c r="F23" s="122">
        <v>1500</v>
      </c>
      <c r="G23" s="119">
        <v>0</v>
      </c>
      <c r="H23" s="99">
        <f>G23+'3'!H23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'3'!F24</f>
        <v>4970</v>
      </c>
      <c r="F24" s="128">
        <v>4970</v>
      </c>
      <c r="G24" s="119">
        <v>0</v>
      </c>
      <c r="H24" s="99">
        <f>G24+'3'!H24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30" t="s">
        <v>149</v>
      </c>
      <c r="B25" s="931"/>
      <c r="C25" s="93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21196</v>
      </c>
      <c r="F27" s="136">
        <v>9</v>
      </c>
      <c r="G27" s="137">
        <f>E27*F27</f>
        <v>190764</v>
      </c>
      <c r="H27" s="99">
        <f>G27+'3'!H27</f>
        <v>788794</v>
      </c>
      <c r="I27" s="138"/>
      <c r="J27" s="175">
        <f>H27/DAY(B2)</f>
        <v>197198.5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1072</v>
      </c>
      <c r="F28" s="136">
        <v>70</v>
      </c>
      <c r="G28" s="137">
        <f>E28*F28</f>
        <v>75040</v>
      </c>
      <c r="H28" s="99">
        <f>G28+'3'!H28</f>
        <v>337428.14999999944</v>
      </c>
      <c r="I28" s="140"/>
      <c r="J28" s="175">
        <f>H28/DAY(B2)</f>
        <v>84357.03749999986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57</v>
      </c>
      <c r="F30" s="136">
        <v>151</v>
      </c>
      <c r="G30" s="137">
        <f>E30*F30</f>
        <v>8607</v>
      </c>
      <c r="H30" s="99">
        <f>G30+'3'!H30</f>
        <v>38505</v>
      </c>
      <c r="I30" s="140"/>
      <c r="J30" s="175">
        <f>H30/DAY(B2)</f>
        <v>9626.25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210</v>
      </c>
      <c r="F31" s="136">
        <v>80</v>
      </c>
      <c r="G31" s="137">
        <f>E31*F31</f>
        <v>16800</v>
      </c>
      <c r="H31" s="99">
        <f>G31+'3'!H31</f>
        <v>71200</v>
      </c>
      <c r="I31" s="140"/>
      <c r="J31" s="175">
        <f>H31/DAY(B2)</f>
        <v>17800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291211</v>
      </c>
      <c r="H32" s="99">
        <f>G32+'3'!H32</f>
        <v>1235927.1499999994</v>
      </c>
      <c r="I32" s="144"/>
      <c r="J32" s="175">
        <f>H32/DAY(B2)</f>
        <v>308981.78749999986</v>
      </c>
      <c r="K32" s="63"/>
      <c r="L32" s="89"/>
      <c r="N32" s="87"/>
      <c r="O32" s="71"/>
    </row>
    <row r="33" spans="1:15" ht="25.5" customHeight="1">
      <c r="A33" s="933" t="s">
        <v>331</v>
      </c>
      <c r="B33" s="934"/>
      <c r="C33" s="93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'3'!F35</f>
        <v>462982</v>
      </c>
      <c r="F35" s="145">
        <v>465289</v>
      </c>
      <c r="G35" s="112">
        <f t="shared" ref="G35:G46" si="3">F35-E35</f>
        <v>2307</v>
      </c>
      <c r="H35" s="99">
        <f>G35+'3'!H35</f>
        <v>10771.010000000009</v>
      </c>
      <c r="I35" s="95"/>
      <c r="J35" s="175">
        <f>H35/DAY(B2)</f>
        <v>2692.7525000000023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'3'!F36</f>
        <v>356964.67</v>
      </c>
      <c r="F36" s="145">
        <v>357715.1</v>
      </c>
      <c r="G36" s="112">
        <f t="shared" si="3"/>
        <v>750.42999999999302</v>
      </c>
      <c r="H36" s="99">
        <f>G36+'3'!H36</f>
        <v>3626.1999999999534</v>
      </c>
      <c r="I36" s="95"/>
      <c r="J36" s="175">
        <f>H36/DAY(B2)</f>
        <v>906.54999999998836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'3'!F37</f>
        <v>342571.63</v>
      </c>
      <c r="F37" s="145">
        <v>343989</v>
      </c>
      <c r="G37" s="112">
        <f t="shared" si="3"/>
        <v>1417.3699999999953</v>
      </c>
      <c r="H37" s="99">
        <f>G37+'3'!H37</f>
        <v>5719.1300000000047</v>
      </c>
      <c r="I37" s="95"/>
      <c r="J37" s="175">
        <f>H37/DAY(B2)</f>
        <v>1429.7825000000012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'3'!F38</f>
        <v>805124.87</v>
      </c>
      <c r="F38" s="108">
        <v>807529</v>
      </c>
      <c r="G38" s="112">
        <f t="shared" si="3"/>
        <v>2404.1300000000047</v>
      </c>
      <c r="H38" s="99">
        <f>G38+'3'!H38</f>
        <v>7851.6500000000233</v>
      </c>
      <c r="I38" s="95"/>
      <c r="J38" s="175">
        <f>H38/DAY(B2)</f>
        <v>1962.9125000000058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'3'!F39</f>
        <v>628749.06999999995</v>
      </c>
      <c r="F39" s="145">
        <v>631619</v>
      </c>
      <c r="G39" s="112">
        <f t="shared" si="3"/>
        <v>2869.9300000000512</v>
      </c>
      <c r="H39" s="99">
        <f>G39+'3'!H39</f>
        <v>11329</v>
      </c>
      <c r="I39" s="95"/>
      <c r="J39" s="175">
        <f>H39/DAY(B2)</f>
        <v>2832.25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'3'!F40</f>
        <v>211299.99</v>
      </c>
      <c r="F40" s="145">
        <v>211488</v>
      </c>
      <c r="G40" s="112">
        <f t="shared" si="3"/>
        <v>188.01000000000931</v>
      </c>
      <c r="H40" s="99">
        <f>G40+'3'!H40</f>
        <v>1801.6499999999942</v>
      </c>
      <c r="I40" s="95"/>
      <c r="J40" s="175">
        <f>H40/DAY(B2)</f>
        <v>450.41249999999854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'3'!F41</f>
        <v>420212.1</v>
      </c>
      <c r="F41" s="145">
        <v>420212</v>
      </c>
      <c r="G41" s="112">
        <f t="shared" si="3"/>
        <v>-9.9999999976716936E-2</v>
      </c>
      <c r="H41" s="99">
        <f>G41+'3'!H41</f>
        <v>-0.51000000000931323</v>
      </c>
      <c r="I41" s="95"/>
      <c r="J41" s="175">
        <f>H41/DAY(B2)</f>
        <v>-0.12750000000232831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'3'!F42</f>
        <v>933859.9</v>
      </c>
      <c r="F42" s="145">
        <v>938357.8</v>
      </c>
      <c r="G42" s="112">
        <f t="shared" si="3"/>
        <v>4497.9000000000233</v>
      </c>
      <c r="H42" s="99">
        <f>G42+'3'!H42</f>
        <v>17403.330000000075</v>
      </c>
      <c r="I42" s="95"/>
      <c r="J42" s="175">
        <f>H42/DAY(B2)</f>
        <v>4350.8325000000186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'3'!F43</f>
        <v>422444</v>
      </c>
      <c r="F43" s="145">
        <v>422444</v>
      </c>
      <c r="G43" s="112">
        <f t="shared" si="3"/>
        <v>0</v>
      </c>
      <c r="H43" s="99">
        <f>G43+'3'!H43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'3'!F44</f>
        <v>0</v>
      </c>
      <c r="F44" s="145">
        <v>0</v>
      </c>
      <c r="G44" s="112">
        <f t="shared" si="3"/>
        <v>0</v>
      </c>
      <c r="H44" s="99">
        <f>G44+'3'!H44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'3'!F45</f>
        <v>0</v>
      </c>
      <c r="F45" s="145">
        <v>0</v>
      </c>
      <c r="G45" s="112">
        <f t="shared" si="3"/>
        <v>0</v>
      </c>
      <c r="H45" s="99">
        <f>G45+'3'!H45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'3'!F46</f>
        <v>0</v>
      </c>
      <c r="F46" s="145">
        <v>0</v>
      </c>
      <c r="G46" s="112">
        <f t="shared" si="3"/>
        <v>0</v>
      </c>
      <c r="H46" s="99">
        <f>G46+'3'!H46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14434.6700000001</v>
      </c>
      <c r="H47" s="99">
        <f>G47+'3'!H47</f>
        <v>58501.46000000005</v>
      </c>
      <c r="I47" s="95"/>
      <c r="J47" s="175">
        <f>H47/DAY(B2)</f>
        <v>14625.365000000013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'3'!F49</f>
        <v>808046.15</v>
      </c>
      <c r="F49" s="422">
        <v>808554</v>
      </c>
      <c r="G49" s="112">
        <f t="shared" ref="G49:G58" si="4">F49-E49</f>
        <v>507.84999999997672</v>
      </c>
      <c r="H49" s="99">
        <f>G49+'3'!H49</f>
        <v>2049.8499999999767</v>
      </c>
      <c r="I49" s="95"/>
      <c r="J49" s="175">
        <f>H49/DAY(B2)</f>
        <v>512.46249999999418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'3'!F50</f>
        <v>505535.9</v>
      </c>
      <c r="F50" s="145">
        <v>507138</v>
      </c>
      <c r="G50" s="112">
        <f t="shared" si="4"/>
        <v>1602.0999999999767</v>
      </c>
      <c r="H50" s="99">
        <f>G50+'3'!H50</f>
        <v>5985</v>
      </c>
      <c r="I50" s="95"/>
      <c r="J50" s="175">
        <f>H50/DAY(B2)</f>
        <v>1496.25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'3'!F51</f>
        <v>156958.44</v>
      </c>
      <c r="F51" s="145">
        <v>156958</v>
      </c>
      <c r="G51" s="112">
        <f t="shared" si="4"/>
        <v>-0.44000000000232831</v>
      </c>
      <c r="H51" s="99">
        <f>G51+'3'!H51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'3'!F52</f>
        <v>9.75</v>
      </c>
      <c r="F52" s="145">
        <v>9.75</v>
      </c>
      <c r="G52" s="112">
        <f t="shared" si="4"/>
        <v>0</v>
      </c>
      <c r="H52" s="99">
        <f>G52+'3'!H52</f>
        <v>-0.25</v>
      </c>
      <c r="I52" s="95"/>
      <c r="J52" s="175">
        <f>H52/DAY(B2)</f>
        <v>-6.25E-2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405">
        <f>'3'!F53</f>
        <v>630355</v>
      </c>
      <c r="F53" s="422">
        <v>630355</v>
      </c>
      <c r="G53" s="236">
        <f t="shared" si="4"/>
        <v>0</v>
      </c>
      <c r="H53" s="99">
        <f>G53+'3'!H53</f>
        <v>-3.0000000027939677E-2</v>
      </c>
      <c r="I53" s="95"/>
      <c r="J53" s="175">
        <f>H53/DAY(B2)</f>
        <v>-7.5000000069849193E-3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405">
        <f>'3'!F54</f>
        <v>115563.11</v>
      </c>
      <c r="F54" s="422">
        <v>116042.45</v>
      </c>
      <c r="G54" s="236">
        <f t="shared" si="4"/>
        <v>479.33999999999651</v>
      </c>
      <c r="H54" s="99">
        <f>G54+'3'!H54</f>
        <v>1445.3199999999924</v>
      </c>
      <c r="I54" s="95"/>
      <c r="J54" s="175">
        <f>H54/DAY(B2)</f>
        <v>361.32999999999811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'3'!F55</f>
        <v>576335.63</v>
      </c>
      <c r="F55" s="145">
        <v>576335</v>
      </c>
      <c r="G55" s="112">
        <f t="shared" si="4"/>
        <v>-0.63000000000465661</v>
      </c>
      <c r="H55" s="99">
        <f>G55+'3'!H55</f>
        <v>-0.63000000000465661</v>
      </c>
      <c r="I55" s="95"/>
      <c r="J55" s="175">
        <f>H55/DAY(B2)</f>
        <v>-0.15750000000116415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'3'!F56</f>
        <v>335403.11</v>
      </c>
      <c r="F56" s="145">
        <v>335403</v>
      </c>
      <c r="G56" s="112">
        <f t="shared" si="4"/>
        <v>-0.10999999998603016</v>
      </c>
      <c r="H56" s="99">
        <f>G56+'3'!H56</f>
        <v>176.78999999997905</v>
      </c>
      <c r="I56" s="95"/>
      <c r="J56" s="175">
        <f>H56/DAY(B2)</f>
        <v>44.197499999994761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'3'!F57</f>
        <v>638114.11</v>
      </c>
      <c r="F57" s="145">
        <v>640424</v>
      </c>
      <c r="G57" s="112">
        <f t="shared" si="4"/>
        <v>2309.890000000014</v>
      </c>
      <c r="H57" s="99">
        <f>G57+'3'!H57</f>
        <v>9591</v>
      </c>
      <c r="I57" s="95"/>
      <c r="J57" s="175">
        <f>H57/DAY(B2)</f>
        <v>2397.75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'3'!F58</f>
        <v>87341.38</v>
      </c>
      <c r="F58" s="145">
        <v>87609</v>
      </c>
      <c r="G58" s="112">
        <f t="shared" si="4"/>
        <v>267.61999999999534</v>
      </c>
      <c r="H58" s="99">
        <f>G58+'3'!H58</f>
        <v>1048.5010000000038</v>
      </c>
      <c r="I58" s="95"/>
      <c r="J58" s="175">
        <f>H58/DAY(B2)</f>
        <v>262.12525000000096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5165.6199999999662</v>
      </c>
      <c r="H59" s="99">
        <f>G59+'3'!H59</f>
        <v>20295.550999999919</v>
      </c>
      <c r="I59" s="95">
        <f>G7-G60</f>
        <v>1425.9099999999307</v>
      </c>
      <c r="J59" s="175">
        <f>H59/DAY(B2)</f>
        <v>5073.8877499999799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19600.290000000066</v>
      </c>
      <c r="H60" s="99">
        <f>G60+'3'!H60</f>
        <v>78797.010999999969</v>
      </c>
      <c r="I60" s="95">
        <f>G13-G60</f>
        <v>830.90999999965425</v>
      </c>
      <c r="J60" s="175">
        <f>H60/DAY(B2)</f>
        <v>19699.252749999992</v>
      </c>
      <c r="K60" s="79"/>
      <c r="L60" s="66"/>
      <c r="N60" s="87"/>
      <c r="O60" s="71"/>
    </row>
    <row r="61" spans="1:15" s="68" customFormat="1" ht="26.25">
      <c r="A61" s="935" t="s">
        <v>332</v>
      </c>
      <c r="B61" s="936"/>
      <c r="C61" s="93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02" t="s">
        <v>198</v>
      </c>
      <c r="B62" s="903"/>
      <c r="C62" s="904"/>
      <c r="D62" s="151" t="s">
        <v>142</v>
      </c>
      <c r="E62" s="405">
        <f>'3'!F62</f>
        <v>312439.5</v>
      </c>
      <c r="F62" s="164">
        <v>312527</v>
      </c>
      <c r="G62" s="236">
        <f t="shared" ref="G62:G63" si="5">F62-E62</f>
        <v>87.5</v>
      </c>
      <c r="H62" s="99">
        <f>G62+'3'!H62</f>
        <v>427</v>
      </c>
      <c r="I62" s="118"/>
      <c r="J62" s="175">
        <f>H62/DAY(B2)</f>
        <v>106.75</v>
      </c>
      <c r="K62" s="80"/>
      <c r="L62" s="66"/>
      <c r="N62" s="87"/>
      <c r="O62" s="71"/>
    </row>
    <row r="63" spans="1:15" ht="25.5">
      <c r="A63" s="902" t="s">
        <v>199</v>
      </c>
      <c r="B63" s="903"/>
      <c r="C63" s="904"/>
      <c r="D63" s="151" t="s">
        <v>142</v>
      </c>
      <c r="E63" s="95">
        <f>'3'!F63</f>
        <v>249337</v>
      </c>
      <c r="F63" s="122">
        <v>249433</v>
      </c>
      <c r="G63" s="112">
        <f t="shared" si="5"/>
        <v>96</v>
      </c>
      <c r="H63" s="99">
        <f>G63+'3'!H63</f>
        <v>398</v>
      </c>
      <c r="I63" s="118"/>
      <c r="J63" s="175">
        <f>H63/DAY(B2)</f>
        <v>99.5</v>
      </c>
      <c r="K63" s="69"/>
      <c r="L63" s="66"/>
      <c r="N63" s="87"/>
      <c r="O63" s="71"/>
    </row>
    <row r="64" spans="1:15" ht="26.25">
      <c r="A64" s="911" t="s">
        <v>200</v>
      </c>
      <c r="B64" s="912"/>
      <c r="C64" s="913"/>
      <c r="D64" s="151"/>
      <c r="E64" s="122"/>
      <c r="F64" s="122"/>
      <c r="G64" s="112">
        <f>G62+G63</f>
        <v>183.5</v>
      </c>
      <c r="H64" s="99">
        <f>G64+'3'!H64</f>
        <v>825</v>
      </c>
      <c r="I64" s="118"/>
      <c r="J64" s="175">
        <f>H64/DAY(B2)</f>
        <v>206.25</v>
      </c>
      <c r="K64" s="69"/>
      <c r="L64" s="66"/>
      <c r="N64" s="87"/>
      <c r="O64" s="71"/>
    </row>
    <row r="65" spans="1:15" ht="25.5">
      <c r="A65" s="902" t="s">
        <v>201</v>
      </c>
      <c r="B65" s="903"/>
      <c r="C65" s="904"/>
      <c r="D65" s="151" t="s">
        <v>142</v>
      </c>
      <c r="E65" s="95">
        <f>'3'!F65</f>
        <v>472406</v>
      </c>
      <c r="F65" s="122">
        <v>472508</v>
      </c>
      <c r="G65" s="112">
        <f t="shared" ref="G65:G70" si="6">F65-E65</f>
        <v>102</v>
      </c>
      <c r="H65" s="99">
        <f>G65+'3'!H65</f>
        <v>478</v>
      </c>
      <c r="I65" s="118"/>
      <c r="J65" s="175">
        <f>H65/DAY(B2)</f>
        <v>119.5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'3'!F66</f>
        <v>113596</v>
      </c>
      <c r="F66" s="122">
        <v>113615</v>
      </c>
      <c r="G66" s="112">
        <f t="shared" si="6"/>
        <v>19</v>
      </c>
      <c r="H66" s="99">
        <f>G66+'3'!H66</f>
        <v>56</v>
      </c>
      <c r="I66" s="118"/>
      <c r="J66" s="175">
        <f>H66/DAY(B2)</f>
        <v>14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'3'!F67</f>
        <v>116646</v>
      </c>
      <c r="F67" s="122">
        <v>116665</v>
      </c>
      <c r="G67" s="112">
        <f t="shared" si="6"/>
        <v>19</v>
      </c>
      <c r="H67" s="99">
        <f>G67+'3'!H67</f>
        <v>98</v>
      </c>
      <c r="I67" s="118"/>
      <c r="J67" s="175">
        <f>H67/DAY(B2)</f>
        <v>24.5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'3'!F68</f>
        <v>169407</v>
      </c>
      <c r="F68" s="122">
        <v>169437</v>
      </c>
      <c r="G68" s="112">
        <f t="shared" si="6"/>
        <v>30</v>
      </c>
      <c r="H68" s="99">
        <f>G68+'3'!H68</f>
        <v>78</v>
      </c>
      <c r="I68" s="118"/>
      <c r="J68" s="175">
        <f>H68/DAY(B2)</f>
        <v>19.5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405">
        <v>12994</v>
      </c>
      <c r="F69" s="164">
        <v>12994</v>
      </c>
      <c r="G69" s="236">
        <f t="shared" si="6"/>
        <v>0</v>
      </c>
      <c r="H69" s="99">
        <f>G69+'3'!H69</f>
        <v>28</v>
      </c>
      <c r="I69" s="118"/>
      <c r="J69" s="175">
        <f>H69/DAY(B2)</f>
        <v>7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'3'!F70</f>
        <v>11040</v>
      </c>
      <c r="F70" s="122">
        <v>11047</v>
      </c>
      <c r="G70" s="112">
        <f t="shared" si="6"/>
        <v>7</v>
      </c>
      <c r="H70" s="99">
        <f>G70+'3'!H70</f>
        <v>31</v>
      </c>
      <c r="I70" s="118"/>
      <c r="J70" s="175">
        <f>H70/DAY(B2)</f>
        <v>7.75</v>
      </c>
      <c r="K70" s="69"/>
      <c r="L70" s="66"/>
      <c r="N70" s="87"/>
      <c r="O70" s="71"/>
    </row>
    <row r="71" spans="1:15" ht="26.25">
      <c r="A71" s="911" t="s">
        <v>208</v>
      </c>
      <c r="B71" s="912"/>
      <c r="C71" s="913"/>
      <c r="D71" s="152"/>
      <c r="E71" s="152"/>
      <c r="F71" s="152"/>
      <c r="G71" s="153">
        <f>SUM(G65:G70)</f>
        <v>177</v>
      </c>
      <c r="H71" s="99">
        <f>G71+'3'!H71</f>
        <v>769</v>
      </c>
      <c r="I71" s="154"/>
      <c r="J71" s="175">
        <f>H71/DAY(B2)</f>
        <v>192.25</v>
      </c>
      <c r="K71" s="69"/>
      <c r="L71" s="66"/>
      <c r="N71" s="87"/>
      <c r="O71" s="71"/>
    </row>
    <row r="72" spans="1:15" s="88" customFormat="1" ht="25.5">
      <c r="A72" s="898"/>
      <c r="B72" s="88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08" t="s">
        <v>333</v>
      </c>
      <c r="B73" s="909"/>
      <c r="C73" s="910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02" t="s">
        <v>220</v>
      </c>
      <c r="B74" s="903"/>
      <c r="C74" s="904"/>
      <c r="D74" s="151" t="s">
        <v>139</v>
      </c>
      <c r="E74" s="95">
        <f>'3'!F74</f>
        <v>3487.76</v>
      </c>
      <c r="F74" s="117">
        <v>3791</v>
      </c>
      <c r="G74" s="112">
        <f t="shared" ref="G74:G78" si="7">F74-E74</f>
        <v>303.23999999999978</v>
      </c>
      <c r="H74" s="99">
        <f>G74+'3'!H74</f>
        <v>1276</v>
      </c>
      <c r="I74" s="154"/>
      <c r="J74" s="175">
        <f>H74/DAY(B2)</f>
        <v>319</v>
      </c>
      <c r="K74" s="69"/>
      <c r="L74" s="66"/>
      <c r="N74" s="87"/>
      <c r="O74" s="71"/>
    </row>
    <row r="75" spans="1:15" ht="25.5">
      <c r="A75" s="902" t="s">
        <v>221</v>
      </c>
      <c r="B75" s="903"/>
      <c r="C75" s="904"/>
      <c r="D75" s="151" t="s">
        <v>139</v>
      </c>
      <c r="E75" s="95">
        <f>'3'!F75</f>
        <v>73586.8</v>
      </c>
      <c r="F75" s="123">
        <v>73586.8</v>
      </c>
      <c r="G75" s="112">
        <f t="shared" si="7"/>
        <v>0</v>
      </c>
      <c r="H75" s="99">
        <f>G75+'3'!H75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899" t="s">
        <v>222</v>
      </c>
      <c r="B76" s="900"/>
      <c r="C76" s="901"/>
      <c r="D76" s="151" t="s">
        <v>139</v>
      </c>
      <c r="E76" s="95">
        <f>'3'!F76</f>
        <v>207716</v>
      </c>
      <c r="F76" s="123">
        <v>207781</v>
      </c>
      <c r="G76" s="112">
        <f t="shared" si="7"/>
        <v>65</v>
      </c>
      <c r="H76" s="99">
        <f>G76+'3'!H76</f>
        <v>404</v>
      </c>
      <c r="I76" s="154"/>
      <c r="J76" s="175">
        <f>H76/DAY(B2)</f>
        <v>101</v>
      </c>
      <c r="K76" s="69"/>
      <c r="L76" s="66"/>
      <c r="N76" s="87"/>
      <c r="O76" s="71"/>
    </row>
    <row r="77" spans="1:15" ht="25.5">
      <c r="A77" s="899" t="s">
        <v>223</v>
      </c>
      <c r="B77" s="900"/>
      <c r="C77" s="901"/>
      <c r="D77" s="151" t="s">
        <v>139</v>
      </c>
      <c r="E77" s="95">
        <f>'3'!F77</f>
        <v>58300</v>
      </c>
      <c r="F77" s="123">
        <v>58361</v>
      </c>
      <c r="G77" s="112">
        <f t="shared" si="7"/>
        <v>61</v>
      </c>
      <c r="H77" s="99">
        <f>G77+'3'!H77</f>
        <v>209</v>
      </c>
      <c r="I77" s="154"/>
      <c r="J77" s="175">
        <f>H77/DAY(B2)</f>
        <v>52.25</v>
      </c>
      <c r="K77" s="69"/>
      <c r="L77" s="66"/>
      <c r="N77" s="87"/>
      <c r="O77" s="71"/>
    </row>
    <row r="78" spans="1:15" ht="25.5">
      <c r="A78" s="899" t="s">
        <v>224</v>
      </c>
      <c r="B78" s="900"/>
      <c r="C78" s="901"/>
      <c r="D78" s="151" t="s">
        <v>139</v>
      </c>
      <c r="E78" s="95">
        <f>'3'!F78</f>
        <v>9563.5</v>
      </c>
      <c r="F78" s="123">
        <v>9563</v>
      </c>
      <c r="G78" s="112">
        <f t="shared" si="7"/>
        <v>-0.5</v>
      </c>
      <c r="H78" s="99">
        <f>G78+'3'!H78</f>
        <v>-1</v>
      </c>
      <c r="I78" s="118"/>
      <c r="J78" s="175">
        <f>H78/DAY(B2)</f>
        <v>-0.25</v>
      </c>
      <c r="K78" s="69"/>
      <c r="L78" s="66"/>
      <c r="N78" s="87"/>
      <c r="O78" s="71"/>
    </row>
    <row r="79" spans="1:15" s="57" customFormat="1" ht="25.5">
      <c r="A79" s="899" t="s">
        <v>225</v>
      </c>
      <c r="B79" s="900"/>
      <c r="C79" s="901"/>
      <c r="D79" s="151"/>
      <c r="E79" s="95">
        <f>'3'!F79</f>
        <v>0</v>
      </c>
      <c r="F79" s="117"/>
      <c r="G79" s="112">
        <f>G15-SUM(G74:G78)</f>
        <v>643.26000000000022</v>
      </c>
      <c r="H79" s="99">
        <f>G79+'3'!H79</f>
        <v>2762.6419999999925</v>
      </c>
      <c r="I79" s="118"/>
      <c r="J79" s="175"/>
      <c r="K79" s="59"/>
      <c r="L79" s="58"/>
      <c r="N79" s="87"/>
      <c r="O79" s="71"/>
    </row>
    <row r="80" spans="1:15" s="57" customFormat="1" ht="26.25">
      <c r="A80" s="911" t="s">
        <v>329</v>
      </c>
      <c r="B80" s="912"/>
      <c r="C80" s="913"/>
      <c r="D80" s="151"/>
      <c r="E80" s="117"/>
      <c r="F80" s="117"/>
      <c r="G80" s="112">
        <f>SUM(G74:G79)</f>
        <v>1072</v>
      </c>
      <c r="H80" s="99">
        <f>G80+'3'!H80</f>
        <v>3473.5</v>
      </c>
      <c r="I80" s="118"/>
      <c r="J80" s="175"/>
      <c r="K80" s="59"/>
      <c r="L80" s="58"/>
      <c r="N80" s="87"/>
      <c r="O80" s="71"/>
    </row>
    <row r="81" spans="1:15" ht="25.5">
      <c r="A81" s="915" t="s">
        <v>226</v>
      </c>
      <c r="B81" s="916"/>
      <c r="C81" s="917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'3'!F82</f>
        <v>0</v>
      </c>
      <c r="F82" s="122">
        <v>0</v>
      </c>
      <c r="G82" s="112">
        <f t="shared" ref="G82:G92" si="8">F82-E82</f>
        <v>0</v>
      </c>
      <c r="H82" s="99">
        <f>G82+'3'!H82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'3'!F83</f>
        <v>0</v>
      </c>
      <c r="F83" s="122">
        <v>0</v>
      </c>
      <c r="G83" s="112">
        <f t="shared" si="8"/>
        <v>0</v>
      </c>
      <c r="H83" s="99">
        <f>G83+'3'!H83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'3'!F84</f>
        <v>43546</v>
      </c>
      <c r="F84" s="164">
        <v>43546</v>
      </c>
      <c r="G84" s="236">
        <f t="shared" si="8"/>
        <v>0</v>
      </c>
      <c r="H84" s="99">
        <f>G84+'3'!H84</f>
        <v>0</v>
      </c>
      <c r="I84" s="545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'3'!F85</f>
        <v>6004</v>
      </c>
      <c r="F85" s="164">
        <v>6028</v>
      </c>
      <c r="G85" s="236">
        <f t="shared" si="8"/>
        <v>24</v>
      </c>
      <c r="H85" s="99">
        <f>G85+'3'!H85</f>
        <v>95.550000000000182</v>
      </c>
      <c r="I85" s="545"/>
      <c r="J85" s="175">
        <f>H85/DAY(B2)</f>
        <v>23.887500000000045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'3'!F86</f>
        <v>46834</v>
      </c>
      <c r="F86" s="164">
        <v>46834</v>
      </c>
      <c r="G86" s="112">
        <f t="shared" si="8"/>
        <v>0</v>
      </c>
      <c r="H86" s="99">
        <f>G86+'3'!H86</f>
        <v>0</v>
      </c>
      <c r="I86" s="545"/>
      <c r="J86" s="175">
        <f>H86/DAY(B2)</f>
        <v>0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'3'!F87</f>
        <v>37028</v>
      </c>
      <c r="F87" s="164">
        <v>37028</v>
      </c>
      <c r="G87" s="112">
        <f t="shared" si="8"/>
        <v>0</v>
      </c>
      <c r="H87" s="99">
        <f>G87+'3'!H87</f>
        <v>0</v>
      </c>
      <c r="I87" s="545">
        <f>G84+G85+G86+G87</f>
        <v>24</v>
      </c>
      <c r="J87" s="175">
        <f>H87/DAY(B2)</f>
        <v>0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'3'!F88</f>
        <v>24610.5</v>
      </c>
      <c r="F88" s="164">
        <v>24610.5</v>
      </c>
      <c r="G88" s="112">
        <f t="shared" si="8"/>
        <v>0</v>
      </c>
      <c r="H88" s="99">
        <f>G88+'3'!H88</f>
        <v>6.9000000000014552</v>
      </c>
      <c r="I88" s="545"/>
      <c r="J88" s="175">
        <f>H88/DAY(B2)</f>
        <v>1.7250000000003638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'3'!F89</f>
        <v>28788.39</v>
      </c>
      <c r="F89" s="164">
        <v>28798.47</v>
      </c>
      <c r="G89" s="112">
        <f t="shared" si="8"/>
        <v>10.080000000001746</v>
      </c>
      <c r="H89" s="99">
        <f>G89+'3'!H89</f>
        <v>50.080000000001746</v>
      </c>
      <c r="I89" s="545">
        <f>G88+G89</f>
        <v>10.080000000001746</v>
      </c>
      <c r="J89" s="175">
        <f>H89/DAY(B2)</f>
        <v>12.520000000000437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'3'!F90</f>
        <v>74240.800000000003</v>
      </c>
      <c r="F90" s="164">
        <v>74251.600000000006</v>
      </c>
      <c r="G90" s="112">
        <f t="shared" si="8"/>
        <v>10.80000000000291</v>
      </c>
      <c r="H90" s="99">
        <f>G90+'3'!H90</f>
        <v>48.420000000012806</v>
      </c>
      <c r="I90" s="545">
        <f>G90</f>
        <v>10.80000000000291</v>
      </c>
      <c r="J90" s="175">
        <f>H90/DAY(B2)</f>
        <v>12.105000000003201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'3'!F91</f>
        <v>5618.21</v>
      </c>
      <c r="F91" s="122">
        <v>5618.21</v>
      </c>
      <c r="G91" s="112">
        <f t="shared" si="8"/>
        <v>0</v>
      </c>
      <c r="H91" s="99">
        <f>G91+'3'!H91</f>
        <v>0</v>
      </c>
      <c r="I91" s="546"/>
      <c r="J91" s="175">
        <f>H91/DAY(B2)</f>
        <v>0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'3'!F92</f>
        <v>7114.64</v>
      </c>
      <c r="F92" s="122">
        <v>7125</v>
      </c>
      <c r="G92" s="112">
        <f t="shared" si="8"/>
        <v>10.359999999999673</v>
      </c>
      <c r="H92" s="99">
        <f>G92+'3'!H92</f>
        <v>45.3100000000004</v>
      </c>
      <c r="I92" s="547">
        <f>G91+G92</f>
        <v>10.359999999999673</v>
      </c>
      <c r="J92" s="175">
        <f>H92/DAY(B2)</f>
        <v>11.3275000000001</v>
      </c>
      <c r="O92" s="71"/>
    </row>
    <row r="93" spans="1:15" ht="26.25">
      <c r="A93" s="905" t="s">
        <v>239</v>
      </c>
      <c r="B93" s="906"/>
      <c r="C93" s="90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5124.7399999999907</v>
      </c>
      <c r="H94" s="99">
        <f>G94+'3'!H94</f>
        <v>22411.859999999986</v>
      </c>
      <c r="I94" s="118"/>
      <c r="J94" s="175">
        <f>H94/DAY(B2)</f>
        <v>5602.9649999999965</v>
      </c>
      <c r="K94" s="69"/>
      <c r="L94" s="66"/>
      <c r="O94" s="71"/>
    </row>
    <row r="95" spans="1:15" ht="25.5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0.24373115446442969</v>
      </c>
      <c r="H95" s="99">
        <f>G95+'3'!H95</f>
        <v>1.0804031713658933</v>
      </c>
      <c r="I95" s="167"/>
      <c r="J95" s="175">
        <f>H95/DAY(B2)</f>
        <v>0.27010079284147331</v>
      </c>
      <c r="K95" s="69"/>
      <c r="L95" s="66"/>
      <c r="O95" s="71"/>
    </row>
    <row r="96" spans="1:15" ht="25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4497.0600000000559</v>
      </c>
      <c r="H96" s="99">
        <f>G96+'3'!H96</f>
        <v>17578.98000000004</v>
      </c>
      <c r="I96" s="118"/>
      <c r="J96" s="175">
        <f>H96/DAY(B2)</f>
        <v>4394.7450000000099</v>
      </c>
      <c r="K96" s="69"/>
      <c r="L96" s="66"/>
      <c r="O96" s="71"/>
    </row>
    <row r="97" spans="1:15" ht="25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0.21387887492747412</v>
      </c>
      <c r="H97" s="99">
        <f>G97+'3'!H97</f>
        <v>0.84641077077966387</v>
      </c>
      <c r="I97" s="167"/>
      <c r="J97" s="175">
        <f>H97/DAY(B2)</f>
        <v>0.21160269269491597</v>
      </c>
      <c r="K97" s="69"/>
      <c r="L97" s="66"/>
      <c r="O97" s="71"/>
    </row>
    <row r="98" spans="1:15" ht="25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2869.9300000000512</v>
      </c>
      <c r="H98" s="99">
        <f>G98+'3'!H98</f>
        <v>11328.969999999972</v>
      </c>
      <c r="I98" s="168"/>
      <c r="J98" s="175">
        <f>H98/DAY(B2)</f>
        <v>2832.242499999993</v>
      </c>
      <c r="K98" s="69"/>
      <c r="L98" s="66"/>
      <c r="O98" s="71"/>
    </row>
    <row r="99" spans="1:15" ht="25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0.13649304201425133</v>
      </c>
      <c r="H99" s="99">
        <f>G99+'3'!H99</f>
        <v>0.54628605683481091</v>
      </c>
      <c r="I99" s="168"/>
      <c r="J99" s="175">
        <f>H99/DAY(B2)</f>
        <v>0.13657151420870273</v>
      </c>
      <c r="O99" s="71"/>
    </row>
    <row r="100" spans="1:15" ht="26.2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2404.1300000000047</v>
      </c>
      <c r="H100" s="99">
        <f>G100+'3'!H100</f>
        <v>7851.4000000000233</v>
      </c>
      <c r="I100" s="118"/>
      <c r="J100" s="175">
        <f>H100/DAY(B2)</f>
        <v>1962.8500000000058</v>
      </c>
      <c r="K100" s="70"/>
      <c r="O100" s="71"/>
    </row>
    <row r="101" spans="1:15" ht="25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0.11433972852916861</v>
      </c>
      <c r="H101" s="99">
        <f>G101+'3'!H101</f>
        <v>0.37691312854408532</v>
      </c>
      <c r="I101" s="168"/>
      <c r="J101" s="175">
        <f>H101/DAY(B2)</f>
        <v>9.422828213602133E-2</v>
      </c>
      <c r="O101" s="71"/>
    </row>
    <row r="102" spans="1:15" ht="25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2352.5299999999697</v>
      </c>
      <c r="H102" s="99">
        <f>G102+'3'!H102</f>
        <v>9611.1999999999534</v>
      </c>
      <c r="I102" s="168"/>
      <c r="J102" s="175">
        <f>H102/DAY(B2)</f>
        <v>2402.7999999999884</v>
      </c>
      <c r="O102" s="71"/>
    </row>
    <row r="103" spans="1:15" ht="25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0.11188564743034737</v>
      </c>
      <c r="H103" s="99">
        <f>G103+'3'!H103</f>
        <v>0.46230575436861621</v>
      </c>
      <c r="I103" s="118"/>
      <c r="J103" s="175">
        <f>H103/DAY(B2)</f>
        <v>0.11557643859215405</v>
      </c>
      <c r="O103" s="71"/>
    </row>
    <row r="104" spans="1:15" ht="25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1416.929999999993</v>
      </c>
      <c r="H104" s="99">
        <f>G104+'3'!H104</f>
        <v>5719.1300000000047</v>
      </c>
      <c r="I104" s="118"/>
      <c r="J104" s="175">
        <f>H104/DAY(B2)</f>
        <v>1429.7825000000012</v>
      </c>
      <c r="O104" s="71"/>
    </row>
    <row r="105" spans="1:15" ht="26.25" thickBot="1">
      <c r="A105" s="895" t="s">
        <v>251</v>
      </c>
      <c r="B105" s="896"/>
      <c r="C105" s="897"/>
      <c r="D105" s="231" t="s">
        <v>23</v>
      </c>
      <c r="E105" s="185"/>
      <c r="F105" s="185"/>
      <c r="G105" s="186">
        <f>G104/G7</f>
        <v>6.7388781615317708E-2</v>
      </c>
      <c r="H105" s="99">
        <f>G105+'3'!H105</f>
        <v>0.27587826147179767</v>
      </c>
      <c r="I105" s="187"/>
      <c r="J105" s="188">
        <f>H105/DAY(B2)</f>
        <v>6.8969565367949418E-2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891" t="s">
        <v>324</v>
      </c>
      <c r="B108" s="891"/>
      <c r="C108" s="891"/>
      <c r="D108" s="891"/>
      <c r="E108" s="891"/>
      <c r="F108" s="891"/>
      <c r="G108" s="891"/>
      <c r="H108" s="891"/>
      <c r="I108" s="891"/>
      <c r="J108" s="891"/>
    </row>
    <row r="109" spans="1:15" ht="26.25">
      <c r="A109" s="918"/>
      <c r="B109" s="918"/>
    </row>
    <row r="110" spans="1:15" ht="26.25">
      <c r="A110" s="892" t="s">
        <v>165</v>
      </c>
      <c r="B110" s="893"/>
      <c r="C110" s="893"/>
      <c r="D110" s="893"/>
      <c r="E110" s="893"/>
      <c r="F110" s="893"/>
      <c r="G110" s="893"/>
      <c r="H110" s="893"/>
      <c r="I110" s="893"/>
      <c r="J110" s="894"/>
    </row>
    <row r="111" spans="1:15" ht="25.5">
      <c r="A111" s="885"/>
      <c r="B111" s="886"/>
      <c r="C111" s="887"/>
      <c r="D111" s="165"/>
      <c r="E111" s="165"/>
      <c r="F111" s="165"/>
      <c r="G111" s="165"/>
      <c r="H111" s="156"/>
      <c r="I111" s="165"/>
      <c r="J111" s="327"/>
    </row>
    <row r="112" spans="1:15" ht="25.5">
      <c r="A112" s="881" t="s">
        <v>252</v>
      </c>
      <c r="B112" s="882"/>
      <c r="C112" s="883"/>
      <c r="D112" s="146" t="s">
        <v>183</v>
      </c>
      <c r="E112" s="95">
        <f>'3'!F112</f>
        <v>17642.900000000001</v>
      </c>
      <c r="F112" s="237">
        <v>17751.599999999999</v>
      </c>
      <c r="G112" s="112">
        <f t="shared" ref="G112:G123" si="9">F112-E112</f>
        <v>108.69999999999709</v>
      </c>
      <c r="H112" s="99">
        <f>G112+'3'!H112</f>
        <v>240.29999999999927</v>
      </c>
      <c r="I112" s="165"/>
      <c r="J112" s="328">
        <f>H112/DAY(B2)</f>
        <v>60.074999999999818</v>
      </c>
    </row>
    <row r="113" spans="1:18" ht="29.25" customHeight="1">
      <c r="A113" s="881" t="s">
        <v>253</v>
      </c>
      <c r="B113" s="882"/>
      <c r="C113" s="883"/>
      <c r="D113" s="146" t="s">
        <v>183</v>
      </c>
      <c r="E113" s="95">
        <f>'3'!F113</f>
        <v>37511</v>
      </c>
      <c r="F113" s="237">
        <v>37659.300000000003</v>
      </c>
      <c r="G113" s="112">
        <f t="shared" si="9"/>
        <v>148.30000000000291</v>
      </c>
      <c r="H113" s="99">
        <f>G113+'3'!H113</f>
        <v>580.30000000000291</v>
      </c>
      <c r="I113" s="165"/>
      <c r="J113" s="328">
        <f>H113/DAY(B2)</f>
        <v>145.07500000000073</v>
      </c>
    </row>
    <row r="114" spans="1:18" ht="29.25" customHeight="1">
      <c r="A114" s="881" t="s">
        <v>254</v>
      </c>
      <c r="B114" s="882"/>
      <c r="C114" s="883"/>
      <c r="D114" s="146" t="s">
        <v>183</v>
      </c>
      <c r="E114" s="95">
        <f>'3'!F114</f>
        <v>54942.9</v>
      </c>
      <c r="F114" s="237">
        <v>55163</v>
      </c>
      <c r="G114" s="112">
        <f t="shared" si="9"/>
        <v>220.09999999999854</v>
      </c>
      <c r="H114" s="99">
        <f>G114+'3'!H114</f>
        <v>895.22000000000116</v>
      </c>
      <c r="I114" s="165"/>
      <c r="J114" s="328">
        <f>H114/DAY(B2)</f>
        <v>223.80500000000029</v>
      </c>
    </row>
    <row r="115" spans="1:18" ht="29.25" customHeight="1">
      <c r="A115" s="881" t="s">
        <v>255</v>
      </c>
      <c r="B115" s="882"/>
      <c r="C115" s="883"/>
      <c r="D115" s="146" t="s">
        <v>183</v>
      </c>
      <c r="E115" s="95">
        <f>'3'!F115</f>
        <v>35430</v>
      </c>
      <c r="F115" s="237">
        <v>35581</v>
      </c>
      <c r="G115" s="112">
        <f t="shared" si="9"/>
        <v>151</v>
      </c>
      <c r="H115" s="99">
        <f>G115+'3'!H115</f>
        <v>614.08999999999651</v>
      </c>
      <c r="I115" s="165"/>
      <c r="J115" s="328">
        <f>H115/DAY(B2)</f>
        <v>153.52249999999913</v>
      </c>
    </row>
    <row r="116" spans="1:18" ht="29.25" customHeight="1">
      <c r="A116" s="888" t="s">
        <v>96</v>
      </c>
      <c r="B116" s="889"/>
      <c r="C116" s="890"/>
      <c r="D116" s="146" t="s">
        <v>183</v>
      </c>
      <c r="E116" s="95">
        <f>'3'!F116</f>
        <v>135714.79999999999</v>
      </c>
      <c r="F116" s="237">
        <v>136173</v>
      </c>
      <c r="G116" s="112">
        <f t="shared" si="9"/>
        <v>458.20000000001164</v>
      </c>
      <c r="H116" s="99">
        <f>G116+'3'!H116</f>
        <v>1684.609999999986</v>
      </c>
      <c r="I116" s="165"/>
      <c r="J116" s="328">
        <f>H116/DAY(B2)</f>
        <v>421.15249999999651</v>
      </c>
      <c r="Q116" s="881" t="s">
        <v>311</v>
      </c>
      <c r="R116" s="883"/>
    </row>
    <row r="117" spans="1:18" ht="29.25" customHeight="1">
      <c r="A117" s="888" t="s">
        <v>184</v>
      </c>
      <c r="B117" s="889"/>
      <c r="C117" s="890"/>
      <c r="D117" s="146" t="s">
        <v>183</v>
      </c>
      <c r="E117" s="95">
        <f>'3'!F117</f>
        <v>83863.600000000006</v>
      </c>
      <c r="F117" s="237">
        <v>84240.8</v>
      </c>
      <c r="G117" s="112">
        <f t="shared" si="9"/>
        <v>377.19999999999709</v>
      </c>
      <c r="H117" s="99">
        <f>G117+'3'!H117</f>
        <v>1530.8000000000029</v>
      </c>
      <c r="I117" s="165"/>
      <c r="J117" s="328">
        <f>H117/DAY(B2)</f>
        <v>382.70000000000073</v>
      </c>
      <c r="Q117" s="881" t="s">
        <v>312</v>
      </c>
      <c r="R117" s="883"/>
    </row>
    <row r="118" spans="1:18" ht="25.5">
      <c r="A118" s="880" t="s">
        <v>97</v>
      </c>
      <c r="B118" s="880"/>
      <c r="C118" s="880"/>
      <c r="D118" s="151" t="s">
        <v>183</v>
      </c>
      <c r="E118" s="95">
        <f>'3'!F118</f>
        <v>160073.60000000001</v>
      </c>
      <c r="F118" s="237">
        <v>160727.79999999999</v>
      </c>
      <c r="G118" s="112">
        <f t="shared" si="9"/>
        <v>654.19999999998254</v>
      </c>
      <c r="H118" s="99">
        <f>G118+'3'!H118</f>
        <v>2590.6499999999942</v>
      </c>
      <c r="I118" s="165"/>
      <c r="J118" s="328">
        <f>H118/DAY(B2)</f>
        <v>647.66249999999854</v>
      </c>
      <c r="Q118" s="881" t="s">
        <v>311</v>
      </c>
      <c r="R118" s="883"/>
    </row>
    <row r="119" spans="1:18" ht="25.5">
      <c r="A119" s="880" t="s">
        <v>98</v>
      </c>
      <c r="B119" s="880"/>
      <c r="C119" s="880"/>
      <c r="D119" s="151" t="s">
        <v>183</v>
      </c>
      <c r="E119" s="95">
        <f>'3'!F119</f>
        <v>44044.13</v>
      </c>
      <c r="F119" s="237">
        <v>44077.8</v>
      </c>
      <c r="G119" s="112">
        <f t="shared" si="9"/>
        <v>33.67000000000553</v>
      </c>
      <c r="H119" s="99">
        <f>G119+'3'!H119</f>
        <v>138.625</v>
      </c>
      <c r="I119" s="165"/>
      <c r="J119" s="328">
        <f>H119/DAY(B2)</f>
        <v>34.65625</v>
      </c>
    </row>
    <row r="120" spans="1:18" ht="25.5">
      <c r="A120" s="880" t="s">
        <v>99</v>
      </c>
      <c r="B120" s="880"/>
      <c r="C120" s="880"/>
      <c r="D120" s="151" t="s">
        <v>183</v>
      </c>
      <c r="E120" s="95">
        <f>'3'!F120</f>
        <v>109654</v>
      </c>
      <c r="F120" s="237">
        <v>110066.38</v>
      </c>
      <c r="G120" s="112">
        <f t="shared" si="9"/>
        <v>412.38000000000466</v>
      </c>
      <c r="H120" s="99">
        <f>G120+'3'!H120</f>
        <v>1629.2400000000052</v>
      </c>
      <c r="I120" s="165"/>
      <c r="J120" s="328">
        <f>H120/DAY(B2)</f>
        <v>407.31000000000131</v>
      </c>
    </row>
    <row r="121" spans="1:18" ht="25.5">
      <c r="A121" s="880" t="s">
        <v>100</v>
      </c>
      <c r="B121" s="880"/>
      <c r="C121" s="880"/>
      <c r="D121" s="151" t="s">
        <v>183</v>
      </c>
      <c r="E121" s="95">
        <f>'3'!F121</f>
        <v>122504</v>
      </c>
      <c r="F121" s="237">
        <v>122948.1</v>
      </c>
      <c r="G121" s="112">
        <f t="shared" si="9"/>
        <v>444.10000000000582</v>
      </c>
      <c r="H121" s="99">
        <f>G121+'3'!H121</f>
        <v>1725.2100000000064</v>
      </c>
      <c r="I121" s="165"/>
      <c r="J121" s="328">
        <f>H121/DAY(B2)</f>
        <v>431.3025000000016</v>
      </c>
    </row>
    <row r="122" spans="1:18" ht="25.5">
      <c r="A122" s="880" t="s">
        <v>101</v>
      </c>
      <c r="B122" s="880"/>
      <c r="C122" s="880"/>
      <c r="D122" s="151" t="s">
        <v>183</v>
      </c>
      <c r="E122" s="95">
        <f>'3'!F122</f>
        <v>82086.399999999994</v>
      </c>
      <c r="F122" s="237">
        <v>82363.600000000006</v>
      </c>
      <c r="G122" s="112">
        <f t="shared" si="9"/>
        <v>277.20000000001164</v>
      </c>
      <c r="H122" s="99">
        <f>G122+'3'!H122</f>
        <v>1089.2300000000105</v>
      </c>
      <c r="I122" s="165"/>
      <c r="J122" s="328">
        <f>H122/DAY(B2)</f>
        <v>272.30750000000262</v>
      </c>
    </row>
    <row r="123" spans="1:18" ht="25.5">
      <c r="A123" s="880" t="s">
        <v>102</v>
      </c>
      <c r="B123" s="880"/>
      <c r="C123" s="880"/>
      <c r="D123" s="151" t="s">
        <v>183</v>
      </c>
      <c r="E123" s="95">
        <f>'3'!F123</f>
        <v>78960</v>
      </c>
      <c r="F123" s="237">
        <v>79276.5</v>
      </c>
      <c r="G123" s="112">
        <f t="shared" si="9"/>
        <v>316.5</v>
      </c>
      <c r="H123" s="99">
        <f>G123+'3'!H123</f>
        <v>1327.5</v>
      </c>
      <c r="I123" s="165"/>
      <c r="J123" s="328">
        <f>H123/DAY(B2)</f>
        <v>331.875</v>
      </c>
    </row>
    <row r="124" spans="1:18" ht="29.25" customHeight="1">
      <c r="A124" s="885"/>
      <c r="B124" s="886"/>
      <c r="C124" s="887"/>
      <c r="D124" s="165"/>
      <c r="E124" s="165"/>
      <c r="F124" s="165"/>
      <c r="G124" s="327"/>
      <c r="H124" s="99">
        <f>G124+'3'!H124</f>
        <v>0</v>
      </c>
      <c r="I124" s="165"/>
      <c r="J124" s="327"/>
    </row>
    <row r="125" spans="1:18" ht="26.25">
      <c r="A125" s="459" t="s">
        <v>196</v>
      </c>
      <c r="B125" s="460"/>
      <c r="C125" s="461"/>
      <c r="D125" s="307"/>
      <c r="E125" s="308"/>
      <c r="F125" s="308"/>
      <c r="G125" s="309">
        <f>SUM(G112:G124)</f>
        <v>3601.5500000000175</v>
      </c>
      <c r="H125" s="156"/>
      <c r="I125" s="327">
        <f>G125-(G39+G53)</f>
        <v>731.61999999996624</v>
      </c>
      <c r="J125" s="327"/>
    </row>
    <row r="126" spans="1:18" ht="25.5">
      <c r="A126" s="884" t="s">
        <v>317</v>
      </c>
      <c r="B126" s="884"/>
      <c r="C126" s="884"/>
      <c r="D126" s="884"/>
      <c r="E126" s="884"/>
      <c r="F126" s="884"/>
      <c r="G126" s="884"/>
      <c r="H126" s="884"/>
      <c r="I126" s="884"/>
      <c r="J126" s="884"/>
    </row>
    <row r="127" spans="1:18" ht="25.5">
      <c r="A127" s="870"/>
      <c r="B127" s="870"/>
      <c r="C127" s="245"/>
      <c r="D127" s="307"/>
      <c r="E127" s="308"/>
      <c r="F127" s="308"/>
      <c r="G127" s="309"/>
      <c r="H127" s="99">
        <f>G127+'3'!H127</f>
        <v>0</v>
      </c>
      <c r="I127" s="165"/>
      <c r="J127" s="328">
        <f>H127/DAY(B2)</f>
        <v>0</v>
      </c>
    </row>
    <row r="128" spans="1:18" ht="29.25" customHeight="1">
      <c r="A128" s="881" t="s">
        <v>318</v>
      </c>
      <c r="B128" s="882"/>
      <c r="C128" s="883"/>
      <c r="D128" s="151" t="s">
        <v>183</v>
      </c>
      <c r="E128" s="95">
        <f>'3'!F128</f>
        <v>193350.99</v>
      </c>
      <c r="F128" s="165">
        <v>193860.2</v>
      </c>
      <c r="G128" s="112">
        <f t="shared" ref="G128:G134" si="10">F128-E128</f>
        <v>509.21000000002095</v>
      </c>
      <c r="H128" s="99">
        <f>G128+'3'!H128</f>
        <v>1974.570000000007</v>
      </c>
      <c r="I128" s="165"/>
      <c r="J128" s="328">
        <f>H128/DAY(B2)</f>
        <v>493.64250000000175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'3'!F129</f>
        <v>101837.37</v>
      </c>
      <c r="F129" s="165">
        <v>102025.33</v>
      </c>
      <c r="G129" s="112">
        <f t="shared" si="10"/>
        <v>187.9600000000064</v>
      </c>
      <c r="H129" s="99">
        <f>G129+'3'!H129</f>
        <v>748.33000000000175</v>
      </c>
      <c r="I129" s="165"/>
      <c r="J129" s="328">
        <f>H129/DAY(B2)</f>
        <v>187.08250000000044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'3'!F130</f>
        <v>269914.17</v>
      </c>
      <c r="F130" s="165">
        <v>270543</v>
      </c>
      <c r="G130" s="112">
        <f t="shared" si="10"/>
        <v>628.8300000000163</v>
      </c>
      <c r="H130" s="99">
        <f>G130+'3'!H130</f>
        <v>1728</v>
      </c>
      <c r="I130" s="165"/>
      <c r="J130" s="328">
        <f>H130/DAY(B2)</f>
        <v>432</v>
      </c>
      <c r="N130" s="240"/>
      <c r="O130" s="241"/>
    </row>
    <row r="131" spans="1:15" ht="25.5">
      <c r="A131" s="881" t="s">
        <v>321</v>
      </c>
      <c r="B131" s="882"/>
      <c r="C131" s="883"/>
      <c r="D131" s="151" t="s">
        <v>183</v>
      </c>
      <c r="E131" s="95">
        <f>'3'!F131</f>
        <v>80110.63</v>
      </c>
      <c r="F131" s="165">
        <v>80253</v>
      </c>
      <c r="G131" s="112">
        <f t="shared" si="10"/>
        <v>142.36999999999534</v>
      </c>
      <c r="H131" s="99">
        <f>G131+'3'!H131</f>
        <v>702.36999999999534</v>
      </c>
      <c r="I131" s="165"/>
      <c r="J131" s="328">
        <f>H131/DAY(B2)</f>
        <v>175.59249999999884</v>
      </c>
      <c r="N131" s="240"/>
      <c r="O131" s="241"/>
    </row>
    <row r="132" spans="1:15" ht="25.5">
      <c r="A132" s="881" t="s">
        <v>322</v>
      </c>
      <c r="B132" s="882"/>
      <c r="C132" s="883"/>
      <c r="D132" s="151" t="s">
        <v>183</v>
      </c>
      <c r="E132" s="95">
        <f>'3'!F132</f>
        <v>148274</v>
      </c>
      <c r="F132" s="165">
        <v>148274</v>
      </c>
      <c r="G132" s="112">
        <f t="shared" si="10"/>
        <v>0</v>
      </c>
      <c r="H132" s="99">
        <f>G132+'3'!H132</f>
        <v>0</v>
      </c>
      <c r="I132" s="165"/>
      <c r="J132" s="328">
        <f>H132/DAY(B2)</f>
        <v>0</v>
      </c>
    </row>
    <row r="133" spans="1:15" ht="25.5">
      <c r="A133" s="881" t="s">
        <v>323</v>
      </c>
      <c r="B133" s="882"/>
      <c r="C133" s="883"/>
      <c r="D133" s="151" t="s">
        <v>183</v>
      </c>
      <c r="E133" s="95">
        <f>'3'!F133</f>
        <v>288548.17</v>
      </c>
      <c r="F133" s="165">
        <v>288548.17</v>
      </c>
      <c r="G133" s="112">
        <f t="shared" si="10"/>
        <v>0</v>
      </c>
      <c r="H133" s="99">
        <f>G133+'3'!H133</f>
        <v>-644499.83000000007</v>
      </c>
      <c r="I133" s="165"/>
      <c r="J133" s="328">
        <f>H133/DAY(B2)</f>
        <v>-161124.95750000002</v>
      </c>
    </row>
    <row r="134" spans="1:15" ht="25.5">
      <c r="A134" s="881" t="s">
        <v>340</v>
      </c>
      <c r="B134" s="882"/>
      <c r="C134" s="883"/>
      <c r="D134" s="151" t="s">
        <v>183</v>
      </c>
      <c r="E134" s="95">
        <f>'3'!F134</f>
        <v>86759.43</v>
      </c>
      <c r="F134" s="165">
        <v>87020</v>
      </c>
      <c r="G134" s="112">
        <f t="shared" si="10"/>
        <v>260.57000000000698</v>
      </c>
      <c r="H134" s="99">
        <f>G134+'3'!H134</f>
        <v>1068</v>
      </c>
      <c r="I134" s="165"/>
      <c r="J134" s="328">
        <f>H134/DAY(B2)</f>
        <v>267</v>
      </c>
    </row>
    <row r="135" spans="1:15" ht="26.25">
      <c r="A135" s="911" t="s">
        <v>196</v>
      </c>
      <c r="B135" s="912"/>
      <c r="C135" s="913"/>
      <c r="D135" s="151"/>
      <c r="E135" s="95"/>
      <c r="F135" s="165"/>
      <c r="G135" s="112">
        <f>SUM(G128:G134)</f>
        <v>1728.940000000046</v>
      </c>
      <c r="H135" s="99">
        <f>G135+'3'!H135</f>
        <v>-638278.56000000006</v>
      </c>
      <c r="I135" s="327">
        <f>G135-(G35+G49)</f>
        <v>-1085.9099999999307</v>
      </c>
      <c r="J135" s="328">
        <f>H135/DAY(B2)</f>
        <v>-159569.64000000001</v>
      </c>
    </row>
    <row r="136" spans="1:15" ht="27.75">
      <c r="A136" s="869" t="s">
        <v>325</v>
      </c>
      <c r="B136" s="869"/>
      <c r="C136" s="869"/>
      <c r="D136" s="869"/>
      <c r="E136" s="869"/>
      <c r="F136" s="869"/>
      <c r="G136" s="869"/>
      <c r="H136" s="869"/>
      <c r="I136" s="869"/>
      <c r="J136" s="869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80" t="s">
        <v>185</v>
      </c>
      <c r="B138" s="880"/>
      <c r="C138" s="880"/>
      <c r="D138" s="151" t="s">
        <v>183</v>
      </c>
      <c r="E138" s="95">
        <f>'3'!F138</f>
        <v>909866</v>
      </c>
      <c r="F138" s="147">
        <v>909978</v>
      </c>
      <c r="G138" s="112">
        <f t="shared" ref="G138:G152" si="11">F138-E138</f>
        <v>112</v>
      </c>
      <c r="H138" s="99">
        <f>G138+'3'!H138</f>
        <v>499</v>
      </c>
      <c r="I138" s="118"/>
      <c r="J138" s="328">
        <f>H138/DAY(B2)</f>
        <v>124.75</v>
      </c>
    </row>
    <row r="139" spans="1:15" ht="25.5">
      <c r="A139" s="880" t="s">
        <v>186</v>
      </c>
      <c r="B139" s="880"/>
      <c r="C139" s="880"/>
      <c r="D139" s="151" t="s">
        <v>183</v>
      </c>
      <c r="E139" s="95">
        <f>'3'!F139</f>
        <v>932872</v>
      </c>
      <c r="F139" s="148">
        <v>933016</v>
      </c>
      <c r="G139" s="112">
        <f t="shared" si="11"/>
        <v>144</v>
      </c>
      <c r="H139" s="99">
        <f>G139+'3'!H139</f>
        <v>656</v>
      </c>
      <c r="I139" s="118"/>
      <c r="J139" s="328">
        <f>H139/DAY(B2)</f>
        <v>164</v>
      </c>
    </row>
    <row r="140" spans="1:15" ht="25.5">
      <c r="A140" s="880" t="s">
        <v>187</v>
      </c>
      <c r="B140" s="880"/>
      <c r="C140" s="880"/>
      <c r="D140" s="151" t="s">
        <v>183</v>
      </c>
      <c r="E140" s="95">
        <f>'3'!F140</f>
        <v>4087</v>
      </c>
      <c r="F140" s="149">
        <v>4100.8999999999996</v>
      </c>
      <c r="G140" s="112">
        <f t="shared" si="11"/>
        <v>13.899999999999636</v>
      </c>
      <c r="H140" s="99">
        <f>G140+'3'!H140</f>
        <v>67.388999999999669</v>
      </c>
      <c r="I140" s="118"/>
      <c r="J140" s="328">
        <f>H140/DAY(B2)</f>
        <v>16.847249999999917</v>
      </c>
    </row>
    <row r="141" spans="1:15" ht="25.5">
      <c r="A141" s="863" t="s">
        <v>188</v>
      </c>
      <c r="B141" s="863"/>
      <c r="C141" s="863"/>
      <c r="D141" s="151" t="s">
        <v>183</v>
      </c>
      <c r="E141" s="95">
        <f>'3'!F141</f>
        <v>125194.45</v>
      </c>
      <c r="F141" s="149">
        <v>125386</v>
      </c>
      <c r="G141" s="112">
        <f t="shared" si="11"/>
        <v>191.55000000000291</v>
      </c>
      <c r="H141" s="99">
        <f>G141+'3'!H141</f>
        <v>788</v>
      </c>
      <c r="I141" s="118"/>
      <c r="J141" s="328">
        <f>H141/DAY(B2)</f>
        <v>197</v>
      </c>
    </row>
    <row r="142" spans="1:15" ht="25.5">
      <c r="A142" s="863" t="s">
        <v>189</v>
      </c>
      <c r="B142" s="863"/>
      <c r="C142" s="863"/>
      <c r="D142" s="151" t="s">
        <v>183</v>
      </c>
      <c r="E142" s="95">
        <f>'3'!F142</f>
        <v>50833.11</v>
      </c>
      <c r="F142" s="148">
        <v>50914</v>
      </c>
      <c r="G142" s="112">
        <f t="shared" si="11"/>
        <v>80.889999999999418</v>
      </c>
      <c r="H142" s="99">
        <f>G142+'3'!H142</f>
        <v>348.44999999999709</v>
      </c>
      <c r="I142" s="140"/>
      <c r="J142" s="328">
        <f>H142/DAY(B2)</f>
        <v>87.112499999999272</v>
      </c>
    </row>
    <row r="143" spans="1:15" ht="25.5">
      <c r="A143" s="880" t="s">
        <v>91</v>
      </c>
      <c r="B143" s="880"/>
      <c r="C143" s="880"/>
      <c r="D143" s="151" t="s">
        <v>183</v>
      </c>
      <c r="E143" s="95">
        <f>'3'!F143</f>
        <v>13487.46</v>
      </c>
      <c r="F143" s="149">
        <v>13516.3</v>
      </c>
      <c r="G143" s="112">
        <f t="shared" si="11"/>
        <v>28.840000000000146</v>
      </c>
      <c r="H143" s="99">
        <f>G143+'3'!H143</f>
        <v>129.29999999999927</v>
      </c>
      <c r="I143" s="140"/>
      <c r="J143" s="328">
        <f>H143/DAY(B2)</f>
        <v>32.324999999999818</v>
      </c>
    </row>
    <row r="144" spans="1:15" ht="25.5">
      <c r="A144" s="863" t="s">
        <v>90</v>
      </c>
      <c r="B144" s="863"/>
      <c r="C144" s="863"/>
      <c r="D144" s="151" t="s">
        <v>183</v>
      </c>
      <c r="E144" s="95">
        <f>'3'!F144</f>
        <v>956204</v>
      </c>
      <c r="F144" s="149">
        <v>956444</v>
      </c>
      <c r="G144" s="112">
        <f t="shared" si="11"/>
        <v>240</v>
      </c>
      <c r="H144" s="99">
        <f>G144+'3'!H144</f>
        <v>974</v>
      </c>
      <c r="I144" s="140"/>
      <c r="J144" s="328">
        <f>H144/DAY(B2)</f>
        <v>243.5</v>
      </c>
    </row>
    <row r="145" spans="1:10" ht="25.5">
      <c r="A145" s="880" t="s">
        <v>190</v>
      </c>
      <c r="B145" s="880"/>
      <c r="C145" s="880"/>
      <c r="D145" s="152" t="s">
        <v>183</v>
      </c>
      <c r="E145" s="95">
        <f>'3'!F145</f>
        <v>745546</v>
      </c>
      <c r="F145" s="149">
        <v>745728</v>
      </c>
      <c r="G145" s="236">
        <f t="shared" si="11"/>
        <v>182</v>
      </c>
      <c r="H145" s="99">
        <f>G145+'3'!H145</f>
        <v>547</v>
      </c>
      <c r="I145" s="140"/>
      <c r="J145" s="328">
        <f>H145/DAY(B2)</f>
        <v>136.75</v>
      </c>
    </row>
    <row r="146" spans="1:10" ht="25.5">
      <c r="A146" s="914" t="s">
        <v>191</v>
      </c>
      <c r="B146" s="900"/>
      <c r="C146" s="901"/>
      <c r="D146" s="152" t="s">
        <v>183</v>
      </c>
      <c r="E146" s="95">
        <f>'3'!F146</f>
        <v>787940</v>
      </c>
      <c r="F146" s="148">
        <v>787978</v>
      </c>
      <c r="G146" s="112">
        <f t="shared" si="11"/>
        <v>38</v>
      </c>
      <c r="H146" s="99">
        <f>G146+'3'!H146</f>
        <v>120</v>
      </c>
      <c r="I146" s="140"/>
      <c r="J146" s="328">
        <f>H146/DAY(B2)</f>
        <v>30</v>
      </c>
    </row>
    <row r="147" spans="1:10" ht="25.5">
      <c r="A147" s="863" t="s">
        <v>192</v>
      </c>
      <c r="B147" s="863"/>
      <c r="C147" s="863"/>
      <c r="D147" s="152" t="s">
        <v>183</v>
      </c>
      <c r="E147" s="95">
        <f>'3'!F147</f>
        <v>761323.49</v>
      </c>
      <c r="F147" s="148">
        <v>761674.48</v>
      </c>
      <c r="G147" s="112">
        <f t="shared" si="11"/>
        <v>350.98999999999069</v>
      </c>
      <c r="H147" s="99">
        <f>G147+'3'!H147</f>
        <v>1536.4799999999814</v>
      </c>
      <c r="I147" s="140"/>
      <c r="J147" s="328">
        <f>H147/DAY(B2)</f>
        <v>384.11999999999534</v>
      </c>
    </row>
    <row r="148" spans="1:10" ht="25.5">
      <c r="A148" s="864" t="s">
        <v>193</v>
      </c>
      <c r="B148" s="865"/>
      <c r="C148" s="866"/>
      <c r="D148" s="123" t="s">
        <v>130</v>
      </c>
      <c r="E148" s="95">
        <f>'3'!F148</f>
        <v>797492.4</v>
      </c>
      <c r="F148" s="150">
        <v>797781.52</v>
      </c>
      <c r="G148" s="112">
        <f t="shared" si="11"/>
        <v>289.11999999999534</v>
      </c>
      <c r="H148" s="99">
        <f>G148+'3'!H148</f>
        <v>1369.4400000000605</v>
      </c>
      <c r="I148" s="124"/>
      <c r="J148" s="328">
        <f>H148/DAY(B2)</f>
        <v>342.36000000001513</v>
      </c>
    </row>
    <row r="149" spans="1:10" ht="25.5">
      <c r="A149" s="864" t="s">
        <v>336</v>
      </c>
      <c r="B149" s="865"/>
      <c r="C149" s="866"/>
      <c r="D149" s="227" t="s">
        <v>130</v>
      </c>
      <c r="E149" s="95">
        <f>'3'!F149</f>
        <v>202297.60000000001</v>
      </c>
      <c r="F149" s="146">
        <v>202746.23</v>
      </c>
      <c r="G149" s="112">
        <f t="shared" si="11"/>
        <v>448.63000000000466</v>
      </c>
      <c r="H149" s="99">
        <f>G149+'3'!H149</f>
        <v>1454.960000000021</v>
      </c>
      <c r="I149" s="119"/>
      <c r="J149" s="328">
        <f>H149/DAY(B2)</f>
        <v>363.74000000000524</v>
      </c>
    </row>
    <row r="150" spans="1:10" ht="25.5">
      <c r="A150" s="864" t="s">
        <v>337</v>
      </c>
      <c r="B150" s="865"/>
      <c r="C150" s="866"/>
      <c r="D150" s="117" t="s">
        <v>130</v>
      </c>
      <c r="E150" s="95">
        <f>'3'!F150</f>
        <v>85689.66</v>
      </c>
      <c r="F150" s="233">
        <v>85923.3</v>
      </c>
      <c r="G150" s="112">
        <f t="shared" si="11"/>
        <v>233.63999999999942</v>
      </c>
      <c r="H150" s="99">
        <f>G150+'3'!H150</f>
        <v>709.30000000000291</v>
      </c>
      <c r="I150" s="119"/>
      <c r="J150" s="328">
        <f>H150/DAY(B2)</f>
        <v>177.32500000000073</v>
      </c>
    </row>
    <row r="151" spans="1:10" ht="25.5">
      <c r="A151" s="864" t="s">
        <v>338</v>
      </c>
      <c r="B151" s="865"/>
      <c r="C151" s="866"/>
      <c r="D151" s="117" t="s">
        <v>130</v>
      </c>
      <c r="E151" s="95">
        <f>'3'!F151</f>
        <v>167591</v>
      </c>
      <c r="F151" s="233">
        <v>167889</v>
      </c>
      <c r="G151" s="112">
        <f t="shared" si="11"/>
        <v>298</v>
      </c>
      <c r="H151" s="99">
        <f>G151+'3'!H151</f>
        <v>1159</v>
      </c>
      <c r="I151" s="119"/>
      <c r="J151" s="328">
        <f>H151/DAY(B2)</f>
        <v>289.75</v>
      </c>
    </row>
    <row r="152" spans="1:10" ht="25.5">
      <c r="A152" s="864" t="s">
        <v>339</v>
      </c>
      <c r="B152" s="865"/>
      <c r="C152" s="866"/>
      <c r="D152" s="117" t="s">
        <v>130</v>
      </c>
      <c r="E152" s="95">
        <f>'3'!F152</f>
        <v>42900.15</v>
      </c>
      <c r="F152" s="233">
        <v>43031</v>
      </c>
      <c r="G152" s="112">
        <f t="shared" si="11"/>
        <v>130.84999999999854</v>
      </c>
      <c r="H152" s="99">
        <f>G152+'3'!H152</f>
        <v>520</v>
      </c>
      <c r="I152" s="119"/>
      <c r="J152" s="328">
        <f>H152/DAY(B2)</f>
        <v>130</v>
      </c>
    </row>
    <row r="153" spans="1:10" ht="26.25">
      <c r="A153" s="911" t="s">
        <v>196</v>
      </c>
      <c r="B153" s="912"/>
      <c r="C153" s="913"/>
      <c r="D153" s="358"/>
      <c r="E153" s="360"/>
      <c r="F153" s="361"/>
      <c r="G153" s="362">
        <f>SUM(G138:G152)</f>
        <v>2782.4099999999908</v>
      </c>
      <c r="H153" s="363"/>
      <c r="I153" s="119">
        <f>G153-(G38+G52)</f>
        <v>378.2799999999861</v>
      </c>
      <c r="J153" s="366"/>
    </row>
    <row r="154" spans="1:10" ht="27.75">
      <c r="A154" s="869" t="s">
        <v>344</v>
      </c>
      <c r="B154" s="869"/>
      <c r="C154" s="869"/>
      <c r="D154" s="869"/>
      <c r="E154" s="869"/>
      <c r="F154" s="869"/>
      <c r="G154" s="869"/>
      <c r="H154" s="869"/>
      <c r="I154" s="869"/>
      <c r="J154" s="869"/>
    </row>
    <row r="155" spans="1:10" ht="27.75">
      <c r="A155" s="863" t="s">
        <v>345</v>
      </c>
      <c r="B155" s="863"/>
      <c r="C155" s="863"/>
      <c r="D155" s="117" t="s">
        <v>130</v>
      </c>
      <c r="E155" s="95">
        <f>'3'!F155</f>
        <v>240744</v>
      </c>
      <c r="F155" s="374">
        <v>241307</v>
      </c>
      <c r="G155" s="112">
        <f t="shared" ref="G155:G158" si="12">F155-E155</f>
        <v>563</v>
      </c>
      <c r="H155" s="99">
        <f>G155+'3'!H155</f>
        <v>2273</v>
      </c>
      <c r="I155" s="364"/>
      <c r="J155" s="328">
        <f>H155/DAY(B2)</f>
        <v>568.25</v>
      </c>
    </row>
    <row r="156" spans="1:10" ht="25.5">
      <c r="A156" s="863" t="s">
        <v>346</v>
      </c>
      <c r="B156" s="863"/>
      <c r="C156" s="863"/>
      <c r="D156" s="117" t="s">
        <v>130</v>
      </c>
      <c r="E156" s="95">
        <f>'3'!F156</f>
        <v>29876.29</v>
      </c>
      <c r="F156" s="155">
        <v>29970.400000000001</v>
      </c>
      <c r="G156" s="112">
        <f t="shared" si="12"/>
        <v>94.110000000000582</v>
      </c>
      <c r="H156" s="99">
        <f>G156+'3'!H156</f>
        <v>290.90000000000146</v>
      </c>
      <c r="I156" s="165"/>
      <c r="J156" s="328">
        <f>H156/DAY(B2)</f>
        <v>72.725000000000364</v>
      </c>
    </row>
    <row r="157" spans="1:10" ht="25.5">
      <c r="A157" s="864" t="s">
        <v>360</v>
      </c>
      <c r="B157" s="865"/>
      <c r="C157" s="866"/>
      <c r="D157" s="117" t="s">
        <v>130</v>
      </c>
      <c r="E157" s="95">
        <f>'3'!F157</f>
        <v>37559</v>
      </c>
      <c r="F157" s="155">
        <v>37559</v>
      </c>
      <c r="G157" s="112">
        <f t="shared" si="12"/>
        <v>0</v>
      </c>
      <c r="H157" s="99">
        <f>G157+'3'!H157</f>
        <v>0</v>
      </c>
      <c r="I157" s="165"/>
      <c r="J157" s="328">
        <f>H157/DAY(B2)</f>
        <v>0</v>
      </c>
    </row>
    <row r="158" spans="1:10" ht="25.5">
      <c r="A158" s="864" t="s">
        <v>361</v>
      </c>
      <c r="B158" s="865"/>
      <c r="C158" s="866"/>
      <c r="D158" s="117" t="s">
        <v>130</v>
      </c>
      <c r="E158" s="95">
        <f>'3'!F158</f>
        <v>1762</v>
      </c>
      <c r="F158" s="155">
        <v>1763.37</v>
      </c>
      <c r="G158" s="112">
        <f t="shared" si="12"/>
        <v>1.3699999999998909</v>
      </c>
      <c r="H158" s="99">
        <f>G158+'3'!H158</f>
        <v>5.3699999999998909</v>
      </c>
      <c r="I158" s="165"/>
      <c r="J158" s="328">
        <f>H158/DAY(B2)</f>
        <v>1.3424999999999727</v>
      </c>
    </row>
    <row r="159" spans="1:10" ht="25.5">
      <c r="A159" s="944"/>
      <c r="B159" s="945"/>
      <c r="C159" s="946"/>
      <c r="D159" s="117"/>
      <c r="E159" s="95"/>
      <c r="F159" s="165"/>
      <c r="G159" s="112"/>
      <c r="H159" s="99"/>
      <c r="I159" s="165"/>
      <c r="J159" s="328"/>
    </row>
    <row r="160" spans="1:10" ht="27.75">
      <c r="A160" s="869" t="s">
        <v>326</v>
      </c>
      <c r="B160" s="869"/>
      <c r="C160" s="869"/>
      <c r="D160" s="869"/>
      <c r="E160" s="869"/>
      <c r="F160" s="869"/>
      <c r="G160" s="869"/>
      <c r="H160" s="869"/>
      <c r="I160" s="869"/>
      <c r="J160" s="869"/>
    </row>
    <row r="161" spans="1:10" ht="26.25">
      <c r="A161" s="242" t="s">
        <v>92</v>
      </c>
      <c r="B161" s="243"/>
      <c r="C161" s="243"/>
      <c r="D161" s="244" t="s">
        <v>180</v>
      </c>
      <c r="E161" s="95">
        <f>'3'!F161</f>
        <v>508861.44</v>
      </c>
      <c r="F161" s="235">
        <v>509007.16</v>
      </c>
      <c r="G161" s="238">
        <f t="shared" ref="G161:G168" si="13">F161-E161</f>
        <v>145.71999999997206</v>
      </c>
      <c r="H161" s="99">
        <f>G161+'3'!H161</f>
        <v>623.8399999999674</v>
      </c>
      <c r="I161" s="236"/>
      <c r="J161" s="239">
        <f>H161/DAY(B2)</f>
        <v>155.95999999999185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'3'!F162</f>
        <v>855.7</v>
      </c>
      <c r="F162" s="235">
        <v>896.4</v>
      </c>
      <c r="G162" s="238">
        <f t="shared" si="13"/>
        <v>40.699999999999932</v>
      </c>
      <c r="H162" s="99">
        <f>G162+'3'!H162</f>
        <v>124.79999999999995</v>
      </c>
      <c r="I162" s="236"/>
      <c r="J162" s="239">
        <f>H162/DAY(B2)</f>
        <v>31.199999999999989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'3'!F163</f>
        <v>0</v>
      </c>
      <c r="F163" s="235">
        <v>0</v>
      </c>
      <c r="G163" s="238">
        <f t="shared" si="13"/>
        <v>0</v>
      </c>
      <c r="H163" s="99">
        <f>G163+'3'!H163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'3'!F164</f>
        <v>7211</v>
      </c>
      <c r="F164" s="235">
        <v>7215.8</v>
      </c>
      <c r="G164" s="238">
        <f t="shared" si="13"/>
        <v>4.8000000000001819</v>
      </c>
      <c r="H164" s="99">
        <f>G164+'3'!H164</f>
        <v>16.800000000000182</v>
      </c>
      <c r="I164" s="236"/>
      <c r="J164" s="239">
        <f>H164/DAY(B2)</f>
        <v>4.2000000000000455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'3'!F165</f>
        <v>32796.5</v>
      </c>
      <c r="F165" s="235">
        <v>32803</v>
      </c>
      <c r="G165" s="238">
        <f t="shared" si="13"/>
        <v>6.5</v>
      </c>
      <c r="H165" s="99">
        <f>G165+'3'!H165</f>
        <v>22.911999999996624</v>
      </c>
      <c r="I165" s="236"/>
      <c r="J165" s="239">
        <f>H165/DAY(B2)</f>
        <v>5.727999999999156</v>
      </c>
    </row>
    <row r="166" spans="1:10" ht="26.25">
      <c r="A166" s="870"/>
      <c r="B166" s="870"/>
      <c r="C166" s="246"/>
      <c r="D166" s="244" t="s">
        <v>180</v>
      </c>
      <c r="E166" s="95">
        <f>'3'!F166</f>
        <v>0</v>
      </c>
      <c r="F166" s="165"/>
      <c r="G166" s="238">
        <f t="shared" si="13"/>
        <v>0</v>
      </c>
      <c r="H166" s="99">
        <f>G166+'3'!H166</f>
        <v>0</v>
      </c>
      <c r="I166" s="165"/>
      <c r="J166" s="327"/>
    </row>
    <row r="167" spans="1:10" ht="26.25">
      <c r="A167" s="870"/>
      <c r="B167" s="870"/>
      <c r="C167" s="246"/>
      <c r="D167" s="244" t="s">
        <v>180</v>
      </c>
      <c r="E167" s="95">
        <f>'3'!F167</f>
        <v>0</v>
      </c>
      <c r="F167" s="165"/>
      <c r="G167" s="238">
        <f t="shared" si="13"/>
        <v>0</v>
      </c>
      <c r="H167" s="99">
        <f>G167+'3'!H167</f>
        <v>0</v>
      </c>
      <c r="I167" s="165"/>
      <c r="J167" s="327"/>
    </row>
    <row r="168" spans="1:10" ht="26.25">
      <c r="A168" s="870"/>
      <c r="B168" s="870"/>
      <c r="C168" s="246"/>
      <c r="D168" s="244" t="s">
        <v>180</v>
      </c>
      <c r="E168" s="95">
        <f>'3'!F168</f>
        <v>0</v>
      </c>
      <c r="F168" s="165"/>
      <c r="G168" s="238">
        <f t="shared" si="13"/>
        <v>0</v>
      </c>
      <c r="H168" s="99">
        <f>G168+'3'!H168</f>
        <v>0</v>
      </c>
      <c r="I168" s="165"/>
      <c r="J168" s="327"/>
    </row>
    <row r="169" spans="1:10" ht="26.25"/>
    <row r="170" spans="1:10" ht="26.25"/>
    <row r="171" spans="1:10" ht="27.75">
      <c r="A171" s="871" t="s">
        <v>330</v>
      </c>
      <c r="B171" s="872"/>
      <c r="C171" s="872"/>
      <c r="D171" s="872"/>
      <c r="E171" s="872"/>
      <c r="F171" s="872"/>
      <c r="G171" s="872"/>
      <c r="H171" s="872"/>
      <c r="I171" s="872"/>
      <c r="J171" s="873"/>
    </row>
    <row r="172" spans="1:10" ht="25.5">
      <c r="A172" s="878"/>
      <c r="B172" s="879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789" t="s">
        <v>209</v>
      </c>
      <c r="B173" s="790"/>
      <c r="C173" s="333"/>
      <c r="D173" s="228" t="s">
        <v>142</v>
      </c>
      <c r="E173" s="95">
        <f>'3'!F173</f>
        <v>8616</v>
      </c>
      <c r="F173" s="155">
        <v>8618</v>
      </c>
      <c r="G173" s="155">
        <f>F173-E173</f>
        <v>2</v>
      </c>
      <c r="H173" s="99">
        <f>G173+'3'!H173</f>
        <v>6</v>
      </c>
      <c r="I173" s="155"/>
      <c r="J173" s="178">
        <f>H173/DAY(B2)</f>
        <v>1.5</v>
      </c>
    </row>
    <row r="174" spans="1:10" ht="25.5">
      <c r="A174" s="789" t="s">
        <v>75</v>
      </c>
      <c r="B174" s="790"/>
      <c r="C174" s="333"/>
      <c r="D174" s="228" t="s">
        <v>142</v>
      </c>
      <c r="E174" s="95">
        <f>'3'!F174</f>
        <v>43075</v>
      </c>
      <c r="F174" s="157">
        <v>43088</v>
      </c>
      <c r="G174" s="155">
        <f t="shared" ref="G174:G175" si="14">F174-E174</f>
        <v>13</v>
      </c>
      <c r="H174" s="99">
        <f>G174+'3'!H174</f>
        <v>38</v>
      </c>
      <c r="I174" s="155"/>
      <c r="J174" s="178">
        <f>H174/DAY(B2)</f>
        <v>9.5</v>
      </c>
    </row>
    <row r="175" spans="1:10" ht="25.5" customHeight="1">
      <c r="A175" s="789" t="s">
        <v>76</v>
      </c>
      <c r="B175" s="802"/>
      <c r="C175" s="790"/>
      <c r="D175" s="228" t="s">
        <v>142</v>
      </c>
      <c r="E175" s="95">
        <f>'3'!F175</f>
        <v>25870</v>
      </c>
      <c r="F175" s="155">
        <v>25884</v>
      </c>
      <c r="G175" s="155">
        <f t="shared" si="14"/>
        <v>14</v>
      </c>
      <c r="H175" s="99">
        <f>G175+'3'!H175</f>
        <v>63</v>
      </c>
      <c r="I175" s="155"/>
      <c r="J175" s="178">
        <f>H175/DAY(B2)</f>
        <v>15.75</v>
      </c>
    </row>
    <row r="176" spans="1:10" ht="24.75" customHeight="1">
      <c r="A176" s="911" t="s">
        <v>196</v>
      </c>
      <c r="B176" s="912"/>
      <c r="C176" s="913"/>
      <c r="D176" s="228"/>
      <c r="E176" s="95"/>
      <c r="F176" s="155"/>
      <c r="G176" s="155">
        <f>SUM(G173:G175)</f>
        <v>29</v>
      </c>
      <c r="H176" s="99">
        <f>G176+'3'!H176</f>
        <v>107</v>
      </c>
      <c r="I176" s="155"/>
      <c r="J176" s="178">
        <f>H176/DAY(B2)</f>
        <v>26.75</v>
      </c>
    </row>
    <row r="177" spans="1:10" ht="28.5" customHeight="1">
      <c r="A177" s="789" t="s">
        <v>77</v>
      </c>
      <c r="B177" s="790"/>
      <c r="C177" s="333"/>
      <c r="D177" s="228" t="s">
        <v>142</v>
      </c>
      <c r="E177" s="95"/>
      <c r="F177" s="155"/>
      <c r="G177" s="155"/>
      <c r="H177" s="99">
        <f>G177+'3'!H177</f>
        <v>0</v>
      </c>
      <c r="I177" s="155"/>
      <c r="J177" s="178">
        <f>H177/DAY(B2)</f>
        <v>0</v>
      </c>
    </row>
    <row r="178" spans="1:10" ht="24.75" customHeight="1">
      <c r="A178" s="789" t="s">
        <v>210</v>
      </c>
      <c r="B178" s="790"/>
      <c r="C178" s="333"/>
      <c r="D178" s="228" t="s">
        <v>142</v>
      </c>
      <c r="E178" s="95">
        <f>'3'!F178</f>
        <v>107323</v>
      </c>
      <c r="F178" s="157">
        <v>107442</v>
      </c>
      <c r="G178" s="155">
        <f>F178-E178</f>
        <v>119</v>
      </c>
      <c r="H178" s="99">
        <f>G178+'3'!H178</f>
        <v>443</v>
      </c>
      <c r="I178" s="155"/>
      <c r="J178" s="178">
        <f>H178/DAY(B2)</f>
        <v>110.75</v>
      </c>
    </row>
    <row r="179" spans="1:10" ht="24" customHeight="1">
      <c r="A179" s="789" t="s">
        <v>211</v>
      </c>
      <c r="B179" s="790"/>
      <c r="C179" s="333"/>
      <c r="D179" s="228" t="s">
        <v>142</v>
      </c>
      <c r="E179" s="95">
        <f>'3'!F179</f>
        <v>37501</v>
      </c>
      <c r="F179" s="155">
        <v>37501</v>
      </c>
      <c r="G179" s="155">
        <f t="shared" ref="G179:G180" si="15">F179-E179</f>
        <v>0</v>
      </c>
      <c r="H179" s="99">
        <f>G179+'3'!H179</f>
        <v>0</v>
      </c>
      <c r="I179" s="155"/>
      <c r="J179" s="178">
        <f>H179/DAY(B2)</f>
        <v>0</v>
      </c>
    </row>
    <row r="180" spans="1:10" ht="25.5">
      <c r="A180" s="789" t="s">
        <v>212</v>
      </c>
      <c r="B180" s="790"/>
      <c r="C180" s="333"/>
      <c r="D180" s="228" t="s">
        <v>142</v>
      </c>
      <c r="E180" s="95">
        <f>'3'!F180</f>
        <v>7574</v>
      </c>
      <c r="F180" s="155">
        <v>7574</v>
      </c>
      <c r="G180" s="155">
        <f t="shared" si="15"/>
        <v>0</v>
      </c>
      <c r="H180" s="99">
        <f>G180+'3'!H180</f>
        <v>11</v>
      </c>
      <c r="I180" s="155"/>
      <c r="J180" s="178">
        <f>H180/DAY(B2)</f>
        <v>2.75</v>
      </c>
    </row>
    <row r="181" spans="1:10" ht="21.95" customHeight="1">
      <c r="A181" s="911" t="s">
        <v>196</v>
      </c>
      <c r="B181" s="912"/>
      <c r="C181" s="913"/>
      <c r="D181" s="228"/>
      <c r="E181" s="95"/>
      <c r="F181" s="155"/>
      <c r="G181" s="155">
        <f>SUM(G178:G180)</f>
        <v>119</v>
      </c>
      <c r="H181" s="99">
        <f>G181+'3'!H181</f>
        <v>454</v>
      </c>
      <c r="I181" s="155"/>
      <c r="J181" s="178">
        <f>H181/DAY(B2)</f>
        <v>113.5</v>
      </c>
    </row>
    <row r="182" spans="1:10" ht="21.95" customHeight="1">
      <c r="A182" s="789" t="s">
        <v>213</v>
      </c>
      <c r="B182" s="790"/>
      <c r="C182" s="333"/>
      <c r="D182" s="228"/>
      <c r="E182" s="95"/>
      <c r="F182" s="155"/>
      <c r="G182" s="155"/>
      <c r="H182" s="99">
        <f>G182+'3'!H182</f>
        <v>0</v>
      </c>
      <c r="I182" s="155"/>
      <c r="J182" s="178">
        <f>H182/DAY(B2)</f>
        <v>0</v>
      </c>
    </row>
    <row r="183" spans="1:10" ht="25.5">
      <c r="A183" s="789" t="s">
        <v>214</v>
      </c>
      <c r="B183" s="790"/>
      <c r="C183" s="334"/>
      <c r="D183" s="228" t="s">
        <v>142</v>
      </c>
      <c r="E183" s="95">
        <f>'3'!F183</f>
        <v>18408</v>
      </c>
      <c r="F183" s="157">
        <v>18413</v>
      </c>
      <c r="G183" s="157">
        <f>F183-E183</f>
        <v>5</v>
      </c>
      <c r="H183" s="99">
        <f>G183+'3'!H183</f>
        <v>35</v>
      </c>
      <c r="I183" s="155"/>
      <c r="J183" s="178">
        <f>H183/DAY(B2)</f>
        <v>8.75</v>
      </c>
    </row>
    <row r="184" spans="1:10" ht="25.5">
      <c r="A184" s="789" t="s">
        <v>215</v>
      </c>
      <c r="B184" s="790"/>
      <c r="C184" s="334"/>
      <c r="D184" s="228" t="s">
        <v>142</v>
      </c>
      <c r="E184" s="95">
        <f>'3'!F184</f>
        <v>13026</v>
      </c>
      <c r="F184" s="157">
        <v>13033</v>
      </c>
      <c r="G184" s="157">
        <f t="shared" ref="G184:G185" si="16">F184-E184</f>
        <v>7</v>
      </c>
      <c r="H184" s="99">
        <f>G184+'3'!H184</f>
        <v>53</v>
      </c>
      <c r="I184" s="155"/>
      <c r="J184" s="178">
        <f>H184/DAY(B2)</f>
        <v>13.25</v>
      </c>
    </row>
    <row r="185" spans="1:10" ht="25.5">
      <c r="A185" s="789" t="s">
        <v>216</v>
      </c>
      <c r="B185" s="790"/>
      <c r="C185" s="334"/>
      <c r="D185" s="228" t="s">
        <v>142</v>
      </c>
      <c r="E185" s="95">
        <f>'3'!F185</f>
        <v>0</v>
      </c>
      <c r="F185" s="157"/>
      <c r="G185" s="157">
        <f t="shared" si="16"/>
        <v>0</v>
      </c>
      <c r="H185" s="99">
        <f>G185+'3'!H185</f>
        <v>0</v>
      </c>
      <c r="I185" s="155"/>
      <c r="J185" s="178">
        <f>H185/DAY(B2)</f>
        <v>0</v>
      </c>
    </row>
    <row r="186" spans="1:10" ht="26.25">
      <c r="A186" s="911" t="s">
        <v>196</v>
      </c>
      <c r="B186" s="912"/>
      <c r="C186" s="913"/>
      <c r="D186" s="229"/>
      <c r="E186" s="95"/>
      <c r="F186" s="157"/>
      <c r="G186" s="157">
        <f>SUM(G183:G185)</f>
        <v>12</v>
      </c>
      <c r="H186" s="99">
        <f>G186+'3'!H186</f>
        <v>88</v>
      </c>
      <c r="I186" s="157"/>
      <c r="J186" s="178">
        <f>H186/DAY(B2)</f>
        <v>22</v>
      </c>
    </row>
    <row r="187" spans="1:10" ht="25.5" customHeight="1">
      <c r="A187" s="867" t="s">
        <v>217</v>
      </c>
      <c r="B187" s="868"/>
      <c r="C187" s="333"/>
      <c r="D187" s="230" t="s">
        <v>142</v>
      </c>
      <c r="E187" s="95"/>
      <c r="F187" s="99"/>
      <c r="G187" s="377">
        <f>G62+G19</f>
        <v>144.5</v>
      </c>
      <c r="H187" s="99">
        <f>G187+'3'!H187</f>
        <v>682</v>
      </c>
      <c r="I187" s="158"/>
      <c r="J187" s="179">
        <f>H187/DAY(B2)</f>
        <v>170.5</v>
      </c>
    </row>
    <row r="188" spans="1:10" ht="25.5">
      <c r="A188" s="867" t="s">
        <v>218</v>
      </c>
      <c r="B188" s="868"/>
      <c r="C188" s="333"/>
      <c r="D188" s="230" t="s">
        <v>142</v>
      </c>
      <c r="E188" s="95"/>
      <c r="F188" s="159"/>
      <c r="G188" s="377">
        <f>G65+G66+G67+G69+G70</f>
        <v>147</v>
      </c>
      <c r="H188" s="99">
        <f>G188+'3'!H188</f>
        <v>691</v>
      </c>
      <c r="I188" s="158"/>
      <c r="J188" s="179">
        <f>H188/DAY(B2)</f>
        <v>172.75</v>
      </c>
    </row>
    <row r="189" spans="1:10" ht="25.5">
      <c r="A189" s="867" t="s">
        <v>219</v>
      </c>
      <c r="B189" s="868"/>
      <c r="C189" s="333"/>
      <c r="D189" s="230" t="s">
        <v>142</v>
      </c>
      <c r="E189" s="95"/>
      <c r="F189" s="157"/>
      <c r="G189" s="376">
        <f>G181</f>
        <v>119</v>
      </c>
      <c r="H189" s="99">
        <f>G189+'3'!H189</f>
        <v>454</v>
      </c>
      <c r="I189" s="158"/>
      <c r="J189" s="179">
        <f>H189/DAY(B2)</f>
        <v>113.5</v>
      </c>
    </row>
    <row r="190" spans="1:10" ht="25.5">
      <c r="A190" s="867"/>
      <c r="B190" s="868"/>
      <c r="C190" s="333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6.25"/>
    <row r="192" spans="1:10" ht="26.25"/>
    <row r="193" ht="26.25"/>
    <row r="194" ht="26.25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4">
    <mergeCell ref="A103:C103"/>
    <mergeCell ref="A104:C104"/>
    <mergeCell ref="A105:C105"/>
    <mergeCell ref="A102:C102"/>
    <mergeCell ref="A73:C73"/>
    <mergeCell ref="A74:C74"/>
    <mergeCell ref="A75:C75"/>
    <mergeCell ref="A76:C76"/>
    <mergeCell ref="A1:J1"/>
    <mergeCell ref="A6:C6"/>
    <mergeCell ref="A14:C14"/>
    <mergeCell ref="A17:C17"/>
    <mergeCell ref="E3:F3"/>
    <mergeCell ref="A77:C77"/>
    <mergeCell ref="A79:C79"/>
    <mergeCell ref="A80:C80"/>
    <mergeCell ref="A81:C81"/>
    <mergeCell ref="A64:C64"/>
    <mergeCell ref="A65:C65"/>
    <mergeCell ref="A18:C18"/>
    <mergeCell ref="A19:C19"/>
    <mergeCell ref="A21:C21"/>
    <mergeCell ref="A25:C25"/>
    <mergeCell ref="A33:C33"/>
    <mergeCell ref="A78:C78"/>
    <mergeCell ref="A97:C97"/>
    <mergeCell ref="A98:C98"/>
    <mergeCell ref="A99:C99"/>
    <mergeCell ref="A100:C100"/>
    <mergeCell ref="A116:C116"/>
    <mergeCell ref="A93:C93"/>
    <mergeCell ref="A94:C94"/>
    <mergeCell ref="A61:C61"/>
    <mergeCell ref="A62:C62"/>
    <mergeCell ref="A63:C63"/>
    <mergeCell ref="A71:C71"/>
    <mergeCell ref="A72:B72"/>
    <mergeCell ref="A112:C112"/>
    <mergeCell ref="A113:C113"/>
    <mergeCell ref="A114:C114"/>
    <mergeCell ref="A115:C115"/>
    <mergeCell ref="A109:B109"/>
    <mergeCell ref="A108:J108"/>
    <mergeCell ref="A110:J110"/>
    <mergeCell ref="A111:C111"/>
    <mergeCell ref="A95:C95"/>
    <mergeCell ref="A96:C96"/>
    <mergeCell ref="A101:C101"/>
    <mergeCell ref="A119:C119"/>
    <mergeCell ref="A120:C120"/>
    <mergeCell ref="A121:C121"/>
    <mergeCell ref="A122:C122"/>
    <mergeCell ref="A124:C124"/>
    <mergeCell ref="A123:C123"/>
    <mergeCell ref="Q116:R116"/>
    <mergeCell ref="A117:C117"/>
    <mergeCell ref="Q117:R117"/>
    <mergeCell ref="A118:C118"/>
    <mergeCell ref="Q118:R118"/>
    <mergeCell ref="A126:J126"/>
    <mergeCell ref="A127:B127"/>
    <mergeCell ref="A128:C128"/>
    <mergeCell ref="A131:C131"/>
    <mergeCell ref="A145:C145"/>
    <mergeCell ref="A146:C146"/>
    <mergeCell ref="A147:C147"/>
    <mergeCell ref="A148:C148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5:C135"/>
    <mergeCell ref="A136:J136"/>
    <mergeCell ref="A190:B190"/>
    <mergeCell ref="A184:B184"/>
    <mergeCell ref="A185:B185"/>
    <mergeCell ref="A187:B187"/>
    <mergeCell ref="A188:B188"/>
    <mergeCell ref="A160:J160"/>
    <mergeCell ref="A166:B166"/>
    <mergeCell ref="A167:B167"/>
    <mergeCell ref="A168:B168"/>
    <mergeCell ref="A171:J171"/>
    <mergeCell ref="A177:B177"/>
    <mergeCell ref="A178:B178"/>
    <mergeCell ref="A183:B183"/>
    <mergeCell ref="A182:B182"/>
    <mergeCell ref="A179:B179"/>
    <mergeCell ref="A180:B180"/>
    <mergeCell ref="A175:C175"/>
    <mergeCell ref="A172:B172"/>
    <mergeCell ref="A173:B173"/>
    <mergeCell ref="A174:B174"/>
    <mergeCell ref="A176:C176"/>
    <mergeCell ref="A149:C149"/>
    <mergeCell ref="A143:C143"/>
    <mergeCell ref="A144:C144"/>
    <mergeCell ref="A189:B189"/>
    <mergeCell ref="A155:C155"/>
    <mergeCell ref="A156:C156"/>
    <mergeCell ref="A150:C150"/>
    <mergeCell ref="A151:C151"/>
    <mergeCell ref="A152:C152"/>
    <mergeCell ref="A154:J154"/>
    <mergeCell ref="A153:C153"/>
    <mergeCell ref="A181:C181"/>
    <mergeCell ref="A186:C186"/>
    <mergeCell ref="A157:C157"/>
    <mergeCell ref="A158:C158"/>
    <mergeCell ref="A159:C159"/>
  </mergeCells>
  <pageMargins left="0.22" right="0.17" top="0.14000000000000001" bottom="0.2" header="0.2" footer="0.2"/>
  <pageSetup paperSize="5" scale="2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270"/>
  <sheetViews>
    <sheetView view="pageBreakPreview" topLeftCell="A112" zoomScale="55" zoomScaleNormal="48" zoomScaleSheetLayoutView="55" workbookViewId="0">
      <selection activeCell="H76" sqref="H76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4.3320312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919" t="s">
        <v>115</v>
      </c>
      <c r="B1" s="920"/>
      <c r="C1" s="920"/>
      <c r="D1" s="920"/>
      <c r="E1" s="920"/>
      <c r="F1" s="920"/>
      <c r="G1" s="920"/>
      <c r="H1" s="920"/>
      <c r="I1" s="920"/>
      <c r="J1" s="921"/>
    </row>
    <row r="2" spans="1:16" s="57" customFormat="1" ht="23.25">
      <c r="A2" s="191" t="s">
        <v>355</v>
      </c>
      <c r="B2" s="262">
        <v>44931</v>
      </c>
      <c r="C2" s="348" t="s">
        <v>67</v>
      </c>
      <c r="D2" s="218">
        <v>0.81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3.25">
      <c r="A3" s="189"/>
      <c r="B3" s="221"/>
      <c r="C3" s="348" t="s">
        <v>118</v>
      </c>
      <c r="D3" s="219">
        <v>29</v>
      </c>
      <c r="E3" s="928" t="s">
        <v>119</v>
      </c>
      <c r="F3" s="929"/>
      <c r="G3" s="101"/>
      <c r="H3" s="102"/>
      <c r="I3" s="102"/>
      <c r="J3" s="222"/>
      <c r="K3" s="61"/>
      <c r="L3" s="58"/>
    </row>
    <row r="4" spans="1:16" s="57" customFormat="1" ht="23.2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6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6.25">
      <c r="A6" s="922" t="s">
        <v>128</v>
      </c>
      <c r="B6" s="923"/>
      <c r="C6" s="924"/>
      <c r="D6" s="110"/>
      <c r="E6" s="110"/>
      <c r="F6" s="110"/>
      <c r="G6" s="110"/>
      <c r="H6" s="111"/>
      <c r="I6" s="111"/>
      <c r="J6" s="174"/>
      <c r="K6" s="78"/>
      <c r="L6" s="66"/>
    </row>
    <row r="7" spans="1:16" ht="27" thickBot="1">
      <c r="A7" s="194" t="s">
        <v>129</v>
      </c>
      <c r="B7" s="195"/>
      <c r="C7" s="195"/>
      <c r="D7" s="151" t="s">
        <v>130</v>
      </c>
      <c r="E7" s="95">
        <f>'4'!F7</f>
        <v>60665</v>
      </c>
      <c r="F7" s="95">
        <v>81588</v>
      </c>
      <c r="G7" s="112">
        <f>F7-E7</f>
        <v>20923</v>
      </c>
      <c r="H7" s="99">
        <f>G7+'4'!H7</f>
        <v>103969</v>
      </c>
      <c r="I7" s="113">
        <f>'1'!I7</f>
        <v>12000</v>
      </c>
      <c r="J7" s="175">
        <f>H7/DAY(B2)</f>
        <v>20793.8</v>
      </c>
      <c r="K7" s="172">
        <v>1375467</v>
      </c>
      <c r="L7" s="66"/>
      <c r="N7" s="87"/>
      <c r="O7" s="71"/>
    </row>
    <row r="8" spans="1:16" ht="27" thickBot="1">
      <c r="A8" s="196" t="s">
        <v>131</v>
      </c>
      <c r="B8" s="197"/>
      <c r="C8" s="198"/>
      <c r="D8" s="224" t="s">
        <v>24</v>
      </c>
      <c r="E8" s="95">
        <f>'4'!F8</f>
        <v>243127</v>
      </c>
      <c r="F8" s="114">
        <v>264205</v>
      </c>
      <c r="G8" s="115">
        <f>F8-E8</f>
        <v>21078</v>
      </c>
      <c r="H8" s="99">
        <f>G8+'4'!H8</f>
        <v>106348</v>
      </c>
      <c r="I8" s="116"/>
      <c r="J8" s="175">
        <f>H8/DAY(B2)</f>
        <v>21269.599999999999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6.25">
      <c r="A9" s="199" t="s">
        <v>132</v>
      </c>
      <c r="B9" s="200"/>
      <c r="C9" s="200"/>
      <c r="D9" s="151" t="s">
        <v>130</v>
      </c>
      <c r="E9" s="95">
        <f>'4'!F9</f>
        <v>4480377.0999999996</v>
      </c>
      <c r="F9" s="117">
        <v>4496524</v>
      </c>
      <c r="G9" s="112">
        <f>F9-E9</f>
        <v>16146.900000000373</v>
      </c>
      <c r="H9" s="99">
        <f>G9+'4'!H9</f>
        <v>79918.099999999627</v>
      </c>
      <c r="I9" s="124">
        <f>I7-J7</f>
        <v>-8793.7999999999993</v>
      </c>
      <c r="J9" s="175">
        <f>H9/DAY(B2)</f>
        <v>15983.619999999926</v>
      </c>
      <c r="K9" s="79">
        <f>K8-100</f>
        <v>1715817</v>
      </c>
      <c r="L9" s="66"/>
      <c r="N9" s="87"/>
      <c r="O9" s="71"/>
      <c r="P9" s="71">
        <f>G7-G8</f>
        <v>-155</v>
      </c>
    </row>
    <row r="10" spans="1:16" ht="26.25">
      <c r="A10" s="194" t="s">
        <v>133</v>
      </c>
      <c r="B10" s="195"/>
      <c r="C10" s="195"/>
      <c r="D10" s="151" t="s">
        <v>130</v>
      </c>
      <c r="E10" s="95">
        <f>'4'!F10</f>
        <v>4088799.1</v>
      </c>
      <c r="F10" s="117">
        <v>4092954</v>
      </c>
      <c r="G10" s="112">
        <f t="shared" ref="G10:G12" si="0">F10-E10</f>
        <v>4154.8999999999069</v>
      </c>
      <c r="H10" s="99">
        <f>G10+'4'!H10</f>
        <v>22917.700000000186</v>
      </c>
      <c r="I10" s="282"/>
      <c r="J10" s="175">
        <f>H10/DAY(B2)</f>
        <v>4583.5400000000373</v>
      </c>
      <c r="K10" s="79"/>
      <c r="L10" s="66"/>
      <c r="N10" s="87"/>
      <c r="O10" s="71"/>
    </row>
    <row r="11" spans="1:16" ht="26.25">
      <c r="A11" s="194" t="s">
        <v>134</v>
      </c>
      <c r="B11" s="195"/>
      <c r="C11" s="195"/>
      <c r="D11" s="151" t="s">
        <v>130</v>
      </c>
      <c r="E11" s="95">
        <f>'4'!F11</f>
        <v>38700</v>
      </c>
      <c r="F11" s="95">
        <v>38700</v>
      </c>
      <c r="G11" s="112">
        <f t="shared" si="0"/>
        <v>0</v>
      </c>
      <c r="H11" s="99">
        <f>G11+'4'!H11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6.25">
      <c r="A12" s="194" t="s">
        <v>135</v>
      </c>
      <c r="B12" s="195"/>
      <c r="C12" s="195"/>
      <c r="D12" s="151" t="s">
        <v>130</v>
      </c>
      <c r="E12" s="95">
        <f>'4'!F12</f>
        <v>40550</v>
      </c>
      <c r="F12" s="117">
        <v>40550</v>
      </c>
      <c r="G12" s="112">
        <f t="shared" si="0"/>
        <v>0</v>
      </c>
      <c r="H12" s="99">
        <f>G12+'4'!H12</f>
        <v>0</v>
      </c>
      <c r="I12" s="282"/>
      <c r="J12" s="175">
        <f>H12/DAY(B2)</f>
        <v>0</v>
      </c>
      <c r="K12" s="79"/>
      <c r="L12" s="66"/>
      <c r="N12" s="87"/>
      <c r="O12" s="71"/>
      <c r="P12" s="71">
        <f>G13-G7</f>
        <v>-621.1999999997206</v>
      </c>
    </row>
    <row r="13" spans="1:16" ht="26.25">
      <c r="A13" s="201" t="s">
        <v>136</v>
      </c>
      <c r="B13" s="202"/>
      <c r="C13" s="202"/>
      <c r="D13" s="151"/>
      <c r="E13" s="95"/>
      <c r="F13" s="95"/>
      <c r="G13" s="119">
        <f>G9+G10+G11+G12</f>
        <v>20301.800000000279</v>
      </c>
      <c r="H13" s="99">
        <f>G13+'4'!H13</f>
        <v>102835.79999999981</v>
      </c>
      <c r="I13" s="120">
        <f>G7-G13</f>
        <v>621.1999999997206</v>
      </c>
      <c r="J13" s="175">
        <f>H13/DAY(B2)</f>
        <v>20567.159999999963</v>
      </c>
      <c r="K13" s="79"/>
      <c r="L13" s="66"/>
      <c r="N13" s="87"/>
      <c r="O13" s="71"/>
    </row>
    <row r="14" spans="1:16" ht="26.25">
      <c r="A14" s="925" t="s">
        <v>137</v>
      </c>
      <c r="B14" s="926"/>
      <c r="C14" s="92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6.25">
      <c r="A15" s="345" t="s">
        <v>138</v>
      </c>
      <c r="B15" s="205"/>
      <c r="C15" s="205"/>
      <c r="D15" s="151" t="s">
        <v>139</v>
      </c>
      <c r="E15" s="95">
        <f>'4'!F15</f>
        <v>2257952</v>
      </c>
      <c r="F15" s="468">
        <v>2258983</v>
      </c>
      <c r="G15" s="112">
        <f>(F15-E15)</f>
        <v>1031</v>
      </c>
      <c r="H15" s="99">
        <f>G15+'4'!H15</f>
        <v>5681.6419999999925</v>
      </c>
      <c r="I15" s="113">
        <f>'1'!I15</f>
        <v>800</v>
      </c>
      <c r="J15" s="175">
        <f>H15/DAY(B2)</f>
        <v>1136.3283999999985</v>
      </c>
      <c r="K15" s="79"/>
      <c r="L15" s="66"/>
      <c r="N15" s="87"/>
      <c r="O15" s="71"/>
    </row>
    <row r="16" spans="1:16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-336.32839999999851</v>
      </c>
      <c r="J16" s="176"/>
      <c r="K16" s="79"/>
      <c r="L16" s="66"/>
      <c r="N16" s="87"/>
      <c r="O16" s="71"/>
    </row>
    <row r="17" spans="1:15" ht="26.25">
      <c r="A17" s="925" t="s">
        <v>140</v>
      </c>
      <c r="B17" s="926"/>
      <c r="C17" s="92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02" t="s">
        <v>141</v>
      </c>
      <c r="B18" s="903"/>
      <c r="C18" s="904"/>
      <c r="D18" s="151" t="s">
        <v>142</v>
      </c>
      <c r="E18" s="95">
        <f>'4'!F18</f>
        <v>21</v>
      </c>
      <c r="F18" s="122">
        <v>13</v>
      </c>
      <c r="G18" s="119">
        <f>F18*10</f>
        <v>130</v>
      </c>
      <c r="H18" s="99">
        <f>G18+'4'!H18</f>
        <v>1020</v>
      </c>
      <c r="I18" s="113">
        <f>'1'!I18</f>
        <v>65</v>
      </c>
      <c r="J18" s="175">
        <f>H18/DAY(B2)</f>
        <v>204</v>
      </c>
      <c r="K18" s="79"/>
      <c r="L18" s="66"/>
      <c r="N18" s="87"/>
      <c r="O18" s="71"/>
    </row>
    <row r="19" spans="1:15" ht="25.5">
      <c r="A19" s="902" t="s">
        <v>69</v>
      </c>
      <c r="B19" s="903"/>
      <c r="C19" s="904"/>
      <c r="D19" s="151" t="s">
        <v>142</v>
      </c>
      <c r="E19" s="95">
        <f>'4'!F19</f>
        <v>169815</v>
      </c>
      <c r="F19" s="122">
        <v>169868</v>
      </c>
      <c r="G19" s="112">
        <f t="shared" ref="G19" si="1">F19-E19</f>
        <v>53</v>
      </c>
      <c r="H19" s="99">
        <f>G19+'4'!H19</f>
        <v>308</v>
      </c>
      <c r="I19" s="335"/>
      <c r="J19" s="175">
        <f>H19/DAY(B2)</f>
        <v>61.6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183</v>
      </c>
      <c r="H20" s="99">
        <f>G20+'4'!H20</f>
        <v>1328</v>
      </c>
      <c r="I20" s="336">
        <f>I18-J20</f>
        <v>-200.60000000000002</v>
      </c>
      <c r="J20" s="175">
        <f>H20/DAY(B2)</f>
        <v>265.60000000000002</v>
      </c>
      <c r="K20" s="79"/>
      <c r="L20" s="66"/>
      <c r="N20" s="87"/>
      <c r="O20" s="71"/>
    </row>
    <row r="21" spans="1:15" ht="26.25">
      <c r="A21" s="925" t="s">
        <v>144</v>
      </c>
      <c r="B21" s="926"/>
      <c r="C21" s="92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'4'!F22</f>
        <v>2970</v>
      </c>
      <c r="F22" s="122">
        <v>2970</v>
      </c>
      <c r="G22" s="119">
        <f t="shared" ref="G22" si="2">(F22-E22)</f>
        <v>0</v>
      </c>
      <c r="H22" s="99">
        <f>G22+'4'!H22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'4'!F23</f>
        <v>1500</v>
      </c>
      <c r="F23" s="122">
        <v>1500</v>
      </c>
      <c r="G23" s="119">
        <v>0</v>
      </c>
      <c r="H23" s="99">
        <f>G23+'4'!H23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'4'!F24</f>
        <v>4970</v>
      </c>
      <c r="F24" s="128">
        <v>4970</v>
      </c>
      <c r="G24" s="119">
        <v>0</v>
      </c>
      <c r="H24" s="99">
        <f>G24+'4'!H24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30" t="s">
        <v>149</v>
      </c>
      <c r="B25" s="931"/>
      <c r="C25" s="93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21078</v>
      </c>
      <c r="F27" s="136">
        <v>10</v>
      </c>
      <c r="G27" s="137">
        <f>E27*F27</f>
        <v>210780</v>
      </c>
      <c r="H27" s="99">
        <f>G27+'4'!H27</f>
        <v>999574</v>
      </c>
      <c r="I27" s="138"/>
      <c r="J27" s="175">
        <f>H27/DAY(B2)</f>
        <v>199914.8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1031</v>
      </c>
      <c r="F28" s="136">
        <v>70</v>
      </c>
      <c r="G28" s="137">
        <f>E28*F28</f>
        <v>72170</v>
      </c>
      <c r="H28" s="99">
        <f>G28+'4'!H28</f>
        <v>409598.14999999944</v>
      </c>
      <c r="I28" s="140"/>
      <c r="J28" s="175">
        <f>H28/DAY(B2)</f>
        <v>81919.629999999888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151</v>
      </c>
      <c r="G30" s="137">
        <f>E30*F30</f>
        <v>8003</v>
      </c>
      <c r="H30" s="99">
        <f>G30+'4'!H30</f>
        <v>46508</v>
      </c>
      <c r="I30" s="140"/>
      <c r="J30" s="175">
        <f>H30/DAY(B2)</f>
        <v>9301.6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130</v>
      </c>
      <c r="F31" s="136">
        <v>85</v>
      </c>
      <c r="G31" s="137">
        <f>E31*F31</f>
        <v>11050</v>
      </c>
      <c r="H31" s="99">
        <f>G31+'4'!H31</f>
        <v>82250</v>
      </c>
      <c r="I31" s="140"/>
      <c r="J31" s="175">
        <f>H31/DAY(B2)</f>
        <v>16450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302003</v>
      </c>
      <c r="H32" s="99">
        <f>G32+'4'!H32</f>
        <v>1537930.1499999994</v>
      </c>
      <c r="I32" s="144"/>
      <c r="J32" s="175">
        <f>H32/DAY(B2)</f>
        <v>307586.02999999991</v>
      </c>
      <c r="K32" s="63"/>
      <c r="L32" s="89"/>
      <c r="N32" s="87"/>
      <c r="O32" s="71"/>
    </row>
    <row r="33" spans="1:15" ht="25.5" customHeight="1">
      <c r="A33" s="933" t="s">
        <v>331</v>
      </c>
      <c r="B33" s="934"/>
      <c r="C33" s="93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'4'!F35</f>
        <v>465289</v>
      </c>
      <c r="F35" s="145">
        <v>467864</v>
      </c>
      <c r="G35" s="112">
        <f t="shared" ref="G35:G46" si="3">F35-E35</f>
        <v>2575</v>
      </c>
      <c r="H35" s="99">
        <f>G35+'4'!H35</f>
        <v>13346.010000000009</v>
      </c>
      <c r="I35" s="95"/>
      <c r="J35" s="175">
        <f>H35/DAY(B2)</f>
        <v>2669.202000000002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'4'!F36</f>
        <v>357715.1</v>
      </c>
      <c r="F36" s="145">
        <v>358536</v>
      </c>
      <c r="G36" s="112">
        <f t="shared" si="3"/>
        <v>820.90000000002328</v>
      </c>
      <c r="H36" s="99">
        <f>G36+'4'!H36</f>
        <v>4447.0999999999767</v>
      </c>
      <c r="I36" s="95"/>
      <c r="J36" s="175">
        <f>H36/DAY(B2)</f>
        <v>889.4199999999953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'4'!F37</f>
        <v>343989</v>
      </c>
      <c r="F37" s="145">
        <v>345478</v>
      </c>
      <c r="G37" s="112">
        <f t="shared" si="3"/>
        <v>1489</v>
      </c>
      <c r="H37" s="99">
        <f>G37+'4'!H37</f>
        <v>7208.1300000000047</v>
      </c>
      <c r="I37" s="95"/>
      <c r="J37" s="175">
        <f>H37/DAY(B2)</f>
        <v>1441.6260000000009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'4'!F38</f>
        <v>807529</v>
      </c>
      <c r="F38" s="108">
        <v>810038</v>
      </c>
      <c r="G38" s="112">
        <f t="shared" si="3"/>
        <v>2509</v>
      </c>
      <c r="H38" s="99">
        <f>G38+'4'!H38</f>
        <v>10360.650000000023</v>
      </c>
      <c r="I38" s="95"/>
      <c r="J38" s="175">
        <f>H38/DAY(B2)</f>
        <v>2072.1300000000047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'4'!F39</f>
        <v>631619</v>
      </c>
      <c r="F39" s="145">
        <v>634514</v>
      </c>
      <c r="G39" s="112">
        <f t="shared" si="3"/>
        <v>2895</v>
      </c>
      <c r="H39" s="99">
        <f>G39+'4'!H39</f>
        <v>14224</v>
      </c>
      <c r="I39" s="95"/>
      <c r="J39" s="175">
        <f>H39/DAY(B2)</f>
        <v>2844.8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'4'!F40</f>
        <v>211488</v>
      </c>
      <c r="F40" s="145">
        <v>211686</v>
      </c>
      <c r="G40" s="112">
        <f t="shared" si="3"/>
        <v>198</v>
      </c>
      <c r="H40" s="99">
        <f>G40+'4'!H40</f>
        <v>1999.6499999999942</v>
      </c>
      <c r="I40" s="95"/>
      <c r="J40" s="175">
        <f>H40/DAY(B2)</f>
        <v>399.92999999999881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'4'!F41</f>
        <v>420212</v>
      </c>
      <c r="F41" s="145">
        <v>420212</v>
      </c>
      <c r="G41" s="112">
        <f t="shared" si="3"/>
        <v>0</v>
      </c>
      <c r="H41" s="99">
        <f>G41+'4'!H41</f>
        <v>-0.51000000000931323</v>
      </c>
      <c r="I41" s="95"/>
      <c r="J41" s="175">
        <f>H41/DAY(B2)</f>
        <v>-0.10200000000186264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'4'!F42</f>
        <v>938357.8</v>
      </c>
      <c r="F42" s="145">
        <v>942897</v>
      </c>
      <c r="G42" s="112">
        <f t="shared" si="3"/>
        <v>4539.1999999999534</v>
      </c>
      <c r="H42" s="99">
        <f>G42+'4'!H42</f>
        <v>21942.530000000028</v>
      </c>
      <c r="I42" s="95"/>
      <c r="J42" s="175">
        <f>H42/DAY(B2)</f>
        <v>4388.5060000000058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'4'!F43</f>
        <v>422444</v>
      </c>
      <c r="F43" s="145">
        <v>422444</v>
      </c>
      <c r="G43" s="112">
        <f t="shared" si="3"/>
        <v>0</v>
      </c>
      <c r="H43" s="99">
        <f>G43+'4'!H43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'4'!F44</f>
        <v>0</v>
      </c>
      <c r="F44" s="145">
        <v>0</v>
      </c>
      <c r="G44" s="112">
        <f t="shared" si="3"/>
        <v>0</v>
      </c>
      <c r="H44" s="99">
        <f>G44+'4'!H44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'4'!F45</f>
        <v>0</v>
      </c>
      <c r="F45" s="145">
        <v>0</v>
      </c>
      <c r="G45" s="112">
        <f t="shared" si="3"/>
        <v>0</v>
      </c>
      <c r="H45" s="99">
        <f>G45+'4'!H45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'4'!F46</f>
        <v>0</v>
      </c>
      <c r="F46" s="145">
        <v>0</v>
      </c>
      <c r="G46" s="112">
        <f t="shared" si="3"/>
        <v>0</v>
      </c>
      <c r="H46" s="99">
        <f>G46+'4'!H46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15026.099999999977</v>
      </c>
      <c r="H47" s="99">
        <f>G47+'4'!H47</f>
        <v>73527.560000000027</v>
      </c>
      <c r="I47" s="95"/>
      <c r="J47" s="175">
        <f>H47/DAY(B2)</f>
        <v>14705.512000000006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'4'!F49</f>
        <v>808554</v>
      </c>
      <c r="F49" s="145">
        <v>809046</v>
      </c>
      <c r="G49" s="112">
        <f t="shared" ref="G49:G58" si="4">F49-E49</f>
        <v>492</v>
      </c>
      <c r="H49" s="99">
        <f>G49+'4'!H49</f>
        <v>2541.8499999999767</v>
      </c>
      <c r="I49" s="95"/>
      <c r="J49" s="175">
        <f>H49/DAY(B2)</f>
        <v>508.36999999999534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'4'!F50</f>
        <v>507138</v>
      </c>
      <c r="F50" s="145">
        <v>508301</v>
      </c>
      <c r="G50" s="112">
        <f t="shared" si="4"/>
        <v>1163</v>
      </c>
      <c r="H50" s="99">
        <f>G50+'4'!H50</f>
        <v>7148</v>
      </c>
      <c r="I50" s="95"/>
      <c r="J50" s="175">
        <f>H50/DAY(B2)</f>
        <v>1429.6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'4'!F51</f>
        <v>156958</v>
      </c>
      <c r="F51" s="145">
        <v>156958</v>
      </c>
      <c r="G51" s="112">
        <f t="shared" si="4"/>
        <v>0</v>
      </c>
      <c r="H51" s="99">
        <f>G51+'4'!H51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'4'!F52</f>
        <v>9.75</v>
      </c>
      <c r="F52" s="145">
        <v>9.76</v>
      </c>
      <c r="G52" s="112">
        <f t="shared" si="4"/>
        <v>9.9999999999997868E-3</v>
      </c>
      <c r="H52" s="99">
        <f>G52+'4'!H52</f>
        <v>-0.24000000000000021</v>
      </c>
      <c r="I52" s="95"/>
      <c r="J52" s="175">
        <f>H52/DAY(B2)</f>
        <v>-4.8000000000000043E-2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'4'!F53</f>
        <v>630355</v>
      </c>
      <c r="F53" s="145">
        <v>630355</v>
      </c>
      <c r="G53" s="112">
        <f t="shared" si="4"/>
        <v>0</v>
      </c>
      <c r="H53" s="99">
        <f>G53+'4'!H53</f>
        <v>-3.0000000027939677E-2</v>
      </c>
      <c r="I53" s="95"/>
      <c r="J53" s="175">
        <f>H53/DAY(B2)</f>
        <v>-6.0000000055879356E-3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'4'!F54</f>
        <v>116042.45</v>
      </c>
      <c r="F54" s="145">
        <v>116406</v>
      </c>
      <c r="G54" s="112">
        <f t="shared" si="4"/>
        <v>363.55000000000291</v>
      </c>
      <c r="H54" s="99">
        <f>G54+'4'!H54</f>
        <v>1808.8699999999953</v>
      </c>
      <c r="I54" s="95"/>
      <c r="J54" s="175">
        <f>H54/DAY(B2)</f>
        <v>361.77399999999909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'4'!F55</f>
        <v>576335</v>
      </c>
      <c r="F55" s="145">
        <v>576335</v>
      </c>
      <c r="G55" s="112">
        <f t="shared" si="4"/>
        <v>0</v>
      </c>
      <c r="H55" s="99">
        <f>G55+'4'!H55</f>
        <v>-0.63000000000465661</v>
      </c>
      <c r="I55" s="95"/>
      <c r="J55" s="175">
        <f>H55/DAY(B2)</f>
        <v>-0.12600000000093131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'4'!F56</f>
        <v>335403</v>
      </c>
      <c r="F56" s="145">
        <v>335403</v>
      </c>
      <c r="G56" s="112">
        <f t="shared" si="4"/>
        <v>0</v>
      </c>
      <c r="H56" s="99">
        <f>G56+'4'!H56</f>
        <v>176.78999999997905</v>
      </c>
      <c r="I56" s="95"/>
      <c r="J56" s="175">
        <f>H56/DAY(B2)</f>
        <v>35.357999999995812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'4'!F57</f>
        <v>640424</v>
      </c>
      <c r="F57" s="145">
        <v>642733</v>
      </c>
      <c r="G57" s="112">
        <f t="shared" si="4"/>
        <v>2309</v>
      </c>
      <c r="H57" s="99">
        <f>G57+'4'!H57</f>
        <v>11900</v>
      </c>
      <c r="I57" s="95"/>
      <c r="J57" s="175">
        <f>H57/DAY(B2)</f>
        <v>2380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'4'!F58</f>
        <v>87609</v>
      </c>
      <c r="F58" s="145">
        <v>87857</v>
      </c>
      <c r="G58" s="112">
        <f t="shared" si="4"/>
        <v>248</v>
      </c>
      <c r="H58" s="99">
        <f>G58+'4'!H58</f>
        <v>1296.5010000000038</v>
      </c>
      <c r="I58" s="95"/>
      <c r="J58" s="175">
        <f>H58/DAY(B2)</f>
        <v>259.30020000000076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4575.5600000000031</v>
      </c>
      <c r="H59" s="99">
        <f>G59+'4'!H59</f>
        <v>24871.110999999924</v>
      </c>
      <c r="I59" s="95">
        <f>G7-G60</f>
        <v>1321.3400000000183</v>
      </c>
      <c r="J59" s="175">
        <f>H59/DAY(B2)</f>
        <v>4974.2221999999847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19601.659999999982</v>
      </c>
      <c r="H60" s="99">
        <f>G60+'4'!H60</f>
        <v>98398.670999999944</v>
      </c>
      <c r="I60" s="95">
        <f>G13-G60</f>
        <v>700.14000000029773</v>
      </c>
      <c r="J60" s="175">
        <f>H60/DAY(B2)</f>
        <v>19679.734199999988</v>
      </c>
      <c r="K60" s="79"/>
      <c r="L60" s="66"/>
      <c r="N60" s="87"/>
      <c r="O60" s="71"/>
    </row>
    <row r="61" spans="1:15" s="68" customFormat="1" ht="26.25">
      <c r="A61" s="935" t="s">
        <v>332</v>
      </c>
      <c r="B61" s="936"/>
      <c r="C61" s="93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02" t="s">
        <v>198</v>
      </c>
      <c r="B62" s="903"/>
      <c r="C62" s="904"/>
      <c r="D62" s="151" t="s">
        <v>142</v>
      </c>
      <c r="E62" s="95">
        <f>'4'!F62</f>
        <v>312527</v>
      </c>
      <c r="F62" s="122">
        <v>312651</v>
      </c>
      <c r="G62" s="112">
        <f t="shared" ref="G62:G63" si="5">F62-E62</f>
        <v>124</v>
      </c>
      <c r="H62" s="99">
        <f>G62+'4'!H62</f>
        <v>551</v>
      </c>
      <c r="I62" s="118"/>
      <c r="J62" s="175">
        <f>H62/DAY(B2)</f>
        <v>110.2</v>
      </c>
      <c r="K62" s="80"/>
      <c r="L62" s="66"/>
      <c r="N62" s="87"/>
      <c r="O62" s="71"/>
    </row>
    <row r="63" spans="1:15" ht="25.5">
      <c r="A63" s="902" t="s">
        <v>199</v>
      </c>
      <c r="B63" s="903"/>
      <c r="C63" s="904"/>
      <c r="D63" s="151" t="s">
        <v>142</v>
      </c>
      <c r="E63" s="95">
        <f>'4'!F63</f>
        <v>249433</v>
      </c>
      <c r="F63" s="122">
        <v>249547</v>
      </c>
      <c r="G63" s="112">
        <f t="shared" si="5"/>
        <v>114</v>
      </c>
      <c r="H63" s="99">
        <f>G63+'4'!H63</f>
        <v>512</v>
      </c>
      <c r="I63" s="118"/>
      <c r="J63" s="175">
        <f>H63/DAY(B2)</f>
        <v>102.4</v>
      </c>
      <c r="K63" s="69"/>
      <c r="L63" s="66"/>
      <c r="N63" s="87"/>
      <c r="O63" s="71"/>
    </row>
    <row r="64" spans="1:15" ht="26.25">
      <c r="A64" s="911" t="s">
        <v>200</v>
      </c>
      <c r="B64" s="912"/>
      <c r="C64" s="913"/>
      <c r="D64" s="151"/>
      <c r="E64" s="95">
        <f>'4'!F64</f>
        <v>0</v>
      </c>
      <c r="F64" s="122"/>
      <c r="G64" s="112">
        <f>G62+G63</f>
        <v>238</v>
      </c>
      <c r="H64" s="99">
        <f>G64+'4'!H64</f>
        <v>1063</v>
      </c>
      <c r="I64" s="118"/>
      <c r="J64" s="175">
        <f>H64/DAY(B2)</f>
        <v>212.6</v>
      </c>
      <c r="K64" s="69"/>
      <c r="L64" s="66"/>
      <c r="N64" s="87"/>
      <c r="O64" s="71"/>
    </row>
    <row r="65" spans="1:15" ht="25.5">
      <c r="A65" s="902" t="s">
        <v>201</v>
      </c>
      <c r="B65" s="903"/>
      <c r="C65" s="904"/>
      <c r="D65" s="151" t="s">
        <v>142</v>
      </c>
      <c r="E65" s="95">
        <f>'4'!F65</f>
        <v>472508</v>
      </c>
      <c r="F65" s="122">
        <v>472626</v>
      </c>
      <c r="G65" s="112">
        <f t="shared" ref="G65:G70" si="6">F65-E65</f>
        <v>118</v>
      </c>
      <c r="H65" s="99">
        <f>G65+'4'!H65</f>
        <v>596</v>
      </c>
      <c r="I65" s="118"/>
      <c r="J65" s="175">
        <f>H65/DAY(B2)</f>
        <v>119.2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'4'!F66</f>
        <v>113615</v>
      </c>
      <c r="F66" s="122">
        <v>113628</v>
      </c>
      <c r="G66" s="112">
        <f t="shared" si="6"/>
        <v>13</v>
      </c>
      <c r="H66" s="99">
        <f>G66+'4'!H66</f>
        <v>69</v>
      </c>
      <c r="I66" s="118"/>
      <c r="J66" s="175">
        <f>H66/DAY(B2)</f>
        <v>13.8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'4'!F67</f>
        <v>116665</v>
      </c>
      <c r="F67" s="122">
        <v>116689</v>
      </c>
      <c r="G67" s="112">
        <f t="shared" si="6"/>
        <v>24</v>
      </c>
      <c r="H67" s="99">
        <f>G67+'4'!H67</f>
        <v>122</v>
      </c>
      <c r="I67" s="118"/>
      <c r="J67" s="175">
        <f>H67/DAY(B2)</f>
        <v>24.4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'4'!F68</f>
        <v>169437</v>
      </c>
      <c r="F68" s="122">
        <v>169459</v>
      </c>
      <c r="G68" s="112">
        <f t="shared" si="6"/>
        <v>22</v>
      </c>
      <c r="H68" s="99">
        <f>G68+'4'!H68</f>
        <v>100</v>
      </c>
      <c r="I68" s="118"/>
      <c r="J68" s="175">
        <f>H68/DAY(B2)</f>
        <v>20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'4'!F69</f>
        <v>12994</v>
      </c>
      <c r="F69" s="122">
        <v>12998</v>
      </c>
      <c r="G69" s="112">
        <f t="shared" si="6"/>
        <v>4</v>
      </c>
      <c r="H69" s="99">
        <f>G69+'4'!H69</f>
        <v>32</v>
      </c>
      <c r="I69" s="118"/>
      <c r="J69" s="175">
        <f>H69/DAY(B2)</f>
        <v>6.4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'4'!F70</f>
        <v>11047</v>
      </c>
      <c r="F70" s="122">
        <v>11053</v>
      </c>
      <c r="G70" s="112">
        <f t="shared" si="6"/>
        <v>6</v>
      </c>
      <c r="H70" s="99">
        <f>G70+'4'!H70</f>
        <v>37</v>
      </c>
      <c r="I70" s="118"/>
      <c r="J70" s="175">
        <f>H70/DAY(B2)</f>
        <v>7.4</v>
      </c>
      <c r="K70" s="69"/>
      <c r="L70" s="66"/>
      <c r="N70" s="87"/>
      <c r="O70" s="71"/>
    </row>
    <row r="71" spans="1:15" ht="26.25">
      <c r="A71" s="911" t="s">
        <v>208</v>
      </c>
      <c r="B71" s="912"/>
      <c r="C71" s="913"/>
      <c r="D71" s="152"/>
      <c r="E71" s="152"/>
      <c r="F71" s="152"/>
      <c r="G71" s="153">
        <f>SUM(G65:G70)</f>
        <v>187</v>
      </c>
      <c r="H71" s="99">
        <f>G71+'4'!H71</f>
        <v>956</v>
      </c>
      <c r="I71" s="154"/>
      <c r="J71" s="175">
        <f>H71/DAY(B2)</f>
        <v>191.2</v>
      </c>
      <c r="K71" s="69"/>
      <c r="L71" s="66"/>
      <c r="N71" s="87"/>
      <c r="O71" s="71"/>
    </row>
    <row r="72" spans="1:15" s="88" customFormat="1" ht="25.5">
      <c r="A72" s="898"/>
      <c r="B72" s="88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08" t="s">
        <v>333</v>
      </c>
      <c r="B73" s="909"/>
      <c r="C73" s="910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02" t="s">
        <v>220</v>
      </c>
      <c r="B74" s="903"/>
      <c r="C74" s="904"/>
      <c r="D74" s="151" t="s">
        <v>139</v>
      </c>
      <c r="E74" s="95">
        <f>'4'!F74</f>
        <v>3791</v>
      </c>
      <c r="F74" s="123">
        <v>4094</v>
      </c>
      <c r="G74" s="112">
        <f t="shared" ref="G74:G78" si="7">F74-E74</f>
        <v>303</v>
      </c>
      <c r="H74" s="99">
        <f>G74+'4'!H74</f>
        <v>1579</v>
      </c>
      <c r="I74" s="154"/>
      <c r="J74" s="175">
        <f>H74/DAY(B2)</f>
        <v>315.8</v>
      </c>
      <c r="K74" s="69"/>
      <c r="L74" s="66"/>
      <c r="N74" s="87"/>
      <c r="O74" s="71"/>
    </row>
    <row r="75" spans="1:15" ht="25.5">
      <c r="A75" s="902" t="s">
        <v>221</v>
      </c>
      <c r="B75" s="903"/>
      <c r="C75" s="904"/>
      <c r="D75" s="151" t="s">
        <v>139</v>
      </c>
      <c r="E75" s="95">
        <f>'4'!F75</f>
        <v>73586.8</v>
      </c>
      <c r="F75" s="123">
        <v>73586.8</v>
      </c>
      <c r="G75" s="112">
        <f t="shared" si="7"/>
        <v>0</v>
      </c>
      <c r="H75" s="99">
        <f>G75+'4'!H75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899" t="s">
        <v>222</v>
      </c>
      <c r="B76" s="900"/>
      <c r="C76" s="901"/>
      <c r="D76" s="151" t="s">
        <v>139</v>
      </c>
      <c r="E76" s="95">
        <f>'4'!F76</f>
        <v>207781</v>
      </c>
      <c r="F76" s="123">
        <v>207911</v>
      </c>
      <c r="G76" s="112">
        <f t="shared" si="7"/>
        <v>130</v>
      </c>
      <c r="H76" s="99">
        <f>G76+'4'!H76</f>
        <v>534</v>
      </c>
      <c r="I76" s="154"/>
      <c r="J76" s="175">
        <f>H76/DAY(B2)</f>
        <v>106.8</v>
      </c>
      <c r="K76" s="69"/>
      <c r="L76" s="66"/>
      <c r="N76" s="87"/>
      <c r="O76" s="71"/>
    </row>
    <row r="77" spans="1:15" ht="25.5">
      <c r="A77" s="899" t="s">
        <v>223</v>
      </c>
      <c r="B77" s="900"/>
      <c r="C77" s="901"/>
      <c r="D77" s="151" t="s">
        <v>139</v>
      </c>
      <c r="E77" s="95">
        <f>'4'!F77</f>
        <v>58361</v>
      </c>
      <c r="F77" s="123">
        <v>58404</v>
      </c>
      <c r="G77" s="112">
        <f t="shared" si="7"/>
        <v>43</v>
      </c>
      <c r="H77" s="99">
        <f>G77+'4'!H77</f>
        <v>252</v>
      </c>
      <c r="I77" s="154"/>
      <c r="J77" s="175">
        <f>H77/DAY(B2)</f>
        <v>50.4</v>
      </c>
      <c r="K77" s="69"/>
      <c r="L77" s="66"/>
      <c r="N77" s="87"/>
      <c r="O77" s="71"/>
    </row>
    <row r="78" spans="1:15" ht="25.5">
      <c r="A78" s="899" t="s">
        <v>224</v>
      </c>
      <c r="B78" s="900"/>
      <c r="C78" s="901"/>
      <c r="D78" s="151" t="s">
        <v>139</v>
      </c>
      <c r="E78" s="95">
        <f>'4'!F78</f>
        <v>9563</v>
      </c>
      <c r="F78" s="123">
        <v>9563.4</v>
      </c>
      <c r="G78" s="112">
        <f t="shared" si="7"/>
        <v>0.3999999999996362</v>
      </c>
      <c r="H78" s="99">
        <f>G78+'4'!H78</f>
        <v>-0.6000000000003638</v>
      </c>
      <c r="I78" s="118"/>
      <c r="J78" s="175">
        <f>H78/DAY(B2)</f>
        <v>-0.12000000000007276</v>
      </c>
      <c r="K78" s="69"/>
      <c r="L78" s="66"/>
      <c r="N78" s="87"/>
      <c r="O78" s="71"/>
    </row>
    <row r="79" spans="1:15" s="57" customFormat="1" ht="25.5">
      <c r="A79" s="899" t="s">
        <v>225</v>
      </c>
      <c r="B79" s="900"/>
      <c r="C79" s="901"/>
      <c r="D79" s="151"/>
      <c r="E79" s="117"/>
      <c r="F79" s="117"/>
      <c r="G79" s="112">
        <f>G15-SUM(G74:G78)</f>
        <v>554.60000000000036</v>
      </c>
      <c r="H79" s="99">
        <f>G79+'4'!H79</f>
        <v>3317.2419999999929</v>
      </c>
      <c r="I79" s="118"/>
      <c r="J79" s="175"/>
      <c r="K79" s="59"/>
      <c r="L79" s="58"/>
      <c r="N79" s="87"/>
      <c r="O79" s="71"/>
    </row>
    <row r="80" spans="1:15" s="57" customFormat="1" ht="26.25">
      <c r="A80" s="911" t="s">
        <v>329</v>
      </c>
      <c r="B80" s="912"/>
      <c r="C80" s="913"/>
      <c r="D80" s="151"/>
      <c r="E80" s="117"/>
      <c r="F80" s="117"/>
      <c r="G80" s="112">
        <f>SUM(G74:G79)</f>
        <v>1031</v>
      </c>
      <c r="H80" s="99"/>
      <c r="I80" s="118"/>
      <c r="J80" s="175"/>
      <c r="K80" s="59"/>
      <c r="L80" s="58"/>
      <c r="N80" s="87"/>
      <c r="O80" s="71"/>
    </row>
    <row r="81" spans="1:15" ht="25.5">
      <c r="A81" s="915" t="s">
        <v>226</v>
      </c>
      <c r="B81" s="916"/>
      <c r="C81" s="917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'4'!F82</f>
        <v>0</v>
      </c>
      <c r="F82" s="122">
        <v>0</v>
      </c>
      <c r="G82" s="112">
        <f t="shared" ref="G82:G92" si="8">F82-E82</f>
        <v>0</v>
      </c>
      <c r="H82" s="99">
        <f>G82+'4'!H82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'4'!F83</f>
        <v>0</v>
      </c>
      <c r="F83" s="122">
        <v>0</v>
      </c>
      <c r="G83" s="112">
        <f t="shared" si="8"/>
        <v>0</v>
      </c>
      <c r="H83" s="99">
        <f>G83+'4'!H83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'4'!F84</f>
        <v>43546</v>
      </c>
      <c r="F84" s="164">
        <v>43546</v>
      </c>
      <c r="G84" s="112">
        <f t="shared" si="8"/>
        <v>0</v>
      </c>
      <c r="H84" s="99">
        <f>G84+'4'!H84</f>
        <v>0</v>
      </c>
      <c r="I84" s="545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'4'!F85</f>
        <v>6028</v>
      </c>
      <c r="F85" s="164">
        <v>6052.48</v>
      </c>
      <c r="G85" s="112">
        <f t="shared" si="8"/>
        <v>24.479999999999563</v>
      </c>
      <c r="H85" s="99">
        <f>G85+'4'!H85</f>
        <v>120.02999999999975</v>
      </c>
      <c r="I85" s="545"/>
      <c r="J85" s="175">
        <f>H85/DAY(B2)</f>
        <v>24.00599999999995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'4'!F86</f>
        <v>46834</v>
      </c>
      <c r="F86" s="164">
        <v>46834</v>
      </c>
      <c r="G86" s="112">
        <f t="shared" si="8"/>
        <v>0</v>
      </c>
      <c r="H86" s="99">
        <f>G86+'4'!H86</f>
        <v>0</v>
      </c>
      <c r="I86" s="545"/>
      <c r="J86" s="175">
        <f>H86/DAY(B2)</f>
        <v>0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'4'!F87</f>
        <v>37028</v>
      </c>
      <c r="F87" s="164">
        <v>37028</v>
      </c>
      <c r="G87" s="112">
        <f t="shared" si="8"/>
        <v>0</v>
      </c>
      <c r="H87" s="99">
        <f>G87+'4'!H87</f>
        <v>0</v>
      </c>
      <c r="I87" s="545">
        <f>G84+G85+G86+G87</f>
        <v>24.479999999999563</v>
      </c>
      <c r="J87" s="175">
        <f>H87/DAY(B2)</f>
        <v>0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'4'!F88</f>
        <v>24610.5</v>
      </c>
      <c r="F88" s="164">
        <v>24611</v>
      </c>
      <c r="G88" s="112">
        <f t="shared" si="8"/>
        <v>0.5</v>
      </c>
      <c r="H88" s="99">
        <f>G88+'4'!H88</f>
        <v>7.4000000000014552</v>
      </c>
      <c r="I88" s="545"/>
      <c r="J88" s="175">
        <f>H88/DAY(B2)</f>
        <v>1.4800000000002911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'4'!F89</f>
        <v>28798.47</v>
      </c>
      <c r="F89" s="164">
        <v>28808</v>
      </c>
      <c r="G89" s="112">
        <f t="shared" si="8"/>
        <v>9.5299999999988358</v>
      </c>
      <c r="H89" s="99">
        <f>G89+'4'!H89</f>
        <v>59.610000000000582</v>
      </c>
      <c r="I89" s="545">
        <f>G88+G89</f>
        <v>10.029999999998836</v>
      </c>
      <c r="J89" s="175">
        <f>H89/DAY(B2)</f>
        <v>11.922000000000116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'4'!F90</f>
        <v>74251.600000000006</v>
      </c>
      <c r="F90" s="164">
        <v>74262</v>
      </c>
      <c r="G90" s="112">
        <f t="shared" si="8"/>
        <v>10.399999999994179</v>
      </c>
      <c r="H90" s="99">
        <f>G90+'4'!H90</f>
        <v>58.820000000006985</v>
      </c>
      <c r="I90" s="545">
        <f>G90</f>
        <v>10.399999999994179</v>
      </c>
      <c r="J90" s="175">
        <f>H90/DAY(B2)</f>
        <v>11.764000000001397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'4'!F91</f>
        <v>5618.21</v>
      </c>
      <c r="F91" s="122">
        <v>5618</v>
      </c>
      <c r="G91" s="112">
        <f t="shared" si="8"/>
        <v>-0.21000000000003638</v>
      </c>
      <c r="H91" s="99">
        <f>G91+'4'!H91</f>
        <v>-0.21000000000003638</v>
      </c>
      <c r="I91" s="546"/>
      <c r="J91" s="175">
        <f>H91/DAY(B2)</f>
        <v>-4.2000000000007275E-2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'4'!F92</f>
        <v>7125</v>
      </c>
      <c r="F92" s="122">
        <v>7137</v>
      </c>
      <c r="G92" s="112">
        <f t="shared" si="8"/>
        <v>12</v>
      </c>
      <c r="H92" s="99">
        <f>G92+'4'!H92</f>
        <v>57.3100000000004</v>
      </c>
      <c r="I92" s="547">
        <f>G91+G92</f>
        <v>11.789999999999964</v>
      </c>
      <c r="J92" s="175">
        <f>H92/DAY(B2)</f>
        <v>11.46200000000008</v>
      </c>
      <c r="O92" s="71"/>
    </row>
    <row r="93" spans="1:15" ht="26.25">
      <c r="A93" s="905" t="s">
        <v>239</v>
      </c>
      <c r="B93" s="906"/>
      <c r="C93" s="90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5376</v>
      </c>
      <c r="H94" s="99">
        <f>G94+'4'!H94</f>
        <v>27787.859999999986</v>
      </c>
      <c r="I94" s="118"/>
      <c r="J94" s="175">
        <f>H94/DAY(B2)</f>
        <v>5557.5719999999974</v>
      </c>
      <c r="K94" s="69"/>
      <c r="L94" s="66"/>
      <c r="O94" s="71"/>
    </row>
    <row r="95" spans="1:15" ht="25.5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0.25694212111073939</v>
      </c>
      <c r="H95" s="99">
        <f>G95+'4'!H95</f>
        <v>1.3373452924766327</v>
      </c>
      <c r="I95" s="167"/>
      <c r="J95" s="175">
        <f>H95/DAY(B2)</f>
        <v>0.26746905849532654</v>
      </c>
      <c r="K95" s="69"/>
      <c r="L95" s="66"/>
      <c r="O95" s="71"/>
    </row>
    <row r="96" spans="1:15" ht="25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4539.1999999999534</v>
      </c>
      <c r="H96" s="99">
        <f>G96+'4'!H96</f>
        <v>22118.179999999993</v>
      </c>
      <c r="I96" s="118"/>
      <c r="J96" s="175">
        <f>H96/DAY(B2)</f>
        <v>4423.6359999999986</v>
      </c>
      <c r="K96" s="69"/>
      <c r="L96" s="66"/>
      <c r="O96" s="71"/>
    </row>
    <row r="97" spans="1:15" ht="25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0.21694785642594053</v>
      </c>
      <c r="H97" s="99">
        <f>G97+'4'!H97</f>
        <v>1.0633586272056044</v>
      </c>
      <c r="I97" s="167"/>
      <c r="J97" s="175">
        <f>H97/DAY(B2)</f>
        <v>0.21267172544112087</v>
      </c>
      <c r="K97" s="69"/>
      <c r="L97" s="66"/>
      <c r="O97" s="71"/>
    </row>
    <row r="98" spans="1:15" ht="25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2895</v>
      </c>
      <c r="H98" s="99">
        <f>G98+'4'!H98</f>
        <v>14223.969999999972</v>
      </c>
      <c r="I98" s="168"/>
      <c r="J98" s="175">
        <f>H98/DAY(B2)</f>
        <v>2844.7939999999944</v>
      </c>
      <c r="K98" s="69"/>
      <c r="L98" s="66"/>
      <c r="O98" s="71"/>
    </row>
    <row r="99" spans="1:15" ht="25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0.13836447928117382</v>
      </c>
      <c r="H99" s="99">
        <f>G99+'4'!H99</f>
        <v>0.6846505361159847</v>
      </c>
      <c r="I99" s="168"/>
      <c r="J99" s="175">
        <f>H99/DAY(B2)</f>
        <v>0.13693010722319693</v>
      </c>
      <c r="O99" s="71"/>
    </row>
    <row r="100" spans="1:15" ht="26.2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2509.0100000000002</v>
      </c>
      <c r="H100" s="99">
        <f>G100+'4'!H100</f>
        <v>10360.410000000024</v>
      </c>
      <c r="I100" s="118"/>
      <c r="J100" s="175">
        <f>H100/DAY(B2)</f>
        <v>2072.0820000000049</v>
      </c>
      <c r="K100" s="70"/>
      <c r="O100" s="71"/>
    </row>
    <row r="101" spans="1:15" ht="25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0.11991635998661761</v>
      </c>
      <c r="H101" s="99">
        <f>G101+'4'!H101</f>
        <v>0.49682948853070291</v>
      </c>
      <c r="I101" s="168"/>
      <c r="J101" s="175">
        <f>H101/DAY(B2)</f>
        <v>9.9365897706140585E-2</v>
      </c>
      <c r="O101" s="71"/>
    </row>
    <row r="102" spans="1:15" ht="25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1983.9000000000233</v>
      </c>
      <c r="H102" s="99">
        <f>G102+'4'!H102</f>
        <v>11595.099999999977</v>
      </c>
      <c r="I102" s="168"/>
      <c r="J102" s="175">
        <f>H102/DAY(B2)</f>
        <v>2319.0199999999954</v>
      </c>
      <c r="O102" s="71"/>
    </row>
    <row r="103" spans="1:15" ht="25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9.4819098599628324E-2</v>
      </c>
      <c r="H103" s="99">
        <f>G103+'4'!H103</f>
        <v>0.55712485296824454</v>
      </c>
      <c r="I103" s="118"/>
      <c r="J103" s="175">
        <f>H103/DAY(B2)</f>
        <v>0.11142497059364891</v>
      </c>
      <c r="O103" s="71"/>
    </row>
    <row r="104" spans="1:15" ht="25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1489</v>
      </c>
      <c r="H104" s="99">
        <f>G104+'4'!H104</f>
        <v>7208.1300000000047</v>
      </c>
      <c r="I104" s="118"/>
      <c r="J104" s="175">
        <f>H104/DAY(B2)</f>
        <v>1441.6260000000009</v>
      </c>
      <c r="O104" s="71"/>
    </row>
    <row r="105" spans="1:15" ht="26.25" thickBot="1">
      <c r="A105" s="895" t="s">
        <v>251</v>
      </c>
      <c r="B105" s="896"/>
      <c r="C105" s="897"/>
      <c r="D105" s="231" t="s">
        <v>23</v>
      </c>
      <c r="E105" s="185"/>
      <c r="F105" s="185"/>
      <c r="G105" s="186">
        <f>G104/G7</f>
        <v>7.1165702815083873E-2</v>
      </c>
      <c r="H105" s="99">
        <f>G105+'4'!H105</f>
        <v>0.34704396428688156</v>
      </c>
      <c r="I105" s="187"/>
      <c r="J105" s="188">
        <f>H105/DAY(B2)</f>
        <v>6.9408792857376306E-2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891" t="s">
        <v>324</v>
      </c>
      <c r="B108" s="891"/>
      <c r="C108" s="891"/>
      <c r="D108" s="891"/>
      <c r="E108" s="891"/>
      <c r="F108" s="891"/>
      <c r="G108" s="891"/>
      <c r="H108" s="891"/>
      <c r="I108" s="891"/>
      <c r="J108" s="891"/>
    </row>
    <row r="109" spans="1:15" ht="26.25">
      <c r="A109" s="918"/>
      <c r="B109" s="918"/>
    </row>
    <row r="110" spans="1:15" ht="26.25">
      <c r="A110" s="892" t="s">
        <v>165</v>
      </c>
      <c r="B110" s="893"/>
      <c r="C110" s="893"/>
      <c r="D110" s="893"/>
      <c r="E110" s="893"/>
      <c r="F110" s="893"/>
      <c r="G110" s="893"/>
      <c r="H110" s="893"/>
      <c r="I110" s="893"/>
      <c r="J110" s="894"/>
    </row>
    <row r="111" spans="1:15" ht="25.5">
      <c r="A111" s="885"/>
      <c r="B111" s="886"/>
      <c r="C111" s="887"/>
      <c r="D111" s="165"/>
      <c r="E111" s="165"/>
      <c r="F111" s="165"/>
      <c r="G111" s="165"/>
      <c r="H111" s="156"/>
      <c r="I111" s="165"/>
      <c r="J111" s="327"/>
    </row>
    <row r="112" spans="1:15" ht="25.5">
      <c r="A112" s="881" t="s">
        <v>252</v>
      </c>
      <c r="B112" s="882"/>
      <c r="C112" s="883"/>
      <c r="D112" s="146" t="s">
        <v>183</v>
      </c>
      <c r="E112" s="95">
        <f>'4'!F112</f>
        <v>17751.599999999999</v>
      </c>
      <c r="F112" s="237">
        <v>17811</v>
      </c>
      <c r="G112" s="112">
        <f t="shared" ref="G112:G123" si="9">F112-E112</f>
        <v>59.400000000001455</v>
      </c>
      <c r="H112" s="99">
        <f>G112+'4'!H112</f>
        <v>299.70000000000073</v>
      </c>
      <c r="I112" s="165"/>
      <c r="J112" s="328">
        <f>H112/DAY(B2)</f>
        <v>59.940000000000147</v>
      </c>
    </row>
    <row r="113" spans="1:18" ht="29.25" customHeight="1">
      <c r="A113" s="881" t="s">
        <v>253</v>
      </c>
      <c r="B113" s="882"/>
      <c r="C113" s="883"/>
      <c r="D113" s="146" t="s">
        <v>183</v>
      </c>
      <c r="E113" s="95">
        <f>'4'!F113</f>
        <v>37659.300000000003</v>
      </c>
      <c r="F113" s="237">
        <v>37804</v>
      </c>
      <c r="G113" s="112">
        <f t="shared" si="9"/>
        <v>144.69999999999709</v>
      </c>
      <c r="H113" s="99">
        <f>G113+'4'!H113</f>
        <v>725</v>
      </c>
      <c r="I113" s="165"/>
      <c r="J113" s="328">
        <f>H113/DAY(B2)</f>
        <v>145</v>
      </c>
    </row>
    <row r="114" spans="1:18" ht="29.25" customHeight="1">
      <c r="A114" s="881" t="s">
        <v>254</v>
      </c>
      <c r="B114" s="882"/>
      <c r="C114" s="883"/>
      <c r="D114" s="146" t="s">
        <v>183</v>
      </c>
      <c r="E114" s="95">
        <f>'4'!F114</f>
        <v>55163</v>
      </c>
      <c r="F114" s="237">
        <v>55390</v>
      </c>
      <c r="G114" s="112">
        <f t="shared" si="9"/>
        <v>227</v>
      </c>
      <c r="H114" s="99">
        <f>G114+'4'!H114</f>
        <v>1122.2200000000012</v>
      </c>
      <c r="I114" s="165"/>
      <c r="J114" s="328">
        <f>H114/DAY(B2)</f>
        <v>224.44400000000024</v>
      </c>
    </row>
    <row r="115" spans="1:18" ht="29.25" customHeight="1">
      <c r="A115" s="881" t="s">
        <v>255</v>
      </c>
      <c r="B115" s="882"/>
      <c r="C115" s="883"/>
      <c r="D115" s="146" t="s">
        <v>183</v>
      </c>
      <c r="E115" s="95">
        <f>'4'!F115</f>
        <v>35581</v>
      </c>
      <c r="F115" s="237">
        <v>35736</v>
      </c>
      <c r="G115" s="112">
        <f t="shared" si="9"/>
        <v>155</v>
      </c>
      <c r="H115" s="99">
        <f>G115+'4'!H115</f>
        <v>769.08999999999651</v>
      </c>
      <c r="I115" s="165"/>
      <c r="J115" s="328">
        <f>H115/DAY(B2)</f>
        <v>153.8179999999993</v>
      </c>
    </row>
    <row r="116" spans="1:18" ht="29.25" customHeight="1">
      <c r="A116" s="888" t="s">
        <v>96</v>
      </c>
      <c r="B116" s="889"/>
      <c r="C116" s="890"/>
      <c r="D116" s="146" t="s">
        <v>183</v>
      </c>
      <c r="E116" s="95">
        <f>'4'!F116</f>
        <v>136173</v>
      </c>
      <c r="F116" s="237">
        <v>136608</v>
      </c>
      <c r="G116" s="112">
        <f t="shared" si="9"/>
        <v>435</v>
      </c>
      <c r="H116" s="99">
        <f>G116+'4'!H116</f>
        <v>2119.609999999986</v>
      </c>
      <c r="I116" s="165"/>
      <c r="J116" s="328">
        <f>H116/DAY(B2)</f>
        <v>423.92199999999718</v>
      </c>
      <c r="Q116" s="953"/>
      <c r="R116" s="953"/>
    </row>
    <row r="117" spans="1:18" ht="29.25" customHeight="1">
      <c r="A117" s="888" t="s">
        <v>184</v>
      </c>
      <c r="B117" s="889"/>
      <c r="C117" s="890"/>
      <c r="D117" s="146" t="s">
        <v>183</v>
      </c>
      <c r="E117" s="95">
        <f>'4'!F117</f>
        <v>84240.8</v>
      </c>
      <c r="F117" s="237">
        <v>84623</v>
      </c>
      <c r="G117" s="112">
        <f t="shared" si="9"/>
        <v>382.19999999999709</v>
      </c>
      <c r="H117" s="99">
        <f>G117+'4'!H117</f>
        <v>1913</v>
      </c>
      <c r="I117" s="165"/>
      <c r="J117" s="328">
        <f>H117/DAY(B2)</f>
        <v>382.6</v>
      </c>
      <c r="Q117" s="953"/>
      <c r="R117" s="953"/>
    </row>
    <row r="118" spans="1:18" ht="25.5">
      <c r="A118" s="880" t="s">
        <v>97</v>
      </c>
      <c r="B118" s="880"/>
      <c r="C118" s="880"/>
      <c r="D118" s="151" t="s">
        <v>183</v>
      </c>
      <c r="E118" s="95">
        <f>'4'!F118</f>
        <v>160727.79999999999</v>
      </c>
      <c r="F118" s="237">
        <v>161390</v>
      </c>
      <c r="G118" s="112">
        <f t="shared" si="9"/>
        <v>662.20000000001164</v>
      </c>
      <c r="H118" s="99">
        <f>G118+'4'!H118</f>
        <v>3252.8500000000058</v>
      </c>
      <c r="I118" s="165"/>
      <c r="J118" s="328">
        <f>H118/DAY(B2)</f>
        <v>650.57000000000119</v>
      </c>
      <c r="Q118" s="953"/>
      <c r="R118" s="953"/>
    </row>
    <row r="119" spans="1:18" ht="25.5">
      <c r="A119" s="880" t="s">
        <v>98</v>
      </c>
      <c r="B119" s="880"/>
      <c r="C119" s="880"/>
      <c r="D119" s="151" t="s">
        <v>183</v>
      </c>
      <c r="E119" s="95">
        <f>'4'!F119</f>
        <v>44077.8</v>
      </c>
      <c r="F119" s="237">
        <v>44114</v>
      </c>
      <c r="G119" s="112">
        <f t="shared" si="9"/>
        <v>36.19999999999709</v>
      </c>
      <c r="H119" s="99">
        <f>G119+'4'!H119</f>
        <v>174.82499999999709</v>
      </c>
      <c r="I119" s="165"/>
      <c r="J119" s="328">
        <f>H119/DAY(B2)</f>
        <v>34.964999999999421</v>
      </c>
    </row>
    <row r="120" spans="1:18" ht="25.5">
      <c r="A120" s="880" t="s">
        <v>99</v>
      </c>
      <c r="B120" s="880"/>
      <c r="C120" s="880"/>
      <c r="D120" s="151" t="s">
        <v>183</v>
      </c>
      <c r="E120" s="95">
        <f>'4'!F120</f>
        <v>110066.38</v>
      </c>
      <c r="F120" s="467">
        <v>110460</v>
      </c>
      <c r="G120" s="112">
        <f t="shared" si="9"/>
        <v>393.61999999999534</v>
      </c>
      <c r="H120" s="99">
        <f>G120+'4'!H120</f>
        <v>2022.8600000000006</v>
      </c>
      <c r="I120" s="165"/>
      <c r="J120" s="328">
        <f>H120/DAY(B2)</f>
        <v>404.57200000000012</v>
      </c>
    </row>
    <row r="121" spans="1:18" ht="25.5">
      <c r="A121" s="880" t="s">
        <v>100</v>
      </c>
      <c r="B121" s="880"/>
      <c r="C121" s="880"/>
      <c r="D121" s="151" t="s">
        <v>183</v>
      </c>
      <c r="E121" s="95">
        <f>'4'!F121</f>
        <v>122948.1</v>
      </c>
      <c r="F121" s="237">
        <v>123393</v>
      </c>
      <c r="G121" s="112">
        <f t="shared" si="9"/>
        <v>444.89999999999418</v>
      </c>
      <c r="H121" s="99">
        <f>G121+'4'!H121</f>
        <v>2170.1100000000006</v>
      </c>
      <c r="I121" s="165"/>
      <c r="J121" s="328">
        <f>H121/DAY(B2)</f>
        <v>434.02200000000011</v>
      </c>
    </row>
    <row r="122" spans="1:18" ht="25.5">
      <c r="A122" s="880" t="s">
        <v>101</v>
      </c>
      <c r="B122" s="880"/>
      <c r="C122" s="880"/>
      <c r="D122" s="151" t="s">
        <v>183</v>
      </c>
      <c r="E122" s="95">
        <f>'4'!F122</f>
        <v>82363.600000000006</v>
      </c>
      <c r="F122" s="237">
        <v>82681</v>
      </c>
      <c r="G122" s="112">
        <f t="shared" si="9"/>
        <v>317.39999999999418</v>
      </c>
      <c r="H122" s="99">
        <f>G122+'4'!H122</f>
        <v>1406.6300000000047</v>
      </c>
      <c r="I122" s="165"/>
      <c r="J122" s="328">
        <f>H122/DAY(B2)</f>
        <v>281.32600000000093</v>
      </c>
    </row>
    <row r="123" spans="1:18" ht="25.5">
      <c r="A123" s="880" t="s">
        <v>102</v>
      </c>
      <c r="B123" s="880"/>
      <c r="C123" s="880"/>
      <c r="D123" s="151" t="s">
        <v>183</v>
      </c>
      <c r="E123" s="95">
        <f>'4'!F123</f>
        <v>79276.5</v>
      </c>
      <c r="F123" s="237">
        <v>79576</v>
      </c>
      <c r="G123" s="112">
        <f t="shared" si="9"/>
        <v>299.5</v>
      </c>
      <c r="H123" s="99">
        <f>G123+'4'!H123</f>
        <v>1627</v>
      </c>
      <c r="I123" s="165"/>
      <c r="J123" s="328">
        <f>H123/DAY(B2)</f>
        <v>325.39999999999998</v>
      </c>
    </row>
    <row r="124" spans="1:18" ht="29.25" customHeight="1">
      <c r="A124" s="885"/>
      <c r="B124" s="886"/>
      <c r="C124" s="887"/>
      <c r="D124" s="165"/>
      <c r="E124" s="165"/>
      <c r="F124" s="165" t="s">
        <v>379</v>
      </c>
      <c r="G124" s="327"/>
      <c r="H124" s="156"/>
      <c r="I124" s="165"/>
      <c r="J124" s="327"/>
    </row>
    <row r="125" spans="1:18" ht="25.5">
      <c r="A125" s="948" t="s">
        <v>196</v>
      </c>
      <c r="B125" s="948"/>
      <c r="C125" s="245"/>
      <c r="D125" s="307"/>
      <c r="E125" s="308"/>
      <c r="F125" s="308"/>
      <c r="G125" s="309">
        <f>SUM(G112:G124)</f>
        <v>3557.1199999999881</v>
      </c>
      <c r="H125" s="156"/>
      <c r="I125" s="327">
        <f>G125-(G39+G53)</f>
        <v>662.11999999998807</v>
      </c>
      <c r="J125" s="327"/>
    </row>
    <row r="126" spans="1:18" ht="25.5">
      <c r="A126" s="884" t="s">
        <v>317</v>
      </c>
      <c r="B126" s="884"/>
      <c r="C126" s="884"/>
      <c r="D126" s="884"/>
      <c r="E126" s="884"/>
      <c r="F126" s="884"/>
      <c r="G126" s="884"/>
      <c r="H126" s="884"/>
      <c r="I126" s="884"/>
      <c r="J126" s="884"/>
    </row>
    <row r="127" spans="1:18" ht="25.5">
      <c r="A127" s="870"/>
      <c r="B127" s="870"/>
      <c r="C127" s="245"/>
      <c r="D127" s="307"/>
      <c r="E127" s="308"/>
      <c r="F127" s="386"/>
      <c r="G127" s="309"/>
      <c r="H127" s="99">
        <f>G127+'4'!H127</f>
        <v>0</v>
      </c>
      <c r="I127" s="165"/>
      <c r="J127" s="328">
        <f>H127/DAY(B2)</f>
        <v>0</v>
      </c>
    </row>
    <row r="128" spans="1:18" ht="29.25" customHeight="1">
      <c r="A128" s="881" t="s">
        <v>318</v>
      </c>
      <c r="B128" s="882"/>
      <c r="C128" s="883"/>
      <c r="D128" s="151" t="s">
        <v>183</v>
      </c>
      <c r="E128" s="95">
        <f>'4'!F128</f>
        <v>193860.2</v>
      </c>
      <c r="F128" s="387">
        <v>194352</v>
      </c>
      <c r="G128" s="112">
        <f t="shared" ref="G128:G134" si="10">F128-E128</f>
        <v>491.79999999998836</v>
      </c>
      <c r="H128" s="99">
        <f>G128+'4'!H128</f>
        <v>2466.3699999999953</v>
      </c>
      <c r="I128" s="165"/>
      <c r="J128" s="328">
        <f>H128/DAY(B2)</f>
        <v>493.27399999999909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'4'!F129</f>
        <v>102025.33</v>
      </c>
      <c r="F129" s="387">
        <v>102188</v>
      </c>
      <c r="G129" s="112">
        <f t="shared" si="10"/>
        <v>162.66999999999825</v>
      </c>
      <c r="H129" s="99">
        <f>G129+'4'!H129</f>
        <v>911</v>
      </c>
      <c r="I129" s="165"/>
      <c r="J129" s="328">
        <f>H129/DAY(B2)</f>
        <v>182.2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'4'!F130</f>
        <v>270543</v>
      </c>
      <c r="F130" s="387">
        <v>271065</v>
      </c>
      <c r="G130" s="112">
        <f t="shared" si="10"/>
        <v>522</v>
      </c>
      <c r="H130" s="99">
        <f>G130+'4'!H130</f>
        <v>2250</v>
      </c>
      <c r="I130" s="165"/>
      <c r="J130" s="328">
        <f>H130/DAY(B2)</f>
        <v>450</v>
      </c>
      <c r="N130" s="240"/>
      <c r="O130" s="241"/>
    </row>
    <row r="131" spans="1:15" ht="25.5">
      <c r="A131" s="881" t="s">
        <v>321</v>
      </c>
      <c r="B131" s="882"/>
      <c r="C131" s="883"/>
      <c r="D131" s="151" t="s">
        <v>183</v>
      </c>
      <c r="E131" s="95">
        <f>'4'!F131</f>
        <v>80253</v>
      </c>
      <c r="F131" s="387">
        <v>80414</v>
      </c>
      <c r="G131" s="112">
        <f t="shared" si="10"/>
        <v>161</v>
      </c>
      <c r="H131" s="99">
        <f>G131+'4'!H131</f>
        <v>863.36999999999534</v>
      </c>
      <c r="I131" s="165"/>
      <c r="J131" s="328">
        <f>H131/DAY(B2)</f>
        <v>172.67399999999907</v>
      </c>
      <c r="N131" s="240"/>
      <c r="O131" s="241"/>
    </row>
    <row r="132" spans="1:15" ht="25.5">
      <c r="A132" s="881" t="s">
        <v>322</v>
      </c>
      <c r="B132" s="882"/>
      <c r="C132" s="883"/>
      <c r="D132" s="151" t="s">
        <v>183</v>
      </c>
      <c r="E132" s="95">
        <f>'4'!F132</f>
        <v>148274</v>
      </c>
      <c r="F132" s="387">
        <v>148274</v>
      </c>
      <c r="G132" s="112">
        <f t="shared" si="10"/>
        <v>0</v>
      </c>
      <c r="H132" s="99">
        <f>G132+'4'!H132</f>
        <v>0</v>
      </c>
      <c r="I132" s="165"/>
      <c r="J132" s="328">
        <f>H132/DAY(B2)</f>
        <v>0</v>
      </c>
    </row>
    <row r="133" spans="1:15" ht="25.5">
      <c r="A133" s="881" t="s">
        <v>323</v>
      </c>
      <c r="B133" s="882"/>
      <c r="C133" s="883"/>
      <c r="D133" s="151" t="s">
        <v>183</v>
      </c>
      <c r="E133" s="95">
        <f>'4'!F133</f>
        <v>288548.17</v>
      </c>
      <c r="F133" s="387">
        <v>288548</v>
      </c>
      <c r="G133" s="112">
        <f t="shared" si="10"/>
        <v>-0.16999999998370185</v>
      </c>
      <c r="H133" s="99">
        <f>G133+'4'!H133</f>
        <v>-644500</v>
      </c>
      <c r="I133" s="165"/>
      <c r="J133" s="328">
        <f>H133/DAY(B2)</f>
        <v>-128900</v>
      </c>
    </row>
    <row r="134" spans="1:15" ht="25.5">
      <c r="A134" s="881" t="s">
        <v>340</v>
      </c>
      <c r="B134" s="882"/>
      <c r="C134" s="883"/>
      <c r="D134" s="151" t="s">
        <v>183</v>
      </c>
      <c r="E134" s="95">
        <f>'4'!F134</f>
        <v>87020</v>
      </c>
      <c r="F134" s="387">
        <v>87282</v>
      </c>
      <c r="G134" s="112">
        <f t="shared" si="10"/>
        <v>262</v>
      </c>
      <c r="H134" s="99">
        <f>G134+'4'!H134</f>
        <v>1330</v>
      </c>
      <c r="I134" s="165"/>
      <c r="J134" s="328">
        <f>H134/DAY(B2)</f>
        <v>266</v>
      </c>
    </row>
    <row r="135" spans="1:15" ht="25.5">
      <c r="A135" s="948" t="s">
        <v>196</v>
      </c>
      <c r="B135" s="948"/>
      <c r="C135" s="331"/>
      <c r="D135" s="151"/>
      <c r="E135" s="95"/>
      <c r="F135" s="165"/>
      <c r="G135" s="112">
        <f>SUM(G128:G134)</f>
        <v>1599.3000000000029</v>
      </c>
      <c r="H135" s="99">
        <f>G135+'4'!H135</f>
        <v>-636679.26</v>
      </c>
      <c r="I135" s="327">
        <f>G135-(G35+G49)</f>
        <v>-1467.6999999999971</v>
      </c>
      <c r="J135" s="328">
        <f>H135/DAY(B2)</f>
        <v>-127335.852</v>
      </c>
    </row>
    <row r="136" spans="1:15" ht="27.75">
      <c r="A136" s="869" t="s">
        <v>325</v>
      </c>
      <c r="B136" s="869"/>
      <c r="C136" s="869"/>
      <c r="D136" s="869"/>
      <c r="E136" s="869"/>
      <c r="F136" s="869"/>
      <c r="G136" s="869"/>
      <c r="H136" s="869"/>
      <c r="I136" s="869"/>
      <c r="J136" s="869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80" t="s">
        <v>185</v>
      </c>
      <c r="B138" s="880"/>
      <c r="C138" s="880"/>
      <c r="D138" s="151" t="s">
        <v>183</v>
      </c>
      <c r="E138" s="95">
        <f>'4'!F138</f>
        <v>909978</v>
      </c>
      <c r="F138" s="147">
        <v>910081</v>
      </c>
      <c r="G138" s="112">
        <f t="shared" ref="G138:G152" si="11">F138-E138</f>
        <v>103</v>
      </c>
      <c r="H138" s="99">
        <f>G138+'4'!H138</f>
        <v>602</v>
      </c>
      <c r="I138" s="118"/>
      <c r="J138" s="328">
        <f>H138/DAY(B2)</f>
        <v>120.4</v>
      </c>
    </row>
    <row r="139" spans="1:15" ht="25.5">
      <c r="A139" s="880" t="s">
        <v>186</v>
      </c>
      <c r="B139" s="880"/>
      <c r="C139" s="880"/>
      <c r="D139" s="151" t="s">
        <v>183</v>
      </c>
      <c r="E139" s="95">
        <f>'4'!F139</f>
        <v>933016</v>
      </c>
      <c r="F139" s="148">
        <v>933187</v>
      </c>
      <c r="G139" s="112">
        <f t="shared" si="11"/>
        <v>171</v>
      </c>
      <c r="H139" s="99">
        <f>G139+'4'!H139</f>
        <v>827</v>
      </c>
      <c r="I139" s="118"/>
      <c r="J139" s="328">
        <f>H139/DAY(B2)</f>
        <v>165.4</v>
      </c>
    </row>
    <row r="140" spans="1:15" ht="25.5">
      <c r="A140" s="880" t="s">
        <v>187</v>
      </c>
      <c r="B140" s="880"/>
      <c r="C140" s="880"/>
      <c r="D140" s="151" t="s">
        <v>183</v>
      </c>
      <c r="E140" s="95">
        <f>'4'!F140</f>
        <v>4100.8999999999996</v>
      </c>
      <c r="F140" s="149">
        <v>4118</v>
      </c>
      <c r="G140" s="112">
        <f t="shared" si="11"/>
        <v>17.100000000000364</v>
      </c>
      <c r="H140" s="99">
        <f>G140+'4'!H140</f>
        <v>84.489000000000033</v>
      </c>
      <c r="I140" s="118"/>
      <c r="J140" s="328">
        <f>H140/DAY(B2)</f>
        <v>16.897800000000007</v>
      </c>
    </row>
    <row r="141" spans="1:15" ht="25.5">
      <c r="A141" s="863" t="s">
        <v>188</v>
      </c>
      <c r="B141" s="863"/>
      <c r="C141" s="863"/>
      <c r="D141" s="151" t="s">
        <v>183</v>
      </c>
      <c r="E141" s="95">
        <f>'4'!F141</f>
        <v>125386</v>
      </c>
      <c r="F141" s="149">
        <v>125585</v>
      </c>
      <c r="G141" s="112">
        <f t="shared" si="11"/>
        <v>199</v>
      </c>
      <c r="H141" s="99">
        <f>G141+'4'!H141</f>
        <v>987</v>
      </c>
      <c r="I141" s="118"/>
      <c r="J141" s="328">
        <f>H141/DAY(B2)</f>
        <v>197.4</v>
      </c>
    </row>
    <row r="142" spans="1:15" ht="25.5">
      <c r="A142" s="863" t="s">
        <v>189</v>
      </c>
      <c r="B142" s="863"/>
      <c r="C142" s="863"/>
      <c r="D142" s="151" t="s">
        <v>183</v>
      </c>
      <c r="E142" s="95">
        <f>'4'!F142</f>
        <v>50914</v>
      </c>
      <c r="F142" s="148">
        <v>50995</v>
      </c>
      <c r="G142" s="112">
        <f t="shared" si="11"/>
        <v>81</v>
      </c>
      <c r="H142" s="99">
        <f>G142+'4'!H142</f>
        <v>429.44999999999709</v>
      </c>
      <c r="I142" s="140"/>
      <c r="J142" s="328">
        <f>H142/DAY(B2)</f>
        <v>85.889999999999418</v>
      </c>
    </row>
    <row r="143" spans="1:15" ht="25.5">
      <c r="A143" s="880" t="s">
        <v>91</v>
      </c>
      <c r="B143" s="880"/>
      <c r="C143" s="880"/>
      <c r="D143" s="151" t="s">
        <v>183</v>
      </c>
      <c r="E143" s="95">
        <f>'4'!F143</f>
        <v>13516.3</v>
      </c>
      <c r="F143" s="149">
        <v>13545</v>
      </c>
      <c r="G143" s="112">
        <f t="shared" si="11"/>
        <v>28.700000000000728</v>
      </c>
      <c r="H143" s="99">
        <f>G143+'4'!H143</f>
        <v>158</v>
      </c>
      <c r="I143" s="140"/>
      <c r="J143" s="328">
        <f>H143/DAY(B2)</f>
        <v>31.6</v>
      </c>
    </row>
    <row r="144" spans="1:15" ht="25.5">
      <c r="A144" s="863" t="s">
        <v>90</v>
      </c>
      <c r="B144" s="863"/>
      <c r="C144" s="863"/>
      <c r="D144" s="151" t="s">
        <v>183</v>
      </c>
      <c r="E144" s="95">
        <f>'4'!F144</f>
        <v>956444</v>
      </c>
      <c r="F144" s="149">
        <v>956684</v>
      </c>
      <c r="G144" s="112">
        <f t="shared" si="11"/>
        <v>240</v>
      </c>
      <c r="H144" s="99">
        <f>G144+'4'!H144</f>
        <v>1214</v>
      </c>
      <c r="I144" s="140"/>
      <c r="J144" s="328">
        <f>H144/DAY(B2)</f>
        <v>242.8</v>
      </c>
    </row>
    <row r="145" spans="1:10" ht="25.5">
      <c r="A145" s="880" t="s">
        <v>190</v>
      </c>
      <c r="B145" s="880"/>
      <c r="C145" s="880"/>
      <c r="D145" s="152" t="s">
        <v>183</v>
      </c>
      <c r="E145" s="95">
        <f>'4'!F145</f>
        <v>745728</v>
      </c>
      <c r="F145" s="149">
        <v>745885</v>
      </c>
      <c r="G145" s="112">
        <f t="shared" si="11"/>
        <v>157</v>
      </c>
      <c r="H145" s="99">
        <f>G145+'4'!H145</f>
        <v>704</v>
      </c>
      <c r="I145" s="140"/>
      <c r="J145" s="328">
        <f>H145/DAY(B2)</f>
        <v>140.80000000000001</v>
      </c>
    </row>
    <row r="146" spans="1:10" ht="25.5">
      <c r="A146" s="914" t="s">
        <v>191</v>
      </c>
      <c r="B146" s="900"/>
      <c r="C146" s="901"/>
      <c r="D146" s="152" t="s">
        <v>183</v>
      </c>
      <c r="E146" s="95">
        <f>'4'!F146</f>
        <v>787978</v>
      </c>
      <c r="F146" s="148">
        <v>788017</v>
      </c>
      <c r="G146" s="112">
        <f t="shared" si="11"/>
        <v>39</v>
      </c>
      <c r="H146" s="99">
        <f>G146+'4'!H146</f>
        <v>159</v>
      </c>
      <c r="I146" s="140"/>
      <c r="J146" s="328">
        <f>H146/DAY(B2)</f>
        <v>31.8</v>
      </c>
    </row>
    <row r="147" spans="1:10" ht="25.5">
      <c r="A147" s="863" t="s">
        <v>192</v>
      </c>
      <c r="B147" s="863"/>
      <c r="C147" s="863"/>
      <c r="D147" s="152" t="s">
        <v>183</v>
      </c>
      <c r="E147" s="95">
        <f>'4'!F147</f>
        <v>761674.48</v>
      </c>
      <c r="F147" s="148">
        <v>762016</v>
      </c>
      <c r="G147" s="112">
        <f t="shared" si="11"/>
        <v>341.52000000001863</v>
      </c>
      <c r="H147" s="99">
        <f>G147+'4'!H147</f>
        <v>1878</v>
      </c>
      <c r="I147" s="140"/>
      <c r="J147" s="328">
        <f>H147/DAY(B2)</f>
        <v>375.6</v>
      </c>
    </row>
    <row r="148" spans="1:10" ht="25.5">
      <c r="A148" s="864" t="s">
        <v>193</v>
      </c>
      <c r="B148" s="865"/>
      <c r="C148" s="866"/>
      <c r="D148" s="123" t="s">
        <v>130</v>
      </c>
      <c r="E148" s="95">
        <f>'4'!F148</f>
        <v>797781.52</v>
      </c>
      <c r="F148" s="150">
        <v>798096</v>
      </c>
      <c r="G148" s="112">
        <f t="shared" si="11"/>
        <v>314.47999999998137</v>
      </c>
      <c r="H148" s="99">
        <f>G148+'4'!H148</f>
        <v>1683.9200000000419</v>
      </c>
      <c r="I148" s="124"/>
      <c r="J148" s="328">
        <f>H148/DAY(B2)</f>
        <v>336.7840000000084</v>
      </c>
    </row>
    <row r="149" spans="1:10" ht="25.5">
      <c r="A149" s="864" t="s">
        <v>336</v>
      </c>
      <c r="B149" s="865"/>
      <c r="C149" s="866"/>
      <c r="D149" s="227" t="s">
        <v>130</v>
      </c>
      <c r="E149" s="95">
        <f>'4'!F149</f>
        <v>202746.23</v>
      </c>
      <c r="F149" s="146">
        <v>203235</v>
      </c>
      <c r="G149" s="112">
        <f t="shared" si="11"/>
        <v>488.76999999998952</v>
      </c>
      <c r="H149" s="99">
        <f>G149+'4'!H149</f>
        <v>1943.7300000000105</v>
      </c>
      <c r="I149" s="119"/>
      <c r="J149" s="328">
        <f>H149/DAY(B2)</f>
        <v>388.74600000000208</v>
      </c>
    </row>
    <row r="150" spans="1:10" ht="25.5">
      <c r="A150" s="864" t="s">
        <v>337</v>
      </c>
      <c r="B150" s="865"/>
      <c r="C150" s="866"/>
      <c r="D150" s="117" t="s">
        <v>130</v>
      </c>
      <c r="E150" s="95">
        <f>'4'!F150</f>
        <v>85923.3</v>
      </c>
      <c r="F150" s="233">
        <v>86150</v>
      </c>
      <c r="G150" s="112">
        <f t="shared" si="11"/>
        <v>226.69999999999709</v>
      </c>
      <c r="H150" s="99">
        <f>G150+'4'!H150</f>
        <v>936</v>
      </c>
      <c r="I150" s="119"/>
      <c r="J150" s="328">
        <f>H150/DAY(B2)</f>
        <v>187.2</v>
      </c>
    </row>
    <row r="151" spans="1:10" ht="25.5">
      <c r="A151" s="864" t="s">
        <v>338</v>
      </c>
      <c r="B151" s="865"/>
      <c r="C151" s="866"/>
      <c r="D151" s="117" t="s">
        <v>130</v>
      </c>
      <c r="E151" s="95">
        <f>'4'!F151</f>
        <v>167889</v>
      </c>
      <c r="F151" s="233">
        <v>168204</v>
      </c>
      <c r="G151" s="112">
        <f t="shared" si="11"/>
        <v>315</v>
      </c>
      <c r="H151" s="99">
        <f>G151+'4'!H151</f>
        <v>1474</v>
      </c>
      <c r="I151" s="119"/>
      <c r="J151" s="328">
        <f>H151/DAY(B2)</f>
        <v>294.8</v>
      </c>
    </row>
    <row r="152" spans="1:10" ht="25.5">
      <c r="A152" s="864" t="s">
        <v>339</v>
      </c>
      <c r="B152" s="865"/>
      <c r="C152" s="866"/>
      <c r="D152" s="117" t="s">
        <v>130</v>
      </c>
      <c r="E152" s="95">
        <f>'4'!F152</f>
        <v>43031</v>
      </c>
      <c r="F152" s="233">
        <v>43163</v>
      </c>
      <c r="G152" s="112">
        <f t="shared" si="11"/>
        <v>132</v>
      </c>
      <c r="H152" s="99">
        <f>G152+'4'!H152</f>
        <v>652</v>
      </c>
      <c r="I152" s="119"/>
      <c r="J152" s="328">
        <f>H152/DAY(B2)</f>
        <v>130.4</v>
      </c>
    </row>
    <row r="153" spans="1:10" ht="25.5">
      <c r="A153" s="948" t="s">
        <v>196</v>
      </c>
      <c r="B153" s="948"/>
      <c r="C153" s="365"/>
      <c r="D153" s="358"/>
      <c r="E153" s="360"/>
      <c r="F153" s="361"/>
      <c r="G153" s="362">
        <f>SUM(G138:G152)</f>
        <v>2854.2699999999877</v>
      </c>
      <c r="H153" s="363"/>
      <c r="I153" s="119">
        <f>G153-(G38+G52)</f>
        <v>345.25999999998749</v>
      </c>
      <c r="J153" s="366"/>
    </row>
    <row r="154" spans="1:10" ht="27.75">
      <c r="A154" s="869" t="s">
        <v>344</v>
      </c>
      <c r="B154" s="869"/>
      <c r="C154" s="869"/>
      <c r="D154" s="869"/>
      <c r="E154" s="869"/>
      <c r="F154" s="869"/>
      <c r="G154" s="869"/>
      <c r="H154" s="869"/>
      <c r="I154" s="869"/>
      <c r="J154" s="869"/>
    </row>
    <row r="155" spans="1:10" ht="27.75">
      <c r="A155" s="863" t="s">
        <v>345</v>
      </c>
      <c r="B155" s="863"/>
      <c r="C155" s="863"/>
      <c r="D155" s="117" t="s">
        <v>130</v>
      </c>
      <c r="E155" s="95">
        <f>'4'!F155</f>
        <v>241307</v>
      </c>
      <c r="F155" s="374">
        <v>241888</v>
      </c>
      <c r="G155" s="112">
        <f t="shared" ref="G155:G158" si="12">F155-E155</f>
        <v>581</v>
      </c>
      <c r="H155" s="99">
        <f>G155+'4'!H155</f>
        <v>2854</v>
      </c>
      <c r="I155" s="364"/>
      <c r="J155" s="328">
        <f>H155/DAY(B2)</f>
        <v>570.79999999999995</v>
      </c>
    </row>
    <row r="156" spans="1:10" ht="25.5">
      <c r="A156" s="863" t="s">
        <v>346</v>
      </c>
      <c r="B156" s="863"/>
      <c r="C156" s="863"/>
      <c r="D156" s="117" t="s">
        <v>130</v>
      </c>
      <c r="E156" s="95">
        <f>'4'!F156</f>
        <v>29970.400000000001</v>
      </c>
      <c r="F156" s="155">
        <v>30067</v>
      </c>
      <c r="G156" s="112">
        <f t="shared" si="12"/>
        <v>96.599999999998545</v>
      </c>
      <c r="H156" s="99">
        <f>G156+'4'!H156</f>
        <v>387.5</v>
      </c>
      <c r="I156" s="165"/>
      <c r="J156" s="328">
        <f>H156/DAY(B2)</f>
        <v>77.5</v>
      </c>
    </row>
    <row r="157" spans="1:10" ht="25.5">
      <c r="A157" s="864" t="s">
        <v>360</v>
      </c>
      <c r="B157" s="865"/>
      <c r="C157" s="866"/>
      <c r="D157" s="117" t="s">
        <v>130</v>
      </c>
      <c r="E157" s="95">
        <f>'4'!F157</f>
        <v>37559</v>
      </c>
      <c r="F157" s="155">
        <v>37559</v>
      </c>
      <c r="G157" s="112">
        <f t="shared" si="12"/>
        <v>0</v>
      </c>
      <c r="H157" s="99">
        <f>G157+'4'!H157</f>
        <v>0</v>
      </c>
      <c r="I157" s="165"/>
      <c r="J157" s="328">
        <f>H157/DAY(B2)</f>
        <v>0</v>
      </c>
    </row>
    <row r="158" spans="1:10" ht="25.5">
      <c r="A158" s="864" t="s">
        <v>361</v>
      </c>
      <c r="B158" s="865"/>
      <c r="C158" s="866"/>
      <c r="D158" s="117" t="s">
        <v>130</v>
      </c>
      <c r="E158" s="95">
        <f>'4'!F158</f>
        <v>1763.37</v>
      </c>
      <c r="F158" s="155">
        <v>1766</v>
      </c>
      <c r="G158" s="112">
        <f t="shared" si="12"/>
        <v>2.6300000000001091</v>
      </c>
      <c r="H158" s="99">
        <f>G158+'4'!H158</f>
        <v>8</v>
      </c>
      <c r="I158" s="165"/>
      <c r="J158" s="328">
        <f>H158/DAY(B2)</f>
        <v>1.6</v>
      </c>
    </row>
    <row r="159" spans="1:10" ht="25.5">
      <c r="A159" s="944"/>
      <c r="B159" s="945"/>
      <c r="C159" s="946"/>
      <c r="D159" s="117"/>
      <c r="E159" s="95"/>
      <c r="F159" s="165"/>
      <c r="G159" s="112"/>
      <c r="H159" s="99"/>
      <c r="I159" s="165"/>
      <c r="J159" s="328">
        <f>H159/DAY(B2)</f>
        <v>0</v>
      </c>
    </row>
    <row r="160" spans="1:10" ht="27.75">
      <c r="A160" s="869" t="s">
        <v>326</v>
      </c>
      <c r="B160" s="869"/>
      <c r="C160" s="869"/>
      <c r="D160" s="869"/>
      <c r="E160" s="869"/>
      <c r="F160" s="869"/>
      <c r="G160" s="869"/>
      <c r="H160" s="869"/>
      <c r="I160" s="869"/>
      <c r="J160" s="869"/>
    </row>
    <row r="161" spans="1:10" ht="26.25">
      <c r="A161" s="242" t="s">
        <v>92</v>
      </c>
      <c r="B161" s="243"/>
      <c r="C161" s="243"/>
      <c r="D161" s="244" t="s">
        <v>180</v>
      </c>
      <c r="E161" s="95">
        <f>'4'!F161</f>
        <v>509007.16</v>
      </c>
      <c r="F161" s="235">
        <v>509148</v>
      </c>
      <c r="G161" s="238">
        <f t="shared" ref="G161:G165" si="13">F161-E161</f>
        <v>140.84000000002561</v>
      </c>
      <c r="H161" s="99">
        <f>G161+'4'!H161</f>
        <v>764.67999999999302</v>
      </c>
      <c r="I161" s="236"/>
      <c r="J161" s="239">
        <f>H161/DAY(B2)</f>
        <v>152.93599999999861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'4'!F162</f>
        <v>896.4</v>
      </c>
      <c r="F162" s="235">
        <v>937</v>
      </c>
      <c r="G162" s="238">
        <f t="shared" si="13"/>
        <v>40.600000000000023</v>
      </c>
      <c r="H162" s="99">
        <f>G162+'4'!H162</f>
        <v>165.39999999999998</v>
      </c>
      <c r="I162" s="236"/>
      <c r="J162" s="239">
        <f>H162/DAY(B2)</f>
        <v>33.08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'4'!F163</f>
        <v>0</v>
      </c>
      <c r="F163" s="235">
        <v>0</v>
      </c>
      <c r="G163" s="238">
        <f t="shared" si="13"/>
        <v>0</v>
      </c>
      <c r="H163" s="99">
        <f>G163+'4'!H163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'4'!F164</f>
        <v>7215.8</v>
      </c>
      <c r="F164" s="235">
        <v>7220</v>
      </c>
      <c r="G164" s="238">
        <f t="shared" si="13"/>
        <v>4.1999999999998181</v>
      </c>
      <c r="H164" s="99">
        <f>G164+'4'!H164</f>
        <v>21</v>
      </c>
      <c r="I164" s="236"/>
      <c r="J164" s="239">
        <f>H164/DAY(B2)</f>
        <v>4.2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'4'!F165</f>
        <v>32803</v>
      </c>
      <c r="F165" s="235">
        <v>32809</v>
      </c>
      <c r="G165" s="238">
        <f t="shared" si="13"/>
        <v>6</v>
      </c>
      <c r="H165" s="99">
        <f>G165+'4'!H165</f>
        <v>28.911999999996624</v>
      </c>
      <c r="I165" s="236"/>
      <c r="J165" s="239">
        <f>H165/DAY(B2)</f>
        <v>5.782399999999325</v>
      </c>
    </row>
    <row r="166" spans="1:10" ht="26.25">
      <c r="A166" s="870"/>
      <c r="B166" s="870"/>
      <c r="C166" s="246"/>
      <c r="D166" s="244" t="s">
        <v>180</v>
      </c>
      <c r="E166" s="95">
        <f>'4'!F166</f>
        <v>0</v>
      </c>
      <c r="F166" s="165"/>
      <c r="G166" s="165"/>
      <c r="H166" s="99">
        <f>G166+'4'!H166</f>
        <v>0</v>
      </c>
      <c r="I166" s="165"/>
      <c r="J166" s="327"/>
    </row>
    <row r="167" spans="1:10" ht="26.25">
      <c r="A167" s="870"/>
      <c r="B167" s="870"/>
      <c r="C167" s="246"/>
      <c r="D167" s="244" t="s">
        <v>180</v>
      </c>
      <c r="E167" s="95">
        <f>'4'!F167</f>
        <v>0</v>
      </c>
      <c r="F167" s="165"/>
      <c r="G167" s="165"/>
      <c r="H167" s="99">
        <f>G167+'4'!H167</f>
        <v>0</v>
      </c>
      <c r="I167" s="165"/>
      <c r="J167" s="327"/>
    </row>
    <row r="168" spans="1:10" ht="26.25">
      <c r="A168" s="870"/>
      <c r="B168" s="870"/>
      <c r="C168" s="246"/>
      <c r="D168" s="244" t="s">
        <v>180</v>
      </c>
      <c r="E168" s="95">
        <f>'4'!F168</f>
        <v>0</v>
      </c>
      <c r="F168" s="165"/>
      <c r="G168" s="165"/>
      <c r="H168" s="99">
        <f>G168+'4'!H168</f>
        <v>0</v>
      </c>
      <c r="I168" s="165"/>
      <c r="J168" s="327"/>
    </row>
    <row r="169" spans="1:10" ht="26.25"/>
    <row r="170" spans="1:10" ht="26.25"/>
    <row r="171" spans="1:10" ht="27.75">
      <c r="A171" s="871" t="s">
        <v>330</v>
      </c>
      <c r="B171" s="872"/>
      <c r="C171" s="872"/>
      <c r="D171" s="872"/>
      <c r="E171" s="872"/>
      <c r="F171" s="872"/>
      <c r="G171" s="872"/>
      <c r="H171" s="872"/>
      <c r="I171" s="872"/>
      <c r="J171" s="873"/>
    </row>
    <row r="172" spans="1:10" ht="25.5">
      <c r="A172" s="949"/>
      <c r="B172" s="949"/>
      <c r="C172" s="389"/>
      <c r="D172" s="155"/>
      <c r="E172" s="155"/>
      <c r="F172" s="155"/>
      <c r="G172" s="155"/>
      <c r="H172" s="156"/>
      <c r="I172" s="155"/>
      <c r="J172" s="156"/>
    </row>
    <row r="173" spans="1:10" ht="25.5">
      <c r="A173" s="947" t="s">
        <v>209</v>
      </c>
      <c r="B173" s="947"/>
      <c r="C173" s="333"/>
      <c r="D173" s="155" t="s">
        <v>142</v>
      </c>
      <c r="E173" s="95">
        <f>'4'!F173</f>
        <v>8618</v>
      </c>
      <c r="F173" s="155">
        <v>8618</v>
      </c>
      <c r="G173" s="155">
        <f>F173-E173</f>
        <v>0</v>
      </c>
      <c r="H173" s="99">
        <f>G173+'4'!H173</f>
        <v>6</v>
      </c>
      <c r="I173" s="155"/>
      <c r="J173" s="156">
        <f>H173/DAY(B2)</f>
        <v>1.2</v>
      </c>
    </row>
    <row r="174" spans="1:10" ht="25.5">
      <c r="A174" s="947" t="s">
        <v>75</v>
      </c>
      <c r="B174" s="947"/>
      <c r="C174" s="333"/>
      <c r="D174" s="155" t="s">
        <v>142</v>
      </c>
      <c r="E174" s="95">
        <f>'4'!F174</f>
        <v>43088</v>
      </c>
      <c r="F174" s="157">
        <v>43107</v>
      </c>
      <c r="G174" s="155">
        <f t="shared" ref="G174:G175" si="14">F174-E174</f>
        <v>19</v>
      </c>
      <c r="H174" s="99">
        <f>G174+'4'!H174</f>
        <v>57</v>
      </c>
      <c r="I174" s="155"/>
      <c r="J174" s="156">
        <f>H174/DAY(B2)</f>
        <v>11.4</v>
      </c>
    </row>
    <row r="175" spans="1:10" ht="25.5">
      <c r="A175" s="947" t="s">
        <v>76</v>
      </c>
      <c r="B175" s="947"/>
      <c r="C175" s="947"/>
      <c r="D175" s="155" t="s">
        <v>142</v>
      </c>
      <c r="E175" s="95">
        <f>'4'!F175</f>
        <v>25884</v>
      </c>
      <c r="F175" s="157">
        <v>25897</v>
      </c>
      <c r="G175" s="155">
        <f t="shared" si="14"/>
        <v>13</v>
      </c>
      <c r="H175" s="99">
        <f>G175+'4'!H175</f>
        <v>76</v>
      </c>
      <c r="I175" s="155"/>
      <c r="J175" s="156">
        <f>H175/DAY(B2)</f>
        <v>15.2</v>
      </c>
    </row>
    <row r="176" spans="1:10" ht="25.5">
      <c r="A176" s="948" t="s">
        <v>196</v>
      </c>
      <c r="B176" s="948"/>
      <c r="C176" s="333"/>
      <c r="D176" s="155"/>
      <c r="E176" s="95">
        <f>'4'!F176</f>
        <v>0</v>
      </c>
      <c r="F176" s="155"/>
      <c r="G176" s="155">
        <f>SUM(G173:G175)</f>
        <v>32</v>
      </c>
      <c r="H176" s="99">
        <f>G176+'4'!H176</f>
        <v>139</v>
      </c>
      <c r="I176" s="155"/>
      <c r="J176" s="156">
        <f>H176/DAY(B2)</f>
        <v>27.8</v>
      </c>
    </row>
    <row r="177" spans="1:10" ht="25.5">
      <c r="A177" s="947" t="s">
        <v>77</v>
      </c>
      <c r="B177" s="947"/>
      <c r="C177" s="333"/>
      <c r="D177" s="155" t="s">
        <v>142</v>
      </c>
      <c r="E177" s="95">
        <f>'4'!F177</f>
        <v>0</v>
      </c>
      <c r="F177" s="155"/>
      <c r="G177" s="155"/>
      <c r="H177" s="99">
        <f>G177+'4'!H177</f>
        <v>0</v>
      </c>
      <c r="I177" s="155"/>
      <c r="J177" s="156">
        <f>H177/DAY(B2)</f>
        <v>0</v>
      </c>
    </row>
    <row r="178" spans="1:10" ht="25.5">
      <c r="A178" s="947" t="s">
        <v>210</v>
      </c>
      <c r="B178" s="947"/>
      <c r="C178" s="333"/>
      <c r="D178" s="155" t="s">
        <v>142</v>
      </c>
      <c r="E178" s="95">
        <f>'4'!F178</f>
        <v>107442</v>
      </c>
      <c r="F178" s="155">
        <v>107575</v>
      </c>
      <c r="G178" s="155">
        <f>F178-E178</f>
        <v>133</v>
      </c>
      <c r="H178" s="99">
        <f>G178+'4'!H178</f>
        <v>576</v>
      </c>
      <c r="I178" s="155"/>
      <c r="J178" s="156">
        <f>H178/DAY(B2)</f>
        <v>115.2</v>
      </c>
    </row>
    <row r="179" spans="1:10" ht="25.5">
      <c r="A179" s="947" t="s">
        <v>211</v>
      </c>
      <c r="B179" s="947"/>
      <c r="C179" s="333"/>
      <c r="D179" s="155" t="s">
        <v>142</v>
      </c>
      <c r="E179" s="95">
        <f>'4'!F179</f>
        <v>37501</v>
      </c>
      <c r="F179" s="155">
        <v>37501</v>
      </c>
      <c r="G179" s="155">
        <f t="shared" ref="G179:G180" si="15">F179-E179</f>
        <v>0</v>
      </c>
      <c r="H179" s="99">
        <f>G179+'4'!H179</f>
        <v>0</v>
      </c>
      <c r="I179" s="155"/>
      <c r="J179" s="156">
        <f>H179/DAY(B2)</f>
        <v>0</v>
      </c>
    </row>
    <row r="180" spans="1:10" ht="25.5">
      <c r="A180" s="947" t="s">
        <v>212</v>
      </c>
      <c r="B180" s="947"/>
      <c r="C180" s="333"/>
      <c r="D180" s="155" t="s">
        <v>142</v>
      </c>
      <c r="E180" s="95">
        <f>'4'!F180</f>
        <v>7574</v>
      </c>
      <c r="F180" s="155">
        <v>7584</v>
      </c>
      <c r="G180" s="155">
        <f t="shared" si="15"/>
        <v>10</v>
      </c>
      <c r="H180" s="99">
        <f>G180+'4'!H180</f>
        <v>21</v>
      </c>
      <c r="I180" s="155"/>
      <c r="J180" s="156">
        <f>H180/DAY(B2)</f>
        <v>4.2</v>
      </c>
    </row>
    <row r="181" spans="1:10" ht="25.5">
      <c r="A181" s="952" t="s">
        <v>108</v>
      </c>
      <c r="B181" s="952"/>
      <c r="C181" s="333"/>
      <c r="D181" s="155"/>
      <c r="E181" s="95">
        <f>'4'!F181</f>
        <v>0</v>
      </c>
      <c r="F181" s="155"/>
      <c r="G181" s="155">
        <f>SUM(G178:G180)</f>
        <v>143</v>
      </c>
      <c r="H181" s="99">
        <f>G181+'4'!H181</f>
        <v>597</v>
      </c>
      <c r="I181" s="155"/>
      <c r="J181" s="156">
        <f>H181/DAY(B2)</f>
        <v>119.4</v>
      </c>
    </row>
    <row r="182" spans="1:10" ht="25.5">
      <c r="A182" s="947" t="s">
        <v>213</v>
      </c>
      <c r="B182" s="947"/>
      <c r="C182" s="333"/>
      <c r="D182" s="155"/>
      <c r="E182" s="95">
        <f>'4'!F182</f>
        <v>0</v>
      </c>
      <c r="F182" s="155"/>
      <c r="G182" s="155"/>
      <c r="H182" s="99">
        <f>G182+'4'!H182</f>
        <v>0</v>
      </c>
      <c r="I182" s="155"/>
      <c r="J182" s="156">
        <f>H182/DAY(B2)</f>
        <v>0</v>
      </c>
    </row>
    <row r="183" spans="1:10" ht="25.5">
      <c r="A183" s="947" t="s">
        <v>214</v>
      </c>
      <c r="B183" s="947"/>
      <c r="C183" s="334"/>
      <c r="D183" s="155" t="s">
        <v>142</v>
      </c>
      <c r="E183" s="95">
        <f>'4'!F183</f>
        <v>18413</v>
      </c>
      <c r="F183" s="157">
        <v>18417</v>
      </c>
      <c r="G183" s="157">
        <f>F183-E183</f>
        <v>4</v>
      </c>
      <c r="H183" s="99">
        <f>G183+'4'!H183</f>
        <v>39</v>
      </c>
      <c r="I183" s="155"/>
      <c r="J183" s="156">
        <f>H183/DAY(B2)</f>
        <v>7.8</v>
      </c>
    </row>
    <row r="184" spans="1:10" ht="25.5">
      <c r="A184" s="947" t="s">
        <v>215</v>
      </c>
      <c r="B184" s="947"/>
      <c r="C184" s="334"/>
      <c r="D184" s="155" t="s">
        <v>142</v>
      </c>
      <c r="E184" s="95">
        <f>'4'!F184</f>
        <v>13033</v>
      </c>
      <c r="F184" s="157">
        <v>13040</v>
      </c>
      <c r="G184" s="157">
        <f t="shared" ref="G184:G185" si="16">F184-E184</f>
        <v>7</v>
      </c>
      <c r="H184" s="99">
        <f>G184+'4'!H184</f>
        <v>60</v>
      </c>
      <c r="I184" s="155"/>
      <c r="J184" s="156">
        <f>H184/DAY(B2)</f>
        <v>12</v>
      </c>
    </row>
    <row r="185" spans="1:10" ht="29.25" customHeight="1">
      <c r="A185" s="947" t="s">
        <v>216</v>
      </c>
      <c r="B185" s="947"/>
      <c r="C185" s="334"/>
      <c r="D185" s="155" t="s">
        <v>142</v>
      </c>
      <c r="E185" s="95">
        <f>'4'!F185</f>
        <v>0</v>
      </c>
      <c r="F185" s="157">
        <v>0</v>
      </c>
      <c r="G185" s="157">
        <f t="shared" si="16"/>
        <v>0</v>
      </c>
      <c r="H185" s="99">
        <f>G185+'4'!H185</f>
        <v>0</v>
      </c>
      <c r="I185" s="155"/>
      <c r="J185" s="156">
        <f>H185/DAY(B2)</f>
        <v>0</v>
      </c>
    </row>
    <row r="186" spans="1:10" ht="25.5">
      <c r="A186" s="948" t="s">
        <v>196</v>
      </c>
      <c r="B186" s="948"/>
      <c r="C186" s="334"/>
      <c r="D186" s="378"/>
      <c r="E186" s="95"/>
      <c r="F186" s="157"/>
      <c r="G186" s="157">
        <f>SUM(G183:G185)</f>
        <v>11</v>
      </c>
      <c r="H186" s="99">
        <f>G186+'4'!H186</f>
        <v>99</v>
      </c>
      <c r="I186" s="157"/>
      <c r="J186" s="156">
        <f>H186/DAY(B2)</f>
        <v>19.8</v>
      </c>
    </row>
    <row r="187" spans="1:10" ht="25.5">
      <c r="A187" s="951" t="s">
        <v>217</v>
      </c>
      <c r="B187" s="951"/>
      <c r="C187" s="333"/>
      <c r="D187" s="157" t="s">
        <v>142</v>
      </c>
      <c r="E187" s="95"/>
      <c r="F187" s="159"/>
      <c r="G187" s="377">
        <f>G62+G19</f>
        <v>177</v>
      </c>
      <c r="H187" s="99">
        <f>G187+'4'!H187</f>
        <v>859</v>
      </c>
      <c r="I187" s="158"/>
      <c r="J187" s="159">
        <f>H187/DAY(B2)</f>
        <v>171.8</v>
      </c>
    </row>
    <row r="188" spans="1:10" ht="25.5">
      <c r="A188" s="951" t="s">
        <v>218</v>
      </c>
      <c r="B188" s="951"/>
      <c r="C188" s="333"/>
      <c r="D188" s="157" t="s">
        <v>142</v>
      </c>
      <c r="E188" s="95"/>
      <c r="F188" s="159"/>
      <c r="G188" s="377">
        <f>G65+G66+G67+G69+G70</f>
        <v>165</v>
      </c>
      <c r="H188" s="99">
        <f>G188+'4'!H188</f>
        <v>856</v>
      </c>
      <c r="I188" s="158"/>
      <c r="J188" s="159">
        <f>H188/DAY(B2)</f>
        <v>171.2</v>
      </c>
    </row>
    <row r="189" spans="1:10" ht="25.5">
      <c r="A189" s="951" t="s">
        <v>219</v>
      </c>
      <c r="B189" s="951"/>
      <c r="C189" s="333"/>
      <c r="D189" s="157" t="s">
        <v>142</v>
      </c>
      <c r="E189" s="95"/>
      <c r="F189" s="157"/>
      <c r="G189" s="376">
        <f>G181</f>
        <v>143</v>
      </c>
      <c r="H189" s="99">
        <f>G189+'4'!H189</f>
        <v>597</v>
      </c>
      <c r="I189" s="158"/>
      <c r="J189" s="159">
        <f>H189/DAY(B2)</f>
        <v>119.4</v>
      </c>
    </row>
    <row r="190" spans="1:10" ht="25.5">
      <c r="A190" s="950"/>
      <c r="B190" s="950"/>
      <c r="C190" s="390"/>
      <c r="D190" s="391"/>
      <c r="E190" s="392"/>
      <c r="F190" s="391"/>
      <c r="G190" s="391"/>
      <c r="H190" s="393"/>
      <c r="I190" s="391"/>
      <c r="J190" s="394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35:B135"/>
    <mergeCell ref="A76:C76"/>
    <mergeCell ref="A77:C77"/>
    <mergeCell ref="A79:C79"/>
    <mergeCell ref="A78:C78"/>
    <mergeCell ref="A103:C103"/>
    <mergeCell ref="A104:C104"/>
    <mergeCell ref="A93:C93"/>
    <mergeCell ref="A94:C94"/>
    <mergeCell ref="A80:C80"/>
    <mergeCell ref="A81:C81"/>
    <mergeCell ref="A95:C95"/>
    <mergeCell ref="A96:C96"/>
    <mergeCell ref="A102:C102"/>
    <mergeCell ref="A97:C97"/>
    <mergeCell ref="A98:C98"/>
    <mergeCell ref="A99:C99"/>
    <mergeCell ref="A100:C100"/>
    <mergeCell ref="A101:C101"/>
    <mergeCell ref="A126:J126"/>
    <mergeCell ref="A127:B127"/>
    <mergeCell ref="A110:J110"/>
    <mergeCell ref="A111:C111"/>
    <mergeCell ref="A120:C120"/>
    <mergeCell ref="A1:J1"/>
    <mergeCell ref="A6:C6"/>
    <mergeCell ref="A14:C14"/>
    <mergeCell ref="A17:C17"/>
    <mergeCell ref="E3:F3"/>
    <mergeCell ref="A64:C64"/>
    <mergeCell ref="A65:C65"/>
    <mergeCell ref="A74:C74"/>
    <mergeCell ref="A75:C75"/>
    <mergeCell ref="A73:C73"/>
    <mergeCell ref="A61:C61"/>
    <mergeCell ref="A62:C62"/>
    <mergeCell ref="A63:C63"/>
    <mergeCell ref="A71:C71"/>
    <mergeCell ref="A72:B72"/>
    <mergeCell ref="A18:C18"/>
    <mergeCell ref="A19:C19"/>
    <mergeCell ref="A21:C21"/>
    <mergeCell ref="A25:C25"/>
    <mergeCell ref="A33:C33"/>
    <mergeCell ref="A105:C105"/>
    <mergeCell ref="A108:J108"/>
    <mergeCell ref="A122:C122"/>
    <mergeCell ref="A124:C124"/>
    <mergeCell ref="A125:B125"/>
    <mergeCell ref="A112:C112"/>
    <mergeCell ref="A109:B109"/>
    <mergeCell ref="A121:C121"/>
    <mergeCell ref="A177:B177"/>
    <mergeCell ref="A175:C175"/>
    <mergeCell ref="A123:C123"/>
    <mergeCell ref="A128:C128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67:B167"/>
    <mergeCell ref="A141:C141"/>
    <mergeCell ref="A142:C142"/>
    <mergeCell ref="A145:C145"/>
    <mergeCell ref="Q117:R117"/>
    <mergeCell ref="A118:C118"/>
    <mergeCell ref="Q118:R118"/>
    <mergeCell ref="A119:C119"/>
    <mergeCell ref="A113:C113"/>
    <mergeCell ref="A114:C114"/>
    <mergeCell ref="A115:C115"/>
    <mergeCell ref="A116:C116"/>
    <mergeCell ref="Q116:R116"/>
    <mergeCell ref="A117:C117"/>
    <mergeCell ref="A190:B190"/>
    <mergeCell ref="A185:B185"/>
    <mergeCell ref="A186:B186"/>
    <mergeCell ref="A187:B187"/>
    <mergeCell ref="A188:B188"/>
    <mergeCell ref="A189:B189"/>
    <mergeCell ref="A178:B178"/>
    <mergeCell ref="A179:B179"/>
    <mergeCell ref="A180:B180"/>
    <mergeCell ref="A183:B183"/>
    <mergeCell ref="A184:B184"/>
    <mergeCell ref="A182:B182"/>
    <mergeCell ref="A181:B181"/>
    <mergeCell ref="A146:C146"/>
    <mergeCell ref="A147:C147"/>
    <mergeCell ref="A148:C148"/>
    <mergeCell ref="A149:C149"/>
    <mergeCell ref="A143:C143"/>
    <mergeCell ref="A144:C144"/>
    <mergeCell ref="A171:J171"/>
    <mergeCell ref="A172:B172"/>
    <mergeCell ref="A173:B173"/>
    <mergeCell ref="A174:B174"/>
    <mergeCell ref="A176:B176"/>
    <mergeCell ref="A154:J154"/>
    <mergeCell ref="A155:C155"/>
    <mergeCell ref="A156:C156"/>
    <mergeCell ref="A150:C150"/>
    <mergeCell ref="A151:C151"/>
    <mergeCell ref="A152:C152"/>
    <mergeCell ref="A166:B166"/>
    <mergeCell ref="A168:B168"/>
    <mergeCell ref="A160:J160"/>
    <mergeCell ref="A153:B153"/>
    <mergeCell ref="A157:C157"/>
    <mergeCell ref="A158:C158"/>
    <mergeCell ref="A159:C159"/>
  </mergeCells>
  <pageMargins left="0.22" right="0.17" top="0.14000000000000001" bottom="0.2" header="0.2" footer="0.2"/>
  <pageSetup paperSize="5" scale="2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270"/>
  <sheetViews>
    <sheetView view="pageBreakPreview" zoomScale="55" zoomScaleSheetLayoutView="55" workbookViewId="0">
      <selection activeCell="B2" sqref="B2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19" t="s">
        <v>115</v>
      </c>
      <c r="B1" s="920"/>
      <c r="C1" s="920"/>
      <c r="D1" s="920"/>
      <c r="E1" s="920"/>
      <c r="F1" s="920"/>
      <c r="G1" s="920"/>
      <c r="H1" s="920"/>
      <c r="I1" s="920"/>
      <c r="J1" s="921"/>
    </row>
    <row r="2" spans="1:15" s="57" customFormat="1" ht="23.25">
      <c r="A2" s="191" t="s">
        <v>355</v>
      </c>
      <c r="B2" s="262">
        <v>44932</v>
      </c>
      <c r="C2" s="348" t="s">
        <v>67</v>
      </c>
      <c r="D2" s="218">
        <v>0.8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25</v>
      </c>
      <c r="E3" s="928" t="s">
        <v>119</v>
      </c>
      <c r="F3" s="929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22" t="s">
        <v>128</v>
      </c>
      <c r="B6" s="923"/>
      <c r="C6" s="92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'5'!F7</f>
        <v>81588</v>
      </c>
      <c r="F7" s="95">
        <v>101976</v>
      </c>
      <c r="G7" s="236">
        <f>F7-E7</f>
        <v>20388</v>
      </c>
      <c r="H7" s="99">
        <f>G7+'5'!H7</f>
        <v>124357</v>
      </c>
      <c r="I7" s="113">
        <f>'1'!I7</f>
        <v>12000</v>
      </c>
      <c r="J7" s="175">
        <f>H7/DAY(B2)</f>
        <v>20726.166666666668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'5'!F8</f>
        <v>264205</v>
      </c>
      <c r="F8" s="114">
        <v>284791</v>
      </c>
      <c r="G8" s="519">
        <f>F8-E8</f>
        <v>20586</v>
      </c>
      <c r="H8" s="99">
        <f>G8+'5'!H8</f>
        <v>126934</v>
      </c>
      <c r="I8" s="116"/>
      <c r="J8" s="175">
        <f>H8/DAY(B2)</f>
        <v>21155.666666666668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'5'!F9</f>
        <v>4496524</v>
      </c>
      <c r="F9" s="117">
        <v>4512113</v>
      </c>
      <c r="G9" s="112">
        <f>F9-E9</f>
        <v>15589</v>
      </c>
      <c r="H9" s="99">
        <f>G9+'5'!H9</f>
        <v>95507.099999999627</v>
      </c>
      <c r="I9" s="124">
        <f>I7-J7</f>
        <v>-8726.1666666666679</v>
      </c>
      <c r="J9" s="175">
        <f>H9/DAY(B2)</f>
        <v>15917.849999999939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'5'!F10</f>
        <v>4092954</v>
      </c>
      <c r="F10" s="117">
        <v>4097173</v>
      </c>
      <c r="G10" s="112">
        <f t="shared" ref="G10:G12" si="0">F10-E10</f>
        <v>4219</v>
      </c>
      <c r="H10" s="99">
        <f>G10+'5'!H10</f>
        <v>27136.700000000186</v>
      </c>
      <c r="I10" s="282"/>
      <c r="J10" s="175">
        <f>H10/DAY(B2)</f>
        <v>4522.7833333333647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'5'!F11</f>
        <v>38700</v>
      </c>
      <c r="F11" s="95">
        <v>38700</v>
      </c>
      <c r="G11" s="112">
        <f t="shared" si="0"/>
        <v>0</v>
      </c>
      <c r="H11" s="99">
        <f>G11+'5'!H11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'5'!F12</f>
        <v>40550</v>
      </c>
      <c r="F12" s="117">
        <v>40550</v>
      </c>
      <c r="G12" s="112">
        <f t="shared" si="0"/>
        <v>0</v>
      </c>
      <c r="H12" s="99">
        <f>G12+'5'!H12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19808</v>
      </c>
      <c r="H13" s="99">
        <f>G13+'5'!H13</f>
        <v>122643.79999999981</v>
      </c>
      <c r="I13" s="120">
        <f>G7-G13</f>
        <v>580</v>
      </c>
      <c r="J13" s="175">
        <f>H13/DAY(B2)</f>
        <v>20440.633333333302</v>
      </c>
      <c r="K13" s="79"/>
      <c r="L13" s="66"/>
      <c r="N13" s="87"/>
      <c r="O13" s="71"/>
    </row>
    <row r="14" spans="1:15" ht="26.25">
      <c r="A14" s="925" t="s">
        <v>137</v>
      </c>
      <c r="B14" s="926"/>
      <c r="C14" s="92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'5'!F15</f>
        <v>2258983</v>
      </c>
      <c r="F15" s="468">
        <v>2260044</v>
      </c>
      <c r="G15" s="112">
        <f>(F15-E15)</f>
        <v>1061</v>
      </c>
      <c r="H15" s="99">
        <f>G15+'5'!H15</f>
        <v>6742.6419999999925</v>
      </c>
      <c r="I15" s="113">
        <f>'1'!I15</f>
        <v>800</v>
      </c>
      <c r="J15" s="175">
        <f>H15/DAY(B2)</f>
        <v>1123.7736666666653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-323.77366666666535</v>
      </c>
      <c r="J16" s="176"/>
      <c r="K16" s="79"/>
      <c r="L16" s="66"/>
      <c r="N16" s="87"/>
      <c r="O16" s="71"/>
    </row>
    <row r="17" spans="1:15" ht="26.25">
      <c r="A17" s="925" t="s">
        <v>140</v>
      </c>
      <c r="B17" s="926"/>
      <c r="C17" s="92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02" t="s">
        <v>141</v>
      </c>
      <c r="B18" s="903"/>
      <c r="C18" s="904"/>
      <c r="D18" s="151" t="s">
        <v>142</v>
      </c>
      <c r="E18" s="95">
        <f>'5'!F18</f>
        <v>13</v>
      </c>
      <c r="F18" s="122">
        <v>26</v>
      </c>
      <c r="G18" s="119">
        <f>F18*10</f>
        <v>260</v>
      </c>
      <c r="H18" s="99">
        <f>G18+'5'!H18</f>
        <v>1280</v>
      </c>
      <c r="I18" s="113">
        <f>'1'!I18</f>
        <v>65</v>
      </c>
      <c r="J18" s="175">
        <f>H18/DAY(B2)</f>
        <v>213.33333333333334</v>
      </c>
      <c r="K18" s="79"/>
      <c r="L18" s="66"/>
      <c r="N18" s="87"/>
      <c r="O18" s="71"/>
    </row>
    <row r="19" spans="1:15" ht="25.5">
      <c r="A19" s="902" t="s">
        <v>69</v>
      </c>
      <c r="B19" s="903"/>
      <c r="C19" s="904"/>
      <c r="D19" s="151" t="s">
        <v>142</v>
      </c>
      <c r="E19" s="95">
        <f>'5'!F19</f>
        <v>169868</v>
      </c>
      <c r="F19" s="122">
        <v>169914</v>
      </c>
      <c r="G19" s="112">
        <f t="shared" ref="G19" si="1">F19-E19</f>
        <v>46</v>
      </c>
      <c r="H19" s="99">
        <f>G19+'5'!H19</f>
        <v>354</v>
      </c>
      <c r="I19" s="335"/>
      <c r="J19" s="175">
        <f>H19/DAY(B2)</f>
        <v>59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306</v>
      </c>
      <c r="H20" s="99">
        <f>G20+'5'!H20</f>
        <v>1634</v>
      </c>
      <c r="I20" s="336">
        <f>I18-J20</f>
        <v>-207.33333333333331</v>
      </c>
      <c r="J20" s="175">
        <f>H20/DAY(B2)</f>
        <v>272.33333333333331</v>
      </c>
      <c r="K20" s="79"/>
      <c r="L20" s="66"/>
      <c r="N20" s="87"/>
      <c r="O20" s="71"/>
    </row>
    <row r="21" spans="1:15" ht="26.25">
      <c r="A21" s="925" t="s">
        <v>144</v>
      </c>
      <c r="B21" s="926"/>
      <c r="C21" s="92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'5'!F22</f>
        <v>2970</v>
      </c>
      <c r="F22" s="122">
        <v>2970</v>
      </c>
      <c r="G22" s="119">
        <f t="shared" ref="G22" si="2">(F22-E22)</f>
        <v>0</v>
      </c>
      <c r="H22" s="99">
        <f>G22+'5'!H22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v>2000</v>
      </c>
      <c r="F23" s="122">
        <v>2000</v>
      </c>
      <c r="G23" s="119">
        <v>0</v>
      </c>
      <c r="H23" s="99">
        <f>G23+'5'!H23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'5'!F24</f>
        <v>4970</v>
      </c>
      <c r="F24" s="128">
        <v>4970</v>
      </c>
      <c r="G24" s="119">
        <v>0</v>
      </c>
      <c r="H24" s="99">
        <f>G24+'5'!H24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30" t="s">
        <v>149</v>
      </c>
      <c r="B25" s="931"/>
      <c r="C25" s="93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20586</v>
      </c>
      <c r="F27" s="136">
        <v>10</v>
      </c>
      <c r="G27" s="137">
        <f>E27*F27</f>
        <v>205860</v>
      </c>
      <c r="H27" s="99">
        <f>G27+'5'!H27</f>
        <v>1205434</v>
      </c>
      <c r="I27" s="138"/>
      <c r="J27" s="175">
        <f>H27/DAY(B2)</f>
        <v>200905.66666666666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1061</v>
      </c>
      <c r="F28" s="136">
        <v>65</v>
      </c>
      <c r="G28" s="137">
        <f>E28*F28</f>
        <v>68965</v>
      </c>
      <c r="H28" s="99">
        <f>G28+'5'!H28</f>
        <v>478563.14999999944</v>
      </c>
      <c r="I28" s="140"/>
      <c r="J28" s="175">
        <f>H28/DAY(B2)</f>
        <v>79760.524999999907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46</v>
      </c>
      <c r="F30" s="136">
        <v>151</v>
      </c>
      <c r="G30" s="137">
        <f>E30*F30</f>
        <v>6946</v>
      </c>
      <c r="H30" s="99">
        <f>G30+'5'!H30</f>
        <v>53454</v>
      </c>
      <c r="I30" s="140"/>
      <c r="J30" s="175">
        <f>H30/DAY(B2)</f>
        <v>8909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85</v>
      </c>
      <c r="G31" s="137">
        <f>E31*F31</f>
        <v>22100</v>
      </c>
      <c r="H31" s="99">
        <f>G31+'5'!H31</f>
        <v>104350</v>
      </c>
      <c r="I31" s="140"/>
      <c r="J31" s="175">
        <f>H31/DAY(B2)</f>
        <v>17391.666666666668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303871</v>
      </c>
      <c r="H32" s="99">
        <f>G32+'5'!H32</f>
        <v>1841801.1499999994</v>
      </c>
      <c r="I32" s="144"/>
      <c r="J32" s="175">
        <f>H32/DAY(B2)</f>
        <v>306966.85833333322</v>
      </c>
      <c r="K32" s="63"/>
      <c r="L32" s="89"/>
      <c r="N32" s="87"/>
      <c r="O32" s="71"/>
    </row>
    <row r="33" spans="1:15" ht="25.5" customHeight="1">
      <c r="A33" s="933" t="s">
        <v>331</v>
      </c>
      <c r="B33" s="934"/>
      <c r="C33" s="93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'5'!F35</f>
        <v>467864</v>
      </c>
      <c r="F35" s="145">
        <v>470278</v>
      </c>
      <c r="G35" s="112">
        <f t="shared" ref="G35:G46" si="3">F35-E35</f>
        <v>2414</v>
      </c>
      <c r="H35" s="99">
        <f>G35+'5'!H35</f>
        <v>15760.010000000009</v>
      </c>
      <c r="I35" s="95"/>
      <c r="J35" s="175">
        <f>H35/DAY(B2)</f>
        <v>2626.6683333333349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'5'!F36</f>
        <v>358536</v>
      </c>
      <c r="F36" s="145">
        <v>359385</v>
      </c>
      <c r="G36" s="112">
        <f t="shared" si="3"/>
        <v>849</v>
      </c>
      <c r="H36" s="99">
        <f>G36+'5'!H36</f>
        <v>5296.0999999999767</v>
      </c>
      <c r="I36" s="95"/>
      <c r="J36" s="175">
        <f>H36/DAY(B2)</f>
        <v>882.68333333332941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'5'!F37</f>
        <v>345478</v>
      </c>
      <c r="F37" s="145">
        <v>346943</v>
      </c>
      <c r="G37" s="112">
        <f t="shared" si="3"/>
        <v>1465</v>
      </c>
      <c r="H37" s="99">
        <f>G37+'5'!H37</f>
        <v>8673.1300000000047</v>
      </c>
      <c r="I37" s="95"/>
      <c r="J37" s="175">
        <f>H37/DAY(B2)</f>
        <v>1445.5216666666674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'5'!F38</f>
        <v>810038</v>
      </c>
      <c r="F38" s="108">
        <v>812543</v>
      </c>
      <c r="G38" s="112">
        <f t="shared" si="3"/>
        <v>2505</v>
      </c>
      <c r="H38" s="99">
        <f>G38+'5'!H38</f>
        <v>12865.650000000023</v>
      </c>
      <c r="I38" s="95"/>
      <c r="J38" s="175">
        <f>H38/DAY(B2)</f>
        <v>2144.2750000000037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'5'!F39</f>
        <v>634514</v>
      </c>
      <c r="F39" s="145">
        <v>637287</v>
      </c>
      <c r="G39" s="112">
        <f t="shared" si="3"/>
        <v>2773</v>
      </c>
      <c r="H39" s="99">
        <f>G39+'5'!H39</f>
        <v>16997</v>
      </c>
      <c r="I39" s="95"/>
      <c r="J39" s="175">
        <f>H39/DAY(B2)</f>
        <v>2832.8333333333335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'5'!F40</f>
        <v>211686</v>
      </c>
      <c r="F40" s="145">
        <v>211883</v>
      </c>
      <c r="G40" s="112">
        <f t="shared" si="3"/>
        <v>197</v>
      </c>
      <c r="H40" s="99">
        <f>G40+'5'!H40</f>
        <v>2196.6499999999942</v>
      </c>
      <c r="I40" s="95"/>
      <c r="J40" s="175">
        <f>H40/DAY(B2)</f>
        <v>366.10833333333238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'5'!F41</f>
        <v>420212</v>
      </c>
      <c r="F41" s="145">
        <v>420212</v>
      </c>
      <c r="G41" s="112">
        <f t="shared" si="3"/>
        <v>0</v>
      </c>
      <c r="H41" s="99">
        <f>G41+'5'!H41</f>
        <v>-0.51000000000931323</v>
      </c>
      <c r="I41" s="95"/>
      <c r="J41" s="175">
        <f>H41/DAY(B2)</f>
        <v>-8.5000000001552209E-2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'5'!F42</f>
        <v>942897</v>
      </c>
      <c r="F42" s="145">
        <v>947204</v>
      </c>
      <c r="G42" s="112">
        <f t="shared" si="3"/>
        <v>4307</v>
      </c>
      <c r="H42" s="99">
        <f>G42+'5'!H42</f>
        <v>26249.530000000028</v>
      </c>
      <c r="I42" s="95"/>
      <c r="J42" s="175">
        <f>H42/DAY(B2)</f>
        <v>4374.9216666666716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'5'!F43</f>
        <v>422444</v>
      </c>
      <c r="F43" s="145">
        <v>422444</v>
      </c>
      <c r="G43" s="112">
        <f t="shared" si="3"/>
        <v>0</v>
      </c>
      <c r="H43" s="99">
        <f>G43+'5'!H43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'5'!F44</f>
        <v>0</v>
      </c>
      <c r="F44" s="145">
        <v>0</v>
      </c>
      <c r="G44" s="112">
        <f t="shared" si="3"/>
        <v>0</v>
      </c>
      <c r="H44" s="99">
        <f>G44+'5'!H44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'5'!F45</f>
        <v>0</v>
      </c>
      <c r="F45" s="145">
        <v>0</v>
      </c>
      <c r="G45" s="112">
        <f t="shared" si="3"/>
        <v>0</v>
      </c>
      <c r="H45" s="99">
        <f>G45+'5'!H45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'5'!F46</f>
        <v>0</v>
      </c>
      <c r="F46" s="145">
        <v>0</v>
      </c>
      <c r="G46" s="112">
        <f t="shared" si="3"/>
        <v>0</v>
      </c>
      <c r="H46" s="99">
        <f>G46+'5'!H46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14510</v>
      </c>
      <c r="H47" s="99">
        <f>G47+'5'!H47</f>
        <v>88037.560000000027</v>
      </c>
      <c r="I47" s="95"/>
      <c r="J47" s="175">
        <f>H47/DAY(B2)</f>
        <v>14672.926666666672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'5'!F49</f>
        <v>809046</v>
      </c>
      <c r="F49" s="145">
        <v>809567</v>
      </c>
      <c r="G49" s="112">
        <f t="shared" ref="G49:G58" si="4">F49-E49</f>
        <v>521</v>
      </c>
      <c r="H49" s="99">
        <f>G49+'5'!H49</f>
        <v>3062.8499999999767</v>
      </c>
      <c r="I49" s="95"/>
      <c r="J49" s="175">
        <f>H49/DAY(B2)</f>
        <v>510.4749999999961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'5'!F50</f>
        <v>508301</v>
      </c>
      <c r="F50" s="145">
        <v>509529</v>
      </c>
      <c r="G50" s="112">
        <f t="shared" si="4"/>
        <v>1228</v>
      </c>
      <c r="H50" s="99">
        <f>G50+'5'!H50</f>
        <v>8376</v>
      </c>
      <c r="I50" s="95"/>
      <c r="J50" s="175">
        <f>H50/DAY(B2)</f>
        <v>1396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'5'!F51</f>
        <v>156958</v>
      </c>
      <c r="F51" s="145">
        <v>156958</v>
      </c>
      <c r="G51" s="112">
        <f t="shared" si="4"/>
        <v>0</v>
      </c>
      <c r="H51" s="99">
        <f>G51+'5'!H51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'5'!F52</f>
        <v>9.76</v>
      </c>
      <c r="F52" s="145">
        <v>9.76</v>
      </c>
      <c r="G52" s="112">
        <f t="shared" si="4"/>
        <v>0</v>
      </c>
      <c r="H52" s="99">
        <f>G52+'5'!H52</f>
        <v>-0.24000000000000021</v>
      </c>
      <c r="I52" s="95"/>
      <c r="J52" s="175">
        <f>H52/DAY(B2)</f>
        <v>-4.0000000000000036E-2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'5'!F53</f>
        <v>630355</v>
      </c>
      <c r="F53" s="145">
        <v>630355</v>
      </c>
      <c r="G53" s="112">
        <f t="shared" si="4"/>
        <v>0</v>
      </c>
      <c r="H53" s="99">
        <f>G53+'5'!H53</f>
        <v>-3.0000000027939677E-2</v>
      </c>
      <c r="I53" s="95"/>
      <c r="J53" s="175">
        <f>H53/DAY(B2)</f>
        <v>-5.0000000046566129E-3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'5'!F54</f>
        <v>116406</v>
      </c>
      <c r="F54" s="145">
        <v>116756</v>
      </c>
      <c r="G54" s="112">
        <f t="shared" si="4"/>
        <v>350</v>
      </c>
      <c r="H54" s="99">
        <f>G54+'5'!H54</f>
        <v>2158.8699999999953</v>
      </c>
      <c r="I54" s="95"/>
      <c r="J54" s="175">
        <f>H54/DAY(B2)</f>
        <v>359.81166666666587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'5'!F55</f>
        <v>576335</v>
      </c>
      <c r="F55" s="145">
        <v>576335</v>
      </c>
      <c r="G55" s="112">
        <f t="shared" si="4"/>
        <v>0</v>
      </c>
      <c r="H55" s="99">
        <f>G55+'5'!H55</f>
        <v>-0.63000000000465661</v>
      </c>
      <c r="I55" s="95"/>
      <c r="J55" s="175">
        <f>H55/DAY(B2)</f>
        <v>-0.1050000000007761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'5'!F56</f>
        <v>335403</v>
      </c>
      <c r="F56" s="145">
        <v>335403</v>
      </c>
      <c r="G56" s="112">
        <f t="shared" si="4"/>
        <v>0</v>
      </c>
      <c r="H56" s="99">
        <f>G56+'5'!H56</f>
        <v>176.78999999997905</v>
      </c>
      <c r="I56" s="95"/>
      <c r="J56" s="175">
        <f>H56/DAY(B2)</f>
        <v>29.464999999996508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'5'!F57</f>
        <v>642733</v>
      </c>
      <c r="F57" s="145">
        <v>645003</v>
      </c>
      <c r="G57" s="112">
        <f t="shared" si="4"/>
        <v>2270</v>
      </c>
      <c r="H57" s="99">
        <f>G57+'5'!H57</f>
        <v>14170</v>
      </c>
      <c r="I57" s="95"/>
      <c r="J57" s="175">
        <f>H57/DAY(B2)</f>
        <v>2361.6666666666665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'5'!F58</f>
        <v>87857</v>
      </c>
      <c r="F58" s="145">
        <v>88108</v>
      </c>
      <c r="G58" s="112">
        <f t="shared" si="4"/>
        <v>251</v>
      </c>
      <c r="H58" s="99">
        <f>G58+'5'!H58</f>
        <v>1547.5010000000038</v>
      </c>
      <c r="I58" s="95"/>
      <c r="J58" s="175">
        <f>H58/DAY(B2)</f>
        <v>257.91683333333395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4620</v>
      </c>
      <c r="H59" s="99">
        <f>G59+'5'!H59</f>
        <v>29491.110999999924</v>
      </c>
      <c r="I59" s="95">
        <f>G7-G60</f>
        <v>1258</v>
      </c>
      <c r="J59" s="175">
        <f>H59/DAY(B2)</f>
        <v>4915.1851666666544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19130</v>
      </c>
      <c r="H60" s="99">
        <f>G60+'5'!H60</f>
        <v>117528.67099999994</v>
      </c>
      <c r="I60" s="95">
        <f>G13-G60</f>
        <v>678</v>
      </c>
      <c r="J60" s="175">
        <f>H60/DAY(B2)</f>
        <v>19588.111833333325</v>
      </c>
      <c r="K60" s="79"/>
      <c r="L60" s="66"/>
      <c r="N60" s="87"/>
      <c r="O60" s="71"/>
    </row>
    <row r="61" spans="1:15" s="68" customFormat="1" ht="26.25">
      <c r="A61" s="935" t="s">
        <v>332</v>
      </c>
      <c r="B61" s="936"/>
      <c r="C61" s="93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02" t="s">
        <v>198</v>
      </c>
      <c r="B62" s="903"/>
      <c r="C62" s="904"/>
      <c r="D62" s="151" t="s">
        <v>142</v>
      </c>
      <c r="E62" s="95">
        <f>'5'!F62</f>
        <v>312651</v>
      </c>
      <c r="F62" s="122">
        <v>312765</v>
      </c>
      <c r="G62" s="112">
        <f t="shared" ref="G62:G63" si="5">F62-E62</f>
        <v>114</v>
      </c>
      <c r="H62" s="99">
        <f>G62+'5'!H62</f>
        <v>665</v>
      </c>
      <c r="I62" s="118"/>
      <c r="J62" s="175">
        <f>H62/DAY(B2)</f>
        <v>110.83333333333333</v>
      </c>
      <c r="K62" s="80"/>
      <c r="L62" s="66"/>
      <c r="N62" s="87"/>
      <c r="O62" s="71"/>
    </row>
    <row r="63" spans="1:15" ht="25.5">
      <c r="A63" s="902" t="s">
        <v>199</v>
      </c>
      <c r="B63" s="903"/>
      <c r="C63" s="904"/>
      <c r="D63" s="151" t="s">
        <v>142</v>
      </c>
      <c r="E63" s="95">
        <f>'5'!F63</f>
        <v>249547</v>
      </c>
      <c r="F63" s="122">
        <v>249661</v>
      </c>
      <c r="G63" s="112">
        <f t="shared" si="5"/>
        <v>114</v>
      </c>
      <c r="H63" s="99">
        <f>G63+'5'!H63</f>
        <v>626</v>
      </c>
      <c r="I63" s="118"/>
      <c r="J63" s="175">
        <f>H63/DAY(B2)</f>
        <v>104.33333333333333</v>
      </c>
      <c r="K63" s="69"/>
      <c r="L63" s="66"/>
      <c r="N63" s="87"/>
      <c r="O63" s="71"/>
    </row>
    <row r="64" spans="1:15" ht="26.25">
      <c r="A64" s="911" t="s">
        <v>200</v>
      </c>
      <c r="B64" s="912"/>
      <c r="C64" s="913"/>
      <c r="D64" s="151"/>
      <c r="E64" s="95">
        <f>'5'!F64</f>
        <v>0</v>
      </c>
      <c r="F64" s="122"/>
      <c r="G64" s="112">
        <f>G62+G63</f>
        <v>228</v>
      </c>
      <c r="H64" s="99">
        <f>G64+'5'!H64</f>
        <v>1291</v>
      </c>
      <c r="I64" s="118"/>
      <c r="J64" s="175">
        <f>H64/DAY(B2)</f>
        <v>215.16666666666666</v>
      </c>
      <c r="K64" s="69"/>
      <c r="L64" s="66"/>
      <c r="N64" s="87"/>
      <c r="O64" s="71"/>
    </row>
    <row r="65" spans="1:15" ht="25.5">
      <c r="A65" s="902" t="s">
        <v>201</v>
      </c>
      <c r="B65" s="903"/>
      <c r="C65" s="904"/>
      <c r="D65" s="151" t="s">
        <v>142</v>
      </c>
      <c r="E65" s="95">
        <f>'5'!F65</f>
        <v>472626</v>
      </c>
      <c r="F65" s="122">
        <v>472772</v>
      </c>
      <c r="G65" s="112">
        <f t="shared" ref="G65:G70" si="6">F65-E65</f>
        <v>146</v>
      </c>
      <c r="H65" s="99">
        <f>G65+'5'!H65</f>
        <v>742</v>
      </c>
      <c r="I65" s="118"/>
      <c r="J65" s="175">
        <f>H65/DAY(B2)</f>
        <v>123.66666666666667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'5'!F66</f>
        <v>113628</v>
      </c>
      <c r="F66" s="122">
        <v>113644</v>
      </c>
      <c r="G66" s="112">
        <f t="shared" si="6"/>
        <v>16</v>
      </c>
      <c r="H66" s="99">
        <f>G66+'5'!H66</f>
        <v>85</v>
      </c>
      <c r="I66" s="118"/>
      <c r="J66" s="175">
        <f>H66/DAY(B2)</f>
        <v>14.166666666666666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'5'!F67</f>
        <v>116689</v>
      </c>
      <c r="F67" s="122">
        <v>116719</v>
      </c>
      <c r="G67" s="112">
        <f t="shared" si="6"/>
        <v>30</v>
      </c>
      <c r="H67" s="99">
        <f>G67+'5'!H67</f>
        <v>152</v>
      </c>
      <c r="I67" s="118"/>
      <c r="J67" s="175">
        <f>H67/DAY(B2)</f>
        <v>25.333333333333332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'5'!F68</f>
        <v>169459</v>
      </c>
      <c r="F68" s="122">
        <v>169480</v>
      </c>
      <c r="G68" s="112">
        <f t="shared" si="6"/>
        <v>21</v>
      </c>
      <c r="H68" s="99">
        <f>G68+'5'!H68</f>
        <v>121</v>
      </c>
      <c r="I68" s="118"/>
      <c r="J68" s="175">
        <f>H68/DAY(B2)</f>
        <v>20.166666666666668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'5'!F69</f>
        <v>12998</v>
      </c>
      <c r="F69" s="122">
        <v>13002</v>
      </c>
      <c r="G69" s="112">
        <f t="shared" si="6"/>
        <v>4</v>
      </c>
      <c r="H69" s="99">
        <f>G69+'5'!H69</f>
        <v>36</v>
      </c>
      <c r="I69" s="118"/>
      <c r="J69" s="175">
        <f>H69/DAY(B2)</f>
        <v>6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'5'!F70</f>
        <v>11053</v>
      </c>
      <c r="F70" s="122">
        <v>11064</v>
      </c>
      <c r="G70" s="112">
        <f t="shared" si="6"/>
        <v>11</v>
      </c>
      <c r="H70" s="99">
        <f>G70+'5'!H70</f>
        <v>48</v>
      </c>
      <c r="I70" s="118"/>
      <c r="J70" s="175">
        <f>H70/DAY(B2)</f>
        <v>8</v>
      </c>
      <c r="K70" s="69"/>
      <c r="L70" s="66"/>
      <c r="N70" s="87"/>
      <c r="O70" s="71"/>
    </row>
    <row r="71" spans="1:15" ht="26.25">
      <c r="A71" s="911" t="s">
        <v>208</v>
      </c>
      <c r="B71" s="912"/>
      <c r="C71" s="913"/>
      <c r="D71" s="152"/>
      <c r="E71" s="152"/>
      <c r="F71" s="152"/>
      <c r="G71" s="153">
        <f>SUM(G65:G70)</f>
        <v>228</v>
      </c>
      <c r="H71" s="99">
        <f>G71+'5'!H71</f>
        <v>1184</v>
      </c>
      <c r="I71" s="154"/>
      <c r="J71" s="175">
        <f>H71/DAY(B2)</f>
        <v>197.33333333333334</v>
      </c>
      <c r="K71" s="69"/>
      <c r="L71" s="66"/>
      <c r="N71" s="87"/>
      <c r="O71" s="71"/>
    </row>
    <row r="72" spans="1:15" s="88" customFormat="1" ht="25.5">
      <c r="A72" s="898"/>
      <c r="B72" s="88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08" t="s">
        <v>333</v>
      </c>
      <c r="B73" s="909"/>
      <c r="C73" s="910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02" t="s">
        <v>220</v>
      </c>
      <c r="B74" s="903"/>
      <c r="C74" s="904"/>
      <c r="D74" s="151" t="s">
        <v>139</v>
      </c>
      <c r="E74" s="95">
        <f>'5'!F74</f>
        <v>4094</v>
      </c>
      <c r="F74" s="123">
        <v>4401</v>
      </c>
      <c r="G74" s="112">
        <f t="shared" ref="G74:G78" si="7">F74-E74</f>
        <v>307</v>
      </c>
      <c r="H74" s="99">
        <f>G74+'5'!H74</f>
        <v>1886</v>
      </c>
      <c r="I74" s="154"/>
      <c r="J74" s="175">
        <f>H74/DAY(B2)</f>
        <v>314.33333333333331</v>
      </c>
      <c r="K74" s="69"/>
      <c r="L74" s="66"/>
      <c r="N74" s="87"/>
      <c r="O74" s="71"/>
    </row>
    <row r="75" spans="1:15" ht="25.5">
      <c r="A75" s="902" t="s">
        <v>221</v>
      </c>
      <c r="B75" s="903"/>
      <c r="C75" s="904"/>
      <c r="D75" s="151" t="s">
        <v>139</v>
      </c>
      <c r="E75" s="95">
        <f>'5'!F75</f>
        <v>73586.8</v>
      </c>
      <c r="F75" s="123">
        <v>73586.8</v>
      </c>
      <c r="G75" s="112">
        <f t="shared" si="7"/>
        <v>0</v>
      </c>
      <c r="H75" s="99">
        <f>G75+'5'!H75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899" t="s">
        <v>222</v>
      </c>
      <c r="B76" s="900"/>
      <c r="C76" s="901"/>
      <c r="D76" s="151" t="s">
        <v>139</v>
      </c>
      <c r="E76" s="95">
        <f>'5'!F76</f>
        <v>207911</v>
      </c>
      <c r="F76" s="123">
        <v>208011</v>
      </c>
      <c r="G76" s="112">
        <f t="shared" si="7"/>
        <v>100</v>
      </c>
      <c r="H76" s="99">
        <f>G76+'5'!H76</f>
        <v>634</v>
      </c>
      <c r="I76" s="154"/>
      <c r="J76" s="175">
        <f>H76/DAY(B2)</f>
        <v>105.66666666666667</v>
      </c>
      <c r="K76" s="69"/>
      <c r="L76" s="66"/>
      <c r="N76" s="87"/>
      <c r="O76" s="71"/>
    </row>
    <row r="77" spans="1:15" ht="25.5">
      <c r="A77" s="899" t="s">
        <v>223</v>
      </c>
      <c r="B77" s="900"/>
      <c r="C77" s="901"/>
      <c r="D77" s="151" t="s">
        <v>139</v>
      </c>
      <c r="E77" s="95">
        <f>'5'!F77</f>
        <v>58404</v>
      </c>
      <c r="F77" s="123">
        <v>58456</v>
      </c>
      <c r="G77" s="112">
        <f t="shared" si="7"/>
        <v>52</v>
      </c>
      <c r="H77" s="99">
        <f>G77+'5'!H77</f>
        <v>304</v>
      </c>
      <c r="I77" s="154"/>
      <c r="J77" s="175">
        <f>H77/DAY(B2)</f>
        <v>50.666666666666664</v>
      </c>
      <c r="K77" s="69"/>
      <c r="L77" s="66"/>
      <c r="N77" s="87"/>
      <c r="O77" s="71"/>
    </row>
    <row r="78" spans="1:15" ht="25.5">
      <c r="A78" s="899" t="s">
        <v>224</v>
      </c>
      <c r="B78" s="900"/>
      <c r="C78" s="901"/>
      <c r="D78" s="151" t="s">
        <v>139</v>
      </c>
      <c r="E78" s="95">
        <f>'5'!F78</f>
        <v>9563.4</v>
      </c>
      <c r="F78" s="123">
        <v>9563.4</v>
      </c>
      <c r="G78" s="112">
        <f t="shared" si="7"/>
        <v>0</v>
      </c>
      <c r="H78" s="99">
        <f>G78+'5'!H78</f>
        <v>-0.6000000000003638</v>
      </c>
      <c r="I78" s="118"/>
      <c r="J78" s="175">
        <f>H78/DAY(B2)</f>
        <v>-0.10000000000006064</v>
      </c>
      <c r="K78" s="69"/>
      <c r="L78" s="66"/>
      <c r="N78" s="87"/>
      <c r="O78" s="71"/>
    </row>
    <row r="79" spans="1:15" s="57" customFormat="1" ht="25.5">
      <c r="A79" s="899" t="s">
        <v>225</v>
      </c>
      <c r="B79" s="900"/>
      <c r="C79" s="901"/>
      <c r="D79" s="151"/>
      <c r="E79" s="117"/>
      <c r="F79" s="117"/>
      <c r="G79" s="112">
        <f>G15-SUM(G74:G78)</f>
        <v>602</v>
      </c>
      <c r="H79" s="99">
        <f>G79+'5'!H79</f>
        <v>3919.2419999999929</v>
      </c>
      <c r="I79" s="118"/>
      <c r="J79" s="175"/>
      <c r="K79" s="59"/>
      <c r="L79" s="58"/>
      <c r="N79" s="87"/>
      <c r="O79" s="71"/>
    </row>
    <row r="80" spans="1:15" s="57" customFormat="1" ht="26.25">
      <c r="A80" s="911" t="s">
        <v>329</v>
      </c>
      <c r="B80" s="912"/>
      <c r="C80" s="913"/>
      <c r="D80" s="151"/>
      <c r="E80" s="117"/>
      <c r="F80" s="117"/>
      <c r="G80" s="112">
        <f>SUM(G74:G79)</f>
        <v>1061</v>
      </c>
      <c r="H80" s="99"/>
      <c r="I80" s="118"/>
      <c r="J80" s="175"/>
      <c r="K80" s="59"/>
      <c r="L80" s="58"/>
      <c r="N80" s="87"/>
      <c r="O80" s="71"/>
    </row>
    <row r="81" spans="1:15" ht="25.5">
      <c r="A81" s="915" t="s">
        <v>226</v>
      </c>
      <c r="B81" s="916"/>
      <c r="C81" s="917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'5'!F82</f>
        <v>0</v>
      </c>
      <c r="F82" s="122">
        <v>0</v>
      </c>
      <c r="G82" s="112">
        <f t="shared" ref="G82:G92" si="8">F82-E82</f>
        <v>0</v>
      </c>
      <c r="H82" s="99">
        <f>G82+'5'!H82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'5'!F83</f>
        <v>0</v>
      </c>
      <c r="F83" s="122">
        <v>0</v>
      </c>
      <c r="G83" s="112">
        <f t="shared" si="8"/>
        <v>0</v>
      </c>
      <c r="H83" s="99">
        <f>G83+'5'!H83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'5'!F84</f>
        <v>43546</v>
      </c>
      <c r="F84" s="164">
        <v>43546</v>
      </c>
      <c r="G84" s="112">
        <f t="shared" si="8"/>
        <v>0</v>
      </c>
      <c r="H84" s="99">
        <f>G84+'5'!H84</f>
        <v>0</v>
      </c>
      <c r="I84" s="545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'5'!F85</f>
        <v>6052.48</v>
      </c>
      <c r="F85" s="164">
        <v>6076</v>
      </c>
      <c r="G85" s="112">
        <f t="shared" si="8"/>
        <v>23.520000000000437</v>
      </c>
      <c r="H85" s="99">
        <f>G85+'5'!H85</f>
        <v>143.55000000000018</v>
      </c>
      <c r="I85" s="545"/>
      <c r="J85" s="175">
        <f>H85/DAY(B2)</f>
        <v>23.925000000000029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'5'!F86</f>
        <v>46834</v>
      </c>
      <c r="F86" s="164">
        <v>46834</v>
      </c>
      <c r="G86" s="112">
        <f t="shared" si="8"/>
        <v>0</v>
      </c>
      <c r="H86" s="99">
        <f>G86+'5'!H86</f>
        <v>0</v>
      </c>
      <c r="I86" s="545"/>
      <c r="J86" s="175">
        <f>H86/DAY(B2)</f>
        <v>0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'5'!F87</f>
        <v>37028</v>
      </c>
      <c r="F87" s="164">
        <v>37028</v>
      </c>
      <c r="G87" s="112">
        <f t="shared" si="8"/>
        <v>0</v>
      </c>
      <c r="H87" s="99">
        <f>G87+'5'!H87</f>
        <v>0</v>
      </c>
      <c r="I87" s="545">
        <f>G84+G85+G86+G87</f>
        <v>23.520000000000437</v>
      </c>
      <c r="J87" s="175">
        <f>H87/DAY(B2)</f>
        <v>0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'5'!F88</f>
        <v>24611</v>
      </c>
      <c r="F88" s="164">
        <v>24615</v>
      </c>
      <c r="G88" s="112">
        <f t="shared" si="8"/>
        <v>4</v>
      </c>
      <c r="H88" s="99">
        <f>G88+'5'!H88</f>
        <v>11.400000000001455</v>
      </c>
      <c r="I88" s="545"/>
      <c r="J88" s="175">
        <f>H88/DAY(B2)</f>
        <v>1.9000000000002426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'5'!F89</f>
        <v>28808</v>
      </c>
      <c r="F89" s="164">
        <v>28815</v>
      </c>
      <c r="G89" s="112">
        <f t="shared" si="8"/>
        <v>7</v>
      </c>
      <c r="H89" s="99">
        <f>G89+'5'!H89</f>
        <v>66.610000000000582</v>
      </c>
      <c r="I89" s="545">
        <f>G88+G89</f>
        <v>11</v>
      </c>
      <c r="J89" s="175">
        <f>H89/DAY(B2)</f>
        <v>11.101666666666764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'5'!F90</f>
        <v>74262</v>
      </c>
      <c r="F90" s="164">
        <v>74273</v>
      </c>
      <c r="G90" s="112">
        <f t="shared" si="8"/>
        <v>11</v>
      </c>
      <c r="H90" s="99">
        <f>G90+'5'!H90</f>
        <v>69.820000000006985</v>
      </c>
      <c r="I90" s="545">
        <f>G90</f>
        <v>11</v>
      </c>
      <c r="J90" s="175">
        <f>H90/DAY(B2)</f>
        <v>11.63666666666783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'5'!F91</f>
        <v>5618</v>
      </c>
      <c r="F91" s="122">
        <v>5618</v>
      </c>
      <c r="G91" s="112">
        <f t="shared" si="8"/>
        <v>0</v>
      </c>
      <c r="H91" s="99">
        <f>G91+'5'!H91</f>
        <v>-0.21000000000003638</v>
      </c>
      <c r="I91" s="546"/>
      <c r="J91" s="175">
        <f>H91/DAY(B2)</f>
        <v>-3.5000000000006061E-2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'5'!F92</f>
        <v>7137</v>
      </c>
      <c r="F92" s="122">
        <v>7148</v>
      </c>
      <c r="G92" s="112">
        <f t="shared" si="8"/>
        <v>11</v>
      </c>
      <c r="H92" s="99">
        <f>G92+'5'!H92</f>
        <v>68.3100000000004</v>
      </c>
      <c r="I92" s="547">
        <f>G91+G92</f>
        <v>11</v>
      </c>
      <c r="J92" s="175">
        <f>H92/DAY(B2)</f>
        <v>11.385000000000067</v>
      </c>
      <c r="O92" s="71"/>
    </row>
    <row r="93" spans="1:15" ht="26.25">
      <c r="A93" s="905" t="s">
        <v>239</v>
      </c>
      <c r="B93" s="906"/>
      <c r="C93" s="90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5205</v>
      </c>
      <c r="H94" s="99">
        <f>G94+'5'!H94</f>
        <v>32992.859999999986</v>
      </c>
      <c r="I94" s="118"/>
      <c r="J94" s="175">
        <f>H94/DAY(B2)</f>
        <v>5498.8099999999977</v>
      </c>
      <c r="K94" s="69"/>
      <c r="L94" s="66"/>
      <c r="O94" s="71"/>
    </row>
    <row r="95" spans="1:15" ht="25.5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0.25529723366686286</v>
      </c>
      <c r="H95" s="99">
        <f>G95+'5'!H95</f>
        <v>1.5926425261434956</v>
      </c>
      <c r="I95" s="167"/>
      <c r="J95" s="175">
        <f>H95/DAY(B2)</f>
        <v>0.26544042102391591</v>
      </c>
      <c r="K95" s="69"/>
      <c r="L95" s="66"/>
      <c r="O95" s="71"/>
    </row>
    <row r="96" spans="1:15" ht="25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4307</v>
      </c>
      <c r="H96" s="99">
        <f>G96+'5'!H96</f>
        <v>26425.179999999993</v>
      </c>
      <c r="I96" s="118"/>
      <c r="J96" s="175">
        <f>H96/DAY(B2)</f>
        <v>4404.1966666666658</v>
      </c>
      <c r="K96" s="69"/>
      <c r="L96" s="66"/>
      <c r="O96" s="71"/>
    </row>
    <row r="97" spans="1:15" ht="25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0.21125171669609574</v>
      </c>
      <c r="H97" s="99">
        <f>G97+'5'!H97</f>
        <v>1.2746103439017</v>
      </c>
      <c r="I97" s="167"/>
      <c r="J97" s="175">
        <f>H97/DAY(B2)</f>
        <v>0.21243505731695</v>
      </c>
      <c r="K97" s="69"/>
      <c r="L97" s="66"/>
      <c r="O97" s="71"/>
    </row>
    <row r="98" spans="1:15" ht="25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2773</v>
      </c>
      <c r="H98" s="99">
        <f>G98+'5'!H98</f>
        <v>16996.969999999972</v>
      </c>
      <c r="I98" s="168"/>
      <c r="J98" s="175">
        <f>H98/DAY(B2)</f>
        <v>2832.8283333333288</v>
      </c>
      <c r="K98" s="69"/>
      <c r="L98" s="66"/>
      <c r="O98" s="71"/>
    </row>
    <row r="99" spans="1:15" ht="25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0.13601137924269177</v>
      </c>
      <c r="H99" s="99">
        <f>G99+'5'!H99</f>
        <v>0.8206619153586765</v>
      </c>
      <c r="I99" s="168"/>
      <c r="J99" s="175">
        <f>H99/DAY(B2)</f>
        <v>0.13677698589311274</v>
      </c>
      <c r="O99" s="71"/>
    </row>
    <row r="100" spans="1:15" ht="26.2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2505</v>
      </c>
      <c r="H100" s="99">
        <f>G100+'5'!H100</f>
        <v>12865.410000000024</v>
      </c>
      <c r="I100" s="118"/>
      <c r="J100" s="175">
        <f>H100/DAY(B2)</f>
        <v>2144.2350000000038</v>
      </c>
      <c r="K100" s="70"/>
      <c r="O100" s="71"/>
    </row>
    <row r="101" spans="1:15" ht="25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0.12286639199529135</v>
      </c>
      <c r="H101" s="99">
        <f>G101+'5'!H101</f>
        <v>0.61969588052599422</v>
      </c>
      <c r="I101" s="168"/>
      <c r="J101" s="175">
        <f>H101/DAY(B2)</f>
        <v>0.10328264675433237</v>
      </c>
      <c r="O101" s="71"/>
    </row>
    <row r="102" spans="1:15" ht="25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2077</v>
      </c>
      <c r="H102" s="99">
        <f>G102+'5'!H102</f>
        <v>13672.099999999977</v>
      </c>
      <c r="I102" s="168"/>
      <c r="J102" s="175">
        <f>H102/DAY(B2)</f>
        <v>2278.6833333333293</v>
      </c>
      <c r="O102" s="71"/>
    </row>
    <row r="103" spans="1:15" ht="25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0.10187365116735335</v>
      </c>
      <c r="H103" s="99">
        <f>G103+'5'!H103</f>
        <v>0.65899850413559791</v>
      </c>
      <c r="I103" s="118"/>
      <c r="J103" s="175">
        <f>H103/DAY(B2)</f>
        <v>0.10983308402259966</v>
      </c>
      <c r="O103" s="71"/>
    </row>
    <row r="104" spans="1:15" ht="25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1465</v>
      </c>
      <c r="H104" s="99">
        <f>G104+'5'!H104</f>
        <v>8673.1300000000047</v>
      </c>
      <c r="I104" s="118"/>
      <c r="J104" s="175">
        <f>H104/DAY(B2)</f>
        <v>1445.5216666666674</v>
      </c>
      <c r="O104" s="71"/>
    </row>
    <row r="105" spans="1:15" ht="26.25" thickBot="1">
      <c r="A105" s="895" t="s">
        <v>251</v>
      </c>
      <c r="B105" s="896"/>
      <c r="C105" s="897"/>
      <c r="D105" s="231" t="s">
        <v>23</v>
      </c>
      <c r="E105" s="185"/>
      <c r="F105" s="185"/>
      <c r="G105" s="186">
        <f>G104/G7</f>
        <v>7.1855993721797129E-2</v>
      </c>
      <c r="H105" s="99">
        <f>G105+'5'!H105</f>
        <v>0.41889995800867869</v>
      </c>
      <c r="I105" s="187"/>
      <c r="J105" s="188">
        <f>H105/DAY(B2)</f>
        <v>6.981665966811311E-2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891" t="s">
        <v>324</v>
      </c>
      <c r="B108" s="891"/>
      <c r="C108" s="891"/>
      <c r="D108" s="891"/>
      <c r="E108" s="891"/>
      <c r="F108" s="891"/>
      <c r="G108" s="891"/>
      <c r="H108" s="891"/>
      <c r="I108" s="891"/>
      <c r="J108" s="891"/>
    </row>
    <row r="109" spans="1:15" ht="26.25">
      <c r="A109" s="918"/>
      <c r="B109" s="918"/>
    </row>
    <row r="110" spans="1:15" ht="26.25">
      <c r="A110" s="892" t="s">
        <v>165</v>
      </c>
      <c r="B110" s="893"/>
      <c r="C110" s="893"/>
      <c r="D110" s="893"/>
      <c r="E110" s="893"/>
      <c r="F110" s="893"/>
      <c r="G110" s="893"/>
      <c r="H110" s="893"/>
      <c r="I110" s="893"/>
      <c r="J110" s="894"/>
    </row>
    <row r="111" spans="1:15" ht="25.5">
      <c r="A111" s="885"/>
      <c r="B111" s="886"/>
      <c r="C111" s="887"/>
      <c r="D111" s="165"/>
      <c r="E111" s="165"/>
      <c r="F111" s="165"/>
      <c r="G111" s="165"/>
      <c r="H111" s="156"/>
      <c r="I111" s="165"/>
      <c r="J111" s="327"/>
    </row>
    <row r="112" spans="1:15" ht="25.5">
      <c r="A112" s="881" t="s">
        <v>252</v>
      </c>
      <c r="B112" s="882"/>
      <c r="C112" s="883"/>
      <c r="D112" s="146" t="s">
        <v>183</v>
      </c>
      <c r="E112" s="95">
        <f>'5'!F112</f>
        <v>17811</v>
      </c>
      <c r="F112" s="237">
        <v>17871</v>
      </c>
      <c r="G112" s="112">
        <f t="shared" ref="G112:G123" si="9">F112-E112</f>
        <v>60</v>
      </c>
      <c r="H112" s="99">
        <f>G112+'5'!H112</f>
        <v>359.70000000000073</v>
      </c>
      <c r="I112" s="165"/>
      <c r="J112" s="328">
        <f>H112/DAY(B2)</f>
        <v>59.950000000000124</v>
      </c>
    </row>
    <row r="113" spans="1:18" ht="29.25" customHeight="1">
      <c r="A113" s="881" t="s">
        <v>253</v>
      </c>
      <c r="B113" s="882"/>
      <c r="C113" s="883"/>
      <c r="D113" s="146" t="s">
        <v>183</v>
      </c>
      <c r="E113" s="95">
        <f>'5'!F113</f>
        <v>37804</v>
      </c>
      <c r="F113" s="237">
        <v>37947</v>
      </c>
      <c r="G113" s="112">
        <f t="shared" si="9"/>
        <v>143</v>
      </c>
      <c r="H113" s="99">
        <f>G113+'5'!H113</f>
        <v>868</v>
      </c>
      <c r="I113" s="165"/>
      <c r="J113" s="328">
        <f>H113/DAY(B2)</f>
        <v>144.66666666666666</v>
      </c>
    </row>
    <row r="114" spans="1:18" ht="29.25" customHeight="1">
      <c r="A114" s="881" t="s">
        <v>254</v>
      </c>
      <c r="B114" s="882"/>
      <c r="C114" s="883"/>
      <c r="D114" s="146" t="s">
        <v>183</v>
      </c>
      <c r="E114" s="95">
        <f>'5'!F114</f>
        <v>55390</v>
      </c>
      <c r="F114" s="237">
        <v>55611</v>
      </c>
      <c r="G114" s="112">
        <f t="shared" si="9"/>
        <v>221</v>
      </c>
      <c r="H114" s="99">
        <f>G114+'5'!H114</f>
        <v>1343.2200000000012</v>
      </c>
      <c r="I114" s="165"/>
      <c r="J114" s="328">
        <f>H114/DAY(B2)</f>
        <v>223.8700000000002</v>
      </c>
    </row>
    <row r="115" spans="1:18" ht="29.25" customHeight="1">
      <c r="A115" s="881" t="s">
        <v>255</v>
      </c>
      <c r="B115" s="882"/>
      <c r="C115" s="883"/>
      <c r="D115" s="146" t="s">
        <v>183</v>
      </c>
      <c r="E115" s="95">
        <f>'5'!F115</f>
        <v>35736</v>
      </c>
      <c r="F115" s="237">
        <v>35890</v>
      </c>
      <c r="G115" s="112">
        <f t="shared" si="9"/>
        <v>154</v>
      </c>
      <c r="H115" s="99">
        <f>G115+'5'!H115</f>
        <v>923.08999999999651</v>
      </c>
      <c r="I115" s="165"/>
      <c r="J115" s="328">
        <f>H115/DAY(B2)</f>
        <v>153.84833333333276</v>
      </c>
    </row>
    <row r="116" spans="1:18" ht="29.25" customHeight="1">
      <c r="A116" s="888" t="s">
        <v>96</v>
      </c>
      <c r="B116" s="889"/>
      <c r="C116" s="890"/>
      <c r="D116" s="146" t="s">
        <v>183</v>
      </c>
      <c r="E116" s="95">
        <f>'5'!F116</f>
        <v>136608</v>
      </c>
      <c r="F116" s="237">
        <v>136973</v>
      </c>
      <c r="G116" s="112">
        <f t="shared" si="9"/>
        <v>365</v>
      </c>
      <c r="H116" s="99">
        <f>G116+'5'!H116</f>
        <v>2484.609999999986</v>
      </c>
      <c r="I116" s="165"/>
      <c r="J116" s="328">
        <f>H116/DAY(B2)</f>
        <v>414.10166666666436</v>
      </c>
      <c r="Q116" s="881"/>
      <c r="R116" s="883"/>
    </row>
    <row r="117" spans="1:18" ht="29.25" customHeight="1">
      <c r="A117" s="888" t="s">
        <v>184</v>
      </c>
      <c r="B117" s="889"/>
      <c r="C117" s="890"/>
      <c r="D117" s="146" t="s">
        <v>183</v>
      </c>
      <c r="E117" s="95">
        <f>'5'!F117</f>
        <v>84623</v>
      </c>
      <c r="F117" s="237">
        <v>84997</v>
      </c>
      <c r="G117" s="112">
        <f t="shared" si="9"/>
        <v>374</v>
      </c>
      <c r="H117" s="99">
        <f>G117+'5'!H117</f>
        <v>2287</v>
      </c>
      <c r="I117" s="165"/>
      <c r="J117" s="328">
        <f>H117/DAY(B2)</f>
        <v>381.16666666666669</v>
      </c>
      <c r="Q117" s="881"/>
      <c r="R117" s="883"/>
    </row>
    <row r="118" spans="1:18" ht="25.5">
      <c r="A118" s="880" t="s">
        <v>97</v>
      </c>
      <c r="B118" s="880"/>
      <c r="C118" s="880"/>
      <c r="D118" s="151" t="s">
        <v>183</v>
      </c>
      <c r="E118" s="95">
        <f>'5'!F118</f>
        <v>161390</v>
      </c>
      <c r="F118" s="237">
        <v>161991</v>
      </c>
      <c r="G118" s="112">
        <f t="shared" si="9"/>
        <v>601</v>
      </c>
      <c r="H118" s="99">
        <f>G118+'5'!H118</f>
        <v>3853.8500000000058</v>
      </c>
      <c r="I118" s="165"/>
      <c r="J118" s="328">
        <f>H118/DAY(B2)</f>
        <v>642.3083333333343</v>
      </c>
      <c r="Q118" s="881"/>
      <c r="R118" s="883"/>
    </row>
    <row r="119" spans="1:18" ht="25.5">
      <c r="A119" s="880" t="s">
        <v>98</v>
      </c>
      <c r="B119" s="880"/>
      <c r="C119" s="880"/>
      <c r="D119" s="151" t="s">
        <v>183</v>
      </c>
      <c r="E119" s="95">
        <f>'5'!F119</f>
        <v>44114</v>
      </c>
      <c r="F119" s="237">
        <v>44148</v>
      </c>
      <c r="G119" s="112">
        <f t="shared" si="9"/>
        <v>34</v>
      </c>
      <c r="H119" s="99">
        <f>G119+'5'!H119</f>
        <v>208.82499999999709</v>
      </c>
      <c r="I119" s="165"/>
      <c r="J119" s="328">
        <f>H119/DAY(B2)</f>
        <v>34.804166666666184</v>
      </c>
    </row>
    <row r="120" spans="1:18" ht="25.5">
      <c r="A120" s="880" t="s">
        <v>99</v>
      </c>
      <c r="B120" s="880"/>
      <c r="C120" s="880"/>
      <c r="D120" s="151" t="s">
        <v>183</v>
      </c>
      <c r="E120" s="95">
        <f>'5'!F120</f>
        <v>110460</v>
      </c>
      <c r="F120" s="237">
        <v>110865</v>
      </c>
      <c r="G120" s="112">
        <f t="shared" si="9"/>
        <v>405</v>
      </c>
      <c r="H120" s="99">
        <f>G120+'5'!H120</f>
        <v>2427.8600000000006</v>
      </c>
      <c r="I120" s="165"/>
      <c r="J120" s="328">
        <f>H120/DAY(B2)</f>
        <v>404.64333333333343</v>
      </c>
    </row>
    <row r="121" spans="1:18" ht="25.5">
      <c r="A121" s="880" t="s">
        <v>100</v>
      </c>
      <c r="B121" s="880"/>
      <c r="C121" s="880"/>
      <c r="D121" s="151" t="s">
        <v>183</v>
      </c>
      <c r="E121" s="95">
        <f>'5'!F121</f>
        <v>123393</v>
      </c>
      <c r="F121" s="237">
        <v>123842</v>
      </c>
      <c r="G121" s="112">
        <f t="shared" si="9"/>
        <v>449</v>
      </c>
      <c r="H121" s="99">
        <f>G121+'5'!H121</f>
        <v>2619.1100000000006</v>
      </c>
      <c r="I121" s="165"/>
      <c r="J121" s="328">
        <f>H121/DAY(B2)</f>
        <v>436.51833333333343</v>
      </c>
    </row>
    <row r="122" spans="1:18" ht="25.5">
      <c r="A122" s="880" t="s">
        <v>101</v>
      </c>
      <c r="B122" s="880"/>
      <c r="C122" s="880"/>
      <c r="D122" s="151" t="s">
        <v>183</v>
      </c>
      <c r="E122" s="95">
        <f>'5'!F122</f>
        <v>82681</v>
      </c>
      <c r="F122" s="237">
        <v>83003</v>
      </c>
      <c r="G122" s="112">
        <f t="shared" si="9"/>
        <v>322</v>
      </c>
      <c r="H122" s="99">
        <f>G122+'5'!H122</f>
        <v>1728.6300000000047</v>
      </c>
      <c r="I122" s="165"/>
      <c r="J122" s="328">
        <f>H122/DAY(B2)</f>
        <v>288.10500000000076</v>
      </c>
    </row>
    <row r="123" spans="1:18" ht="25.5">
      <c r="A123" s="880" t="s">
        <v>102</v>
      </c>
      <c r="B123" s="880"/>
      <c r="C123" s="880"/>
      <c r="D123" s="151" t="s">
        <v>183</v>
      </c>
      <c r="E123" s="95">
        <f>'5'!F123</f>
        <v>79576</v>
      </c>
      <c r="F123" s="237">
        <v>79883</v>
      </c>
      <c r="G123" s="112">
        <f t="shared" si="9"/>
        <v>307</v>
      </c>
      <c r="H123" s="99">
        <f>G123+'5'!H123</f>
        <v>1934</v>
      </c>
      <c r="I123" s="165"/>
      <c r="J123" s="328">
        <f>H123/DAY(B2)</f>
        <v>322.33333333333331</v>
      </c>
    </row>
    <row r="124" spans="1:18" ht="29.25" customHeight="1">
      <c r="A124" s="885"/>
      <c r="B124" s="886"/>
      <c r="C124" s="887"/>
      <c r="D124" s="165"/>
      <c r="E124" s="95" t="str">
        <f>'5'!F124</f>
        <v>`</v>
      </c>
      <c r="F124" s="165"/>
      <c r="G124" s="327"/>
      <c r="H124" s="156"/>
      <c r="I124" s="165"/>
      <c r="J124" s="328"/>
    </row>
    <row r="125" spans="1:18" ht="25.5">
      <c r="A125" s="787" t="s">
        <v>196</v>
      </c>
      <c r="B125" s="788"/>
      <c r="C125" s="245"/>
      <c r="D125" s="307"/>
      <c r="E125" s="308"/>
      <c r="F125" s="308"/>
      <c r="G125" s="309">
        <f>SUM(G112:G124)</f>
        <v>3435</v>
      </c>
      <c r="H125" s="156"/>
      <c r="I125" s="327">
        <f>G125-(G39+G53)</f>
        <v>662</v>
      </c>
      <c r="J125" s="327"/>
    </row>
    <row r="126" spans="1:18" ht="25.5">
      <c r="A126" s="884" t="s">
        <v>317</v>
      </c>
      <c r="B126" s="884"/>
      <c r="C126" s="884"/>
      <c r="D126" s="884"/>
      <c r="E126" s="884"/>
      <c r="F126" s="884"/>
      <c r="G126" s="884"/>
      <c r="H126" s="884"/>
      <c r="I126" s="884"/>
      <c r="J126" s="884"/>
    </row>
    <row r="127" spans="1:18" ht="25.5">
      <c r="A127" s="870"/>
      <c r="B127" s="870"/>
      <c r="C127" s="245"/>
      <c r="D127" s="307"/>
      <c r="E127" s="308"/>
      <c r="F127" s="308"/>
      <c r="G127" s="309"/>
      <c r="H127" s="99">
        <f>G127+'5'!H127</f>
        <v>0</v>
      </c>
      <c r="I127" s="165"/>
      <c r="J127" s="328">
        <f>H127/DAY(B2)</f>
        <v>0</v>
      </c>
    </row>
    <row r="128" spans="1:18" ht="29.25" customHeight="1">
      <c r="A128" s="881" t="s">
        <v>318</v>
      </c>
      <c r="B128" s="882"/>
      <c r="C128" s="883"/>
      <c r="D128" s="151" t="s">
        <v>183</v>
      </c>
      <c r="E128" s="95">
        <f>'5'!F128</f>
        <v>194352</v>
      </c>
      <c r="F128" s="165">
        <v>194819</v>
      </c>
      <c r="G128" s="112">
        <f t="shared" ref="G128:G134" si="10">F128-E128</f>
        <v>467</v>
      </c>
      <c r="H128" s="99">
        <f>G128+'5'!H128</f>
        <v>2933.3699999999953</v>
      </c>
      <c r="I128" s="165"/>
      <c r="J128" s="328">
        <f>H128/DAY(B2)</f>
        <v>488.89499999999924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'5'!F129</f>
        <v>102188</v>
      </c>
      <c r="F129" s="165">
        <v>102395</v>
      </c>
      <c r="G129" s="112">
        <f t="shared" si="10"/>
        <v>207</v>
      </c>
      <c r="H129" s="99">
        <f>G129+'5'!H129</f>
        <v>1118</v>
      </c>
      <c r="I129" s="165"/>
      <c r="J129" s="328">
        <f>H129/DAY(B2)</f>
        <v>186.33333333333334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'5'!F130</f>
        <v>271065</v>
      </c>
      <c r="F130" s="165">
        <v>271601</v>
      </c>
      <c r="G130" s="112">
        <f t="shared" si="10"/>
        <v>536</v>
      </c>
      <c r="H130" s="99">
        <f>G130+'5'!H130</f>
        <v>2786</v>
      </c>
      <c r="I130" s="165"/>
      <c r="J130" s="328">
        <f>H130/DAY(B2)</f>
        <v>464.33333333333331</v>
      </c>
      <c r="N130" s="240"/>
      <c r="O130" s="241"/>
    </row>
    <row r="131" spans="1:15" ht="25.5">
      <c r="A131" s="881" t="s">
        <v>321</v>
      </c>
      <c r="B131" s="882"/>
      <c r="C131" s="883"/>
      <c r="D131" s="151" t="s">
        <v>183</v>
      </c>
      <c r="E131" s="95">
        <f>'5'!F131</f>
        <v>80414</v>
      </c>
      <c r="F131" s="165">
        <v>80567</v>
      </c>
      <c r="G131" s="112">
        <f t="shared" si="10"/>
        <v>153</v>
      </c>
      <c r="H131" s="99">
        <f>G131+'5'!H131</f>
        <v>1016.3699999999953</v>
      </c>
      <c r="I131" s="165"/>
      <c r="J131" s="328">
        <f>H131/DAY(B2)</f>
        <v>169.39499999999921</v>
      </c>
      <c r="N131" s="240"/>
      <c r="O131" s="241"/>
    </row>
    <row r="132" spans="1:15" ht="25.5">
      <c r="A132" s="881" t="s">
        <v>322</v>
      </c>
      <c r="B132" s="882"/>
      <c r="C132" s="883"/>
      <c r="D132" s="151" t="s">
        <v>183</v>
      </c>
      <c r="E132" s="95">
        <f>'5'!F132</f>
        <v>148274</v>
      </c>
      <c r="F132" s="165">
        <v>148274</v>
      </c>
      <c r="G132" s="112">
        <f t="shared" si="10"/>
        <v>0</v>
      </c>
      <c r="H132" s="99">
        <f>G132+'5'!H132</f>
        <v>0</v>
      </c>
      <c r="I132" s="165"/>
      <c r="J132" s="328">
        <f>H132/DAY(B2)</f>
        <v>0</v>
      </c>
    </row>
    <row r="133" spans="1:15" ht="25.5">
      <c r="A133" s="881" t="s">
        <v>323</v>
      </c>
      <c r="B133" s="882"/>
      <c r="C133" s="883"/>
      <c r="D133" s="151" t="s">
        <v>183</v>
      </c>
      <c r="E133" s="95">
        <f>'5'!F133</f>
        <v>288548</v>
      </c>
      <c r="F133" s="165">
        <v>288548</v>
      </c>
      <c r="G133" s="112">
        <f t="shared" si="10"/>
        <v>0</v>
      </c>
      <c r="H133" s="99">
        <f>G133+'5'!H133</f>
        <v>-644500</v>
      </c>
      <c r="I133" s="165"/>
      <c r="J133" s="328">
        <f>H133/DAY(B2)</f>
        <v>-107416.66666666667</v>
      </c>
    </row>
    <row r="134" spans="1:15" ht="25.5">
      <c r="A134" s="881" t="s">
        <v>340</v>
      </c>
      <c r="B134" s="882"/>
      <c r="C134" s="883"/>
      <c r="D134" s="151" t="s">
        <v>183</v>
      </c>
      <c r="E134" s="95">
        <f>'5'!F134</f>
        <v>87282</v>
      </c>
      <c r="F134" s="165">
        <v>87545</v>
      </c>
      <c r="G134" s="112">
        <f t="shared" si="10"/>
        <v>263</v>
      </c>
      <c r="H134" s="99">
        <f>G134+'5'!H134</f>
        <v>1593</v>
      </c>
      <c r="I134" s="165"/>
      <c r="J134" s="328">
        <f>H134/DAY(B2)</f>
        <v>265.5</v>
      </c>
    </row>
    <row r="135" spans="1:15" ht="25.5">
      <c r="A135" s="787" t="s">
        <v>196</v>
      </c>
      <c r="B135" s="788"/>
      <c r="C135" s="331"/>
      <c r="D135" s="151"/>
      <c r="E135" s="95"/>
      <c r="F135" s="112"/>
      <c r="G135" s="112">
        <f>SUM(G128:G134)</f>
        <v>1626</v>
      </c>
      <c r="H135" s="99">
        <f>G135+'5'!H135</f>
        <v>-635053.26</v>
      </c>
      <c r="I135" s="327">
        <f>G135-(G35+G49)</f>
        <v>-1309</v>
      </c>
      <c r="J135" s="328">
        <f>H135/DAY(B2)</f>
        <v>-105842.21</v>
      </c>
    </row>
    <row r="136" spans="1:15" ht="27.75">
      <c r="A136" s="869" t="s">
        <v>325</v>
      </c>
      <c r="B136" s="869"/>
      <c r="C136" s="869"/>
      <c r="D136" s="869"/>
      <c r="E136" s="869"/>
      <c r="F136" s="869"/>
      <c r="G136" s="869"/>
      <c r="H136" s="869"/>
      <c r="I136" s="869"/>
      <c r="J136" s="869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80" t="s">
        <v>185</v>
      </c>
      <c r="B138" s="880"/>
      <c r="C138" s="880"/>
      <c r="D138" s="151" t="s">
        <v>183</v>
      </c>
      <c r="E138" s="95">
        <f>'5'!F138</f>
        <v>910081</v>
      </c>
      <c r="F138" s="748">
        <v>910191</v>
      </c>
      <c r="G138" s="112">
        <f t="shared" ref="G138:G152" si="11">F138-E138</f>
        <v>110</v>
      </c>
      <c r="H138" s="99">
        <f>G138+'5'!H138</f>
        <v>712</v>
      </c>
      <c r="I138" s="118"/>
      <c r="J138" s="328">
        <f>H138/DAY(B2)</f>
        <v>118.66666666666667</v>
      </c>
    </row>
    <row r="139" spans="1:15" ht="25.5">
      <c r="A139" s="880" t="s">
        <v>186</v>
      </c>
      <c r="B139" s="880"/>
      <c r="C139" s="880"/>
      <c r="D139" s="151" t="s">
        <v>183</v>
      </c>
      <c r="E139" s="95">
        <f>'5'!F139</f>
        <v>933187</v>
      </c>
      <c r="F139" s="148">
        <v>933367</v>
      </c>
      <c r="G139" s="112">
        <f t="shared" si="11"/>
        <v>180</v>
      </c>
      <c r="H139" s="99">
        <f>G139+'5'!H139</f>
        <v>1007</v>
      </c>
      <c r="I139" s="118"/>
      <c r="J139" s="328">
        <f>H139/DAY(B2)</f>
        <v>167.83333333333334</v>
      </c>
    </row>
    <row r="140" spans="1:15" ht="25.5">
      <c r="A140" s="880" t="s">
        <v>187</v>
      </c>
      <c r="B140" s="880"/>
      <c r="C140" s="880"/>
      <c r="D140" s="151" t="s">
        <v>183</v>
      </c>
      <c r="E140" s="95">
        <f>'5'!F140</f>
        <v>4118</v>
      </c>
      <c r="F140" s="149">
        <v>4139</v>
      </c>
      <c r="G140" s="112">
        <f t="shared" si="11"/>
        <v>21</v>
      </c>
      <c r="H140" s="99">
        <f>G140+'5'!H140</f>
        <v>105.48900000000003</v>
      </c>
      <c r="I140" s="118"/>
      <c r="J140" s="328">
        <f>H140/DAY(B2)</f>
        <v>17.581500000000005</v>
      </c>
    </row>
    <row r="141" spans="1:15" ht="25.5">
      <c r="A141" s="863" t="s">
        <v>188</v>
      </c>
      <c r="B141" s="863"/>
      <c r="C141" s="863"/>
      <c r="D141" s="151" t="s">
        <v>183</v>
      </c>
      <c r="E141" s="95">
        <f>'5'!F141</f>
        <v>125585</v>
      </c>
      <c r="F141" s="149">
        <v>125792</v>
      </c>
      <c r="G141" s="112">
        <f t="shared" si="11"/>
        <v>207</v>
      </c>
      <c r="H141" s="99">
        <f>G141+'5'!H141</f>
        <v>1194</v>
      </c>
      <c r="I141" s="118"/>
      <c r="J141" s="328">
        <f>H141/DAY(B2)</f>
        <v>199</v>
      </c>
    </row>
    <row r="142" spans="1:15" ht="25.5">
      <c r="A142" s="863" t="s">
        <v>189</v>
      </c>
      <c r="B142" s="863"/>
      <c r="C142" s="863"/>
      <c r="D142" s="151" t="s">
        <v>183</v>
      </c>
      <c r="E142" s="95">
        <f>'5'!F142</f>
        <v>50995</v>
      </c>
      <c r="F142" s="148">
        <v>51082</v>
      </c>
      <c r="G142" s="112">
        <f t="shared" si="11"/>
        <v>87</v>
      </c>
      <c r="H142" s="99">
        <f>G142+'5'!H142</f>
        <v>516.44999999999709</v>
      </c>
      <c r="I142" s="140"/>
      <c r="J142" s="328">
        <f>H142/DAY(B2)</f>
        <v>86.07499999999952</v>
      </c>
    </row>
    <row r="143" spans="1:15" ht="25.5">
      <c r="A143" s="880" t="s">
        <v>91</v>
      </c>
      <c r="B143" s="880"/>
      <c r="C143" s="880"/>
      <c r="D143" s="151" t="s">
        <v>183</v>
      </c>
      <c r="E143" s="95">
        <f>'5'!F143</f>
        <v>13545</v>
      </c>
      <c r="F143" s="149">
        <v>13578</v>
      </c>
      <c r="G143" s="112">
        <f t="shared" si="11"/>
        <v>33</v>
      </c>
      <c r="H143" s="99">
        <f>G143+'5'!H143</f>
        <v>191</v>
      </c>
      <c r="I143" s="140"/>
      <c r="J143" s="328">
        <f>H143/DAY(B2)</f>
        <v>31.833333333333332</v>
      </c>
    </row>
    <row r="144" spans="1:15" ht="25.5">
      <c r="A144" s="863" t="s">
        <v>90</v>
      </c>
      <c r="B144" s="863"/>
      <c r="C144" s="863"/>
      <c r="D144" s="151" t="s">
        <v>183</v>
      </c>
      <c r="E144" s="95">
        <f>'5'!F144</f>
        <v>956684</v>
      </c>
      <c r="F144" s="149">
        <v>956926</v>
      </c>
      <c r="G144" s="112">
        <f t="shared" si="11"/>
        <v>242</v>
      </c>
      <c r="H144" s="99">
        <f>G144+'5'!H144</f>
        <v>1456</v>
      </c>
      <c r="I144" s="140"/>
      <c r="J144" s="328">
        <f>H144/DAY(B2)</f>
        <v>242.66666666666666</v>
      </c>
    </row>
    <row r="145" spans="1:10" ht="25.5">
      <c r="A145" s="880" t="s">
        <v>190</v>
      </c>
      <c r="B145" s="880"/>
      <c r="C145" s="880"/>
      <c r="D145" s="152" t="s">
        <v>183</v>
      </c>
      <c r="E145" s="95">
        <f>'5'!F145</f>
        <v>745885</v>
      </c>
      <c r="F145" s="149">
        <v>746047</v>
      </c>
      <c r="G145" s="112">
        <f t="shared" si="11"/>
        <v>162</v>
      </c>
      <c r="H145" s="99">
        <f>G145+'5'!H145</f>
        <v>866</v>
      </c>
      <c r="I145" s="140"/>
      <c r="J145" s="328">
        <f>H145/DAY(B2)</f>
        <v>144.33333333333334</v>
      </c>
    </row>
    <row r="146" spans="1:10" ht="25.5">
      <c r="A146" s="914" t="s">
        <v>191</v>
      </c>
      <c r="B146" s="900"/>
      <c r="C146" s="901"/>
      <c r="D146" s="152" t="s">
        <v>183</v>
      </c>
      <c r="E146" s="95">
        <f>'5'!F146</f>
        <v>788017</v>
      </c>
      <c r="F146" s="148">
        <v>788048</v>
      </c>
      <c r="G146" s="112">
        <f t="shared" si="11"/>
        <v>31</v>
      </c>
      <c r="H146" s="99">
        <f>G146+'5'!H146</f>
        <v>190</v>
      </c>
      <c r="I146" s="140"/>
      <c r="J146" s="328">
        <f>H146/DAY(B2)</f>
        <v>31.666666666666668</v>
      </c>
    </row>
    <row r="147" spans="1:10" ht="25.5">
      <c r="A147" s="863" t="s">
        <v>192</v>
      </c>
      <c r="B147" s="863"/>
      <c r="C147" s="863"/>
      <c r="D147" s="152" t="s">
        <v>183</v>
      </c>
      <c r="E147" s="95">
        <f>'5'!F147</f>
        <v>762016</v>
      </c>
      <c r="F147" s="148">
        <v>762356</v>
      </c>
      <c r="G147" s="112">
        <f t="shared" si="11"/>
        <v>340</v>
      </c>
      <c r="H147" s="99">
        <f>G147+'5'!H147</f>
        <v>2218</v>
      </c>
      <c r="I147" s="140"/>
      <c r="J147" s="328">
        <f>H147/DAY(B2)</f>
        <v>369.66666666666669</v>
      </c>
    </row>
    <row r="148" spans="1:10" ht="25.5">
      <c r="A148" s="864" t="s">
        <v>193</v>
      </c>
      <c r="B148" s="865"/>
      <c r="C148" s="866"/>
      <c r="D148" s="123" t="s">
        <v>130</v>
      </c>
      <c r="E148" s="95">
        <f>'5'!F148</f>
        <v>798096</v>
      </c>
      <c r="F148" s="150">
        <v>798438</v>
      </c>
      <c r="G148" s="112">
        <f t="shared" si="11"/>
        <v>342</v>
      </c>
      <c r="H148" s="99">
        <f>G148+'5'!H148</f>
        <v>2025.9200000000419</v>
      </c>
      <c r="I148" s="124"/>
      <c r="J148" s="328">
        <f>H148/DAY(B2)</f>
        <v>337.6533333333403</v>
      </c>
    </row>
    <row r="149" spans="1:10" ht="25.5">
      <c r="A149" s="864" t="s">
        <v>336</v>
      </c>
      <c r="B149" s="865"/>
      <c r="C149" s="866"/>
      <c r="D149" s="227" t="s">
        <v>130</v>
      </c>
      <c r="E149" s="95">
        <f>'5'!F149</f>
        <v>203235</v>
      </c>
      <c r="F149" s="146">
        <v>203704</v>
      </c>
      <c r="G149" s="112">
        <f t="shared" si="11"/>
        <v>469</v>
      </c>
      <c r="H149" s="99">
        <f>G149+'5'!H149</f>
        <v>2412.7300000000105</v>
      </c>
      <c r="I149" s="119"/>
      <c r="J149" s="328">
        <f>H149/DAY(B2)</f>
        <v>402.12166666666843</v>
      </c>
    </row>
    <row r="150" spans="1:10" ht="25.5">
      <c r="A150" s="864" t="s">
        <v>337</v>
      </c>
      <c r="B150" s="865"/>
      <c r="C150" s="866"/>
      <c r="D150" s="117" t="s">
        <v>130</v>
      </c>
      <c r="E150" s="95">
        <f>'5'!F150</f>
        <v>86150</v>
      </c>
      <c r="F150" s="233">
        <v>86389</v>
      </c>
      <c r="G150" s="112">
        <f t="shared" si="11"/>
        <v>239</v>
      </c>
      <c r="H150" s="99">
        <f>G150+'5'!H150</f>
        <v>1175</v>
      </c>
      <c r="I150" s="119"/>
      <c r="J150" s="328">
        <f>H150/DAY(B2)</f>
        <v>195.83333333333334</v>
      </c>
    </row>
    <row r="151" spans="1:10" ht="25.5">
      <c r="A151" s="864" t="s">
        <v>338</v>
      </c>
      <c r="B151" s="865"/>
      <c r="C151" s="866"/>
      <c r="D151" s="117" t="s">
        <v>130</v>
      </c>
      <c r="E151" s="95">
        <f>'5'!F151</f>
        <v>168204</v>
      </c>
      <c r="F151" s="233">
        <v>168512</v>
      </c>
      <c r="G151" s="112">
        <f t="shared" si="11"/>
        <v>308</v>
      </c>
      <c r="H151" s="99">
        <f>G151+'5'!H151</f>
        <v>1782</v>
      </c>
      <c r="I151" s="119"/>
      <c r="J151" s="328">
        <f>H151/DAY(B2)</f>
        <v>297</v>
      </c>
    </row>
    <row r="152" spans="1:10" ht="25.5">
      <c r="A152" s="864" t="s">
        <v>339</v>
      </c>
      <c r="B152" s="865"/>
      <c r="C152" s="866"/>
      <c r="D152" s="117" t="s">
        <v>130</v>
      </c>
      <c r="E152" s="95">
        <f>'5'!F152</f>
        <v>43163</v>
      </c>
      <c r="F152" s="233">
        <v>43295</v>
      </c>
      <c r="G152" s="112">
        <f t="shared" si="11"/>
        <v>132</v>
      </c>
      <c r="H152" s="99">
        <f>G152+'5'!H152</f>
        <v>784</v>
      </c>
      <c r="I152" s="119"/>
      <c r="J152" s="328">
        <f>H152/DAY(B2)</f>
        <v>130.66666666666666</v>
      </c>
    </row>
    <row r="153" spans="1:10" ht="25.5">
      <c r="A153" s="787" t="s">
        <v>196</v>
      </c>
      <c r="B153" s="788"/>
      <c r="C153" s="365"/>
      <c r="D153" s="358"/>
      <c r="E153" s="360"/>
      <c r="F153" s="361"/>
      <c r="G153" s="362">
        <f>SUM(G138:G152)</f>
        <v>2903</v>
      </c>
      <c r="H153" s="363"/>
      <c r="I153" s="119">
        <f>G153-(G38+G52)</f>
        <v>398</v>
      </c>
      <c r="J153" s="366"/>
    </row>
    <row r="154" spans="1:10" ht="27.75">
      <c r="A154" s="869" t="s">
        <v>344</v>
      </c>
      <c r="B154" s="869"/>
      <c r="C154" s="869"/>
      <c r="D154" s="869"/>
      <c r="E154" s="869"/>
      <c r="F154" s="869"/>
      <c r="G154" s="869"/>
      <c r="H154" s="869"/>
      <c r="I154" s="869"/>
      <c r="J154" s="869"/>
    </row>
    <row r="155" spans="1:10" ht="27.75">
      <c r="A155" s="863" t="s">
        <v>345</v>
      </c>
      <c r="B155" s="863"/>
      <c r="C155" s="863"/>
      <c r="D155" s="117" t="s">
        <v>130</v>
      </c>
      <c r="E155" s="95">
        <f>'5'!F155</f>
        <v>241888</v>
      </c>
      <c r="F155" s="421">
        <v>242480</v>
      </c>
      <c r="G155" s="112">
        <f t="shared" ref="G155:G158" si="12">F155-E155</f>
        <v>592</v>
      </c>
      <c r="H155" s="99">
        <f>G155+'5'!H155</f>
        <v>3446</v>
      </c>
      <c r="I155" s="364"/>
      <c r="J155" s="328">
        <f>H155/DAY(B2)</f>
        <v>574.33333333333337</v>
      </c>
    </row>
    <row r="156" spans="1:10" ht="25.5">
      <c r="A156" s="863" t="s">
        <v>346</v>
      </c>
      <c r="B156" s="863"/>
      <c r="C156" s="863"/>
      <c r="D156" s="117" t="s">
        <v>130</v>
      </c>
      <c r="E156" s="95">
        <f>'5'!F156</f>
        <v>30067</v>
      </c>
      <c r="F156" s="749">
        <v>30165</v>
      </c>
      <c r="G156" s="112">
        <f t="shared" si="12"/>
        <v>98</v>
      </c>
      <c r="H156" s="99">
        <f>G156+'5'!H156</f>
        <v>485.5</v>
      </c>
      <c r="I156" s="165"/>
      <c r="J156" s="328">
        <f>H156/DAY(B2)</f>
        <v>80.916666666666671</v>
      </c>
    </row>
    <row r="157" spans="1:10" ht="25.5">
      <c r="A157" s="864" t="s">
        <v>360</v>
      </c>
      <c r="B157" s="865"/>
      <c r="C157" s="866"/>
      <c r="D157" s="117" t="s">
        <v>130</v>
      </c>
      <c r="E157" s="95">
        <f>'5'!F157</f>
        <v>37559</v>
      </c>
      <c r="F157" s="155">
        <v>37559</v>
      </c>
      <c r="G157" s="112">
        <f t="shared" si="12"/>
        <v>0</v>
      </c>
      <c r="H157" s="99">
        <f>G157+'5'!H157</f>
        <v>0</v>
      </c>
      <c r="I157" s="165"/>
      <c r="J157" s="328">
        <f>H157/DAY(B2)</f>
        <v>0</v>
      </c>
    </row>
    <row r="158" spans="1:10" ht="25.5">
      <c r="A158" s="864" t="s">
        <v>361</v>
      </c>
      <c r="B158" s="865"/>
      <c r="C158" s="866"/>
      <c r="D158" s="117" t="s">
        <v>130</v>
      </c>
      <c r="E158" s="95">
        <f>'5'!F158</f>
        <v>1766</v>
      </c>
      <c r="F158" s="155">
        <v>1766</v>
      </c>
      <c r="G158" s="112">
        <f t="shared" si="12"/>
        <v>0</v>
      </c>
      <c r="H158" s="99">
        <f>G158+'5'!H158</f>
        <v>8</v>
      </c>
      <c r="I158" s="165"/>
      <c r="J158" s="328">
        <f>H158/DAY(B2)</f>
        <v>1.3333333333333333</v>
      </c>
    </row>
    <row r="159" spans="1:10" ht="25.5">
      <c r="A159" s="944"/>
      <c r="B159" s="945"/>
      <c r="C159" s="946"/>
      <c r="D159" s="117"/>
      <c r="E159" s="95"/>
      <c r="F159" s="155"/>
      <c r="G159" s="112"/>
      <c r="H159" s="99"/>
      <c r="I159" s="165"/>
      <c r="J159" s="328"/>
    </row>
    <row r="160" spans="1:10" ht="27.75">
      <c r="A160" s="869" t="s">
        <v>326</v>
      </c>
      <c r="B160" s="869"/>
      <c r="C160" s="869"/>
      <c r="D160" s="869"/>
      <c r="E160" s="869"/>
      <c r="F160" s="869"/>
      <c r="G160" s="869"/>
      <c r="H160" s="869"/>
      <c r="I160" s="869"/>
      <c r="J160" s="869"/>
    </row>
    <row r="161" spans="1:10" ht="26.25">
      <c r="A161" s="242" t="s">
        <v>92</v>
      </c>
      <c r="B161" s="243"/>
      <c r="C161" s="243"/>
      <c r="D161" s="244" t="s">
        <v>180</v>
      </c>
      <c r="E161" s="95">
        <f>'5'!F161</f>
        <v>509148</v>
      </c>
      <c r="F161" s="235">
        <v>509401</v>
      </c>
      <c r="G161" s="238">
        <f t="shared" ref="G161:G165" si="13">F161-E161</f>
        <v>253</v>
      </c>
      <c r="H161" s="99">
        <f>G161+'5'!H161</f>
        <v>1017.679999999993</v>
      </c>
      <c r="I161" s="236"/>
      <c r="J161" s="239">
        <f>H161/DAY(B2)</f>
        <v>169.61333333333218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'5'!F162</f>
        <v>937</v>
      </c>
      <c r="F162" s="235">
        <v>975</v>
      </c>
      <c r="G162" s="238">
        <f t="shared" si="13"/>
        <v>38</v>
      </c>
      <c r="H162" s="99">
        <f>G162+'5'!H162</f>
        <v>203.39999999999998</v>
      </c>
      <c r="I162" s="236"/>
      <c r="J162" s="239">
        <f>H162/DAY(B2)</f>
        <v>33.9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'5'!F163</f>
        <v>0</v>
      </c>
      <c r="F163" s="235">
        <v>0</v>
      </c>
      <c r="G163" s="238">
        <f t="shared" si="13"/>
        <v>0</v>
      </c>
      <c r="H163" s="99">
        <f>G163+'5'!H163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'5'!F164</f>
        <v>7220</v>
      </c>
      <c r="F164" s="235">
        <v>7225</v>
      </c>
      <c r="G164" s="238">
        <f t="shared" si="13"/>
        <v>5</v>
      </c>
      <c r="H164" s="99">
        <f>G164+'5'!H164</f>
        <v>26</v>
      </c>
      <c r="I164" s="236"/>
      <c r="J164" s="239">
        <f>H164/DAY(B2)</f>
        <v>4.333333333333333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'5'!F165</f>
        <v>32809</v>
      </c>
      <c r="F165" s="235">
        <v>32816</v>
      </c>
      <c r="G165" s="238">
        <f t="shared" si="13"/>
        <v>7</v>
      </c>
      <c r="H165" s="99">
        <f>G165+'5'!H165</f>
        <v>35.911999999996624</v>
      </c>
      <c r="I165" s="236"/>
      <c r="J165" s="239">
        <f>H165/DAY(B2)</f>
        <v>5.985333333332771</v>
      </c>
    </row>
    <row r="166" spans="1:10" ht="26.25">
      <c r="A166" s="870"/>
      <c r="B166" s="870"/>
      <c r="C166" s="246"/>
      <c r="D166" s="244" t="s">
        <v>180</v>
      </c>
      <c r="E166" s="95">
        <f>'5'!F166</f>
        <v>0</v>
      </c>
      <c r="F166" s="165"/>
      <c r="G166" s="165"/>
      <c r="H166" s="99">
        <f>G166+'5'!H166</f>
        <v>0</v>
      </c>
      <c r="I166" s="165"/>
      <c r="J166" s="239">
        <f>H166/DAY(B2)</f>
        <v>0</v>
      </c>
    </row>
    <row r="167" spans="1:10" ht="26.25">
      <c r="A167" s="870"/>
      <c r="B167" s="870"/>
      <c r="C167" s="246"/>
      <c r="D167" s="244" t="s">
        <v>180</v>
      </c>
      <c r="E167" s="95">
        <f>'5'!F167</f>
        <v>0</v>
      </c>
      <c r="F167" s="165"/>
      <c r="G167" s="165"/>
      <c r="H167" s="99">
        <f>G167+'5'!H167</f>
        <v>0</v>
      </c>
      <c r="I167" s="165"/>
      <c r="J167" s="239">
        <f>H167/DAY(B2)</f>
        <v>0</v>
      </c>
    </row>
    <row r="168" spans="1:10" ht="26.25">
      <c r="A168" s="870"/>
      <c r="B168" s="870"/>
      <c r="C168" s="246"/>
      <c r="D168" s="244" t="s">
        <v>180</v>
      </c>
      <c r="E168" s="95">
        <f>'5'!F168</f>
        <v>0</v>
      </c>
      <c r="F168" s="165"/>
      <c r="G168" s="165"/>
      <c r="H168" s="99">
        <f>G168+'5'!H168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71" t="s">
        <v>330</v>
      </c>
      <c r="B171" s="872"/>
      <c r="C171" s="872"/>
      <c r="D171" s="872"/>
      <c r="E171" s="872"/>
      <c r="F171" s="872"/>
      <c r="G171" s="872"/>
      <c r="H171" s="872"/>
      <c r="I171" s="872"/>
      <c r="J171" s="873"/>
    </row>
    <row r="172" spans="1:10" ht="25.5">
      <c r="A172" s="878"/>
      <c r="B172" s="879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789" t="s">
        <v>209</v>
      </c>
      <c r="B173" s="790"/>
      <c r="C173" s="333"/>
      <c r="D173" s="228" t="s">
        <v>142</v>
      </c>
      <c r="E173" s="95">
        <f>'5'!F173</f>
        <v>8618</v>
      </c>
      <c r="F173" s="155">
        <v>8619</v>
      </c>
      <c r="G173" s="155">
        <f>F173-E173</f>
        <v>1</v>
      </c>
      <c r="H173" s="99">
        <f>G173+'5'!H173</f>
        <v>7</v>
      </c>
      <c r="I173" s="155"/>
      <c r="J173" s="178">
        <f>H173/DAY(B2)</f>
        <v>1.1666666666666667</v>
      </c>
    </row>
    <row r="174" spans="1:10" ht="25.5">
      <c r="A174" s="789" t="s">
        <v>75</v>
      </c>
      <c r="B174" s="790"/>
      <c r="C174" s="333"/>
      <c r="D174" s="228" t="s">
        <v>142</v>
      </c>
      <c r="E174" s="95">
        <f>'5'!F174</f>
        <v>43107</v>
      </c>
      <c r="F174" s="157">
        <v>43119</v>
      </c>
      <c r="G174" s="155">
        <f t="shared" ref="G174:G175" si="14">F174-E174</f>
        <v>12</v>
      </c>
      <c r="H174" s="99">
        <f>G174+'5'!H174</f>
        <v>69</v>
      </c>
      <c r="I174" s="155"/>
      <c r="J174" s="178">
        <f>H174/DAY(B2)</f>
        <v>11.5</v>
      </c>
    </row>
    <row r="175" spans="1:10" ht="25.5">
      <c r="A175" s="789" t="s">
        <v>76</v>
      </c>
      <c r="B175" s="802"/>
      <c r="C175" s="790"/>
      <c r="D175" s="228" t="s">
        <v>142</v>
      </c>
      <c r="E175" s="95">
        <f>'5'!F175</f>
        <v>25897</v>
      </c>
      <c r="F175" s="155">
        <v>25910</v>
      </c>
      <c r="G175" s="155">
        <f t="shared" si="14"/>
        <v>13</v>
      </c>
      <c r="H175" s="99">
        <f>G175+'5'!H175</f>
        <v>89</v>
      </c>
      <c r="I175" s="155"/>
      <c r="J175" s="178">
        <f>H175/DAY(B2)</f>
        <v>14.833333333333334</v>
      </c>
    </row>
    <row r="176" spans="1:10" ht="25.5">
      <c r="A176" s="462" t="s">
        <v>196</v>
      </c>
      <c r="B176" s="463"/>
      <c r="C176" s="333"/>
      <c r="D176" s="228"/>
      <c r="E176" s="95">
        <f>'5'!F176</f>
        <v>0</v>
      </c>
      <c r="F176" s="155"/>
      <c r="G176" s="155">
        <f>SUM(G173:G175)</f>
        <v>26</v>
      </c>
      <c r="H176" s="99">
        <f>G176+'5'!H176</f>
        <v>165</v>
      </c>
      <c r="I176" s="155"/>
      <c r="J176" s="178">
        <f>H176/DAY(B2)</f>
        <v>27.5</v>
      </c>
    </row>
    <row r="177" spans="1:10" ht="25.5">
      <c r="A177" s="789" t="s">
        <v>77</v>
      </c>
      <c r="B177" s="790"/>
      <c r="C177" s="333"/>
      <c r="D177" s="228" t="s">
        <v>142</v>
      </c>
      <c r="E177" s="95">
        <f>'5'!F177</f>
        <v>0</v>
      </c>
      <c r="F177" s="155"/>
      <c r="G177" s="155"/>
      <c r="H177" s="99">
        <f>G177+'5'!H177</f>
        <v>0</v>
      </c>
      <c r="I177" s="155"/>
      <c r="J177" s="178">
        <f>H177/DAY(B2)</f>
        <v>0</v>
      </c>
    </row>
    <row r="178" spans="1:10" ht="25.5">
      <c r="A178" s="789" t="s">
        <v>210</v>
      </c>
      <c r="B178" s="790"/>
      <c r="C178" s="333"/>
      <c r="D178" s="228" t="s">
        <v>142</v>
      </c>
      <c r="E178" s="95">
        <f>'5'!F178</f>
        <v>107575</v>
      </c>
      <c r="F178" s="155">
        <v>107732</v>
      </c>
      <c r="G178" s="155">
        <f>F178-E178</f>
        <v>157</v>
      </c>
      <c r="H178" s="99">
        <f>G178+'5'!H178</f>
        <v>733</v>
      </c>
      <c r="I178" s="155"/>
      <c r="J178" s="178">
        <f>H178/DAY(B2)</f>
        <v>122.16666666666667</v>
      </c>
    </row>
    <row r="179" spans="1:10" ht="25.5">
      <c r="A179" s="789" t="s">
        <v>211</v>
      </c>
      <c r="B179" s="790"/>
      <c r="C179" s="333"/>
      <c r="D179" s="228" t="s">
        <v>142</v>
      </c>
      <c r="E179" s="95">
        <f>'5'!F179</f>
        <v>37501</v>
      </c>
      <c r="F179" s="155">
        <v>37501</v>
      </c>
      <c r="G179" s="155">
        <f t="shared" ref="G179:G180" si="15">F179-E179</f>
        <v>0</v>
      </c>
      <c r="H179" s="99">
        <f>G179+'5'!H179</f>
        <v>0</v>
      </c>
      <c r="I179" s="155"/>
      <c r="J179" s="178">
        <f>H179/DAY(B2)</f>
        <v>0</v>
      </c>
    </row>
    <row r="180" spans="1:10" ht="25.5">
      <c r="A180" s="789" t="s">
        <v>212</v>
      </c>
      <c r="B180" s="790"/>
      <c r="C180" s="333"/>
      <c r="D180" s="228" t="s">
        <v>142</v>
      </c>
      <c r="E180" s="95">
        <f>'5'!F180</f>
        <v>7584</v>
      </c>
      <c r="F180" s="155">
        <v>7591</v>
      </c>
      <c r="G180" s="155">
        <f t="shared" si="15"/>
        <v>7</v>
      </c>
      <c r="H180" s="99">
        <f>G180+'5'!H180</f>
        <v>28</v>
      </c>
      <c r="I180" s="155"/>
      <c r="J180" s="178">
        <f>H180/DAY(B2)</f>
        <v>4.666666666666667</v>
      </c>
    </row>
    <row r="181" spans="1:10" ht="25.5">
      <c r="A181" s="876" t="s">
        <v>108</v>
      </c>
      <c r="B181" s="877"/>
      <c r="C181" s="333"/>
      <c r="D181" s="228"/>
      <c r="E181" s="95">
        <f>'5'!F181</f>
        <v>0</v>
      </c>
      <c r="F181" s="155"/>
      <c r="G181" s="155">
        <f>SUM(G178:G180)</f>
        <v>164</v>
      </c>
      <c r="H181" s="99">
        <f>G181+'5'!H181</f>
        <v>761</v>
      </c>
      <c r="I181" s="155"/>
      <c r="J181" s="178">
        <f>H181/DAY(B2)</f>
        <v>126.83333333333333</v>
      </c>
    </row>
    <row r="182" spans="1:10" ht="25.5">
      <c r="A182" s="789" t="s">
        <v>213</v>
      </c>
      <c r="B182" s="790"/>
      <c r="C182" s="333"/>
      <c r="D182" s="228"/>
      <c r="E182" s="95">
        <f>'5'!F182</f>
        <v>0</v>
      </c>
      <c r="F182" s="155"/>
      <c r="G182" s="155"/>
      <c r="H182" s="99">
        <f>G182+'5'!H182</f>
        <v>0</v>
      </c>
      <c r="I182" s="155"/>
      <c r="J182" s="178">
        <f>H182/DAY(B2)</f>
        <v>0</v>
      </c>
    </row>
    <row r="183" spans="1:10" ht="25.5">
      <c r="A183" s="789" t="s">
        <v>214</v>
      </c>
      <c r="B183" s="790"/>
      <c r="C183" s="334"/>
      <c r="D183" s="228" t="s">
        <v>142</v>
      </c>
      <c r="E183" s="95">
        <f>'5'!F183</f>
        <v>18417</v>
      </c>
      <c r="F183" s="157">
        <v>18423</v>
      </c>
      <c r="G183" s="157">
        <f>F183-E183</f>
        <v>6</v>
      </c>
      <c r="H183" s="99">
        <f>G183+'5'!H183</f>
        <v>45</v>
      </c>
      <c r="I183" s="155"/>
      <c r="J183" s="178">
        <f>H183/DAY(B2)</f>
        <v>7.5</v>
      </c>
    </row>
    <row r="184" spans="1:10" ht="25.5">
      <c r="A184" s="789" t="s">
        <v>215</v>
      </c>
      <c r="B184" s="790"/>
      <c r="C184" s="334"/>
      <c r="D184" s="228" t="s">
        <v>142</v>
      </c>
      <c r="E184" s="95">
        <f>'5'!F184</f>
        <v>13040</v>
      </c>
      <c r="F184" s="157">
        <v>13049</v>
      </c>
      <c r="G184" s="157">
        <f t="shared" ref="G184:G185" si="16">F184-E184</f>
        <v>9</v>
      </c>
      <c r="H184" s="99">
        <f>G184+'5'!H184</f>
        <v>69</v>
      </c>
      <c r="I184" s="155"/>
      <c r="J184" s="178">
        <f>H184/DAY(B2)</f>
        <v>11.5</v>
      </c>
    </row>
    <row r="185" spans="1:10" ht="25.5">
      <c r="A185" s="789" t="s">
        <v>216</v>
      </c>
      <c r="B185" s="790"/>
      <c r="C185" s="334"/>
      <c r="D185" s="228" t="s">
        <v>142</v>
      </c>
      <c r="E185" s="95">
        <f>'5'!F185</f>
        <v>0</v>
      </c>
      <c r="F185" s="157">
        <v>0</v>
      </c>
      <c r="G185" s="157">
        <f t="shared" si="16"/>
        <v>0</v>
      </c>
      <c r="H185" s="99">
        <f>G185+'5'!H185</f>
        <v>0</v>
      </c>
      <c r="I185" s="155"/>
      <c r="J185" s="178">
        <f>H185/DAY(B2)</f>
        <v>0</v>
      </c>
    </row>
    <row r="186" spans="1:10" ht="25.5">
      <c r="A186" s="787" t="s">
        <v>196</v>
      </c>
      <c r="B186" s="788"/>
      <c r="C186" s="334"/>
      <c r="D186" s="229"/>
      <c r="E186" s="95"/>
      <c r="F186" s="157"/>
      <c r="G186" s="157">
        <f>SUM(G183:G185)</f>
        <v>15</v>
      </c>
      <c r="H186" s="99">
        <f>G186+'5'!H186</f>
        <v>114</v>
      </c>
      <c r="I186" s="157"/>
      <c r="J186" s="178">
        <f>H186/DAY(B2)</f>
        <v>19</v>
      </c>
    </row>
    <row r="187" spans="1:10" ht="25.5">
      <c r="A187" s="867" t="s">
        <v>217</v>
      </c>
      <c r="B187" s="868"/>
      <c r="C187" s="333"/>
      <c r="D187" s="230" t="s">
        <v>142</v>
      </c>
      <c r="E187" s="95"/>
      <c r="F187" s="159"/>
      <c r="G187" s="377">
        <f>G62+G19</f>
        <v>160</v>
      </c>
      <c r="H187" s="99">
        <f>G187+'5'!H187</f>
        <v>1019</v>
      </c>
      <c r="I187" s="158"/>
      <c r="J187" s="179">
        <f>H187/DAY(B2)</f>
        <v>169.83333333333334</v>
      </c>
    </row>
    <row r="188" spans="1:10" ht="25.5">
      <c r="A188" s="867" t="s">
        <v>218</v>
      </c>
      <c r="B188" s="868"/>
      <c r="C188" s="333"/>
      <c r="D188" s="230" t="s">
        <v>142</v>
      </c>
      <c r="E188" s="95"/>
      <c r="F188" s="159"/>
      <c r="G188" s="377">
        <f>G65+G66+G67+G69+G70</f>
        <v>207</v>
      </c>
      <c r="H188" s="99">
        <f>G188+'5'!H188</f>
        <v>1063</v>
      </c>
      <c r="I188" s="158"/>
      <c r="J188" s="179">
        <f>H188/DAY(B2)</f>
        <v>177.16666666666666</v>
      </c>
    </row>
    <row r="189" spans="1:10" ht="25.5">
      <c r="A189" s="867" t="s">
        <v>219</v>
      </c>
      <c r="B189" s="868"/>
      <c r="C189" s="333"/>
      <c r="D189" s="230" t="s">
        <v>142</v>
      </c>
      <c r="E189" s="95"/>
      <c r="F189" s="157"/>
      <c r="G189" s="376">
        <f>G181</f>
        <v>164</v>
      </c>
      <c r="H189" s="99">
        <f>G189+'5'!H189</f>
        <v>761</v>
      </c>
      <c r="I189" s="158"/>
      <c r="J189" s="179">
        <f>H189/DAY(B2)</f>
        <v>126.83333333333333</v>
      </c>
    </row>
    <row r="190" spans="1:10" ht="25.5">
      <c r="A190" s="874"/>
      <c r="B190" s="875"/>
      <c r="C190" s="390"/>
      <c r="D190" s="395"/>
      <c r="E190" s="395" t="s">
        <v>207</v>
      </c>
      <c r="F190" s="395"/>
      <c r="G190" s="395"/>
      <c r="H190" s="396"/>
      <c r="I190" s="395"/>
      <c r="J190" s="397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4">
    <mergeCell ref="A135:B135"/>
    <mergeCell ref="A175:C175"/>
    <mergeCell ref="A181:B181"/>
    <mergeCell ref="A168:B168"/>
    <mergeCell ref="A171:J171"/>
    <mergeCell ref="A172:B172"/>
    <mergeCell ref="A173:B173"/>
    <mergeCell ref="A174:B174"/>
    <mergeCell ref="A177:B177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5:C145"/>
    <mergeCell ref="A146:C146"/>
    <mergeCell ref="A147:C147"/>
    <mergeCell ref="A148:C148"/>
    <mergeCell ref="A149:C149"/>
    <mergeCell ref="A143:C143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09:B109"/>
    <mergeCell ref="A110:J110"/>
    <mergeCell ref="A111:C111"/>
    <mergeCell ref="A112:C112"/>
    <mergeCell ref="A113:C113"/>
    <mergeCell ref="A73:C73"/>
    <mergeCell ref="A74:C74"/>
    <mergeCell ref="A75:C75"/>
    <mergeCell ref="A102:C102"/>
    <mergeCell ref="A78:C78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81:C81"/>
    <mergeCell ref="A93:C93"/>
    <mergeCell ref="A94:C94"/>
    <mergeCell ref="A95:C95"/>
    <mergeCell ref="A96:C96"/>
    <mergeCell ref="A61:C61"/>
    <mergeCell ref="A62:C62"/>
    <mergeCell ref="A63:C63"/>
    <mergeCell ref="A71:C71"/>
    <mergeCell ref="A72:B72"/>
    <mergeCell ref="A76:C76"/>
    <mergeCell ref="A77:C77"/>
    <mergeCell ref="A79:C79"/>
    <mergeCell ref="A80:C80"/>
    <mergeCell ref="A64:C64"/>
    <mergeCell ref="A65:C65"/>
    <mergeCell ref="A118:C118"/>
    <mergeCell ref="Q118:R118"/>
    <mergeCell ref="A119:C119"/>
    <mergeCell ref="A120:C120"/>
    <mergeCell ref="A121:C121"/>
    <mergeCell ref="A114:C114"/>
    <mergeCell ref="A115:C115"/>
    <mergeCell ref="A116:C116"/>
    <mergeCell ref="Q116:R116"/>
    <mergeCell ref="A117:C117"/>
    <mergeCell ref="Q117:R117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123:C12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86:B186"/>
    <mergeCell ref="A157:C157"/>
    <mergeCell ref="A158:C158"/>
    <mergeCell ref="A159:C159"/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3:B183"/>
    <mergeCell ref="A182:B182"/>
  </mergeCells>
  <pageMargins left="0.22" right="0.17" top="0.14000000000000001" bottom="0.2" header="0.2" footer="0.2"/>
  <pageSetup paperSize="5" scale="2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0000"/>
  </sheetPr>
  <dimension ref="A1:R270"/>
  <sheetViews>
    <sheetView view="pageBreakPreview" zoomScale="60" zoomScaleNormal="77" workbookViewId="0">
      <selection activeCell="F39" sqref="F39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19" t="s">
        <v>115</v>
      </c>
      <c r="B1" s="920"/>
      <c r="C1" s="920"/>
      <c r="D1" s="920"/>
      <c r="E1" s="920"/>
      <c r="F1" s="920"/>
      <c r="G1" s="920"/>
      <c r="H1" s="920"/>
      <c r="I1" s="920"/>
      <c r="J1" s="921"/>
    </row>
    <row r="2" spans="1:15" s="57" customFormat="1" ht="23.25">
      <c r="A2" s="191" t="s">
        <v>355</v>
      </c>
      <c r="B2" s="262">
        <v>44933</v>
      </c>
      <c r="C2" s="348" t="s">
        <v>67</v>
      </c>
      <c r="D2" s="218">
        <v>0.84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28</v>
      </c>
      <c r="E3" s="928" t="s">
        <v>119</v>
      </c>
      <c r="F3" s="929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22" t="s">
        <v>128</v>
      </c>
      <c r="B6" s="923"/>
      <c r="C6" s="924"/>
      <c r="D6" s="110"/>
      <c r="E6" s="110">
        <v>0</v>
      </c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'6'!F7</f>
        <v>101976</v>
      </c>
      <c r="F7" s="95">
        <v>123387</v>
      </c>
      <c r="G7" s="112">
        <f>F7-E7</f>
        <v>21411</v>
      </c>
      <c r="H7" s="99">
        <f>G7+'6'!H7</f>
        <v>145768</v>
      </c>
      <c r="I7" s="113">
        <f>'1'!I7</f>
        <v>12000</v>
      </c>
      <c r="J7" s="175">
        <f>H7/DAY(B2)</f>
        <v>20824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'6'!F8</f>
        <v>284791</v>
      </c>
      <c r="F8" s="114">
        <v>306372</v>
      </c>
      <c r="G8" s="115">
        <f>F8-E8</f>
        <v>21581</v>
      </c>
      <c r="H8" s="99">
        <f>G8+'6'!H8</f>
        <v>148515</v>
      </c>
      <c r="I8" s="116"/>
      <c r="J8" s="175">
        <f>H8/DAY(B2)</f>
        <v>21216.428571428572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'6'!F9</f>
        <v>4512113</v>
      </c>
      <c r="F9" s="117">
        <v>4528641</v>
      </c>
      <c r="G9" s="112">
        <f>F9-E9</f>
        <v>16528</v>
      </c>
      <c r="H9" s="99">
        <f>G9+'6'!H9</f>
        <v>112035.09999999963</v>
      </c>
      <c r="I9" s="124">
        <f>I7-J7</f>
        <v>-8824</v>
      </c>
      <c r="J9" s="175">
        <f>H9/DAY(B2)</f>
        <v>16005.014285714233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'6'!F10</f>
        <v>4097173</v>
      </c>
      <c r="F10" s="117">
        <v>4101449</v>
      </c>
      <c r="G10" s="112">
        <f t="shared" ref="G10:G12" si="0">F10-E10</f>
        <v>4276</v>
      </c>
      <c r="H10" s="99">
        <f>G10+'6'!H10</f>
        <v>31412.700000000186</v>
      </c>
      <c r="I10" s="282"/>
      <c r="J10" s="175">
        <f>H10/DAY(B2)</f>
        <v>4487.5285714285983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'6'!F11</f>
        <v>38700</v>
      </c>
      <c r="F11" s="95">
        <v>38700</v>
      </c>
      <c r="G11" s="112">
        <f t="shared" si="0"/>
        <v>0</v>
      </c>
      <c r="H11" s="99">
        <f>G11+'6'!H11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'6'!F12</f>
        <v>40550</v>
      </c>
      <c r="F12" s="117">
        <v>40550</v>
      </c>
      <c r="G12" s="112">
        <f t="shared" si="0"/>
        <v>0</v>
      </c>
      <c r="H12" s="99">
        <f>G12+'6'!H12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20804</v>
      </c>
      <c r="H13" s="99">
        <f>G13+'6'!H13</f>
        <v>143447.79999999981</v>
      </c>
      <c r="I13" s="120">
        <f>G7-G13</f>
        <v>607</v>
      </c>
      <c r="J13" s="175">
        <f>H13/DAY(B2)</f>
        <v>20492.542857142831</v>
      </c>
      <c r="K13" s="79"/>
      <c r="L13" s="66"/>
      <c r="N13" s="87"/>
      <c r="O13" s="71"/>
    </row>
    <row r="14" spans="1:15" ht="26.25">
      <c r="A14" s="925" t="s">
        <v>137</v>
      </c>
      <c r="B14" s="926"/>
      <c r="C14" s="92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'6'!F15</f>
        <v>2260044</v>
      </c>
      <c r="F15" s="468">
        <v>2261185</v>
      </c>
      <c r="G15" s="112">
        <f>(F15-E15)</f>
        <v>1141</v>
      </c>
      <c r="H15" s="99">
        <f>G15+'6'!H15</f>
        <v>7883.6419999999925</v>
      </c>
      <c r="I15" s="113">
        <f>'1'!I15</f>
        <v>800</v>
      </c>
      <c r="J15" s="175">
        <f>H15/DAY(B2)</f>
        <v>1126.2345714285705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-326.23457142857046</v>
      </c>
      <c r="J16" s="176"/>
      <c r="K16" s="79"/>
      <c r="L16" s="66"/>
      <c r="N16" s="87"/>
      <c r="O16" s="71"/>
    </row>
    <row r="17" spans="1:15" ht="26.25">
      <c r="A17" s="925" t="s">
        <v>140</v>
      </c>
      <c r="B17" s="926"/>
      <c r="C17" s="92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02" t="s">
        <v>141</v>
      </c>
      <c r="B18" s="903"/>
      <c r="C18" s="904"/>
      <c r="D18" s="151" t="s">
        <v>142</v>
      </c>
      <c r="E18" s="95">
        <f>'6'!F18</f>
        <v>26</v>
      </c>
      <c r="F18" s="122">
        <v>17</v>
      </c>
      <c r="G18" s="119">
        <f>F18*10</f>
        <v>170</v>
      </c>
      <c r="H18" s="99">
        <f>G18+'6'!H18</f>
        <v>1450</v>
      </c>
      <c r="I18" s="113">
        <f>'1'!I18</f>
        <v>65</v>
      </c>
      <c r="J18" s="175">
        <f>H18/DAY(B2)</f>
        <v>207.14285714285714</v>
      </c>
      <c r="K18" s="79"/>
      <c r="L18" s="66"/>
      <c r="N18" s="87"/>
      <c r="O18" s="71"/>
    </row>
    <row r="19" spans="1:15" ht="25.5">
      <c r="A19" s="902" t="s">
        <v>69</v>
      </c>
      <c r="B19" s="903"/>
      <c r="C19" s="904"/>
      <c r="D19" s="151" t="s">
        <v>142</v>
      </c>
      <c r="E19" s="95">
        <f>'6'!F19</f>
        <v>169914</v>
      </c>
      <c r="F19" s="122">
        <v>169968</v>
      </c>
      <c r="G19" s="112">
        <f t="shared" ref="G19" si="1">F19-E19</f>
        <v>54</v>
      </c>
      <c r="H19" s="99">
        <f>G19+'6'!H19</f>
        <v>408</v>
      </c>
      <c r="I19" s="335"/>
      <c r="J19" s="175">
        <f>H19/DAY(B2)</f>
        <v>58.285714285714285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224</v>
      </c>
      <c r="H20" s="99">
        <f>G20+'6'!H20</f>
        <v>1858</v>
      </c>
      <c r="I20" s="336">
        <f>I18-J20</f>
        <v>-200.42857142857144</v>
      </c>
      <c r="J20" s="175">
        <f>H20/DAY(B2)</f>
        <v>265.42857142857144</v>
      </c>
      <c r="K20" s="79"/>
      <c r="L20" s="66"/>
      <c r="N20" s="87"/>
      <c r="O20" s="71"/>
    </row>
    <row r="21" spans="1:15" ht="26.25">
      <c r="A21" s="925" t="s">
        <v>144</v>
      </c>
      <c r="B21" s="926"/>
      <c r="C21" s="92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'6'!F22</f>
        <v>2970</v>
      </c>
      <c r="F22" s="122">
        <v>2970</v>
      </c>
      <c r="G22" s="119">
        <f t="shared" ref="G22" si="2">(F22-E22)</f>
        <v>0</v>
      </c>
      <c r="H22" s="99">
        <f>G22+'6'!H22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'6'!F23</f>
        <v>2000</v>
      </c>
      <c r="F23" s="122">
        <v>2000</v>
      </c>
      <c r="G23" s="119">
        <v>0</v>
      </c>
      <c r="H23" s="99">
        <f>G23+'6'!H23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'6'!F24</f>
        <v>4970</v>
      </c>
      <c r="F24" s="128">
        <v>4970</v>
      </c>
      <c r="G24" s="119">
        <v>0</v>
      </c>
      <c r="H24" s="99">
        <f>G24+'6'!H24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30" t="s">
        <v>149</v>
      </c>
      <c r="B25" s="931"/>
      <c r="C25" s="93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21581</v>
      </c>
      <c r="F27" s="136">
        <v>10</v>
      </c>
      <c r="G27" s="137">
        <f>E27*F27</f>
        <v>215810</v>
      </c>
      <c r="H27" s="99">
        <f>G27+'6'!H27</f>
        <v>1421244</v>
      </c>
      <c r="I27" s="138"/>
      <c r="J27" s="175">
        <f>H27/DAY(B2)</f>
        <v>203034.85714285713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1141</v>
      </c>
      <c r="F28" s="136">
        <v>65</v>
      </c>
      <c r="G28" s="137">
        <f>E28*F28</f>
        <v>74165</v>
      </c>
      <c r="H28" s="99">
        <f>G28+'6'!H28</f>
        <v>552728.14999999944</v>
      </c>
      <c r="I28" s="140"/>
      <c r="J28" s="175">
        <f>H28/DAY(B2)</f>
        <v>78961.1642857142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151</v>
      </c>
      <c r="G30" s="137">
        <f>E30*F30</f>
        <v>8154</v>
      </c>
      <c r="H30" s="99">
        <f>G30+'6'!H30</f>
        <v>61608</v>
      </c>
      <c r="I30" s="140"/>
      <c r="J30" s="175">
        <f>H30/DAY(B2)</f>
        <v>8801.1428571428569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170</v>
      </c>
      <c r="F31" s="136">
        <v>85</v>
      </c>
      <c r="G31" s="137">
        <f>E31*F31</f>
        <v>14450</v>
      </c>
      <c r="H31" s="99">
        <f>G31+'6'!H31</f>
        <v>118800</v>
      </c>
      <c r="I31" s="140"/>
      <c r="J31" s="175">
        <f>H31/DAY(B2)</f>
        <v>16971.428571428572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312579</v>
      </c>
      <c r="H32" s="99">
        <f>G32+'6'!H32</f>
        <v>2154380.1499999994</v>
      </c>
      <c r="I32" s="144"/>
      <c r="J32" s="175">
        <f>H32/DAY(B2)</f>
        <v>307768.59285714279</v>
      </c>
      <c r="K32" s="63"/>
      <c r="L32" s="89"/>
      <c r="N32" s="87"/>
      <c r="O32" s="71"/>
    </row>
    <row r="33" spans="1:15" ht="25.5" customHeight="1">
      <c r="A33" s="933" t="s">
        <v>331</v>
      </c>
      <c r="B33" s="934"/>
      <c r="C33" s="93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'6'!F35</f>
        <v>470278</v>
      </c>
      <c r="F35" s="145">
        <v>472739</v>
      </c>
      <c r="G35" s="112">
        <f t="shared" ref="G35:G46" si="3">F35-E35</f>
        <v>2461</v>
      </c>
      <c r="H35" s="99">
        <f>G35+'6'!H35</f>
        <v>18221.010000000009</v>
      </c>
      <c r="I35" s="95"/>
      <c r="J35" s="175">
        <f>H35/DAY(B2)</f>
        <v>2603.0014285714301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'6'!F36</f>
        <v>359385</v>
      </c>
      <c r="F36" s="145">
        <v>360476</v>
      </c>
      <c r="G36" s="112">
        <f t="shared" si="3"/>
        <v>1091</v>
      </c>
      <c r="H36" s="99">
        <f>G36+'6'!H36</f>
        <v>6387.0999999999767</v>
      </c>
      <c r="I36" s="95"/>
      <c r="J36" s="175">
        <f>H36/DAY(B2)</f>
        <v>912.44285714285377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'6'!F37</f>
        <v>346943</v>
      </c>
      <c r="F37" s="145">
        <v>348471</v>
      </c>
      <c r="G37" s="112">
        <f t="shared" si="3"/>
        <v>1528</v>
      </c>
      <c r="H37" s="99">
        <f>G37+'6'!H37</f>
        <v>10201.130000000005</v>
      </c>
      <c r="I37" s="95"/>
      <c r="J37" s="175">
        <f>H37/DAY(B2)</f>
        <v>1457.3042857142864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'6'!F38</f>
        <v>812543</v>
      </c>
      <c r="F38" s="108">
        <v>815028</v>
      </c>
      <c r="G38" s="112">
        <f t="shared" si="3"/>
        <v>2485</v>
      </c>
      <c r="H38" s="99">
        <f>G38+'6'!H38</f>
        <v>15350.650000000023</v>
      </c>
      <c r="I38" s="95"/>
      <c r="J38" s="175">
        <f>H38/DAY(B2)</f>
        <v>2192.9500000000035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'6'!F39</f>
        <v>637287</v>
      </c>
      <c r="F39" s="145">
        <v>640151</v>
      </c>
      <c r="G39" s="112">
        <f t="shared" si="3"/>
        <v>2864</v>
      </c>
      <c r="H39" s="99">
        <f>G39+'6'!H39</f>
        <v>19861</v>
      </c>
      <c r="I39" s="95"/>
      <c r="J39" s="175">
        <f>H39/DAY(B2)</f>
        <v>2837.2857142857142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'6'!F40</f>
        <v>211883</v>
      </c>
      <c r="F40" s="145">
        <v>212114</v>
      </c>
      <c r="G40" s="112">
        <f t="shared" si="3"/>
        <v>231</v>
      </c>
      <c r="H40" s="99">
        <f>G40+'6'!H40</f>
        <v>2427.6499999999942</v>
      </c>
      <c r="I40" s="95"/>
      <c r="J40" s="175">
        <f>H40/DAY(B2)</f>
        <v>346.80714285714203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'6'!F41</f>
        <v>420212</v>
      </c>
      <c r="F41" s="145">
        <v>420212</v>
      </c>
      <c r="G41" s="112">
        <f t="shared" si="3"/>
        <v>0</v>
      </c>
      <c r="H41" s="99">
        <f>G41+'6'!H41</f>
        <v>-0.51000000000931323</v>
      </c>
      <c r="I41" s="95"/>
      <c r="J41" s="175">
        <f>H41/DAY(B2)</f>
        <v>-7.285714285847332E-2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'6'!F42</f>
        <v>947204</v>
      </c>
      <c r="F42" s="145">
        <v>952001</v>
      </c>
      <c r="G42" s="112">
        <f t="shared" si="3"/>
        <v>4797</v>
      </c>
      <c r="H42" s="99">
        <f>G42+'6'!H42</f>
        <v>31046.530000000028</v>
      </c>
      <c r="I42" s="95"/>
      <c r="J42" s="175">
        <f>H42/DAY(B2)</f>
        <v>4435.2185714285752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'6'!F43</f>
        <v>422444</v>
      </c>
      <c r="F43" s="145">
        <v>422444</v>
      </c>
      <c r="G43" s="112">
        <f t="shared" si="3"/>
        <v>0</v>
      </c>
      <c r="H43" s="99">
        <f>G43+'6'!H43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'6'!F44</f>
        <v>0</v>
      </c>
      <c r="F44" s="145">
        <v>0</v>
      </c>
      <c r="G44" s="112">
        <f t="shared" si="3"/>
        <v>0</v>
      </c>
      <c r="H44" s="99">
        <f>G44+'6'!H44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'6'!F45</f>
        <v>0</v>
      </c>
      <c r="F45" s="145">
        <v>0</v>
      </c>
      <c r="G45" s="112">
        <f t="shared" si="3"/>
        <v>0</v>
      </c>
      <c r="H45" s="99">
        <f>G45+'6'!H45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'6'!F46</f>
        <v>0</v>
      </c>
      <c r="F46" s="145">
        <v>0</v>
      </c>
      <c r="G46" s="112">
        <f t="shared" si="3"/>
        <v>0</v>
      </c>
      <c r="H46" s="99">
        <f>G46+'6'!H46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15457</v>
      </c>
      <c r="H47" s="99">
        <f>G47+'6'!H47</f>
        <v>103494.56000000003</v>
      </c>
      <c r="I47" s="95"/>
      <c r="J47" s="175">
        <f>H47/DAY(B2)</f>
        <v>14784.937142857147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'6'!F49</f>
        <v>809567</v>
      </c>
      <c r="F49" s="145">
        <v>810088</v>
      </c>
      <c r="G49" s="112">
        <f t="shared" ref="G49:G58" si="4">F49-E49</f>
        <v>521</v>
      </c>
      <c r="H49" s="99">
        <f>G49+'6'!H49</f>
        <v>3583.8499999999767</v>
      </c>
      <c r="I49" s="95"/>
      <c r="J49" s="175">
        <f>H49/DAY(B2)</f>
        <v>511.9785714285681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'6'!F50</f>
        <v>509529</v>
      </c>
      <c r="F50" s="145">
        <v>510836</v>
      </c>
      <c r="G50" s="112">
        <f t="shared" si="4"/>
        <v>1307</v>
      </c>
      <c r="H50" s="99">
        <f>G50+'6'!H50</f>
        <v>9683</v>
      </c>
      <c r="I50" s="95"/>
      <c r="J50" s="175">
        <f>H50/DAY(B2)</f>
        <v>1383.2857142857142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'6'!F51</f>
        <v>156958</v>
      </c>
      <c r="F51" s="145">
        <v>156958</v>
      </c>
      <c r="G51" s="112">
        <f t="shared" si="4"/>
        <v>0</v>
      </c>
      <c r="H51" s="99">
        <f>G51+'6'!H51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'6'!F52</f>
        <v>9.76</v>
      </c>
      <c r="F52" s="145">
        <v>9.76</v>
      </c>
      <c r="G52" s="112">
        <f t="shared" si="4"/>
        <v>0</v>
      </c>
      <c r="H52" s="99">
        <f>G52+'6'!H52</f>
        <v>-0.24000000000000021</v>
      </c>
      <c r="I52" s="95"/>
      <c r="J52" s="175">
        <f>H52/DAY(B2)</f>
        <v>-3.4285714285714315E-2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'6'!F53</f>
        <v>630355</v>
      </c>
      <c r="F53" s="145">
        <v>630355</v>
      </c>
      <c r="G53" s="112">
        <f t="shared" si="4"/>
        <v>0</v>
      </c>
      <c r="H53" s="99">
        <f>G53+'6'!H53</f>
        <v>-3.0000000027939677E-2</v>
      </c>
      <c r="I53" s="95"/>
      <c r="J53" s="175">
        <f>H53/DAY(B2)</f>
        <v>-4.2857142897056678E-3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'6'!F54</f>
        <v>116756</v>
      </c>
      <c r="F54" s="145">
        <v>117075</v>
      </c>
      <c r="G54" s="112">
        <f t="shared" si="4"/>
        <v>319</v>
      </c>
      <c r="H54" s="99">
        <f>G54+'6'!H54</f>
        <v>2477.8699999999953</v>
      </c>
      <c r="I54" s="95"/>
      <c r="J54" s="175">
        <f>H54/DAY(B2)</f>
        <v>353.9814285714279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'6'!F55</f>
        <v>576335</v>
      </c>
      <c r="F55" s="145">
        <v>576335</v>
      </c>
      <c r="G55" s="112">
        <f t="shared" si="4"/>
        <v>0</v>
      </c>
      <c r="H55" s="99">
        <f>G55+'6'!H55</f>
        <v>-0.63000000000465661</v>
      </c>
      <c r="I55" s="95"/>
      <c r="J55" s="175">
        <f>H55/DAY(B2)</f>
        <v>-9.0000000000665228E-2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'6'!F56</f>
        <v>335403</v>
      </c>
      <c r="F56" s="145">
        <v>335403</v>
      </c>
      <c r="G56" s="112">
        <f t="shared" si="4"/>
        <v>0</v>
      </c>
      <c r="H56" s="99">
        <f>G56+'6'!H56</f>
        <v>176.78999999997905</v>
      </c>
      <c r="I56" s="95"/>
      <c r="J56" s="175">
        <f>H56/DAY(B2)</f>
        <v>25.255714285711292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'6'!F57</f>
        <v>645003</v>
      </c>
      <c r="F57" s="145">
        <v>647254</v>
      </c>
      <c r="G57" s="112">
        <f t="shared" si="4"/>
        <v>2251</v>
      </c>
      <c r="H57" s="99">
        <f>G57+'6'!H57</f>
        <v>16421</v>
      </c>
      <c r="I57" s="95"/>
      <c r="J57" s="175">
        <f>H57/DAY(B2)</f>
        <v>2345.8571428571427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'6'!F58</f>
        <v>88108</v>
      </c>
      <c r="F58" s="145">
        <v>88358</v>
      </c>
      <c r="G58" s="112">
        <f t="shared" si="4"/>
        <v>250</v>
      </c>
      <c r="H58" s="99">
        <f>G58+'6'!H58</f>
        <v>1797.5010000000038</v>
      </c>
      <c r="I58" s="95"/>
      <c r="J58" s="175">
        <f>H58/DAY(B2)</f>
        <v>256.78585714285771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4648</v>
      </c>
      <c r="H59" s="99">
        <f>G59+'6'!H59</f>
        <v>34139.110999999924</v>
      </c>
      <c r="I59" s="95">
        <f>G7-G60</f>
        <v>1306</v>
      </c>
      <c r="J59" s="175">
        <f>H59/DAY(B2)</f>
        <v>4877.0158571428465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20105</v>
      </c>
      <c r="H60" s="99">
        <f>G60+'6'!H60</f>
        <v>137633.67099999994</v>
      </c>
      <c r="I60" s="95">
        <f>G13-G60</f>
        <v>699</v>
      </c>
      <c r="J60" s="175">
        <f>H60/DAY(B2)</f>
        <v>19661.95299999999</v>
      </c>
      <c r="K60" s="79"/>
      <c r="L60" s="66"/>
      <c r="N60" s="87"/>
      <c r="O60" s="71"/>
    </row>
    <row r="61" spans="1:15" s="68" customFormat="1" ht="26.25">
      <c r="A61" s="935" t="s">
        <v>332</v>
      </c>
      <c r="B61" s="936"/>
      <c r="C61" s="93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02" t="s">
        <v>198</v>
      </c>
      <c r="B62" s="903"/>
      <c r="C62" s="904"/>
      <c r="D62" s="151" t="s">
        <v>142</v>
      </c>
      <c r="E62" s="95">
        <f>'6'!F62</f>
        <v>312765</v>
      </c>
      <c r="F62" s="122">
        <v>312831</v>
      </c>
      <c r="G62" s="112">
        <f t="shared" ref="G62:G63" si="5">F62-E62</f>
        <v>66</v>
      </c>
      <c r="H62" s="99">
        <f>G62+'6'!H62</f>
        <v>731</v>
      </c>
      <c r="I62" s="118"/>
      <c r="J62" s="175">
        <f>H62/DAY(B2)</f>
        <v>104.42857142857143</v>
      </c>
      <c r="K62" s="80"/>
      <c r="L62" s="66"/>
      <c r="N62" s="87"/>
      <c r="O62" s="71"/>
    </row>
    <row r="63" spans="1:15" ht="25.5">
      <c r="A63" s="902" t="s">
        <v>199</v>
      </c>
      <c r="B63" s="903"/>
      <c r="C63" s="904"/>
      <c r="D63" s="151" t="s">
        <v>142</v>
      </c>
      <c r="E63" s="95">
        <f>'6'!F63</f>
        <v>249661</v>
      </c>
      <c r="F63" s="122">
        <v>249757</v>
      </c>
      <c r="G63" s="112">
        <f t="shared" si="5"/>
        <v>96</v>
      </c>
      <c r="H63" s="99">
        <f>G63+'6'!H63</f>
        <v>722</v>
      </c>
      <c r="I63" s="118"/>
      <c r="J63" s="175">
        <f>H63/DAY(B2)</f>
        <v>103.14285714285714</v>
      </c>
      <c r="K63" s="69"/>
      <c r="L63" s="66"/>
      <c r="N63" s="87"/>
      <c r="O63" s="71"/>
    </row>
    <row r="64" spans="1:15" ht="26.25">
      <c r="A64" s="911" t="s">
        <v>200</v>
      </c>
      <c r="B64" s="912"/>
      <c r="C64" s="913"/>
      <c r="D64" s="151"/>
      <c r="E64" s="95">
        <f>'6'!F64</f>
        <v>0</v>
      </c>
      <c r="F64" s="122"/>
      <c r="G64" s="112">
        <f>G62+G63</f>
        <v>162</v>
      </c>
      <c r="H64" s="99">
        <f>G64+'6'!H64</f>
        <v>1453</v>
      </c>
      <c r="I64" s="118"/>
      <c r="J64" s="175">
        <f>H64/DAY(B2)</f>
        <v>207.57142857142858</v>
      </c>
      <c r="K64" s="69"/>
      <c r="L64" s="66"/>
      <c r="N64" s="87"/>
      <c r="O64" s="71"/>
    </row>
    <row r="65" spans="1:15" ht="25.5">
      <c r="A65" s="902" t="s">
        <v>201</v>
      </c>
      <c r="B65" s="903"/>
      <c r="C65" s="904"/>
      <c r="D65" s="151" t="s">
        <v>142</v>
      </c>
      <c r="E65" s="95">
        <f>'6'!F65</f>
        <v>472772</v>
      </c>
      <c r="F65" s="122">
        <v>472895</v>
      </c>
      <c r="G65" s="112">
        <f t="shared" ref="G65:G70" si="6">F65-E65</f>
        <v>123</v>
      </c>
      <c r="H65" s="99">
        <f>G65+'6'!H65</f>
        <v>865</v>
      </c>
      <c r="I65" s="118"/>
      <c r="J65" s="175">
        <f>H65/DAY(B2)</f>
        <v>123.57142857142857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'6'!F66</f>
        <v>113644</v>
      </c>
      <c r="F66" s="122">
        <v>113664</v>
      </c>
      <c r="G66" s="112">
        <f t="shared" si="6"/>
        <v>20</v>
      </c>
      <c r="H66" s="99">
        <f>G66+'6'!H66</f>
        <v>105</v>
      </c>
      <c r="I66" s="118"/>
      <c r="J66" s="175">
        <f>H66/DAY(B2)</f>
        <v>15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'6'!F67</f>
        <v>116719</v>
      </c>
      <c r="F67" s="150">
        <v>116739</v>
      </c>
      <c r="G67" s="112">
        <f t="shared" si="6"/>
        <v>20</v>
      </c>
      <c r="H67" s="99">
        <f>G67+'6'!H67</f>
        <v>172</v>
      </c>
      <c r="I67" s="118"/>
      <c r="J67" s="175">
        <f>H67/DAY(B2)</f>
        <v>24.571428571428573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'6'!F68</f>
        <v>169480</v>
      </c>
      <c r="F68" s="122">
        <v>169504</v>
      </c>
      <c r="G68" s="112">
        <f t="shared" si="6"/>
        <v>24</v>
      </c>
      <c r="H68" s="99">
        <f>G68+'6'!H68</f>
        <v>145</v>
      </c>
      <c r="I68" s="118"/>
      <c r="J68" s="175">
        <f>H68/DAY(B2)</f>
        <v>20.714285714285715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'6'!F69</f>
        <v>13002</v>
      </c>
      <c r="F69" s="122">
        <v>13007</v>
      </c>
      <c r="G69" s="112">
        <f t="shared" si="6"/>
        <v>5</v>
      </c>
      <c r="H69" s="99">
        <f>G69+'6'!H69</f>
        <v>41</v>
      </c>
      <c r="I69" s="118"/>
      <c r="J69" s="175">
        <f>H69/DAY(B2)</f>
        <v>5.8571428571428568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'6'!F70</f>
        <v>11064</v>
      </c>
      <c r="F70" s="150">
        <v>11069</v>
      </c>
      <c r="G70" s="112">
        <f t="shared" si="6"/>
        <v>5</v>
      </c>
      <c r="H70" s="99">
        <f>G70+'6'!H70</f>
        <v>53</v>
      </c>
      <c r="I70" s="118"/>
      <c r="J70" s="175">
        <f>H70/DAY(B2)</f>
        <v>7.5714285714285712</v>
      </c>
      <c r="K70" s="69"/>
      <c r="L70" s="66"/>
      <c r="N70" s="87"/>
      <c r="O70" s="71"/>
    </row>
    <row r="71" spans="1:15" ht="26.25">
      <c r="A71" s="911" t="s">
        <v>208</v>
      </c>
      <c r="B71" s="912"/>
      <c r="C71" s="913"/>
      <c r="D71" s="152"/>
      <c r="E71" s="152"/>
      <c r="F71" s="152"/>
      <c r="G71" s="153">
        <f>SUM(G65:G70)</f>
        <v>197</v>
      </c>
      <c r="H71" s="99">
        <f>G71+'6'!H71</f>
        <v>1381</v>
      </c>
      <c r="I71" s="154"/>
      <c r="J71" s="175">
        <f>H71/DAY(B2)</f>
        <v>197.28571428571428</v>
      </c>
      <c r="K71" s="69"/>
      <c r="L71" s="66"/>
      <c r="N71" s="87"/>
      <c r="O71" s="71"/>
    </row>
    <row r="72" spans="1:15" s="88" customFormat="1" ht="25.5">
      <c r="A72" s="898"/>
      <c r="B72" s="88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08" t="s">
        <v>333</v>
      </c>
      <c r="B73" s="909"/>
      <c r="C73" s="910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02" t="s">
        <v>220</v>
      </c>
      <c r="B74" s="903"/>
      <c r="C74" s="904"/>
      <c r="D74" s="151" t="s">
        <v>139</v>
      </c>
      <c r="E74" s="95">
        <f>'6'!F74</f>
        <v>4401</v>
      </c>
      <c r="F74" s="123">
        <v>4708</v>
      </c>
      <c r="G74" s="112">
        <f t="shared" ref="G74:G78" si="7">F74-E74</f>
        <v>307</v>
      </c>
      <c r="H74" s="99">
        <f>G74+'6'!H74</f>
        <v>2193</v>
      </c>
      <c r="I74" s="154"/>
      <c r="J74" s="175">
        <f>H74/DAY(B2)</f>
        <v>313.28571428571428</v>
      </c>
      <c r="K74" s="69"/>
      <c r="L74" s="66"/>
      <c r="N74" s="87"/>
      <c r="O74" s="71"/>
    </row>
    <row r="75" spans="1:15" ht="25.5">
      <c r="A75" s="902" t="s">
        <v>221</v>
      </c>
      <c r="B75" s="903"/>
      <c r="C75" s="904"/>
      <c r="D75" s="151" t="s">
        <v>139</v>
      </c>
      <c r="E75" s="95">
        <f>'6'!F75</f>
        <v>73586.8</v>
      </c>
      <c r="F75" s="123">
        <v>73586.8</v>
      </c>
      <c r="G75" s="112">
        <f t="shared" si="7"/>
        <v>0</v>
      </c>
      <c r="H75" s="99">
        <f>G75+'6'!H75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899" t="s">
        <v>222</v>
      </c>
      <c r="B76" s="900"/>
      <c r="C76" s="901"/>
      <c r="D76" s="151" t="s">
        <v>139</v>
      </c>
      <c r="E76" s="95">
        <f>'6'!F76</f>
        <v>208011</v>
      </c>
      <c r="F76" s="123">
        <v>208101</v>
      </c>
      <c r="G76" s="112">
        <f t="shared" si="7"/>
        <v>90</v>
      </c>
      <c r="H76" s="99">
        <f>G76+'6'!H76</f>
        <v>724</v>
      </c>
      <c r="I76" s="154"/>
      <c r="J76" s="175">
        <f>H76/DAY(B2)</f>
        <v>103.42857142857143</v>
      </c>
      <c r="K76" s="69"/>
      <c r="L76" s="66"/>
      <c r="N76" s="87"/>
      <c r="O76" s="71"/>
    </row>
    <row r="77" spans="1:15" ht="25.5">
      <c r="A77" s="899" t="s">
        <v>223</v>
      </c>
      <c r="B77" s="900"/>
      <c r="C77" s="901"/>
      <c r="D77" s="151" t="s">
        <v>139</v>
      </c>
      <c r="E77" s="95">
        <f>'6'!F77</f>
        <v>58456</v>
      </c>
      <c r="F77" s="123">
        <v>58503</v>
      </c>
      <c r="G77" s="112">
        <f t="shared" si="7"/>
        <v>47</v>
      </c>
      <c r="H77" s="99">
        <f>G77+'6'!H77</f>
        <v>351</v>
      </c>
      <c r="I77" s="154"/>
      <c r="J77" s="175">
        <f>H77/DAY(B2)</f>
        <v>50.142857142857146</v>
      </c>
      <c r="K77" s="69"/>
      <c r="L77" s="66"/>
      <c r="N77" s="87"/>
      <c r="O77" s="71"/>
    </row>
    <row r="78" spans="1:15" ht="25.5">
      <c r="A78" s="899" t="s">
        <v>224</v>
      </c>
      <c r="B78" s="900"/>
      <c r="C78" s="901"/>
      <c r="D78" s="151" t="s">
        <v>139</v>
      </c>
      <c r="E78" s="95">
        <f>'6'!F78</f>
        <v>9563.4</v>
      </c>
      <c r="F78" s="123">
        <v>9563.4</v>
      </c>
      <c r="G78" s="112">
        <f t="shared" si="7"/>
        <v>0</v>
      </c>
      <c r="H78" s="99">
        <f>G78+'6'!H78</f>
        <v>-0.6000000000003638</v>
      </c>
      <c r="I78" s="118"/>
      <c r="J78" s="175">
        <f>H78/DAY(B2)</f>
        <v>-8.5714285714337687E-2</v>
      </c>
      <c r="K78" s="69"/>
      <c r="L78" s="66"/>
      <c r="N78" s="87"/>
      <c r="O78" s="71"/>
    </row>
    <row r="79" spans="1:15" s="57" customFormat="1" ht="25.5">
      <c r="A79" s="899" t="s">
        <v>225</v>
      </c>
      <c r="B79" s="900"/>
      <c r="C79" s="901"/>
      <c r="D79" s="151"/>
      <c r="E79" s="95">
        <f>'6'!F79</f>
        <v>0</v>
      </c>
      <c r="F79" s="123"/>
      <c r="G79" s="112">
        <f>G15-SUM(G74:G78)</f>
        <v>697</v>
      </c>
      <c r="H79" s="99">
        <f>G79+'6'!H79</f>
        <v>4616.2419999999929</v>
      </c>
      <c r="I79" s="118"/>
      <c r="J79" s="175"/>
      <c r="K79" s="59"/>
      <c r="L79" s="58"/>
      <c r="N79" s="87"/>
      <c r="O79" s="71"/>
    </row>
    <row r="80" spans="1:15" s="57" customFormat="1" ht="26.25">
      <c r="A80" s="911" t="s">
        <v>329</v>
      </c>
      <c r="B80" s="912"/>
      <c r="C80" s="913"/>
      <c r="D80" s="151"/>
      <c r="E80" s="117"/>
      <c r="F80" s="117"/>
      <c r="G80" s="112">
        <f>SUM(G74:G79)</f>
        <v>1141</v>
      </c>
      <c r="H80" s="99">
        <f>G80+'6'!H80</f>
        <v>1141</v>
      </c>
      <c r="I80" s="118"/>
      <c r="J80" s="175"/>
      <c r="K80" s="59"/>
      <c r="L80" s="58"/>
      <c r="N80" s="87"/>
      <c r="O80" s="71"/>
    </row>
    <row r="81" spans="1:15" ht="25.5">
      <c r="A81" s="915" t="s">
        <v>226</v>
      </c>
      <c r="B81" s="916"/>
      <c r="C81" s="917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'6'!F82</f>
        <v>0</v>
      </c>
      <c r="F82" s="122">
        <v>0</v>
      </c>
      <c r="G82" s="112">
        <f t="shared" ref="G82:G92" si="8">F82-E82</f>
        <v>0</v>
      </c>
      <c r="H82" s="99">
        <f>G82+'6'!H82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'6'!F83</f>
        <v>0</v>
      </c>
      <c r="F83" s="122">
        <v>0</v>
      </c>
      <c r="G83" s="112">
        <f t="shared" si="8"/>
        <v>0</v>
      </c>
      <c r="H83" s="99">
        <f>G83+'6'!H83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'6'!F84</f>
        <v>43546</v>
      </c>
      <c r="F84" s="164">
        <v>43546</v>
      </c>
      <c r="G84" s="112">
        <f t="shared" si="8"/>
        <v>0</v>
      </c>
      <c r="H84" s="99">
        <f>G84+'6'!H84</f>
        <v>0</v>
      </c>
      <c r="I84" s="545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'6'!F85</f>
        <v>6076</v>
      </c>
      <c r="F85" s="164">
        <v>6100</v>
      </c>
      <c r="G85" s="112">
        <f t="shared" si="8"/>
        <v>24</v>
      </c>
      <c r="H85" s="99">
        <f>G85+'6'!H85</f>
        <v>167.55000000000018</v>
      </c>
      <c r="I85" s="545"/>
      <c r="J85" s="175">
        <f>H85/DAY(B2)</f>
        <v>23.935714285714312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'6'!F86</f>
        <v>46834</v>
      </c>
      <c r="F86" s="164">
        <v>46834</v>
      </c>
      <c r="G86" s="112">
        <f t="shared" si="8"/>
        <v>0</v>
      </c>
      <c r="H86" s="99">
        <f>G86+'6'!H86</f>
        <v>0</v>
      </c>
      <c r="I86" s="545"/>
      <c r="J86" s="175">
        <f>H86/DAY(B2)</f>
        <v>0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'6'!F87</f>
        <v>37028</v>
      </c>
      <c r="F87" s="164">
        <v>37028</v>
      </c>
      <c r="G87" s="112">
        <f t="shared" si="8"/>
        <v>0</v>
      </c>
      <c r="H87" s="99">
        <f>G87+'6'!H87</f>
        <v>0</v>
      </c>
      <c r="I87" s="544">
        <f>G84+G85+G86+G87</f>
        <v>24</v>
      </c>
      <c r="J87" s="175">
        <f>H87/DAY(B2)</f>
        <v>0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'6'!F88</f>
        <v>24615</v>
      </c>
      <c r="F88" s="164">
        <v>24617</v>
      </c>
      <c r="G88" s="112">
        <f t="shared" si="8"/>
        <v>2</v>
      </c>
      <c r="H88" s="99">
        <f>G88+'6'!H88</f>
        <v>13.400000000001455</v>
      </c>
      <c r="I88" s="544"/>
      <c r="J88" s="175">
        <f>H88/DAY(B2)</f>
        <v>1.9142857142859222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'6'!F89</f>
        <v>28815</v>
      </c>
      <c r="F89" s="164">
        <v>28825</v>
      </c>
      <c r="G89" s="112">
        <f t="shared" si="8"/>
        <v>10</v>
      </c>
      <c r="H89" s="99">
        <f>G89+'6'!H89</f>
        <v>76.610000000000582</v>
      </c>
      <c r="I89" s="544">
        <f>G88+G89</f>
        <v>12</v>
      </c>
      <c r="J89" s="175">
        <f>H89/DAY(B2)</f>
        <v>10.944285714285797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'6'!F90</f>
        <v>74273</v>
      </c>
      <c r="F90" s="164">
        <v>74284</v>
      </c>
      <c r="G90" s="112">
        <f t="shared" si="8"/>
        <v>11</v>
      </c>
      <c r="H90" s="99">
        <f>G90+'6'!H90</f>
        <v>80.820000000006985</v>
      </c>
      <c r="I90" s="544">
        <f>G90</f>
        <v>11</v>
      </c>
      <c r="J90" s="175">
        <f>H90/DAY(B2)</f>
        <v>11.545714285715283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'6'!F91</f>
        <v>5618</v>
      </c>
      <c r="F91" s="122">
        <v>5618</v>
      </c>
      <c r="G91" s="112">
        <f t="shared" si="8"/>
        <v>0</v>
      </c>
      <c r="H91" s="99">
        <f>G91+'6'!H91</f>
        <v>-0.21000000000003638</v>
      </c>
      <c r="I91" s="554"/>
      <c r="J91" s="175">
        <f>H91/DAY(B2)</f>
        <v>-3.0000000000005196E-2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'6'!F92</f>
        <v>7148</v>
      </c>
      <c r="F92" s="122">
        <v>7158.76</v>
      </c>
      <c r="G92" s="112">
        <f t="shared" si="8"/>
        <v>10.760000000000218</v>
      </c>
      <c r="H92" s="99">
        <f>G92+'6'!H92</f>
        <v>79.070000000000618</v>
      </c>
      <c r="I92" s="555">
        <f>G91+G92</f>
        <v>10.760000000000218</v>
      </c>
      <c r="J92" s="175">
        <f>H92/DAY(B2)</f>
        <v>11.295714285714373</v>
      </c>
      <c r="O92" s="71"/>
    </row>
    <row r="93" spans="1:15" ht="26.25">
      <c r="A93" s="905" t="s">
        <v>239</v>
      </c>
      <c r="B93" s="906"/>
      <c r="C93" s="90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5233</v>
      </c>
      <c r="H94" s="99">
        <f>G94+'6'!H94</f>
        <v>38225.859999999986</v>
      </c>
      <c r="I94" s="118"/>
      <c r="J94" s="175">
        <f>H94/DAY(B2)</f>
        <v>5460.8371428571409</v>
      </c>
      <c r="K94" s="69"/>
      <c r="L94" s="66"/>
      <c r="O94" s="71"/>
    </row>
    <row r="95" spans="1:15" ht="25.5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0.24440708047265425</v>
      </c>
      <c r="H95" s="99">
        <f>G95+'6'!H95</f>
        <v>1.8370496066161497</v>
      </c>
      <c r="I95" s="167"/>
      <c r="J95" s="175">
        <f>H95/DAY(B2)</f>
        <v>0.26243565808802138</v>
      </c>
      <c r="K95" s="69"/>
      <c r="L95" s="66"/>
      <c r="O95" s="71"/>
    </row>
    <row r="96" spans="1:15" ht="25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4797</v>
      </c>
      <c r="H96" s="99">
        <f>G96+'6'!H96</f>
        <v>31222.179999999993</v>
      </c>
      <c r="I96" s="118"/>
      <c r="J96" s="175">
        <f>H96/DAY(B2)</f>
        <v>4460.3114285714273</v>
      </c>
      <c r="K96" s="69"/>
      <c r="L96" s="66"/>
      <c r="O96" s="71"/>
    </row>
    <row r="97" spans="1:15" ht="25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0.22404371584699453</v>
      </c>
      <c r="H97" s="99">
        <f>G97+'6'!H97</f>
        <v>1.4986540597486946</v>
      </c>
      <c r="I97" s="167"/>
      <c r="J97" s="175">
        <f>H97/DAY(B2)</f>
        <v>0.21409343710695636</v>
      </c>
      <c r="K97" s="69"/>
      <c r="L97" s="66"/>
      <c r="O97" s="71"/>
    </row>
    <row r="98" spans="1:15" ht="25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2864</v>
      </c>
      <c r="H98" s="99">
        <f>G98+'6'!H98</f>
        <v>19860.969999999972</v>
      </c>
      <c r="I98" s="168"/>
      <c r="J98" s="175">
        <f>H98/DAY(B2)</f>
        <v>2837.2814285714244</v>
      </c>
      <c r="K98" s="69"/>
      <c r="L98" s="66"/>
      <c r="O98" s="71"/>
    </row>
    <row r="99" spans="1:15" ht="25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0.13376301900892065</v>
      </c>
      <c r="H99" s="99">
        <f>G99+'6'!H99</f>
        <v>0.95442493436759712</v>
      </c>
      <c r="I99" s="168"/>
      <c r="J99" s="175">
        <f>H99/DAY(B2)</f>
        <v>0.13634641919537102</v>
      </c>
      <c r="O99" s="71"/>
    </row>
    <row r="100" spans="1:15" ht="26.2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2485</v>
      </c>
      <c r="H100" s="99">
        <f>G100+'6'!H100</f>
        <v>15350.410000000024</v>
      </c>
      <c r="I100" s="118"/>
      <c r="J100" s="175">
        <f>H100/DAY(B2)</f>
        <v>2192.9157142857175</v>
      </c>
      <c r="K100" s="70"/>
      <c r="O100" s="71"/>
    </row>
    <row r="101" spans="1:15" ht="25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0.11606183737331278</v>
      </c>
      <c r="H101" s="99">
        <f>G101+'6'!H101</f>
        <v>0.735757717899307</v>
      </c>
      <c r="I101" s="168"/>
      <c r="J101" s="175">
        <f>H101/DAY(B2)</f>
        <v>0.10510824541418672</v>
      </c>
      <c r="O101" s="71"/>
    </row>
    <row r="102" spans="1:15" ht="25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2398</v>
      </c>
      <c r="H102" s="99">
        <f>G102+'6'!H102</f>
        <v>16070.099999999977</v>
      </c>
      <c r="I102" s="168"/>
      <c r="J102" s="175">
        <f>H102/DAY(B2)</f>
        <v>2295.7285714285681</v>
      </c>
      <c r="O102" s="71"/>
    </row>
    <row r="103" spans="1:15" ht="25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0.1119985054411284</v>
      </c>
      <c r="H103" s="99">
        <f>G103+'6'!H103</f>
        <v>0.77099700957672634</v>
      </c>
      <c r="I103" s="118"/>
      <c r="J103" s="175">
        <f>H103/DAY(B2)</f>
        <v>0.11014242993953234</v>
      </c>
      <c r="O103" s="71"/>
    </row>
    <row r="104" spans="1:15" ht="25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1528</v>
      </c>
      <c r="H104" s="99">
        <f>G104+'6'!H104</f>
        <v>10201.130000000005</v>
      </c>
      <c r="I104" s="118"/>
      <c r="J104" s="175">
        <f>H104/DAY(B2)</f>
        <v>1457.3042857142864</v>
      </c>
      <c r="O104" s="71"/>
    </row>
    <row r="105" spans="1:15" ht="26.25" thickBot="1">
      <c r="A105" s="895" t="s">
        <v>251</v>
      </c>
      <c r="B105" s="896"/>
      <c r="C105" s="897"/>
      <c r="D105" s="231" t="s">
        <v>23</v>
      </c>
      <c r="E105" s="185"/>
      <c r="F105" s="185"/>
      <c r="G105" s="186">
        <f>G104/G7</f>
        <v>7.1365186119284482E-2</v>
      </c>
      <c r="H105" s="99">
        <f>G105+'6'!H105</f>
        <v>0.49026514412796318</v>
      </c>
      <c r="I105" s="187"/>
      <c r="J105" s="188">
        <f>H105/DAY(B2)</f>
        <v>7.0037877732566173E-2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891" t="s">
        <v>324</v>
      </c>
      <c r="B108" s="891"/>
      <c r="C108" s="891"/>
      <c r="D108" s="891"/>
      <c r="E108" s="891"/>
      <c r="F108" s="891"/>
      <c r="G108" s="891"/>
      <c r="H108" s="891"/>
      <c r="I108" s="891"/>
      <c r="J108" s="891"/>
    </row>
    <row r="109" spans="1:15" ht="26.25">
      <c r="A109" s="918"/>
      <c r="B109" s="918"/>
    </row>
    <row r="110" spans="1:15" ht="26.25">
      <c r="A110" s="892" t="s">
        <v>165</v>
      </c>
      <c r="B110" s="893"/>
      <c r="C110" s="893"/>
      <c r="D110" s="893"/>
      <c r="E110" s="893"/>
      <c r="F110" s="893"/>
      <c r="G110" s="893"/>
      <c r="H110" s="893"/>
      <c r="I110" s="893"/>
      <c r="J110" s="894"/>
    </row>
    <row r="111" spans="1:15" ht="25.5">
      <c r="A111" s="885"/>
      <c r="B111" s="886"/>
      <c r="C111" s="887"/>
      <c r="D111" s="165"/>
      <c r="E111" s="165"/>
      <c r="F111" s="165"/>
      <c r="G111" s="165"/>
      <c r="H111" s="156"/>
      <c r="I111" s="165"/>
      <c r="J111" s="327"/>
    </row>
    <row r="112" spans="1:15" ht="25.5">
      <c r="A112" s="881" t="s">
        <v>252</v>
      </c>
      <c r="B112" s="882"/>
      <c r="C112" s="883"/>
      <c r="D112" s="146" t="s">
        <v>183</v>
      </c>
      <c r="E112" s="95">
        <f>'6'!F112</f>
        <v>17871</v>
      </c>
      <c r="F112" s="237">
        <v>17931</v>
      </c>
      <c r="G112" s="112">
        <f t="shared" ref="G112:G123" si="9">F112-E112</f>
        <v>60</v>
      </c>
      <c r="H112" s="99">
        <f>G112+'6'!H112</f>
        <v>419.70000000000073</v>
      </c>
      <c r="I112" s="165"/>
      <c r="J112" s="328">
        <f>H112/DAY(B2)</f>
        <v>59.957142857142962</v>
      </c>
    </row>
    <row r="113" spans="1:18" ht="29.25" customHeight="1">
      <c r="A113" s="881" t="s">
        <v>253</v>
      </c>
      <c r="B113" s="882"/>
      <c r="C113" s="883"/>
      <c r="D113" s="146" t="s">
        <v>183</v>
      </c>
      <c r="E113" s="95">
        <f>'6'!F113</f>
        <v>37947</v>
      </c>
      <c r="F113" s="237">
        <v>38083</v>
      </c>
      <c r="G113" s="112">
        <f t="shared" si="9"/>
        <v>136</v>
      </c>
      <c r="H113" s="99">
        <f>G113+'6'!H113</f>
        <v>1004</v>
      </c>
      <c r="I113" s="165"/>
      <c r="J113" s="328">
        <f>H113/DAY(B2)</f>
        <v>143.42857142857142</v>
      </c>
    </row>
    <row r="114" spans="1:18" ht="29.25" customHeight="1">
      <c r="A114" s="881" t="s">
        <v>254</v>
      </c>
      <c r="B114" s="882"/>
      <c r="C114" s="883"/>
      <c r="D114" s="146" t="s">
        <v>183</v>
      </c>
      <c r="E114" s="95">
        <f>'6'!F114</f>
        <v>55611</v>
      </c>
      <c r="F114" s="237">
        <v>55833</v>
      </c>
      <c r="G114" s="112">
        <f t="shared" si="9"/>
        <v>222</v>
      </c>
      <c r="H114" s="99">
        <f>G114+'6'!H114</f>
        <v>1565.2200000000012</v>
      </c>
      <c r="I114" s="165"/>
      <c r="J114" s="328">
        <f>H114/DAY(B2)</f>
        <v>223.60285714285732</v>
      </c>
    </row>
    <row r="115" spans="1:18" ht="29.25" customHeight="1">
      <c r="A115" s="881" t="s">
        <v>255</v>
      </c>
      <c r="B115" s="882"/>
      <c r="C115" s="883"/>
      <c r="D115" s="146" t="s">
        <v>183</v>
      </c>
      <c r="E115" s="95">
        <f>'6'!F115</f>
        <v>35890</v>
      </c>
      <c r="F115" s="237">
        <v>36023</v>
      </c>
      <c r="G115" s="112">
        <f t="shared" si="9"/>
        <v>133</v>
      </c>
      <c r="H115" s="99">
        <f>G115+'6'!H115</f>
        <v>1056.0899999999965</v>
      </c>
      <c r="I115" s="165"/>
      <c r="J115" s="328">
        <f>H115/DAY(B2)</f>
        <v>150.86999999999949</v>
      </c>
    </row>
    <row r="116" spans="1:18" ht="29.25" customHeight="1">
      <c r="A116" s="888" t="s">
        <v>96</v>
      </c>
      <c r="B116" s="889"/>
      <c r="C116" s="890"/>
      <c r="D116" s="146" t="s">
        <v>183</v>
      </c>
      <c r="E116" s="95">
        <f>'6'!F116</f>
        <v>136973</v>
      </c>
      <c r="F116" s="237">
        <v>137444</v>
      </c>
      <c r="G116" s="112">
        <f t="shared" si="9"/>
        <v>471</v>
      </c>
      <c r="H116" s="99">
        <f>G116+'6'!H116</f>
        <v>2955.609999999986</v>
      </c>
      <c r="I116" s="165"/>
      <c r="J116" s="328">
        <f>H116/DAY(B2)</f>
        <v>422.22999999999803</v>
      </c>
      <c r="Q116" s="881" t="s">
        <v>311</v>
      </c>
      <c r="R116" s="883"/>
    </row>
    <row r="117" spans="1:18" ht="29.25" customHeight="1">
      <c r="A117" s="888" t="s">
        <v>184</v>
      </c>
      <c r="B117" s="889"/>
      <c r="C117" s="890"/>
      <c r="D117" s="146" t="s">
        <v>183</v>
      </c>
      <c r="E117" s="95">
        <f>'6'!F117</f>
        <v>84997</v>
      </c>
      <c r="F117" s="237">
        <v>85406</v>
      </c>
      <c r="G117" s="112">
        <f t="shared" si="9"/>
        <v>409</v>
      </c>
      <c r="H117" s="99">
        <f>G117+'6'!H117</f>
        <v>2696</v>
      </c>
      <c r="I117" s="165"/>
      <c r="J117" s="328">
        <f>H117/DAY(B2)</f>
        <v>385.14285714285717</v>
      </c>
      <c r="Q117" s="881" t="s">
        <v>312</v>
      </c>
      <c r="R117" s="883"/>
    </row>
    <row r="118" spans="1:18" ht="25.5">
      <c r="A118" s="880" t="s">
        <v>97</v>
      </c>
      <c r="B118" s="880"/>
      <c r="C118" s="880"/>
      <c r="D118" s="151" t="s">
        <v>183</v>
      </c>
      <c r="E118" s="95">
        <f>'6'!F118</f>
        <v>161991</v>
      </c>
      <c r="F118" s="237">
        <v>162625</v>
      </c>
      <c r="G118" s="112">
        <f t="shared" si="9"/>
        <v>634</v>
      </c>
      <c r="H118" s="99">
        <f>G118+'6'!H118</f>
        <v>4487.8500000000058</v>
      </c>
      <c r="I118" s="165"/>
      <c r="J118" s="328">
        <f>H118/DAY(B2)</f>
        <v>641.12142857142942</v>
      </c>
      <c r="Q118" s="881" t="s">
        <v>311</v>
      </c>
      <c r="R118" s="883"/>
    </row>
    <row r="119" spans="1:18" ht="25.5">
      <c r="A119" s="880" t="s">
        <v>98</v>
      </c>
      <c r="B119" s="880"/>
      <c r="C119" s="880"/>
      <c r="D119" s="151" t="s">
        <v>183</v>
      </c>
      <c r="E119" s="95">
        <f>'6'!F119</f>
        <v>44148</v>
      </c>
      <c r="F119" s="237">
        <v>44187</v>
      </c>
      <c r="G119" s="112">
        <f t="shared" si="9"/>
        <v>39</v>
      </c>
      <c r="H119" s="99">
        <f>G119+'6'!H119</f>
        <v>247.82499999999709</v>
      </c>
      <c r="I119" s="165"/>
      <c r="J119" s="328">
        <f>H119/DAY(B2)</f>
        <v>35.403571428571013</v>
      </c>
    </row>
    <row r="120" spans="1:18" ht="25.5">
      <c r="A120" s="880" t="s">
        <v>99</v>
      </c>
      <c r="B120" s="880"/>
      <c r="C120" s="880"/>
      <c r="D120" s="151" t="s">
        <v>183</v>
      </c>
      <c r="E120" s="95">
        <f>'6'!F120</f>
        <v>110865</v>
      </c>
      <c r="F120" s="237">
        <v>111268</v>
      </c>
      <c r="G120" s="112">
        <f t="shared" si="9"/>
        <v>403</v>
      </c>
      <c r="H120" s="99">
        <f>G120+'6'!H120</f>
        <v>2830.8600000000006</v>
      </c>
      <c r="I120" s="165"/>
      <c r="J120" s="328">
        <f>H120/DAY(B2)</f>
        <v>404.40857142857152</v>
      </c>
    </row>
    <row r="121" spans="1:18" ht="25.5">
      <c r="A121" s="880" t="s">
        <v>100</v>
      </c>
      <c r="B121" s="880"/>
      <c r="C121" s="880"/>
      <c r="D121" s="151" t="s">
        <v>183</v>
      </c>
      <c r="E121" s="95">
        <f>'6'!F121</f>
        <v>123842</v>
      </c>
      <c r="F121" s="237">
        <v>124257</v>
      </c>
      <c r="G121" s="112">
        <f t="shared" si="9"/>
        <v>415</v>
      </c>
      <c r="H121" s="99">
        <f>G121+'6'!H121</f>
        <v>3034.1100000000006</v>
      </c>
      <c r="I121" s="165"/>
      <c r="J121" s="328">
        <f>H121/DAY(B2)</f>
        <v>433.4442857142858</v>
      </c>
    </row>
    <row r="122" spans="1:18" ht="25.5">
      <c r="A122" s="880" t="s">
        <v>101</v>
      </c>
      <c r="B122" s="880"/>
      <c r="C122" s="880"/>
      <c r="D122" s="151" t="s">
        <v>183</v>
      </c>
      <c r="E122" s="95">
        <f>'6'!F122</f>
        <v>83003</v>
      </c>
      <c r="F122" s="237">
        <v>83341</v>
      </c>
      <c r="G122" s="112">
        <f t="shared" si="9"/>
        <v>338</v>
      </c>
      <c r="H122" s="99">
        <f>G122+'6'!H122</f>
        <v>2066.6300000000047</v>
      </c>
      <c r="I122" s="165"/>
      <c r="J122" s="328">
        <f>H122/DAY(B2)</f>
        <v>295.23285714285782</v>
      </c>
    </row>
    <row r="123" spans="1:18" ht="25.5">
      <c r="A123" s="880" t="s">
        <v>102</v>
      </c>
      <c r="B123" s="880"/>
      <c r="C123" s="880"/>
      <c r="D123" s="151" t="s">
        <v>183</v>
      </c>
      <c r="E123" s="95">
        <f>'6'!F123</f>
        <v>79883</v>
      </c>
      <c r="F123" s="237">
        <v>80186</v>
      </c>
      <c r="G123" s="112">
        <f t="shared" si="9"/>
        <v>303</v>
      </c>
      <c r="H123" s="99">
        <f>G123+'6'!H123</f>
        <v>2237</v>
      </c>
      <c r="I123" s="165"/>
      <c r="J123" s="328">
        <f>H123/DAY(B2)</f>
        <v>319.57142857142856</v>
      </c>
    </row>
    <row r="124" spans="1:18" ht="29.25" customHeight="1">
      <c r="A124" s="885"/>
      <c r="B124" s="886"/>
      <c r="C124" s="887"/>
      <c r="D124" s="165"/>
      <c r="E124" s="165"/>
      <c r="F124" s="165"/>
      <c r="G124" s="327"/>
      <c r="H124" s="156"/>
      <c r="I124" s="165"/>
      <c r="J124" s="328"/>
    </row>
    <row r="125" spans="1:18" ht="25.5">
      <c r="A125" s="787" t="s">
        <v>196</v>
      </c>
      <c r="B125" s="788"/>
      <c r="C125" s="245"/>
      <c r="D125" s="307"/>
      <c r="E125" s="308"/>
      <c r="F125" s="308"/>
      <c r="G125" s="309">
        <f>SUM(G112:G124)</f>
        <v>3563</v>
      </c>
      <c r="H125" s="156"/>
      <c r="I125" s="327">
        <f>G125-(G39+G53)</f>
        <v>699</v>
      </c>
      <c r="J125" s="327"/>
    </row>
    <row r="126" spans="1:18" ht="25.5">
      <c r="A126" s="884" t="s">
        <v>317</v>
      </c>
      <c r="B126" s="884"/>
      <c r="C126" s="884"/>
      <c r="D126" s="884"/>
      <c r="E126" s="884"/>
      <c r="F126" s="884"/>
      <c r="G126" s="884"/>
      <c r="H126" s="884"/>
      <c r="I126" s="884"/>
      <c r="J126" s="884"/>
    </row>
    <row r="127" spans="1:18" ht="25.5">
      <c r="A127" s="870"/>
      <c r="B127" s="870"/>
      <c r="C127" s="245"/>
      <c r="D127" s="307"/>
      <c r="E127" s="308"/>
      <c r="F127" s="308"/>
      <c r="G127" s="309"/>
      <c r="H127" s="99">
        <f>G127+'6'!H127</f>
        <v>0</v>
      </c>
      <c r="I127" s="165"/>
      <c r="J127" s="328">
        <f>H127/DAY(B2)</f>
        <v>0</v>
      </c>
    </row>
    <row r="128" spans="1:18" ht="29.25" customHeight="1">
      <c r="A128" s="881" t="s">
        <v>318</v>
      </c>
      <c r="B128" s="882"/>
      <c r="C128" s="883"/>
      <c r="D128" s="151" t="s">
        <v>183</v>
      </c>
      <c r="E128" s="95">
        <f>'6'!F128</f>
        <v>194819</v>
      </c>
      <c r="F128" s="165">
        <v>195344</v>
      </c>
      <c r="G128" s="112">
        <f t="shared" ref="G128:G134" si="10">F128-E128</f>
        <v>525</v>
      </c>
      <c r="H128" s="99">
        <f>G128+'6'!H128</f>
        <v>3458.3699999999953</v>
      </c>
      <c r="I128" s="165"/>
      <c r="J128" s="328">
        <f>H128/DAY(B2)</f>
        <v>494.05285714285645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'6'!F129</f>
        <v>102395</v>
      </c>
      <c r="F129" s="165">
        <v>102599</v>
      </c>
      <c r="G129" s="112">
        <f t="shared" si="10"/>
        <v>204</v>
      </c>
      <c r="H129" s="99">
        <f>G129+'6'!H129</f>
        <v>1322</v>
      </c>
      <c r="I129" s="165"/>
      <c r="J129" s="328">
        <f>H129/DAY(B2)</f>
        <v>188.85714285714286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'6'!F130</f>
        <v>271601</v>
      </c>
      <c r="F130" s="165">
        <v>272102</v>
      </c>
      <c r="G130" s="112">
        <f t="shared" si="10"/>
        <v>501</v>
      </c>
      <c r="H130" s="99">
        <f>G130+'6'!H130</f>
        <v>3287</v>
      </c>
      <c r="I130" s="165"/>
      <c r="J130" s="328">
        <f>H130/DAY(B2)</f>
        <v>469.57142857142856</v>
      </c>
      <c r="N130" s="240"/>
      <c r="O130" s="241"/>
    </row>
    <row r="131" spans="1:15" ht="25.5">
      <c r="A131" s="881" t="s">
        <v>321</v>
      </c>
      <c r="B131" s="882"/>
      <c r="C131" s="883"/>
      <c r="D131" s="151" t="s">
        <v>183</v>
      </c>
      <c r="E131" s="95">
        <f>'6'!F131</f>
        <v>80567</v>
      </c>
      <c r="F131" s="165">
        <v>80761</v>
      </c>
      <c r="G131" s="112">
        <f t="shared" si="10"/>
        <v>194</v>
      </c>
      <c r="H131" s="99">
        <f>G131+'6'!H131</f>
        <v>1210.3699999999953</v>
      </c>
      <c r="I131" s="165"/>
      <c r="J131" s="328">
        <f>H131/DAY(B2)</f>
        <v>172.90999999999934</v>
      </c>
      <c r="N131" s="240"/>
      <c r="O131" s="241"/>
    </row>
    <row r="132" spans="1:15" ht="25.5">
      <c r="A132" s="881" t="s">
        <v>322</v>
      </c>
      <c r="B132" s="882"/>
      <c r="C132" s="883"/>
      <c r="D132" s="151" t="s">
        <v>183</v>
      </c>
      <c r="E132" s="95">
        <f>'6'!F132</f>
        <v>148274</v>
      </c>
      <c r="F132" s="165">
        <v>148274</v>
      </c>
      <c r="G132" s="112">
        <f t="shared" si="10"/>
        <v>0</v>
      </c>
      <c r="H132" s="99">
        <f>G132+'6'!H132</f>
        <v>0</v>
      </c>
      <c r="I132" s="165"/>
      <c r="J132" s="328">
        <f>H132/DAY(B2)</f>
        <v>0</v>
      </c>
    </row>
    <row r="133" spans="1:15" ht="25.5">
      <c r="A133" s="881" t="s">
        <v>323</v>
      </c>
      <c r="B133" s="882"/>
      <c r="C133" s="883"/>
      <c r="D133" s="151" t="s">
        <v>183</v>
      </c>
      <c r="E133" s="95">
        <f>'6'!F133</f>
        <v>288548</v>
      </c>
      <c r="F133" s="553">
        <v>288548</v>
      </c>
      <c r="G133" s="112">
        <f t="shared" si="10"/>
        <v>0</v>
      </c>
      <c r="H133" s="99">
        <f>G133+'6'!H133</f>
        <v>-644500</v>
      </c>
      <c r="I133" s="165"/>
      <c r="J133" s="328">
        <f>H133/DAY(B2)</f>
        <v>-92071.428571428565</v>
      </c>
    </row>
    <row r="134" spans="1:15" ht="25.5">
      <c r="A134" s="881" t="s">
        <v>340</v>
      </c>
      <c r="B134" s="882"/>
      <c r="C134" s="883"/>
      <c r="D134" s="151" t="s">
        <v>183</v>
      </c>
      <c r="E134" s="95">
        <f>'6'!F134</f>
        <v>87545</v>
      </c>
      <c r="F134" s="165">
        <v>87806</v>
      </c>
      <c r="G134" s="112">
        <f t="shared" si="10"/>
        <v>261</v>
      </c>
      <c r="H134" s="99">
        <f>G134+'6'!H134</f>
        <v>1854</v>
      </c>
      <c r="I134" s="165"/>
      <c r="J134" s="328">
        <f>H134/DAY(B2)</f>
        <v>264.85714285714283</v>
      </c>
    </row>
    <row r="135" spans="1:15" ht="25.5">
      <c r="A135" s="787" t="s">
        <v>196</v>
      </c>
      <c r="B135" s="788"/>
      <c r="C135" s="331"/>
      <c r="D135" s="151"/>
      <c r="E135" s="95"/>
      <c r="F135" s="165"/>
      <c r="G135" s="112">
        <f>SUM(G128:G134)</f>
        <v>1685</v>
      </c>
      <c r="H135" s="99">
        <f>G135+'6'!H135</f>
        <v>-633368.26</v>
      </c>
      <c r="I135" s="327">
        <f>G135-(G35+G49)</f>
        <v>-1297</v>
      </c>
      <c r="J135" s="328">
        <f>H135/DAY(B2)</f>
        <v>-90481.180000000008</v>
      </c>
    </row>
    <row r="136" spans="1:15" ht="27.75">
      <c r="A136" s="869" t="s">
        <v>325</v>
      </c>
      <c r="B136" s="869"/>
      <c r="C136" s="869"/>
      <c r="D136" s="869"/>
      <c r="E136" s="869"/>
      <c r="F136" s="869"/>
      <c r="G136" s="869"/>
      <c r="H136" s="869"/>
      <c r="I136" s="869"/>
      <c r="J136" s="869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80" t="s">
        <v>185</v>
      </c>
      <c r="B138" s="880"/>
      <c r="C138" s="880"/>
      <c r="D138" s="151" t="s">
        <v>183</v>
      </c>
      <c r="E138" s="95">
        <f>'6'!F138</f>
        <v>910191</v>
      </c>
      <c r="F138" s="147">
        <v>910289</v>
      </c>
      <c r="G138" s="112">
        <f t="shared" ref="G138:G152" si="11">F138-E138</f>
        <v>98</v>
      </c>
      <c r="H138" s="99">
        <f>G138+'6'!H138</f>
        <v>810</v>
      </c>
      <c r="I138" s="118"/>
      <c r="J138" s="328">
        <f>H138/DAY(B2)</f>
        <v>115.71428571428571</v>
      </c>
    </row>
    <row r="139" spans="1:15" ht="25.5">
      <c r="A139" s="880" t="s">
        <v>186</v>
      </c>
      <c r="B139" s="880"/>
      <c r="C139" s="880"/>
      <c r="D139" s="151" t="s">
        <v>183</v>
      </c>
      <c r="E139" s="95">
        <f>'6'!F139</f>
        <v>933367</v>
      </c>
      <c r="F139" s="148">
        <v>933519</v>
      </c>
      <c r="G139" s="112">
        <f t="shared" si="11"/>
        <v>152</v>
      </c>
      <c r="H139" s="99">
        <f>G139+'6'!H139</f>
        <v>1159</v>
      </c>
      <c r="I139" s="118"/>
      <c r="J139" s="328">
        <f>H139/DAY(B2)</f>
        <v>165.57142857142858</v>
      </c>
    </row>
    <row r="140" spans="1:15" ht="25.5">
      <c r="A140" s="880" t="s">
        <v>187</v>
      </c>
      <c r="B140" s="880"/>
      <c r="C140" s="880"/>
      <c r="D140" s="151" t="s">
        <v>183</v>
      </c>
      <c r="E140" s="95">
        <f>'6'!F140</f>
        <v>4139</v>
      </c>
      <c r="F140" s="149">
        <v>4160</v>
      </c>
      <c r="G140" s="112">
        <f t="shared" si="11"/>
        <v>21</v>
      </c>
      <c r="H140" s="99">
        <f>G140+'6'!H140</f>
        <v>126.48900000000003</v>
      </c>
      <c r="I140" s="118"/>
      <c r="J140" s="328">
        <f>H140/DAY(B2)</f>
        <v>18.069857142857149</v>
      </c>
    </row>
    <row r="141" spans="1:15" ht="25.5">
      <c r="A141" s="863" t="s">
        <v>188</v>
      </c>
      <c r="B141" s="863"/>
      <c r="C141" s="863"/>
      <c r="D141" s="151" t="s">
        <v>183</v>
      </c>
      <c r="E141" s="95">
        <f>'6'!F141</f>
        <v>125792</v>
      </c>
      <c r="F141" s="149">
        <v>125996</v>
      </c>
      <c r="G141" s="112">
        <f t="shared" si="11"/>
        <v>204</v>
      </c>
      <c r="H141" s="99">
        <f>G141+'6'!H141</f>
        <v>1398</v>
      </c>
      <c r="I141" s="118"/>
      <c r="J141" s="328">
        <f>H141/DAY(B2)</f>
        <v>199.71428571428572</v>
      </c>
    </row>
    <row r="142" spans="1:15" ht="25.5">
      <c r="A142" s="863" t="s">
        <v>189</v>
      </c>
      <c r="B142" s="863"/>
      <c r="C142" s="863"/>
      <c r="D142" s="151" t="s">
        <v>183</v>
      </c>
      <c r="E142" s="95">
        <f>'6'!F142</f>
        <v>51082</v>
      </c>
      <c r="F142" s="148">
        <v>51175</v>
      </c>
      <c r="G142" s="112">
        <f t="shared" si="11"/>
        <v>93</v>
      </c>
      <c r="H142" s="99">
        <f>G142+'6'!H142</f>
        <v>609.44999999999709</v>
      </c>
      <c r="I142" s="140"/>
      <c r="J142" s="328">
        <f>H142/DAY(B2)</f>
        <v>87.064285714285305</v>
      </c>
    </row>
    <row r="143" spans="1:15" ht="25.5">
      <c r="A143" s="880" t="s">
        <v>91</v>
      </c>
      <c r="B143" s="880"/>
      <c r="C143" s="880"/>
      <c r="D143" s="151" t="s">
        <v>183</v>
      </c>
      <c r="E143" s="95">
        <f>'6'!F143</f>
        <v>13578</v>
      </c>
      <c r="F143" s="149">
        <v>13607</v>
      </c>
      <c r="G143" s="112">
        <f t="shared" si="11"/>
        <v>29</v>
      </c>
      <c r="H143" s="99">
        <f>G143+'6'!H143</f>
        <v>220</v>
      </c>
      <c r="I143" s="140"/>
      <c r="J143" s="328">
        <f>H143/DAY(B2)</f>
        <v>31.428571428571427</v>
      </c>
    </row>
    <row r="144" spans="1:15" ht="25.5">
      <c r="A144" s="863" t="s">
        <v>90</v>
      </c>
      <c r="B144" s="863"/>
      <c r="C144" s="863"/>
      <c r="D144" s="151" t="s">
        <v>183</v>
      </c>
      <c r="E144" s="95">
        <f>'6'!F144</f>
        <v>956926</v>
      </c>
      <c r="F144" s="149">
        <v>957171</v>
      </c>
      <c r="G144" s="112">
        <f t="shared" si="11"/>
        <v>245</v>
      </c>
      <c r="H144" s="99">
        <f>G144+'6'!H144</f>
        <v>1701</v>
      </c>
      <c r="I144" s="140"/>
      <c r="J144" s="328">
        <f>H144/DAY(B2)</f>
        <v>243</v>
      </c>
    </row>
    <row r="145" spans="1:10" ht="25.5">
      <c r="A145" s="880" t="s">
        <v>190</v>
      </c>
      <c r="B145" s="880"/>
      <c r="C145" s="880"/>
      <c r="D145" s="152" t="s">
        <v>183</v>
      </c>
      <c r="E145" s="95">
        <f>'6'!F145</f>
        <v>746047</v>
      </c>
      <c r="F145" s="149">
        <v>746186</v>
      </c>
      <c r="G145" s="112">
        <f t="shared" si="11"/>
        <v>139</v>
      </c>
      <c r="H145" s="99">
        <f>G145+'6'!H145</f>
        <v>1005</v>
      </c>
      <c r="I145" s="140"/>
      <c r="J145" s="328">
        <f>H145/DAY(B2)</f>
        <v>143.57142857142858</v>
      </c>
    </row>
    <row r="146" spans="1:10" ht="25.5">
      <c r="A146" s="914" t="s">
        <v>191</v>
      </c>
      <c r="B146" s="900"/>
      <c r="C146" s="901"/>
      <c r="D146" s="152" t="s">
        <v>183</v>
      </c>
      <c r="E146" s="95">
        <f>'6'!F146</f>
        <v>788048</v>
      </c>
      <c r="F146" s="148">
        <v>788079</v>
      </c>
      <c r="G146" s="112">
        <f t="shared" si="11"/>
        <v>31</v>
      </c>
      <c r="H146" s="99">
        <f>G146+'6'!H146</f>
        <v>221</v>
      </c>
      <c r="I146" s="140"/>
      <c r="J146" s="328">
        <f>H146/DAY(B2)</f>
        <v>31.571428571428573</v>
      </c>
    </row>
    <row r="147" spans="1:10" ht="25.5">
      <c r="A147" s="863" t="s">
        <v>192</v>
      </c>
      <c r="B147" s="863"/>
      <c r="C147" s="863"/>
      <c r="D147" s="152" t="s">
        <v>183</v>
      </c>
      <c r="E147" s="95">
        <f>'6'!F147</f>
        <v>762356</v>
      </c>
      <c r="F147" s="148">
        <v>762723</v>
      </c>
      <c r="G147" s="112">
        <f t="shared" si="11"/>
        <v>367</v>
      </c>
      <c r="H147" s="99">
        <f>G147+'6'!H147</f>
        <v>2585</v>
      </c>
      <c r="I147" s="140"/>
      <c r="J147" s="328">
        <f>H147/DAY(B2)</f>
        <v>369.28571428571428</v>
      </c>
    </row>
    <row r="148" spans="1:10" ht="25.5">
      <c r="A148" s="864" t="s">
        <v>193</v>
      </c>
      <c r="B148" s="865"/>
      <c r="C148" s="866"/>
      <c r="D148" s="123" t="s">
        <v>130</v>
      </c>
      <c r="E148" s="95">
        <f>'6'!F148</f>
        <v>798438</v>
      </c>
      <c r="F148" s="150">
        <v>798790</v>
      </c>
      <c r="G148" s="112">
        <f t="shared" si="11"/>
        <v>352</v>
      </c>
      <c r="H148" s="99">
        <f>G148+'6'!H148</f>
        <v>2377.9200000000419</v>
      </c>
      <c r="I148" s="124"/>
      <c r="J148" s="328">
        <f>H148/DAY(B2)</f>
        <v>339.70285714286314</v>
      </c>
    </row>
    <row r="149" spans="1:10" ht="25.5">
      <c r="A149" s="864" t="s">
        <v>336</v>
      </c>
      <c r="B149" s="865"/>
      <c r="C149" s="866"/>
      <c r="D149" s="227" t="s">
        <v>130</v>
      </c>
      <c r="E149" s="95">
        <f>'6'!F149</f>
        <v>203704</v>
      </c>
      <c r="F149" s="146">
        <v>204193</v>
      </c>
      <c r="G149" s="112">
        <f t="shared" si="11"/>
        <v>489</v>
      </c>
      <c r="H149" s="99">
        <f>G149+'6'!H149</f>
        <v>2901.7300000000105</v>
      </c>
      <c r="I149" s="119"/>
      <c r="J149" s="328">
        <f>H149/DAY(B2)</f>
        <v>414.53285714285863</v>
      </c>
    </row>
    <row r="150" spans="1:10" ht="25.5">
      <c r="A150" s="864" t="s">
        <v>337</v>
      </c>
      <c r="B150" s="865"/>
      <c r="C150" s="866"/>
      <c r="D150" s="117" t="s">
        <v>130</v>
      </c>
      <c r="E150" s="95">
        <f>'6'!F150</f>
        <v>86389</v>
      </c>
      <c r="F150" s="233">
        <v>86628</v>
      </c>
      <c r="G150" s="112">
        <f t="shared" si="11"/>
        <v>239</v>
      </c>
      <c r="H150" s="99">
        <f>G150+'6'!H150</f>
        <v>1414</v>
      </c>
      <c r="I150" s="119"/>
      <c r="J150" s="328">
        <f>H150/DAY(B2)</f>
        <v>202</v>
      </c>
    </row>
    <row r="151" spans="1:10" ht="25.5">
      <c r="A151" s="864" t="s">
        <v>338</v>
      </c>
      <c r="B151" s="865"/>
      <c r="C151" s="866"/>
      <c r="D151" s="117" t="s">
        <v>130</v>
      </c>
      <c r="E151" s="95">
        <f>'6'!F151</f>
        <v>168512</v>
      </c>
      <c r="F151" s="233">
        <v>168814</v>
      </c>
      <c r="G151" s="112">
        <f t="shared" si="11"/>
        <v>302</v>
      </c>
      <c r="H151" s="99">
        <f>G151+'6'!H151</f>
        <v>2084</v>
      </c>
      <c r="I151" s="119"/>
      <c r="J151" s="328">
        <f>H151/DAY(B2)</f>
        <v>297.71428571428572</v>
      </c>
    </row>
    <row r="152" spans="1:10" ht="25.5">
      <c r="A152" s="864" t="s">
        <v>339</v>
      </c>
      <c r="B152" s="865"/>
      <c r="C152" s="866"/>
      <c r="D152" s="117" t="s">
        <v>130</v>
      </c>
      <c r="E152" s="95">
        <f>'6'!F152</f>
        <v>43295</v>
      </c>
      <c r="F152" s="233">
        <v>43431</v>
      </c>
      <c r="G152" s="112">
        <f t="shared" si="11"/>
        <v>136</v>
      </c>
      <c r="H152" s="99">
        <f>G152+'6'!H152</f>
        <v>920</v>
      </c>
      <c r="I152" s="119"/>
      <c r="J152" s="328">
        <f>H152/DAY(B2)</f>
        <v>131.42857142857142</v>
      </c>
    </row>
    <row r="153" spans="1:10" ht="25.5">
      <c r="A153" s="787" t="s">
        <v>196</v>
      </c>
      <c r="B153" s="788"/>
      <c r="C153" s="365"/>
      <c r="D153" s="358"/>
      <c r="E153" s="360"/>
      <c r="F153" s="361"/>
      <c r="G153" s="362">
        <f>SUM(G138:G152)</f>
        <v>2897</v>
      </c>
      <c r="H153" s="363"/>
      <c r="I153" s="119" t="s">
        <v>207</v>
      </c>
      <c r="J153" s="366"/>
    </row>
    <row r="154" spans="1:10" ht="27.75">
      <c r="A154" s="869" t="s">
        <v>344</v>
      </c>
      <c r="B154" s="869"/>
      <c r="C154" s="869"/>
      <c r="D154" s="869"/>
      <c r="E154" s="869"/>
      <c r="F154" s="869"/>
      <c r="G154" s="869"/>
      <c r="H154" s="869"/>
      <c r="I154" s="869"/>
      <c r="J154" s="869"/>
    </row>
    <row r="155" spans="1:10" ht="27.75">
      <c r="A155" s="863" t="s">
        <v>345</v>
      </c>
      <c r="B155" s="863"/>
      <c r="C155" s="863"/>
      <c r="D155" s="117" t="s">
        <v>130</v>
      </c>
      <c r="E155" s="95">
        <f>'6'!F155</f>
        <v>242480</v>
      </c>
      <c r="F155" s="374">
        <v>243055</v>
      </c>
      <c r="G155" s="112">
        <f t="shared" ref="G155:G158" si="12">F155-E155</f>
        <v>575</v>
      </c>
      <c r="H155" s="99">
        <f>G155+'6'!H155</f>
        <v>4021</v>
      </c>
      <c r="I155" s="364"/>
      <c r="J155" s="328">
        <f>H155/DAY(B2)</f>
        <v>574.42857142857144</v>
      </c>
    </row>
    <row r="156" spans="1:10" ht="25.5">
      <c r="A156" s="863" t="s">
        <v>346</v>
      </c>
      <c r="B156" s="863"/>
      <c r="C156" s="863"/>
      <c r="D156" s="117" t="s">
        <v>130</v>
      </c>
      <c r="E156" s="95">
        <f>'6'!F156</f>
        <v>30165</v>
      </c>
      <c r="F156" s="155">
        <v>30263</v>
      </c>
      <c r="G156" s="112">
        <f t="shared" si="12"/>
        <v>98</v>
      </c>
      <c r="H156" s="99">
        <f>G156+'6'!H156</f>
        <v>583.5</v>
      </c>
      <c r="I156" s="165"/>
      <c r="J156" s="328">
        <f>H156/DAY(B2)</f>
        <v>83.357142857142861</v>
      </c>
    </row>
    <row r="157" spans="1:10" ht="25.5">
      <c r="A157" s="864" t="s">
        <v>360</v>
      </c>
      <c r="B157" s="865"/>
      <c r="C157" s="866"/>
      <c r="D157" s="117" t="s">
        <v>130</v>
      </c>
      <c r="E157" s="95">
        <f>'6'!F157</f>
        <v>37559</v>
      </c>
      <c r="F157" s="155">
        <v>37559</v>
      </c>
      <c r="G157" s="112">
        <f t="shared" si="12"/>
        <v>0</v>
      </c>
      <c r="H157" s="99">
        <f>G157+'6'!H157</f>
        <v>0</v>
      </c>
      <c r="I157" s="165"/>
      <c r="J157" s="328">
        <f>H157/DAY(B2)</f>
        <v>0</v>
      </c>
    </row>
    <row r="158" spans="1:10" ht="25.5">
      <c r="A158" s="864" t="s">
        <v>361</v>
      </c>
      <c r="B158" s="865"/>
      <c r="C158" s="866"/>
      <c r="D158" s="117" t="s">
        <v>130</v>
      </c>
      <c r="E158" s="95">
        <f>'6'!F158</f>
        <v>1766</v>
      </c>
      <c r="F158" s="155">
        <v>1766</v>
      </c>
      <c r="G158" s="112">
        <f t="shared" si="12"/>
        <v>0</v>
      </c>
      <c r="H158" s="99">
        <f>G158+'6'!H158</f>
        <v>8</v>
      </c>
      <c r="I158" s="165"/>
      <c r="J158" s="328">
        <f>H158/DAY(B2)</f>
        <v>1.1428571428571428</v>
      </c>
    </row>
    <row r="159" spans="1:10" ht="25.5">
      <c r="A159" s="944"/>
      <c r="B159" s="945"/>
      <c r="C159" s="946"/>
      <c r="D159" s="117"/>
      <c r="E159" s="95"/>
      <c r="F159" s="165"/>
      <c r="G159" s="112"/>
      <c r="H159" s="99"/>
      <c r="I159" s="165"/>
      <c r="J159" s="328"/>
    </row>
    <row r="160" spans="1:10" ht="27.75">
      <c r="A160" s="869" t="s">
        <v>326</v>
      </c>
      <c r="B160" s="869"/>
      <c r="C160" s="869"/>
      <c r="D160" s="869"/>
      <c r="E160" s="869"/>
      <c r="F160" s="869"/>
      <c r="G160" s="869"/>
      <c r="H160" s="869"/>
      <c r="I160" s="869"/>
      <c r="J160" s="869"/>
    </row>
    <row r="161" spans="1:10" ht="26.25">
      <c r="A161" s="242" t="s">
        <v>92</v>
      </c>
      <c r="B161" s="243"/>
      <c r="C161" s="243"/>
      <c r="D161" s="244" t="s">
        <v>180</v>
      </c>
      <c r="E161" s="95">
        <f>'6'!F161</f>
        <v>509401</v>
      </c>
      <c r="F161" s="235">
        <v>509640</v>
      </c>
      <c r="G161" s="238">
        <f t="shared" ref="G161:G165" si="13">F161-E161</f>
        <v>239</v>
      </c>
      <c r="H161" s="99">
        <f>G161+'6'!H161</f>
        <v>1256.679999999993</v>
      </c>
      <c r="I161" s="236"/>
      <c r="J161" s="239">
        <f>H161/DAY(B2)</f>
        <v>179.52571428571329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'6'!F162</f>
        <v>975</v>
      </c>
      <c r="F162" s="235">
        <v>1014</v>
      </c>
      <c r="G162" s="238">
        <f t="shared" si="13"/>
        <v>39</v>
      </c>
      <c r="H162" s="99">
        <f>G162+'6'!H162</f>
        <v>242.39999999999998</v>
      </c>
      <c r="I162" s="236"/>
      <c r="J162" s="239">
        <f>H162/DAY(B2)</f>
        <v>34.628571428571426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'6'!F163</f>
        <v>0</v>
      </c>
      <c r="F163" s="235">
        <v>0</v>
      </c>
      <c r="G163" s="238">
        <f t="shared" si="13"/>
        <v>0</v>
      </c>
      <c r="H163" s="99">
        <f>G163+'6'!H163</f>
        <v>0</v>
      </c>
      <c r="I163" s="236"/>
      <c r="J163" s="239">
        <f>H163/DAY(B2)</f>
        <v>0</v>
      </c>
    </row>
    <row r="164" spans="1:10" ht="30" customHeight="1">
      <c r="A164" s="242" t="s">
        <v>197</v>
      </c>
      <c r="B164" s="243"/>
      <c r="C164" s="243"/>
      <c r="D164" s="244" t="s">
        <v>180</v>
      </c>
      <c r="E164" s="95">
        <f>'6'!F164</f>
        <v>7225</v>
      </c>
      <c r="F164" s="235">
        <v>7230</v>
      </c>
      <c r="G164" s="238">
        <f t="shared" si="13"/>
        <v>5</v>
      </c>
      <c r="H164" s="99">
        <f>G164+'6'!H164</f>
        <v>31</v>
      </c>
      <c r="I164" s="236"/>
      <c r="J164" s="239">
        <f>H164/DAY(B2)</f>
        <v>4.4285714285714288</v>
      </c>
    </row>
    <row r="165" spans="1:10" ht="28.5" customHeight="1">
      <c r="A165" s="242" t="s">
        <v>309</v>
      </c>
      <c r="B165" s="243"/>
      <c r="C165" s="243"/>
      <c r="D165" s="244" t="s">
        <v>180</v>
      </c>
      <c r="E165" s="95">
        <f>'6'!F165</f>
        <v>32816</v>
      </c>
      <c r="F165" s="235">
        <v>32824</v>
      </c>
      <c r="G165" s="238">
        <f t="shared" si="13"/>
        <v>8</v>
      </c>
      <c r="H165" s="99">
        <f>G165+'6'!H165</f>
        <v>43.911999999996624</v>
      </c>
      <c r="I165" s="236"/>
      <c r="J165" s="239">
        <f>H165/DAY(B2)</f>
        <v>6.2731428571423749</v>
      </c>
    </row>
    <row r="166" spans="1:10" ht="25.5" customHeight="1">
      <c r="A166" s="870"/>
      <c r="B166" s="870"/>
      <c r="C166" s="246"/>
      <c r="D166" s="244" t="s">
        <v>180</v>
      </c>
      <c r="E166" s="95">
        <f>'6'!F166</f>
        <v>0</v>
      </c>
      <c r="F166" s="165"/>
      <c r="G166" s="165"/>
      <c r="H166" s="99">
        <f>G166+'6'!H166</f>
        <v>0</v>
      </c>
      <c r="I166" s="165"/>
      <c r="J166" s="239">
        <f>H166/DAY(B2)</f>
        <v>0</v>
      </c>
    </row>
    <row r="167" spans="1:10" ht="26.25">
      <c r="A167" s="870"/>
      <c r="B167" s="870"/>
      <c r="C167" s="246"/>
      <c r="D167" s="244" t="s">
        <v>180</v>
      </c>
      <c r="E167" s="95">
        <f>'6'!F167</f>
        <v>0</v>
      </c>
      <c r="F167" s="165"/>
      <c r="G167" s="165"/>
      <c r="H167" s="99">
        <f>G167+'6'!H167</f>
        <v>0</v>
      </c>
      <c r="I167" s="165"/>
      <c r="J167" s="239">
        <f>H167/DAY(B2)</f>
        <v>0</v>
      </c>
    </row>
    <row r="168" spans="1:10" ht="26.25">
      <c r="A168" s="870"/>
      <c r="B168" s="870"/>
      <c r="C168" s="246"/>
      <c r="D168" s="244" t="s">
        <v>180</v>
      </c>
      <c r="E168" s="95">
        <f>'6'!F168</f>
        <v>0</v>
      </c>
      <c r="F168" s="165"/>
      <c r="G168" s="165"/>
      <c r="H168" s="99">
        <f>G168+'6'!H168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71" t="s">
        <v>330</v>
      </c>
      <c r="B171" s="872"/>
      <c r="C171" s="872"/>
      <c r="D171" s="872"/>
      <c r="E171" s="872"/>
      <c r="F171" s="872"/>
      <c r="G171" s="872"/>
      <c r="H171" s="872"/>
      <c r="I171" s="872"/>
      <c r="J171" s="873"/>
    </row>
    <row r="172" spans="1:10" ht="25.5">
      <c r="A172" s="878"/>
      <c r="B172" s="879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789" t="s">
        <v>209</v>
      </c>
      <c r="B173" s="790"/>
      <c r="C173" s="333"/>
      <c r="D173" s="228" t="s">
        <v>142</v>
      </c>
      <c r="E173" s="95">
        <f>'6'!F173</f>
        <v>8619</v>
      </c>
      <c r="F173" s="155">
        <v>8620</v>
      </c>
      <c r="G173" s="155">
        <f>F173-E173</f>
        <v>1</v>
      </c>
      <c r="H173" s="99">
        <f>G173+'6'!H173</f>
        <v>8</v>
      </c>
      <c r="I173" s="155"/>
      <c r="J173" s="178">
        <f>H173/DAY(B2)</f>
        <v>1.1428571428571428</v>
      </c>
    </row>
    <row r="174" spans="1:10" ht="25.5">
      <c r="A174" s="789" t="s">
        <v>75</v>
      </c>
      <c r="B174" s="790"/>
      <c r="C174" s="333"/>
      <c r="D174" s="228" t="s">
        <v>142</v>
      </c>
      <c r="E174" s="95">
        <f>'6'!F174</f>
        <v>43119</v>
      </c>
      <c r="F174" s="157">
        <v>43130</v>
      </c>
      <c r="G174" s="155">
        <f t="shared" ref="G174:G175" si="14">F174-E174</f>
        <v>11</v>
      </c>
      <c r="H174" s="99">
        <f>G174+'6'!H174</f>
        <v>80</v>
      </c>
      <c r="I174" s="155"/>
      <c r="J174" s="178">
        <f>H174/DAY(B2)</f>
        <v>11.428571428571429</v>
      </c>
    </row>
    <row r="175" spans="1:10" ht="25.5">
      <c r="A175" s="789" t="s">
        <v>76</v>
      </c>
      <c r="B175" s="802"/>
      <c r="C175" s="790"/>
      <c r="D175" s="228" t="s">
        <v>142</v>
      </c>
      <c r="E175" s="95">
        <f>'6'!F175</f>
        <v>25910</v>
      </c>
      <c r="F175" s="155">
        <v>25925</v>
      </c>
      <c r="G175" s="155">
        <f t="shared" si="14"/>
        <v>15</v>
      </c>
      <c r="H175" s="99">
        <f>G175+'6'!H175</f>
        <v>104</v>
      </c>
      <c r="I175" s="155"/>
      <c r="J175" s="178">
        <f>H175/DAY(B2)</f>
        <v>14.857142857142858</v>
      </c>
    </row>
    <row r="176" spans="1:10" ht="25.5">
      <c r="A176" s="462" t="s">
        <v>196</v>
      </c>
      <c r="B176" s="463"/>
      <c r="C176" s="333"/>
      <c r="D176" s="228" t="s">
        <v>142</v>
      </c>
      <c r="E176" s="95"/>
      <c r="F176" s="155"/>
      <c r="G176" s="155">
        <f>SUM(G173:G175)</f>
        <v>27</v>
      </c>
      <c r="H176" s="99">
        <f>G176+'6'!H176</f>
        <v>192</v>
      </c>
      <c r="I176" s="155"/>
      <c r="J176" s="178">
        <f>H176/DAY(B2)</f>
        <v>27.428571428571427</v>
      </c>
    </row>
    <row r="177" spans="1:10" ht="25.5">
      <c r="A177" s="789" t="s">
        <v>77</v>
      </c>
      <c r="B177" s="790"/>
      <c r="C177" s="333"/>
      <c r="D177" s="228" t="s">
        <v>142</v>
      </c>
      <c r="E177" s="95"/>
      <c r="F177" s="155"/>
      <c r="G177" s="155"/>
      <c r="H177" s="99">
        <f>G177+'6'!H177</f>
        <v>0</v>
      </c>
      <c r="I177" s="155"/>
      <c r="J177" s="178">
        <f>H177/DAY(B2)</f>
        <v>0</v>
      </c>
    </row>
    <row r="178" spans="1:10" ht="25.5">
      <c r="A178" s="789" t="s">
        <v>210</v>
      </c>
      <c r="B178" s="790"/>
      <c r="C178" s="333"/>
      <c r="D178" s="228" t="s">
        <v>142</v>
      </c>
      <c r="E178" s="95">
        <f>'6'!F178</f>
        <v>107732</v>
      </c>
      <c r="F178" s="155">
        <v>107819</v>
      </c>
      <c r="G178" s="155">
        <f>F178-E178</f>
        <v>87</v>
      </c>
      <c r="H178" s="99">
        <f>G178+'6'!H178</f>
        <v>820</v>
      </c>
      <c r="I178" s="155"/>
      <c r="J178" s="178">
        <f>H178/DAY(B2)</f>
        <v>117.14285714285714</v>
      </c>
    </row>
    <row r="179" spans="1:10" ht="25.5">
      <c r="A179" s="789" t="s">
        <v>211</v>
      </c>
      <c r="B179" s="790"/>
      <c r="C179" s="333"/>
      <c r="D179" s="228" t="s">
        <v>142</v>
      </c>
      <c r="E179" s="95">
        <f>'6'!F179</f>
        <v>37501</v>
      </c>
      <c r="F179" s="155">
        <v>37501</v>
      </c>
      <c r="G179" s="155">
        <f t="shared" ref="G179:G180" si="15">F179-E179</f>
        <v>0</v>
      </c>
      <c r="H179" s="99">
        <f>G179+'6'!H179</f>
        <v>0</v>
      </c>
      <c r="I179" s="155"/>
      <c r="J179" s="178">
        <f>H179/DAY(B2)</f>
        <v>0</v>
      </c>
    </row>
    <row r="180" spans="1:10" ht="25.5">
      <c r="A180" s="789" t="s">
        <v>212</v>
      </c>
      <c r="B180" s="790"/>
      <c r="C180" s="333"/>
      <c r="D180" s="228" t="s">
        <v>142</v>
      </c>
      <c r="E180" s="95">
        <f>'6'!F180</f>
        <v>7591</v>
      </c>
      <c r="F180" s="155">
        <v>7599</v>
      </c>
      <c r="G180" s="155">
        <f t="shared" si="15"/>
        <v>8</v>
      </c>
      <c r="H180" s="99">
        <f>G180+'6'!H180</f>
        <v>36</v>
      </c>
      <c r="I180" s="155"/>
      <c r="J180" s="178">
        <f>H180/DAY(B2)</f>
        <v>5.1428571428571432</v>
      </c>
    </row>
    <row r="181" spans="1:10" ht="25.5">
      <c r="A181" s="876" t="s">
        <v>108</v>
      </c>
      <c r="B181" s="877"/>
      <c r="C181" s="333"/>
      <c r="D181" s="228" t="s">
        <v>142</v>
      </c>
      <c r="E181" s="95"/>
      <c r="F181" s="155"/>
      <c r="G181" s="155">
        <f>SUM(G178:G180)</f>
        <v>95</v>
      </c>
      <c r="H181" s="99">
        <f>G181+'6'!H181</f>
        <v>856</v>
      </c>
      <c r="I181" s="155"/>
      <c r="J181" s="178">
        <f>H181/DAY(B2)</f>
        <v>122.28571428571429</v>
      </c>
    </row>
    <row r="182" spans="1:10" ht="25.5">
      <c r="A182" s="789" t="s">
        <v>213</v>
      </c>
      <c r="B182" s="790"/>
      <c r="C182" s="333"/>
      <c r="D182" s="228" t="s">
        <v>142</v>
      </c>
      <c r="E182" s="95"/>
      <c r="F182" s="155"/>
      <c r="G182" s="155"/>
      <c r="H182" s="99">
        <f>G182+'6'!H182</f>
        <v>0</v>
      </c>
      <c r="I182" s="155"/>
      <c r="J182" s="178">
        <f>H182/DAY(B2)</f>
        <v>0</v>
      </c>
    </row>
    <row r="183" spans="1:10" ht="25.5">
      <c r="A183" s="789" t="s">
        <v>214</v>
      </c>
      <c r="B183" s="790"/>
      <c r="C183" s="334"/>
      <c r="D183" s="228" t="s">
        <v>142</v>
      </c>
      <c r="E183" s="95">
        <f>'6'!F183</f>
        <v>18423</v>
      </c>
      <c r="F183" s="157">
        <v>18430</v>
      </c>
      <c r="G183" s="157">
        <f>F183-E183</f>
        <v>7</v>
      </c>
      <c r="H183" s="99">
        <f>G183+'6'!H183</f>
        <v>52</v>
      </c>
      <c r="I183" s="155"/>
      <c r="J183" s="178">
        <f>H183/DAY(B2)</f>
        <v>7.4285714285714288</v>
      </c>
    </row>
    <row r="184" spans="1:10" ht="25.5">
      <c r="A184" s="789" t="s">
        <v>215</v>
      </c>
      <c r="B184" s="790"/>
      <c r="C184" s="334"/>
      <c r="D184" s="228" t="s">
        <v>142</v>
      </c>
      <c r="E184" s="95">
        <f>'6'!F184</f>
        <v>13049</v>
      </c>
      <c r="F184" s="157">
        <v>13057</v>
      </c>
      <c r="G184" s="157">
        <f t="shared" ref="G184:G185" si="16">F184-E184</f>
        <v>8</v>
      </c>
      <c r="H184" s="99">
        <f>G184+'6'!H184</f>
        <v>77</v>
      </c>
      <c r="I184" s="155"/>
      <c r="J184" s="178">
        <f>H184/DAY(B2)</f>
        <v>11</v>
      </c>
    </row>
    <row r="185" spans="1:10" ht="25.5">
      <c r="A185" s="789" t="s">
        <v>216</v>
      </c>
      <c r="B185" s="790"/>
      <c r="C185" s="334"/>
      <c r="D185" s="228" t="s">
        <v>142</v>
      </c>
      <c r="E185" s="95">
        <f>'6'!F185</f>
        <v>0</v>
      </c>
      <c r="F185" s="157"/>
      <c r="G185" s="157">
        <f t="shared" si="16"/>
        <v>0</v>
      </c>
      <c r="H185" s="99">
        <f>G185+'6'!H185</f>
        <v>0</v>
      </c>
      <c r="I185" s="155"/>
      <c r="J185" s="178">
        <f>H185/DAY(B2)</f>
        <v>0</v>
      </c>
    </row>
    <row r="186" spans="1:10" ht="25.5">
      <c r="A186" s="787" t="s">
        <v>196</v>
      </c>
      <c r="B186" s="788"/>
      <c r="C186" s="334"/>
      <c r="D186" s="228" t="s">
        <v>142</v>
      </c>
      <c r="E186" s="95"/>
      <c r="F186" s="157"/>
      <c r="G186" s="157">
        <f>SUM(G183:G185)</f>
        <v>15</v>
      </c>
      <c r="H186" s="99">
        <f>G186+'6'!H186</f>
        <v>129</v>
      </c>
      <c r="I186" s="157"/>
      <c r="J186" s="178">
        <f>H186/DAY(B2)</f>
        <v>18.428571428571427</v>
      </c>
    </row>
    <row r="187" spans="1:10" ht="25.5">
      <c r="A187" s="867" t="s">
        <v>217</v>
      </c>
      <c r="B187" s="868"/>
      <c r="C187" s="333"/>
      <c r="D187" s="228" t="s">
        <v>142</v>
      </c>
      <c r="E187" s="95"/>
      <c r="F187" s="159"/>
      <c r="G187" s="377">
        <f>G62+G19</f>
        <v>120</v>
      </c>
      <c r="H187" s="99">
        <f>G187+'6'!H187</f>
        <v>1139</v>
      </c>
      <c r="I187" s="158"/>
      <c r="J187" s="179">
        <f>H187/DAY(B2)</f>
        <v>162.71428571428572</v>
      </c>
    </row>
    <row r="188" spans="1:10" ht="25.5">
      <c r="A188" s="867" t="s">
        <v>218</v>
      </c>
      <c r="B188" s="868"/>
      <c r="C188" s="333"/>
      <c r="D188" s="230" t="s">
        <v>142</v>
      </c>
      <c r="E188" s="95"/>
      <c r="F188" s="159"/>
      <c r="G188" s="377">
        <f>G65+G66+G67+G69+G70</f>
        <v>173</v>
      </c>
      <c r="H188" s="99">
        <f>G188+'6'!H188</f>
        <v>1236</v>
      </c>
      <c r="I188" s="158"/>
      <c r="J188" s="179">
        <f>H188/DAY(B2)</f>
        <v>176.57142857142858</v>
      </c>
    </row>
    <row r="189" spans="1:10" ht="25.5">
      <c r="A189" s="867" t="s">
        <v>219</v>
      </c>
      <c r="B189" s="868"/>
      <c r="C189" s="333"/>
      <c r="D189" s="230" t="s">
        <v>142</v>
      </c>
      <c r="E189" s="95"/>
      <c r="F189" s="157"/>
      <c r="G189" s="376">
        <f>G181</f>
        <v>95</v>
      </c>
      <c r="H189" s="99">
        <f>G189+'6'!H189</f>
        <v>856</v>
      </c>
      <c r="I189" s="158"/>
      <c r="J189" s="179">
        <f>H189/DAY(B2)</f>
        <v>122.28571428571429</v>
      </c>
    </row>
    <row r="190" spans="1:10" ht="25.5">
      <c r="A190" s="874"/>
      <c r="B190" s="875"/>
      <c r="C190" s="390"/>
      <c r="D190" s="395"/>
      <c r="E190" s="395" t="s">
        <v>207</v>
      </c>
      <c r="F190" s="395"/>
      <c r="G190" s="395"/>
      <c r="H190" s="396"/>
      <c r="I190" s="395"/>
      <c r="J190" s="397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4">
    <mergeCell ref="A171:J171"/>
    <mergeCell ref="A172:B172"/>
    <mergeCell ref="A173:B173"/>
    <mergeCell ref="A174:B174"/>
    <mergeCell ref="A18:C18"/>
    <mergeCell ref="A19:C19"/>
    <mergeCell ref="A21:C21"/>
    <mergeCell ref="A25:C25"/>
    <mergeCell ref="A33:C33"/>
    <mergeCell ref="A145:C145"/>
    <mergeCell ref="A146:C146"/>
    <mergeCell ref="A147:C147"/>
    <mergeCell ref="A148:C148"/>
    <mergeCell ref="A149:C149"/>
    <mergeCell ref="A97:C97"/>
    <mergeCell ref="A98:C98"/>
    <mergeCell ref="A99:C99"/>
    <mergeCell ref="A100:C100"/>
    <mergeCell ref="A61:C61"/>
    <mergeCell ref="A62:C62"/>
    <mergeCell ref="A63:C63"/>
    <mergeCell ref="A71:C71"/>
    <mergeCell ref="A72:B72"/>
    <mergeCell ref="A116:C116"/>
    <mergeCell ref="A1:J1"/>
    <mergeCell ref="A6:C6"/>
    <mergeCell ref="A14:C14"/>
    <mergeCell ref="A17:C17"/>
    <mergeCell ref="E3:F3"/>
    <mergeCell ref="A119:C119"/>
    <mergeCell ref="A123:C123"/>
    <mergeCell ref="A143:C143"/>
    <mergeCell ref="A144:C144"/>
    <mergeCell ref="A126:J126"/>
    <mergeCell ref="A127:B127"/>
    <mergeCell ref="A128:C128"/>
    <mergeCell ref="A131:C131"/>
    <mergeCell ref="A132:C132"/>
    <mergeCell ref="A133:C133"/>
    <mergeCell ref="A120:C120"/>
    <mergeCell ref="A121:C121"/>
    <mergeCell ref="A122:C122"/>
    <mergeCell ref="A124:C124"/>
    <mergeCell ref="A125:B125"/>
    <mergeCell ref="A140:C140"/>
    <mergeCell ref="A141:C141"/>
    <mergeCell ref="A142:C142"/>
    <mergeCell ref="A78:C78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75:C175"/>
    <mergeCell ref="A181:B181"/>
    <mergeCell ref="A167:B167"/>
    <mergeCell ref="A168:B168"/>
    <mergeCell ref="A64:C64"/>
    <mergeCell ref="A65:C65"/>
    <mergeCell ref="Q116:R116"/>
    <mergeCell ref="A117:C117"/>
    <mergeCell ref="Q117:R117"/>
    <mergeCell ref="A118:C118"/>
    <mergeCell ref="Q118:R118"/>
    <mergeCell ref="A101:C101"/>
    <mergeCell ref="A103:C103"/>
    <mergeCell ref="A104:C104"/>
    <mergeCell ref="A105:C105"/>
    <mergeCell ref="A108:J108"/>
    <mergeCell ref="A109:B109"/>
    <mergeCell ref="A102:C102"/>
    <mergeCell ref="A110:J110"/>
    <mergeCell ref="A111:C111"/>
    <mergeCell ref="A112:C112"/>
    <mergeCell ref="A113:C113"/>
    <mergeCell ref="A114:C114"/>
    <mergeCell ref="A115:C115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4:B184"/>
    <mergeCell ref="A183:B183"/>
    <mergeCell ref="A182:B182"/>
    <mergeCell ref="A150:C150"/>
    <mergeCell ref="A151:C151"/>
    <mergeCell ref="A152:C152"/>
    <mergeCell ref="A160:J160"/>
    <mergeCell ref="A166:B166"/>
    <mergeCell ref="A134:C134"/>
    <mergeCell ref="A136:J136"/>
    <mergeCell ref="A138:C138"/>
    <mergeCell ref="A139:C139"/>
    <mergeCell ref="A154:J154"/>
    <mergeCell ref="A155:C155"/>
    <mergeCell ref="A156:C156"/>
    <mergeCell ref="A153:B153"/>
    <mergeCell ref="A135:B135"/>
    <mergeCell ref="A157:C157"/>
    <mergeCell ref="A158:C158"/>
    <mergeCell ref="A159:C159"/>
  </mergeCells>
  <pageMargins left="0.23622047244094491" right="0.15748031496062992" top="0.15748031496062992" bottom="0.19685039370078741" header="0.19685039370078741" footer="0.19685039370078741"/>
  <pageSetup paperSize="5" scale="18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R270"/>
  <sheetViews>
    <sheetView view="pageBreakPreview" topLeftCell="A109" zoomScale="55" zoomScaleSheetLayoutView="55" workbookViewId="0">
      <selection activeCell="F39" sqref="F39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19" t="s">
        <v>115</v>
      </c>
      <c r="B1" s="920"/>
      <c r="C1" s="920"/>
      <c r="D1" s="920"/>
      <c r="E1" s="920"/>
      <c r="F1" s="920"/>
      <c r="G1" s="920"/>
      <c r="H1" s="920"/>
      <c r="I1" s="920"/>
      <c r="J1" s="921"/>
    </row>
    <row r="2" spans="1:15" s="57" customFormat="1" ht="23.25">
      <c r="A2" s="191" t="s">
        <v>355</v>
      </c>
      <c r="B2" s="262">
        <v>44934</v>
      </c>
      <c r="C2" s="348" t="s">
        <v>67</v>
      </c>
      <c r="D2" s="218">
        <v>0.74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26</v>
      </c>
      <c r="E3" s="928" t="s">
        <v>119</v>
      </c>
      <c r="F3" s="929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22" t="s">
        <v>128</v>
      </c>
      <c r="B6" s="923"/>
      <c r="C6" s="92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'7'!F7</f>
        <v>123387</v>
      </c>
      <c r="F7" s="95">
        <v>144768</v>
      </c>
      <c r="G7" s="112">
        <f>F7-E7</f>
        <v>21381</v>
      </c>
      <c r="H7" s="99">
        <f>G7+'7'!H7</f>
        <v>167149</v>
      </c>
      <c r="I7" s="113">
        <f>'1'!I7</f>
        <v>12000</v>
      </c>
      <c r="J7" s="175">
        <f>H7/DAY(B2)</f>
        <v>20893.625</v>
      </c>
      <c r="K7" s="172">
        <v>1375467</v>
      </c>
      <c r="L7" s="66"/>
      <c r="N7" s="87"/>
      <c r="O7" s="71">
        <f>G7-G8</f>
        <v>-217</v>
      </c>
    </row>
    <row r="8" spans="1:15" ht="27" thickBot="1">
      <c r="A8" s="196" t="s">
        <v>131</v>
      </c>
      <c r="B8" s="197"/>
      <c r="C8" s="198"/>
      <c r="D8" s="224" t="s">
        <v>24</v>
      </c>
      <c r="E8" s="95">
        <f>'7'!F8</f>
        <v>306372</v>
      </c>
      <c r="F8" s="114">
        <v>327970</v>
      </c>
      <c r="G8" s="115">
        <f>F8-E8</f>
        <v>21598</v>
      </c>
      <c r="H8" s="99">
        <f>G8+'7'!H8</f>
        <v>170113</v>
      </c>
      <c r="I8" s="116"/>
      <c r="J8" s="175">
        <f>H8/DAY(B2)</f>
        <v>21264.125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'7'!F9</f>
        <v>4528641</v>
      </c>
      <c r="F9" s="117">
        <v>4544895</v>
      </c>
      <c r="G9" s="112">
        <f>F9-E9</f>
        <v>16254</v>
      </c>
      <c r="H9" s="99">
        <f>G9+'7'!H9</f>
        <v>128289.09999999963</v>
      </c>
      <c r="I9" s="124">
        <f>I7-J7</f>
        <v>-8893.625</v>
      </c>
      <c r="J9" s="175">
        <f>H9/DAY(B2)</f>
        <v>16036.137499999953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'7'!F10</f>
        <v>4101449</v>
      </c>
      <c r="F10" s="117">
        <v>4105979</v>
      </c>
      <c r="G10" s="112">
        <f t="shared" ref="G10:G12" si="0">F10-E10</f>
        <v>4530</v>
      </c>
      <c r="H10" s="99">
        <f>G10+'7'!H10</f>
        <v>35942.700000000186</v>
      </c>
      <c r="I10" s="282"/>
      <c r="J10" s="175">
        <f>H10/DAY(B2)</f>
        <v>4492.8375000000233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'7'!F11</f>
        <v>38700</v>
      </c>
      <c r="F11" s="95">
        <v>38700</v>
      </c>
      <c r="G11" s="112">
        <f t="shared" si="0"/>
        <v>0</v>
      </c>
      <c r="H11" s="99">
        <f>G11+'7'!H11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'7'!F12</f>
        <v>40550</v>
      </c>
      <c r="F12" s="117">
        <v>40550</v>
      </c>
      <c r="G12" s="112">
        <f t="shared" si="0"/>
        <v>0</v>
      </c>
      <c r="H12" s="99">
        <f>G12+'7'!H12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20784</v>
      </c>
      <c r="H13" s="99">
        <f>G13+'7'!H13</f>
        <v>164231.79999999981</v>
      </c>
      <c r="I13" s="120">
        <f>G7-G13</f>
        <v>597</v>
      </c>
      <c r="J13" s="175">
        <f>H13/DAY(B2)</f>
        <v>20528.974999999977</v>
      </c>
      <c r="K13" s="79"/>
      <c r="L13" s="66"/>
      <c r="N13" s="87"/>
      <c r="O13" s="71"/>
    </row>
    <row r="14" spans="1:15" ht="26.25">
      <c r="A14" s="925" t="s">
        <v>137</v>
      </c>
      <c r="B14" s="926"/>
      <c r="C14" s="92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'7'!F15</f>
        <v>2261185</v>
      </c>
      <c r="F15" s="468">
        <v>2262297</v>
      </c>
      <c r="G15" s="112">
        <f>(F15-E15)</f>
        <v>1112</v>
      </c>
      <c r="H15" s="99">
        <f>G15+'7'!H15</f>
        <v>8995.6419999999925</v>
      </c>
      <c r="I15" s="113">
        <f>'1'!I15</f>
        <v>800</v>
      </c>
      <c r="J15" s="175">
        <f>H15/DAY(B2)</f>
        <v>1124.4552499999991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-324.45524999999907</v>
      </c>
      <c r="J16" s="176"/>
      <c r="K16" s="79"/>
      <c r="L16" s="66"/>
      <c r="N16" s="87"/>
      <c r="O16" s="71"/>
    </row>
    <row r="17" spans="1:15" ht="26.25">
      <c r="A17" s="925" t="s">
        <v>140</v>
      </c>
      <c r="B17" s="926"/>
      <c r="C17" s="92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 t="s">
        <v>366</v>
      </c>
    </row>
    <row r="18" spans="1:15" ht="25.5">
      <c r="A18" s="902" t="s">
        <v>141</v>
      </c>
      <c r="B18" s="903"/>
      <c r="C18" s="904"/>
      <c r="D18" s="151" t="s">
        <v>142</v>
      </c>
      <c r="E18" s="95">
        <f>'7'!F18</f>
        <v>17</v>
      </c>
      <c r="F18" s="122">
        <v>24</v>
      </c>
      <c r="G18" s="119">
        <f>F18*10</f>
        <v>240</v>
      </c>
      <c r="H18" s="99">
        <f>G18+'7'!H18</f>
        <v>1690</v>
      </c>
      <c r="I18" s="113">
        <f>'1'!I18</f>
        <v>65</v>
      </c>
      <c r="J18" s="175">
        <f>H18/DAY(B2)</f>
        <v>211.25</v>
      </c>
      <c r="K18" s="79"/>
      <c r="L18" s="66"/>
      <c r="N18" s="87"/>
      <c r="O18" s="71"/>
    </row>
    <row r="19" spans="1:15" ht="25.5">
      <c r="A19" s="902" t="s">
        <v>69</v>
      </c>
      <c r="B19" s="903"/>
      <c r="C19" s="904"/>
      <c r="D19" s="151" t="s">
        <v>142</v>
      </c>
      <c r="E19" s="95">
        <f>'7'!F19</f>
        <v>169968</v>
      </c>
      <c r="F19" s="122">
        <v>170025</v>
      </c>
      <c r="G19" s="112">
        <f t="shared" ref="G19" si="1">F19-E19</f>
        <v>57</v>
      </c>
      <c r="H19" s="99">
        <f>G19+'7'!H19</f>
        <v>465</v>
      </c>
      <c r="I19" s="335"/>
      <c r="J19" s="175">
        <f>H19/DAY(B2)</f>
        <v>58.125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297</v>
      </c>
      <c r="H20" s="99">
        <f>G20+'7'!H20</f>
        <v>2155</v>
      </c>
      <c r="I20" s="336">
        <f>I18-J20</f>
        <v>-204.375</v>
      </c>
      <c r="J20" s="175">
        <f>H20/DAY(B2)</f>
        <v>269.375</v>
      </c>
      <c r="K20" s="79"/>
      <c r="L20" s="66"/>
      <c r="N20" s="87"/>
      <c r="O20" s="71"/>
    </row>
    <row r="21" spans="1:15" ht="26.25">
      <c r="A21" s="925" t="s">
        <v>144</v>
      </c>
      <c r="B21" s="926"/>
      <c r="C21" s="92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'7'!F22</f>
        <v>2970</v>
      </c>
      <c r="F22" s="122">
        <v>2970</v>
      </c>
      <c r="G22" s="119">
        <f t="shared" ref="G22" si="2">(F22-E22)</f>
        <v>0</v>
      </c>
      <c r="H22" s="99">
        <f>G22+'7'!H22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v>2000</v>
      </c>
      <c r="F23" s="122">
        <v>2000</v>
      </c>
      <c r="G23" s="119">
        <v>0</v>
      </c>
      <c r="H23" s="99">
        <f>G23+'7'!H23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v>4970</v>
      </c>
      <c r="F24" s="128">
        <v>4970</v>
      </c>
      <c r="G24" s="119">
        <v>0</v>
      </c>
      <c r="H24" s="99">
        <f>G24+'7'!H24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30" t="s">
        <v>149</v>
      </c>
      <c r="B25" s="931"/>
      <c r="C25" s="93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21598</v>
      </c>
      <c r="F27" s="136">
        <v>10</v>
      </c>
      <c r="G27" s="137">
        <f>E27*F27</f>
        <v>215980</v>
      </c>
      <c r="H27" s="99">
        <f>G27+'7'!H27</f>
        <v>1637224</v>
      </c>
      <c r="I27" s="138"/>
      <c r="J27" s="175">
        <f>H27/DAY(B2)</f>
        <v>204653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1112</v>
      </c>
      <c r="F28" s="136">
        <v>65</v>
      </c>
      <c r="G28" s="137">
        <f>E28*F28</f>
        <v>72280</v>
      </c>
      <c r="H28" s="99">
        <f>G28+'7'!H28</f>
        <v>625008.14999999944</v>
      </c>
      <c r="I28" s="140"/>
      <c r="J28" s="175">
        <f>H28/DAY(B2)</f>
        <v>78126.01874999993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57</v>
      </c>
      <c r="F30" s="136">
        <v>151</v>
      </c>
      <c r="G30" s="137">
        <f>E30*F30</f>
        <v>8607</v>
      </c>
      <c r="H30" s="99">
        <f>G30+'7'!H30</f>
        <v>70215</v>
      </c>
      <c r="I30" s="140"/>
      <c r="J30" s="175">
        <f>H30/DAY(B2)</f>
        <v>8776.875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85</v>
      </c>
      <c r="G31" s="137">
        <f>E31*F31</f>
        <v>20400</v>
      </c>
      <c r="H31" s="99">
        <f>G31+'7'!H31</f>
        <v>139200</v>
      </c>
      <c r="I31" s="140"/>
      <c r="J31" s="175">
        <f>H31/DAY(B2)</f>
        <v>17400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317267</v>
      </c>
      <c r="H32" s="99">
        <f>G32+'7'!H32</f>
        <v>2471647.1499999994</v>
      </c>
      <c r="I32" s="144"/>
      <c r="J32" s="175">
        <f>H32/DAY(B2)</f>
        <v>308955.89374999993</v>
      </c>
      <c r="K32" s="63"/>
      <c r="L32" s="89"/>
      <c r="N32" s="87"/>
      <c r="O32" s="71"/>
    </row>
    <row r="33" spans="1:15" ht="25.5" customHeight="1">
      <c r="A33" s="933" t="s">
        <v>331</v>
      </c>
      <c r="B33" s="934"/>
      <c r="C33" s="93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'7'!F35</f>
        <v>472739</v>
      </c>
      <c r="F35" s="145">
        <v>475227</v>
      </c>
      <c r="G35" s="112">
        <f t="shared" ref="G35:G46" si="3">F35-E35</f>
        <v>2488</v>
      </c>
      <c r="H35" s="99">
        <f>G35+'7'!H35</f>
        <v>20709.010000000009</v>
      </c>
      <c r="I35" s="95"/>
      <c r="J35" s="175">
        <f>H35/DAY(B2)</f>
        <v>2588.6262500000012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'7'!F36</f>
        <v>360476</v>
      </c>
      <c r="F36" s="145">
        <v>361195</v>
      </c>
      <c r="G36" s="112">
        <f t="shared" si="3"/>
        <v>719</v>
      </c>
      <c r="H36" s="99">
        <f>G36+'7'!H36</f>
        <v>7106.0999999999767</v>
      </c>
      <c r="I36" s="95"/>
      <c r="J36" s="175">
        <f>H36/DAY(B2)</f>
        <v>888.26249999999709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'7'!F37</f>
        <v>348471</v>
      </c>
      <c r="F37" s="145">
        <v>350023</v>
      </c>
      <c r="G37" s="112">
        <f t="shared" si="3"/>
        <v>1552</v>
      </c>
      <c r="H37" s="99">
        <f>G37+'7'!H37</f>
        <v>11753.130000000005</v>
      </c>
      <c r="I37" s="95"/>
      <c r="J37" s="175">
        <f>H37/DAY(B2)</f>
        <v>1469.1412500000006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'7'!F38</f>
        <v>815028</v>
      </c>
      <c r="F38" s="108">
        <v>817623</v>
      </c>
      <c r="G38" s="112">
        <f t="shared" si="3"/>
        <v>2595</v>
      </c>
      <c r="H38" s="99">
        <f>G38+'7'!H38</f>
        <v>17945.650000000023</v>
      </c>
      <c r="I38" s="95"/>
      <c r="J38" s="175">
        <f>H38/DAY(B2)</f>
        <v>2243.2062500000029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'7'!F39</f>
        <v>640151</v>
      </c>
      <c r="F39" s="145">
        <v>642965</v>
      </c>
      <c r="G39" s="112">
        <f t="shared" si="3"/>
        <v>2814</v>
      </c>
      <c r="H39" s="99">
        <f>G39+'7'!H39</f>
        <v>22675</v>
      </c>
      <c r="I39" s="95"/>
      <c r="J39" s="175">
        <f>H39/DAY(B2)</f>
        <v>2834.375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'7'!F40</f>
        <v>212114</v>
      </c>
      <c r="F40" s="145">
        <v>212180</v>
      </c>
      <c r="G40" s="112">
        <f t="shared" si="3"/>
        <v>66</v>
      </c>
      <c r="H40" s="99">
        <f>G40+'7'!H40</f>
        <v>2493.6499999999942</v>
      </c>
      <c r="I40" s="95"/>
      <c r="J40" s="175">
        <f>H40/DAY(B2)</f>
        <v>311.70624999999927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'7'!F41</f>
        <v>420212</v>
      </c>
      <c r="F41" s="145">
        <v>420212</v>
      </c>
      <c r="G41" s="112">
        <f t="shared" si="3"/>
        <v>0</v>
      </c>
      <c r="H41" s="99">
        <f>G41+'7'!H41</f>
        <v>-0.51000000000931323</v>
      </c>
      <c r="I41" s="95"/>
      <c r="J41" s="175">
        <f>H41/DAY(B2)</f>
        <v>-6.3750000001164153E-2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'7'!F42</f>
        <v>952001</v>
      </c>
      <c r="F42" s="145">
        <v>956797</v>
      </c>
      <c r="G42" s="112">
        <f t="shared" si="3"/>
        <v>4796</v>
      </c>
      <c r="H42" s="99">
        <f>G42+'7'!H42</f>
        <v>35842.530000000028</v>
      </c>
      <c r="I42" s="95"/>
      <c r="J42" s="175">
        <f>H42/DAY(B2)</f>
        <v>4480.3162500000035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'7'!F43</f>
        <v>422444</v>
      </c>
      <c r="F43" s="145">
        <v>422444</v>
      </c>
      <c r="G43" s="112">
        <f t="shared" si="3"/>
        <v>0</v>
      </c>
      <c r="H43" s="99">
        <f>G43+'7'!H43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'7'!F44</f>
        <v>0</v>
      </c>
      <c r="F44" s="145">
        <v>0</v>
      </c>
      <c r="G44" s="112">
        <f t="shared" si="3"/>
        <v>0</v>
      </c>
      <c r="H44" s="99">
        <f>G44+'7'!H44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'7'!F45</f>
        <v>0</v>
      </c>
      <c r="F45" s="145">
        <v>0</v>
      </c>
      <c r="G45" s="112">
        <f t="shared" si="3"/>
        <v>0</v>
      </c>
      <c r="H45" s="99">
        <f>G45+'7'!H45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'7'!F46</f>
        <v>0</v>
      </c>
      <c r="F46" s="145">
        <v>0</v>
      </c>
      <c r="G46" s="112">
        <f t="shared" si="3"/>
        <v>0</v>
      </c>
      <c r="H46" s="99">
        <f>G46+'7'!H46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15030</v>
      </c>
      <c r="H47" s="99">
        <f>G47+'7'!H47</f>
        <v>118524.56000000003</v>
      </c>
      <c r="I47" s="95"/>
      <c r="J47" s="175">
        <f>H47/DAY(B2)</f>
        <v>14815.570000000003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'7'!F49</f>
        <v>810088</v>
      </c>
      <c r="F49" s="145">
        <v>810611</v>
      </c>
      <c r="G49" s="112">
        <f t="shared" ref="G49:G58" si="4">F49-E49</f>
        <v>523</v>
      </c>
      <c r="H49" s="99">
        <f>G49+'7'!H49</f>
        <v>4106.8499999999767</v>
      </c>
      <c r="I49" s="95"/>
      <c r="J49" s="175">
        <f>H49/DAY(B2)</f>
        <v>513.35624999999709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'7'!F50</f>
        <v>510836</v>
      </c>
      <c r="F50" s="145">
        <v>512268</v>
      </c>
      <c r="G50" s="112">
        <f t="shared" si="4"/>
        <v>1432</v>
      </c>
      <c r="H50" s="99">
        <f>G50+'7'!H50</f>
        <v>11115</v>
      </c>
      <c r="I50" s="95"/>
      <c r="J50" s="175">
        <f>H50/DAY(B2)</f>
        <v>1389.375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'7'!F51</f>
        <v>156958</v>
      </c>
      <c r="F51" s="145">
        <v>156958</v>
      </c>
      <c r="G51" s="112">
        <f t="shared" si="4"/>
        <v>0</v>
      </c>
      <c r="H51" s="99">
        <f>G51+'7'!H51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'7'!F52</f>
        <v>9.76</v>
      </c>
      <c r="F52" s="145">
        <v>9.76</v>
      </c>
      <c r="G52" s="112">
        <f t="shared" si="4"/>
        <v>0</v>
      </c>
      <c r="H52" s="99">
        <f>G52+'7'!H52</f>
        <v>-0.24000000000000021</v>
      </c>
      <c r="I52" s="95"/>
      <c r="J52" s="175">
        <f>H52/DAY(B2)</f>
        <v>-3.0000000000000027E-2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'7'!F53</f>
        <v>630355</v>
      </c>
      <c r="F53" s="145">
        <v>630355</v>
      </c>
      <c r="G53" s="112">
        <f t="shared" si="4"/>
        <v>0</v>
      </c>
      <c r="H53" s="99">
        <f>G53+'7'!H53</f>
        <v>-3.0000000027939677E-2</v>
      </c>
      <c r="I53" s="95"/>
      <c r="J53" s="175">
        <f>H53/DAY(B2)</f>
        <v>-3.7500000034924597E-3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'7'!F54</f>
        <v>117075</v>
      </c>
      <c r="F54" s="145">
        <v>117400</v>
      </c>
      <c r="G54" s="112">
        <f t="shared" si="4"/>
        <v>325</v>
      </c>
      <c r="H54" s="99">
        <f>G54+'7'!H54</f>
        <v>2802.8699999999953</v>
      </c>
      <c r="I54" s="95"/>
      <c r="J54" s="175">
        <f>H54/DAY(B2)</f>
        <v>350.35874999999942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'7'!F55</f>
        <v>576335</v>
      </c>
      <c r="F55" s="145">
        <v>576335</v>
      </c>
      <c r="G55" s="112">
        <f t="shared" si="4"/>
        <v>0</v>
      </c>
      <c r="H55" s="99">
        <f>G55+'7'!H55</f>
        <v>-0.63000000000465661</v>
      </c>
      <c r="I55" s="95"/>
      <c r="J55" s="175">
        <f>H55/DAY(B2)</f>
        <v>-7.8750000000582077E-2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'7'!F56</f>
        <v>335403</v>
      </c>
      <c r="F56" s="145">
        <v>335403</v>
      </c>
      <c r="G56" s="112">
        <f t="shared" si="4"/>
        <v>0</v>
      </c>
      <c r="H56" s="99">
        <f>G56+'7'!H56</f>
        <v>176.78999999997905</v>
      </c>
      <c r="I56" s="95"/>
      <c r="J56" s="175">
        <f>H56/DAY(B2)</f>
        <v>22.098749999997381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'7'!F57</f>
        <v>647254</v>
      </c>
      <c r="F57" s="145">
        <v>649639</v>
      </c>
      <c r="G57" s="112">
        <f t="shared" si="4"/>
        <v>2385</v>
      </c>
      <c r="H57" s="99">
        <f>G57+'7'!H57</f>
        <v>18806</v>
      </c>
      <c r="I57" s="95"/>
      <c r="J57" s="175">
        <f>H57/DAY(B2)</f>
        <v>2350.75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'7'!F58</f>
        <v>88358</v>
      </c>
      <c r="F58" s="145">
        <v>88605</v>
      </c>
      <c r="G58" s="112">
        <f t="shared" si="4"/>
        <v>247</v>
      </c>
      <c r="H58" s="99">
        <f>G58+'7'!H58</f>
        <v>2044.5010000000038</v>
      </c>
      <c r="I58" s="95"/>
      <c r="J58" s="175">
        <f>H58/DAY(B2)</f>
        <v>255.56262500000048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4912</v>
      </c>
      <c r="H59" s="99">
        <f>G59+'7'!H59</f>
        <v>39051.110999999924</v>
      </c>
      <c r="I59" s="95">
        <f>G7-G60</f>
        <v>1439</v>
      </c>
      <c r="J59" s="175">
        <f>H59/DAY(B2)</f>
        <v>4881.3888749999905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19942</v>
      </c>
      <c r="H60" s="99">
        <f>G60+'7'!H60</f>
        <v>157575.67099999994</v>
      </c>
      <c r="I60" s="95">
        <f>G13-G60</f>
        <v>842</v>
      </c>
      <c r="J60" s="175">
        <f>H60/DAY(B2)</f>
        <v>19696.958874999993</v>
      </c>
      <c r="K60" s="79"/>
      <c r="L60" s="66"/>
      <c r="N60" s="87"/>
      <c r="O60" s="71"/>
    </row>
    <row r="61" spans="1:15" s="68" customFormat="1" ht="26.25">
      <c r="A61" s="935" t="s">
        <v>332</v>
      </c>
      <c r="B61" s="936"/>
      <c r="C61" s="93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02" t="s">
        <v>198</v>
      </c>
      <c r="B62" s="903"/>
      <c r="C62" s="904"/>
      <c r="D62" s="151" t="s">
        <v>142</v>
      </c>
      <c r="E62" s="95">
        <f>'7'!F62</f>
        <v>312831</v>
      </c>
      <c r="F62" s="122">
        <v>312965</v>
      </c>
      <c r="G62" s="112">
        <f t="shared" ref="G62:G63" si="5">F62-E62</f>
        <v>134</v>
      </c>
      <c r="H62" s="99">
        <f>G62+'7'!H62</f>
        <v>865</v>
      </c>
      <c r="I62" s="118"/>
      <c r="J62" s="175">
        <f>H62/DAY(B2)</f>
        <v>108.125</v>
      </c>
      <c r="K62" s="80"/>
      <c r="L62" s="66"/>
      <c r="N62" s="87"/>
      <c r="O62" s="71"/>
    </row>
    <row r="63" spans="1:15" ht="25.5">
      <c r="A63" s="902" t="s">
        <v>199</v>
      </c>
      <c r="B63" s="903"/>
      <c r="C63" s="904"/>
      <c r="D63" s="151" t="s">
        <v>142</v>
      </c>
      <c r="E63" s="95">
        <f>'7'!F63</f>
        <v>249757</v>
      </c>
      <c r="F63" s="122">
        <v>249865</v>
      </c>
      <c r="G63" s="112">
        <f t="shared" si="5"/>
        <v>108</v>
      </c>
      <c r="H63" s="99">
        <f>G63+'7'!H63</f>
        <v>830</v>
      </c>
      <c r="I63" s="118"/>
      <c r="J63" s="175">
        <f>H63/DAY(B2)</f>
        <v>103.75</v>
      </c>
      <c r="K63" s="69"/>
      <c r="L63" s="66"/>
      <c r="N63" s="87"/>
      <c r="O63" s="71"/>
    </row>
    <row r="64" spans="1:15" ht="26.25">
      <c r="A64" s="911" t="s">
        <v>200</v>
      </c>
      <c r="B64" s="912"/>
      <c r="C64" s="913"/>
      <c r="D64" s="151"/>
      <c r="E64" s="95">
        <f>'7'!F64</f>
        <v>0</v>
      </c>
      <c r="F64" s="122"/>
      <c r="G64" s="112">
        <f>G62+G63</f>
        <v>242</v>
      </c>
      <c r="H64" s="99">
        <f>G64+'7'!H64</f>
        <v>1695</v>
      </c>
      <c r="I64" s="118"/>
      <c r="J64" s="175">
        <f>H64/DAY(B2)</f>
        <v>211.875</v>
      </c>
      <c r="K64" s="69"/>
      <c r="L64" s="66"/>
      <c r="N64" s="87"/>
      <c r="O64" s="71"/>
    </row>
    <row r="65" spans="1:15" ht="25.5">
      <c r="A65" s="902" t="s">
        <v>201</v>
      </c>
      <c r="B65" s="903"/>
      <c r="C65" s="904"/>
      <c r="D65" s="151" t="s">
        <v>142</v>
      </c>
      <c r="E65" s="95">
        <f>'7'!F65</f>
        <v>472895</v>
      </c>
      <c r="F65" s="122">
        <v>473010</v>
      </c>
      <c r="G65" s="112">
        <f t="shared" ref="G65:G70" si="6">F65-E65</f>
        <v>115</v>
      </c>
      <c r="H65" s="99">
        <f>G65+'7'!H65</f>
        <v>980</v>
      </c>
      <c r="I65" s="118"/>
      <c r="J65" s="175">
        <f>H65/DAY(B2)</f>
        <v>122.5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v>113262</v>
      </c>
      <c r="F66" s="122">
        <v>113703</v>
      </c>
      <c r="G66" s="112">
        <f t="shared" si="6"/>
        <v>441</v>
      </c>
      <c r="H66" s="99">
        <f>G66+'7'!H66</f>
        <v>546</v>
      </c>
      <c r="I66" s="118"/>
      <c r="J66" s="175">
        <f>H66/DAY(B2)</f>
        <v>68.25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'7'!F67</f>
        <v>116739</v>
      </c>
      <c r="F67" s="122">
        <v>116762</v>
      </c>
      <c r="G67" s="112">
        <f t="shared" si="6"/>
        <v>23</v>
      </c>
      <c r="H67" s="99">
        <f>G67+'7'!H67</f>
        <v>195</v>
      </c>
      <c r="I67" s="118"/>
      <c r="J67" s="175">
        <f>H67/DAY(B2)</f>
        <v>24.375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'7'!F68</f>
        <v>169504</v>
      </c>
      <c r="F68" s="122">
        <v>169521</v>
      </c>
      <c r="G68" s="112">
        <f t="shared" si="6"/>
        <v>17</v>
      </c>
      <c r="H68" s="99">
        <f>G68+'7'!H68</f>
        <v>162</v>
      </c>
      <c r="I68" s="118"/>
      <c r="J68" s="175">
        <f>H68/DAY(B2)</f>
        <v>20.25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'7'!F69</f>
        <v>13007</v>
      </c>
      <c r="F69" s="122">
        <v>13011</v>
      </c>
      <c r="G69" s="112">
        <f t="shared" si="6"/>
        <v>4</v>
      </c>
      <c r="H69" s="99">
        <f>G69+'7'!H69</f>
        <v>45</v>
      </c>
      <c r="I69" s="118"/>
      <c r="J69" s="175">
        <f>H69/DAY(B2)</f>
        <v>5.625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'7'!F70</f>
        <v>11069</v>
      </c>
      <c r="F70" s="122">
        <v>11083</v>
      </c>
      <c r="G70" s="112">
        <f t="shared" si="6"/>
        <v>14</v>
      </c>
      <c r="H70" s="99">
        <f>G70+'7'!H70</f>
        <v>67</v>
      </c>
      <c r="I70" s="118"/>
      <c r="J70" s="175">
        <f>H70/DAY(B2)</f>
        <v>8.375</v>
      </c>
      <c r="K70" s="69"/>
      <c r="L70" s="66"/>
      <c r="N70" s="87"/>
      <c r="O70" s="71"/>
    </row>
    <row r="71" spans="1:15" ht="26.25">
      <c r="A71" s="911" t="s">
        <v>208</v>
      </c>
      <c r="B71" s="912"/>
      <c r="C71" s="913"/>
      <c r="D71" s="152"/>
      <c r="E71" s="152"/>
      <c r="F71" s="152"/>
      <c r="G71" s="153">
        <f>SUM(G65:G70)</f>
        <v>614</v>
      </c>
      <c r="H71" s="99">
        <f>G71+'7'!H71</f>
        <v>1995</v>
      </c>
      <c r="I71" s="154"/>
      <c r="J71" s="175">
        <f>H71/DAY(B2)</f>
        <v>249.375</v>
      </c>
      <c r="K71" s="69"/>
      <c r="L71" s="66"/>
      <c r="N71" s="87"/>
      <c r="O71" s="71"/>
    </row>
    <row r="72" spans="1:15" s="88" customFormat="1" ht="25.5">
      <c r="A72" s="898"/>
      <c r="B72" s="88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08" t="s">
        <v>333</v>
      </c>
      <c r="B73" s="909"/>
      <c r="C73" s="910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02" t="s">
        <v>220</v>
      </c>
      <c r="B74" s="903"/>
      <c r="C74" s="904"/>
      <c r="D74" s="151" t="s">
        <v>139</v>
      </c>
      <c r="E74" s="95">
        <f>'7'!F74</f>
        <v>4708</v>
      </c>
      <c r="F74" s="123">
        <v>5007</v>
      </c>
      <c r="G74" s="112">
        <f t="shared" ref="G74:G78" si="7">F74-E74</f>
        <v>299</v>
      </c>
      <c r="H74" s="99">
        <f>G74+'7'!H74</f>
        <v>2492</v>
      </c>
      <c r="I74" s="154"/>
      <c r="J74" s="175">
        <f>H74/DAY(B2)</f>
        <v>311.5</v>
      </c>
      <c r="K74" s="69"/>
      <c r="L74" s="66"/>
      <c r="N74" s="87"/>
      <c r="O74" s="71"/>
    </row>
    <row r="75" spans="1:15" ht="25.5">
      <c r="A75" s="902" t="s">
        <v>221</v>
      </c>
      <c r="B75" s="903"/>
      <c r="C75" s="904"/>
      <c r="D75" s="151" t="s">
        <v>139</v>
      </c>
      <c r="E75" s="95">
        <f>'7'!F75</f>
        <v>73586.8</v>
      </c>
      <c r="F75" s="123">
        <v>73586.8</v>
      </c>
      <c r="G75" s="112">
        <f t="shared" si="7"/>
        <v>0</v>
      </c>
      <c r="H75" s="99">
        <f>G75+'7'!H75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899" t="s">
        <v>222</v>
      </c>
      <c r="B76" s="900"/>
      <c r="C76" s="901"/>
      <c r="D76" s="151" t="s">
        <v>139</v>
      </c>
      <c r="E76" s="95">
        <f>'7'!F76</f>
        <v>208101</v>
      </c>
      <c r="F76" s="123">
        <v>208207</v>
      </c>
      <c r="G76" s="112">
        <f t="shared" si="7"/>
        <v>106</v>
      </c>
      <c r="H76" s="99">
        <f>G76+'7'!H76</f>
        <v>830</v>
      </c>
      <c r="I76" s="154"/>
      <c r="J76" s="175">
        <f>H76/DAY(B2)</f>
        <v>103.75</v>
      </c>
      <c r="K76" s="69"/>
      <c r="L76" s="66"/>
      <c r="N76" s="87"/>
      <c r="O76" s="71"/>
    </row>
    <row r="77" spans="1:15" ht="25.5">
      <c r="A77" s="899" t="s">
        <v>223</v>
      </c>
      <c r="B77" s="900"/>
      <c r="C77" s="901"/>
      <c r="D77" s="151" t="s">
        <v>139</v>
      </c>
      <c r="E77" s="95">
        <f>'7'!F77</f>
        <v>58503</v>
      </c>
      <c r="F77" s="123">
        <v>58551</v>
      </c>
      <c r="G77" s="112">
        <f t="shared" si="7"/>
        <v>48</v>
      </c>
      <c r="H77" s="99">
        <f>G77+'7'!H77</f>
        <v>399</v>
      </c>
      <c r="I77" s="154"/>
      <c r="J77" s="175">
        <f>H77/DAY(B2)</f>
        <v>49.875</v>
      </c>
      <c r="K77" s="69"/>
      <c r="L77" s="66"/>
      <c r="N77" s="87"/>
      <c r="O77" s="71"/>
    </row>
    <row r="78" spans="1:15" ht="25.5">
      <c r="A78" s="899" t="s">
        <v>224</v>
      </c>
      <c r="B78" s="900"/>
      <c r="C78" s="901"/>
      <c r="D78" s="151" t="s">
        <v>139</v>
      </c>
      <c r="E78" s="95">
        <f>'7'!F78</f>
        <v>9563.4</v>
      </c>
      <c r="F78" s="123">
        <v>9563.4</v>
      </c>
      <c r="G78" s="112">
        <f t="shared" si="7"/>
        <v>0</v>
      </c>
      <c r="H78" s="99">
        <f>G78+'7'!H78</f>
        <v>-0.6000000000003638</v>
      </c>
      <c r="I78" s="118"/>
      <c r="J78" s="175">
        <f>H78/DAY(B2)</f>
        <v>-7.5000000000045475E-2</v>
      </c>
      <c r="K78" s="69"/>
      <c r="L78" s="66"/>
      <c r="N78" s="87"/>
      <c r="O78" s="71"/>
    </row>
    <row r="79" spans="1:15" s="57" customFormat="1" ht="25.5">
      <c r="A79" s="899" t="s">
        <v>225</v>
      </c>
      <c r="B79" s="900"/>
      <c r="C79" s="901"/>
      <c r="D79" s="151"/>
      <c r="E79" s="95">
        <f>'7'!F79</f>
        <v>0</v>
      </c>
      <c r="F79" s="117"/>
      <c r="G79" s="112">
        <f>G15-SUM(G74:G78)</f>
        <v>659</v>
      </c>
      <c r="H79" s="99">
        <f>G79+'7'!H79</f>
        <v>5275.2419999999929</v>
      </c>
      <c r="I79" s="118"/>
      <c r="J79" s="175"/>
      <c r="K79" s="59"/>
      <c r="L79" s="58"/>
      <c r="N79" s="87"/>
      <c r="O79" s="71"/>
    </row>
    <row r="80" spans="1:15" s="57" customFormat="1" ht="26.25">
      <c r="A80" s="911" t="s">
        <v>329</v>
      </c>
      <c r="B80" s="912"/>
      <c r="C80" s="913"/>
      <c r="D80" s="151"/>
      <c r="E80" s="117"/>
      <c r="F80" s="117"/>
      <c r="G80" s="112">
        <f>SUM(G74:G79)</f>
        <v>1112</v>
      </c>
      <c r="H80" s="99"/>
      <c r="I80" s="118"/>
      <c r="J80" s="175"/>
      <c r="K80" s="59"/>
      <c r="L80" s="58"/>
      <c r="N80" s="87"/>
      <c r="O80" s="71"/>
    </row>
    <row r="81" spans="1:15" ht="25.5">
      <c r="A81" s="915" t="s">
        <v>226</v>
      </c>
      <c r="B81" s="916"/>
      <c r="C81" s="917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'7'!F82</f>
        <v>0</v>
      </c>
      <c r="F82" s="122">
        <v>0</v>
      </c>
      <c r="G82" s="112">
        <f t="shared" ref="G82:G92" si="8">F82-E82</f>
        <v>0</v>
      </c>
      <c r="H82" s="99">
        <f>G82+'7'!H82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'7'!F83</f>
        <v>0</v>
      </c>
      <c r="F83" s="122">
        <v>0</v>
      </c>
      <c r="G83" s="112">
        <f t="shared" si="8"/>
        <v>0</v>
      </c>
      <c r="H83" s="99">
        <f>G83+'7'!H83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'7'!F84</f>
        <v>43546</v>
      </c>
      <c r="F84" s="164">
        <v>43546</v>
      </c>
      <c r="G84" s="112">
        <f t="shared" si="8"/>
        <v>0</v>
      </c>
      <c r="H84" s="99">
        <f>G84+'7'!H84</f>
        <v>0</v>
      </c>
      <c r="I84" s="545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'7'!F85</f>
        <v>6100</v>
      </c>
      <c r="F85" s="164">
        <v>6124</v>
      </c>
      <c r="G85" s="112">
        <f t="shared" si="8"/>
        <v>24</v>
      </c>
      <c r="H85" s="99">
        <f>G85+'7'!H85</f>
        <v>191.55000000000018</v>
      </c>
      <c r="I85" s="545"/>
      <c r="J85" s="175">
        <f>H85/DAY(B2)</f>
        <v>23.943750000000023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'7'!F86</f>
        <v>46834</v>
      </c>
      <c r="F86" s="164">
        <v>46834</v>
      </c>
      <c r="G86" s="112">
        <f t="shared" si="8"/>
        <v>0</v>
      </c>
      <c r="H86" s="99">
        <f>G86+'7'!H86</f>
        <v>0</v>
      </c>
      <c r="I86" s="545"/>
      <c r="J86" s="175">
        <f>H86/DAY(B2)</f>
        <v>0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'7'!F87</f>
        <v>37028</v>
      </c>
      <c r="F87" s="164">
        <v>37028</v>
      </c>
      <c r="G87" s="112">
        <f t="shared" si="8"/>
        <v>0</v>
      </c>
      <c r="H87" s="99">
        <f>G87+'7'!H87</f>
        <v>0</v>
      </c>
      <c r="I87" s="544">
        <f>G84+G85+G86+G87</f>
        <v>24</v>
      </c>
      <c r="J87" s="175">
        <f>H87/DAY(B2)</f>
        <v>0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'7'!F88</f>
        <v>24617</v>
      </c>
      <c r="F88" s="164">
        <v>24621</v>
      </c>
      <c r="G88" s="112">
        <f t="shared" si="8"/>
        <v>4</v>
      </c>
      <c r="H88" s="99">
        <f>G88+'7'!H88</f>
        <v>17.400000000001455</v>
      </c>
      <c r="I88" s="544"/>
      <c r="J88" s="175">
        <f>H88/DAY(B2)</f>
        <v>2.1750000000001819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'7'!F89</f>
        <v>28825</v>
      </c>
      <c r="F89" s="164">
        <v>28837</v>
      </c>
      <c r="G89" s="112">
        <f t="shared" si="8"/>
        <v>12</v>
      </c>
      <c r="H89" s="99">
        <f>G89+'7'!H89</f>
        <v>88.610000000000582</v>
      </c>
      <c r="I89" s="544">
        <f>G88+G89</f>
        <v>16</v>
      </c>
      <c r="J89" s="175">
        <f>H89/DAY(B2)</f>
        <v>11.076250000000073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'7'!F90</f>
        <v>74284</v>
      </c>
      <c r="F90" s="164">
        <v>74290.44</v>
      </c>
      <c r="G90" s="112">
        <f t="shared" si="8"/>
        <v>6.4400000000023283</v>
      </c>
      <c r="H90" s="99">
        <f>G90+'7'!H90</f>
        <v>87.260000000009313</v>
      </c>
      <c r="I90" s="544">
        <f>G90</f>
        <v>6.4400000000023283</v>
      </c>
      <c r="J90" s="175">
        <f>H90/DAY(B2)</f>
        <v>10.907500000001164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'7'!F91</f>
        <v>5618</v>
      </c>
      <c r="F91" s="122">
        <v>5618</v>
      </c>
      <c r="G91" s="112">
        <f t="shared" si="8"/>
        <v>0</v>
      </c>
      <c r="H91" s="99">
        <f>G91+'7'!H91</f>
        <v>-0.21000000000003638</v>
      </c>
      <c r="I91" s="554"/>
      <c r="J91" s="175">
        <f>H91/DAY(B2)</f>
        <v>-2.6250000000004547E-2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'7'!F92</f>
        <v>7158.76</v>
      </c>
      <c r="F92" s="122">
        <v>7170</v>
      </c>
      <c r="G92" s="112">
        <f t="shared" si="8"/>
        <v>11.239999999999782</v>
      </c>
      <c r="H92" s="99">
        <f>G92+'7'!H92</f>
        <v>90.3100000000004</v>
      </c>
      <c r="I92" s="555">
        <f>G91+G92</f>
        <v>11.239999999999782</v>
      </c>
      <c r="J92" s="175">
        <f>H92/DAY(B2)</f>
        <v>11.28875000000005</v>
      </c>
      <c r="O92" s="71"/>
    </row>
    <row r="93" spans="1:15" ht="26.25">
      <c r="A93" s="905" t="s">
        <v>239</v>
      </c>
      <c r="B93" s="906"/>
      <c r="C93" s="90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5396</v>
      </c>
      <c r="H94" s="99">
        <f>G94+'7'!H94</f>
        <v>43621.859999999986</v>
      </c>
      <c r="I94" s="118"/>
      <c r="J94" s="175">
        <f>H94/DAY(B2)</f>
        <v>5452.7324999999983</v>
      </c>
      <c r="K94" s="69"/>
      <c r="L94" s="66"/>
      <c r="O94" s="71"/>
    </row>
    <row r="95" spans="1:15" ht="25.5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0.25237360273139703</v>
      </c>
      <c r="H95" s="99">
        <f>G95+'7'!H95</f>
        <v>2.0894232093475469</v>
      </c>
      <c r="I95" s="167"/>
      <c r="J95" s="175">
        <f>H95/DAY(B2)</f>
        <v>0.26117790116844336</v>
      </c>
      <c r="K95" s="69"/>
      <c r="L95" s="66"/>
      <c r="O95" s="71"/>
    </row>
    <row r="96" spans="1:15" ht="25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4796</v>
      </c>
      <c r="H96" s="99">
        <f>G96+'7'!H96</f>
        <v>36018.179999999993</v>
      </c>
      <c r="I96" s="118"/>
      <c r="J96" s="175">
        <f>H96/DAY(B2)</f>
        <v>4502.2724999999991</v>
      </c>
      <c r="K96" s="69"/>
      <c r="L96" s="66"/>
      <c r="O96" s="71"/>
    </row>
    <row r="97" spans="1:15" ht="25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0.22431130442916608</v>
      </c>
      <c r="H97" s="99">
        <f>G97+'7'!H97</f>
        <v>1.7229653641778606</v>
      </c>
      <c r="I97" s="167"/>
      <c r="J97" s="175">
        <f>H97/DAY(B2)</f>
        <v>0.21537067052223258</v>
      </c>
      <c r="K97" s="69"/>
      <c r="L97" s="66"/>
      <c r="O97" s="71"/>
    </row>
    <row r="98" spans="1:15" ht="25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2814</v>
      </c>
      <c r="H98" s="99">
        <f>G98+'7'!H98</f>
        <v>22674.969999999972</v>
      </c>
      <c r="I98" s="168"/>
      <c r="J98" s="175">
        <f>H98/DAY(B2)</f>
        <v>2834.3712499999965</v>
      </c>
      <c r="K98" s="69"/>
      <c r="L98" s="66"/>
      <c r="O98" s="71"/>
    </row>
    <row r="99" spans="1:15" ht="25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0.13161217903746317</v>
      </c>
      <c r="H99" s="99">
        <f>G99+'7'!H99</f>
        <v>1.0860371134050604</v>
      </c>
      <c r="I99" s="168"/>
      <c r="J99" s="175">
        <f>H99/DAY(B2)</f>
        <v>0.13575463917563255</v>
      </c>
      <c r="O99" s="71"/>
    </row>
    <row r="100" spans="1:15" ht="26.2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2595</v>
      </c>
      <c r="H100" s="99">
        <f>G100+'7'!H100</f>
        <v>17945.410000000025</v>
      </c>
      <c r="I100" s="118"/>
      <c r="J100" s="175">
        <f>H100/DAY(B2)</f>
        <v>2243.1762500000032</v>
      </c>
      <c r="K100" s="70"/>
      <c r="O100" s="71"/>
    </row>
    <row r="101" spans="1:15" ht="25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0.12136944015714887</v>
      </c>
      <c r="H101" s="99">
        <f>G101+'7'!H101</f>
        <v>0.8571271580564559</v>
      </c>
      <c r="I101" s="168"/>
      <c r="J101" s="175">
        <f>H101/DAY(B2)</f>
        <v>0.10714089475705699</v>
      </c>
      <c r="O101" s="71"/>
    </row>
    <row r="102" spans="1:15" ht="25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2151</v>
      </c>
      <c r="H102" s="99">
        <f>G102+'7'!H102</f>
        <v>18221.099999999977</v>
      </c>
      <c r="I102" s="168"/>
      <c r="J102" s="175">
        <f>H102/DAY(B2)</f>
        <v>2277.6374999999971</v>
      </c>
      <c r="O102" s="71"/>
    </row>
    <row r="103" spans="1:15" ht="25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0.10060333941349797</v>
      </c>
      <c r="H103" s="99">
        <f>G103+'7'!H103</f>
        <v>0.87160034899022432</v>
      </c>
      <c r="I103" s="118"/>
      <c r="J103" s="175">
        <f>H103/DAY(B2)</f>
        <v>0.10895004362377804</v>
      </c>
      <c r="O103" s="71"/>
    </row>
    <row r="104" spans="1:15" ht="25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1552</v>
      </c>
      <c r="H104" s="99">
        <f>G104+'7'!H104</f>
        <v>11753.130000000005</v>
      </c>
      <c r="I104" s="118"/>
      <c r="J104" s="175">
        <f>H104/DAY(B2)</f>
        <v>1469.1412500000006</v>
      </c>
      <c r="O104" s="71"/>
    </row>
    <row r="105" spans="1:15" ht="26.25" thickBot="1">
      <c r="A105" s="895" t="s">
        <v>251</v>
      </c>
      <c r="B105" s="896"/>
      <c r="C105" s="897"/>
      <c r="D105" s="231" t="s">
        <v>23</v>
      </c>
      <c r="E105" s="185"/>
      <c r="F105" s="185"/>
      <c r="G105" s="186">
        <f>G104/G7</f>
        <v>7.25878116084374E-2</v>
      </c>
      <c r="H105" s="99">
        <f>G105+'7'!H105</f>
        <v>0.5628529557364006</v>
      </c>
      <c r="I105" s="187"/>
      <c r="J105" s="188">
        <f>H105/DAY(B2)</f>
        <v>7.0356619467050074E-2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891" t="s">
        <v>324</v>
      </c>
      <c r="B108" s="891"/>
      <c r="C108" s="891"/>
      <c r="D108" s="891"/>
      <c r="E108" s="891"/>
      <c r="F108" s="891"/>
      <c r="G108" s="891"/>
      <c r="H108" s="891"/>
      <c r="I108" s="891"/>
      <c r="J108" s="891"/>
    </row>
    <row r="109" spans="1:15" ht="26.25">
      <c r="A109" s="918"/>
      <c r="B109" s="918"/>
    </row>
    <row r="110" spans="1:15" ht="26.25">
      <c r="A110" s="892" t="s">
        <v>165</v>
      </c>
      <c r="B110" s="893"/>
      <c r="C110" s="893"/>
      <c r="D110" s="893"/>
      <c r="E110" s="893"/>
      <c r="F110" s="893"/>
      <c r="G110" s="893"/>
      <c r="H110" s="893"/>
      <c r="I110" s="893"/>
      <c r="J110" s="894"/>
    </row>
    <row r="111" spans="1:15" ht="25.5">
      <c r="A111" s="885"/>
      <c r="B111" s="886"/>
      <c r="C111" s="887"/>
      <c r="D111" s="165"/>
      <c r="E111" s="165"/>
      <c r="F111" s="165"/>
      <c r="G111" s="165"/>
      <c r="H111" s="156"/>
      <c r="I111" s="165"/>
      <c r="J111" s="327"/>
    </row>
    <row r="112" spans="1:15" ht="25.5">
      <c r="A112" s="881" t="s">
        <v>252</v>
      </c>
      <c r="B112" s="882"/>
      <c r="C112" s="883"/>
      <c r="D112" s="146" t="s">
        <v>183</v>
      </c>
      <c r="E112" s="95">
        <f>'7'!F112</f>
        <v>17931</v>
      </c>
      <c r="F112" s="237">
        <v>17990</v>
      </c>
      <c r="G112" s="112">
        <f t="shared" ref="G112:G123" si="9">F112-E112</f>
        <v>59</v>
      </c>
      <c r="H112" s="99">
        <f>G112+'7'!H112</f>
        <v>478.70000000000073</v>
      </c>
      <c r="I112" s="165"/>
      <c r="J112" s="328">
        <f>H112/DAY(B2)</f>
        <v>59.837500000000091</v>
      </c>
    </row>
    <row r="113" spans="1:18" ht="29.25" customHeight="1">
      <c r="A113" s="881" t="s">
        <v>253</v>
      </c>
      <c r="B113" s="882"/>
      <c r="C113" s="883"/>
      <c r="D113" s="146" t="s">
        <v>183</v>
      </c>
      <c r="E113" s="95">
        <f>'7'!F113</f>
        <v>38083</v>
      </c>
      <c r="F113" s="237">
        <v>38218</v>
      </c>
      <c r="G113" s="112">
        <f t="shared" si="9"/>
        <v>135</v>
      </c>
      <c r="H113" s="99">
        <f>G113+'7'!H113</f>
        <v>1139</v>
      </c>
      <c r="I113" s="165"/>
      <c r="J113" s="328">
        <f>H113/DAY(B2)</f>
        <v>142.375</v>
      </c>
    </row>
    <row r="114" spans="1:18" ht="29.25" customHeight="1">
      <c r="A114" s="881" t="s">
        <v>254</v>
      </c>
      <c r="B114" s="882"/>
      <c r="C114" s="883"/>
      <c r="D114" s="146" t="s">
        <v>183</v>
      </c>
      <c r="E114" s="95">
        <f>'7'!F114</f>
        <v>55833</v>
      </c>
      <c r="F114" s="237">
        <v>56054</v>
      </c>
      <c r="G114" s="112">
        <f t="shared" si="9"/>
        <v>221</v>
      </c>
      <c r="H114" s="99">
        <f>G114+'7'!H114</f>
        <v>1786.2200000000012</v>
      </c>
      <c r="I114" s="165"/>
      <c r="J114" s="328">
        <f>H114/DAY(B2)</f>
        <v>223.27750000000015</v>
      </c>
    </row>
    <row r="115" spans="1:18" ht="29.25" customHeight="1">
      <c r="A115" s="881" t="s">
        <v>255</v>
      </c>
      <c r="B115" s="882"/>
      <c r="C115" s="883"/>
      <c r="D115" s="146" t="s">
        <v>183</v>
      </c>
      <c r="E115" s="95">
        <f>'7'!F115</f>
        <v>36023</v>
      </c>
      <c r="F115" s="237">
        <v>36166</v>
      </c>
      <c r="G115" s="112">
        <f t="shared" si="9"/>
        <v>143</v>
      </c>
      <c r="H115" s="99">
        <f>G115+'7'!H115</f>
        <v>1199.0899999999965</v>
      </c>
      <c r="I115" s="165"/>
      <c r="J115" s="328">
        <f>H115/DAY(B2)</f>
        <v>149.88624999999956</v>
      </c>
    </row>
    <row r="116" spans="1:18" ht="29.25" customHeight="1">
      <c r="A116" s="888" t="s">
        <v>96</v>
      </c>
      <c r="B116" s="889"/>
      <c r="C116" s="890"/>
      <c r="D116" s="146" t="s">
        <v>183</v>
      </c>
      <c r="E116" s="95">
        <f>'7'!F116</f>
        <v>137444</v>
      </c>
      <c r="F116" s="237">
        <v>137953</v>
      </c>
      <c r="G116" s="112">
        <f t="shared" si="9"/>
        <v>509</v>
      </c>
      <c r="H116" s="99">
        <f>G116+'7'!H116</f>
        <v>3464.609999999986</v>
      </c>
      <c r="I116" s="165"/>
      <c r="J116" s="328">
        <f>H116/DAY(B2)</f>
        <v>433.07624999999825</v>
      </c>
      <c r="Q116" s="881" t="s">
        <v>311</v>
      </c>
      <c r="R116" s="883"/>
    </row>
    <row r="117" spans="1:18" ht="29.25" customHeight="1">
      <c r="A117" s="888" t="s">
        <v>184</v>
      </c>
      <c r="B117" s="889"/>
      <c r="C117" s="890"/>
      <c r="D117" s="146" t="s">
        <v>183</v>
      </c>
      <c r="E117" s="95">
        <f>'7'!F117</f>
        <v>85406</v>
      </c>
      <c r="F117" s="237">
        <v>85810</v>
      </c>
      <c r="G117" s="112">
        <f t="shared" si="9"/>
        <v>404</v>
      </c>
      <c r="H117" s="99">
        <f>G117+'7'!H117</f>
        <v>3100</v>
      </c>
      <c r="I117" s="165"/>
      <c r="J117" s="328">
        <f>H117/DAY(B2)</f>
        <v>387.5</v>
      </c>
      <c r="Q117" s="881" t="s">
        <v>312</v>
      </c>
      <c r="R117" s="883"/>
    </row>
    <row r="118" spans="1:18" ht="25.5">
      <c r="A118" s="880" t="s">
        <v>97</v>
      </c>
      <c r="B118" s="880"/>
      <c r="C118" s="880"/>
      <c r="D118" s="151" t="s">
        <v>183</v>
      </c>
      <c r="E118" s="95">
        <f>'7'!F118</f>
        <v>162625</v>
      </c>
      <c r="F118" s="237">
        <v>163210</v>
      </c>
      <c r="G118" s="112">
        <f t="shared" si="9"/>
        <v>585</v>
      </c>
      <c r="H118" s="99">
        <f>G118+'7'!H118</f>
        <v>5072.8500000000058</v>
      </c>
      <c r="I118" s="165"/>
      <c r="J118" s="328">
        <f>H118/DAY(B2)</f>
        <v>634.10625000000073</v>
      </c>
      <c r="Q118" s="881" t="s">
        <v>311</v>
      </c>
      <c r="R118" s="883"/>
    </row>
    <row r="119" spans="1:18" ht="25.5">
      <c r="A119" s="880" t="s">
        <v>98</v>
      </c>
      <c r="B119" s="880"/>
      <c r="C119" s="880"/>
      <c r="D119" s="151" t="s">
        <v>183</v>
      </c>
      <c r="E119" s="95">
        <f>'7'!F119</f>
        <v>44187</v>
      </c>
      <c r="F119" s="237">
        <v>44227</v>
      </c>
      <c r="G119" s="112">
        <f t="shared" si="9"/>
        <v>40</v>
      </c>
      <c r="H119" s="99">
        <f>G119+'7'!H119</f>
        <v>287.82499999999709</v>
      </c>
      <c r="I119" s="165"/>
      <c r="J119" s="328">
        <f>H119/DAY(B2)</f>
        <v>35.978124999999636</v>
      </c>
    </row>
    <row r="120" spans="1:18" ht="25.5">
      <c r="A120" s="880" t="s">
        <v>99</v>
      </c>
      <c r="B120" s="880"/>
      <c r="C120" s="880"/>
      <c r="D120" s="151" t="s">
        <v>183</v>
      </c>
      <c r="E120" s="95">
        <f>'7'!F120</f>
        <v>111268</v>
      </c>
      <c r="F120" s="237">
        <v>111654</v>
      </c>
      <c r="G120" s="112">
        <f t="shared" si="9"/>
        <v>386</v>
      </c>
      <c r="H120" s="99">
        <f>G120+'7'!H120</f>
        <v>3216.8600000000006</v>
      </c>
      <c r="I120" s="165"/>
      <c r="J120" s="328">
        <f>H120/DAY(B2)</f>
        <v>402.10750000000007</v>
      </c>
    </row>
    <row r="121" spans="1:18" ht="25.5">
      <c r="A121" s="880" t="s">
        <v>100</v>
      </c>
      <c r="B121" s="880"/>
      <c r="C121" s="880"/>
      <c r="D121" s="151" t="s">
        <v>183</v>
      </c>
      <c r="E121" s="95">
        <f>'7'!F121</f>
        <v>124257</v>
      </c>
      <c r="F121" s="237">
        <v>124667</v>
      </c>
      <c r="G121" s="112">
        <f t="shared" si="9"/>
        <v>410</v>
      </c>
      <c r="H121" s="99">
        <f>G121+'7'!H121</f>
        <v>3444.1100000000006</v>
      </c>
      <c r="I121" s="165"/>
      <c r="J121" s="328">
        <f>H121/DAY(B2)</f>
        <v>430.51375000000007</v>
      </c>
    </row>
    <row r="122" spans="1:18" ht="25.5">
      <c r="A122" s="880" t="s">
        <v>101</v>
      </c>
      <c r="B122" s="880"/>
      <c r="C122" s="880"/>
      <c r="D122" s="151" t="s">
        <v>183</v>
      </c>
      <c r="E122" s="95">
        <f>'7'!F122</f>
        <v>83341</v>
      </c>
      <c r="F122" s="237">
        <v>83667</v>
      </c>
      <c r="G122" s="112">
        <f t="shared" si="9"/>
        <v>326</v>
      </c>
      <c r="H122" s="99">
        <f>G122+'7'!H122</f>
        <v>2392.6300000000047</v>
      </c>
      <c r="I122" s="165"/>
      <c r="J122" s="328">
        <f>H122/DAY(B2)</f>
        <v>299.07875000000058</v>
      </c>
    </row>
    <row r="123" spans="1:18" ht="25.5">
      <c r="A123" s="880" t="s">
        <v>102</v>
      </c>
      <c r="B123" s="880"/>
      <c r="C123" s="880"/>
      <c r="D123" s="151" t="s">
        <v>183</v>
      </c>
      <c r="E123" s="95">
        <f>'7'!F123</f>
        <v>80186</v>
      </c>
      <c r="F123" s="237">
        <v>80489</v>
      </c>
      <c r="G123" s="112">
        <f t="shared" si="9"/>
        <v>303</v>
      </c>
      <c r="H123" s="99">
        <f>G123+'7'!H123</f>
        <v>2540</v>
      </c>
      <c r="I123" s="165"/>
      <c r="J123" s="328">
        <f>H123/DAY(B2)</f>
        <v>317.5</v>
      </c>
    </row>
    <row r="124" spans="1:18" ht="29.25" customHeight="1">
      <c r="A124" s="885"/>
      <c r="B124" s="886"/>
      <c r="C124" s="887"/>
      <c r="D124" s="165"/>
      <c r="E124" s="165"/>
      <c r="F124" s="165"/>
      <c r="G124" s="327"/>
      <c r="H124" s="156"/>
      <c r="I124" s="165"/>
      <c r="J124" s="327"/>
    </row>
    <row r="125" spans="1:18" ht="25.5">
      <c r="A125" s="787" t="s">
        <v>196</v>
      </c>
      <c r="B125" s="788"/>
      <c r="C125" s="245"/>
      <c r="D125" s="307"/>
      <c r="E125" s="308"/>
      <c r="F125" s="308"/>
      <c r="G125" s="309">
        <f>SUM(G112:G124)</f>
        <v>3521</v>
      </c>
      <c r="H125" s="156"/>
      <c r="I125" s="327">
        <f>G125-(G39+G53)</f>
        <v>707</v>
      </c>
      <c r="J125" s="327"/>
    </row>
    <row r="126" spans="1:18" ht="25.5">
      <c r="A126" s="884" t="s">
        <v>317</v>
      </c>
      <c r="B126" s="884"/>
      <c r="C126" s="884"/>
      <c r="D126" s="884"/>
      <c r="E126" s="884"/>
      <c r="F126" s="884"/>
      <c r="G126" s="884"/>
      <c r="H126" s="884"/>
      <c r="I126" s="884"/>
      <c r="J126" s="884"/>
    </row>
    <row r="127" spans="1:18" ht="25.5">
      <c r="A127" s="870"/>
      <c r="B127" s="870"/>
      <c r="C127" s="245"/>
      <c r="D127" s="307"/>
      <c r="E127" s="308"/>
      <c r="F127" s="308"/>
      <c r="G127" s="309"/>
      <c r="H127" s="99">
        <f>G127+'7'!H127</f>
        <v>0</v>
      </c>
      <c r="I127" s="165"/>
      <c r="J127" s="328">
        <f>H127/DAY(B2)</f>
        <v>0</v>
      </c>
    </row>
    <row r="128" spans="1:18" ht="29.25" customHeight="1">
      <c r="A128" s="881" t="s">
        <v>318</v>
      </c>
      <c r="B128" s="882"/>
      <c r="C128" s="883"/>
      <c r="D128" s="151" t="s">
        <v>183</v>
      </c>
      <c r="E128" s="95">
        <f>'7'!F128</f>
        <v>195344</v>
      </c>
      <c r="F128" s="165">
        <v>195859</v>
      </c>
      <c r="G128" s="112">
        <f t="shared" ref="G128:G134" si="10">F128-E128</f>
        <v>515</v>
      </c>
      <c r="H128" s="99">
        <f>G128+'7'!H128</f>
        <v>3973.3699999999953</v>
      </c>
      <c r="I128" s="165"/>
      <c r="J128" s="328">
        <f>H128/DAY(B2)</f>
        <v>496.67124999999942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'7'!F129</f>
        <v>102599</v>
      </c>
      <c r="F129" s="165">
        <v>102805</v>
      </c>
      <c r="G129" s="112">
        <f t="shared" si="10"/>
        <v>206</v>
      </c>
      <c r="H129" s="99">
        <f>G129+'7'!H129</f>
        <v>1528</v>
      </c>
      <c r="I129" s="165"/>
      <c r="J129" s="328">
        <f>H129/DAY(B2)</f>
        <v>191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'7'!F130</f>
        <v>272102</v>
      </c>
      <c r="F130" s="165">
        <v>272723</v>
      </c>
      <c r="G130" s="112">
        <f t="shared" si="10"/>
        <v>621</v>
      </c>
      <c r="H130" s="99">
        <f>G130+'7'!H130</f>
        <v>3908</v>
      </c>
      <c r="I130" s="165"/>
      <c r="J130" s="328">
        <f>H130/DAY(B2)</f>
        <v>488.5</v>
      </c>
      <c r="N130" s="240"/>
      <c r="O130" s="241"/>
    </row>
    <row r="131" spans="1:15" ht="25.5">
      <c r="A131" s="881" t="s">
        <v>321</v>
      </c>
      <c r="B131" s="882"/>
      <c r="C131" s="883"/>
      <c r="D131" s="151" t="s">
        <v>183</v>
      </c>
      <c r="E131" s="95">
        <f>'7'!F131</f>
        <v>80761</v>
      </c>
      <c r="F131" s="165">
        <v>80891</v>
      </c>
      <c r="G131" s="112">
        <f t="shared" si="10"/>
        <v>130</v>
      </c>
      <c r="H131" s="99">
        <f>G131+'7'!H131</f>
        <v>1340.3699999999953</v>
      </c>
      <c r="I131" s="165"/>
      <c r="J131" s="328">
        <f>H131/DAY(B2)</f>
        <v>167.54624999999942</v>
      </c>
      <c r="N131" s="240"/>
      <c r="O131" s="241"/>
    </row>
    <row r="132" spans="1:15" ht="25.5">
      <c r="A132" s="881" t="s">
        <v>322</v>
      </c>
      <c r="B132" s="882"/>
      <c r="C132" s="883"/>
      <c r="D132" s="151" t="s">
        <v>183</v>
      </c>
      <c r="E132" s="95">
        <f>'7'!F132</f>
        <v>148274</v>
      </c>
      <c r="F132" s="165">
        <v>148274</v>
      </c>
      <c r="G132" s="112">
        <f t="shared" si="10"/>
        <v>0</v>
      </c>
      <c r="H132" s="99">
        <f>G132+'7'!H132</f>
        <v>0</v>
      </c>
      <c r="I132" s="165"/>
      <c r="J132" s="328">
        <f>H132/DAY(B2)</f>
        <v>0</v>
      </c>
    </row>
    <row r="133" spans="1:15" ht="25.5">
      <c r="A133" s="881" t="s">
        <v>323</v>
      </c>
      <c r="B133" s="882"/>
      <c r="C133" s="883"/>
      <c r="D133" s="151" t="s">
        <v>183</v>
      </c>
      <c r="E133" s="95">
        <f>'7'!F133</f>
        <v>288548</v>
      </c>
      <c r="F133" s="165">
        <v>288548</v>
      </c>
      <c r="G133" s="112">
        <f t="shared" si="10"/>
        <v>0</v>
      </c>
      <c r="H133" s="99">
        <f>G133+'7'!H133</f>
        <v>-644500</v>
      </c>
      <c r="I133" s="165"/>
      <c r="J133" s="328">
        <f>H133/DAY(B2)</f>
        <v>-80562.5</v>
      </c>
    </row>
    <row r="134" spans="1:15" ht="25.5">
      <c r="A134" s="881" t="s">
        <v>340</v>
      </c>
      <c r="B134" s="882"/>
      <c r="C134" s="883"/>
      <c r="D134" s="151" t="s">
        <v>183</v>
      </c>
      <c r="E134" s="95">
        <f>'7'!F134</f>
        <v>87806</v>
      </c>
      <c r="F134" s="165">
        <v>88067</v>
      </c>
      <c r="G134" s="112">
        <f t="shared" si="10"/>
        <v>261</v>
      </c>
      <c r="H134" s="99">
        <f>G134+'7'!H134</f>
        <v>2115</v>
      </c>
      <c r="I134" s="165"/>
      <c r="J134" s="328">
        <f>H134/DAY(B2)</f>
        <v>264.375</v>
      </c>
    </row>
    <row r="135" spans="1:15" ht="25.5">
      <c r="A135" s="787" t="s">
        <v>196</v>
      </c>
      <c r="B135" s="788"/>
      <c r="C135" s="331"/>
      <c r="D135" s="151"/>
      <c r="E135" s="95"/>
      <c r="F135" s="165"/>
      <c r="G135" s="112">
        <f>SUM(G128:G134)</f>
        <v>1733</v>
      </c>
      <c r="H135" s="99">
        <f>G135+'7'!H135</f>
        <v>-631635.26</v>
      </c>
      <c r="I135" s="327">
        <f>G135-(G35+G49)</f>
        <v>-1278</v>
      </c>
      <c r="J135" s="328">
        <f>H135/DAY(B2)</f>
        <v>-78954.407500000001</v>
      </c>
    </row>
    <row r="136" spans="1:15" ht="27.75">
      <c r="A136" s="869" t="s">
        <v>325</v>
      </c>
      <c r="B136" s="869"/>
      <c r="C136" s="869"/>
      <c r="D136" s="869"/>
      <c r="E136" s="869"/>
      <c r="F136" s="869"/>
      <c r="G136" s="869"/>
      <c r="H136" s="869"/>
      <c r="I136" s="869"/>
      <c r="J136" s="869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80" t="s">
        <v>185</v>
      </c>
      <c r="B138" s="880"/>
      <c r="C138" s="880"/>
      <c r="D138" s="151" t="s">
        <v>183</v>
      </c>
      <c r="E138" s="95">
        <f>'7'!F138</f>
        <v>910289</v>
      </c>
      <c r="F138" s="147">
        <v>910407</v>
      </c>
      <c r="G138" s="112">
        <f t="shared" ref="G138:G152" si="11">F138-E138</f>
        <v>118</v>
      </c>
      <c r="H138" s="99">
        <f>G138+'7'!H138</f>
        <v>928</v>
      </c>
      <c r="I138" s="118"/>
      <c r="J138" s="328">
        <f>H138/DAY(B2)</f>
        <v>116</v>
      </c>
    </row>
    <row r="139" spans="1:15" ht="25.5">
      <c r="A139" s="880" t="s">
        <v>186</v>
      </c>
      <c r="B139" s="880"/>
      <c r="C139" s="880"/>
      <c r="D139" s="151" t="s">
        <v>183</v>
      </c>
      <c r="E139" s="95">
        <f>'7'!F139</f>
        <v>933519</v>
      </c>
      <c r="F139" s="148">
        <v>933668</v>
      </c>
      <c r="G139" s="112">
        <f t="shared" si="11"/>
        <v>149</v>
      </c>
      <c r="H139" s="99">
        <f>G139+'7'!H139</f>
        <v>1308</v>
      </c>
      <c r="I139" s="118"/>
      <c r="J139" s="328">
        <f>H139/DAY(B2)</f>
        <v>163.5</v>
      </c>
    </row>
    <row r="140" spans="1:15" ht="25.5">
      <c r="A140" s="880" t="s">
        <v>187</v>
      </c>
      <c r="B140" s="880"/>
      <c r="C140" s="880"/>
      <c r="D140" s="151" t="s">
        <v>183</v>
      </c>
      <c r="E140" s="95">
        <f>'7'!F140</f>
        <v>4160</v>
      </c>
      <c r="F140" s="149">
        <v>4185</v>
      </c>
      <c r="G140" s="112">
        <f t="shared" si="11"/>
        <v>25</v>
      </c>
      <c r="H140" s="99">
        <f>G140+'7'!H140</f>
        <v>151.48900000000003</v>
      </c>
      <c r="I140" s="118"/>
      <c r="J140" s="328">
        <f>H140/DAY(B2)</f>
        <v>18.936125000000004</v>
      </c>
    </row>
    <row r="141" spans="1:15" ht="25.5">
      <c r="A141" s="863" t="s">
        <v>188</v>
      </c>
      <c r="B141" s="863"/>
      <c r="C141" s="863"/>
      <c r="D141" s="151" t="s">
        <v>183</v>
      </c>
      <c r="E141" s="95">
        <f>'7'!F141</f>
        <v>125996</v>
      </c>
      <c r="F141" s="149">
        <v>126183</v>
      </c>
      <c r="G141" s="112">
        <f t="shared" si="11"/>
        <v>187</v>
      </c>
      <c r="H141" s="99">
        <f>G141+'7'!H141</f>
        <v>1585</v>
      </c>
      <c r="I141" s="118"/>
      <c r="J141" s="328">
        <f>H141/DAY(B2)</f>
        <v>198.125</v>
      </c>
    </row>
    <row r="142" spans="1:15" ht="25.5">
      <c r="A142" s="863" t="s">
        <v>189</v>
      </c>
      <c r="B142" s="863"/>
      <c r="C142" s="863"/>
      <c r="D142" s="151" t="s">
        <v>183</v>
      </c>
      <c r="E142" s="95">
        <f>'7'!F142</f>
        <v>51175</v>
      </c>
      <c r="F142" s="517">
        <v>51274</v>
      </c>
      <c r="G142" s="112">
        <f t="shared" si="11"/>
        <v>99</v>
      </c>
      <c r="H142" s="99">
        <f>G142+'7'!H142</f>
        <v>708.44999999999709</v>
      </c>
      <c r="I142" s="140"/>
      <c r="J142" s="328">
        <f>H142/DAY(B2)</f>
        <v>88.556249999999636</v>
      </c>
    </row>
    <row r="143" spans="1:15" ht="25.5">
      <c r="A143" s="880" t="s">
        <v>91</v>
      </c>
      <c r="B143" s="880"/>
      <c r="C143" s="880"/>
      <c r="D143" s="151" t="s">
        <v>183</v>
      </c>
      <c r="E143" s="95">
        <f>'7'!F143</f>
        <v>13607</v>
      </c>
      <c r="F143" s="149">
        <v>13635</v>
      </c>
      <c r="G143" s="112">
        <f t="shared" si="11"/>
        <v>28</v>
      </c>
      <c r="H143" s="99">
        <f>G143+'7'!H143</f>
        <v>248</v>
      </c>
      <c r="I143" s="140"/>
      <c r="J143" s="328">
        <f>H143/DAY(B2)</f>
        <v>31</v>
      </c>
    </row>
    <row r="144" spans="1:15" ht="25.5">
      <c r="A144" s="863" t="s">
        <v>90</v>
      </c>
      <c r="B144" s="863"/>
      <c r="C144" s="863"/>
      <c r="D144" s="151" t="s">
        <v>183</v>
      </c>
      <c r="E144" s="95">
        <f>'7'!F144</f>
        <v>957171</v>
      </c>
      <c r="F144" s="149">
        <v>957409</v>
      </c>
      <c r="G144" s="112">
        <f t="shared" si="11"/>
        <v>238</v>
      </c>
      <c r="H144" s="99">
        <f>G144+'7'!H144</f>
        <v>1939</v>
      </c>
      <c r="I144" s="140"/>
      <c r="J144" s="328">
        <f>H144/DAY(B2)</f>
        <v>242.375</v>
      </c>
    </row>
    <row r="145" spans="1:10" ht="25.5">
      <c r="A145" s="880" t="s">
        <v>190</v>
      </c>
      <c r="B145" s="880"/>
      <c r="C145" s="880"/>
      <c r="D145" s="152" t="s">
        <v>183</v>
      </c>
      <c r="E145" s="95">
        <f>'7'!F145</f>
        <v>746186</v>
      </c>
      <c r="F145" s="149">
        <v>746338</v>
      </c>
      <c r="G145" s="112">
        <f t="shared" si="11"/>
        <v>152</v>
      </c>
      <c r="H145" s="99">
        <f>G145+'7'!H145</f>
        <v>1157</v>
      </c>
      <c r="I145" s="140"/>
      <c r="J145" s="328">
        <f>H145/DAY(B2)</f>
        <v>144.625</v>
      </c>
    </row>
    <row r="146" spans="1:10" ht="25.5">
      <c r="A146" s="914" t="s">
        <v>191</v>
      </c>
      <c r="B146" s="900"/>
      <c r="C146" s="901"/>
      <c r="D146" s="152" t="s">
        <v>183</v>
      </c>
      <c r="E146" s="95">
        <f>'7'!F146</f>
        <v>788079</v>
      </c>
      <c r="F146" s="148">
        <v>788116</v>
      </c>
      <c r="G146" s="112">
        <f t="shared" si="11"/>
        <v>37</v>
      </c>
      <c r="H146" s="99">
        <f>G146+'7'!H146</f>
        <v>258</v>
      </c>
      <c r="I146" s="140"/>
      <c r="J146" s="328">
        <f>H146/DAY(B2)</f>
        <v>32.25</v>
      </c>
    </row>
    <row r="147" spans="1:10" ht="25.5">
      <c r="A147" s="863" t="s">
        <v>192</v>
      </c>
      <c r="B147" s="863"/>
      <c r="C147" s="863"/>
      <c r="D147" s="152" t="s">
        <v>183</v>
      </c>
      <c r="E147" s="95">
        <f>'7'!F147</f>
        <v>762723</v>
      </c>
      <c r="F147" s="148">
        <v>763123</v>
      </c>
      <c r="G147" s="112">
        <f t="shared" si="11"/>
        <v>400</v>
      </c>
      <c r="H147" s="99">
        <f>G147+'7'!H147</f>
        <v>2985</v>
      </c>
      <c r="I147" s="140"/>
      <c r="J147" s="328">
        <f>H147/DAY(B2)</f>
        <v>373.125</v>
      </c>
    </row>
    <row r="148" spans="1:10" ht="25.5">
      <c r="A148" s="864" t="s">
        <v>193</v>
      </c>
      <c r="B148" s="865"/>
      <c r="C148" s="866"/>
      <c r="D148" s="123" t="s">
        <v>130</v>
      </c>
      <c r="E148" s="95">
        <f>'7'!F148</f>
        <v>798790</v>
      </c>
      <c r="F148" s="150">
        <v>799083</v>
      </c>
      <c r="G148" s="112">
        <f t="shared" si="11"/>
        <v>293</v>
      </c>
      <c r="H148" s="99">
        <f>G148+'7'!H148</f>
        <v>2670.9200000000419</v>
      </c>
      <c r="I148" s="124"/>
      <c r="J148" s="328">
        <f>H148/DAY(B2)</f>
        <v>333.86500000000524</v>
      </c>
    </row>
    <row r="149" spans="1:10" ht="25.5">
      <c r="A149" s="864" t="s">
        <v>336</v>
      </c>
      <c r="B149" s="865"/>
      <c r="C149" s="866"/>
      <c r="D149" s="227" t="s">
        <v>130</v>
      </c>
      <c r="E149" s="95">
        <f>'7'!F149</f>
        <v>204193</v>
      </c>
      <c r="F149" s="146">
        <v>204700</v>
      </c>
      <c r="G149" s="112">
        <f t="shared" si="11"/>
        <v>507</v>
      </c>
      <c r="H149" s="99">
        <f>G149+'7'!H149</f>
        <v>3408.7300000000105</v>
      </c>
      <c r="I149" s="119"/>
      <c r="J149" s="328">
        <f>H149/DAY(B2)</f>
        <v>426.09125000000131</v>
      </c>
    </row>
    <row r="150" spans="1:10" ht="25.5">
      <c r="A150" s="864" t="s">
        <v>337</v>
      </c>
      <c r="B150" s="865"/>
      <c r="C150" s="866"/>
      <c r="D150" s="117" t="s">
        <v>130</v>
      </c>
      <c r="E150" s="95">
        <f>'7'!F150</f>
        <v>86628</v>
      </c>
      <c r="F150" s="233">
        <v>86875</v>
      </c>
      <c r="G150" s="112">
        <f t="shared" si="11"/>
        <v>247</v>
      </c>
      <c r="H150" s="99">
        <f>G150+'7'!H150</f>
        <v>1661</v>
      </c>
      <c r="I150" s="119"/>
      <c r="J150" s="328">
        <f>H150/DAY(B2)</f>
        <v>207.625</v>
      </c>
    </row>
    <row r="151" spans="1:10" ht="25.5">
      <c r="A151" s="864" t="s">
        <v>338</v>
      </c>
      <c r="B151" s="865"/>
      <c r="C151" s="866"/>
      <c r="D151" s="117" t="s">
        <v>130</v>
      </c>
      <c r="E151" s="95">
        <f>'7'!F151</f>
        <v>168814</v>
      </c>
      <c r="F151" s="233">
        <v>169141</v>
      </c>
      <c r="G151" s="112">
        <f t="shared" si="11"/>
        <v>327</v>
      </c>
      <c r="H151" s="99">
        <f>G151+'7'!H151</f>
        <v>2411</v>
      </c>
      <c r="I151" s="119"/>
      <c r="J151" s="328">
        <f>H151/DAY(B2)</f>
        <v>301.375</v>
      </c>
    </row>
    <row r="152" spans="1:10" ht="25.5">
      <c r="A152" s="864" t="s">
        <v>339</v>
      </c>
      <c r="B152" s="865"/>
      <c r="C152" s="866"/>
      <c r="D152" s="117" t="s">
        <v>130</v>
      </c>
      <c r="E152" s="95">
        <f>'7'!F152</f>
        <v>43431</v>
      </c>
      <c r="F152" s="233">
        <v>43565</v>
      </c>
      <c r="G152" s="112">
        <f t="shared" si="11"/>
        <v>134</v>
      </c>
      <c r="H152" s="99">
        <f>G152+'7'!H152</f>
        <v>1054</v>
      </c>
      <c r="I152" s="119"/>
      <c r="J152" s="328">
        <f>H152/DAY(B2)</f>
        <v>131.75</v>
      </c>
    </row>
    <row r="153" spans="1:10" ht="25.5">
      <c r="A153" s="787" t="s">
        <v>196</v>
      </c>
      <c r="B153" s="788"/>
      <c r="C153" s="365"/>
      <c r="D153" s="358"/>
      <c r="E153" s="360"/>
      <c r="F153" s="361"/>
      <c r="G153" s="362">
        <f>SUM(G138:G152)</f>
        <v>2941</v>
      </c>
      <c r="H153" s="363"/>
      <c r="I153" s="119">
        <f>G153-(G38+G52)</f>
        <v>346</v>
      </c>
      <c r="J153" s="366"/>
    </row>
    <row r="154" spans="1:10" ht="27.75">
      <c r="A154" s="869" t="s">
        <v>344</v>
      </c>
      <c r="B154" s="869"/>
      <c r="C154" s="869"/>
      <c r="D154" s="869"/>
      <c r="E154" s="869"/>
      <c r="F154" s="869"/>
      <c r="G154" s="869"/>
      <c r="H154" s="869"/>
      <c r="I154" s="869"/>
      <c r="J154" s="869"/>
    </row>
    <row r="155" spans="1:10" ht="27.75">
      <c r="A155" s="863" t="s">
        <v>345</v>
      </c>
      <c r="B155" s="863"/>
      <c r="C155" s="863"/>
      <c r="D155" s="117" t="s">
        <v>130</v>
      </c>
      <c r="E155" s="95">
        <f>'7'!F155</f>
        <v>243055</v>
      </c>
      <c r="F155" s="374">
        <v>243641</v>
      </c>
      <c r="G155" s="112">
        <f t="shared" ref="G155:G158" si="12">F155-E155</f>
        <v>586</v>
      </c>
      <c r="H155" s="99">
        <f>G155+'7'!H155</f>
        <v>4607</v>
      </c>
      <c r="I155" s="364"/>
      <c r="J155" s="328">
        <f>H155/DAY(B2)</f>
        <v>575.875</v>
      </c>
    </row>
    <row r="156" spans="1:10" ht="25.5">
      <c r="A156" s="863" t="s">
        <v>346</v>
      </c>
      <c r="B156" s="863"/>
      <c r="C156" s="863"/>
      <c r="D156" s="117" t="s">
        <v>130</v>
      </c>
      <c r="E156" s="95">
        <f>'7'!F156</f>
        <v>30263</v>
      </c>
      <c r="F156" s="155">
        <v>30368</v>
      </c>
      <c r="G156" s="112">
        <f t="shared" si="12"/>
        <v>105</v>
      </c>
      <c r="H156" s="99">
        <f>G156+'7'!H156</f>
        <v>688.5</v>
      </c>
      <c r="I156" s="165"/>
      <c r="J156" s="328">
        <f>H156/DAY(B2)</f>
        <v>86.0625</v>
      </c>
    </row>
    <row r="157" spans="1:10" ht="25.5">
      <c r="A157" s="864" t="s">
        <v>360</v>
      </c>
      <c r="B157" s="865"/>
      <c r="C157" s="866"/>
      <c r="D157" s="117" t="s">
        <v>130</v>
      </c>
      <c r="E157" s="95">
        <f>'7'!F157</f>
        <v>37559</v>
      </c>
      <c r="F157" s="155">
        <v>37559</v>
      </c>
      <c r="G157" s="112">
        <f t="shared" si="12"/>
        <v>0</v>
      </c>
      <c r="H157" s="99">
        <f>G157+'7'!H157</f>
        <v>0</v>
      </c>
      <c r="I157" s="165"/>
      <c r="J157" s="328">
        <f>H157/DAY(B2)</f>
        <v>0</v>
      </c>
    </row>
    <row r="158" spans="1:10" ht="25.5">
      <c r="A158" s="864" t="s">
        <v>361</v>
      </c>
      <c r="B158" s="865"/>
      <c r="C158" s="866"/>
      <c r="D158" s="117" t="s">
        <v>130</v>
      </c>
      <c r="E158" s="95">
        <f>'7'!F158</f>
        <v>1766</v>
      </c>
      <c r="F158" s="155">
        <v>1767</v>
      </c>
      <c r="G158" s="112">
        <f t="shared" si="12"/>
        <v>1</v>
      </c>
      <c r="H158" s="99">
        <f>G158+'7'!H158</f>
        <v>9</v>
      </c>
      <c r="I158" s="165"/>
      <c r="J158" s="328">
        <f>H158/DAY(B2)</f>
        <v>1.125</v>
      </c>
    </row>
    <row r="159" spans="1:10" ht="25.5">
      <c r="A159" s="944"/>
      <c r="B159" s="945"/>
      <c r="C159" s="946"/>
      <c r="D159" s="117"/>
      <c r="E159" s="95"/>
      <c r="F159" s="155"/>
      <c r="G159" s="112"/>
      <c r="H159" s="99"/>
      <c r="I159" s="165"/>
      <c r="J159" s="328"/>
    </row>
    <row r="160" spans="1:10" ht="27.75">
      <c r="A160" s="869" t="s">
        <v>326</v>
      </c>
      <c r="B160" s="869"/>
      <c r="C160" s="869"/>
      <c r="D160" s="869"/>
      <c r="E160" s="869"/>
      <c r="F160" s="869"/>
      <c r="G160" s="869"/>
      <c r="H160" s="869"/>
      <c r="I160" s="869"/>
      <c r="J160" s="869"/>
    </row>
    <row r="161" spans="1:10" ht="26.25">
      <c r="A161" s="242" t="s">
        <v>92</v>
      </c>
      <c r="B161" s="243"/>
      <c r="C161" s="243"/>
      <c r="D161" s="244" t="s">
        <v>180</v>
      </c>
      <c r="E161" s="95">
        <f>'7'!F161</f>
        <v>509640</v>
      </c>
      <c r="F161" s="235">
        <v>509702</v>
      </c>
      <c r="G161" s="238">
        <f t="shared" ref="G161:G165" si="13">F161-E161</f>
        <v>62</v>
      </c>
      <c r="H161" s="99">
        <f>G161+'7'!H161</f>
        <v>1318.679999999993</v>
      </c>
      <c r="I161" s="236"/>
      <c r="J161" s="239">
        <f>H161/DAY(B2)</f>
        <v>164.83499999999913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'7'!F162</f>
        <v>1014</v>
      </c>
      <c r="F162" s="235">
        <v>1037</v>
      </c>
      <c r="G162" s="238">
        <f t="shared" si="13"/>
        <v>23</v>
      </c>
      <c r="H162" s="99">
        <f>G162+'7'!H162</f>
        <v>265.39999999999998</v>
      </c>
      <c r="I162" s="236"/>
      <c r="J162" s="239">
        <f>H162/DAY(B2)</f>
        <v>33.174999999999997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'7'!F163</f>
        <v>0</v>
      </c>
      <c r="F163" s="235">
        <v>0</v>
      </c>
      <c r="G163" s="238">
        <f t="shared" si="13"/>
        <v>0</v>
      </c>
      <c r="H163" s="99">
        <f>G163+'7'!H163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'7'!F164</f>
        <v>7230</v>
      </c>
      <c r="F164" s="235">
        <v>7231</v>
      </c>
      <c r="G164" s="238">
        <f t="shared" si="13"/>
        <v>1</v>
      </c>
      <c r="H164" s="99">
        <f>G164+'7'!H164</f>
        <v>32</v>
      </c>
      <c r="I164" s="236"/>
      <c r="J164" s="239">
        <f>H164/DAY(B2)</f>
        <v>4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'7'!F165</f>
        <v>32824</v>
      </c>
      <c r="F165" s="417">
        <v>32826</v>
      </c>
      <c r="G165" s="238">
        <f t="shared" si="13"/>
        <v>2</v>
      </c>
      <c r="H165" s="99">
        <f>G165+'7'!H165</f>
        <v>45.911999999996624</v>
      </c>
      <c r="I165" s="236"/>
      <c r="J165" s="239">
        <f>H165/DAY(B2)</f>
        <v>5.738999999999578</v>
      </c>
    </row>
    <row r="166" spans="1:10" ht="26.25">
      <c r="A166" s="870"/>
      <c r="B166" s="870"/>
      <c r="C166" s="246"/>
      <c r="D166" s="244" t="s">
        <v>180</v>
      </c>
      <c r="E166" s="95">
        <f>'7'!F166</f>
        <v>0</v>
      </c>
      <c r="F166" s="165"/>
      <c r="G166" s="165"/>
      <c r="H166" s="99">
        <f>G166+'7'!H166</f>
        <v>0</v>
      </c>
      <c r="I166" s="165"/>
      <c r="J166" s="239">
        <f>H166/DAY(B2)</f>
        <v>0</v>
      </c>
    </row>
    <row r="167" spans="1:10" ht="26.25">
      <c r="A167" s="870"/>
      <c r="B167" s="870"/>
      <c r="C167" s="246"/>
      <c r="D167" s="244" t="s">
        <v>180</v>
      </c>
      <c r="E167" s="95">
        <f>'7'!F167</f>
        <v>0</v>
      </c>
      <c r="F167" s="165"/>
      <c r="G167" s="165"/>
      <c r="H167" s="99">
        <f>G167+'7'!H167</f>
        <v>0</v>
      </c>
      <c r="I167" s="165"/>
      <c r="J167" s="239">
        <f>H167/DAY(B2)</f>
        <v>0</v>
      </c>
    </row>
    <row r="168" spans="1:10" ht="26.25">
      <c r="A168" s="870"/>
      <c r="B168" s="870"/>
      <c r="C168" s="246"/>
      <c r="D168" s="244" t="s">
        <v>180</v>
      </c>
      <c r="E168" s="95">
        <f>'7'!F168</f>
        <v>0</v>
      </c>
      <c r="F168" s="165"/>
      <c r="G168" s="165"/>
      <c r="H168" s="99">
        <f>G168+'7'!H168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71" t="s">
        <v>330</v>
      </c>
      <c r="B171" s="872"/>
      <c r="C171" s="872"/>
      <c r="D171" s="872"/>
      <c r="E171" s="872"/>
      <c r="F171" s="872"/>
      <c r="G171" s="872"/>
      <c r="H171" s="872"/>
      <c r="I171" s="872"/>
      <c r="J171" s="873"/>
    </row>
    <row r="172" spans="1:10" ht="25.5">
      <c r="A172" s="878"/>
      <c r="B172" s="879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789" t="s">
        <v>209</v>
      </c>
      <c r="B173" s="790"/>
      <c r="C173" s="333"/>
      <c r="D173" s="228" t="s">
        <v>142</v>
      </c>
      <c r="E173" s="95">
        <f>'7'!F173</f>
        <v>8620</v>
      </c>
      <c r="F173" s="155">
        <v>8620</v>
      </c>
      <c r="G173" s="155">
        <f>F173-E173</f>
        <v>0</v>
      </c>
      <c r="H173" s="99">
        <f>G173+'7'!H173</f>
        <v>8</v>
      </c>
      <c r="I173" s="155"/>
      <c r="J173" s="178">
        <f>H173/DAY(B2)</f>
        <v>1</v>
      </c>
    </row>
    <row r="174" spans="1:10" ht="25.5">
      <c r="A174" s="789" t="s">
        <v>75</v>
      </c>
      <c r="B174" s="790"/>
      <c r="C174" s="333"/>
      <c r="D174" s="228" t="s">
        <v>142</v>
      </c>
      <c r="E174" s="95">
        <f>'7'!F174</f>
        <v>43130</v>
      </c>
      <c r="F174" s="157">
        <v>43141</v>
      </c>
      <c r="G174" s="155">
        <f t="shared" ref="G174:G175" si="14">F174-E174</f>
        <v>11</v>
      </c>
      <c r="H174" s="99">
        <f>G174+'7'!H174</f>
        <v>91</v>
      </c>
      <c r="I174" s="155"/>
      <c r="J174" s="178">
        <f>H174/DAY(B2)</f>
        <v>11.375</v>
      </c>
    </row>
    <row r="175" spans="1:10" ht="25.5">
      <c r="A175" s="789" t="s">
        <v>76</v>
      </c>
      <c r="B175" s="802"/>
      <c r="C175" s="790"/>
      <c r="D175" s="228" t="s">
        <v>142</v>
      </c>
      <c r="E175" s="95">
        <f>'7'!F175</f>
        <v>25925</v>
      </c>
      <c r="F175" s="155">
        <v>25939</v>
      </c>
      <c r="G175" s="155">
        <f t="shared" si="14"/>
        <v>14</v>
      </c>
      <c r="H175" s="99">
        <f>G175+'7'!H175</f>
        <v>118</v>
      </c>
      <c r="I175" s="155"/>
      <c r="J175" s="178">
        <f>H175/DAY(B2)</f>
        <v>14.75</v>
      </c>
    </row>
    <row r="176" spans="1:10" ht="25.5">
      <c r="A176" s="787" t="s">
        <v>196</v>
      </c>
      <c r="B176" s="788"/>
      <c r="C176" s="333"/>
      <c r="D176" s="228" t="s">
        <v>142</v>
      </c>
      <c r="E176" s="95"/>
      <c r="F176" s="155"/>
      <c r="G176" s="155">
        <f>SUM(G173:G175)</f>
        <v>25</v>
      </c>
      <c r="H176" s="99">
        <f>G176+'7'!H176</f>
        <v>217</v>
      </c>
      <c r="I176" s="155"/>
      <c r="J176" s="178">
        <f>H176/DAY(B2)</f>
        <v>27.125</v>
      </c>
    </row>
    <row r="177" spans="1:10" ht="25.5">
      <c r="A177" s="789" t="s">
        <v>77</v>
      </c>
      <c r="B177" s="790"/>
      <c r="C177" s="333"/>
      <c r="D177" s="228" t="s">
        <v>142</v>
      </c>
      <c r="E177" s="95"/>
      <c r="F177" s="155"/>
      <c r="G177" s="155"/>
      <c r="H177" s="99">
        <f>G177+'7'!H177</f>
        <v>0</v>
      </c>
      <c r="I177" s="155"/>
      <c r="J177" s="178">
        <f>H177/DAY(B2)</f>
        <v>0</v>
      </c>
    </row>
    <row r="178" spans="1:10" ht="25.5">
      <c r="A178" s="789" t="s">
        <v>210</v>
      </c>
      <c r="B178" s="790"/>
      <c r="C178" s="333"/>
      <c r="D178" s="228" t="s">
        <v>142</v>
      </c>
      <c r="E178" s="95">
        <f>'7'!F178</f>
        <v>107819</v>
      </c>
      <c r="F178" s="155">
        <v>107924</v>
      </c>
      <c r="G178" s="155">
        <f>F178-E178</f>
        <v>105</v>
      </c>
      <c r="H178" s="99">
        <f>G178+'7'!H178</f>
        <v>925</v>
      </c>
      <c r="I178" s="155"/>
      <c r="J178" s="178">
        <f>H178/DAY(B2)</f>
        <v>115.625</v>
      </c>
    </row>
    <row r="179" spans="1:10" ht="25.5">
      <c r="A179" s="789" t="s">
        <v>211</v>
      </c>
      <c r="B179" s="790"/>
      <c r="C179" s="333"/>
      <c r="D179" s="228" t="s">
        <v>142</v>
      </c>
      <c r="E179" s="95">
        <f>'7'!F179</f>
        <v>37501</v>
      </c>
      <c r="F179" s="155">
        <v>37501</v>
      </c>
      <c r="G179" s="155">
        <f t="shared" ref="G179:G180" si="15">F179-E179</f>
        <v>0</v>
      </c>
      <c r="H179" s="99">
        <f>G179+'7'!H179</f>
        <v>0</v>
      </c>
      <c r="I179" s="155"/>
      <c r="J179" s="178">
        <f>H179/DAY(B2)</f>
        <v>0</v>
      </c>
    </row>
    <row r="180" spans="1:10" ht="25.5">
      <c r="A180" s="789" t="s">
        <v>212</v>
      </c>
      <c r="B180" s="790"/>
      <c r="C180" s="333"/>
      <c r="D180" s="228" t="s">
        <v>142</v>
      </c>
      <c r="E180" s="95">
        <f>'7'!F180</f>
        <v>7599</v>
      </c>
      <c r="F180" s="155">
        <v>7599</v>
      </c>
      <c r="G180" s="155">
        <f t="shared" si="15"/>
        <v>0</v>
      </c>
      <c r="H180" s="99">
        <f>G180+'7'!H180</f>
        <v>36</v>
      </c>
      <c r="I180" s="155"/>
      <c r="J180" s="178">
        <f>H180/DAY(B2)</f>
        <v>4.5</v>
      </c>
    </row>
    <row r="181" spans="1:10" ht="25.5">
      <c r="A181" s="876" t="s">
        <v>108</v>
      </c>
      <c r="B181" s="877"/>
      <c r="C181" s="333"/>
      <c r="D181" s="228" t="s">
        <v>142</v>
      </c>
      <c r="E181" s="95"/>
      <c r="F181" s="155"/>
      <c r="G181" s="155">
        <f>SUM(G178:G180)</f>
        <v>105</v>
      </c>
      <c r="H181" s="99">
        <f>G181+'7'!H181</f>
        <v>961</v>
      </c>
      <c r="I181" s="155"/>
      <c r="J181" s="178">
        <f>H181/DAY(B2)</f>
        <v>120.125</v>
      </c>
    </row>
    <row r="182" spans="1:10" ht="25.5">
      <c r="A182" s="789" t="s">
        <v>213</v>
      </c>
      <c r="B182" s="790"/>
      <c r="C182" s="333"/>
      <c r="D182" s="228" t="s">
        <v>142</v>
      </c>
      <c r="E182" s="95"/>
      <c r="F182" s="155"/>
      <c r="G182" s="155"/>
      <c r="H182" s="99">
        <f>G182+'7'!H182</f>
        <v>0</v>
      </c>
      <c r="I182" s="155"/>
      <c r="J182" s="178">
        <f>H182/DAY(B2)</f>
        <v>0</v>
      </c>
    </row>
    <row r="183" spans="1:10" ht="25.5">
      <c r="A183" s="789" t="s">
        <v>214</v>
      </c>
      <c r="B183" s="790"/>
      <c r="C183" s="334"/>
      <c r="D183" s="228" t="s">
        <v>142</v>
      </c>
      <c r="E183" s="95">
        <f>'7'!F183</f>
        <v>18430</v>
      </c>
      <c r="F183" s="157">
        <v>18435</v>
      </c>
      <c r="G183" s="157">
        <f>F183-E183</f>
        <v>5</v>
      </c>
      <c r="H183" s="99">
        <f>G183+'7'!H183</f>
        <v>57</v>
      </c>
      <c r="I183" s="155"/>
      <c r="J183" s="178">
        <f>H183/DAY(B2)</f>
        <v>7.125</v>
      </c>
    </row>
    <row r="184" spans="1:10" ht="25.5">
      <c r="A184" s="789" t="s">
        <v>215</v>
      </c>
      <c r="B184" s="790"/>
      <c r="C184" s="334"/>
      <c r="D184" s="228" t="s">
        <v>142</v>
      </c>
      <c r="E184" s="95">
        <f>'7'!F184</f>
        <v>13057</v>
      </c>
      <c r="F184" s="157">
        <v>13071</v>
      </c>
      <c r="G184" s="157">
        <f t="shared" ref="G184:G185" si="16">F184-E184</f>
        <v>14</v>
      </c>
      <c r="H184" s="99">
        <f>G184+'7'!H184</f>
        <v>91</v>
      </c>
      <c r="I184" s="155"/>
      <c r="J184" s="178">
        <f>H184/DAY(B2)</f>
        <v>11.375</v>
      </c>
    </row>
    <row r="185" spans="1:10" ht="25.5">
      <c r="A185" s="789" t="s">
        <v>216</v>
      </c>
      <c r="B185" s="790"/>
      <c r="C185" s="334"/>
      <c r="D185" s="228" t="s">
        <v>142</v>
      </c>
      <c r="E185" s="95">
        <f>'7'!F185</f>
        <v>0</v>
      </c>
      <c r="F185" s="157"/>
      <c r="G185" s="157">
        <f t="shared" si="16"/>
        <v>0</v>
      </c>
      <c r="H185" s="99">
        <f>G185+'7'!H185</f>
        <v>0</v>
      </c>
      <c r="I185" s="155"/>
      <c r="J185" s="178">
        <f>H185/DAY(B2)</f>
        <v>0</v>
      </c>
    </row>
    <row r="186" spans="1:10" ht="27" customHeight="1">
      <c r="A186" s="787" t="s">
        <v>196</v>
      </c>
      <c r="B186" s="788"/>
      <c r="C186" s="334"/>
      <c r="D186" s="228" t="s">
        <v>142</v>
      </c>
      <c r="E186" s="95"/>
      <c r="F186" s="157"/>
      <c r="G186" s="157">
        <f>SUM(G183:G185)</f>
        <v>19</v>
      </c>
      <c r="H186" s="99">
        <f>G186+'7'!H186</f>
        <v>148</v>
      </c>
      <c r="I186" s="157"/>
      <c r="J186" s="178">
        <f>H186/DAY(B2)</f>
        <v>18.5</v>
      </c>
    </row>
    <row r="187" spans="1:10" ht="25.5">
      <c r="A187" s="867" t="s">
        <v>217</v>
      </c>
      <c r="B187" s="868"/>
      <c r="C187" s="333"/>
      <c r="D187" s="230" t="s">
        <v>142</v>
      </c>
      <c r="E187" s="95"/>
      <c r="F187" s="159"/>
      <c r="G187" s="159">
        <f>G62+G19</f>
        <v>191</v>
      </c>
      <c r="H187" s="99">
        <f>G187+'7'!H187</f>
        <v>1330</v>
      </c>
      <c r="I187" s="158"/>
      <c r="J187" s="179">
        <f>H187/DAY(B2)</f>
        <v>166.25</v>
      </c>
    </row>
    <row r="188" spans="1:10" ht="25.5">
      <c r="A188" s="867" t="s">
        <v>218</v>
      </c>
      <c r="B188" s="868"/>
      <c r="C188" s="333"/>
      <c r="D188" s="230" t="s">
        <v>142</v>
      </c>
      <c r="E188" s="95"/>
      <c r="F188" s="159"/>
      <c r="G188" s="159">
        <f>G65+G66+G67+G69+G70</f>
        <v>597</v>
      </c>
      <c r="H188" s="99">
        <f>G188+'7'!H188</f>
        <v>1833</v>
      </c>
      <c r="I188" s="158"/>
      <c r="J188" s="179">
        <f>H188/DAY(B2)</f>
        <v>229.125</v>
      </c>
    </row>
    <row r="189" spans="1:10" ht="25.5">
      <c r="A189" s="867" t="s">
        <v>219</v>
      </c>
      <c r="B189" s="868"/>
      <c r="C189" s="333"/>
      <c r="D189" s="230" t="s">
        <v>142</v>
      </c>
      <c r="E189" s="95"/>
      <c r="F189" s="157"/>
      <c r="G189" s="157">
        <f>G181</f>
        <v>105</v>
      </c>
      <c r="H189" s="99">
        <f>G189+'7'!H189</f>
        <v>961</v>
      </c>
      <c r="I189" s="158"/>
      <c r="J189" s="179">
        <f>H189/DAY(B2)</f>
        <v>120.125</v>
      </c>
    </row>
    <row r="190" spans="1:10" ht="25.5">
      <c r="A190" s="874"/>
      <c r="B190" s="875"/>
      <c r="C190" s="390"/>
      <c r="D190" s="395"/>
      <c r="E190" s="395" t="s">
        <v>207</v>
      </c>
      <c r="F190" s="395"/>
      <c r="G190" s="395"/>
      <c r="H190" s="396"/>
      <c r="I190" s="395"/>
      <c r="J190" s="397"/>
    </row>
    <row r="191" spans="1:10" ht="26.25"/>
    <row r="192" spans="1:10" ht="26.25"/>
    <row r="193" ht="26.25"/>
    <row r="194" ht="20.25" customHeight="1"/>
    <row r="195" ht="20.25" customHeight="1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48:C148"/>
    <mergeCell ref="A149:C149"/>
    <mergeCell ref="A143:C143"/>
    <mergeCell ref="A144:C144"/>
    <mergeCell ref="A131:C131"/>
    <mergeCell ref="A132:C13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02:C102"/>
    <mergeCell ref="A123:C123"/>
    <mergeCell ref="A109:B109"/>
    <mergeCell ref="A95:C95"/>
    <mergeCell ref="A96:C96"/>
    <mergeCell ref="A93:C93"/>
    <mergeCell ref="A94:C94"/>
    <mergeCell ref="A108:J108"/>
    <mergeCell ref="A110:J110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24:C124"/>
    <mergeCell ref="A125:B125"/>
    <mergeCell ref="A126:J126"/>
    <mergeCell ref="A114:C114"/>
    <mergeCell ref="A115:C115"/>
    <mergeCell ref="A116:C116"/>
    <mergeCell ref="A119:C119"/>
    <mergeCell ref="A120:C120"/>
    <mergeCell ref="A121:C121"/>
    <mergeCell ref="A122:C122"/>
    <mergeCell ref="A145:C145"/>
    <mergeCell ref="A146:C146"/>
    <mergeCell ref="A72:B72"/>
    <mergeCell ref="A78:C78"/>
    <mergeCell ref="A97:C97"/>
    <mergeCell ref="A98:C98"/>
    <mergeCell ref="A99:C99"/>
    <mergeCell ref="A33:C33"/>
    <mergeCell ref="A61:C61"/>
    <mergeCell ref="A62:C62"/>
    <mergeCell ref="A63:C63"/>
    <mergeCell ref="A71:C71"/>
    <mergeCell ref="A73:C73"/>
    <mergeCell ref="A74:C74"/>
    <mergeCell ref="A75:C75"/>
    <mergeCell ref="A76:C76"/>
    <mergeCell ref="A77:C77"/>
    <mergeCell ref="A79:C79"/>
    <mergeCell ref="A80:C80"/>
    <mergeCell ref="A64:C64"/>
    <mergeCell ref="A65:C65"/>
    <mergeCell ref="A81:C81"/>
    <mergeCell ref="A133:C133"/>
    <mergeCell ref="A134:C134"/>
    <mergeCell ref="Q116:R116"/>
    <mergeCell ref="A117:C117"/>
    <mergeCell ref="Q117:R117"/>
    <mergeCell ref="A118:C118"/>
    <mergeCell ref="Q118:R118"/>
    <mergeCell ref="A141:C141"/>
    <mergeCell ref="A142:C142"/>
    <mergeCell ref="A160:J160"/>
    <mergeCell ref="A166:B166"/>
    <mergeCell ref="A127:B127"/>
    <mergeCell ref="A128:C128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36:J136"/>
    <mergeCell ref="A138:C138"/>
    <mergeCell ref="A139:C139"/>
    <mergeCell ref="A140:C140"/>
    <mergeCell ref="A147:C147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1:B181"/>
    <mergeCell ref="A183:B183"/>
    <mergeCell ref="A157:C157"/>
    <mergeCell ref="A158:C158"/>
    <mergeCell ref="A159:C159"/>
    <mergeCell ref="A175:C175"/>
    <mergeCell ref="A182:B182"/>
    <mergeCell ref="A168:B168"/>
    <mergeCell ref="A171:J171"/>
    <mergeCell ref="A172:B172"/>
    <mergeCell ref="A189:B189"/>
    <mergeCell ref="A173:B173"/>
    <mergeCell ref="A174:B174"/>
    <mergeCell ref="A167:B167"/>
  </mergeCells>
  <pageMargins left="0.22" right="0.17" top="0.14000000000000001" bottom="0.2" header="0.2" footer="0.2"/>
  <pageSetup paperSize="5" scale="2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R270"/>
  <sheetViews>
    <sheetView view="pageBreakPreview" topLeftCell="A64" zoomScale="55" zoomScaleNormal="80" zoomScaleSheetLayoutView="55" workbookViewId="0">
      <selection sqref="A1:J1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7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19" t="s">
        <v>115</v>
      </c>
      <c r="B1" s="920"/>
      <c r="C1" s="920"/>
      <c r="D1" s="920"/>
      <c r="E1" s="920"/>
      <c r="F1" s="920"/>
      <c r="G1" s="920"/>
      <c r="H1" s="920"/>
      <c r="I1" s="920"/>
      <c r="J1" s="921"/>
    </row>
    <row r="2" spans="1:15" s="57" customFormat="1" ht="23.25">
      <c r="A2" s="191" t="s">
        <v>380</v>
      </c>
      <c r="B2" s="262">
        <v>44904</v>
      </c>
      <c r="C2" s="348" t="s">
        <v>67</v>
      </c>
      <c r="D2" s="218">
        <v>0.49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32</v>
      </c>
      <c r="E3" s="928" t="s">
        <v>119</v>
      </c>
      <c r="F3" s="929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22" t="s">
        <v>128</v>
      </c>
      <c r="B6" s="923"/>
      <c r="C6" s="92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'8'!F7</f>
        <v>144768</v>
      </c>
      <c r="F7" s="95">
        <v>165063</v>
      </c>
      <c r="G7" s="112">
        <f>F7-E7</f>
        <v>20295</v>
      </c>
      <c r="H7" s="99">
        <f>G7+'8'!H7</f>
        <v>187444</v>
      </c>
      <c r="I7" s="113">
        <f>'1'!I7</f>
        <v>12000</v>
      </c>
      <c r="J7" s="175">
        <f>H7/DAY(B2)</f>
        <v>20827.111111111109</v>
      </c>
      <c r="K7" s="172">
        <v>1375467</v>
      </c>
      <c r="L7" s="66"/>
      <c r="N7" s="87">
        <f>G7+600</f>
        <v>20895</v>
      </c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'8'!F8</f>
        <v>327970</v>
      </c>
      <c r="F8" s="114">
        <v>348443</v>
      </c>
      <c r="G8" s="115">
        <f>F8-E8</f>
        <v>20473</v>
      </c>
      <c r="H8" s="99">
        <f>G8+'8'!H8</f>
        <v>190586</v>
      </c>
      <c r="I8" s="116"/>
      <c r="J8" s="175">
        <f>H8/DAY(B2)</f>
        <v>21176.222222222223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'8'!F9</f>
        <v>4544895</v>
      </c>
      <c r="F9" s="353">
        <v>4560291.5</v>
      </c>
      <c r="G9" s="112">
        <f>F9-E9</f>
        <v>15396.5</v>
      </c>
      <c r="H9" s="99">
        <f>G9+'8'!H9</f>
        <v>143685.59999999963</v>
      </c>
      <c r="I9" s="124">
        <f>I7-J7</f>
        <v>-8827.1111111111095</v>
      </c>
      <c r="J9" s="175">
        <f>H9/DAY(B2)</f>
        <v>15965.066666666626</v>
      </c>
      <c r="K9" s="79">
        <f>K8-100</f>
        <v>1715817</v>
      </c>
      <c r="L9" s="66"/>
      <c r="N9" s="87">
        <f>E8+234223+600</f>
        <v>562793</v>
      </c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'8'!F10</f>
        <v>4105979</v>
      </c>
      <c r="F10" s="117">
        <v>4110341.1</v>
      </c>
      <c r="G10" s="112">
        <f t="shared" ref="G10:G12" si="0">F10-E10</f>
        <v>4362.1000000000931</v>
      </c>
      <c r="H10" s="99">
        <f>G10+'8'!H10</f>
        <v>40304.800000000279</v>
      </c>
      <c r="I10" s="282"/>
      <c r="J10" s="175">
        <f>H10/DAY(B2)</f>
        <v>4478.3111111111421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'8'!F11</f>
        <v>38700</v>
      </c>
      <c r="F11" s="95">
        <v>38700</v>
      </c>
      <c r="G11" s="112">
        <f t="shared" si="0"/>
        <v>0</v>
      </c>
      <c r="H11" s="99">
        <f>G11+'8'!H11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'8'!F12</f>
        <v>40550</v>
      </c>
      <c r="F12" s="117">
        <v>40550</v>
      </c>
      <c r="G12" s="112">
        <f t="shared" si="0"/>
        <v>0</v>
      </c>
      <c r="H12" s="99">
        <f>G12+'8'!H12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19758.600000000093</v>
      </c>
      <c r="H13" s="99">
        <f>G13+'8'!H13</f>
        <v>183990.39999999991</v>
      </c>
      <c r="I13" s="120">
        <f>G7-G13</f>
        <v>536.39999999990687</v>
      </c>
      <c r="J13" s="175">
        <f>H13/DAY(B2)</f>
        <v>20443.377777777769</v>
      </c>
      <c r="K13" s="79"/>
      <c r="L13" s="66"/>
      <c r="N13" s="87"/>
      <c r="O13" s="71"/>
    </row>
    <row r="14" spans="1:15" ht="26.25">
      <c r="A14" s="925" t="s">
        <v>137</v>
      </c>
      <c r="B14" s="926"/>
      <c r="C14" s="92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'8'!F15</f>
        <v>2262297</v>
      </c>
      <c r="F15" s="468">
        <v>2263452</v>
      </c>
      <c r="G15" s="112">
        <f>(F15-E15)</f>
        <v>1155</v>
      </c>
      <c r="H15" s="99">
        <f>G15+'8'!H15</f>
        <v>10150.641999999993</v>
      </c>
      <c r="I15" s="113">
        <f>'1'!I15</f>
        <v>800</v>
      </c>
      <c r="J15" s="175">
        <f>H15/DAY(B2)</f>
        <v>1127.8491111111102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-327.84911111111023</v>
      </c>
      <c r="J16" s="176"/>
      <c r="K16" s="79"/>
      <c r="L16" s="66"/>
      <c r="N16" s="87"/>
      <c r="O16" s="71"/>
    </row>
    <row r="17" spans="1:15" ht="26.25">
      <c r="A17" s="925" t="s">
        <v>140</v>
      </c>
      <c r="B17" s="926"/>
      <c r="C17" s="92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02" t="s">
        <v>141</v>
      </c>
      <c r="B18" s="903"/>
      <c r="C18" s="904"/>
      <c r="D18" s="151" t="s">
        <v>142</v>
      </c>
      <c r="E18" s="95">
        <f>'8'!F18</f>
        <v>24</v>
      </c>
      <c r="F18" s="164">
        <v>18</v>
      </c>
      <c r="G18" s="119">
        <f>F18*10</f>
        <v>180</v>
      </c>
      <c r="H18" s="99">
        <f>G18+'8'!H18</f>
        <v>1870</v>
      </c>
      <c r="I18" s="113">
        <f>'1'!I18</f>
        <v>65</v>
      </c>
      <c r="J18" s="175">
        <f>H18/DAY(B2)</f>
        <v>207.77777777777777</v>
      </c>
      <c r="K18" s="79"/>
      <c r="L18" s="66"/>
      <c r="N18" s="87"/>
      <c r="O18" s="71"/>
    </row>
    <row r="19" spans="1:15" ht="25.5">
      <c r="A19" s="902" t="s">
        <v>69</v>
      </c>
      <c r="B19" s="903"/>
      <c r="C19" s="904"/>
      <c r="D19" s="151" t="s">
        <v>142</v>
      </c>
      <c r="E19" s="95">
        <f>'8'!F19</f>
        <v>170025</v>
      </c>
      <c r="F19" s="122">
        <v>170088</v>
      </c>
      <c r="G19" s="112">
        <f t="shared" ref="G19" si="1">F19-E19</f>
        <v>63</v>
      </c>
      <c r="H19" s="99">
        <f>G19+'8'!H19</f>
        <v>528</v>
      </c>
      <c r="I19" s="335"/>
      <c r="J19" s="175">
        <f>H19/DAY(B2)</f>
        <v>58.666666666666664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243</v>
      </c>
      <c r="H20" s="99">
        <f>G20+'8'!H20</f>
        <v>2398</v>
      </c>
      <c r="I20" s="336">
        <f>I18-J20</f>
        <v>-201.44444444444446</v>
      </c>
      <c r="J20" s="175">
        <f>H20/DAY(B2)</f>
        <v>266.44444444444446</v>
      </c>
      <c r="K20" s="79"/>
      <c r="L20" s="66"/>
      <c r="N20" s="87"/>
      <c r="O20" s="71"/>
    </row>
    <row r="21" spans="1:15" ht="26.25">
      <c r="A21" s="925" t="s">
        <v>144</v>
      </c>
      <c r="B21" s="926"/>
      <c r="C21" s="92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'8'!F22</f>
        <v>2970</v>
      </c>
      <c r="F22" s="122">
        <v>2970</v>
      </c>
      <c r="G22" s="119">
        <f t="shared" ref="G22" si="2">(F22-E22)</f>
        <v>0</v>
      </c>
      <c r="H22" s="99">
        <f>G22+'8'!H22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'8'!F23</f>
        <v>2000</v>
      </c>
      <c r="F23" s="122">
        <v>2000</v>
      </c>
      <c r="G23" s="119">
        <v>0</v>
      </c>
      <c r="H23" s="99">
        <f>G23+'8'!H23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'8'!F24</f>
        <v>4970</v>
      </c>
      <c r="F24" s="128">
        <v>4970</v>
      </c>
      <c r="G24" s="119">
        <v>0</v>
      </c>
      <c r="H24" s="99">
        <f>G24+'8'!H24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30" t="s">
        <v>149</v>
      </c>
      <c r="B25" s="931"/>
      <c r="C25" s="93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20473</v>
      </c>
      <c r="F27" s="136">
        <v>9</v>
      </c>
      <c r="G27" s="137">
        <f>E27*F27</f>
        <v>184257</v>
      </c>
      <c r="H27" s="99">
        <f>G27+'8'!H27</f>
        <v>1821481</v>
      </c>
      <c r="I27" s="138"/>
      <c r="J27" s="175">
        <f>H27/DAY(B2)</f>
        <v>202386.77777777778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1155</v>
      </c>
      <c r="F28" s="136">
        <v>70</v>
      </c>
      <c r="G28" s="137">
        <f>E28*F28</f>
        <v>80850</v>
      </c>
      <c r="H28" s="99">
        <f>G28+'8'!H28</f>
        <v>705858.14999999944</v>
      </c>
      <c r="I28" s="140"/>
      <c r="J28" s="175">
        <f>H28/DAY(B2)</f>
        <v>78428.683333333276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63</v>
      </c>
      <c r="F30" s="136">
        <v>151</v>
      </c>
      <c r="G30" s="137">
        <f>E30*F30</f>
        <v>9513</v>
      </c>
      <c r="H30" s="99">
        <f>G30+'8'!H30</f>
        <v>79728</v>
      </c>
      <c r="I30" s="140"/>
      <c r="J30" s="175">
        <f>H30/DAY(B2)</f>
        <v>8858.6666666666661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G31+'8'!H31</f>
        <v>153600</v>
      </c>
      <c r="I31" s="140"/>
      <c r="J31" s="175">
        <f>H31/DAY(B2)</f>
        <v>17066.666666666668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289020</v>
      </c>
      <c r="H32" s="99">
        <f>G32+'8'!H32</f>
        <v>2760667.1499999994</v>
      </c>
      <c r="I32" s="144"/>
      <c r="J32" s="175">
        <f>H32/DAY(B2)</f>
        <v>306740.79444444436</v>
      </c>
      <c r="K32" s="63"/>
      <c r="L32" s="89"/>
      <c r="N32" s="87"/>
      <c r="O32" s="71"/>
    </row>
    <row r="33" spans="1:15" ht="25.5" customHeight="1">
      <c r="A33" s="933" t="s">
        <v>331</v>
      </c>
      <c r="B33" s="934"/>
      <c r="C33" s="93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145">
        <f>'8'!F35</f>
        <v>475227</v>
      </c>
      <c r="F35" s="145">
        <v>477629.15</v>
      </c>
      <c r="G35" s="112">
        <f t="shared" ref="G35:G46" si="3">F35-E35</f>
        <v>2402.1500000000233</v>
      </c>
      <c r="H35" s="99">
        <f>G35+'8'!H35</f>
        <v>23111.160000000033</v>
      </c>
      <c r="I35" s="95"/>
      <c r="J35" s="175">
        <f>H35/DAY(B2)</f>
        <v>2567.9066666666704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145">
        <f>'8'!F36</f>
        <v>361195</v>
      </c>
      <c r="F36" s="145">
        <v>362024.67</v>
      </c>
      <c r="G36" s="112">
        <f t="shared" si="3"/>
        <v>829.6699999999837</v>
      </c>
      <c r="H36" s="99">
        <f>G36+'8'!H36</f>
        <v>7935.7699999999604</v>
      </c>
      <c r="I36" s="95"/>
      <c r="J36" s="175">
        <f>H36/DAY(B2)</f>
        <v>881.75222222221782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145">
        <f>'8'!F37</f>
        <v>350023</v>
      </c>
      <c r="F37" s="145">
        <v>351613.75</v>
      </c>
      <c r="G37" s="112">
        <f t="shared" si="3"/>
        <v>1590.75</v>
      </c>
      <c r="H37" s="99">
        <f>G37+'8'!H37</f>
        <v>13343.880000000005</v>
      </c>
      <c r="I37" s="95"/>
      <c r="J37" s="175">
        <f>H37/DAY(B2)</f>
        <v>1482.6533333333339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145">
        <f>'8'!F38</f>
        <v>817623</v>
      </c>
      <c r="F38" s="754">
        <v>820183.43</v>
      </c>
      <c r="G38" s="112">
        <f t="shared" si="3"/>
        <v>2560.4300000000512</v>
      </c>
      <c r="H38" s="99">
        <f>G38+'8'!H38</f>
        <v>20506.080000000075</v>
      </c>
      <c r="I38" s="95"/>
      <c r="J38" s="175">
        <f>H38/DAY(B2)</f>
        <v>2278.4533333333416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145">
        <f>'8'!F39</f>
        <v>642965</v>
      </c>
      <c r="F39" s="145">
        <v>645764.15</v>
      </c>
      <c r="G39" s="112">
        <f t="shared" si="3"/>
        <v>2799.1500000000233</v>
      </c>
      <c r="H39" s="99">
        <f>G39+'8'!H39</f>
        <v>25474.150000000023</v>
      </c>
      <c r="I39" s="95"/>
      <c r="J39" s="175">
        <f>H39/DAY(B2)</f>
        <v>2830.4611111111135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145">
        <f>'8'!F40</f>
        <v>212180</v>
      </c>
      <c r="F40" s="145">
        <v>212373.47</v>
      </c>
      <c r="G40" s="112">
        <f t="shared" si="3"/>
        <v>193.47000000000116</v>
      </c>
      <c r="H40" s="99">
        <f>G40+'8'!H40</f>
        <v>2687.1199999999953</v>
      </c>
      <c r="I40" s="95"/>
      <c r="J40" s="175">
        <f>H40/DAY(B2)</f>
        <v>298.56888888888835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145">
        <f>'8'!F41</f>
        <v>420212</v>
      </c>
      <c r="F41" s="145">
        <v>420212.5</v>
      </c>
      <c r="G41" s="112">
        <f t="shared" si="3"/>
        <v>0.5</v>
      </c>
      <c r="H41" s="99">
        <f>G41+'8'!H41</f>
        <v>-1.0000000009313226E-2</v>
      </c>
      <c r="I41" s="95"/>
      <c r="J41" s="175">
        <f>H41/DAY(B2)</f>
        <v>-1.111111112145914E-3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145">
        <f>'8'!F42</f>
        <v>956797</v>
      </c>
      <c r="F42" s="145">
        <v>960736.47</v>
      </c>
      <c r="G42" s="112">
        <f t="shared" si="3"/>
        <v>3939.4699999999721</v>
      </c>
      <c r="H42" s="99">
        <f>G42+'8'!H42</f>
        <v>39782</v>
      </c>
      <c r="I42" s="95"/>
      <c r="J42" s="175">
        <f>H42/DAY(B2)</f>
        <v>4420.2222222222226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145">
        <f>'8'!F43</f>
        <v>422444</v>
      </c>
      <c r="F43" s="145">
        <v>422444</v>
      </c>
      <c r="G43" s="112">
        <f t="shared" si="3"/>
        <v>0</v>
      </c>
      <c r="H43" s="99">
        <f>G43+'8'!H43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145">
        <f>'8'!F44</f>
        <v>0</v>
      </c>
      <c r="F44" s="145">
        <v>0</v>
      </c>
      <c r="G44" s="112">
        <f t="shared" si="3"/>
        <v>0</v>
      </c>
      <c r="H44" s="99">
        <f>G44+'8'!H44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145">
        <f>'8'!F45</f>
        <v>0</v>
      </c>
      <c r="F45" s="145">
        <v>0</v>
      </c>
      <c r="G45" s="112">
        <f t="shared" si="3"/>
        <v>0</v>
      </c>
      <c r="H45" s="99">
        <f>G45+'8'!H45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145">
        <f>'8'!F46</f>
        <v>0</v>
      </c>
      <c r="F46" s="145">
        <v>0</v>
      </c>
      <c r="G46" s="112">
        <f t="shared" si="3"/>
        <v>0</v>
      </c>
      <c r="H46" s="99">
        <f>G46+'8'!H46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14315.590000000055</v>
      </c>
      <c r="H47" s="99">
        <f>G47+'8'!H47</f>
        <v>132840.15000000008</v>
      </c>
      <c r="I47" s="95"/>
      <c r="J47" s="175">
        <f>H47/DAY(B2)</f>
        <v>14760.016666666676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145">
        <f>'8'!F49</f>
        <v>810611</v>
      </c>
      <c r="F49" s="145">
        <v>811123.57</v>
      </c>
      <c r="G49" s="112">
        <f t="shared" ref="G49:G58" si="4">F49-E49</f>
        <v>512.56999999994878</v>
      </c>
      <c r="H49" s="99">
        <f>G49+'8'!H49</f>
        <v>4619.4199999999255</v>
      </c>
      <c r="I49" s="95"/>
      <c r="J49" s="175">
        <f>H49/DAY(B2)</f>
        <v>513.26888888888061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145">
        <f>'8'!F50</f>
        <v>512268</v>
      </c>
      <c r="F50" s="145">
        <v>513532.7</v>
      </c>
      <c r="G50" s="112">
        <f t="shared" si="4"/>
        <v>1264.7000000000116</v>
      </c>
      <c r="H50" s="99">
        <f>G50+'8'!H50</f>
        <v>12379.700000000012</v>
      </c>
      <c r="I50" s="95"/>
      <c r="J50" s="175">
        <f>H50/DAY(B2)</f>
        <v>1375.5222222222235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145">
        <f>'8'!F51</f>
        <v>156958</v>
      </c>
      <c r="F51" s="145">
        <v>156958.44</v>
      </c>
      <c r="G51" s="112">
        <f t="shared" si="4"/>
        <v>0.44000000000232831</v>
      </c>
      <c r="H51" s="99">
        <f>G51+'8'!H51</f>
        <v>0.44000000000232831</v>
      </c>
      <c r="I51" s="95"/>
      <c r="J51" s="175">
        <f>H51/DAY(B2)</f>
        <v>4.8888888889147587E-2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145">
        <f>'8'!F52</f>
        <v>9.76</v>
      </c>
      <c r="F52" s="145">
        <v>9.76</v>
      </c>
      <c r="G52" s="112">
        <f t="shared" si="4"/>
        <v>0</v>
      </c>
      <c r="H52" s="99">
        <f>G52+'8'!H52</f>
        <v>-0.24000000000000021</v>
      </c>
      <c r="I52" s="95"/>
      <c r="J52" s="175">
        <f>H52/DAY(B2)</f>
        <v>-2.6666666666666689E-2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145">
        <f>'8'!F53</f>
        <v>630355</v>
      </c>
      <c r="F53" s="145">
        <v>630355.03</v>
      </c>
      <c r="G53" s="112">
        <f t="shared" si="4"/>
        <v>3.0000000027939677E-2</v>
      </c>
      <c r="H53" s="99">
        <f>G53+'8'!H53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145">
        <f>'8'!F54</f>
        <v>117400</v>
      </c>
      <c r="F54" s="145">
        <v>117719.3</v>
      </c>
      <c r="G54" s="112">
        <f t="shared" si="4"/>
        <v>319.30000000000291</v>
      </c>
      <c r="H54" s="99">
        <f>G54+'8'!H54</f>
        <v>3122.1699999999983</v>
      </c>
      <c r="I54" s="95"/>
      <c r="J54" s="175">
        <f>H54/DAY(B2)</f>
        <v>346.9077777777776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145">
        <f>'8'!F55</f>
        <v>576335</v>
      </c>
      <c r="F55" s="145">
        <v>576335.63</v>
      </c>
      <c r="G55" s="112">
        <f t="shared" si="4"/>
        <v>0.63000000000465661</v>
      </c>
      <c r="H55" s="99">
        <f>G55+'8'!H55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145">
        <f>'8'!F56</f>
        <v>335403</v>
      </c>
      <c r="F56" s="145">
        <v>335403.71000000002</v>
      </c>
      <c r="G56" s="112">
        <f t="shared" si="4"/>
        <v>0.71000000002095476</v>
      </c>
      <c r="H56" s="99">
        <f>G56+'8'!H56</f>
        <v>177.5</v>
      </c>
      <c r="I56" s="95"/>
      <c r="J56" s="175">
        <f>H56/DAY(B2)</f>
        <v>19.722222222222221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145">
        <f>'8'!F57</f>
        <v>649639</v>
      </c>
      <c r="F57" s="145">
        <v>652005.59</v>
      </c>
      <c r="G57" s="112">
        <f t="shared" si="4"/>
        <v>2366.5899999999674</v>
      </c>
      <c r="H57" s="99">
        <f>G57+'8'!H57</f>
        <v>21172.589999999967</v>
      </c>
      <c r="I57" s="95"/>
      <c r="J57" s="175">
        <f>H57/DAY(B2)</f>
        <v>2352.5099999999966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145">
        <f>'8'!F58</f>
        <v>88605</v>
      </c>
      <c r="F58" s="145">
        <v>88881</v>
      </c>
      <c r="G58" s="112">
        <f t="shared" si="4"/>
        <v>276</v>
      </c>
      <c r="H58" s="99">
        <f>G58+'8'!H58</f>
        <v>2320.5010000000038</v>
      </c>
      <c r="I58" s="95"/>
      <c r="J58" s="175">
        <f>H58/DAY(B2)</f>
        <v>257.83344444444486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4740.9699999999866</v>
      </c>
      <c r="H59" s="99">
        <f>G59+'8'!H59</f>
        <v>43792.080999999911</v>
      </c>
      <c r="I59" s="95">
        <f>G7-G60</f>
        <v>1238.4399999999587</v>
      </c>
      <c r="J59" s="175">
        <f>H59/DAY(B2)</f>
        <v>4865.7867777777683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19056.560000000041</v>
      </c>
      <c r="H60" s="99">
        <f>G60+'8'!H60</f>
        <v>176632.23099999997</v>
      </c>
      <c r="I60" s="95">
        <f>G13-G60</f>
        <v>702.0400000000518</v>
      </c>
      <c r="J60" s="175">
        <f>H60/DAY(B2)</f>
        <v>19625.803444444442</v>
      </c>
      <c r="K60" s="79"/>
      <c r="L60" s="66"/>
      <c r="N60" s="87"/>
      <c r="O60" s="71"/>
    </row>
    <row r="61" spans="1:15" s="68" customFormat="1" ht="26.25">
      <c r="A61" s="935" t="s">
        <v>332</v>
      </c>
      <c r="B61" s="936"/>
      <c r="C61" s="93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02" t="s">
        <v>198</v>
      </c>
      <c r="B62" s="903"/>
      <c r="C62" s="904"/>
      <c r="D62" s="151" t="s">
        <v>142</v>
      </c>
      <c r="E62" s="95">
        <f>'8'!F62</f>
        <v>312965</v>
      </c>
      <c r="F62" s="122">
        <v>313106.90000000002</v>
      </c>
      <c r="G62" s="112">
        <f t="shared" ref="G62:G63" si="5">F62-E62</f>
        <v>141.90000000002328</v>
      </c>
      <c r="H62" s="99">
        <f>G62+'8'!H62</f>
        <v>1006.9000000000233</v>
      </c>
      <c r="I62" s="118"/>
      <c r="J62" s="175">
        <f>H62/DAY(B2)</f>
        <v>111.87777777778037</v>
      </c>
      <c r="K62" s="80"/>
      <c r="L62" s="66"/>
      <c r="N62" s="87"/>
      <c r="O62" s="71"/>
    </row>
    <row r="63" spans="1:15" ht="25.5">
      <c r="A63" s="902" t="s">
        <v>199</v>
      </c>
      <c r="B63" s="903"/>
      <c r="C63" s="904"/>
      <c r="D63" s="151" t="s">
        <v>142</v>
      </c>
      <c r="E63" s="95">
        <f>'8'!F63</f>
        <v>249865</v>
      </c>
      <c r="F63" s="122">
        <v>249982</v>
      </c>
      <c r="G63" s="112">
        <f t="shared" si="5"/>
        <v>117</v>
      </c>
      <c r="H63" s="99">
        <f>G63+'8'!H63</f>
        <v>947</v>
      </c>
      <c r="I63" s="118"/>
      <c r="J63" s="175">
        <f>H63/DAY(B2)</f>
        <v>105.22222222222223</v>
      </c>
      <c r="K63" s="69"/>
      <c r="L63" s="66"/>
      <c r="N63" s="87"/>
      <c r="O63" s="71"/>
    </row>
    <row r="64" spans="1:15" ht="26.25">
      <c r="A64" s="911" t="s">
        <v>200</v>
      </c>
      <c r="B64" s="912"/>
      <c r="C64" s="913"/>
      <c r="D64" s="151"/>
      <c r="E64" s="95">
        <f>'8'!F64</f>
        <v>0</v>
      </c>
      <c r="F64" s="122">
        <v>0</v>
      </c>
      <c r="G64" s="112">
        <f>G62+G63</f>
        <v>258.90000000002328</v>
      </c>
      <c r="H64" s="99">
        <f>G64+'8'!H64</f>
        <v>1953.9000000000233</v>
      </c>
      <c r="I64" s="118"/>
      <c r="J64" s="175">
        <f>H64/DAY(B2)</f>
        <v>217.10000000000258</v>
      </c>
      <c r="K64" s="69"/>
      <c r="L64" s="66"/>
      <c r="N64" s="87"/>
      <c r="O64" s="71"/>
    </row>
    <row r="65" spans="1:15" ht="25.5">
      <c r="A65" s="902" t="s">
        <v>201</v>
      </c>
      <c r="B65" s="903"/>
      <c r="C65" s="904"/>
      <c r="D65" s="151" t="s">
        <v>142</v>
      </c>
      <c r="E65" s="95">
        <f>'8'!F65</f>
        <v>473010</v>
      </c>
      <c r="F65" s="122">
        <v>473145</v>
      </c>
      <c r="G65" s="112">
        <f t="shared" ref="G65:G70" si="6">F65-E65</f>
        <v>135</v>
      </c>
      <c r="H65" s="99">
        <f>G65+'8'!H65</f>
        <v>1115</v>
      </c>
      <c r="I65" s="118"/>
      <c r="J65" s="175">
        <f>H65/DAY(B2)</f>
        <v>123.88888888888889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v>113268</v>
      </c>
      <c r="F66" s="122">
        <v>113743</v>
      </c>
      <c r="G66" s="112">
        <f t="shared" si="6"/>
        <v>475</v>
      </c>
      <c r="H66" s="99">
        <f>G66+'8'!H66</f>
        <v>1021</v>
      </c>
      <c r="I66" s="118"/>
      <c r="J66" s="175">
        <f>H66/DAY(B2)</f>
        <v>113.44444444444444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'8'!F67</f>
        <v>116762</v>
      </c>
      <c r="F67" s="122">
        <v>116785</v>
      </c>
      <c r="G67" s="112">
        <f t="shared" si="6"/>
        <v>23</v>
      </c>
      <c r="H67" s="99">
        <f>G67+'8'!H67</f>
        <v>218</v>
      </c>
      <c r="I67" s="118"/>
      <c r="J67" s="175">
        <f>H67/DAY(B2)</f>
        <v>24.222222222222221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'8'!F68</f>
        <v>169521</v>
      </c>
      <c r="F68" s="122">
        <v>169536</v>
      </c>
      <c r="G68" s="112">
        <f t="shared" si="6"/>
        <v>15</v>
      </c>
      <c r="H68" s="99">
        <f>G68+'8'!H68</f>
        <v>177</v>
      </c>
      <c r="I68" s="118"/>
      <c r="J68" s="175">
        <f>H68/DAY(B2)</f>
        <v>19.666666666666668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'8'!F69</f>
        <v>13011</v>
      </c>
      <c r="F69" s="122">
        <v>13012</v>
      </c>
      <c r="G69" s="112">
        <f t="shared" si="6"/>
        <v>1</v>
      </c>
      <c r="H69" s="99">
        <f>G69+'8'!H69</f>
        <v>46</v>
      </c>
      <c r="I69" s="118"/>
      <c r="J69" s="175">
        <f>H69/DAY(B2)</f>
        <v>5.1111111111111107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'8'!F70</f>
        <v>11083</v>
      </c>
      <c r="F70" s="122">
        <v>11090</v>
      </c>
      <c r="G70" s="112">
        <f t="shared" si="6"/>
        <v>7</v>
      </c>
      <c r="H70" s="99">
        <f>G70+'8'!H70</f>
        <v>74</v>
      </c>
      <c r="I70" s="118"/>
      <c r="J70" s="175">
        <f>H70/DAY(B2)</f>
        <v>8.2222222222222214</v>
      </c>
      <c r="K70" s="69"/>
      <c r="L70" s="66"/>
      <c r="N70" s="87"/>
      <c r="O70" s="71"/>
    </row>
    <row r="71" spans="1:15" ht="26.25">
      <c r="A71" s="911" t="s">
        <v>208</v>
      </c>
      <c r="B71" s="912"/>
      <c r="C71" s="913"/>
      <c r="D71" s="152"/>
      <c r="E71" s="152"/>
      <c r="F71" s="152"/>
      <c r="G71" s="153">
        <f>SUM(G65:G70)</f>
        <v>656</v>
      </c>
      <c r="H71" s="99">
        <f>G71+'8'!H71</f>
        <v>2651</v>
      </c>
      <c r="I71" s="154"/>
      <c r="J71" s="175">
        <f>H71/DAY(B2)</f>
        <v>294.55555555555554</v>
      </c>
      <c r="K71" s="69"/>
      <c r="L71" s="66"/>
      <c r="N71" s="87"/>
      <c r="O71" s="71"/>
    </row>
    <row r="72" spans="1:15" s="88" customFormat="1" ht="25.5">
      <c r="A72" s="898"/>
      <c r="B72" s="88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08" t="s">
        <v>333</v>
      </c>
      <c r="B73" s="909"/>
      <c r="C73" s="910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02" t="s">
        <v>220</v>
      </c>
      <c r="B74" s="903"/>
      <c r="C74" s="904"/>
      <c r="D74" s="151" t="s">
        <v>139</v>
      </c>
      <c r="E74" s="95">
        <f>'8'!F74</f>
        <v>5007</v>
      </c>
      <c r="F74" s="117">
        <v>5307.4880000000003</v>
      </c>
      <c r="G74" s="112">
        <f t="shared" ref="G74:G78" si="7">F74-E74</f>
        <v>300.48800000000028</v>
      </c>
      <c r="H74" s="99">
        <f>G74+'8'!H74</f>
        <v>2792.4880000000003</v>
      </c>
      <c r="I74" s="154"/>
      <c r="J74" s="175">
        <f>H74/DAY(B2)</f>
        <v>310.27644444444445</v>
      </c>
      <c r="K74" s="69"/>
      <c r="L74" s="66"/>
      <c r="N74" s="87"/>
      <c r="O74" s="71"/>
    </row>
    <row r="75" spans="1:15" ht="25.5">
      <c r="A75" s="902" t="s">
        <v>221</v>
      </c>
      <c r="B75" s="903"/>
      <c r="C75" s="904"/>
      <c r="D75" s="151" t="s">
        <v>139</v>
      </c>
      <c r="E75" s="95">
        <f>'8'!F75</f>
        <v>73586.8</v>
      </c>
      <c r="F75" s="123">
        <v>73586.8</v>
      </c>
      <c r="G75" s="112">
        <f t="shared" si="7"/>
        <v>0</v>
      </c>
      <c r="H75" s="99">
        <f>G75+'8'!H75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899" t="s">
        <v>222</v>
      </c>
      <c r="B76" s="900"/>
      <c r="C76" s="901"/>
      <c r="D76" s="151" t="s">
        <v>139</v>
      </c>
      <c r="E76" s="95">
        <f>'8'!F76</f>
        <v>208207</v>
      </c>
      <c r="F76" s="123">
        <v>208314</v>
      </c>
      <c r="G76" s="112">
        <f t="shared" si="7"/>
        <v>107</v>
      </c>
      <c r="H76" s="99">
        <f>G76+'8'!H76</f>
        <v>937</v>
      </c>
      <c r="I76" s="154"/>
      <c r="J76" s="175">
        <f>H76/DAY(B2)</f>
        <v>104.11111111111111</v>
      </c>
      <c r="K76" s="69"/>
      <c r="L76" s="66"/>
      <c r="N76" s="87"/>
      <c r="O76" s="71"/>
    </row>
    <row r="77" spans="1:15" ht="25.5">
      <c r="A77" s="899" t="s">
        <v>223</v>
      </c>
      <c r="B77" s="900"/>
      <c r="C77" s="901"/>
      <c r="D77" s="151" t="s">
        <v>139</v>
      </c>
      <c r="E77" s="95">
        <f>'8'!F77</f>
        <v>58551</v>
      </c>
      <c r="F77" s="123">
        <v>58590</v>
      </c>
      <c r="G77" s="112">
        <f t="shared" si="7"/>
        <v>39</v>
      </c>
      <c r="H77" s="99">
        <f>G77+'8'!H77</f>
        <v>438</v>
      </c>
      <c r="I77" s="154"/>
      <c r="J77" s="175">
        <f>H77/DAY(B2)</f>
        <v>48.666666666666664</v>
      </c>
      <c r="K77" s="69"/>
      <c r="L77" s="66"/>
      <c r="N77" s="87"/>
      <c r="O77" s="71"/>
    </row>
    <row r="78" spans="1:15" ht="25.5">
      <c r="A78" s="899" t="s">
        <v>224</v>
      </c>
      <c r="B78" s="900"/>
      <c r="C78" s="901"/>
      <c r="D78" s="151" t="s">
        <v>139</v>
      </c>
      <c r="E78" s="95">
        <f>'8'!F78</f>
        <v>9563.4</v>
      </c>
      <c r="F78" s="123">
        <v>9563.4</v>
      </c>
      <c r="G78" s="112">
        <f t="shared" si="7"/>
        <v>0</v>
      </c>
      <c r="H78" s="99">
        <f>G78+'8'!H78</f>
        <v>-0.6000000000003638</v>
      </c>
      <c r="I78" s="118"/>
      <c r="J78" s="175">
        <f>H78/DAY(B2)</f>
        <v>-6.6666666666707092E-2</v>
      </c>
      <c r="K78" s="69"/>
      <c r="L78" s="66"/>
      <c r="N78" s="87"/>
      <c r="O78" s="71"/>
    </row>
    <row r="79" spans="1:15" s="57" customFormat="1" ht="25.5">
      <c r="A79" s="899" t="s">
        <v>225</v>
      </c>
      <c r="B79" s="900"/>
      <c r="C79" s="901"/>
      <c r="D79" s="151"/>
      <c r="E79" s="95">
        <f>'8'!F79</f>
        <v>0</v>
      </c>
      <c r="F79" s="117"/>
      <c r="G79" s="112">
        <f>G15-SUM(G74:G78)</f>
        <v>708.51199999999972</v>
      </c>
      <c r="H79" s="99">
        <f>G79+'8'!H79</f>
        <v>5983.7539999999926</v>
      </c>
      <c r="I79" s="118"/>
      <c r="J79" s="175"/>
      <c r="K79" s="59"/>
      <c r="L79" s="58"/>
      <c r="N79" s="87"/>
      <c r="O79" s="71"/>
    </row>
    <row r="80" spans="1:15" s="57" customFormat="1" ht="26.25">
      <c r="A80" s="911" t="s">
        <v>329</v>
      </c>
      <c r="B80" s="912"/>
      <c r="C80" s="913"/>
      <c r="D80" s="151"/>
      <c r="E80" s="117"/>
      <c r="F80" s="117"/>
      <c r="G80" s="112">
        <f>SUM(G74:G79)</f>
        <v>1155</v>
      </c>
      <c r="H80" s="99"/>
      <c r="I80" s="118"/>
      <c r="J80" s="175"/>
      <c r="K80" s="59"/>
      <c r="L80" s="58"/>
      <c r="N80" s="87"/>
      <c r="O80" s="71"/>
    </row>
    <row r="81" spans="1:15" ht="25.5">
      <c r="A81" s="915" t="s">
        <v>226</v>
      </c>
      <c r="B81" s="916"/>
      <c r="C81" s="917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'8'!F82</f>
        <v>0</v>
      </c>
      <c r="F82" s="122">
        <v>0</v>
      </c>
      <c r="G82" s="112">
        <f t="shared" ref="G82:G92" si="8">F82-E82</f>
        <v>0</v>
      </c>
      <c r="H82" s="99">
        <f>G82+'8'!H82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'8'!F83</f>
        <v>0</v>
      </c>
      <c r="F83" s="122">
        <v>0</v>
      </c>
      <c r="G83" s="112">
        <f t="shared" si="8"/>
        <v>0</v>
      </c>
      <c r="H83" s="99">
        <f>G83+'8'!H83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'8'!F84</f>
        <v>43546</v>
      </c>
      <c r="F84" s="164">
        <v>43546</v>
      </c>
      <c r="G84" s="112">
        <f t="shared" si="8"/>
        <v>0</v>
      </c>
      <c r="H84" s="99">
        <f>G84+'8'!H84</f>
        <v>0</v>
      </c>
      <c r="I84" s="545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'8'!F85</f>
        <v>6124</v>
      </c>
      <c r="F85" s="164">
        <v>6148.4</v>
      </c>
      <c r="G85" s="112">
        <f t="shared" si="8"/>
        <v>24.399999999999636</v>
      </c>
      <c r="H85" s="99">
        <f>G85+'8'!H85</f>
        <v>215.94999999999982</v>
      </c>
      <c r="I85" s="545"/>
      <c r="J85" s="175">
        <f>H85/DAY(B2)</f>
        <v>23.994444444444426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'8'!F86</f>
        <v>46834</v>
      </c>
      <c r="F86" s="164">
        <v>46834</v>
      </c>
      <c r="G86" s="112">
        <f t="shared" si="8"/>
        <v>0</v>
      </c>
      <c r="H86" s="99">
        <f>G86+'8'!H86</f>
        <v>0</v>
      </c>
      <c r="I86" s="545"/>
      <c r="J86" s="175">
        <f>H86/DAY(B2)</f>
        <v>0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'8'!F87</f>
        <v>37028</v>
      </c>
      <c r="F87" s="164">
        <v>37028</v>
      </c>
      <c r="G87" s="112">
        <f t="shared" si="8"/>
        <v>0</v>
      </c>
      <c r="H87" s="99">
        <f>G87+'8'!H87</f>
        <v>0</v>
      </c>
      <c r="I87" s="544">
        <f>G84+G85+G86+G87</f>
        <v>24.399999999999636</v>
      </c>
      <c r="J87" s="175">
        <f>H87/DAY(B2)</f>
        <v>0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'8'!F88</f>
        <v>24621</v>
      </c>
      <c r="F88" s="164">
        <v>24624.29</v>
      </c>
      <c r="G88" s="112">
        <f t="shared" si="8"/>
        <v>3.2900000000008731</v>
      </c>
      <c r="H88" s="99">
        <f>G88+'8'!H88</f>
        <v>20.690000000002328</v>
      </c>
      <c r="I88" s="544"/>
      <c r="J88" s="175">
        <f>H88/DAY(B2)</f>
        <v>2.2988888888891474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'8'!F89</f>
        <v>28837</v>
      </c>
      <c r="F89" s="164">
        <v>28847.65</v>
      </c>
      <c r="G89" s="112">
        <f t="shared" si="8"/>
        <v>10.650000000001455</v>
      </c>
      <c r="H89" s="99">
        <f>G89+'8'!H89</f>
        <v>99.260000000002037</v>
      </c>
      <c r="I89" s="544">
        <f>G88+G89</f>
        <v>13.940000000002328</v>
      </c>
      <c r="J89" s="175">
        <f>H89/DAY(B2)</f>
        <v>11.028888888889115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'8'!F90</f>
        <v>74290.44</v>
      </c>
      <c r="F90" s="164">
        <v>74300.86</v>
      </c>
      <c r="G90" s="112">
        <f t="shared" si="8"/>
        <v>10.419999999998254</v>
      </c>
      <c r="H90" s="99">
        <f>G90+'8'!H90</f>
        <v>97.680000000007567</v>
      </c>
      <c r="I90" s="544">
        <f>G90</f>
        <v>10.419999999998254</v>
      </c>
      <c r="J90" s="175">
        <f>H90/DAY(B2)</f>
        <v>10.853333333334174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'8'!F91</f>
        <v>5618</v>
      </c>
      <c r="F91" s="122">
        <v>5618</v>
      </c>
      <c r="G91" s="112">
        <f t="shared" si="8"/>
        <v>0</v>
      </c>
      <c r="H91" s="99">
        <f>G91+'8'!H91</f>
        <v>-0.21000000000003638</v>
      </c>
      <c r="I91" s="554"/>
      <c r="J91" s="175">
        <f>H91/DAY(B2)</f>
        <v>-2.3333333333337376E-2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'8'!F92</f>
        <v>7170</v>
      </c>
      <c r="F92" s="122">
        <v>7180.45</v>
      </c>
      <c r="G92" s="112">
        <f t="shared" si="8"/>
        <v>10.449999999999818</v>
      </c>
      <c r="H92" s="99">
        <f>G92+'8'!H92</f>
        <v>100.76000000000022</v>
      </c>
      <c r="I92" s="555">
        <f>G91+G92</f>
        <v>10.449999999999818</v>
      </c>
      <c r="J92" s="175">
        <f>H92/DAY(B2)</f>
        <v>11.195555555555579</v>
      </c>
      <c r="O92" s="71"/>
    </row>
    <row r="93" spans="1:15" ht="26.25">
      <c r="A93" s="905" t="s">
        <v>239</v>
      </c>
      <c r="B93" s="906"/>
      <c r="C93" s="90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5281.3099999999395</v>
      </c>
      <c r="H94" s="99">
        <f>G94+'8'!H94</f>
        <v>48903.169999999925</v>
      </c>
      <c r="I94" s="118"/>
      <c r="J94" s="175">
        <f>H94/DAY(B2)</f>
        <v>5433.6855555555476</v>
      </c>
      <c r="K94" s="69"/>
      <c r="L94" s="66"/>
      <c r="O94" s="71"/>
    </row>
    <row r="95" spans="1:15" ht="25.5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0.26022714954421972</v>
      </c>
      <c r="H95" s="99">
        <f>G95+'8'!H95</f>
        <v>2.3496503588917665</v>
      </c>
      <c r="I95" s="167"/>
      <c r="J95" s="175">
        <f>H95/DAY(B2)</f>
        <v>0.26107226209908518</v>
      </c>
      <c r="K95" s="69"/>
      <c r="L95" s="66"/>
      <c r="O95" s="71"/>
    </row>
    <row r="96" spans="1:15" ht="25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3941.3099999999977</v>
      </c>
      <c r="H96" s="99">
        <f>G96+'8'!H96</f>
        <v>39959.489999999991</v>
      </c>
      <c r="I96" s="118"/>
      <c r="J96" s="175">
        <f>H96/DAY(B2)</f>
        <v>4439.9433333333327</v>
      </c>
      <c r="K96" s="69"/>
      <c r="L96" s="66"/>
      <c r="O96" s="71"/>
    </row>
    <row r="97" spans="1:15" ht="25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0.19420103473761999</v>
      </c>
      <c r="H97" s="99">
        <f>G97+'8'!H97</f>
        <v>1.9171663989154806</v>
      </c>
      <c r="I97" s="167"/>
      <c r="J97" s="175">
        <f>H97/DAY(B2)</f>
        <v>0.21301848876838672</v>
      </c>
      <c r="K97" s="69"/>
      <c r="L97" s="66"/>
      <c r="O97" s="71"/>
    </row>
    <row r="98" spans="1:15" ht="25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2799.1800000000512</v>
      </c>
      <c r="H98" s="99">
        <f>G98+'8'!H98</f>
        <v>25474.150000000023</v>
      </c>
      <c r="I98" s="168"/>
      <c r="J98" s="175">
        <f>H98/DAY(B2)</f>
        <v>2830.4611111111135</v>
      </c>
      <c r="K98" s="69"/>
      <c r="L98" s="66"/>
      <c r="O98" s="71"/>
    </row>
    <row r="99" spans="1:15" ht="25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0.13792461197339498</v>
      </c>
      <c r="H99" s="99">
        <f>G99+'8'!H99</f>
        <v>1.2239617253784554</v>
      </c>
      <c r="I99" s="168"/>
      <c r="J99" s="175">
        <f>H99/DAY(B2)</f>
        <v>0.13599574726427283</v>
      </c>
      <c r="O99" s="71"/>
    </row>
    <row r="100" spans="1:15" ht="26.2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2560.4300000000512</v>
      </c>
      <c r="H100" s="99">
        <f>G100+'8'!H100</f>
        <v>20505.840000000077</v>
      </c>
      <c r="I100" s="118"/>
      <c r="J100" s="175">
        <f>H100/DAY(B2)</f>
        <v>2278.4266666666754</v>
      </c>
      <c r="K100" s="70"/>
      <c r="O100" s="71"/>
    </row>
    <row r="101" spans="1:15" ht="25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0.12616063069721858</v>
      </c>
      <c r="H101" s="99">
        <f>G101+'8'!H101</f>
        <v>0.98328778875367451</v>
      </c>
      <c r="I101" s="168"/>
      <c r="J101" s="175">
        <f>H101/DAY(B2)</f>
        <v>0.10925419875040827</v>
      </c>
      <c r="O101" s="71"/>
    </row>
    <row r="102" spans="1:15" ht="25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2094.3699999999953</v>
      </c>
      <c r="H102" s="99">
        <f>G102+'8'!H102</f>
        <v>20315.469999999972</v>
      </c>
      <c r="I102" s="168"/>
      <c r="J102" s="175">
        <f>H102/DAY(B2)</f>
        <v>2257.2744444444415</v>
      </c>
      <c r="O102" s="71"/>
    </row>
    <row r="103" spans="1:15" ht="25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0.1031963537817194</v>
      </c>
      <c r="H103" s="99">
        <f>G103+'8'!H103</f>
        <v>0.97479670277194375</v>
      </c>
      <c r="I103" s="118"/>
      <c r="J103" s="175">
        <f>H103/DAY(B2)</f>
        <v>0.1083107447524382</v>
      </c>
      <c r="O103" s="71"/>
    </row>
    <row r="104" spans="1:15" ht="25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1591.1900000000023</v>
      </c>
      <c r="H104" s="99">
        <f>G104+'8'!H104</f>
        <v>13344.320000000007</v>
      </c>
      <c r="I104" s="118"/>
      <c r="J104" s="175">
        <f>H104/DAY(B2)</f>
        <v>1482.7022222222231</v>
      </c>
      <c r="O104" s="71"/>
    </row>
    <row r="105" spans="1:15" ht="26.25" thickBot="1">
      <c r="A105" s="895" t="s">
        <v>251</v>
      </c>
      <c r="B105" s="896"/>
      <c r="C105" s="897"/>
      <c r="D105" s="231" t="s">
        <v>23</v>
      </c>
      <c r="E105" s="185"/>
      <c r="F105" s="185"/>
      <c r="G105" s="186">
        <f>G104/G7</f>
        <v>7.8403054939640421E-2</v>
      </c>
      <c r="H105" s="99">
        <f>G105+'8'!H105</f>
        <v>0.64125601067604099</v>
      </c>
      <c r="I105" s="187"/>
      <c r="J105" s="188">
        <f>H105/DAY(B2)</f>
        <v>7.125066785289344E-2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891" t="s">
        <v>324</v>
      </c>
      <c r="B108" s="891"/>
      <c r="C108" s="891"/>
      <c r="D108" s="891"/>
      <c r="E108" s="891"/>
      <c r="F108" s="891"/>
      <c r="G108" s="891"/>
      <c r="H108" s="891"/>
      <c r="I108" s="891"/>
      <c r="J108" s="891"/>
    </row>
    <row r="109" spans="1:15" ht="26.25">
      <c r="A109" s="918"/>
      <c r="B109" s="918"/>
    </row>
    <row r="110" spans="1:15" ht="26.25">
      <c r="A110" s="892" t="s">
        <v>165</v>
      </c>
      <c r="B110" s="893"/>
      <c r="C110" s="893"/>
      <c r="D110" s="893"/>
      <c r="E110" s="893"/>
      <c r="F110" s="893"/>
      <c r="G110" s="893"/>
      <c r="H110" s="893"/>
      <c r="I110" s="893"/>
      <c r="J110" s="894"/>
    </row>
    <row r="111" spans="1:15" ht="25.5">
      <c r="A111" s="885"/>
      <c r="B111" s="886"/>
      <c r="C111" s="887"/>
      <c r="D111" s="165"/>
      <c r="E111" s="165"/>
      <c r="F111" s="165"/>
      <c r="G111" s="165"/>
      <c r="H111" s="156"/>
      <c r="I111" s="165"/>
      <c r="J111" s="327"/>
    </row>
    <row r="112" spans="1:15" ht="25.5">
      <c r="A112" s="881" t="s">
        <v>252</v>
      </c>
      <c r="B112" s="882"/>
      <c r="C112" s="883"/>
      <c r="D112" s="146" t="s">
        <v>183</v>
      </c>
      <c r="E112" s="95">
        <f>'8'!F112</f>
        <v>17990</v>
      </c>
      <c r="F112" s="237">
        <v>18051.52</v>
      </c>
      <c r="G112" s="112">
        <f t="shared" ref="G112:G123" si="9">F112-E112</f>
        <v>61.520000000000437</v>
      </c>
      <c r="H112" s="99">
        <f>G112+'8'!H112</f>
        <v>540.22000000000116</v>
      </c>
      <c r="I112" s="165"/>
      <c r="J112" s="328">
        <f>H112/DAY(B2)</f>
        <v>60.024444444444576</v>
      </c>
    </row>
    <row r="113" spans="1:18" ht="29.25" customHeight="1">
      <c r="A113" s="881" t="s">
        <v>253</v>
      </c>
      <c r="B113" s="882"/>
      <c r="C113" s="883"/>
      <c r="D113" s="146" t="s">
        <v>183</v>
      </c>
      <c r="E113" s="95">
        <f>'8'!F113</f>
        <v>38218</v>
      </c>
      <c r="F113" s="237">
        <v>38359.5</v>
      </c>
      <c r="G113" s="112">
        <f t="shared" si="9"/>
        <v>141.5</v>
      </c>
      <c r="H113" s="99">
        <f>G113+'8'!H113</f>
        <v>1280.5</v>
      </c>
      <c r="I113" s="165"/>
      <c r="J113" s="328">
        <f>H113/DAY(B2)</f>
        <v>142.27777777777777</v>
      </c>
    </row>
    <row r="114" spans="1:18" ht="29.25" customHeight="1">
      <c r="A114" s="881" t="s">
        <v>254</v>
      </c>
      <c r="B114" s="882"/>
      <c r="C114" s="883"/>
      <c r="D114" s="146" t="s">
        <v>183</v>
      </c>
      <c r="E114" s="95">
        <f>'8'!F114</f>
        <v>56054</v>
      </c>
      <c r="F114" s="237">
        <v>56276.800000000003</v>
      </c>
      <c r="G114" s="112">
        <f t="shared" si="9"/>
        <v>222.80000000000291</v>
      </c>
      <c r="H114" s="99">
        <f>G114+'8'!H114</f>
        <v>2009.0200000000041</v>
      </c>
      <c r="I114" s="165"/>
      <c r="J114" s="328">
        <f>H114/DAY(B2)</f>
        <v>223.22444444444488</v>
      </c>
    </row>
    <row r="115" spans="1:18" ht="29.25" customHeight="1">
      <c r="A115" s="881" t="s">
        <v>255</v>
      </c>
      <c r="B115" s="882"/>
      <c r="C115" s="883"/>
      <c r="D115" s="146" t="s">
        <v>183</v>
      </c>
      <c r="E115" s="95">
        <f>'8'!F115</f>
        <v>36166</v>
      </c>
      <c r="F115" s="237">
        <v>36313.599999999999</v>
      </c>
      <c r="G115" s="112">
        <f t="shared" si="9"/>
        <v>147.59999999999854</v>
      </c>
      <c r="H115" s="99">
        <f>G115+'8'!H115</f>
        <v>1346.6899999999951</v>
      </c>
      <c r="I115" s="165"/>
      <c r="J115" s="328">
        <f>H115/DAY(B2)</f>
        <v>149.63222222222169</v>
      </c>
    </row>
    <row r="116" spans="1:18" ht="29.25" customHeight="1">
      <c r="A116" s="888" t="s">
        <v>96</v>
      </c>
      <c r="B116" s="889"/>
      <c r="C116" s="890"/>
      <c r="D116" s="146" t="s">
        <v>183</v>
      </c>
      <c r="E116" s="95">
        <f>'8'!F116</f>
        <v>137953</v>
      </c>
      <c r="F116" s="237">
        <v>138288</v>
      </c>
      <c r="G116" s="112">
        <f t="shared" si="9"/>
        <v>335</v>
      </c>
      <c r="H116" s="99">
        <f>G116+'8'!H116</f>
        <v>3799.609999999986</v>
      </c>
      <c r="I116" s="165"/>
      <c r="J116" s="328">
        <f>H116/DAY(B2)</f>
        <v>422.17888888888734</v>
      </c>
      <c r="Q116" s="881"/>
      <c r="R116" s="883"/>
    </row>
    <row r="117" spans="1:18" ht="29.25" customHeight="1">
      <c r="A117" s="888" t="s">
        <v>184</v>
      </c>
      <c r="B117" s="889"/>
      <c r="C117" s="890"/>
      <c r="D117" s="146" t="s">
        <v>183</v>
      </c>
      <c r="E117" s="405">
        <f>'8'!F117</f>
        <v>85810</v>
      </c>
      <c r="F117" s="416">
        <v>86215</v>
      </c>
      <c r="G117" s="236">
        <f t="shared" si="9"/>
        <v>405</v>
      </c>
      <c r="H117" s="99">
        <f>G117+'8'!H117</f>
        <v>3505</v>
      </c>
      <c r="I117" s="165"/>
      <c r="J117" s="328">
        <f>H117/DAY(B2)</f>
        <v>389.44444444444446</v>
      </c>
      <c r="Q117" s="881"/>
      <c r="R117" s="883"/>
    </row>
    <row r="118" spans="1:18" ht="25.5">
      <c r="A118" s="880" t="s">
        <v>97</v>
      </c>
      <c r="B118" s="880"/>
      <c r="C118" s="880"/>
      <c r="D118" s="151" t="s">
        <v>183</v>
      </c>
      <c r="E118" s="405">
        <f>'8'!F118</f>
        <v>163210</v>
      </c>
      <c r="F118" s="416">
        <v>163849.62</v>
      </c>
      <c r="G118" s="236">
        <f t="shared" si="9"/>
        <v>639.61999999999534</v>
      </c>
      <c r="H118" s="99">
        <f>G118+'8'!H118</f>
        <v>5712.4700000000012</v>
      </c>
      <c r="I118" s="165"/>
      <c r="J118" s="328">
        <f>H118/DAY(B2)</f>
        <v>634.71888888888907</v>
      </c>
      <c r="Q118" s="881"/>
      <c r="R118" s="883"/>
    </row>
    <row r="119" spans="1:18" ht="25.5">
      <c r="A119" s="880" t="s">
        <v>98</v>
      </c>
      <c r="B119" s="880"/>
      <c r="C119" s="880"/>
      <c r="D119" s="151" t="s">
        <v>183</v>
      </c>
      <c r="E119" s="405">
        <f>'8'!F119</f>
        <v>44227</v>
      </c>
      <c r="F119" s="416">
        <v>44266.37</v>
      </c>
      <c r="G119" s="236">
        <f t="shared" si="9"/>
        <v>39.370000000002619</v>
      </c>
      <c r="H119" s="99">
        <f>G119+'8'!H119</f>
        <v>327.19499999999971</v>
      </c>
      <c r="I119" s="165"/>
      <c r="J119" s="328">
        <f>H119/DAY(B2)</f>
        <v>36.354999999999968</v>
      </c>
    </row>
    <row r="120" spans="1:18" ht="25.5">
      <c r="A120" s="880" t="s">
        <v>99</v>
      </c>
      <c r="B120" s="880"/>
      <c r="C120" s="880"/>
      <c r="D120" s="151" t="s">
        <v>183</v>
      </c>
      <c r="E120" s="95">
        <f>'8'!F120</f>
        <v>111654</v>
      </c>
      <c r="F120" s="237">
        <v>112042.9</v>
      </c>
      <c r="G120" s="112">
        <f t="shared" si="9"/>
        <v>388.89999999999418</v>
      </c>
      <c r="H120" s="99">
        <f>G120+'8'!H120</f>
        <v>3605.7599999999948</v>
      </c>
      <c r="I120" s="165"/>
      <c r="J120" s="328">
        <f>H120/DAY(B2)</f>
        <v>400.63999999999942</v>
      </c>
    </row>
    <row r="121" spans="1:18" ht="25.5">
      <c r="A121" s="880" t="s">
        <v>100</v>
      </c>
      <c r="B121" s="880"/>
      <c r="C121" s="880"/>
      <c r="D121" s="151" t="s">
        <v>183</v>
      </c>
      <c r="E121" s="95">
        <f>'8'!F121</f>
        <v>124667</v>
      </c>
      <c r="F121" s="237">
        <v>125077</v>
      </c>
      <c r="G121" s="112">
        <f t="shared" si="9"/>
        <v>410</v>
      </c>
      <c r="H121" s="99">
        <f>G121+'8'!H121</f>
        <v>3854.1100000000006</v>
      </c>
      <c r="I121" s="165"/>
      <c r="J121" s="328">
        <f>H121/DAY(B2)</f>
        <v>428.23444444444453</v>
      </c>
    </row>
    <row r="122" spans="1:18" ht="25.5">
      <c r="A122" s="880" t="s">
        <v>101</v>
      </c>
      <c r="B122" s="880"/>
      <c r="C122" s="880"/>
      <c r="D122" s="151" t="s">
        <v>183</v>
      </c>
      <c r="E122" s="95">
        <f>'8'!F122</f>
        <v>83667</v>
      </c>
      <c r="F122" s="237">
        <v>83993</v>
      </c>
      <c r="G122" s="112">
        <f t="shared" si="9"/>
        <v>326</v>
      </c>
      <c r="H122" s="99">
        <f>G122+'8'!H122</f>
        <v>2718.6300000000047</v>
      </c>
      <c r="I122" s="165"/>
      <c r="J122" s="328">
        <f>H122/DAY(B2)</f>
        <v>302.0700000000005</v>
      </c>
    </row>
    <row r="123" spans="1:18" ht="25.5">
      <c r="A123" s="880" t="s">
        <v>102</v>
      </c>
      <c r="B123" s="880"/>
      <c r="C123" s="880"/>
      <c r="D123" s="151" t="s">
        <v>183</v>
      </c>
      <c r="E123" s="95">
        <f>'8'!F123</f>
        <v>80489</v>
      </c>
      <c r="F123" s="237">
        <v>80798.899999999994</v>
      </c>
      <c r="G123" s="112">
        <f t="shared" si="9"/>
        <v>309.89999999999418</v>
      </c>
      <c r="H123" s="99">
        <f>G123+'8'!H123</f>
        <v>2849.8999999999942</v>
      </c>
      <c r="I123" s="165"/>
      <c r="J123" s="328">
        <f>H123/DAY(B2)</f>
        <v>316.65555555555488</v>
      </c>
    </row>
    <row r="124" spans="1:18" ht="29.25" customHeight="1">
      <c r="A124" s="885"/>
      <c r="B124" s="886"/>
      <c r="C124" s="887"/>
      <c r="D124" s="165"/>
      <c r="E124" s="165"/>
      <c r="F124" s="165"/>
      <c r="G124" s="327"/>
      <c r="H124" s="156"/>
      <c r="I124" s="165"/>
      <c r="J124" s="327"/>
    </row>
    <row r="125" spans="1:18" ht="25.5">
      <c r="A125" s="787" t="s">
        <v>196</v>
      </c>
      <c r="B125" s="788"/>
      <c r="C125" s="245"/>
      <c r="D125" s="307"/>
      <c r="E125" s="308"/>
      <c r="F125" s="308"/>
      <c r="G125" s="309">
        <f>SUM(G112:G124)</f>
        <v>3427.2099999999882</v>
      </c>
      <c r="H125" s="156"/>
      <c r="I125" s="327">
        <f>G125-(G39+G53)</f>
        <v>628.02999999993699</v>
      </c>
      <c r="J125" s="327"/>
    </row>
    <row r="126" spans="1:18" ht="25.5">
      <c r="A126" s="884" t="s">
        <v>317</v>
      </c>
      <c r="B126" s="884"/>
      <c r="C126" s="884"/>
      <c r="D126" s="884"/>
      <c r="E126" s="884"/>
      <c r="F126" s="884"/>
      <c r="G126" s="884"/>
      <c r="H126" s="884"/>
      <c r="I126" s="884"/>
      <c r="J126" s="884"/>
    </row>
    <row r="127" spans="1:18" ht="25.5">
      <c r="A127" s="870"/>
      <c r="B127" s="870"/>
      <c r="C127" s="245"/>
      <c r="D127" s="307"/>
      <c r="E127" s="308"/>
      <c r="F127" s="308"/>
      <c r="G127" s="309"/>
      <c r="H127" s="99">
        <f>G127+'8'!H127</f>
        <v>0</v>
      </c>
      <c r="I127" s="165"/>
      <c r="J127" s="328">
        <f>H127/DAY(B2)</f>
        <v>0</v>
      </c>
    </row>
    <row r="128" spans="1:18" ht="29.25" customHeight="1">
      <c r="A128" s="881" t="s">
        <v>318</v>
      </c>
      <c r="B128" s="882"/>
      <c r="C128" s="883"/>
      <c r="D128" s="151" t="s">
        <v>183</v>
      </c>
      <c r="E128" s="95">
        <f>'8'!F128</f>
        <v>195859</v>
      </c>
      <c r="F128" s="155">
        <v>196366.01</v>
      </c>
      <c r="G128" s="112">
        <f t="shared" ref="G128:G134" si="10">F128-E128</f>
        <v>507.01000000000931</v>
      </c>
      <c r="H128" s="99">
        <f>G128+'8'!H128</f>
        <v>4480.3800000000047</v>
      </c>
      <c r="I128" s="165"/>
      <c r="J128" s="328">
        <f>H128/DAY(B2)</f>
        <v>497.8200000000005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'8'!F129</f>
        <v>102805</v>
      </c>
      <c r="F129" s="155">
        <v>103002.44</v>
      </c>
      <c r="G129" s="112">
        <f t="shared" si="10"/>
        <v>197.44000000000233</v>
      </c>
      <c r="H129" s="99">
        <f>G129+'8'!H129</f>
        <v>1725.4400000000023</v>
      </c>
      <c r="I129" s="165"/>
      <c r="J129" s="328">
        <f>H129/DAY(B2)</f>
        <v>191.71555555555582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'8'!F130</f>
        <v>272723</v>
      </c>
      <c r="F130" s="155">
        <v>273232.34999999998</v>
      </c>
      <c r="G130" s="112">
        <f t="shared" si="10"/>
        <v>509.34999999997672</v>
      </c>
      <c r="H130" s="99">
        <f>G130+'8'!H130</f>
        <v>4417.3499999999767</v>
      </c>
      <c r="I130" s="165"/>
      <c r="J130" s="328">
        <f>H130/DAY(B2)</f>
        <v>490.8166666666641</v>
      </c>
      <c r="N130" s="240"/>
      <c r="O130" s="241"/>
    </row>
    <row r="131" spans="1:15" ht="25.5">
      <c r="A131" s="881" t="s">
        <v>321</v>
      </c>
      <c r="B131" s="882"/>
      <c r="C131" s="883"/>
      <c r="D131" s="151" t="s">
        <v>183</v>
      </c>
      <c r="E131" s="95">
        <f>'8'!F131</f>
        <v>80891</v>
      </c>
      <c r="F131" s="155">
        <v>81067.06</v>
      </c>
      <c r="G131" s="112">
        <f t="shared" si="10"/>
        <v>176.05999999999767</v>
      </c>
      <c r="H131" s="99">
        <f>G131+'8'!H131</f>
        <v>1516.429999999993</v>
      </c>
      <c r="I131" s="165"/>
      <c r="J131" s="328">
        <f>H131/DAY(B2)</f>
        <v>168.49222222222144</v>
      </c>
      <c r="N131" s="240"/>
      <c r="O131" s="241"/>
    </row>
    <row r="132" spans="1:15" ht="25.5">
      <c r="A132" s="881" t="s">
        <v>322</v>
      </c>
      <c r="B132" s="882"/>
      <c r="C132" s="883"/>
      <c r="D132" s="151" t="s">
        <v>183</v>
      </c>
      <c r="E132" s="95">
        <f>'8'!F132</f>
        <v>148274</v>
      </c>
      <c r="F132" s="155">
        <v>148274</v>
      </c>
      <c r="G132" s="112">
        <f t="shared" si="10"/>
        <v>0</v>
      </c>
      <c r="H132" s="99">
        <f>G132+'8'!H132</f>
        <v>0</v>
      </c>
      <c r="I132" s="165"/>
      <c r="J132" s="328">
        <f>H132/DAY(B2)</f>
        <v>0</v>
      </c>
    </row>
    <row r="133" spans="1:15" ht="25.5">
      <c r="A133" s="881" t="s">
        <v>323</v>
      </c>
      <c r="B133" s="882"/>
      <c r="C133" s="883"/>
      <c r="D133" s="151" t="s">
        <v>183</v>
      </c>
      <c r="E133" s="95">
        <f>'8'!F133</f>
        <v>288548</v>
      </c>
      <c r="F133" s="155">
        <v>288548.17</v>
      </c>
      <c r="G133" s="112">
        <f t="shared" si="10"/>
        <v>0.16999999998370185</v>
      </c>
      <c r="H133" s="99">
        <f>G133+'8'!H133</f>
        <v>-644499.83000000007</v>
      </c>
      <c r="I133" s="165"/>
      <c r="J133" s="328">
        <f>H133/DAY(B2)</f>
        <v>-71611.092222222229</v>
      </c>
    </row>
    <row r="134" spans="1:15" ht="25.5">
      <c r="A134" s="881" t="s">
        <v>340</v>
      </c>
      <c r="B134" s="882"/>
      <c r="C134" s="883"/>
      <c r="D134" s="151" t="s">
        <v>183</v>
      </c>
      <c r="E134" s="95">
        <f>'8'!F134</f>
        <v>88067</v>
      </c>
      <c r="F134" s="155">
        <v>88330</v>
      </c>
      <c r="G134" s="112">
        <f t="shared" si="10"/>
        <v>263</v>
      </c>
      <c r="H134" s="99">
        <f>G134+'8'!H134</f>
        <v>2378</v>
      </c>
      <c r="I134" s="165"/>
      <c r="J134" s="328">
        <f>H134/DAY(B2)</f>
        <v>264.22222222222223</v>
      </c>
    </row>
    <row r="135" spans="1:15" ht="25.5">
      <c r="A135" s="787" t="s">
        <v>196</v>
      </c>
      <c r="B135" s="788"/>
      <c r="C135" s="331"/>
      <c r="D135" s="151"/>
      <c r="E135" s="95"/>
      <c r="F135" s="165"/>
      <c r="G135" s="112">
        <f>SUM(G128:G134)</f>
        <v>1653.0299999999697</v>
      </c>
      <c r="H135" s="99">
        <f>G135+'8'!H135</f>
        <v>-629982.23</v>
      </c>
      <c r="I135" s="327">
        <f>G135-(G35+G49)</f>
        <v>-1261.6900000000023</v>
      </c>
      <c r="J135" s="328">
        <f>H135/DAY(B2)</f>
        <v>-69998.025555555549</v>
      </c>
    </row>
    <row r="136" spans="1:15" ht="27.75">
      <c r="A136" s="869" t="s">
        <v>325</v>
      </c>
      <c r="B136" s="869"/>
      <c r="C136" s="869"/>
      <c r="D136" s="869"/>
      <c r="E136" s="869"/>
      <c r="F136" s="869"/>
      <c r="G136" s="869"/>
      <c r="H136" s="869"/>
      <c r="I136" s="869"/>
      <c r="J136" s="869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80" t="s">
        <v>185</v>
      </c>
      <c r="B138" s="880"/>
      <c r="C138" s="880"/>
      <c r="D138" s="151" t="s">
        <v>183</v>
      </c>
      <c r="E138" s="95">
        <f>'8'!F138</f>
        <v>910407</v>
      </c>
      <c r="F138" s="147">
        <v>910530</v>
      </c>
      <c r="G138" s="112">
        <f t="shared" ref="G138:G152" si="11">F138-E138</f>
        <v>123</v>
      </c>
      <c r="H138" s="99">
        <f>G138+'8'!H138</f>
        <v>1051</v>
      </c>
      <c r="I138" s="118"/>
      <c r="J138" s="328">
        <f>H138/DAY(B2)</f>
        <v>116.77777777777777</v>
      </c>
    </row>
    <row r="139" spans="1:15" ht="25.5">
      <c r="A139" s="880" t="s">
        <v>186</v>
      </c>
      <c r="B139" s="880"/>
      <c r="C139" s="880"/>
      <c r="D139" s="151" t="s">
        <v>183</v>
      </c>
      <c r="E139" s="95">
        <f>'8'!F139</f>
        <v>933668</v>
      </c>
      <c r="F139" s="148">
        <v>933817</v>
      </c>
      <c r="G139" s="112">
        <f t="shared" si="11"/>
        <v>149</v>
      </c>
      <c r="H139" s="99">
        <f>G139+'8'!H139</f>
        <v>1457</v>
      </c>
      <c r="I139" s="118"/>
      <c r="J139" s="328">
        <f>H139/DAY(B2)</f>
        <v>161.88888888888889</v>
      </c>
    </row>
    <row r="140" spans="1:15" ht="25.5">
      <c r="A140" s="880" t="s">
        <v>187</v>
      </c>
      <c r="B140" s="880"/>
      <c r="C140" s="880"/>
      <c r="D140" s="151" t="s">
        <v>183</v>
      </c>
      <c r="E140" s="95">
        <f>'8'!F140</f>
        <v>4185</v>
      </c>
      <c r="F140" s="149">
        <v>4210.59</v>
      </c>
      <c r="G140" s="112">
        <f t="shared" si="11"/>
        <v>25.590000000000146</v>
      </c>
      <c r="H140" s="99">
        <f>G140+'8'!H140</f>
        <v>177.07900000000018</v>
      </c>
      <c r="I140" s="118"/>
      <c r="J140" s="328">
        <f>H140/DAY(B2)</f>
        <v>19.675444444444466</v>
      </c>
    </row>
    <row r="141" spans="1:15" ht="25.5">
      <c r="A141" s="863" t="s">
        <v>188</v>
      </c>
      <c r="B141" s="863"/>
      <c r="C141" s="863"/>
      <c r="D141" s="151" t="s">
        <v>183</v>
      </c>
      <c r="E141" s="95">
        <f>'8'!F141</f>
        <v>126183</v>
      </c>
      <c r="F141" s="149">
        <v>126375.3</v>
      </c>
      <c r="G141" s="112">
        <f t="shared" si="11"/>
        <v>192.30000000000291</v>
      </c>
      <c r="H141" s="99">
        <f>G141+'8'!H141</f>
        <v>1777.3000000000029</v>
      </c>
      <c r="I141" s="118"/>
      <c r="J141" s="328">
        <f>H141/DAY(B2)</f>
        <v>197.4777777777781</v>
      </c>
    </row>
    <row r="142" spans="1:15" ht="25.5">
      <c r="A142" s="863" t="s">
        <v>189</v>
      </c>
      <c r="B142" s="863"/>
      <c r="C142" s="863"/>
      <c r="D142" s="151" t="s">
        <v>183</v>
      </c>
      <c r="E142" s="95">
        <f>'8'!F142</f>
        <v>51274</v>
      </c>
      <c r="F142" s="148">
        <v>51371.3</v>
      </c>
      <c r="G142" s="112">
        <f t="shared" si="11"/>
        <v>97.30000000000291</v>
      </c>
      <c r="H142" s="99">
        <f>G142+'8'!H142</f>
        <v>805.75</v>
      </c>
      <c r="I142" s="140"/>
      <c r="J142" s="328">
        <f>H142/DAY(B2)</f>
        <v>89.527777777777771</v>
      </c>
    </row>
    <row r="143" spans="1:15" ht="25.5">
      <c r="A143" s="880" t="s">
        <v>91</v>
      </c>
      <c r="B143" s="880"/>
      <c r="C143" s="880"/>
      <c r="D143" s="151" t="s">
        <v>183</v>
      </c>
      <c r="E143" s="95">
        <f>'8'!F143</f>
        <v>13635</v>
      </c>
      <c r="F143" s="149">
        <v>13666</v>
      </c>
      <c r="G143" s="112">
        <f t="shared" si="11"/>
        <v>31</v>
      </c>
      <c r="H143" s="99">
        <f>G143+'8'!H143</f>
        <v>279</v>
      </c>
      <c r="I143" s="140"/>
      <c r="J143" s="328">
        <f>H143/DAY(B2)</f>
        <v>31</v>
      </c>
    </row>
    <row r="144" spans="1:15" ht="25.5">
      <c r="A144" s="863" t="s">
        <v>90</v>
      </c>
      <c r="B144" s="863"/>
      <c r="C144" s="863"/>
      <c r="D144" s="151" t="s">
        <v>183</v>
      </c>
      <c r="E144" s="405">
        <f>'8'!F144</f>
        <v>957409</v>
      </c>
      <c r="F144" s="148">
        <v>957645</v>
      </c>
      <c r="G144" s="112">
        <f t="shared" si="11"/>
        <v>236</v>
      </c>
      <c r="H144" s="99">
        <f>G144+'8'!H144</f>
        <v>2175</v>
      </c>
      <c r="I144" s="140"/>
      <c r="J144" s="328">
        <f>H144/DAY(B2)</f>
        <v>241.66666666666666</v>
      </c>
    </row>
    <row r="145" spans="1:10" ht="25.5">
      <c r="A145" s="880" t="s">
        <v>190</v>
      </c>
      <c r="B145" s="880"/>
      <c r="C145" s="880"/>
      <c r="D145" s="152" t="s">
        <v>183</v>
      </c>
      <c r="E145" s="405">
        <f>'8'!F145</f>
        <v>746338</v>
      </c>
      <c r="F145" s="148">
        <v>746490</v>
      </c>
      <c r="G145" s="112">
        <f t="shared" si="11"/>
        <v>152</v>
      </c>
      <c r="H145" s="99">
        <f>G145+'8'!H145</f>
        <v>1309</v>
      </c>
      <c r="I145" s="140"/>
      <c r="J145" s="328">
        <f>H145/DAY(B2)</f>
        <v>145.44444444444446</v>
      </c>
    </row>
    <row r="146" spans="1:10" ht="25.5">
      <c r="A146" s="914" t="s">
        <v>191</v>
      </c>
      <c r="B146" s="900"/>
      <c r="C146" s="901"/>
      <c r="D146" s="152" t="s">
        <v>183</v>
      </c>
      <c r="E146" s="405">
        <f>'8'!F146</f>
        <v>788116</v>
      </c>
      <c r="F146" s="148">
        <v>788158</v>
      </c>
      <c r="G146" s="112">
        <f t="shared" si="11"/>
        <v>42</v>
      </c>
      <c r="H146" s="99">
        <f>G146+'8'!H146</f>
        <v>300</v>
      </c>
      <c r="I146" s="140"/>
      <c r="J146" s="328">
        <f>H146/DAY(B2)</f>
        <v>33.333333333333336</v>
      </c>
    </row>
    <row r="147" spans="1:10" ht="25.5">
      <c r="A147" s="863" t="s">
        <v>192</v>
      </c>
      <c r="B147" s="863"/>
      <c r="C147" s="863"/>
      <c r="D147" s="152" t="s">
        <v>183</v>
      </c>
      <c r="E147" s="405">
        <f>'8'!F147</f>
        <v>763123</v>
      </c>
      <c r="F147" s="148">
        <v>763498.8</v>
      </c>
      <c r="G147" s="112">
        <f t="shared" si="11"/>
        <v>375.80000000004657</v>
      </c>
      <c r="H147" s="99">
        <f>G147+'8'!H147</f>
        <v>3360.8000000000466</v>
      </c>
      <c r="I147" s="140"/>
      <c r="J147" s="328">
        <f>H147/DAY(B2)</f>
        <v>373.42222222222739</v>
      </c>
    </row>
    <row r="148" spans="1:10" ht="25.5">
      <c r="A148" s="864" t="s">
        <v>193</v>
      </c>
      <c r="B148" s="865"/>
      <c r="C148" s="866"/>
      <c r="D148" s="123" t="s">
        <v>130</v>
      </c>
      <c r="E148" s="405">
        <f>'8'!F148</f>
        <v>799083</v>
      </c>
      <c r="F148" s="164">
        <v>799381.44</v>
      </c>
      <c r="G148" s="112">
        <f t="shared" si="11"/>
        <v>298.43999999994412</v>
      </c>
      <c r="H148" s="99">
        <f>G148+'8'!H148</f>
        <v>2969.359999999986</v>
      </c>
      <c r="I148" s="124"/>
      <c r="J148" s="328">
        <f>H148/DAY(B2)</f>
        <v>329.92888888888734</v>
      </c>
    </row>
    <row r="149" spans="1:10" ht="25.5">
      <c r="A149" s="864" t="s">
        <v>336</v>
      </c>
      <c r="B149" s="865"/>
      <c r="C149" s="866"/>
      <c r="D149" s="227" t="s">
        <v>130</v>
      </c>
      <c r="E149" s="405">
        <f>'8'!F149</f>
        <v>204700</v>
      </c>
      <c r="F149" s="415">
        <v>205271.43</v>
      </c>
      <c r="G149" s="112">
        <f t="shared" si="11"/>
        <v>571.42999999999302</v>
      </c>
      <c r="H149" s="99">
        <f>G149+'8'!H149</f>
        <v>3980.1600000000035</v>
      </c>
      <c r="I149" s="119"/>
      <c r="J149" s="328">
        <f>H149/DAY(B2)</f>
        <v>442.24000000000041</v>
      </c>
    </row>
    <row r="150" spans="1:10" ht="25.5">
      <c r="A150" s="864" t="s">
        <v>337</v>
      </c>
      <c r="B150" s="865"/>
      <c r="C150" s="866"/>
      <c r="D150" s="117" t="s">
        <v>130</v>
      </c>
      <c r="E150" s="405">
        <f>'8'!F150</f>
        <v>86875</v>
      </c>
      <c r="F150" s="233">
        <v>87117.3</v>
      </c>
      <c r="G150" s="112">
        <f t="shared" si="11"/>
        <v>242.30000000000291</v>
      </c>
      <c r="H150" s="99">
        <f>G150+'8'!H150</f>
        <v>1903.3000000000029</v>
      </c>
      <c r="I150" s="119"/>
      <c r="J150" s="328">
        <f>H150/DAY(B2)</f>
        <v>211.4777777777781</v>
      </c>
    </row>
    <row r="151" spans="1:10" ht="25.5">
      <c r="A151" s="864" t="s">
        <v>338</v>
      </c>
      <c r="B151" s="865"/>
      <c r="C151" s="866"/>
      <c r="D151" s="117" t="s">
        <v>130</v>
      </c>
      <c r="E151" s="95">
        <f>'8'!F151</f>
        <v>169141</v>
      </c>
      <c r="F151" s="233">
        <v>169433</v>
      </c>
      <c r="G151" s="112">
        <f t="shared" si="11"/>
        <v>292</v>
      </c>
      <c r="H151" s="99">
        <f>G151+'8'!H151</f>
        <v>2703</v>
      </c>
      <c r="I151" s="119"/>
      <c r="J151" s="328">
        <f>H151/DAY(B2)</f>
        <v>300.33333333333331</v>
      </c>
    </row>
    <row r="152" spans="1:10" ht="25.5">
      <c r="A152" s="864" t="s">
        <v>339</v>
      </c>
      <c r="B152" s="865"/>
      <c r="C152" s="866"/>
      <c r="D152" s="117" t="s">
        <v>130</v>
      </c>
      <c r="E152" s="95">
        <f>'8'!F152</f>
        <v>43565</v>
      </c>
      <c r="F152" s="233">
        <v>43700.62</v>
      </c>
      <c r="G152" s="112">
        <f t="shared" si="11"/>
        <v>135.62000000000262</v>
      </c>
      <c r="H152" s="99">
        <f>G152+'8'!H152</f>
        <v>1189.6200000000026</v>
      </c>
      <c r="I152" s="119"/>
      <c r="J152" s="328">
        <f>H152/DAY(B2)</f>
        <v>132.18000000000029</v>
      </c>
    </row>
    <row r="153" spans="1:10" ht="25.5">
      <c r="A153" s="787" t="s">
        <v>196</v>
      </c>
      <c r="B153" s="788"/>
      <c r="C153" s="365"/>
      <c r="D153" s="358"/>
      <c r="E153" s="360"/>
      <c r="F153" s="361"/>
      <c r="G153" s="362">
        <f>SUM(G138:G152)</f>
        <v>2963.7799999999952</v>
      </c>
      <c r="H153" s="363"/>
      <c r="I153" s="119">
        <f>G153-(G38+G52)</f>
        <v>403.34999999994398</v>
      </c>
      <c r="J153" s="366"/>
    </row>
    <row r="154" spans="1:10" ht="27.75">
      <c r="A154" s="869" t="s">
        <v>344</v>
      </c>
      <c r="B154" s="869"/>
      <c r="C154" s="869"/>
      <c r="D154" s="869"/>
      <c r="E154" s="869"/>
      <c r="F154" s="869"/>
      <c r="G154" s="869"/>
      <c r="H154" s="869"/>
      <c r="I154" s="869"/>
      <c r="J154" s="869"/>
    </row>
    <row r="155" spans="1:10" ht="27.75">
      <c r="A155" s="863" t="s">
        <v>345</v>
      </c>
      <c r="B155" s="863"/>
      <c r="C155" s="863"/>
      <c r="D155" s="117" t="s">
        <v>130</v>
      </c>
      <c r="E155" s="95">
        <f>'8'!F155</f>
        <v>243641</v>
      </c>
      <c r="F155" s="374">
        <v>244189.1</v>
      </c>
      <c r="G155" s="112">
        <f t="shared" ref="G155:G158" si="12">F155-E155</f>
        <v>548.10000000000582</v>
      </c>
      <c r="H155" s="99">
        <f>G155+'8'!H155</f>
        <v>5155.1000000000058</v>
      </c>
      <c r="I155" s="364"/>
      <c r="J155" s="328">
        <f>H155/DAY(B2)</f>
        <v>572.78888888888957</v>
      </c>
    </row>
    <row r="156" spans="1:10" ht="25.5">
      <c r="A156" s="863" t="s">
        <v>346</v>
      </c>
      <c r="B156" s="863"/>
      <c r="C156" s="863"/>
      <c r="D156" s="117" t="s">
        <v>130</v>
      </c>
      <c r="E156" s="95">
        <f>'8'!F156</f>
        <v>30368</v>
      </c>
      <c r="F156" s="155">
        <v>30450.6</v>
      </c>
      <c r="G156" s="112">
        <f t="shared" si="12"/>
        <v>82.599999999998545</v>
      </c>
      <c r="H156" s="99">
        <f>G156+'8'!H156</f>
        <v>771.09999999999854</v>
      </c>
      <c r="I156" s="165"/>
      <c r="J156" s="328">
        <f>H156/DAY(B2)</f>
        <v>85.677777777777621</v>
      </c>
    </row>
    <row r="157" spans="1:10" ht="25.5">
      <c r="A157" s="864" t="s">
        <v>360</v>
      </c>
      <c r="B157" s="865"/>
      <c r="C157" s="866"/>
      <c r="D157" s="117" t="s">
        <v>130</v>
      </c>
      <c r="E157" s="95">
        <f>'8'!F157</f>
        <v>37559</v>
      </c>
      <c r="F157" s="155">
        <v>37559</v>
      </c>
      <c r="G157" s="112">
        <f t="shared" si="12"/>
        <v>0</v>
      </c>
      <c r="H157" s="99">
        <f>G157+'8'!H157</f>
        <v>0</v>
      </c>
      <c r="I157" s="165"/>
      <c r="J157" s="328">
        <f>H157/DAY(B2)</f>
        <v>0</v>
      </c>
    </row>
    <row r="158" spans="1:10" ht="25.5">
      <c r="A158" s="864" t="s">
        <v>361</v>
      </c>
      <c r="B158" s="865"/>
      <c r="C158" s="866"/>
      <c r="D158" s="117" t="s">
        <v>130</v>
      </c>
      <c r="E158" s="95">
        <f>'8'!F158</f>
        <v>1767</v>
      </c>
      <c r="F158" s="155">
        <v>1767.5</v>
      </c>
      <c r="G158" s="112">
        <f t="shared" si="12"/>
        <v>0.5</v>
      </c>
      <c r="H158" s="99">
        <f>G158+'8'!H158</f>
        <v>9.5</v>
      </c>
      <c r="I158" s="165"/>
      <c r="J158" s="328">
        <f>H158/DAY(B2)</f>
        <v>1.0555555555555556</v>
      </c>
    </row>
    <row r="159" spans="1:10" ht="25.5">
      <c r="A159" s="944"/>
      <c r="B159" s="945"/>
      <c r="C159" s="946"/>
      <c r="D159" s="117"/>
      <c r="E159" s="95"/>
      <c r="F159" s="155"/>
      <c r="G159" s="112"/>
      <c r="H159" s="99">
        <f>G159+'8'!H159</f>
        <v>0</v>
      </c>
      <c r="I159" s="165"/>
      <c r="J159" s="328">
        <f>H159/DAY(B2)</f>
        <v>0</v>
      </c>
    </row>
    <row r="160" spans="1:10" ht="27.75">
      <c r="A160" s="869" t="s">
        <v>326</v>
      </c>
      <c r="B160" s="869"/>
      <c r="C160" s="869"/>
      <c r="D160" s="869"/>
      <c r="E160" s="869"/>
      <c r="F160" s="869"/>
      <c r="G160" s="869"/>
      <c r="H160" s="869"/>
      <c r="I160" s="869"/>
      <c r="J160" s="869"/>
    </row>
    <row r="161" spans="1:10" ht="26.25">
      <c r="A161" s="242" t="s">
        <v>92</v>
      </c>
      <c r="B161" s="243"/>
      <c r="C161" s="243"/>
      <c r="D161" s="244" t="s">
        <v>180</v>
      </c>
      <c r="E161" s="95">
        <f>'8'!F161</f>
        <v>509702</v>
      </c>
      <c r="F161" s="235">
        <v>509890.44</v>
      </c>
      <c r="G161" s="238">
        <f t="shared" ref="G161:G166" si="13">F161-E161</f>
        <v>188.44000000000233</v>
      </c>
      <c r="H161" s="99">
        <f>G161+'8'!H161</f>
        <v>1507.1199999999953</v>
      </c>
      <c r="I161" s="236"/>
      <c r="J161" s="239">
        <f>H161/DAY(B2)</f>
        <v>167.45777777777727</v>
      </c>
    </row>
    <row r="162" spans="1:10" ht="27" customHeight="1">
      <c r="A162" s="242" t="s">
        <v>93</v>
      </c>
      <c r="B162" s="243"/>
      <c r="C162" s="243"/>
      <c r="D162" s="244" t="s">
        <v>180</v>
      </c>
      <c r="E162" s="95">
        <f>'8'!F162</f>
        <v>1037</v>
      </c>
      <c r="F162" s="235">
        <v>1077</v>
      </c>
      <c r="G162" s="238">
        <f t="shared" si="13"/>
        <v>40</v>
      </c>
      <c r="H162" s="99">
        <f>G162+'8'!H162</f>
        <v>305.39999999999998</v>
      </c>
      <c r="I162" s="236"/>
      <c r="J162" s="239">
        <f>H162/DAY(B2)</f>
        <v>33.93333333333333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'8'!F163</f>
        <v>0</v>
      </c>
      <c r="F163" s="235">
        <v>0</v>
      </c>
      <c r="G163" s="238">
        <f t="shared" si="13"/>
        <v>0</v>
      </c>
      <c r="H163" s="99">
        <f>G163+'8'!H163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'8'!F164</f>
        <v>7231</v>
      </c>
      <c r="F164" s="235">
        <v>7235.9</v>
      </c>
      <c r="G164" s="238">
        <f t="shared" si="13"/>
        <v>4.8999999999996362</v>
      </c>
      <c r="H164" s="99">
        <f>G164+'8'!H164</f>
        <v>36.899999999999636</v>
      </c>
      <c r="I164" s="236"/>
      <c r="J164" s="239">
        <f>H164/DAY(B2)</f>
        <v>4.0999999999999597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'8'!F165</f>
        <v>32826</v>
      </c>
      <c r="F165" s="235">
        <v>32833</v>
      </c>
      <c r="G165" s="238">
        <f t="shared" si="13"/>
        <v>7</v>
      </c>
      <c r="H165" s="99">
        <f>G165+'8'!H165</f>
        <v>52.911999999996624</v>
      </c>
      <c r="I165" s="236"/>
      <c r="J165" s="239">
        <f>H165/DAY(B2)</f>
        <v>5.8791111111107357</v>
      </c>
    </row>
    <row r="166" spans="1:10" ht="26.25">
      <c r="A166" s="870"/>
      <c r="B166" s="870"/>
      <c r="C166" s="246"/>
      <c r="D166" s="244" t="s">
        <v>180</v>
      </c>
      <c r="E166" s="95">
        <f>'8'!F166</f>
        <v>0</v>
      </c>
      <c r="F166" s="165">
        <v>0</v>
      </c>
      <c r="G166" s="165">
        <f t="shared" si="13"/>
        <v>0</v>
      </c>
      <c r="H166" s="99">
        <f>G166+'8'!H166</f>
        <v>0</v>
      </c>
      <c r="I166" s="165"/>
      <c r="J166" s="239">
        <f>H166/DAY(B2)</f>
        <v>0</v>
      </c>
    </row>
    <row r="167" spans="1:10" ht="26.25">
      <c r="A167" s="870"/>
      <c r="B167" s="870"/>
      <c r="C167" s="246"/>
      <c r="D167" s="244" t="s">
        <v>180</v>
      </c>
      <c r="E167" s="95">
        <f>'8'!F167</f>
        <v>0</v>
      </c>
      <c r="F167" s="165"/>
      <c r="G167" s="165"/>
      <c r="H167" s="99">
        <f>G167+'8'!H167</f>
        <v>0</v>
      </c>
      <c r="I167" s="165"/>
      <c r="J167" s="239">
        <f>H167/DAY(B2)</f>
        <v>0</v>
      </c>
    </row>
    <row r="168" spans="1:10" ht="26.25">
      <c r="A168" s="870"/>
      <c r="B168" s="870"/>
      <c r="C168" s="246"/>
      <c r="D168" s="244" t="s">
        <v>180</v>
      </c>
      <c r="E168" s="95">
        <f>'8'!F168</f>
        <v>0</v>
      </c>
      <c r="F168" s="165"/>
      <c r="G168" s="165"/>
      <c r="H168" s="99">
        <f>G168+'8'!H168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71" t="s">
        <v>330</v>
      </c>
      <c r="B171" s="872"/>
      <c r="C171" s="872"/>
      <c r="D171" s="872"/>
      <c r="E171" s="872"/>
      <c r="F171" s="872"/>
      <c r="G171" s="872"/>
      <c r="H171" s="872"/>
      <c r="I171" s="872"/>
      <c r="J171" s="873"/>
    </row>
    <row r="172" spans="1:10" ht="25.5">
      <c r="A172" s="878"/>
      <c r="B172" s="879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789" t="s">
        <v>209</v>
      </c>
      <c r="B173" s="790"/>
      <c r="C173" s="333"/>
      <c r="D173" s="228" t="s">
        <v>142</v>
      </c>
      <c r="E173" s="95">
        <f>'8'!F173</f>
        <v>8620</v>
      </c>
      <c r="F173" s="155">
        <v>8622</v>
      </c>
      <c r="G173" s="155">
        <f>F173-E173</f>
        <v>2</v>
      </c>
      <c r="H173" s="99">
        <f>G173+'8'!H173</f>
        <v>10</v>
      </c>
      <c r="I173" s="155"/>
      <c r="J173" s="178">
        <f>H173/DAY(B2)</f>
        <v>1.1111111111111112</v>
      </c>
    </row>
    <row r="174" spans="1:10" ht="25.5">
      <c r="A174" s="789" t="s">
        <v>75</v>
      </c>
      <c r="B174" s="790"/>
      <c r="C174" s="333"/>
      <c r="D174" s="228" t="s">
        <v>142</v>
      </c>
      <c r="E174" s="95">
        <f>'8'!F174</f>
        <v>43141</v>
      </c>
      <c r="F174" s="157">
        <v>43155</v>
      </c>
      <c r="G174" s="155">
        <f t="shared" ref="G174:G175" si="14">F174-E174</f>
        <v>14</v>
      </c>
      <c r="H174" s="99">
        <f>G174+'8'!H174</f>
        <v>105</v>
      </c>
      <c r="I174" s="155"/>
      <c r="J174" s="178">
        <f>H174/DAY(B2)</f>
        <v>11.666666666666666</v>
      </c>
    </row>
    <row r="175" spans="1:10" ht="25.5">
      <c r="A175" s="789" t="s">
        <v>76</v>
      </c>
      <c r="B175" s="802"/>
      <c r="C175" s="790"/>
      <c r="D175" s="228" t="s">
        <v>142</v>
      </c>
      <c r="E175" s="95">
        <f>'8'!F175</f>
        <v>25939</v>
      </c>
      <c r="F175" s="155">
        <v>25955</v>
      </c>
      <c r="G175" s="155">
        <f t="shared" si="14"/>
        <v>16</v>
      </c>
      <c r="H175" s="99">
        <f>G175+'8'!H175</f>
        <v>134</v>
      </c>
      <c r="I175" s="155"/>
      <c r="J175" s="178">
        <f>H175/DAY(B2)</f>
        <v>14.888888888888889</v>
      </c>
    </row>
    <row r="176" spans="1:10" ht="25.5">
      <c r="A176" s="787" t="s">
        <v>196</v>
      </c>
      <c r="B176" s="788"/>
      <c r="C176" s="333"/>
      <c r="D176" s="228" t="s">
        <v>142</v>
      </c>
      <c r="E176" s="95"/>
      <c r="F176" s="155"/>
      <c r="G176" s="155">
        <f>SUM(G173:G175)</f>
        <v>32</v>
      </c>
      <c r="H176" s="99">
        <f>G176+'8'!H176</f>
        <v>249</v>
      </c>
      <c r="I176" s="155"/>
      <c r="J176" s="178">
        <f>H176/DAY(B2)</f>
        <v>27.666666666666668</v>
      </c>
    </row>
    <row r="177" spans="1:10" ht="25.5">
      <c r="A177" s="789" t="s">
        <v>77</v>
      </c>
      <c r="B177" s="790"/>
      <c r="C177" s="333"/>
      <c r="D177" s="228" t="s">
        <v>142</v>
      </c>
      <c r="E177" s="95"/>
      <c r="F177" s="155"/>
      <c r="G177" s="155"/>
      <c r="H177" s="99">
        <f>G177+'8'!H177</f>
        <v>0</v>
      </c>
      <c r="I177" s="155"/>
      <c r="J177" s="178">
        <f>H177/DAY(B2)</f>
        <v>0</v>
      </c>
    </row>
    <row r="178" spans="1:10" ht="25.5">
      <c r="A178" s="789" t="s">
        <v>210</v>
      </c>
      <c r="B178" s="790"/>
      <c r="C178" s="333"/>
      <c r="D178" s="228" t="s">
        <v>142</v>
      </c>
      <c r="E178" s="95">
        <f>'8'!F178</f>
        <v>107924</v>
      </c>
      <c r="F178" s="155">
        <v>108029</v>
      </c>
      <c r="G178" s="155">
        <f>F178-E178</f>
        <v>105</v>
      </c>
      <c r="H178" s="99">
        <f>G178+'8'!H178</f>
        <v>1030</v>
      </c>
      <c r="I178" s="155"/>
      <c r="J178" s="178">
        <f>H178/DAY(B2)</f>
        <v>114.44444444444444</v>
      </c>
    </row>
    <row r="179" spans="1:10" ht="25.5">
      <c r="A179" s="789" t="s">
        <v>211</v>
      </c>
      <c r="B179" s="790"/>
      <c r="C179" s="333"/>
      <c r="D179" s="228" t="s">
        <v>142</v>
      </c>
      <c r="E179" s="95">
        <f>'8'!F179</f>
        <v>37501</v>
      </c>
      <c r="F179" s="155">
        <v>37501</v>
      </c>
      <c r="G179" s="155">
        <f t="shared" ref="G179:G180" si="15">F179-E179</f>
        <v>0</v>
      </c>
      <c r="H179" s="99">
        <f>G179+'8'!H179</f>
        <v>0</v>
      </c>
      <c r="I179" s="155"/>
      <c r="J179" s="178">
        <f>H179/DAY(B2)</f>
        <v>0</v>
      </c>
    </row>
    <row r="180" spans="1:10" ht="31.5" customHeight="1">
      <c r="A180" s="789" t="s">
        <v>212</v>
      </c>
      <c r="B180" s="790"/>
      <c r="C180" s="333"/>
      <c r="D180" s="228" t="s">
        <v>142</v>
      </c>
      <c r="E180" s="95">
        <f>'8'!F180</f>
        <v>7599</v>
      </c>
      <c r="F180" s="155">
        <v>7599</v>
      </c>
      <c r="G180" s="155">
        <f t="shared" si="15"/>
        <v>0</v>
      </c>
      <c r="H180" s="99">
        <f>G180+'8'!H180</f>
        <v>36</v>
      </c>
      <c r="I180" s="155"/>
      <c r="J180" s="178">
        <f>H180/DAY(B2)</f>
        <v>4</v>
      </c>
    </row>
    <row r="181" spans="1:10" ht="25.5">
      <c r="A181" s="876" t="s">
        <v>108</v>
      </c>
      <c r="B181" s="877"/>
      <c r="C181" s="333"/>
      <c r="D181" s="228" t="s">
        <v>142</v>
      </c>
      <c r="E181" s="95"/>
      <c r="F181" s="155"/>
      <c r="G181" s="155">
        <f>SUM(G178:G180)</f>
        <v>105</v>
      </c>
      <c r="H181" s="99">
        <f>G181+'8'!H181</f>
        <v>1066</v>
      </c>
      <c r="I181" s="155"/>
      <c r="J181" s="178">
        <f>H181/DAY(B2)</f>
        <v>118.44444444444444</v>
      </c>
    </row>
    <row r="182" spans="1:10" ht="25.5">
      <c r="A182" s="789" t="s">
        <v>213</v>
      </c>
      <c r="B182" s="790"/>
      <c r="C182" s="333"/>
      <c r="D182" s="228" t="s">
        <v>142</v>
      </c>
      <c r="E182" s="95"/>
      <c r="F182" s="155"/>
      <c r="G182" s="155"/>
      <c r="H182" s="99">
        <f>G182+'8'!H182</f>
        <v>0</v>
      </c>
      <c r="I182" s="155"/>
      <c r="J182" s="178">
        <f>H182/DAY(B2)</f>
        <v>0</v>
      </c>
    </row>
    <row r="183" spans="1:10" ht="25.5">
      <c r="A183" s="789" t="s">
        <v>214</v>
      </c>
      <c r="B183" s="790"/>
      <c r="C183" s="334"/>
      <c r="D183" s="228" t="s">
        <v>142</v>
      </c>
      <c r="E183" s="95">
        <f>'8'!F183</f>
        <v>18435</v>
      </c>
      <c r="F183" s="157">
        <v>18440</v>
      </c>
      <c r="G183" s="157">
        <f>F183-E183</f>
        <v>5</v>
      </c>
      <c r="H183" s="99">
        <f>G183+'8'!H183</f>
        <v>62</v>
      </c>
      <c r="I183" s="155"/>
      <c r="J183" s="178">
        <f>H183/DAY(B2)</f>
        <v>6.8888888888888893</v>
      </c>
    </row>
    <row r="184" spans="1:10" ht="25.5">
      <c r="A184" s="789" t="s">
        <v>215</v>
      </c>
      <c r="B184" s="790"/>
      <c r="C184" s="334"/>
      <c r="D184" s="228" t="s">
        <v>142</v>
      </c>
      <c r="E184" s="95">
        <f>'8'!F184</f>
        <v>13071</v>
      </c>
      <c r="F184" s="157">
        <v>13078</v>
      </c>
      <c r="G184" s="157">
        <f t="shared" ref="G184:G185" si="16">F184-E184</f>
        <v>7</v>
      </c>
      <c r="H184" s="99">
        <f>G184+'8'!H184</f>
        <v>98</v>
      </c>
      <c r="I184" s="155"/>
      <c r="J184" s="178">
        <f>H184/DAY(B2)</f>
        <v>10.888888888888889</v>
      </c>
    </row>
    <row r="185" spans="1:10" ht="35.25" customHeight="1">
      <c r="A185" s="789" t="s">
        <v>216</v>
      </c>
      <c r="B185" s="790"/>
      <c r="C185" s="334"/>
      <c r="D185" s="228" t="s">
        <v>142</v>
      </c>
      <c r="E185" s="95">
        <f>'8'!F185</f>
        <v>0</v>
      </c>
      <c r="F185" s="157">
        <v>0</v>
      </c>
      <c r="G185" s="157">
        <f t="shared" si="16"/>
        <v>0</v>
      </c>
      <c r="H185" s="99">
        <f>G185+'8'!H185</f>
        <v>0</v>
      </c>
      <c r="I185" s="155"/>
      <c r="J185" s="178">
        <f>H185/DAY(B2)</f>
        <v>0</v>
      </c>
    </row>
    <row r="186" spans="1:10" ht="27" customHeight="1">
      <c r="A186" s="787" t="s">
        <v>196</v>
      </c>
      <c r="B186" s="788"/>
      <c r="C186" s="334"/>
      <c r="D186" s="228" t="s">
        <v>142</v>
      </c>
      <c r="E186" s="95"/>
      <c r="F186" s="157"/>
      <c r="G186" s="157">
        <f>SUM(G183:G185)</f>
        <v>12</v>
      </c>
      <c r="H186" s="99">
        <f>G186+'8'!H186</f>
        <v>160</v>
      </c>
      <c r="I186" s="157"/>
      <c r="J186" s="178">
        <f>H186/DAY(B2)</f>
        <v>17.777777777777779</v>
      </c>
    </row>
    <row r="187" spans="1:10" ht="25.5">
      <c r="A187" s="867" t="s">
        <v>217</v>
      </c>
      <c r="B187" s="868"/>
      <c r="C187" s="333"/>
      <c r="D187" s="230" t="s">
        <v>142</v>
      </c>
      <c r="E187" s="95"/>
      <c r="F187" s="159"/>
      <c r="G187" s="159">
        <f>G62+G19</f>
        <v>204.90000000002328</v>
      </c>
      <c r="H187" s="99">
        <f>G187+'8'!H187</f>
        <v>1534.9000000000233</v>
      </c>
      <c r="I187" s="158"/>
      <c r="J187" s="179">
        <f>H187/DAY(B2)</f>
        <v>170.54444444444704</v>
      </c>
    </row>
    <row r="188" spans="1:10" ht="25.5">
      <c r="A188" s="867" t="s">
        <v>218</v>
      </c>
      <c r="B188" s="868"/>
      <c r="C188" s="333"/>
      <c r="D188" s="230" t="s">
        <v>142</v>
      </c>
      <c r="E188" s="95"/>
      <c r="F188" s="159"/>
      <c r="G188" s="159">
        <f>G65+G66+G67+G69+G70</f>
        <v>641</v>
      </c>
      <c r="H188" s="99">
        <f>G188+'8'!H188</f>
        <v>2474</v>
      </c>
      <c r="I188" s="158"/>
      <c r="J188" s="179">
        <f>H188/DAY(B2)</f>
        <v>274.88888888888891</v>
      </c>
    </row>
    <row r="189" spans="1:10" ht="25.5">
      <c r="A189" s="867" t="s">
        <v>219</v>
      </c>
      <c r="B189" s="868"/>
      <c r="C189" s="333"/>
      <c r="D189" s="230" t="s">
        <v>142</v>
      </c>
      <c r="E189" s="95"/>
      <c r="F189" s="157"/>
      <c r="G189" s="157">
        <f>G181</f>
        <v>105</v>
      </c>
      <c r="H189" s="99">
        <f>G189+'8'!H189</f>
        <v>1066</v>
      </c>
      <c r="I189" s="158"/>
      <c r="J189" s="179">
        <f>H189/DAY(B2)</f>
        <v>118.44444444444444</v>
      </c>
    </row>
    <row r="190" spans="1:10" ht="29.25" customHeight="1">
      <c r="A190" s="874"/>
      <c r="B190" s="875"/>
      <c r="C190" s="390"/>
      <c r="D190" s="395"/>
      <c r="E190" s="395" t="s">
        <v>207</v>
      </c>
      <c r="F190" s="395"/>
      <c r="G190" s="395"/>
      <c r="H190" s="396"/>
      <c r="I190" s="395"/>
      <c r="J190" s="397"/>
    </row>
    <row r="191" spans="1:10" ht="26.25"/>
    <row r="192" spans="1:10" ht="26.25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27:B127"/>
    <mergeCell ref="A128:C128"/>
    <mergeCell ref="A64:C64"/>
    <mergeCell ref="A65:C65"/>
    <mergeCell ref="A104:C104"/>
    <mergeCell ref="A105:C105"/>
    <mergeCell ref="A72:B72"/>
    <mergeCell ref="A78:C78"/>
    <mergeCell ref="A97:C97"/>
    <mergeCell ref="A98:C98"/>
    <mergeCell ref="A99:C99"/>
    <mergeCell ref="A81:C81"/>
    <mergeCell ref="A102:C102"/>
    <mergeCell ref="A95:C95"/>
    <mergeCell ref="A96:C96"/>
    <mergeCell ref="A93:C93"/>
    <mergeCell ref="A94:C94"/>
    <mergeCell ref="A73:C73"/>
    <mergeCell ref="A74:C74"/>
    <mergeCell ref="A121:C121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143:C143"/>
    <mergeCell ref="A144:C144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35:B135"/>
    <mergeCell ref="A71:C71"/>
    <mergeCell ref="A114:C114"/>
    <mergeCell ref="A115:C115"/>
    <mergeCell ref="A116:C116"/>
    <mergeCell ref="A119:C119"/>
    <mergeCell ref="A120:C120"/>
    <mergeCell ref="A100:C100"/>
    <mergeCell ref="A101:C101"/>
    <mergeCell ref="A103:C103"/>
    <mergeCell ref="A157:C157"/>
    <mergeCell ref="A158:C158"/>
    <mergeCell ref="A159:C159"/>
    <mergeCell ref="A75:C75"/>
    <mergeCell ref="A76:C76"/>
    <mergeCell ref="A77:C77"/>
    <mergeCell ref="A79:C79"/>
    <mergeCell ref="A80:C80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09:B109"/>
    <mergeCell ref="A122:C122"/>
    <mergeCell ref="A123:C123"/>
    <mergeCell ref="A124:C124"/>
    <mergeCell ref="A125:B125"/>
    <mergeCell ref="A126:J126"/>
    <mergeCell ref="A183:B183"/>
    <mergeCell ref="A181:B181"/>
    <mergeCell ref="A182:B182"/>
    <mergeCell ref="A179:B179"/>
    <mergeCell ref="A180:B180"/>
    <mergeCell ref="A175:C175"/>
    <mergeCell ref="A168:B168"/>
    <mergeCell ref="A171:J171"/>
    <mergeCell ref="A172:B172"/>
    <mergeCell ref="A173:B173"/>
    <mergeCell ref="A174:B174"/>
    <mergeCell ref="A176:B176"/>
    <mergeCell ref="A177:B177"/>
    <mergeCell ref="A178:B178"/>
    <mergeCell ref="A187:B187"/>
    <mergeCell ref="A188:B188"/>
    <mergeCell ref="A189:B189"/>
    <mergeCell ref="A190:B190"/>
    <mergeCell ref="A141:C141"/>
    <mergeCell ref="A142:C142"/>
    <mergeCell ref="A160:J160"/>
    <mergeCell ref="A166:B166"/>
    <mergeCell ref="A167:B167"/>
    <mergeCell ref="A184:B184"/>
    <mergeCell ref="A185:B185"/>
    <mergeCell ref="A150:C150"/>
    <mergeCell ref="A151:C151"/>
    <mergeCell ref="A152:C152"/>
    <mergeCell ref="A154:J154"/>
    <mergeCell ref="A155:C155"/>
    <mergeCell ref="A156:C156"/>
    <mergeCell ref="A153:B153"/>
    <mergeCell ref="A145:C145"/>
    <mergeCell ref="A146:C146"/>
    <mergeCell ref="A147:C147"/>
    <mergeCell ref="A148:C148"/>
    <mergeCell ref="A149:C149"/>
    <mergeCell ref="A186:B186"/>
  </mergeCells>
  <pageMargins left="0.22" right="0.17" top="0.14000000000000001" bottom="0.2" header="0.2" footer="0.2"/>
  <pageSetup paperSize="5" scale="2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R270"/>
  <sheetViews>
    <sheetView view="pageBreakPreview" topLeftCell="A144" zoomScale="55" zoomScaleNormal="55" zoomScaleSheetLayoutView="55" workbookViewId="0">
      <selection activeCell="O84" sqref="O84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19" t="s">
        <v>115</v>
      </c>
      <c r="B1" s="920"/>
      <c r="C1" s="920"/>
      <c r="D1" s="920"/>
      <c r="E1" s="920"/>
      <c r="F1" s="920"/>
      <c r="G1" s="920"/>
      <c r="H1" s="920"/>
      <c r="I1" s="920"/>
      <c r="J1" s="921"/>
    </row>
    <row r="2" spans="1:15" s="57" customFormat="1" ht="23.25">
      <c r="A2" s="191" t="s">
        <v>349</v>
      </c>
      <c r="B2" s="262">
        <v>44936</v>
      </c>
      <c r="C2" s="348" t="s">
        <v>67</v>
      </c>
      <c r="D2" s="218">
        <v>0.91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25</v>
      </c>
      <c r="E3" s="928" t="s">
        <v>119</v>
      </c>
      <c r="F3" s="929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22" t="s">
        <v>128</v>
      </c>
      <c r="B6" s="923"/>
      <c r="C6" s="92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'9'!F7</f>
        <v>165063</v>
      </c>
      <c r="F7" s="95">
        <v>186559</v>
      </c>
      <c r="G7" s="112">
        <f>F7-E7</f>
        <v>21496</v>
      </c>
      <c r="H7" s="99">
        <f>G7+'9'!H7</f>
        <v>208940</v>
      </c>
      <c r="I7" s="113">
        <f>'1'!I7</f>
        <v>12000</v>
      </c>
      <c r="J7" s="175">
        <f>H7/DAY(B2)</f>
        <v>20894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'9'!F8</f>
        <v>348443</v>
      </c>
      <c r="F8" s="114">
        <v>370199</v>
      </c>
      <c r="G8" s="115">
        <f>F8-E8</f>
        <v>21756</v>
      </c>
      <c r="H8" s="99">
        <f>G8+'9'!H8</f>
        <v>212342</v>
      </c>
      <c r="I8" s="116"/>
      <c r="J8" s="175">
        <f>H8/DAY(B2)</f>
        <v>21234.2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'9'!F9</f>
        <v>4560291.5</v>
      </c>
      <c r="F9" s="468">
        <v>4576375.9000000004</v>
      </c>
      <c r="G9" s="112">
        <f>F9-E9</f>
        <v>16084.400000000373</v>
      </c>
      <c r="H9" s="99">
        <f>G9+'9'!H9</f>
        <v>159770</v>
      </c>
      <c r="I9" s="124">
        <f>I7-J7</f>
        <v>-8894</v>
      </c>
      <c r="J9" s="175">
        <f>H9/DAY(B2)</f>
        <v>15977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'9'!F10</f>
        <v>4110341.1</v>
      </c>
      <c r="F10" s="117">
        <v>4115254.3</v>
      </c>
      <c r="G10" s="112">
        <f t="shared" ref="G10:G12" si="0">F10-E10</f>
        <v>4913.1999999997206</v>
      </c>
      <c r="H10" s="99">
        <f>G10+'9'!H10</f>
        <v>45218</v>
      </c>
      <c r="I10" s="282"/>
      <c r="J10" s="175">
        <f>H10/DAY(B2)</f>
        <v>4521.8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'9'!F11</f>
        <v>38700</v>
      </c>
      <c r="F11" s="95">
        <v>38700</v>
      </c>
      <c r="G11" s="112">
        <f t="shared" si="0"/>
        <v>0</v>
      </c>
      <c r="H11" s="99">
        <f>G11+'9'!H11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'9'!F12</f>
        <v>40550</v>
      </c>
      <c r="F12" s="117">
        <v>40550</v>
      </c>
      <c r="G12" s="112">
        <f t="shared" si="0"/>
        <v>0</v>
      </c>
      <c r="H12" s="99">
        <f>G12+'9'!H12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20997.600000000093</v>
      </c>
      <c r="H13" s="99">
        <f>G13+'9'!H13</f>
        <v>204988</v>
      </c>
      <c r="I13" s="120">
        <f>G7-G13</f>
        <v>498.39999999990687</v>
      </c>
      <c r="J13" s="175">
        <f>H13/DAY(B2)</f>
        <v>20498.8</v>
      </c>
      <c r="K13" s="79"/>
      <c r="L13" s="66"/>
      <c r="N13" s="87"/>
      <c r="O13" s="71"/>
    </row>
    <row r="14" spans="1:15" ht="26.25">
      <c r="A14" s="925" t="s">
        <v>137</v>
      </c>
      <c r="B14" s="926"/>
      <c r="C14" s="92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'9'!F15</f>
        <v>2263452</v>
      </c>
      <c r="F15" s="468">
        <v>2264540</v>
      </c>
      <c r="G15" s="112">
        <f>(F15-E15)</f>
        <v>1088</v>
      </c>
      <c r="H15" s="99">
        <f>G15+'9'!H15</f>
        <v>11238.641999999993</v>
      </c>
      <c r="I15" s="113">
        <f>'1'!I15</f>
        <v>800</v>
      </c>
      <c r="J15" s="175">
        <f>H15/DAY(B2)</f>
        <v>1123.8641999999993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-323.8641999999993</v>
      </c>
      <c r="J16" s="176"/>
      <c r="K16" s="79"/>
      <c r="L16" s="66"/>
      <c r="N16" s="87"/>
      <c r="O16" s="71"/>
    </row>
    <row r="17" spans="1:15" ht="26.25">
      <c r="A17" s="925" t="s">
        <v>140</v>
      </c>
      <c r="B17" s="926"/>
      <c r="C17" s="92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02" t="s">
        <v>141</v>
      </c>
      <c r="B18" s="903"/>
      <c r="C18" s="904"/>
      <c r="D18" s="151" t="s">
        <v>142</v>
      </c>
      <c r="E18" s="95">
        <f>'9'!F18</f>
        <v>18</v>
      </c>
      <c r="F18" s="164">
        <v>20</v>
      </c>
      <c r="G18" s="119">
        <f>F18*10</f>
        <v>200</v>
      </c>
      <c r="H18" s="99">
        <f>G18+'9'!H18</f>
        <v>2070</v>
      </c>
      <c r="I18" s="113">
        <f>'1'!I18</f>
        <v>65</v>
      </c>
      <c r="J18" s="175">
        <f>H18/DAY(B2)</f>
        <v>207</v>
      </c>
      <c r="K18" s="79"/>
      <c r="L18" s="66"/>
      <c r="N18" s="87"/>
      <c r="O18" s="71"/>
    </row>
    <row r="19" spans="1:15" ht="25.5">
      <c r="A19" s="902" t="s">
        <v>69</v>
      </c>
      <c r="B19" s="903"/>
      <c r="C19" s="904"/>
      <c r="D19" s="151" t="s">
        <v>142</v>
      </c>
      <c r="E19" s="95">
        <f>'9'!F19</f>
        <v>170088</v>
      </c>
      <c r="F19" s="122">
        <v>170146</v>
      </c>
      <c r="G19" s="112">
        <f t="shared" ref="G19" si="1">F19-E19</f>
        <v>58</v>
      </c>
      <c r="H19" s="99">
        <f>G19+'9'!H19</f>
        <v>586</v>
      </c>
      <c r="I19" s="335"/>
      <c r="J19" s="175">
        <f>H19/DAY(B2)</f>
        <v>58.6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258</v>
      </c>
      <c r="H20" s="99">
        <f>G20+'9'!H20</f>
        <v>2656</v>
      </c>
      <c r="I20" s="336">
        <f>I18-J20</f>
        <v>-200.60000000000002</v>
      </c>
      <c r="J20" s="175">
        <f>H20/DAY(B2)</f>
        <v>265.60000000000002</v>
      </c>
      <c r="K20" s="79"/>
      <c r="L20" s="66"/>
      <c r="N20" s="87"/>
      <c r="O20" s="71"/>
    </row>
    <row r="21" spans="1:15" ht="26.25">
      <c r="A21" s="925" t="s">
        <v>144</v>
      </c>
      <c r="B21" s="926"/>
      <c r="C21" s="92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'9'!F22</f>
        <v>2970</v>
      </c>
      <c r="F22" s="122">
        <v>2970</v>
      </c>
      <c r="G22" s="119">
        <f t="shared" ref="G22" si="2">(F22-E22)</f>
        <v>0</v>
      </c>
      <c r="H22" s="99">
        <f>G22+'9'!H22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'9'!F23</f>
        <v>2000</v>
      </c>
      <c r="F23" s="122">
        <v>2000</v>
      </c>
      <c r="G23" s="119">
        <v>0</v>
      </c>
      <c r="H23" s="99">
        <f>G23+'9'!H23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'9'!F24</f>
        <v>4970</v>
      </c>
      <c r="F24" s="128">
        <v>4970</v>
      </c>
      <c r="G24" s="119">
        <v>0</v>
      </c>
      <c r="H24" s="99">
        <f>G24+'9'!H24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30" t="s">
        <v>149</v>
      </c>
      <c r="B25" s="931"/>
      <c r="C25" s="93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G26+'9'!H26</f>
        <v>0</v>
      </c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21756</v>
      </c>
      <c r="F27" s="136">
        <v>9</v>
      </c>
      <c r="G27" s="137">
        <f>E27*F27</f>
        <v>195804</v>
      </c>
      <c r="H27" s="99">
        <f>G27+'9'!H27</f>
        <v>2017285</v>
      </c>
      <c r="I27" s="138"/>
      <c r="J27" s="175">
        <f>H27/DAY(B2)</f>
        <v>201728.5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1088</v>
      </c>
      <c r="F28" s="136">
        <v>70</v>
      </c>
      <c r="G28" s="137">
        <f>E28*F28</f>
        <v>76160</v>
      </c>
      <c r="H28" s="99">
        <f>G28+'9'!H28</f>
        <v>782018.14999999944</v>
      </c>
      <c r="I28" s="140"/>
      <c r="J28" s="175">
        <f>H28/DAY(B2)</f>
        <v>78201.814999999944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58</v>
      </c>
      <c r="F30" s="136">
        <v>151</v>
      </c>
      <c r="G30" s="137">
        <f>E30*F30</f>
        <v>8758</v>
      </c>
      <c r="H30" s="99">
        <f>G30+'9'!H30</f>
        <v>88486</v>
      </c>
      <c r="I30" s="140"/>
      <c r="J30" s="175">
        <f>H30/DAY(B2)</f>
        <v>8848.6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G31+'9'!H31</f>
        <v>169600</v>
      </c>
      <c r="I31" s="140"/>
      <c r="J31" s="175">
        <f>H31/DAY(B2)</f>
        <v>16960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296722</v>
      </c>
      <c r="H32" s="99">
        <f>G32+'9'!H32</f>
        <v>3057389.1499999994</v>
      </c>
      <c r="I32" s="144"/>
      <c r="J32" s="175">
        <f>H32/DAY(B2)</f>
        <v>305738.91499999992</v>
      </c>
      <c r="K32" s="63"/>
      <c r="L32" s="89"/>
      <c r="N32" s="87"/>
      <c r="O32" s="71"/>
    </row>
    <row r="33" spans="1:15" ht="25.5" customHeight="1">
      <c r="A33" s="933" t="s">
        <v>331</v>
      </c>
      <c r="B33" s="934"/>
      <c r="C33" s="93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'9'!F35</f>
        <v>477629.15</v>
      </c>
      <c r="F35" s="145">
        <v>480173.73</v>
      </c>
      <c r="G35" s="112">
        <f t="shared" ref="G35:G46" si="3">F35-E35</f>
        <v>2544.5799999999581</v>
      </c>
      <c r="H35" s="99">
        <f>G35+'9'!H35</f>
        <v>25655.739999999991</v>
      </c>
      <c r="I35" s="95"/>
      <c r="J35" s="175">
        <f>H35/DAY(B2)</f>
        <v>2565.5739999999992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'9'!F36</f>
        <v>362024.67</v>
      </c>
      <c r="F36" s="145">
        <v>363169</v>
      </c>
      <c r="G36" s="112">
        <f t="shared" si="3"/>
        <v>1144.3300000000163</v>
      </c>
      <c r="H36" s="99">
        <f>G36+'9'!H36</f>
        <v>9080.0999999999767</v>
      </c>
      <c r="I36" s="95"/>
      <c r="J36" s="175">
        <f>H36/DAY(B2)</f>
        <v>908.00999999999772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'9'!F37</f>
        <v>351613.75</v>
      </c>
      <c r="F37" s="145">
        <v>353089.43</v>
      </c>
      <c r="G37" s="112">
        <f t="shared" si="3"/>
        <v>1475.679999999993</v>
      </c>
      <c r="H37" s="99">
        <f>G37+'9'!H37</f>
        <v>14819.559999999998</v>
      </c>
      <c r="I37" s="95"/>
      <c r="J37" s="175">
        <f>H37/DAY(B2)</f>
        <v>1481.9559999999997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'9'!F38</f>
        <v>820183.43</v>
      </c>
      <c r="F38" s="108">
        <v>822688.79</v>
      </c>
      <c r="G38" s="112">
        <f t="shared" si="3"/>
        <v>2505.359999999986</v>
      </c>
      <c r="H38" s="99">
        <f>G38+'9'!H38</f>
        <v>23011.440000000061</v>
      </c>
      <c r="I38" s="95"/>
      <c r="J38" s="175">
        <f>H38/DAY(B2)</f>
        <v>2301.1440000000061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'9'!F39</f>
        <v>645764.15</v>
      </c>
      <c r="F39" s="145">
        <v>648458.87</v>
      </c>
      <c r="G39" s="112">
        <f t="shared" si="3"/>
        <v>2694.7199999999721</v>
      </c>
      <c r="H39" s="99">
        <f>G39+'9'!H39</f>
        <v>28168.869999999995</v>
      </c>
      <c r="I39" s="95"/>
      <c r="J39" s="175">
        <f>H39/DAY(B2)</f>
        <v>2816.8869999999997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'9'!F40</f>
        <v>212373.47</v>
      </c>
      <c r="F40" s="145">
        <v>212837.7</v>
      </c>
      <c r="G40" s="112">
        <f t="shared" si="3"/>
        <v>464.23000000001048</v>
      </c>
      <c r="H40" s="99">
        <f>G40+'9'!H40</f>
        <v>3151.3500000000058</v>
      </c>
      <c r="I40" s="95"/>
      <c r="J40" s="175">
        <f>H40/DAY(B2)</f>
        <v>315.13500000000056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'9'!F41</f>
        <v>420212.5</v>
      </c>
      <c r="F41" s="145">
        <v>420212.57</v>
      </c>
      <c r="G41" s="112">
        <f t="shared" si="3"/>
        <v>7.0000000006984919E-2</v>
      </c>
      <c r="H41" s="99">
        <f>G41+'9'!H41</f>
        <v>5.9999999997671694E-2</v>
      </c>
      <c r="I41" s="95"/>
      <c r="J41" s="175">
        <f>H41/DAY(B2)</f>
        <v>5.999999999767169E-3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'9'!F42</f>
        <v>960736.47</v>
      </c>
      <c r="F42" s="145">
        <v>965216.95</v>
      </c>
      <c r="G42" s="112">
        <f t="shared" si="3"/>
        <v>4480.4799999999814</v>
      </c>
      <c r="H42" s="99">
        <f>G42+'9'!H42</f>
        <v>44262.479999999981</v>
      </c>
      <c r="I42" s="95"/>
      <c r="J42" s="175">
        <f>H42/DAY(B2)</f>
        <v>4426.2479999999978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'9'!F43</f>
        <v>422444</v>
      </c>
      <c r="F43" s="145">
        <v>422444</v>
      </c>
      <c r="G43" s="112">
        <f t="shared" si="3"/>
        <v>0</v>
      </c>
      <c r="H43" s="99">
        <f>G43+'9'!H43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'9'!F44</f>
        <v>0</v>
      </c>
      <c r="F44" s="145">
        <v>0</v>
      </c>
      <c r="G44" s="112">
        <f t="shared" si="3"/>
        <v>0</v>
      </c>
      <c r="H44" s="99">
        <f>G44+'9'!H44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'9'!F45</f>
        <v>0</v>
      </c>
      <c r="F45" s="145">
        <v>0</v>
      </c>
      <c r="G45" s="112">
        <f t="shared" si="3"/>
        <v>0</v>
      </c>
      <c r="H45" s="99">
        <f>G45+'9'!H45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'9'!F46</f>
        <v>0</v>
      </c>
      <c r="F46" s="145">
        <v>0</v>
      </c>
      <c r="G46" s="112">
        <f t="shared" si="3"/>
        <v>0</v>
      </c>
      <c r="H46" s="99">
        <f>G46+'9'!H46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15309.449999999924</v>
      </c>
      <c r="H47" s="99">
        <f>G47+'9'!H47</f>
        <v>148149.6</v>
      </c>
      <c r="I47" s="95"/>
      <c r="J47" s="175">
        <f>H47/DAY(B2)</f>
        <v>14814.960000000001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'9'!F49</f>
        <v>811123.57</v>
      </c>
      <c r="F49" s="145">
        <v>811641.51</v>
      </c>
      <c r="G49" s="112">
        <f t="shared" ref="G49:G58" si="4">F49-E49</f>
        <v>517.94000000006054</v>
      </c>
      <c r="H49" s="99">
        <f>G49+'9'!H49</f>
        <v>5137.359999999986</v>
      </c>
      <c r="I49" s="95"/>
      <c r="J49" s="175">
        <f>H49/DAY(B2)</f>
        <v>513.73599999999863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'9'!F50</f>
        <v>513532.7</v>
      </c>
      <c r="F50" s="145">
        <v>515389.55</v>
      </c>
      <c r="G50" s="112">
        <f t="shared" si="4"/>
        <v>1856.8499999999767</v>
      </c>
      <c r="H50" s="99">
        <f>G50+'9'!H50</f>
        <v>14236.549999999988</v>
      </c>
      <c r="I50" s="95"/>
      <c r="J50" s="175">
        <f>H50/DAY(B2)</f>
        <v>1423.6549999999988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'9'!F51</f>
        <v>156958.44</v>
      </c>
      <c r="F51" s="145">
        <v>156958.74</v>
      </c>
      <c r="G51" s="112">
        <f t="shared" si="4"/>
        <v>0.29999999998835847</v>
      </c>
      <c r="H51" s="99">
        <f>G51+'9'!H51</f>
        <v>0.73999999999068677</v>
      </c>
      <c r="I51" s="95"/>
      <c r="J51" s="175">
        <f>H51/DAY(B2)</f>
        <v>7.3999999999068672E-2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'9'!F52</f>
        <v>9.76</v>
      </c>
      <c r="F52" s="145">
        <v>9.76</v>
      </c>
      <c r="G52" s="112">
        <f t="shared" si="4"/>
        <v>0</v>
      </c>
      <c r="H52" s="99">
        <f>G52+'9'!H52</f>
        <v>-0.24000000000000021</v>
      </c>
      <c r="I52" s="95"/>
      <c r="J52" s="175">
        <f>H52/DAY(B2)</f>
        <v>-2.4000000000000021E-2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'9'!F53</f>
        <v>630355.03</v>
      </c>
      <c r="F53" s="145">
        <v>630355.03</v>
      </c>
      <c r="G53" s="112">
        <f t="shared" si="4"/>
        <v>0</v>
      </c>
      <c r="H53" s="99">
        <f>G53+'9'!H53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'9'!F54</f>
        <v>117719.3</v>
      </c>
      <c r="F54" s="145">
        <v>118041.74</v>
      </c>
      <c r="G54" s="112">
        <f t="shared" si="4"/>
        <v>322.44000000000233</v>
      </c>
      <c r="H54" s="99">
        <f>G54+'9'!H54</f>
        <v>3444.6100000000006</v>
      </c>
      <c r="I54" s="95"/>
      <c r="J54" s="175">
        <f>H54/DAY(B2)</f>
        <v>344.46100000000007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'9'!F55</f>
        <v>576335.63</v>
      </c>
      <c r="F55" s="422">
        <v>576335.63</v>
      </c>
      <c r="G55" s="112">
        <f t="shared" si="4"/>
        <v>0</v>
      </c>
      <c r="H55" s="99">
        <f>G55+'9'!H55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'9'!F56</f>
        <v>335403.71000000002</v>
      </c>
      <c r="F56" s="422">
        <v>335403.7</v>
      </c>
      <c r="G56" s="112">
        <f t="shared" si="4"/>
        <v>-1.0000000009313226E-2</v>
      </c>
      <c r="H56" s="99">
        <f>G56+'9'!H56</f>
        <v>177.48999999999069</v>
      </c>
      <c r="I56" s="95"/>
      <c r="J56" s="175">
        <f>H56/DAY(B2)</f>
        <v>17.748999999999068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'9'!F57</f>
        <v>652005.59</v>
      </c>
      <c r="F57" s="422">
        <v>654362.63</v>
      </c>
      <c r="G57" s="112">
        <f t="shared" si="4"/>
        <v>2357.0400000000373</v>
      </c>
      <c r="H57" s="99">
        <f>G57+'9'!H57</f>
        <v>23529.630000000005</v>
      </c>
      <c r="I57" s="95"/>
      <c r="J57" s="175">
        <f>H57/DAY(B2)</f>
        <v>2352.9630000000006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'9'!F58</f>
        <v>88881</v>
      </c>
      <c r="F58" s="422">
        <v>89121.89</v>
      </c>
      <c r="G58" s="112">
        <f t="shared" si="4"/>
        <v>240.88999999999942</v>
      </c>
      <c r="H58" s="99">
        <f>G58+'9'!H58</f>
        <v>2561.3910000000033</v>
      </c>
      <c r="I58" s="95"/>
      <c r="J58" s="175">
        <f>H58/DAY(B2)</f>
        <v>256.13910000000033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5295.4500000000553</v>
      </c>
      <c r="H59" s="99">
        <f>G59+'9'!H59</f>
        <v>49087.530999999966</v>
      </c>
      <c r="I59" s="95">
        <f>G7-G60</f>
        <v>891.10000000002037</v>
      </c>
      <c r="J59" s="175">
        <f>H59/DAY(B2)</f>
        <v>4908.7530999999963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20604.89999999998</v>
      </c>
      <c r="H60" s="99">
        <f>G60+'9'!H60</f>
        <v>197237.13099999994</v>
      </c>
      <c r="I60" s="95">
        <f>G13-G60</f>
        <v>392.7000000001135</v>
      </c>
      <c r="J60" s="175">
        <f>H60/DAY(B2)</f>
        <v>19723.713099999994</v>
      </c>
      <c r="K60" s="79"/>
      <c r="L60" s="66"/>
      <c r="N60" s="87"/>
      <c r="O60" s="71"/>
    </row>
    <row r="61" spans="1:15" s="68" customFormat="1" ht="26.25">
      <c r="A61" s="935" t="s">
        <v>332</v>
      </c>
      <c r="B61" s="936"/>
      <c r="C61" s="93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02" t="s">
        <v>198</v>
      </c>
      <c r="B62" s="903"/>
      <c r="C62" s="904"/>
      <c r="D62" s="151" t="s">
        <v>142</v>
      </c>
      <c r="E62" s="95">
        <f>'9'!F62</f>
        <v>313106.90000000002</v>
      </c>
      <c r="F62" s="122">
        <v>313238.3</v>
      </c>
      <c r="G62" s="112">
        <f t="shared" ref="G62:G63" si="5">F62-E62</f>
        <v>131.39999999996508</v>
      </c>
      <c r="H62" s="99">
        <f>G62+'9'!H62</f>
        <v>1138.2999999999884</v>
      </c>
      <c r="I62" s="118"/>
      <c r="J62" s="175">
        <f>H62/DAY(B2)</f>
        <v>113.82999999999883</v>
      </c>
      <c r="K62" s="80"/>
      <c r="L62" s="66"/>
      <c r="N62" s="87"/>
      <c r="O62" s="71"/>
    </row>
    <row r="63" spans="1:15" ht="25.5">
      <c r="A63" s="902" t="s">
        <v>199</v>
      </c>
      <c r="B63" s="903"/>
      <c r="C63" s="904"/>
      <c r="D63" s="151" t="s">
        <v>142</v>
      </c>
      <c r="E63" s="95">
        <f>'9'!F63</f>
        <v>249982</v>
      </c>
      <c r="F63" s="164">
        <v>250096</v>
      </c>
      <c r="G63" s="112">
        <f t="shared" si="5"/>
        <v>114</v>
      </c>
      <c r="H63" s="99">
        <f>G63+'9'!H63</f>
        <v>1061</v>
      </c>
      <c r="I63" s="118"/>
      <c r="J63" s="175">
        <f>H63/DAY(B2)</f>
        <v>106.1</v>
      </c>
      <c r="K63" s="69"/>
      <c r="L63" s="66"/>
      <c r="N63" s="87"/>
      <c r="O63" s="71"/>
    </row>
    <row r="64" spans="1:15" ht="26.25">
      <c r="A64" s="911" t="s">
        <v>200</v>
      </c>
      <c r="B64" s="912"/>
      <c r="C64" s="913"/>
      <c r="D64" s="151"/>
      <c r="E64" s="95">
        <f>'9'!F64</f>
        <v>0</v>
      </c>
      <c r="F64" s="122"/>
      <c r="G64" s="112">
        <f>G62+G63</f>
        <v>245.39999999996508</v>
      </c>
      <c r="H64" s="99">
        <f>G64+'9'!H64</f>
        <v>2199.2999999999884</v>
      </c>
      <c r="I64" s="118"/>
      <c r="J64" s="175">
        <f>H64/DAY(B2)</f>
        <v>219.92999999999884</v>
      </c>
      <c r="K64" s="69"/>
      <c r="L64" s="66"/>
      <c r="N64" s="87"/>
      <c r="O64" s="71"/>
    </row>
    <row r="65" spans="1:15" ht="25.5">
      <c r="A65" s="902" t="s">
        <v>201</v>
      </c>
      <c r="B65" s="903"/>
      <c r="C65" s="904"/>
      <c r="D65" s="151" t="s">
        <v>142</v>
      </c>
      <c r="E65" s="95">
        <f>'9'!F65</f>
        <v>473145</v>
      </c>
      <c r="F65" s="122">
        <v>473270</v>
      </c>
      <c r="G65" s="112">
        <f t="shared" ref="G65:G70" si="6">F65-E65</f>
        <v>125</v>
      </c>
      <c r="H65" s="99">
        <f>G65+'9'!H65</f>
        <v>1240</v>
      </c>
      <c r="I65" s="118"/>
      <c r="J65" s="175">
        <f>H65/DAY(B2)</f>
        <v>124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'9'!F66</f>
        <v>113743</v>
      </c>
      <c r="F66" s="122">
        <v>113783</v>
      </c>
      <c r="G66" s="112">
        <f t="shared" si="6"/>
        <v>40</v>
      </c>
      <c r="H66" s="99">
        <f>G66+'9'!H66</f>
        <v>1061</v>
      </c>
      <c r="I66" s="118"/>
      <c r="J66" s="175">
        <f>H66/DAY(B2)</f>
        <v>106.1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'9'!F67</f>
        <v>116785</v>
      </c>
      <c r="F67" s="122">
        <v>116806</v>
      </c>
      <c r="G67" s="112">
        <f t="shared" si="6"/>
        <v>21</v>
      </c>
      <c r="H67" s="99">
        <f>G67+'9'!H67</f>
        <v>239</v>
      </c>
      <c r="I67" s="118"/>
      <c r="J67" s="175">
        <f>H67/DAY(B2)</f>
        <v>23.9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'9'!F68</f>
        <v>169536</v>
      </c>
      <c r="F68" s="122">
        <v>169557</v>
      </c>
      <c r="G68" s="112">
        <f t="shared" si="6"/>
        <v>21</v>
      </c>
      <c r="H68" s="99">
        <f>G68+'9'!H68</f>
        <v>198</v>
      </c>
      <c r="I68" s="118"/>
      <c r="J68" s="175">
        <f>H68/DAY(B2)</f>
        <v>19.8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'9'!F69</f>
        <v>13012</v>
      </c>
      <c r="F69" s="122">
        <v>13017</v>
      </c>
      <c r="G69" s="112">
        <f t="shared" si="6"/>
        <v>5</v>
      </c>
      <c r="H69" s="99">
        <f>G69+'9'!H69</f>
        <v>51</v>
      </c>
      <c r="I69" s="118"/>
      <c r="J69" s="175">
        <f>H69/DAY(B2)</f>
        <v>5.0999999999999996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'9'!F70</f>
        <v>11090</v>
      </c>
      <c r="F70" s="122">
        <v>11092</v>
      </c>
      <c r="G70" s="112">
        <f t="shared" si="6"/>
        <v>2</v>
      </c>
      <c r="H70" s="99">
        <f>G70+'9'!H70</f>
        <v>76</v>
      </c>
      <c r="I70" s="118"/>
      <c r="J70" s="175">
        <f>H70/DAY(B2)</f>
        <v>7.6</v>
      </c>
      <c r="K70" s="69"/>
      <c r="L70" s="66"/>
      <c r="N70" s="87"/>
      <c r="O70" s="71"/>
    </row>
    <row r="71" spans="1:15" ht="26.25">
      <c r="A71" s="911" t="s">
        <v>208</v>
      </c>
      <c r="B71" s="912"/>
      <c r="C71" s="913"/>
      <c r="D71" s="152"/>
      <c r="E71" s="152"/>
      <c r="F71" s="152"/>
      <c r="G71" s="153">
        <f>SUM(G65:G70)</f>
        <v>214</v>
      </c>
      <c r="H71" s="99">
        <f>G71+'9'!H71</f>
        <v>2865</v>
      </c>
      <c r="I71" s="154"/>
      <c r="J71" s="175">
        <f>H71/DAY(B2)</f>
        <v>286.5</v>
      </c>
      <c r="K71" s="69"/>
      <c r="L71" s="66"/>
      <c r="N71" s="87"/>
      <c r="O71" s="71"/>
    </row>
    <row r="72" spans="1:15" s="88" customFormat="1" ht="25.5">
      <c r="A72" s="898"/>
      <c r="B72" s="88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08" t="s">
        <v>333</v>
      </c>
      <c r="B73" s="909"/>
      <c r="C73" s="910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02" t="s">
        <v>220</v>
      </c>
      <c r="B74" s="903"/>
      <c r="C74" s="904"/>
      <c r="D74" s="151" t="s">
        <v>139</v>
      </c>
      <c r="E74" s="95">
        <f>'9'!F74</f>
        <v>5307.4880000000003</v>
      </c>
      <c r="F74" s="117">
        <v>5601.1</v>
      </c>
      <c r="G74" s="112">
        <f t="shared" ref="G74:G78" si="7">F74-E74</f>
        <v>293.61200000000008</v>
      </c>
      <c r="H74" s="99">
        <f>G74+'9'!H74</f>
        <v>3086.1000000000004</v>
      </c>
      <c r="I74" s="154"/>
      <c r="J74" s="175">
        <f>H74/DAY(B2)</f>
        <v>308.61</v>
      </c>
      <c r="K74" s="69"/>
      <c r="L74" s="66"/>
      <c r="N74" s="87"/>
      <c r="O74" s="71"/>
    </row>
    <row r="75" spans="1:15" ht="25.5">
      <c r="A75" s="902" t="s">
        <v>221</v>
      </c>
      <c r="B75" s="903"/>
      <c r="C75" s="904"/>
      <c r="D75" s="151" t="s">
        <v>139</v>
      </c>
      <c r="E75" s="95">
        <f>'9'!F75</f>
        <v>73586.8</v>
      </c>
      <c r="F75" s="123">
        <v>73586.8</v>
      </c>
      <c r="G75" s="112">
        <f t="shared" si="7"/>
        <v>0</v>
      </c>
      <c r="H75" s="99">
        <f>G75+'9'!H75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899" t="s">
        <v>222</v>
      </c>
      <c r="B76" s="900"/>
      <c r="C76" s="901"/>
      <c r="D76" s="151" t="s">
        <v>139</v>
      </c>
      <c r="E76" s="95">
        <f>'9'!F76</f>
        <v>208314</v>
      </c>
      <c r="F76" s="123">
        <v>208417</v>
      </c>
      <c r="G76" s="112">
        <f t="shared" si="7"/>
        <v>103</v>
      </c>
      <c r="H76" s="99">
        <f>G76+'9'!H76</f>
        <v>1040</v>
      </c>
      <c r="I76" s="154"/>
      <c r="J76" s="175">
        <f>H76/DAY(B2)</f>
        <v>104</v>
      </c>
      <c r="K76" s="69"/>
      <c r="L76" s="66"/>
      <c r="N76" s="87"/>
      <c r="O76" s="71"/>
    </row>
    <row r="77" spans="1:15" ht="25.5">
      <c r="A77" s="899" t="s">
        <v>223</v>
      </c>
      <c r="B77" s="900"/>
      <c r="C77" s="901"/>
      <c r="D77" s="151" t="s">
        <v>139</v>
      </c>
      <c r="E77" s="95">
        <f>'9'!F77</f>
        <v>58590</v>
      </c>
      <c r="F77" s="123">
        <v>58630</v>
      </c>
      <c r="G77" s="112">
        <f t="shared" si="7"/>
        <v>40</v>
      </c>
      <c r="H77" s="99">
        <f>G77+'9'!H77</f>
        <v>478</v>
      </c>
      <c r="I77" s="154"/>
      <c r="J77" s="175">
        <f>H77/DAY(B2)</f>
        <v>47.8</v>
      </c>
      <c r="K77" s="69"/>
      <c r="L77" s="66"/>
      <c r="N77" s="87"/>
      <c r="O77" s="71"/>
    </row>
    <row r="78" spans="1:15" ht="25.5">
      <c r="A78" s="899" t="s">
        <v>224</v>
      </c>
      <c r="B78" s="900"/>
      <c r="C78" s="901"/>
      <c r="D78" s="151" t="s">
        <v>139</v>
      </c>
      <c r="E78" s="95">
        <f>'9'!F78</f>
        <v>9563.4</v>
      </c>
      <c r="F78" s="123">
        <v>9563</v>
      </c>
      <c r="G78" s="112">
        <f t="shared" si="7"/>
        <v>-0.3999999999996362</v>
      </c>
      <c r="H78" s="99">
        <f>G78+'9'!H78</f>
        <v>-1</v>
      </c>
      <c r="I78" s="118"/>
      <c r="J78" s="175">
        <f>H78/DAY(B2)</f>
        <v>-0.1</v>
      </c>
      <c r="K78" s="69"/>
      <c r="L78" s="66"/>
      <c r="N78" s="87"/>
      <c r="O78" s="71"/>
    </row>
    <row r="79" spans="1:15" s="57" customFormat="1" ht="25.5">
      <c r="A79" s="899" t="s">
        <v>225</v>
      </c>
      <c r="B79" s="900"/>
      <c r="C79" s="901"/>
      <c r="D79" s="151"/>
      <c r="E79" s="95">
        <f>'9'!F79</f>
        <v>0</v>
      </c>
      <c r="F79" s="117"/>
      <c r="G79" s="112">
        <f>G15-SUM(G74:G78)</f>
        <v>651.78799999999956</v>
      </c>
      <c r="H79" s="99">
        <f>G79+'9'!H79</f>
        <v>6635.5419999999922</v>
      </c>
      <c r="I79" s="118"/>
      <c r="J79" s="175"/>
      <c r="K79" s="59"/>
      <c r="L79" s="58"/>
      <c r="N79" s="87"/>
      <c r="O79" s="71"/>
    </row>
    <row r="80" spans="1:15" s="57" customFormat="1" ht="26.25">
      <c r="A80" s="911" t="s">
        <v>329</v>
      </c>
      <c r="B80" s="912"/>
      <c r="C80" s="913"/>
      <c r="D80" s="151"/>
      <c r="E80" s="117"/>
      <c r="F80" s="117"/>
      <c r="G80" s="112">
        <f>SUM(G74:G79)</f>
        <v>1088</v>
      </c>
      <c r="H80" s="99"/>
      <c r="I80" s="118"/>
      <c r="J80" s="175"/>
      <c r="K80" s="59"/>
      <c r="L80" s="58"/>
      <c r="N80" s="87"/>
      <c r="O80" s="71"/>
    </row>
    <row r="81" spans="1:15" ht="25.5">
      <c r="A81" s="915" t="s">
        <v>226</v>
      </c>
      <c r="B81" s="916"/>
      <c r="C81" s="917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'9'!F82</f>
        <v>0</v>
      </c>
      <c r="F82" s="122">
        <v>0</v>
      </c>
      <c r="G82" s="112">
        <f t="shared" ref="G82:G92" si="8">F82-E82</f>
        <v>0</v>
      </c>
      <c r="H82" s="99">
        <f>G82+'9'!H82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'9'!F83</f>
        <v>0</v>
      </c>
      <c r="F83" s="122">
        <v>0</v>
      </c>
      <c r="G83" s="112">
        <f t="shared" si="8"/>
        <v>0</v>
      </c>
      <c r="H83" s="99">
        <f>G83+'9'!H83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'9'!F84</f>
        <v>43546</v>
      </c>
      <c r="F84" s="164">
        <v>43546</v>
      </c>
      <c r="G84" s="112">
        <f t="shared" si="8"/>
        <v>0</v>
      </c>
      <c r="H84" s="99">
        <f>G84+'9'!H84</f>
        <v>0</v>
      </c>
      <c r="I84" s="545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'9'!F85</f>
        <v>6148.4</v>
      </c>
      <c r="F85" s="164">
        <v>6172.08</v>
      </c>
      <c r="G85" s="112">
        <f t="shared" si="8"/>
        <v>23.680000000000291</v>
      </c>
      <c r="H85" s="99">
        <f>G85+'9'!H85</f>
        <v>239.63000000000011</v>
      </c>
      <c r="I85" s="545"/>
      <c r="J85" s="175">
        <f>H85/DAY(B2)</f>
        <v>23.963000000000012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'9'!F86</f>
        <v>46834</v>
      </c>
      <c r="F86" s="164">
        <v>46834</v>
      </c>
      <c r="G86" s="112">
        <f t="shared" si="8"/>
        <v>0</v>
      </c>
      <c r="H86" s="99">
        <f>G86+'9'!H86</f>
        <v>0</v>
      </c>
      <c r="I86" s="545"/>
      <c r="J86" s="175">
        <f>H86/DAY(B2)</f>
        <v>0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'9'!F87</f>
        <v>37028</v>
      </c>
      <c r="F87" s="164">
        <v>37028</v>
      </c>
      <c r="G87" s="112">
        <f t="shared" si="8"/>
        <v>0</v>
      </c>
      <c r="H87" s="99">
        <f>G87+'9'!H87</f>
        <v>0</v>
      </c>
      <c r="I87" s="545">
        <f>G84+G85+G86+G87</f>
        <v>23.680000000000291</v>
      </c>
      <c r="J87" s="175">
        <f>H87/DAY(B2)</f>
        <v>0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'9'!F88</f>
        <v>24624.29</v>
      </c>
      <c r="F88" s="164">
        <v>24626.33</v>
      </c>
      <c r="G88" s="112">
        <f t="shared" si="8"/>
        <v>2.0400000000008731</v>
      </c>
      <c r="H88" s="99">
        <f>G88+'9'!H88</f>
        <v>22.730000000003201</v>
      </c>
      <c r="I88" s="545"/>
      <c r="J88" s="175">
        <f>H88/DAY(B2)</f>
        <v>2.2730000000003203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'9'!F89</f>
        <v>28847.65</v>
      </c>
      <c r="F89" s="164">
        <v>28857.01</v>
      </c>
      <c r="G89" s="112">
        <f t="shared" si="8"/>
        <v>9.3599999999969441</v>
      </c>
      <c r="H89" s="99">
        <f>G89+'9'!H89</f>
        <v>108.61999999999898</v>
      </c>
      <c r="I89" s="545">
        <f>G88+G89</f>
        <v>11.399999999997817</v>
      </c>
      <c r="J89" s="175">
        <f>H89/DAY(B2)</f>
        <v>10.861999999999899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'9'!F90</f>
        <v>74300.86</v>
      </c>
      <c r="F90" s="164">
        <v>74312.009999999995</v>
      </c>
      <c r="G90" s="112">
        <f t="shared" si="8"/>
        <v>11.149999999994179</v>
      </c>
      <c r="H90" s="99">
        <f>G90+'9'!H90</f>
        <v>108.83000000000175</v>
      </c>
      <c r="I90" s="545">
        <f>G90</f>
        <v>11.149999999994179</v>
      </c>
      <c r="J90" s="175">
        <f>H90/DAY(B2)</f>
        <v>10.883000000000175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'9'!F91</f>
        <v>5618</v>
      </c>
      <c r="F91" s="122">
        <v>5618</v>
      </c>
      <c r="G91" s="112">
        <f t="shared" si="8"/>
        <v>0</v>
      </c>
      <c r="H91" s="99">
        <f>G91+'9'!H91</f>
        <v>-0.21000000000003638</v>
      </c>
      <c r="I91" s="546"/>
      <c r="J91" s="175">
        <f>H91/DAY(B2)</f>
        <v>-2.1000000000003637E-2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'9'!F92</f>
        <v>7180.45</v>
      </c>
      <c r="F92" s="122">
        <v>7191.08</v>
      </c>
      <c r="G92" s="112">
        <f t="shared" si="8"/>
        <v>10.630000000000109</v>
      </c>
      <c r="H92" s="99">
        <f>G92+'9'!H92</f>
        <v>111.39000000000033</v>
      </c>
      <c r="I92" s="547">
        <f>G91+G92</f>
        <v>10.630000000000109</v>
      </c>
      <c r="J92" s="175">
        <f>H92/DAY(B2)</f>
        <v>11.139000000000033</v>
      </c>
      <c r="O92" s="71"/>
    </row>
    <row r="93" spans="1:15" ht="26.25">
      <c r="A93" s="905" t="s">
        <v>239</v>
      </c>
      <c r="B93" s="906"/>
      <c r="C93" s="90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5419.5600000000559</v>
      </c>
      <c r="H94" s="99">
        <f>G94+'9'!H94</f>
        <v>54322.729999999981</v>
      </c>
      <c r="I94" s="118"/>
      <c r="J94" s="175">
        <f>H94/DAY(B2)</f>
        <v>5432.2729999999983</v>
      </c>
      <c r="K94" s="69"/>
      <c r="L94" s="66"/>
      <c r="O94" s="71"/>
    </row>
    <row r="95" spans="1:15" ht="25.5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0.25211946408634422</v>
      </c>
      <c r="H95" s="99">
        <f>G95+'9'!H95</f>
        <v>2.6017698229781105</v>
      </c>
      <c r="I95" s="167"/>
      <c r="J95" s="175">
        <f>H95/DAY(B2)</f>
        <v>0.26017698229781105</v>
      </c>
      <c r="K95" s="69"/>
      <c r="L95" s="66"/>
      <c r="O95" s="71"/>
    </row>
    <row r="96" spans="1:15" ht="25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4480.539999999979</v>
      </c>
      <c r="H96" s="99">
        <f>G96+'9'!H96</f>
        <v>44440.02999999997</v>
      </c>
      <c r="I96" s="118"/>
      <c r="J96" s="175">
        <f>H96/DAY(B2)</f>
        <v>4444.002999999997</v>
      </c>
      <c r="K96" s="69"/>
      <c r="L96" s="66"/>
      <c r="O96" s="71"/>
    </row>
    <row r="97" spans="1:15" ht="25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0.20843598809080663</v>
      </c>
      <c r="H97" s="99">
        <f>G97+'9'!H97</f>
        <v>2.1256023870062872</v>
      </c>
      <c r="I97" s="167"/>
      <c r="J97" s="175">
        <f>H97/DAY(B2)</f>
        <v>0.21256023870062873</v>
      </c>
      <c r="K97" s="69"/>
      <c r="L97" s="66"/>
      <c r="O97" s="71"/>
    </row>
    <row r="98" spans="1:15" ht="25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2694.7199999999721</v>
      </c>
      <c r="H98" s="99">
        <f>G98+'9'!H98</f>
        <v>28168.869999999995</v>
      </c>
      <c r="I98" s="168"/>
      <c r="J98" s="175">
        <f>H98/DAY(B2)</f>
        <v>2816.8869999999997</v>
      </c>
      <c r="K98" s="69"/>
      <c r="L98" s="66"/>
      <c r="O98" s="71"/>
    </row>
    <row r="99" spans="1:15" ht="25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0.12535913658354914</v>
      </c>
      <c r="H99" s="99">
        <f>G99+'9'!H99</f>
        <v>1.3493208619620045</v>
      </c>
      <c r="I99" s="168"/>
      <c r="J99" s="175">
        <f>H99/DAY(B2)</f>
        <v>0.13493208619620045</v>
      </c>
      <c r="O99" s="71"/>
    </row>
    <row r="100" spans="1:15" ht="26.2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2505.359999999986</v>
      </c>
      <c r="H100" s="99">
        <f>G100+'9'!H100</f>
        <v>23011.200000000063</v>
      </c>
      <c r="I100" s="118"/>
      <c r="J100" s="175">
        <f>H100/DAY(B2)</f>
        <v>2301.1200000000063</v>
      </c>
      <c r="K100" s="70"/>
      <c r="O100" s="71"/>
    </row>
    <row r="101" spans="1:15" ht="25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0.11655005582433876</v>
      </c>
      <c r="H101" s="99">
        <f>G101+'9'!H101</f>
        <v>1.0998378445780133</v>
      </c>
      <c r="I101" s="168"/>
      <c r="J101" s="175">
        <f>H101/DAY(B2)</f>
        <v>0.10998378445780133</v>
      </c>
      <c r="O101" s="71"/>
    </row>
    <row r="102" spans="1:15" ht="25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3001.179999999993</v>
      </c>
      <c r="H102" s="99">
        <f>G102+'9'!H102</f>
        <v>23316.649999999965</v>
      </c>
      <c r="I102" s="168"/>
      <c r="J102" s="175">
        <f>H102/DAY(B2)</f>
        <v>2331.6649999999963</v>
      </c>
      <c r="O102" s="71"/>
    </row>
    <row r="103" spans="1:15" ht="25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0.13961574246371386</v>
      </c>
      <c r="H103" s="99">
        <f>G103+'9'!H103</f>
        <v>1.1144124452356576</v>
      </c>
      <c r="I103" s="118"/>
      <c r="J103" s="175">
        <f>H103/DAY(B2)</f>
        <v>0.11144124452356577</v>
      </c>
      <c r="O103" s="71"/>
    </row>
    <row r="104" spans="1:15" ht="25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1475.9799999999814</v>
      </c>
      <c r="H104" s="99">
        <f>G104+'9'!H104</f>
        <v>14820.299999999988</v>
      </c>
      <c r="I104" s="118"/>
      <c r="J104" s="175">
        <f>H104/DAY(B2)</f>
        <v>1482.0299999999988</v>
      </c>
      <c r="O104" s="71"/>
    </row>
    <row r="105" spans="1:15" ht="26.25" thickBot="1">
      <c r="A105" s="895" t="s">
        <v>251</v>
      </c>
      <c r="B105" s="896"/>
      <c r="C105" s="897"/>
      <c r="D105" s="231" t="s">
        <v>23</v>
      </c>
      <c r="E105" s="185"/>
      <c r="F105" s="185"/>
      <c r="G105" s="186">
        <f>G104/G7</f>
        <v>6.8663007071082124E-2</v>
      </c>
      <c r="H105" s="99">
        <f>G105+'9'!H105</f>
        <v>0.70991901774712307</v>
      </c>
      <c r="I105" s="187"/>
      <c r="J105" s="188">
        <f>H105/DAY(B2)</f>
        <v>7.0991901774712304E-2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891" t="s">
        <v>324</v>
      </c>
      <c r="B108" s="891"/>
      <c r="C108" s="891"/>
      <c r="D108" s="891"/>
      <c r="E108" s="891"/>
      <c r="F108" s="891"/>
      <c r="G108" s="891"/>
      <c r="H108" s="891"/>
      <c r="I108" s="891"/>
      <c r="J108" s="891"/>
    </row>
    <row r="109" spans="1:15" ht="26.25">
      <c r="A109" s="918"/>
      <c r="B109" s="918"/>
    </row>
    <row r="110" spans="1:15" ht="26.25">
      <c r="A110" s="892" t="s">
        <v>165</v>
      </c>
      <c r="B110" s="893"/>
      <c r="C110" s="893"/>
      <c r="D110" s="893"/>
      <c r="E110" s="893"/>
      <c r="F110" s="893"/>
      <c r="G110" s="893"/>
      <c r="H110" s="893"/>
      <c r="I110" s="893"/>
      <c r="J110" s="894"/>
    </row>
    <row r="111" spans="1:15" ht="25.5">
      <c r="A111" s="885"/>
      <c r="B111" s="886"/>
      <c r="C111" s="887"/>
      <c r="D111" s="165"/>
      <c r="E111" s="165"/>
      <c r="F111" s="165"/>
      <c r="G111" s="165"/>
      <c r="H111" s="156"/>
      <c r="I111" s="165"/>
      <c r="J111" s="327"/>
    </row>
    <row r="112" spans="1:15" ht="25.5">
      <c r="A112" s="881" t="s">
        <v>252</v>
      </c>
      <c r="B112" s="882"/>
      <c r="C112" s="883"/>
      <c r="D112" s="146" t="s">
        <v>183</v>
      </c>
      <c r="E112" s="95">
        <f>'9'!F112</f>
        <v>18051.52</v>
      </c>
      <c r="F112" s="237">
        <v>18111.599999999999</v>
      </c>
      <c r="G112" s="112">
        <f t="shared" ref="G112:G123" si="9">F112-E112</f>
        <v>60.079999999998108</v>
      </c>
      <c r="H112" s="99">
        <f>G112+'9'!H112</f>
        <v>600.29999999999927</v>
      </c>
      <c r="I112" s="165"/>
      <c r="J112" s="328">
        <f>H112/DAY(B2)</f>
        <v>60.02999999999993</v>
      </c>
    </row>
    <row r="113" spans="1:18" ht="29.25" customHeight="1">
      <c r="A113" s="881" t="s">
        <v>253</v>
      </c>
      <c r="B113" s="882"/>
      <c r="C113" s="883"/>
      <c r="D113" s="146" t="s">
        <v>183</v>
      </c>
      <c r="E113" s="95">
        <f>'9'!F113</f>
        <v>38359.5</v>
      </c>
      <c r="F113" s="237">
        <v>38507.11</v>
      </c>
      <c r="G113" s="112">
        <f t="shared" si="9"/>
        <v>147.61000000000058</v>
      </c>
      <c r="H113" s="99">
        <f>G113+'9'!H113</f>
        <v>1428.1100000000006</v>
      </c>
      <c r="I113" s="165"/>
      <c r="J113" s="328">
        <f>H113/DAY(B2)</f>
        <v>142.81100000000006</v>
      </c>
    </row>
    <row r="114" spans="1:18" ht="29.25" customHeight="1">
      <c r="A114" s="881" t="s">
        <v>254</v>
      </c>
      <c r="B114" s="882"/>
      <c r="C114" s="883"/>
      <c r="D114" s="146" t="s">
        <v>183</v>
      </c>
      <c r="E114" s="95">
        <f>'9'!F114</f>
        <v>56276.800000000003</v>
      </c>
      <c r="F114" s="237">
        <v>56484</v>
      </c>
      <c r="G114" s="112">
        <f t="shared" si="9"/>
        <v>207.19999999999709</v>
      </c>
      <c r="H114" s="99">
        <f>G114+'9'!H114</f>
        <v>2216.2200000000012</v>
      </c>
      <c r="I114" s="165"/>
      <c r="J114" s="328">
        <f>H114/DAY(B2)</f>
        <v>221.62200000000013</v>
      </c>
    </row>
    <row r="115" spans="1:18" ht="29.25" customHeight="1">
      <c r="A115" s="881" t="s">
        <v>255</v>
      </c>
      <c r="B115" s="882"/>
      <c r="C115" s="883"/>
      <c r="D115" s="146" t="s">
        <v>183</v>
      </c>
      <c r="E115" s="95">
        <f>'9'!F115</f>
        <v>36313.599999999999</v>
      </c>
      <c r="F115" s="237">
        <v>36468.300000000003</v>
      </c>
      <c r="G115" s="112">
        <f t="shared" si="9"/>
        <v>154.70000000000437</v>
      </c>
      <c r="H115" s="99">
        <f>G115+'9'!H115</f>
        <v>1501.3899999999994</v>
      </c>
      <c r="I115" s="165"/>
      <c r="J115" s="328">
        <f>H115/DAY(B2)</f>
        <v>150.13899999999995</v>
      </c>
    </row>
    <row r="116" spans="1:18" ht="29.25" customHeight="1">
      <c r="A116" s="888" t="s">
        <v>96</v>
      </c>
      <c r="B116" s="889"/>
      <c r="C116" s="890"/>
      <c r="D116" s="146" t="s">
        <v>183</v>
      </c>
      <c r="E116" s="95">
        <f>'9'!F116</f>
        <v>138288</v>
      </c>
      <c r="F116" s="237">
        <v>138713</v>
      </c>
      <c r="G116" s="112">
        <f t="shared" si="9"/>
        <v>425</v>
      </c>
      <c r="H116" s="99">
        <f>G116+'9'!H116</f>
        <v>4224.609999999986</v>
      </c>
      <c r="I116" s="165"/>
      <c r="J116" s="328">
        <f>H116/DAY(B2)</f>
        <v>422.46099999999859</v>
      </c>
      <c r="Q116" s="881" t="s">
        <v>311</v>
      </c>
      <c r="R116" s="883"/>
    </row>
    <row r="117" spans="1:18" ht="29.25" customHeight="1">
      <c r="A117" s="888" t="s">
        <v>184</v>
      </c>
      <c r="B117" s="889"/>
      <c r="C117" s="890"/>
      <c r="D117" s="146" t="s">
        <v>183</v>
      </c>
      <c r="E117" s="95">
        <f>'9'!F117</f>
        <v>86215</v>
      </c>
      <c r="F117" s="237">
        <v>86441.87</v>
      </c>
      <c r="G117" s="112">
        <f t="shared" si="9"/>
        <v>226.86999999999534</v>
      </c>
      <c r="H117" s="99">
        <f>G117+'9'!H117</f>
        <v>3731.8699999999953</v>
      </c>
      <c r="I117" s="165"/>
      <c r="J117" s="328">
        <f>H117/DAY(B2)</f>
        <v>373.18699999999956</v>
      </c>
      <c r="Q117" s="881" t="s">
        <v>312</v>
      </c>
      <c r="R117" s="883"/>
    </row>
    <row r="118" spans="1:18" ht="25.5">
      <c r="A118" s="880" t="s">
        <v>97</v>
      </c>
      <c r="B118" s="880"/>
      <c r="C118" s="880"/>
      <c r="D118" s="151" t="s">
        <v>183</v>
      </c>
      <c r="E118" s="95">
        <f>'9'!F118</f>
        <v>163849.62</v>
      </c>
      <c r="F118" s="237">
        <v>164478.26</v>
      </c>
      <c r="G118" s="112">
        <f t="shared" si="9"/>
        <v>628.64000000001397</v>
      </c>
      <c r="H118" s="99">
        <f>G118+'9'!H118</f>
        <v>6341.1100000000151</v>
      </c>
      <c r="I118" s="165"/>
      <c r="J118" s="328">
        <f>H118/DAY(B2)</f>
        <v>634.11100000000147</v>
      </c>
      <c r="Q118" s="881" t="s">
        <v>311</v>
      </c>
      <c r="R118" s="883"/>
    </row>
    <row r="119" spans="1:18" ht="25.5">
      <c r="A119" s="880" t="s">
        <v>98</v>
      </c>
      <c r="B119" s="880"/>
      <c r="C119" s="880"/>
      <c r="D119" s="151" t="s">
        <v>183</v>
      </c>
      <c r="E119" s="95">
        <f>'9'!F119</f>
        <v>44266.37</v>
      </c>
      <c r="F119" s="237">
        <v>44302.64</v>
      </c>
      <c r="G119" s="112">
        <f t="shared" si="9"/>
        <v>36.269999999996799</v>
      </c>
      <c r="H119" s="99">
        <f>G119+'9'!H119</f>
        <v>363.46499999999651</v>
      </c>
      <c r="I119" s="165"/>
      <c r="J119" s="328">
        <f>H119/DAY(B2)</f>
        <v>36.346499999999651</v>
      </c>
    </row>
    <row r="120" spans="1:18" ht="25.5">
      <c r="A120" s="880" t="s">
        <v>99</v>
      </c>
      <c r="B120" s="880"/>
      <c r="C120" s="880"/>
      <c r="D120" s="151" t="s">
        <v>183</v>
      </c>
      <c r="E120" s="95">
        <f>'9'!F120</f>
        <v>112042.9</v>
      </c>
      <c r="F120" s="237">
        <v>112426.55</v>
      </c>
      <c r="G120" s="112">
        <f t="shared" si="9"/>
        <v>383.65000000000873</v>
      </c>
      <c r="H120" s="99">
        <f>G120+'9'!H120</f>
        <v>3989.4100000000035</v>
      </c>
      <c r="I120" s="165"/>
      <c r="J120" s="328">
        <f>H120/DAY(B2)</f>
        <v>398.94100000000037</v>
      </c>
    </row>
    <row r="121" spans="1:18" ht="25.5">
      <c r="A121" s="880" t="s">
        <v>100</v>
      </c>
      <c r="B121" s="880"/>
      <c r="C121" s="880"/>
      <c r="D121" s="151" t="s">
        <v>183</v>
      </c>
      <c r="E121" s="95">
        <f>'9'!F121</f>
        <v>125077</v>
      </c>
      <c r="F121" s="237">
        <v>125547.75</v>
      </c>
      <c r="G121" s="112">
        <f t="shared" si="9"/>
        <v>470.75</v>
      </c>
      <c r="H121" s="99">
        <f>G121+'9'!H121</f>
        <v>4324.8600000000006</v>
      </c>
      <c r="I121" s="165"/>
      <c r="J121" s="328">
        <f>H121/DAY(B2)</f>
        <v>432.48600000000005</v>
      </c>
    </row>
    <row r="122" spans="1:18" ht="25.5">
      <c r="A122" s="880" t="s">
        <v>101</v>
      </c>
      <c r="B122" s="880"/>
      <c r="C122" s="880"/>
      <c r="D122" s="151" t="s">
        <v>183</v>
      </c>
      <c r="E122" s="95">
        <f>'9'!F122</f>
        <v>83993</v>
      </c>
      <c r="F122" s="237">
        <v>84321.63</v>
      </c>
      <c r="G122" s="112">
        <f t="shared" si="9"/>
        <v>328.63000000000466</v>
      </c>
      <c r="H122" s="99">
        <f>G122+'9'!H122</f>
        <v>3047.2600000000093</v>
      </c>
      <c r="I122" s="165"/>
      <c r="J122" s="328">
        <f>H122/DAY(B2)</f>
        <v>304.72600000000091</v>
      </c>
    </row>
    <row r="123" spans="1:18" ht="25.5">
      <c r="A123" s="880" t="s">
        <v>102</v>
      </c>
      <c r="B123" s="880"/>
      <c r="C123" s="880"/>
      <c r="D123" s="151" t="s">
        <v>183</v>
      </c>
      <c r="E123" s="95">
        <f>'9'!F123</f>
        <v>80798.899999999994</v>
      </c>
      <c r="F123" s="237">
        <v>81100.55</v>
      </c>
      <c r="G123" s="112">
        <f t="shared" si="9"/>
        <v>301.65000000000873</v>
      </c>
      <c r="H123" s="99">
        <f>G123+'9'!H123</f>
        <v>3151.5500000000029</v>
      </c>
      <c r="I123" s="165"/>
      <c r="J123" s="328">
        <f>H123/DAY(B2)</f>
        <v>315.15500000000031</v>
      </c>
    </row>
    <row r="124" spans="1:18" ht="29.25" customHeight="1">
      <c r="A124" s="885"/>
      <c r="B124" s="886"/>
      <c r="C124" s="887"/>
      <c r="D124" s="165"/>
      <c r="E124" s="95">
        <f>'9'!F124</f>
        <v>0</v>
      </c>
      <c r="F124" s="165"/>
      <c r="G124" s="327"/>
      <c r="H124" s="99">
        <f>G124+'9'!H124</f>
        <v>0</v>
      </c>
      <c r="I124" s="165"/>
      <c r="J124" s="327"/>
    </row>
    <row r="125" spans="1:18" ht="25.5">
      <c r="A125" s="787" t="s">
        <v>196</v>
      </c>
      <c r="B125" s="788"/>
      <c r="C125" s="245"/>
      <c r="D125" s="307"/>
      <c r="E125" s="308"/>
      <c r="F125" s="308"/>
      <c r="G125" s="309">
        <f>SUM(G112:G124)</f>
        <v>3371.0500000000284</v>
      </c>
      <c r="H125" s="156"/>
      <c r="I125" s="327">
        <f>G125-(G39+G53)</f>
        <v>676.33000000005632</v>
      </c>
      <c r="J125" s="327"/>
    </row>
    <row r="126" spans="1:18" ht="25.5">
      <c r="A126" s="884" t="s">
        <v>317</v>
      </c>
      <c r="B126" s="884"/>
      <c r="C126" s="884"/>
      <c r="D126" s="884"/>
      <c r="E126" s="884"/>
      <c r="F126" s="884"/>
      <c r="G126" s="884"/>
      <c r="H126" s="884"/>
      <c r="I126" s="884"/>
      <c r="J126" s="884"/>
    </row>
    <row r="127" spans="1:18" ht="25.5">
      <c r="A127" s="870"/>
      <c r="B127" s="870"/>
      <c r="C127" s="245"/>
      <c r="D127" s="307"/>
      <c r="E127" s="308"/>
      <c r="F127" s="308"/>
      <c r="G127" s="309"/>
      <c r="H127" s="99">
        <f>G127+'9'!H127</f>
        <v>0</v>
      </c>
      <c r="I127" s="165"/>
      <c r="J127" s="328">
        <f>H127/DAY(B2)</f>
        <v>0</v>
      </c>
    </row>
    <row r="128" spans="1:18" ht="29.25" customHeight="1">
      <c r="A128" s="881" t="s">
        <v>318</v>
      </c>
      <c r="B128" s="882"/>
      <c r="C128" s="883"/>
      <c r="D128" s="151" t="s">
        <v>183</v>
      </c>
      <c r="E128" s="95">
        <f>'9'!F128</f>
        <v>196366.01</v>
      </c>
      <c r="F128" s="155">
        <v>196866.23</v>
      </c>
      <c r="G128" s="112">
        <f t="shared" ref="G128:G134" si="10">F128-E128</f>
        <v>500.22000000000116</v>
      </c>
      <c r="H128" s="99">
        <f>G128+'9'!H128</f>
        <v>4980.6000000000058</v>
      </c>
      <c r="I128" s="165"/>
      <c r="J128" s="328">
        <f>H128/DAY(B2)</f>
        <v>498.06000000000057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'9'!F129</f>
        <v>103002.44</v>
      </c>
      <c r="F129" s="155">
        <v>103172.05499999999</v>
      </c>
      <c r="G129" s="112">
        <f t="shared" si="10"/>
        <v>169.61499999999069</v>
      </c>
      <c r="H129" s="99">
        <f>G129+'9'!H129</f>
        <v>1895.054999999993</v>
      </c>
      <c r="I129" s="165"/>
      <c r="J129" s="328">
        <f>H129/DAY(B2)</f>
        <v>189.5054999999993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'9'!F130</f>
        <v>273232.34999999998</v>
      </c>
      <c r="F130" s="157">
        <v>273880</v>
      </c>
      <c r="G130" s="112">
        <f t="shared" si="10"/>
        <v>647.65000000002328</v>
      </c>
      <c r="H130" s="99">
        <f>G130+'9'!H130</f>
        <v>5065</v>
      </c>
      <c r="I130" s="165"/>
      <c r="J130" s="328">
        <f>H130/DAY(B2)</f>
        <v>506.5</v>
      </c>
      <c r="N130" s="240"/>
      <c r="O130" s="241"/>
    </row>
    <row r="131" spans="1:15" ht="25.5">
      <c r="A131" s="881" t="s">
        <v>321</v>
      </c>
      <c r="B131" s="882"/>
      <c r="C131" s="883"/>
      <c r="D131" s="151" t="s">
        <v>183</v>
      </c>
      <c r="E131" s="95">
        <f>'9'!F131</f>
        <v>81067.06</v>
      </c>
      <c r="F131" s="155">
        <v>81246.16</v>
      </c>
      <c r="G131" s="112">
        <f t="shared" si="10"/>
        <v>179.10000000000582</v>
      </c>
      <c r="H131" s="99">
        <f>G131+'9'!H131</f>
        <v>1695.5299999999988</v>
      </c>
      <c r="I131" s="165"/>
      <c r="J131" s="328">
        <f>H131/DAY(B2)</f>
        <v>169.55299999999988</v>
      </c>
      <c r="N131" s="240"/>
      <c r="O131" s="241"/>
    </row>
    <row r="132" spans="1:15" ht="25.5">
      <c r="A132" s="881" t="s">
        <v>322</v>
      </c>
      <c r="B132" s="882"/>
      <c r="C132" s="883"/>
      <c r="D132" s="151" t="s">
        <v>183</v>
      </c>
      <c r="E132" s="95">
        <f>'9'!F132</f>
        <v>148274</v>
      </c>
      <c r="F132" s="155">
        <v>148274</v>
      </c>
      <c r="G132" s="112">
        <f t="shared" si="10"/>
        <v>0</v>
      </c>
      <c r="H132" s="99">
        <f>G132+'9'!H132</f>
        <v>0</v>
      </c>
      <c r="I132" s="165"/>
      <c r="J132" s="328">
        <f>H132/DAY(B2)</f>
        <v>0</v>
      </c>
    </row>
    <row r="133" spans="1:15" ht="25.5">
      <c r="A133" s="881" t="s">
        <v>323</v>
      </c>
      <c r="B133" s="882"/>
      <c r="C133" s="883"/>
      <c r="D133" s="151" t="s">
        <v>183</v>
      </c>
      <c r="E133" s="95">
        <f>'9'!F133</f>
        <v>288548.17</v>
      </c>
      <c r="F133" s="155">
        <v>288548.17</v>
      </c>
      <c r="G133" s="112">
        <f t="shared" si="10"/>
        <v>0</v>
      </c>
      <c r="H133" s="99">
        <f>G133+'9'!H133</f>
        <v>-644499.83000000007</v>
      </c>
      <c r="I133" s="165"/>
      <c r="J133" s="328">
        <f>H133/DAY(B2)</f>
        <v>-64449.983000000007</v>
      </c>
    </row>
    <row r="134" spans="1:15" ht="25.5">
      <c r="A134" s="881" t="s">
        <v>340</v>
      </c>
      <c r="B134" s="882"/>
      <c r="C134" s="883"/>
      <c r="D134" s="151" t="s">
        <v>183</v>
      </c>
      <c r="E134" s="95">
        <f>'9'!F134</f>
        <v>88330</v>
      </c>
      <c r="F134" s="157">
        <v>88694.8</v>
      </c>
      <c r="G134" s="112">
        <f t="shared" si="10"/>
        <v>364.80000000000291</v>
      </c>
      <c r="H134" s="99">
        <f>G134+'9'!H134</f>
        <v>2742.8000000000029</v>
      </c>
      <c r="I134" s="165"/>
      <c r="J134" s="328">
        <f>H134/DAY(B2)</f>
        <v>274.28000000000031</v>
      </c>
    </row>
    <row r="135" spans="1:15" ht="25.5">
      <c r="A135" s="787" t="s">
        <v>196</v>
      </c>
      <c r="B135" s="788"/>
      <c r="C135" s="331"/>
      <c r="D135" s="151"/>
      <c r="E135" s="95"/>
      <c r="F135" s="165"/>
      <c r="G135" s="112">
        <f>SUM(G128:G134)</f>
        <v>1861.3850000000239</v>
      </c>
      <c r="H135" s="99">
        <f>G135+'9'!H135</f>
        <v>-628120.84499999997</v>
      </c>
      <c r="I135" s="327">
        <f>G135-(G35+G49)</f>
        <v>-1201.1349999999948</v>
      </c>
      <c r="J135" s="328">
        <f>H135/DAY(B2)</f>
        <v>-62812.084499999997</v>
      </c>
    </row>
    <row r="136" spans="1:15" ht="27.75">
      <c r="A136" s="869" t="s">
        <v>325</v>
      </c>
      <c r="B136" s="869"/>
      <c r="C136" s="869"/>
      <c r="D136" s="869"/>
      <c r="E136" s="869"/>
      <c r="F136" s="869"/>
      <c r="G136" s="869"/>
      <c r="H136" s="869"/>
      <c r="I136" s="869"/>
      <c r="J136" s="869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80" t="s">
        <v>185</v>
      </c>
      <c r="B138" s="880"/>
      <c r="C138" s="880"/>
      <c r="D138" s="151" t="s">
        <v>183</v>
      </c>
      <c r="E138" s="95">
        <f>'9'!F138</f>
        <v>910530</v>
      </c>
      <c r="F138" s="147">
        <v>910632</v>
      </c>
      <c r="G138" s="112">
        <f t="shared" ref="G138:G152" si="11">F138-E138</f>
        <v>102</v>
      </c>
      <c r="H138" s="99">
        <f>G138+'9'!H138</f>
        <v>1153</v>
      </c>
      <c r="I138" s="118"/>
      <c r="J138" s="328">
        <f>H138/DAY(B2)</f>
        <v>115.3</v>
      </c>
    </row>
    <row r="139" spans="1:15" ht="25.5">
      <c r="A139" s="880" t="s">
        <v>186</v>
      </c>
      <c r="B139" s="880"/>
      <c r="C139" s="880"/>
      <c r="D139" s="151" t="s">
        <v>183</v>
      </c>
      <c r="E139" s="95">
        <f>'9'!F139</f>
        <v>933817</v>
      </c>
      <c r="F139" s="148">
        <v>933952</v>
      </c>
      <c r="G139" s="112">
        <f t="shared" si="11"/>
        <v>135</v>
      </c>
      <c r="H139" s="99">
        <f>G139+'9'!H139</f>
        <v>1592</v>
      </c>
      <c r="I139" s="118"/>
      <c r="J139" s="328">
        <f>H139/DAY(B2)</f>
        <v>159.19999999999999</v>
      </c>
    </row>
    <row r="140" spans="1:15" ht="25.5">
      <c r="A140" s="880" t="s">
        <v>187</v>
      </c>
      <c r="B140" s="880"/>
      <c r="C140" s="880"/>
      <c r="D140" s="151" t="s">
        <v>183</v>
      </c>
      <c r="E140" s="95">
        <f>'9'!F140</f>
        <v>4210.59</v>
      </c>
      <c r="F140" s="149">
        <v>4233.6000000000004</v>
      </c>
      <c r="G140" s="112">
        <f t="shared" si="11"/>
        <v>23.010000000000218</v>
      </c>
      <c r="H140" s="99">
        <f>G140+'9'!H140</f>
        <v>200.0890000000004</v>
      </c>
      <c r="I140" s="118"/>
      <c r="J140" s="328">
        <f>H140/DAY(B2)</f>
        <v>20.00890000000004</v>
      </c>
    </row>
    <row r="141" spans="1:15" ht="25.5">
      <c r="A141" s="863" t="s">
        <v>188</v>
      </c>
      <c r="B141" s="863"/>
      <c r="C141" s="863"/>
      <c r="D141" s="151" t="s">
        <v>183</v>
      </c>
      <c r="E141" s="95">
        <f>'9'!F141</f>
        <v>126375.3</v>
      </c>
      <c r="F141" s="149">
        <v>126571</v>
      </c>
      <c r="G141" s="112">
        <f t="shared" si="11"/>
        <v>195.69999999999709</v>
      </c>
      <c r="H141" s="99">
        <f>G141+'9'!H141</f>
        <v>1973</v>
      </c>
      <c r="I141" s="118"/>
      <c r="J141" s="328">
        <f>H141/DAY(B2)</f>
        <v>197.3</v>
      </c>
    </row>
    <row r="142" spans="1:15" ht="25.5">
      <c r="A142" s="863" t="s">
        <v>189</v>
      </c>
      <c r="B142" s="863"/>
      <c r="C142" s="863"/>
      <c r="D142" s="151" t="s">
        <v>183</v>
      </c>
      <c r="E142" s="95">
        <f>'9'!F142</f>
        <v>51371.3</v>
      </c>
      <c r="F142" s="148">
        <v>51468.1</v>
      </c>
      <c r="G142" s="112">
        <f t="shared" si="11"/>
        <v>96.799999999995634</v>
      </c>
      <c r="H142" s="99">
        <f>G142+'9'!H142</f>
        <v>902.54999999999563</v>
      </c>
      <c r="I142" s="140"/>
      <c r="J142" s="328">
        <f>H142/DAY(B2)</f>
        <v>90.254999999999569</v>
      </c>
    </row>
    <row r="143" spans="1:15" ht="25.5">
      <c r="A143" s="880" t="s">
        <v>91</v>
      </c>
      <c r="B143" s="880"/>
      <c r="C143" s="880"/>
      <c r="D143" s="151" t="s">
        <v>183</v>
      </c>
      <c r="E143" s="95">
        <f>'9'!F143</f>
        <v>13666</v>
      </c>
      <c r="F143" s="149">
        <v>13699.2</v>
      </c>
      <c r="G143" s="112">
        <f t="shared" si="11"/>
        <v>33.200000000000728</v>
      </c>
      <c r="H143" s="99">
        <f>G143+'9'!H143</f>
        <v>312.20000000000073</v>
      </c>
      <c r="I143" s="140"/>
      <c r="J143" s="328">
        <f>H143/DAY(B2)</f>
        <v>31.220000000000073</v>
      </c>
      <c r="O143" s="148">
        <v>582206</v>
      </c>
    </row>
    <row r="144" spans="1:15" ht="25.5">
      <c r="A144" s="863" t="s">
        <v>90</v>
      </c>
      <c r="B144" s="863"/>
      <c r="C144" s="863"/>
      <c r="D144" s="151" t="s">
        <v>183</v>
      </c>
      <c r="E144" s="95">
        <f>'9'!F144</f>
        <v>957645</v>
      </c>
      <c r="F144" s="149">
        <v>957881</v>
      </c>
      <c r="G144" s="755">
        <f t="shared" si="11"/>
        <v>236</v>
      </c>
      <c r="H144" s="99">
        <f>G144+'9'!H144</f>
        <v>2411</v>
      </c>
      <c r="I144" s="140"/>
      <c r="J144" s="328">
        <f>H144/DAY(B2)</f>
        <v>241.1</v>
      </c>
    </row>
    <row r="145" spans="1:15" ht="25.5">
      <c r="A145" s="880" t="s">
        <v>190</v>
      </c>
      <c r="B145" s="880"/>
      <c r="C145" s="880"/>
      <c r="D145" s="152" t="s">
        <v>183</v>
      </c>
      <c r="E145" s="95">
        <f>'9'!F145</f>
        <v>746490</v>
      </c>
      <c r="F145" s="149">
        <v>746688</v>
      </c>
      <c r="G145" s="112">
        <f t="shared" si="11"/>
        <v>198</v>
      </c>
      <c r="H145" s="99">
        <f>G145+'9'!H145</f>
        <v>1507</v>
      </c>
      <c r="I145" s="140"/>
      <c r="J145" s="328">
        <f>H145/DAY(B2)</f>
        <v>150.69999999999999</v>
      </c>
    </row>
    <row r="146" spans="1:15" ht="25.5">
      <c r="A146" s="914" t="s">
        <v>191</v>
      </c>
      <c r="B146" s="900"/>
      <c r="C146" s="901"/>
      <c r="D146" s="152" t="s">
        <v>183</v>
      </c>
      <c r="E146" s="95">
        <f>'9'!F146</f>
        <v>788158</v>
      </c>
      <c r="F146" s="148">
        <v>788196</v>
      </c>
      <c r="G146" s="112">
        <f t="shared" si="11"/>
        <v>38</v>
      </c>
      <c r="H146" s="99">
        <f>G146+'9'!H146</f>
        <v>338</v>
      </c>
      <c r="I146" s="140"/>
      <c r="J146" s="328">
        <f>H146/DAY(B2)</f>
        <v>33.799999999999997</v>
      </c>
    </row>
    <row r="147" spans="1:15" ht="25.5">
      <c r="A147" s="863" t="s">
        <v>192</v>
      </c>
      <c r="B147" s="863"/>
      <c r="C147" s="863"/>
      <c r="D147" s="152" t="s">
        <v>183</v>
      </c>
      <c r="E147" s="95">
        <f>'9'!F147</f>
        <v>763498.8</v>
      </c>
      <c r="F147" s="148">
        <v>763906.33</v>
      </c>
      <c r="G147" s="112">
        <f t="shared" si="11"/>
        <v>407.52999999991152</v>
      </c>
      <c r="H147" s="99">
        <f>G147+'9'!H147</f>
        <v>3768.3299999999581</v>
      </c>
      <c r="I147" s="140"/>
      <c r="J147" s="328">
        <f>H147/DAY(B2)</f>
        <v>376.83299999999582</v>
      </c>
    </row>
    <row r="148" spans="1:15" ht="25.5">
      <c r="A148" s="864" t="s">
        <v>193</v>
      </c>
      <c r="B148" s="865"/>
      <c r="C148" s="866"/>
      <c r="D148" s="123" t="s">
        <v>130</v>
      </c>
      <c r="E148" s="95">
        <f>'9'!F148</f>
        <v>799381.44</v>
      </c>
      <c r="F148" s="150">
        <v>799697.76</v>
      </c>
      <c r="G148" s="112">
        <f t="shared" si="11"/>
        <v>316.32000000006519</v>
      </c>
      <c r="H148" s="99">
        <f>G148+'9'!H148</f>
        <v>3285.6800000000512</v>
      </c>
      <c r="I148" s="124"/>
      <c r="J148" s="328">
        <f>H148/DAY(B2)</f>
        <v>328.5680000000051</v>
      </c>
    </row>
    <row r="149" spans="1:15" ht="25.5">
      <c r="A149" s="864" t="s">
        <v>336</v>
      </c>
      <c r="B149" s="865"/>
      <c r="C149" s="866"/>
      <c r="D149" s="227" t="s">
        <v>130</v>
      </c>
      <c r="E149" s="95">
        <f>'9'!F149</f>
        <v>205271.43</v>
      </c>
      <c r="F149" s="146">
        <v>205809</v>
      </c>
      <c r="G149" s="112">
        <f t="shared" si="11"/>
        <v>537.57000000000698</v>
      </c>
      <c r="H149" s="99">
        <f>G149+'9'!H149</f>
        <v>4517.7300000000105</v>
      </c>
      <c r="I149" s="119"/>
      <c r="J149" s="328">
        <f>H149/DAY(B2)</f>
        <v>451.77300000000105</v>
      </c>
    </row>
    <row r="150" spans="1:15" ht="25.5">
      <c r="A150" s="864" t="s">
        <v>337</v>
      </c>
      <c r="B150" s="865"/>
      <c r="C150" s="866"/>
      <c r="D150" s="117" t="s">
        <v>130</v>
      </c>
      <c r="E150" s="95">
        <f>'9'!F150</f>
        <v>87117.3</v>
      </c>
      <c r="F150" s="233">
        <v>87358.7</v>
      </c>
      <c r="G150" s="112">
        <f t="shared" si="11"/>
        <v>241.39999999999418</v>
      </c>
      <c r="H150" s="99">
        <f>G150+'9'!H150</f>
        <v>2144.6999999999971</v>
      </c>
      <c r="I150" s="119"/>
      <c r="J150" s="328">
        <f>H150/DAY(B2)</f>
        <v>214.46999999999971</v>
      </c>
    </row>
    <row r="151" spans="1:15" ht="25.5">
      <c r="A151" s="864" t="s">
        <v>338</v>
      </c>
      <c r="B151" s="865"/>
      <c r="C151" s="866"/>
      <c r="D151" s="117" t="s">
        <v>130</v>
      </c>
      <c r="E151" s="95">
        <f>'9'!F151</f>
        <v>169433</v>
      </c>
      <c r="F151" s="233">
        <v>169737</v>
      </c>
      <c r="G151" s="236">
        <f t="shared" si="11"/>
        <v>304</v>
      </c>
      <c r="H151" s="99">
        <f>G151+'9'!H151</f>
        <v>3007</v>
      </c>
      <c r="I151" s="119"/>
      <c r="J151" s="328">
        <f>H151/DAY(B2)</f>
        <v>300.7</v>
      </c>
    </row>
    <row r="152" spans="1:15" ht="25.5">
      <c r="A152" s="864" t="s">
        <v>339</v>
      </c>
      <c r="B152" s="865"/>
      <c r="C152" s="866"/>
      <c r="D152" s="117" t="s">
        <v>130</v>
      </c>
      <c r="E152" s="95">
        <f>'9'!F152</f>
        <v>43700.62</v>
      </c>
      <c r="F152" s="233">
        <v>43832.1</v>
      </c>
      <c r="G152" s="112">
        <f t="shared" si="11"/>
        <v>131.47999999999593</v>
      </c>
      <c r="H152" s="99">
        <f>G152+'9'!H152</f>
        <v>1321.0999999999985</v>
      </c>
      <c r="I152" s="119"/>
      <c r="J152" s="328">
        <f>H152/DAY(B2)</f>
        <v>132.10999999999984</v>
      </c>
    </row>
    <row r="153" spans="1:15" ht="25.5">
      <c r="A153" s="787" t="s">
        <v>196</v>
      </c>
      <c r="B153" s="788"/>
      <c r="C153" s="365"/>
      <c r="D153" s="358"/>
      <c r="E153" s="360"/>
      <c r="F153" s="361"/>
      <c r="G153" s="362">
        <f>SUM(G138:G152)</f>
        <v>2996.0099999999675</v>
      </c>
      <c r="H153" s="363"/>
      <c r="I153" s="119">
        <f>G153-(G38+G52)</f>
        <v>490.64999999998145</v>
      </c>
      <c r="J153" s="366"/>
    </row>
    <row r="154" spans="1:15" ht="27.75">
      <c r="A154" s="869" t="s">
        <v>344</v>
      </c>
      <c r="B154" s="869"/>
      <c r="C154" s="869"/>
      <c r="D154" s="869"/>
      <c r="E154" s="869"/>
      <c r="F154" s="869"/>
      <c r="G154" s="869"/>
      <c r="H154" s="869"/>
      <c r="I154" s="869"/>
      <c r="J154" s="869"/>
    </row>
    <row r="155" spans="1:15" ht="27.75">
      <c r="A155" s="863" t="s">
        <v>345</v>
      </c>
      <c r="B155" s="863"/>
      <c r="C155" s="863"/>
      <c r="D155" s="117" t="s">
        <v>130</v>
      </c>
      <c r="E155" s="95">
        <f>'9'!F155</f>
        <v>244189.1</v>
      </c>
      <c r="F155" s="374">
        <v>244751</v>
      </c>
      <c r="G155" s="112">
        <f t="shared" ref="G155:G158" si="12">F155-E155</f>
        <v>561.89999999999418</v>
      </c>
      <c r="H155" s="99">
        <f>G155+'9'!H155</f>
        <v>5717</v>
      </c>
      <c r="I155" s="364"/>
      <c r="J155" s="328">
        <f>H155/DAY(B2)</f>
        <v>571.70000000000005</v>
      </c>
      <c r="O155" s="65">
        <v>678.99000000000524</v>
      </c>
    </row>
    <row r="156" spans="1:15" ht="25.5">
      <c r="A156" s="863" t="s">
        <v>346</v>
      </c>
      <c r="B156" s="863"/>
      <c r="C156" s="863"/>
      <c r="D156" s="117" t="s">
        <v>130</v>
      </c>
      <c r="E156" s="95">
        <f>'9'!F156</f>
        <v>30450.6</v>
      </c>
      <c r="F156" s="155">
        <v>30543.83</v>
      </c>
      <c r="G156" s="112">
        <f t="shared" si="12"/>
        <v>93.230000000003201</v>
      </c>
      <c r="H156" s="99">
        <f>G156+'9'!H156</f>
        <v>864.33000000000175</v>
      </c>
      <c r="I156" s="165"/>
      <c r="J156" s="328">
        <f>H156/DAY(B2)</f>
        <v>86.433000000000177</v>
      </c>
      <c r="O156" s="65">
        <v>50.350000000000364</v>
      </c>
    </row>
    <row r="157" spans="1:15" ht="25.5">
      <c r="A157" s="864" t="s">
        <v>360</v>
      </c>
      <c r="B157" s="865"/>
      <c r="C157" s="866"/>
      <c r="D157" s="117" t="s">
        <v>130</v>
      </c>
      <c r="E157" s="95">
        <f>'9'!F157</f>
        <v>37559</v>
      </c>
      <c r="F157" s="155">
        <v>37559</v>
      </c>
      <c r="G157" s="112">
        <f t="shared" si="12"/>
        <v>0</v>
      </c>
      <c r="H157" s="99">
        <f>G157+'9'!H157</f>
        <v>0</v>
      </c>
      <c r="I157" s="165"/>
      <c r="J157" s="328">
        <f>H157/DAY(B2)</f>
        <v>0</v>
      </c>
      <c r="O157" s="65">
        <v>101.82999999999993</v>
      </c>
    </row>
    <row r="158" spans="1:15" ht="25.5">
      <c r="A158" s="864" t="s">
        <v>361</v>
      </c>
      <c r="B158" s="865"/>
      <c r="C158" s="866"/>
      <c r="D158" s="117" t="s">
        <v>130</v>
      </c>
      <c r="E158" s="95">
        <f>'9'!F158</f>
        <v>1767.5</v>
      </c>
      <c r="F158" s="155">
        <v>1767.8</v>
      </c>
      <c r="G158" s="112">
        <f t="shared" si="12"/>
        <v>0.29999999999995453</v>
      </c>
      <c r="H158" s="99">
        <f>G158+'9'!H158</f>
        <v>9.7999999999999545</v>
      </c>
      <c r="I158" s="165"/>
      <c r="J158" s="328">
        <f>H158/DAY(B2)</f>
        <v>0.97999999999999543</v>
      </c>
    </row>
    <row r="159" spans="1:15" ht="25.5">
      <c r="A159" s="944"/>
      <c r="B159" s="945"/>
      <c r="C159" s="946"/>
      <c r="D159" s="117"/>
      <c r="E159" s="95"/>
      <c r="F159" s="155"/>
      <c r="G159" s="112"/>
      <c r="H159" s="99"/>
      <c r="I159" s="165"/>
      <c r="J159" s="328"/>
    </row>
    <row r="160" spans="1:15" ht="27.75">
      <c r="A160" s="869" t="s">
        <v>326</v>
      </c>
      <c r="B160" s="869"/>
      <c r="C160" s="869"/>
      <c r="D160" s="869"/>
      <c r="E160" s="869"/>
      <c r="F160" s="869"/>
      <c r="G160" s="869"/>
      <c r="H160" s="869"/>
      <c r="I160" s="869"/>
      <c r="J160" s="869"/>
    </row>
    <row r="161" spans="1:10" ht="26.25">
      <c r="A161" s="242" t="s">
        <v>92</v>
      </c>
      <c r="B161" s="243"/>
      <c r="C161" s="243"/>
      <c r="D161" s="244" t="s">
        <v>180</v>
      </c>
      <c r="E161" s="95">
        <f>'9'!F161</f>
        <v>509890.44</v>
      </c>
      <c r="F161" s="235">
        <v>510114.76</v>
      </c>
      <c r="G161" s="238">
        <f t="shared" ref="G161:G165" si="13">F161-E161</f>
        <v>224.32000000000698</v>
      </c>
      <c r="H161" s="99">
        <f>G161+'9'!H161</f>
        <v>1731.4400000000023</v>
      </c>
      <c r="I161" s="236"/>
      <c r="J161" s="239">
        <f>H161/DAY(B2)</f>
        <v>173.14400000000023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'9'!F162</f>
        <v>1077</v>
      </c>
      <c r="F162" s="235">
        <v>1117</v>
      </c>
      <c r="G162" s="238">
        <f t="shared" si="13"/>
        <v>40</v>
      </c>
      <c r="H162" s="99">
        <f>G162+'9'!H162</f>
        <v>345.4</v>
      </c>
      <c r="I162" s="236"/>
      <c r="J162" s="239">
        <f>H162/DAY(B2)</f>
        <v>34.54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'9'!F163</f>
        <v>0</v>
      </c>
      <c r="F163" s="235">
        <v>0</v>
      </c>
      <c r="G163" s="238">
        <f t="shared" si="13"/>
        <v>0</v>
      </c>
      <c r="H163" s="99">
        <f>G163+'9'!H163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'9'!F164</f>
        <v>7235.9</v>
      </c>
      <c r="F164" s="235">
        <v>7240</v>
      </c>
      <c r="G164" s="238">
        <f t="shared" si="13"/>
        <v>4.1000000000003638</v>
      </c>
      <c r="H164" s="99">
        <f>G164+'9'!H164</f>
        <v>41</v>
      </c>
      <c r="I164" s="236"/>
      <c r="J164" s="239">
        <f>H164/DAY(B2)</f>
        <v>4.0999999999999996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'9'!F165</f>
        <v>32833</v>
      </c>
      <c r="F165" s="235">
        <v>32841.72</v>
      </c>
      <c r="G165" s="238">
        <f t="shared" si="13"/>
        <v>8.7200000000011642</v>
      </c>
      <c r="H165" s="99">
        <f>G165+'9'!H165</f>
        <v>61.631999999997788</v>
      </c>
      <c r="I165" s="236"/>
      <c r="J165" s="239">
        <f>H165/DAY(B2)</f>
        <v>6.1631999999997786</v>
      </c>
    </row>
    <row r="166" spans="1:10" ht="26.25">
      <c r="A166" s="870"/>
      <c r="B166" s="870"/>
      <c r="C166" s="246"/>
      <c r="D166" s="244" t="s">
        <v>180</v>
      </c>
      <c r="E166" s="95">
        <f>'9'!F166</f>
        <v>0</v>
      </c>
      <c r="F166" s="165"/>
      <c r="G166" s="165"/>
      <c r="H166" s="99">
        <f>G166+'9'!H166</f>
        <v>0</v>
      </c>
      <c r="I166" s="165"/>
      <c r="J166" s="239">
        <f>H166/DAY(B2)</f>
        <v>0</v>
      </c>
    </row>
    <row r="167" spans="1:10" ht="26.25">
      <c r="A167" s="870"/>
      <c r="B167" s="870"/>
      <c r="C167" s="246"/>
      <c r="D167" s="244" t="s">
        <v>180</v>
      </c>
      <c r="E167" s="95">
        <f>'9'!F167</f>
        <v>0</v>
      </c>
      <c r="F167" s="165"/>
      <c r="G167" s="165"/>
      <c r="H167" s="99">
        <f>G167+'9'!H167</f>
        <v>0</v>
      </c>
      <c r="I167" s="165"/>
      <c r="J167" s="239">
        <f>H167/DAY(B2)</f>
        <v>0</v>
      </c>
    </row>
    <row r="168" spans="1:10" ht="26.25">
      <c r="A168" s="870"/>
      <c r="B168" s="870"/>
      <c r="C168" s="246"/>
      <c r="D168" s="244" t="s">
        <v>180</v>
      </c>
      <c r="E168" s="95">
        <f>'9'!F168</f>
        <v>0</v>
      </c>
      <c r="F168" s="165"/>
      <c r="G168" s="165"/>
      <c r="H168" s="99">
        <f>G168+'9'!H168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71" t="s">
        <v>330</v>
      </c>
      <c r="B171" s="872"/>
      <c r="C171" s="872"/>
      <c r="D171" s="872"/>
      <c r="E171" s="872"/>
      <c r="F171" s="872"/>
      <c r="G171" s="872"/>
      <c r="H171" s="872"/>
      <c r="I171" s="872"/>
      <c r="J171" s="873"/>
    </row>
    <row r="172" spans="1:10" ht="25.5">
      <c r="A172" s="878"/>
      <c r="B172" s="879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789" t="s">
        <v>209</v>
      </c>
      <c r="B173" s="790"/>
      <c r="C173" s="333"/>
      <c r="D173" s="228" t="s">
        <v>142</v>
      </c>
      <c r="E173" s="95">
        <f>'9'!F173</f>
        <v>8622</v>
      </c>
      <c r="F173" s="155">
        <v>8624</v>
      </c>
      <c r="G173" s="155">
        <f>F173-E173</f>
        <v>2</v>
      </c>
      <c r="H173" s="99">
        <f>G173+'9'!H173</f>
        <v>12</v>
      </c>
      <c r="I173" s="155"/>
      <c r="J173" s="178">
        <f>H173/DAY(B2)</f>
        <v>1.2</v>
      </c>
    </row>
    <row r="174" spans="1:10" ht="34.5" customHeight="1">
      <c r="A174" s="789" t="s">
        <v>75</v>
      </c>
      <c r="B174" s="790"/>
      <c r="C174" s="333"/>
      <c r="D174" s="228" t="s">
        <v>142</v>
      </c>
      <c r="E174" s="95">
        <f>'9'!F174</f>
        <v>43155</v>
      </c>
      <c r="F174" s="157">
        <v>43166</v>
      </c>
      <c r="G174" s="157">
        <f t="shared" ref="G174:G175" si="14">F174-E174</f>
        <v>11</v>
      </c>
      <c r="H174" s="99">
        <f>G174+'9'!H174</f>
        <v>116</v>
      </c>
      <c r="I174" s="155"/>
      <c r="J174" s="178">
        <f>H174/DAY(B2)</f>
        <v>11.6</v>
      </c>
    </row>
    <row r="175" spans="1:10" ht="31.5" customHeight="1">
      <c r="A175" s="789" t="s">
        <v>76</v>
      </c>
      <c r="B175" s="802"/>
      <c r="C175" s="790"/>
      <c r="D175" s="228" t="s">
        <v>142</v>
      </c>
      <c r="E175" s="95">
        <f>'9'!F175</f>
        <v>25955</v>
      </c>
      <c r="F175" s="155">
        <v>25969</v>
      </c>
      <c r="G175" s="155">
        <f t="shared" si="14"/>
        <v>14</v>
      </c>
      <c r="H175" s="99">
        <f>G175+'9'!H175</f>
        <v>148</v>
      </c>
      <c r="I175" s="155"/>
      <c r="J175" s="178">
        <f>H175/DAY(B2)</f>
        <v>14.8</v>
      </c>
    </row>
    <row r="176" spans="1:10" ht="21.75" customHeight="1">
      <c r="A176" s="787" t="s">
        <v>196</v>
      </c>
      <c r="B176" s="788"/>
      <c r="C176" s="333"/>
      <c r="D176" s="228"/>
      <c r="E176" s="95"/>
      <c r="F176" s="155"/>
      <c r="G176" s="155">
        <f>SUM(G173:G175)</f>
        <v>27</v>
      </c>
      <c r="H176" s="99">
        <f>G176+'9'!H176</f>
        <v>276</v>
      </c>
      <c r="I176" s="155"/>
      <c r="J176" s="178">
        <f>H176/DAY(B2)</f>
        <v>27.6</v>
      </c>
    </row>
    <row r="177" spans="1:10" ht="27.75" customHeight="1">
      <c r="A177" s="789" t="s">
        <v>77</v>
      </c>
      <c r="B177" s="790"/>
      <c r="C177" s="333"/>
      <c r="D177" s="228" t="s">
        <v>142</v>
      </c>
      <c r="E177" s="95"/>
      <c r="F177" s="155"/>
      <c r="G177" s="155"/>
      <c r="H177" s="99">
        <f>G177+'9'!H177</f>
        <v>0</v>
      </c>
      <c r="I177" s="155"/>
      <c r="J177" s="178">
        <f>H177/DAY(B2)</f>
        <v>0</v>
      </c>
    </row>
    <row r="178" spans="1:10" ht="21.75" customHeight="1">
      <c r="A178" s="789" t="s">
        <v>210</v>
      </c>
      <c r="B178" s="790"/>
      <c r="C178" s="333"/>
      <c r="D178" s="228" t="s">
        <v>142</v>
      </c>
      <c r="E178" s="95">
        <f>'9'!F178</f>
        <v>108029</v>
      </c>
      <c r="F178" s="155">
        <v>108158</v>
      </c>
      <c r="G178" s="155">
        <f>F178-E178</f>
        <v>129</v>
      </c>
      <c r="H178" s="99">
        <f>G178+'9'!H178</f>
        <v>1159</v>
      </c>
      <c r="I178" s="155"/>
      <c r="J178" s="178">
        <f>H178/DAY(B2)</f>
        <v>115.9</v>
      </c>
    </row>
    <row r="179" spans="1:10" ht="27.75" customHeight="1">
      <c r="A179" s="789" t="s">
        <v>211</v>
      </c>
      <c r="B179" s="790"/>
      <c r="C179" s="333"/>
      <c r="D179" s="228" t="s">
        <v>142</v>
      </c>
      <c r="E179" s="95">
        <f>'9'!F179</f>
        <v>37501</v>
      </c>
      <c r="F179" s="155">
        <v>37501</v>
      </c>
      <c r="G179" s="155">
        <f t="shared" ref="G179:G180" si="15">F179-E179</f>
        <v>0</v>
      </c>
      <c r="H179" s="99">
        <f>G179+'9'!H179</f>
        <v>0</v>
      </c>
      <c r="I179" s="155"/>
      <c r="J179" s="178">
        <f>H179/DAY(B2)</f>
        <v>0</v>
      </c>
    </row>
    <row r="180" spans="1:10" ht="25.5">
      <c r="A180" s="789" t="s">
        <v>212</v>
      </c>
      <c r="B180" s="790"/>
      <c r="C180" s="333"/>
      <c r="D180" s="228" t="s">
        <v>142</v>
      </c>
      <c r="E180" s="95">
        <f>'9'!F180</f>
        <v>7599</v>
      </c>
      <c r="F180" s="155">
        <v>7599</v>
      </c>
      <c r="G180" s="155">
        <f t="shared" si="15"/>
        <v>0</v>
      </c>
      <c r="H180" s="99">
        <f>G180+'9'!H180</f>
        <v>36</v>
      </c>
      <c r="I180" s="155"/>
      <c r="J180" s="178">
        <f>H180/DAY(B2)</f>
        <v>3.6</v>
      </c>
    </row>
    <row r="181" spans="1:10" ht="25.5">
      <c r="A181" s="876" t="s">
        <v>108</v>
      </c>
      <c r="B181" s="877"/>
      <c r="C181" s="333"/>
      <c r="D181" s="228"/>
      <c r="E181" s="95"/>
      <c r="F181" s="155"/>
      <c r="G181" s="155">
        <f>SUM(G178:G180)</f>
        <v>129</v>
      </c>
      <c r="H181" s="99">
        <f>G181+'9'!H181</f>
        <v>1195</v>
      </c>
      <c r="I181" s="155"/>
      <c r="J181" s="178">
        <f>H181/DAY(B2)</f>
        <v>119.5</v>
      </c>
    </row>
    <row r="182" spans="1:10" ht="25.5">
      <c r="A182" s="789" t="s">
        <v>213</v>
      </c>
      <c r="B182" s="790"/>
      <c r="C182" s="333"/>
      <c r="D182" s="228"/>
      <c r="E182" s="95"/>
      <c r="F182" s="155"/>
      <c r="G182" s="155"/>
      <c r="H182" s="99">
        <f>G182+'9'!H182</f>
        <v>0</v>
      </c>
      <c r="I182" s="155"/>
      <c r="J182" s="178">
        <f>H182/DAY(B2)</f>
        <v>0</v>
      </c>
    </row>
    <row r="183" spans="1:10" ht="25.5">
      <c r="A183" s="789" t="s">
        <v>214</v>
      </c>
      <c r="B183" s="790"/>
      <c r="C183" s="334"/>
      <c r="D183" s="228" t="s">
        <v>142</v>
      </c>
      <c r="E183" s="95">
        <f>'9'!F183</f>
        <v>18440</v>
      </c>
      <c r="F183" s="157">
        <v>18444</v>
      </c>
      <c r="G183" s="157">
        <f>F183-E183</f>
        <v>4</v>
      </c>
      <c r="H183" s="99">
        <f>G183+'9'!H183</f>
        <v>66</v>
      </c>
      <c r="I183" s="155"/>
      <c r="J183" s="178">
        <f>H183/DAY(B2)</f>
        <v>6.6</v>
      </c>
    </row>
    <row r="184" spans="1:10" ht="25.5">
      <c r="A184" s="789" t="s">
        <v>215</v>
      </c>
      <c r="B184" s="790"/>
      <c r="C184" s="334"/>
      <c r="D184" s="228" t="s">
        <v>142</v>
      </c>
      <c r="E184" s="95">
        <f>'9'!F184</f>
        <v>13078</v>
      </c>
      <c r="F184" s="157">
        <v>13086</v>
      </c>
      <c r="G184" s="157">
        <f t="shared" ref="G184:G185" si="16">F184-E184</f>
        <v>8</v>
      </c>
      <c r="H184" s="99">
        <f>G184+'9'!H184</f>
        <v>106</v>
      </c>
      <c r="I184" s="155"/>
      <c r="J184" s="178">
        <f>H184/DAY(B2)</f>
        <v>10.6</v>
      </c>
    </row>
    <row r="185" spans="1:10" ht="37.5" customHeight="1">
      <c r="A185" s="789" t="s">
        <v>216</v>
      </c>
      <c r="B185" s="790"/>
      <c r="C185" s="334"/>
      <c r="D185" s="228" t="s">
        <v>142</v>
      </c>
      <c r="E185" s="95">
        <f>'9'!F185</f>
        <v>0</v>
      </c>
      <c r="F185" s="157">
        <v>0</v>
      </c>
      <c r="G185" s="157">
        <f t="shared" si="16"/>
        <v>0</v>
      </c>
      <c r="H185" s="99">
        <f>G185+'9'!H185</f>
        <v>0</v>
      </c>
      <c r="I185" s="155"/>
      <c r="J185" s="178">
        <f>H185/DAY(B2)</f>
        <v>0</v>
      </c>
    </row>
    <row r="186" spans="1:10" ht="26.25" customHeight="1">
      <c r="A186" s="787" t="s">
        <v>196</v>
      </c>
      <c r="B186" s="788"/>
      <c r="C186" s="334"/>
      <c r="D186" s="229"/>
      <c r="E186" s="95"/>
      <c r="F186" s="157"/>
      <c r="G186" s="157">
        <f>SUM(G183:G185)</f>
        <v>12</v>
      </c>
      <c r="H186" s="99">
        <f>G186+'9'!H186</f>
        <v>172</v>
      </c>
      <c r="I186" s="157"/>
      <c r="J186" s="178">
        <f>H186/DAY(B2)</f>
        <v>17.2</v>
      </c>
    </row>
    <row r="187" spans="1:10" ht="21.75" customHeight="1">
      <c r="A187" s="867" t="s">
        <v>217</v>
      </c>
      <c r="B187" s="868"/>
      <c r="C187" s="333"/>
      <c r="D187" s="230" t="s">
        <v>142</v>
      </c>
      <c r="E187" s="95"/>
      <c r="F187" s="159"/>
      <c r="G187" s="423">
        <f>G62+G19</f>
        <v>189.39999999996508</v>
      </c>
      <c r="H187" s="99">
        <f>G187+'9'!H187</f>
        <v>1724.2999999999884</v>
      </c>
      <c r="I187" s="158"/>
      <c r="J187" s="179">
        <f>H187/DAY(B2)</f>
        <v>172.42999999999884</v>
      </c>
    </row>
    <row r="188" spans="1:10" ht="21.75" customHeight="1">
      <c r="A188" s="867" t="s">
        <v>218</v>
      </c>
      <c r="B188" s="868"/>
      <c r="C188" s="333"/>
      <c r="D188" s="230" t="s">
        <v>142</v>
      </c>
      <c r="E188" s="95"/>
      <c r="F188" s="159"/>
      <c r="G188" s="423">
        <f>G65+G66+G67+G69+G70</f>
        <v>193</v>
      </c>
      <c r="H188" s="99">
        <f>G188+'9'!H188</f>
        <v>2667</v>
      </c>
      <c r="I188" s="158"/>
      <c r="J188" s="179">
        <f>H188/DAY(B2)</f>
        <v>266.7</v>
      </c>
    </row>
    <row r="189" spans="1:10" ht="21.75" customHeight="1">
      <c r="A189" s="867" t="s">
        <v>219</v>
      </c>
      <c r="B189" s="868"/>
      <c r="C189" s="333"/>
      <c r="D189" s="230" t="s">
        <v>142</v>
      </c>
      <c r="E189" s="95"/>
      <c r="F189" s="157"/>
      <c r="G189" s="420">
        <f>G181</f>
        <v>129</v>
      </c>
      <c r="H189" s="99">
        <f>G189+'9'!H189</f>
        <v>1195</v>
      </c>
      <c r="I189" s="158"/>
      <c r="J189" s="179">
        <f>H189/DAY(B2)</f>
        <v>119.5</v>
      </c>
    </row>
    <row r="190" spans="1:10" ht="27" customHeight="1">
      <c r="A190" s="874"/>
      <c r="B190" s="875"/>
      <c r="C190" s="390"/>
      <c r="D190" s="395"/>
      <c r="E190" s="395" t="s">
        <v>207</v>
      </c>
      <c r="F190" s="395"/>
      <c r="G190" s="395"/>
      <c r="H190" s="396"/>
      <c r="I190" s="395"/>
      <c r="J190" s="397"/>
    </row>
    <row r="191" spans="1:10" ht="21.75" customHeight="1"/>
    <row r="192" spans="1:10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36.75" customHeight="1"/>
    <row r="203" ht="26.25"/>
    <row r="204" ht="26.25"/>
    <row r="205" ht="26.25"/>
    <row r="206" ht="26.25"/>
    <row r="207" ht="26.25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35:B135"/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81:C81"/>
    <mergeCell ref="A78:C78"/>
    <mergeCell ref="A73:C73"/>
    <mergeCell ref="A74:C74"/>
    <mergeCell ref="A75:C75"/>
    <mergeCell ref="A72:B72"/>
    <mergeCell ref="A114:C114"/>
    <mergeCell ref="A102:C102"/>
    <mergeCell ref="A123:C123"/>
    <mergeCell ref="A103:C103"/>
    <mergeCell ref="A104:C104"/>
    <mergeCell ref="A109:B109"/>
    <mergeCell ref="A105:C105"/>
    <mergeCell ref="A108:J108"/>
    <mergeCell ref="A93:C93"/>
    <mergeCell ref="A33:C33"/>
    <mergeCell ref="A61:C61"/>
    <mergeCell ref="A62:C62"/>
    <mergeCell ref="A63:C63"/>
    <mergeCell ref="A71:C71"/>
    <mergeCell ref="A76:C76"/>
    <mergeCell ref="A77:C77"/>
    <mergeCell ref="A79:C79"/>
    <mergeCell ref="A80:C80"/>
    <mergeCell ref="A64:C64"/>
    <mergeCell ref="A65:C65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94:C94"/>
    <mergeCell ref="A95:C95"/>
    <mergeCell ref="A96:C96"/>
    <mergeCell ref="A97:C97"/>
    <mergeCell ref="A98:C98"/>
    <mergeCell ref="A99:C99"/>
    <mergeCell ref="A100:C100"/>
    <mergeCell ref="A101:C101"/>
    <mergeCell ref="A118:C118"/>
    <mergeCell ref="A110:J110"/>
    <mergeCell ref="A111:C111"/>
    <mergeCell ref="A112:C112"/>
    <mergeCell ref="A113:C113"/>
    <mergeCell ref="Q118:R118"/>
    <mergeCell ref="A119:C119"/>
    <mergeCell ref="A120:C120"/>
    <mergeCell ref="A121:C121"/>
    <mergeCell ref="A115:C115"/>
    <mergeCell ref="A116:C116"/>
    <mergeCell ref="Q116:R116"/>
    <mergeCell ref="A117:C117"/>
    <mergeCell ref="Q117:R117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9:B189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3:B183"/>
    <mergeCell ref="A181:B181"/>
    <mergeCell ref="A182:B182"/>
    <mergeCell ref="A175:C175"/>
    <mergeCell ref="A168:B168"/>
    <mergeCell ref="A171:J171"/>
    <mergeCell ref="A172:B172"/>
    <mergeCell ref="A173:B173"/>
    <mergeCell ref="A174:B174"/>
  </mergeCells>
  <pageMargins left="0.22" right="0.17" top="0.14000000000000001" bottom="0.2" header="0.2" footer="0.2"/>
  <pageSetup paperSize="5" scale="2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R190"/>
  <sheetViews>
    <sheetView topLeftCell="A52" zoomScale="55" zoomScaleNormal="55" workbookViewId="0">
      <selection activeCell="F162" sqref="F162"/>
    </sheetView>
  </sheetViews>
  <sheetFormatPr defaultColWidth="22.33203125" defaultRowHeight="30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0.75" customHeight="1">
      <c r="A1" s="919" t="s">
        <v>115</v>
      </c>
      <c r="B1" s="920"/>
      <c r="C1" s="920"/>
      <c r="D1" s="920"/>
      <c r="E1" s="920"/>
      <c r="F1" s="920"/>
      <c r="G1" s="920"/>
      <c r="H1" s="920"/>
      <c r="I1" s="920"/>
      <c r="J1" s="921"/>
    </row>
    <row r="2" spans="1:16" s="57" customFormat="1" ht="30.75" customHeight="1">
      <c r="A2" s="191" t="s">
        <v>373</v>
      </c>
      <c r="B2" s="262">
        <v>44937</v>
      </c>
      <c r="C2" s="348" t="s">
        <v>67</v>
      </c>
      <c r="D2" s="218">
        <v>0.5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30.75" customHeight="1">
      <c r="A3" s="189"/>
      <c r="B3" s="221"/>
      <c r="C3" s="348" t="s">
        <v>118</v>
      </c>
      <c r="D3" s="219">
        <v>31</v>
      </c>
      <c r="E3" s="928" t="s">
        <v>119</v>
      </c>
      <c r="F3" s="929"/>
      <c r="G3" s="101"/>
      <c r="H3" s="102"/>
      <c r="I3" s="102"/>
      <c r="J3" s="222"/>
      <c r="K3" s="61"/>
      <c r="L3" s="58"/>
    </row>
    <row r="4" spans="1:16" s="57" customFormat="1" ht="30.75" customHeight="1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6" ht="30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30.75" customHeight="1">
      <c r="A6" s="922" t="s">
        <v>128</v>
      </c>
      <c r="B6" s="923"/>
      <c r="C6" s="924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.75" customHeight="1" thickBot="1">
      <c r="A7" s="194" t="s">
        <v>129</v>
      </c>
      <c r="B7" s="195"/>
      <c r="C7" s="195"/>
      <c r="D7" s="151" t="s">
        <v>130</v>
      </c>
      <c r="E7" s="95">
        <f>'10'!F7</f>
        <v>186559</v>
      </c>
      <c r="F7" s="95">
        <v>208291</v>
      </c>
      <c r="G7" s="112">
        <f>F7-E7</f>
        <v>21732</v>
      </c>
      <c r="H7" s="99">
        <f>G7+'10'!H7</f>
        <v>230672</v>
      </c>
      <c r="I7" s="113">
        <f>'1'!I7</f>
        <v>12000</v>
      </c>
      <c r="J7" s="175">
        <f>H7/DAY(B2)</f>
        <v>20970.18181818182</v>
      </c>
      <c r="K7" s="172">
        <v>1375467</v>
      </c>
      <c r="L7" s="66"/>
      <c r="N7" s="87"/>
      <c r="O7" s="71"/>
    </row>
    <row r="8" spans="1:16" ht="30.75" customHeight="1" thickBot="1">
      <c r="A8" s="196" t="s">
        <v>131</v>
      </c>
      <c r="B8" s="197"/>
      <c r="C8" s="198"/>
      <c r="D8" s="224" t="s">
        <v>24</v>
      </c>
      <c r="E8" s="95">
        <f>'10'!F8</f>
        <v>370199</v>
      </c>
      <c r="F8" s="114">
        <v>391983</v>
      </c>
      <c r="G8" s="115">
        <f>F8-E8</f>
        <v>21784</v>
      </c>
      <c r="H8" s="99">
        <f>G8+'10'!H8</f>
        <v>234126</v>
      </c>
      <c r="I8" s="116"/>
      <c r="J8" s="175">
        <f>H8/DAY(B2)</f>
        <v>21284.18181818182</v>
      </c>
      <c r="K8" s="172">
        <v>1715917</v>
      </c>
      <c r="L8" s="76">
        <v>1728480</v>
      </c>
      <c r="M8" s="87">
        <f>L8-K8</f>
        <v>12563</v>
      </c>
      <c r="N8" s="87"/>
      <c r="O8" s="71">
        <f>4500/60</f>
        <v>75</v>
      </c>
      <c r="P8" s="65">
        <f>O8*12</f>
        <v>900</v>
      </c>
    </row>
    <row r="9" spans="1:16" ht="30.75" customHeight="1">
      <c r="A9" s="199" t="s">
        <v>132</v>
      </c>
      <c r="B9" s="200"/>
      <c r="C9" s="200"/>
      <c r="D9" s="151" t="s">
        <v>130</v>
      </c>
      <c r="E9" s="95">
        <f>'10'!F9</f>
        <v>4576375.9000000004</v>
      </c>
      <c r="F9" s="468">
        <v>4592531.9000000004</v>
      </c>
      <c r="G9" s="112">
        <f>F9-E9</f>
        <v>16156</v>
      </c>
      <c r="H9" s="99">
        <f>G9+'10'!H9</f>
        <v>175926</v>
      </c>
      <c r="I9" s="124">
        <f>I7-J7</f>
        <v>-8970.1818181818198</v>
      </c>
      <c r="J9" s="175">
        <f>H9/DAY(B2)</f>
        <v>15993.272727272728</v>
      </c>
      <c r="K9" s="79">
        <f>K8-100</f>
        <v>1715817</v>
      </c>
      <c r="L9" s="66"/>
      <c r="N9" s="87"/>
      <c r="O9" s="71"/>
    </row>
    <row r="10" spans="1:16" ht="30.75" customHeight="1">
      <c r="A10" s="194" t="s">
        <v>133</v>
      </c>
      <c r="B10" s="195"/>
      <c r="C10" s="195"/>
      <c r="D10" s="151" t="s">
        <v>130</v>
      </c>
      <c r="E10" s="95">
        <f>'10'!F10</f>
        <v>4115254.3</v>
      </c>
      <c r="F10" s="353">
        <v>4119844.3</v>
      </c>
      <c r="G10" s="112">
        <f t="shared" ref="G10:G12" si="0">F10-E10</f>
        <v>4590</v>
      </c>
      <c r="H10" s="99">
        <f>G10+'10'!H10</f>
        <v>49808</v>
      </c>
      <c r="I10" s="282"/>
      <c r="J10" s="175">
        <f>H10/DAY(B2)</f>
        <v>4528</v>
      </c>
      <c r="K10" s="79"/>
      <c r="L10" s="66"/>
      <c r="N10" s="87"/>
      <c r="O10" s="71"/>
    </row>
    <row r="11" spans="1:16" ht="30.75" customHeight="1">
      <c r="A11" s="194" t="s">
        <v>134</v>
      </c>
      <c r="B11" s="195"/>
      <c r="C11" s="195"/>
      <c r="D11" s="151" t="s">
        <v>130</v>
      </c>
      <c r="E11" s="95">
        <f>'10'!F11</f>
        <v>38700</v>
      </c>
      <c r="F11" s="95">
        <v>38700</v>
      </c>
      <c r="G11" s="112">
        <f t="shared" si="0"/>
        <v>0</v>
      </c>
      <c r="H11" s="99">
        <f>G11+'10'!H11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30.75" customHeight="1">
      <c r="A12" s="194" t="s">
        <v>135</v>
      </c>
      <c r="B12" s="195"/>
      <c r="C12" s="195"/>
      <c r="D12" s="151" t="s">
        <v>130</v>
      </c>
      <c r="E12" s="95">
        <f>'10'!F12</f>
        <v>40550</v>
      </c>
      <c r="F12" s="117">
        <v>40550</v>
      </c>
      <c r="G12" s="112">
        <f t="shared" si="0"/>
        <v>0</v>
      </c>
      <c r="H12" s="99">
        <f>G12+'10'!H12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30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20746</v>
      </c>
      <c r="H13" s="99">
        <f>G13+'10'!H13</f>
        <v>225734</v>
      </c>
      <c r="I13" s="120">
        <f>G7-G13</f>
        <v>986</v>
      </c>
      <c r="J13" s="175">
        <f>H13/DAY(B2)</f>
        <v>20521.272727272728</v>
      </c>
      <c r="K13" s="79"/>
      <c r="L13" s="66"/>
      <c r="N13" s="87"/>
      <c r="O13" s="71"/>
    </row>
    <row r="14" spans="1:16" ht="30.75" customHeight="1">
      <c r="A14" s="925" t="s">
        <v>137</v>
      </c>
      <c r="B14" s="926"/>
      <c r="C14" s="92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30.75" customHeight="1">
      <c r="A15" s="345" t="s">
        <v>138</v>
      </c>
      <c r="B15" s="205"/>
      <c r="C15" s="205"/>
      <c r="D15" s="151" t="s">
        <v>139</v>
      </c>
      <c r="E15" s="95">
        <f>'10'!F15</f>
        <v>2264540</v>
      </c>
      <c r="F15" s="468">
        <v>2265706.4580000001</v>
      </c>
      <c r="G15" s="112">
        <f>(F15-E15)</f>
        <v>1166.4580000001006</v>
      </c>
      <c r="H15" s="99">
        <f>G15+'10'!H15</f>
        <v>12405.100000000093</v>
      </c>
      <c r="I15" s="113">
        <f>'1'!I15</f>
        <v>800</v>
      </c>
      <c r="J15" s="175">
        <f>H15/DAY(B2)</f>
        <v>1127.7363636363721</v>
      </c>
      <c r="K15" s="79"/>
      <c r="L15" s="66"/>
      <c r="N15" s="87"/>
      <c r="O15" s="71"/>
    </row>
    <row r="16" spans="1:16" ht="30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-327.73636363637206</v>
      </c>
      <c r="J16" s="176"/>
      <c r="K16" s="79"/>
      <c r="L16" s="66"/>
      <c r="N16" s="87"/>
      <c r="O16" s="71"/>
    </row>
    <row r="17" spans="1:15" ht="30.75" customHeight="1">
      <c r="A17" s="925" t="s">
        <v>140</v>
      </c>
      <c r="B17" s="926"/>
      <c r="C17" s="92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>
      <c r="A18" s="902" t="s">
        <v>141</v>
      </c>
      <c r="B18" s="903"/>
      <c r="C18" s="904"/>
      <c r="D18" s="151" t="s">
        <v>142</v>
      </c>
      <c r="E18" s="95">
        <f>'10'!F18</f>
        <v>20</v>
      </c>
      <c r="F18" s="122">
        <v>26</v>
      </c>
      <c r="G18" s="119">
        <f>F18*10</f>
        <v>260</v>
      </c>
      <c r="H18" s="99">
        <f>G18+'10'!H18</f>
        <v>2330</v>
      </c>
      <c r="I18" s="113">
        <f>'1'!I18</f>
        <v>65</v>
      </c>
      <c r="J18" s="175">
        <f>H18/DAY(B2)</f>
        <v>211.81818181818181</v>
      </c>
      <c r="K18" s="79"/>
      <c r="L18" s="66"/>
      <c r="N18" s="87"/>
      <c r="O18" s="71"/>
    </row>
    <row r="19" spans="1:15" ht="30.75" customHeight="1">
      <c r="A19" s="902" t="s">
        <v>69</v>
      </c>
      <c r="B19" s="903"/>
      <c r="C19" s="904"/>
      <c r="D19" s="151" t="s">
        <v>142</v>
      </c>
      <c r="E19" s="95">
        <f>'10'!F19</f>
        <v>170146</v>
      </c>
      <c r="F19" s="122">
        <v>170196</v>
      </c>
      <c r="G19" s="112">
        <f t="shared" ref="G19" si="1">F19-E19</f>
        <v>50</v>
      </c>
      <c r="H19" s="99">
        <f>G19+'10'!H19</f>
        <v>636</v>
      </c>
      <c r="I19" s="335"/>
      <c r="J19" s="175">
        <f>H19/DAY(B2)</f>
        <v>57.81818181818182</v>
      </c>
      <c r="K19" s="79"/>
      <c r="L19" s="66"/>
      <c r="N19" s="87"/>
      <c r="O19" s="71"/>
    </row>
    <row r="20" spans="1:15" ht="30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310</v>
      </c>
      <c r="H20" s="99">
        <f>G20+'10'!H20</f>
        <v>2966</v>
      </c>
      <c r="I20" s="336">
        <f>I18-J20</f>
        <v>-204.63636363636363</v>
      </c>
      <c r="J20" s="175">
        <f>H20/DAY(B2)</f>
        <v>269.63636363636363</v>
      </c>
      <c r="K20" s="79"/>
      <c r="L20" s="66"/>
      <c r="N20" s="87"/>
      <c r="O20" s="71"/>
    </row>
    <row r="21" spans="1:15" ht="30.75" customHeight="1">
      <c r="A21" s="925" t="s">
        <v>144</v>
      </c>
      <c r="B21" s="926"/>
      <c r="C21" s="92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>
      <c r="A22" s="345" t="s">
        <v>145</v>
      </c>
      <c r="B22" s="205"/>
      <c r="C22" s="205"/>
      <c r="D22" s="151" t="s">
        <v>146</v>
      </c>
      <c r="E22" s="95">
        <f>'10'!F22</f>
        <v>2970</v>
      </c>
      <c r="F22" s="122">
        <v>2970</v>
      </c>
      <c r="G22" s="119">
        <f t="shared" ref="G22" si="2">(F22-E22)</f>
        <v>0</v>
      </c>
      <c r="H22" s="99">
        <f>G22+'10'!H22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>
      <c r="A23" s="345" t="s">
        <v>147</v>
      </c>
      <c r="B23" s="205"/>
      <c r="C23" s="205"/>
      <c r="D23" s="151" t="s">
        <v>146</v>
      </c>
      <c r="E23" s="95">
        <f>'10'!F23</f>
        <v>2000</v>
      </c>
      <c r="F23" s="122">
        <v>2000</v>
      </c>
      <c r="G23" s="119">
        <v>0</v>
      </c>
      <c r="H23" s="99">
        <f>G23+'10'!H23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>
      <c r="A24" s="206" t="s">
        <v>148</v>
      </c>
      <c r="B24" s="207"/>
      <c r="C24" s="207"/>
      <c r="D24" s="146" t="s">
        <v>146</v>
      </c>
      <c r="E24" s="95">
        <f>'10'!F24</f>
        <v>4970</v>
      </c>
      <c r="F24" s="128">
        <v>4970</v>
      </c>
      <c r="G24" s="119">
        <v>0</v>
      </c>
      <c r="H24" s="99">
        <f>G24+'10'!H24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>
      <c r="A25" s="930" t="s">
        <v>149</v>
      </c>
      <c r="B25" s="931"/>
      <c r="C25" s="93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>
      <c r="A27" s="208" t="s">
        <v>5</v>
      </c>
      <c r="B27" s="209"/>
      <c r="C27" s="210"/>
      <c r="D27" s="226" t="s">
        <v>24</v>
      </c>
      <c r="E27" s="135">
        <f>G8</f>
        <v>21784</v>
      </c>
      <c r="F27" s="136">
        <v>9</v>
      </c>
      <c r="G27" s="137">
        <f>E27*F27</f>
        <v>196056</v>
      </c>
      <c r="H27" s="99">
        <f>G27+'10'!H27</f>
        <v>2213341</v>
      </c>
      <c r="I27" s="138"/>
      <c r="J27" s="175">
        <f>H27/DAY(B2)</f>
        <v>201212.81818181818</v>
      </c>
      <c r="K27" s="63"/>
      <c r="L27" s="89"/>
      <c r="N27" s="87"/>
      <c r="O27" s="71"/>
    </row>
    <row r="28" spans="1:15" s="88" customFormat="1" ht="30.75" customHeight="1">
      <c r="A28" s="208" t="s">
        <v>152</v>
      </c>
      <c r="B28" s="209"/>
      <c r="C28" s="210"/>
      <c r="D28" s="226" t="s">
        <v>153</v>
      </c>
      <c r="E28" s="139">
        <f>G15</f>
        <v>1166.4580000001006</v>
      </c>
      <c r="F28" s="136">
        <v>70</v>
      </c>
      <c r="G28" s="137">
        <f>E28*F28</f>
        <v>81652.060000007041</v>
      </c>
      <c r="H28" s="99">
        <f>G28+'10'!H28</f>
        <v>863670.21000000648</v>
      </c>
      <c r="I28" s="140"/>
      <c r="J28" s="175">
        <f>H28/DAY(B2)</f>
        <v>78515.47363636423</v>
      </c>
      <c r="K28" s="63"/>
      <c r="L28" s="89"/>
      <c r="N28" s="87"/>
      <c r="O28" s="71"/>
    </row>
    <row r="29" spans="1:15" s="88" customFormat="1" ht="30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137">
        <f>E30*F30</f>
        <v>7550</v>
      </c>
      <c r="H30" s="99">
        <f>G30+'10'!H30</f>
        <v>96036</v>
      </c>
      <c r="I30" s="140"/>
      <c r="J30" s="175">
        <f>H30/DAY(B2)</f>
        <v>8730.545454545454</v>
      </c>
      <c r="K30" s="63"/>
      <c r="L30" s="89"/>
      <c r="N30" s="87"/>
      <c r="O30" s="71"/>
    </row>
    <row r="31" spans="1:15" s="88" customFormat="1" ht="30.75" customHeight="1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80</v>
      </c>
      <c r="G31" s="137">
        <f>E31*F31</f>
        <v>20800</v>
      </c>
      <c r="H31" s="99">
        <f>G31+'10'!H31</f>
        <v>190400</v>
      </c>
      <c r="I31" s="140"/>
      <c r="J31" s="175">
        <f>H31/DAY(B2)</f>
        <v>17309.090909090908</v>
      </c>
      <c r="K31" s="63"/>
      <c r="L31" s="89"/>
      <c r="N31" s="87"/>
      <c r="O31" s="71"/>
    </row>
    <row r="32" spans="1:15" s="88" customFormat="1" ht="30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306058.06000000704</v>
      </c>
      <c r="H32" s="99">
        <f>G32+'10'!H32</f>
        <v>3363447.2100000065</v>
      </c>
      <c r="I32" s="144"/>
      <c r="J32" s="175">
        <f>H32/DAY(B2)</f>
        <v>305767.92818181874</v>
      </c>
      <c r="K32" s="63"/>
      <c r="L32" s="89"/>
      <c r="N32" s="87"/>
      <c r="O32" s="71"/>
    </row>
    <row r="33" spans="1:15" ht="30.75" customHeight="1">
      <c r="A33" s="933" t="s">
        <v>331</v>
      </c>
      <c r="B33" s="934"/>
      <c r="C33" s="93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>
      <c r="A35" s="194" t="s">
        <v>161</v>
      </c>
      <c r="B35" s="195"/>
      <c r="C35" s="195"/>
      <c r="D35" s="151" t="s">
        <v>130</v>
      </c>
      <c r="E35" s="95">
        <f>'10'!F35</f>
        <v>480173.73</v>
      </c>
      <c r="F35" s="145">
        <v>482727.87</v>
      </c>
      <c r="G35" s="112">
        <f t="shared" ref="G35:G46" si="3">F35-E35</f>
        <v>2554.140000000014</v>
      </c>
      <c r="H35" s="99">
        <f>G35+'10'!H35</f>
        <v>28209.880000000005</v>
      </c>
      <c r="I35" s="95"/>
      <c r="J35" s="175">
        <f>H35/DAY(B2)</f>
        <v>2564.5345454545459</v>
      </c>
      <c r="K35" s="79"/>
      <c r="L35" s="66"/>
      <c r="N35" s="87"/>
      <c r="O35" s="71"/>
    </row>
    <row r="36" spans="1:15" ht="30.75" customHeight="1">
      <c r="A36" s="194" t="s">
        <v>162</v>
      </c>
      <c r="B36" s="195"/>
      <c r="C36" s="195"/>
      <c r="D36" s="151" t="s">
        <v>130</v>
      </c>
      <c r="E36" s="95">
        <f>'10'!F36</f>
        <v>363169</v>
      </c>
      <c r="F36" s="145">
        <v>363968.27</v>
      </c>
      <c r="G36" s="112">
        <f t="shared" si="3"/>
        <v>799.27000000001863</v>
      </c>
      <c r="H36" s="99">
        <f>G36+'10'!H36</f>
        <v>9879.3699999999953</v>
      </c>
      <c r="I36" s="95"/>
      <c r="J36" s="175">
        <f>H36/DAY(B2)</f>
        <v>898.124545454545</v>
      </c>
      <c r="K36" s="79"/>
      <c r="L36" s="66"/>
      <c r="N36" s="87"/>
      <c r="O36" s="344"/>
    </row>
    <row r="37" spans="1:15" ht="30.75" customHeight="1">
      <c r="A37" s="194" t="s">
        <v>163</v>
      </c>
      <c r="B37" s="195"/>
      <c r="C37" s="195"/>
      <c r="D37" s="151" t="s">
        <v>130</v>
      </c>
      <c r="E37" s="95">
        <f>'10'!F37</f>
        <v>353089.43</v>
      </c>
      <c r="F37" s="145">
        <v>354648.63</v>
      </c>
      <c r="G37" s="112">
        <f t="shared" si="3"/>
        <v>1559.2000000000116</v>
      </c>
      <c r="H37" s="99">
        <f>G37+'10'!H37</f>
        <v>16378.760000000009</v>
      </c>
      <c r="I37" s="95"/>
      <c r="J37" s="175">
        <f>H37/DAY(B2)</f>
        <v>1488.9781818181827</v>
      </c>
      <c r="K37" s="79"/>
      <c r="L37" s="66"/>
      <c r="N37" s="87"/>
      <c r="O37" s="234"/>
    </row>
    <row r="38" spans="1:15" ht="30.75" customHeight="1">
      <c r="A38" s="194" t="s">
        <v>164</v>
      </c>
      <c r="B38" s="195"/>
      <c r="C38" s="195"/>
      <c r="D38" s="151" t="s">
        <v>130</v>
      </c>
      <c r="E38" s="95">
        <f>'10'!F38</f>
        <v>822688.79</v>
      </c>
      <c r="F38" s="108">
        <v>825257.29</v>
      </c>
      <c r="G38" s="112">
        <f t="shared" si="3"/>
        <v>2568.5</v>
      </c>
      <c r="H38" s="99">
        <f>G38+'10'!H38</f>
        <v>25579.940000000061</v>
      </c>
      <c r="I38" s="95"/>
      <c r="J38" s="175">
        <f>H38/DAY(B2)</f>
        <v>2325.4490909090964</v>
      </c>
      <c r="K38" s="79"/>
      <c r="L38" s="66"/>
      <c r="N38" s="87"/>
      <c r="O38" s="71"/>
    </row>
    <row r="39" spans="1:15" ht="30.75" customHeight="1">
      <c r="A39" s="194" t="s">
        <v>165</v>
      </c>
      <c r="B39" s="195"/>
      <c r="C39" s="195"/>
      <c r="D39" s="151" t="s">
        <v>130</v>
      </c>
      <c r="E39" s="95">
        <f>'10'!F39</f>
        <v>648458.87</v>
      </c>
      <c r="F39" s="145">
        <v>651274.67000000004</v>
      </c>
      <c r="G39" s="112">
        <f t="shared" si="3"/>
        <v>2815.8000000000466</v>
      </c>
      <c r="H39" s="99">
        <f>G39+'10'!H39</f>
        <v>30984.670000000042</v>
      </c>
      <c r="I39" s="95"/>
      <c r="J39" s="175">
        <f>H39/DAY(B2)</f>
        <v>2816.7881818181854</v>
      </c>
      <c r="K39" s="79"/>
      <c r="L39" s="66"/>
      <c r="N39" s="87"/>
      <c r="O39" s="71"/>
    </row>
    <row r="40" spans="1:15" ht="30.75" customHeight="1">
      <c r="A40" s="215" t="s">
        <v>166</v>
      </c>
      <c r="B40" s="216"/>
      <c r="C40" s="216"/>
      <c r="D40" s="151" t="s">
        <v>130</v>
      </c>
      <c r="E40" s="95">
        <f>'10'!F40</f>
        <v>212837.7</v>
      </c>
      <c r="F40" s="145">
        <v>213309.45</v>
      </c>
      <c r="G40" s="112">
        <f t="shared" si="3"/>
        <v>471.75</v>
      </c>
      <c r="H40" s="99">
        <f>G40+'10'!H40</f>
        <v>3623.1000000000058</v>
      </c>
      <c r="I40" s="95"/>
      <c r="J40" s="175">
        <f>H40/DAY(B2)</f>
        <v>329.37272727272779</v>
      </c>
      <c r="K40" s="80"/>
      <c r="L40" s="66"/>
      <c r="N40" s="87"/>
      <c r="O40" s="71"/>
    </row>
    <row r="41" spans="1:15" ht="30.75" customHeight="1">
      <c r="A41" s="194" t="s">
        <v>167</v>
      </c>
      <c r="B41" s="195"/>
      <c r="C41" s="195"/>
      <c r="D41" s="151" t="s">
        <v>130</v>
      </c>
      <c r="E41" s="95">
        <f>'10'!F41</f>
        <v>420212.57</v>
      </c>
      <c r="F41" s="145">
        <v>420212.51</v>
      </c>
      <c r="G41" s="112">
        <f t="shared" si="3"/>
        <v>-5.9999999997671694E-2</v>
      </c>
      <c r="H41" s="99">
        <f>G41+'10'!H41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30.75" customHeight="1">
      <c r="A42" s="194" t="s">
        <v>168</v>
      </c>
      <c r="B42" s="195"/>
      <c r="C42" s="195"/>
      <c r="D42" s="151" t="s">
        <v>130</v>
      </c>
      <c r="E42" s="95">
        <f>'10'!F42</f>
        <v>965216.95</v>
      </c>
      <c r="F42" s="145">
        <v>969786.71</v>
      </c>
      <c r="G42" s="112">
        <f t="shared" si="3"/>
        <v>4569.7600000000093</v>
      </c>
      <c r="H42" s="99">
        <f>G42+'10'!H42</f>
        <v>48832.239999999991</v>
      </c>
      <c r="I42" s="95"/>
      <c r="J42" s="175">
        <f>H42/DAY(B2)</f>
        <v>4439.2945454545443</v>
      </c>
      <c r="K42" s="79"/>
      <c r="L42" s="66"/>
      <c r="N42" s="87"/>
      <c r="O42" s="71"/>
    </row>
    <row r="43" spans="1:15" ht="30.75" customHeight="1">
      <c r="A43" s="194" t="s">
        <v>169</v>
      </c>
      <c r="B43" s="195"/>
      <c r="C43" s="195"/>
      <c r="D43" s="151" t="s">
        <v>130</v>
      </c>
      <c r="E43" s="95">
        <f>'10'!F43</f>
        <v>422444</v>
      </c>
      <c r="F43" s="422">
        <v>422444</v>
      </c>
      <c r="G43" s="112">
        <f t="shared" si="3"/>
        <v>0</v>
      </c>
      <c r="H43" s="99">
        <f>G43+'10'!H43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30.75" customHeight="1">
      <c r="A44" s="194" t="s">
        <v>170</v>
      </c>
      <c r="B44" s="195"/>
      <c r="C44" s="195"/>
      <c r="D44" s="151" t="s">
        <v>130</v>
      </c>
      <c r="E44" s="95">
        <f>'10'!F44</f>
        <v>0</v>
      </c>
      <c r="F44" s="145">
        <v>0</v>
      </c>
      <c r="G44" s="112">
        <f t="shared" si="3"/>
        <v>0</v>
      </c>
      <c r="H44" s="99">
        <f>G44+'10'!H44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>
      <c r="A45" s="194" t="s">
        <v>171</v>
      </c>
      <c r="B45" s="195"/>
      <c r="C45" s="195"/>
      <c r="D45" s="151" t="s">
        <v>130</v>
      </c>
      <c r="E45" s="95">
        <f>'10'!F45</f>
        <v>0</v>
      </c>
      <c r="F45" s="145">
        <v>0</v>
      </c>
      <c r="G45" s="112">
        <f t="shared" si="3"/>
        <v>0</v>
      </c>
      <c r="H45" s="99">
        <f>G45+'10'!H45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>
      <c r="A46" s="194" t="s">
        <v>172</v>
      </c>
      <c r="B46" s="195"/>
      <c r="C46" s="195"/>
      <c r="D46" s="151" t="s">
        <v>130</v>
      </c>
      <c r="E46" s="95">
        <f>'10'!F46</f>
        <v>0</v>
      </c>
      <c r="F46" s="145">
        <v>0</v>
      </c>
      <c r="G46" s="112">
        <f t="shared" si="3"/>
        <v>0</v>
      </c>
      <c r="H46" s="99">
        <f>G46+'10'!H46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15338.360000000102</v>
      </c>
      <c r="H47" s="99">
        <f>G47+'10'!H47</f>
        <v>163487.96000000011</v>
      </c>
      <c r="I47" s="95"/>
      <c r="J47" s="175">
        <f>H47/DAY(B2)</f>
        <v>14862.541818181828</v>
      </c>
      <c r="K47" s="79"/>
      <c r="L47" s="66"/>
      <c r="N47" s="87"/>
      <c r="O47" s="71"/>
    </row>
    <row r="48" spans="1:15" ht="30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>
      <c r="A49" s="194" t="s">
        <v>161</v>
      </c>
      <c r="B49" s="217"/>
      <c r="C49" s="217"/>
      <c r="D49" s="151" t="s">
        <v>130</v>
      </c>
      <c r="E49" s="95">
        <f>'10'!F49</f>
        <v>811641.51</v>
      </c>
      <c r="F49" s="145">
        <v>812206.47</v>
      </c>
      <c r="G49" s="112">
        <f t="shared" ref="G49:G58" si="4">F49-E49</f>
        <v>564.95999999996275</v>
      </c>
      <c r="H49" s="99">
        <f>G49+'10'!H49</f>
        <v>5702.3199999999488</v>
      </c>
      <c r="I49" s="95"/>
      <c r="J49" s="175">
        <f>H49/DAY(B2)</f>
        <v>518.3927272727226</v>
      </c>
      <c r="K49" s="79"/>
      <c r="L49" s="66"/>
      <c r="N49" s="87"/>
      <c r="O49" s="71"/>
    </row>
    <row r="50" spans="1:15" ht="30.75" customHeight="1">
      <c r="A50" s="194" t="s">
        <v>175</v>
      </c>
      <c r="B50" s="217"/>
      <c r="C50" s="217"/>
      <c r="D50" s="151" t="s">
        <v>130</v>
      </c>
      <c r="E50" s="95">
        <f>'10'!F50</f>
        <v>515389.55</v>
      </c>
      <c r="F50" s="145">
        <v>516833.51</v>
      </c>
      <c r="G50" s="112">
        <f t="shared" si="4"/>
        <v>1443.960000000021</v>
      </c>
      <c r="H50" s="99">
        <f>G50+'10'!H50</f>
        <v>15680.510000000009</v>
      </c>
      <c r="I50" s="95"/>
      <c r="J50" s="175">
        <f>H50/DAY(B2)</f>
        <v>1425.50090909091</v>
      </c>
      <c r="K50" s="79"/>
      <c r="L50" s="66"/>
      <c r="N50" s="87"/>
      <c r="O50" s="71"/>
    </row>
    <row r="51" spans="1:15" ht="30.75" customHeight="1">
      <c r="A51" s="194" t="s">
        <v>163</v>
      </c>
      <c r="B51" s="217"/>
      <c r="C51" s="217"/>
      <c r="D51" s="151" t="s">
        <v>130</v>
      </c>
      <c r="E51" s="95">
        <f>'10'!F51</f>
        <v>156958.74</v>
      </c>
      <c r="F51" s="145">
        <v>156958.44</v>
      </c>
      <c r="G51" s="112">
        <f t="shared" si="4"/>
        <v>-0.29999999998835847</v>
      </c>
      <c r="H51" s="99">
        <f>G51+'10'!H51</f>
        <v>0.44000000000232831</v>
      </c>
      <c r="I51" s="95"/>
      <c r="J51" s="175">
        <f>H51/DAY(B2)</f>
        <v>4.0000000000211665E-2</v>
      </c>
      <c r="K51" s="79"/>
      <c r="L51" s="66"/>
      <c r="N51" s="87"/>
      <c r="O51" s="71"/>
    </row>
    <row r="52" spans="1:15" ht="30.75" customHeight="1">
      <c r="A52" s="194" t="s">
        <v>176</v>
      </c>
      <c r="B52" s="217"/>
      <c r="C52" s="217"/>
      <c r="D52" s="151" t="s">
        <v>130</v>
      </c>
      <c r="E52" s="95">
        <f>'10'!F52</f>
        <v>9.76</v>
      </c>
      <c r="F52" s="145">
        <v>9.76</v>
      </c>
      <c r="G52" s="112">
        <f t="shared" si="4"/>
        <v>0</v>
      </c>
      <c r="H52" s="99">
        <f>G52+'10'!H52</f>
        <v>-0.24000000000000021</v>
      </c>
      <c r="I52" s="95"/>
      <c r="J52" s="175">
        <f>H52/DAY(B2)</f>
        <v>-2.1818181818181837E-2</v>
      </c>
      <c r="K52" s="79"/>
      <c r="L52" s="66"/>
      <c r="N52" s="87"/>
      <c r="O52" s="71"/>
    </row>
    <row r="53" spans="1:15" ht="30.75" customHeight="1">
      <c r="A53" s="194" t="s">
        <v>165</v>
      </c>
      <c r="B53" s="217"/>
      <c r="C53" s="217"/>
      <c r="D53" s="151" t="s">
        <v>130</v>
      </c>
      <c r="E53" s="95">
        <f>'10'!F53</f>
        <v>630355.03</v>
      </c>
      <c r="F53" s="145">
        <v>630355.09</v>
      </c>
      <c r="G53" s="112">
        <f t="shared" si="4"/>
        <v>5.9999999939464033E-2</v>
      </c>
      <c r="H53" s="99">
        <f>G53+'10'!H53</f>
        <v>5.9999999939464033E-2</v>
      </c>
      <c r="I53" s="95"/>
      <c r="J53" s="175">
        <f>H53/DAY(B2)</f>
        <v>5.4545454490421844E-3</v>
      </c>
      <c r="K53" s="79"/>
      <c r="L53" s="66"/>
      <c r="N53" s="87"/>
      <c r="O53" s="71"/>
    </row>
    <row r="54" spans="1:15" ht="30.75" customHeight="1">
      <c r="A54" s="194" t="s">
        <v>177</v>
      </c>
      <c r="B54" s="217"/>
      <c r="C54" s="217"/>
      <c r="D54" s="151" t="s">
        <v>130</v>
      </c>
      <c r="E54" s="95">
        <f>'10'!F54</f>
        <v>118041.74</v>
      </c>
      <c r="F54" s="145">
        <v>118366.23</v>
      </c>
      <c r="G54" s="112">
        <f t="shared" si="4"/>
        <v>324.48999999999069</v>
      </c>
      <c r="H54" s="99">
        <f>G54+'10'!H54</f>
        <v>3769.0999999999913</v>
      </c>
      <c r="I54" s="95"/>
      <c r="J54" s="175">
        <f>H54/DAY(B2)</f>
        <v>342.64545454545373</v>
      </c>
      <c r="K54" s="79"/>
      <c r="L54" s="66"/>
      <c r="N54" s="87"/>
      <c r="O54" s="71"/>
    </row>
    <row r="55" spans="1:15" ht="30.75" customHeight="1">
      <c r="A55" s="194" t="s">
        <v>178</v>
      </c>
      <c r="B55" s="217"/>
      <c r="C55" s="217"/>
      <c r="D55" s="151" t="s">
        <v>130</v>
      </c>
      <c r="E55" s="95">
        <f>'10'!F55</f>
        <v>576335.63</v>
      </c>
      <c r="F55" s="145">
        <v>576335.63</v>
      </c>
      <c r="G55" s="112">
        <f t="shared" si="4"/>
        <v>0</v>
      </c>
      <c r="H55" s="99">
        <f>G55+'10'!H55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30.75" customHeight="1">
      <c r="A56" s="194" t="s">
        <v>179</v>
      </c>
      <c r="B56" s="217"/>
      <c r="C56" s="217"/>
      <c r="D56" s="151" t="s">
        <v>180</v>
      </c>
      <c r="E56" s="95">
        <f>'10'!F56</f>
        <v>335403.7</v>
      </c>
      <c r="F56" s="422">
        <v>335403.71000000002</v>
      </c>
      <c r="G56" s="112">
        <f t="shared" si="4"/>
        <v>1.0000000009313226E-2</v>
      </c>
      <c r="H56" s="99">
        <f>G56+'10'!H56</f>
        <v>177.5</v>
      </c>
      <c r="I56" s="95"/>
      <c r="J56" s="175">
        <f>H56/DAY(B2)</f>
        <v>16.136363636363637</v>
      </c>
      <c r="K56" s="78"/>
      <c r="L56" s="66"/>
      <c r="N56" s="87"/>
      <c r="O56" s="71"/>
    </row>
    <row r="57" spans="1:15" ht="30.75" customHeight="1">
      <c r="A57" s="194" t="s">
        <v>169</v>
      </c>
      <c r="B57" s="217"/>
      <c r="C57" s="217"/>
      <c r="D57" s="151" t="s">
        <v>130</v>
      </c>
      <c r="E57" s="95">
        <f>'10'!F57</f>
        <v>654362.63</v>
      </c>
      <c r="F57" s="145">
        <v>656748.79</v>
      </c>
      <c r="G57" s="112">
        <f t="shared" si="4"/>
        <v>2386.1600000000326</v>
      </c>
      <c r="H57" s="99">
        <f>G57+'10'!H57</f>
        <v>25915.790000000037</v>
      </c>
      <c r="I57" s="95"/>
      <c r="J57" s="175">
        <f>H57/DAY(B2)</f>
        <v>2355.9809090909125</v>
      </c>
      <c r="K57" s="79"/>
      <c r="L57" s="66"/>
      <c r="N57" s="87"/>
      <c r="O57" s="71"/>
    </row>
    <row r="58" spans="1:15" ht="30.75" customHeight="1">
      <c r="A58" s="194" t="s">
        <v>181</v>
      </c>
      <c r="B58" s="217"/>
      <c r="C58" s="217"/>
      <c r="D58" s="151" t="s">
        <v>130</v>
      </c>
      <c r="E58" s="95">
        <f>'10'!F58</f>
        <v>89121.89</v>
      </c>
      <c r="F58" s="145">
        <v>89376.278999999995</v>
      </c>
      <c r="G58" s="112">
        <f t="shared" si="4"/>
        <v>254.38899999999558</v>
      </c>
      <c r="H58" s="99">
        <f>G58+'10'!H58</f>
        <v>2815.7799999999988</v>
      </c>
      <c r="I58" s="95"/>
      <c r="J58" s="175">
        <f>H58/DAY(B2)</f>
        <v>255.9799999999999</v>
      </c>
      <c r="K58" s="79"/>
      <c r="L58" s="66"/>
      <c r="N58" s="87"/>
      <c r="O58" s="71"/>
    </row>
    <row r="59" spans="1:15" ht="30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4973.728999999963</v>
      </c>
      <c r="H59" s="99">
        <f>G59+'10'!H59</f>
        <v>54061.259999999929</v>
      </c>
      <c r="I59" s="95">
        <f>G7-G60</f>
        <v>1419.9109999999346</v>
      </c>
      <c r="J59" s="175">
        <f>H59/DAY(B2)</f>
        <v>4914.6599999999935</v>
      </c>
      <c r="K59" s="79"/>
      <c r="L59" s="66"/>
      <c r="N59" s="87"/>
      <c r="O59" s="71"/>
    </row>
    <row r="60" spans="1:15" ht="30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20312.089000000065</v>
      </c>
      <c r="H60" s="99">
        <f>G60+'10'!H60</f>
        <v>217549.22</v>
      </c>
      <c r="I60" s="95">
        <f>G13-G60</f>
        <v>433.91099999993457</v>
      </c>
      <c r="J60" s="175">
        <f>H60/DAY(B2)</f>
        <v>19777.201818181817</v>
      </c>
      <c r="K60" s="79"/>
      <c r="L60" s="66"/>
      <c r="N60" s="87"/>
      <c r="O60" s="71"/>
    </row>
    <row r="61" spans="1:15" s="68" customFormat="1" ht="30.75" customHeight="1">
      <c r="A61" s="935" t="s">
        <v>332</v>
      </c>
      <c r="B61" s="936"/>
      <c r="C61" s="93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>
      <c r="A62" s="902" t="s">
        <v>198</v>
      </c>
      <c r="B62" s="903"/>
      <c r="C62" s="904"/>
      <c r="D62" s="151" t="s">
        <v>142</v>
      </c>
      <c r="E62" s="95">
        <f>'10'!F62</f>
        <v>313238.3</v>
      </c>
      <c r="F62" s="122">
        <v>313385</v>
      </c>
      <c r="G62" s="112">
        <f t="shared" ref="G62:G63" si="5">F62-E62</f>
        <v>146.70000000001164</v>
      </c>
      <c r="H62" s="99">
        <f>G62+'10'!H62</f>
        <v>1285</v>
      </c>
      <c r="I62" s="118"/>
      <c r="J62" s="175">
        <f>H62/DAY(B2)</f>
        <v>116.81818181818181</v>
      </c>
      <c r="K62" s="80"/>
      <c r="L62" s="66"/>
      <c r="N62" s="87"/>
      <c r="O62" s="71"/>
    </row>
    <row r="63" spans="1:15" ht="30.75" customHeight="1">
      <c r="A63" s="902" t="s">
        <v>199</v>
      </c>
      <c r="B63" s="903"/>
      <c r="C63" s="904"/>
      <c r="D63" s="151" t="s">
        <v>142</v>
      </c>
      <c r="E63" s="95">
        <f>'10'!F63</f>
        <v>250096</v>
      </c>
      <c r="F63" s="150">
        <v>250203</v>
      </c>
      <c r="G63" s="112">
        <f t="shared" si="5"/>
        <v>107</v>
      </c>
      <c r="H63" s="99">
        <f>G63+'10'!H63</f>
        <v>1168</v>
      </c>
      <c r="I63" s="118"/>
      <c r="J63" s="175">
        <f>H63/DAY(B2)</f>
        <v>106.18181818181819</v>
      </c>
      <c r="K63" s="69"/>
      <c r="L63" s="66"/>
      <c r="N63" s="87"/>
      <c r="O63" s="71"/>
    </row>
    <row r="64" spans="1:15" ht="30.75" customHeight="1">
      <c r="A64" s="911" t="s">
        <v>200</v>
      </c>
      <c r="B64" s="912"/>
      <c r="C64" s="913"/>
      <c r="D64" s="151"/>
      <c r="E64" s="95">
        <f>'10'!F64</f>
        <v>0</v>
      </c>
      <c r="F64" s="122"/>
      <c r="G64" s="112">
        <f>G62+G63</f>
        <v>253.70000000001164</v>
      </c>
      <c r="H64" s="99">
        <f>G64+'10'!H64</f>
        <v>2453</v>
      </c>
      <c r="I64" s="118"/>
      <c r="J64" s="175">
        <f>H64/DAY(B2)</f>
        <v>223</v>
      </c>
      <c r="K64" s="69"/>
      <c r="L64" s="66"/>
      <c r="N64" s="87"/>
      <c r="O64" s="71"/>
    </row>
    <row r="65" spans="1:15" ht="30.75" customHeight="1">
      <c r="A65" s="902" t="s">
        <v>201</v>
      </c>
      <c r="B65" s="903"/>
      <c r="C65" s="904"/>
      <c r="D65" s="151" t="s">
        <v>142</v>
      </c>
      <c r="E65" s="95">
        <f>'10'!F65</f>
        <v>473270</v>
      </c>
      <c r="F65" s="122">
        <v>473420</v>
      </c>
      <c r="G65" s="112">
        <f t="shared" ref="G65:G70" si="6">F65-E65</f>
        <v>150</v>
      </c>
      <c r="H65" s="99">
        <f>G65+'10'!H65</f>
        <v>1390</v>
      </c>
      <c r="I65" s="118"/>
      <c r="J65" s="175">
        <f>H65/DAY(B2)</f>
        <v>126.36363636363636</v>
      </c>
      <c r="K65" s="69"/>
      <c r="L65" s="66"/>
      <c r="N65" s="87"/>
      <c r="O65" s="71"/>
    </row>
    <row r="66" spans="1:15" ht="30.75" customHeight="1">
      <c r="A66" s="345" t="s">
        <v>202</v>
      </c>
      <c r="B66" s="346"/>
      <c r="C66" s="346"/>
      <c r="D66" s="151" t="s">
        <v>142</v>
      </c>
      <c r="E66" s="95">
        <f>'10'!F66</f>
        <v>113783</v>
      </c>
      <c r="F66" s="122">
        <v>113830</v>
      </c>
      <c r="G66" s="112">
        <f t="shared" si="6"/>
        <v>47</v>
      </c>
      <c r="H66" s="99">
        <f>G66+'10'!H66</f>
        <v>1108</v>
      </c>
      <c r="I66" s="118"/>
      <c r="J66" s="175">
        <f>H66/DAY(B2)</f>
        <v>100.72727272727273</v>
      </c>
      <c r="K66" s="78"/>
      <c r="L66" s="66"/>
      <c r="N66" s="87"/>
      <c r="O66" s="71"/>
    </row>
    <row r="67" spans="1:15" ht="30.75" customHeight="1">
      <c r="A67" s="345" t="s">
        <v>203</v>
      </c>
      <c r="B67" s="346"/>
      <c r="C67" s="346"/>
      <c r="D67" s="151" t="s">
        <v>142</v>
      </c>
      <c r="E67" s="95">
        <f>'10'!F67</f>
        <v>116806</v>
      </c>
      <c r="F67" s="122">
        <v>116825</v>
      </c>
      <c r="G67" s="112">
        <f t="shared" si="6"/>
        <v>19</v>
      </c>
      <c r="H67" s="99">
        <f>G67+'10'!H67</f>
        <v>258</v>
      </c>
      <c r="I67" s="118"/>
      <c r="J67" s="175">
        <f>H67/DAY(B2)</f>
        <v>23.454545454545453</v>
      </c>
      <c r="K67" s="81"/>
      <c r="L67" s="66"/>
      <c r="N67" s="87"/>
      <c r="O67" s="71"/>
    </row>
    <row r="68" spans="1:15" ht="30.75" customHeight="1">
      <c r="A68" s="345" t="s">
        <v>204</v>
      </c>
      <c r="B68" s="346"/>
      <c r="C68" s="346"/>
      <c r="D68" s="151" t="s">
        <v>142</v>
      </c>
      <c r="E68" s="95">
        <f>'10'!F68</f>
        <v>169557</v>
      </c>
      <c r="F68" s="122">
        <v>169578</v>
      </c>
      <c r="G68" s="112">
        <f t="shared" si="6"/>
        <v>21</v>
      </c>
      <c r="H68" s="99">
        <f>G68+'10'!H68</f>
        <v>219</v>
      </c>
      <c r="I68" s="118"/>
      <c r="J68" s="175">
        <f>H68/DAY(B2)</f>
        <v>19.90909090909091</v>
      </c>
      <c r="K68" s="69"/>
      <c r="L68" s="66"/>
      <c r="N68" s="87"/>
      <c r="O68" s="71"/>
    </row>
    <row r="69" spans="1:15" ht="30.75" customHeight="1">
      <c r="A69" s="345" t="s">
        <v>205</v>
      </c>
      <c r="B69" s="346"/>
      <c r="C69" s="346"/>
      <c r="D69" s="151" t="s">
        <v>142</v>
      </c>
      <c r="E69" s="95">
        <f>'10'!F69</f>
        <v>13017</v>
      </c>
      <c r="F69" s="122">
        <v>13020</v>
      </c>
      <c r="G69" s="112">
        <f t="shared" si="6"/>
        <v>3</v>
      </c>
      <c r="H69" s="99">
        <f>G69+'10'!H69</f>
        <v>54</v>
      </c>
      <c r="I69" s="118"/>
      <c r="J69" s="175">
        <f>H69/DAY(B2)</f>
        <v>4.9090909090909092</v>
      </c>
      <c r="K69" s="69"/>
      <c r="L69" s="66"/>
      <c r="N69" s="87"/>
      <c r="O69" s="71"/>
    </row>
    <row r="70" spans="1:15" ht="30.75" customHeight="1">
      <c r="A70" s="345" t="s">
        <v>206</v>
      </c>
      <c r="B70" s="346"/>
      <c r="C70" s="346"/>
      <c r="D70" s="151" t="s">
        <v>142</v>
      </c>
      <c r="E70" s="95">
        <f>'10'!F70</f>
        <v>11092</v>
      </c>
      <c r="F70" s="122">
        <v>11094</v>
      </c>
      <c r="G70" s="112">
        <f t="shared" si="6"/>
        <v>2</v>
      </c>
      <c r="H70" s="99">
        <f>G70+'10'!H70</f>
        <v>78</v>
      </c>
      <c r="I70" s="118"/>
      <c r="J70" s="175">
        <f>H70/DAY(B2)</f>
        <v>7.0909090909090908</v>
      </c>
      <c r="K70" s="69"/>
      <c r="L70" s="66"/>
      <c r="N70" s="87"/>
      <c r="O70" s="71"/>
    </row>
    <row r="71" spans="1:15" ht="30.75" customHeight="1">
      <c r="A71" s="911" t="s">
        <v>208</v>
      </c>
      <c r="B71" s="912"/>
      <c r="C71" s="913"/>
      <c r="D71" s="152"/>
      <c r="E71" s="152"/>
      <c r="F71" s="124">
        <f>+'11'!O79</f>
        <v>0</v>
      </c>
      <c r="G71" s="153">
        <f>SUM(G65:G70)</f>
        <v>242</v>
      </c>
      <c r="H71" s="99">
        <f>G71+'10'!H71</f>
        <v>3107</v>
      </c>
      <c r="I71" s="154"/>
      <c r="J71" s="175">
        <f>H71/DAY(B2)</f>
        <v>282.45454545454544</v>
      </c>
      <c r="K71" s="69"/>
      <c r="L71" s="66"/>
      <c r="N71" s="87"/>
      <c r="O71" s="71"/>
    </row>
    <row r="72" spans="1:15" s="88" customFormat="1" ht="30.75" customHeight="1">
      <c r="A72" s="898"/>
      <c r="B72" s="88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>
      <c r="A73" s="908" t="s">
        <v>333</v>
      </c>
      <c r="B73" s="909"/>
      <c r="C73" s="910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>
      <c r="A74" s="902" t="s">
        <v>220</v>
      </c>
      <c r="B74" s="903"/>
      <c r="C74" s="904"/>
      <c r="D74" s="151" t="s">
        <v>139</v>
      </c>
      <c r="E74" s="95">
        <f>'10'!F74</f>
        <v>5601.1</v>
      </c>
      <c r="F74" s="117">
        <v>996562.1</v>
      </c>
      <c r="G74" s="112">
        <f>F74-E74</f>
        <v>990961</v>
      </c>
      <c r="H74" s="99">
        <f>G74+'10'!H74</f>
        <v>994047.1</v>
      </c>
      <c r="I74" s="154"/>
      <c r="J74" s="175">
        <f>H74/DAY(B2)</f>
        <v>90367.918181818182</v>
      </c>
      <c r="K74" s="69"/>
      <c r="L74" s="66"/>
      <c r="N74" s="87"/>
      <c r="O74" s="71"/>
    </row>
    <row r="75" spans="1:15" ht="30.75" customHeight="1">
      <c r="A75" s="902" t="s">
        <v>221</v>
      </c>
      <c r="B75" s="903"/>
      <c r="C75" s="904"/>
      <c r="D75" s="151" t="s">
        <v>139</v>
      </c>
      <c r="E75" s="95">
        <f>'10'!F75</f>
        <v>73586.8</v>
      </c>
      <c r="F75" s="123">
        <v>73586.8</v>
      </c>
      <c r="G75" s="112">
        <f t="shared" ref="G75:G78" si="7">F75-E75</f>
        <v>0</v>
      </c>
      <c r="H75" s="99">
        <f>G75+'10'!H75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>
      <c r="A76" s="899" t="s">
        <v>222</v>
      </c>
      <c r="B76" s="900"/>
      <c r="C76" s="901"/>
      <c r="D76" s="151" t="s">
        <v>139</v>
      </c>
      <c r="E76" s="95">
        <f>'10'!F76</f>
        <v>208417</v>
      </c>
      <c r="F76" s="123">
        <v>208539.2</v>
      </c>
      <c r="G76" s="112">
        <f t="shared" si="7"/>
        <v>122.20000000001164</v>
      </c>
      <c r="H76" s="99">
        <f>G76+'10'!H76</f>
        <v>1162.2000000000116</v>
      </c>
      <c r="I76" s="154"/>
      <c r="J76" s="175">
        <f>H76/DAY(B2)</f>
        <v>105.65454545454651</v>
      </c>
      <c r="K76" s="69"/>
      <c r="L76" s="66"/>
      <c r="N76" s="87"/>
      <c r="O76" s="71"/>
    </row>
    <row r="77" spans="1:15" ht="30.75" customHeight="1">
      <c r="A77" s="899" t="s">
        <v>223</v>
      </c>
      <c r="B77" s="900"/>
      <c r="C77" s="901"/>
      <c r="D77" s="151" t="s">
        <v>139</v>
      </c>
      <c r="E77" s="95">
        <f>'10'!F77</f>
        <v>58630</v>
      </c>
      <c r="F77" s="123">
        <v>58682</v>
      </c>
      <c r="G77" s="112">
        <f t="shared" si="7"/>
        <v>52</v>
      </c>
      <c r="H77" s="99">
        <f>G77+'10'!H77</f>
        <v>530</v>
      </c>
      <c r="I77" s="154"/>
      <c r="J77" s="175">
        <f>H77/DAY(B2)</f>
        <v>48.18181818181818</v>
      </c>
      <c r="K77" s="69"/>
      <c r="L77" s="66"/>
      <c r="N77" s="87"/>
      <c r="O77" s="71"/>
    </row>
    <row r="78" spans="1:15" ht="30.75" customHeight="1">
      <c r="A78" s="899" t="s">
        <v>224</v>
      </c>
      <c r="B78" s="900"/>
      <c r="C78" s="901"/>
      <c r="D78" s="151" t="s">
        <v>139</v>
      </c>
      <c r="E78" s="95">
        <f>'10'!F78</f>
        <v>9563</v>
      </c>
      <c r="F78" s="123">
        <v>9563</v>
      </c>
      <c r="G78" s="112">
        <f t="shared" si="7"/>
        <v>0</v>
      </c>
      <c r="H78" s="99">
        <f>G78+'10'!H78</f>
        <v>-1</v>
      </c>
      <c r="I78" s="118"/>
      <c r="J78" s="175">
        <f>H78/DAY(B2)</f>
        <v>-9.0909090909090912E-2</v>
      </c>
      <c r="K78" s="69"/>
      <c r="L78" s="66"/>
      <c r="N78" s="87"/>
      <c r="O78" s="71"/>
    </row>
    <row r="79" spans="1:15" s="57" customFormat="1" ht="30.75" customHeight="1">
      <c r="A79" s="899" t="s">
        <v>225</v>
      </c>
      <c r="B79" s="900"/>
      <c r="C79" s="901"/>
      <c r="D79" s="151"/>
      <c r="E79" s="95">
        <f>'10'!F79</f>
        <v>0</v>
      </c>
      <c r="F79" s="117"/>
      <c r="G79" s="112">
        <f>G15-SUM(G74:G78)</f>
        <v>-989968.74199999985</v>
      </c>
      <c r="H79" s="99">
        <f>G79+'10'!H79</f>
        <v>-983333.19999999984</v>
      </c>
      <c r="I79" s="118"/>
      <c r="J79" s="175"/>
      <c r="K79" s="59"/>
      <c r="L79" s="58"/>
      <c r="N79" s="87"/>
      <c r="O79" s="71"/>
    </row>
    <row r="80" spans="1:15" s="57" customFormat="1" ht="30.75" customHeight="1">
      <c r="A80" s="911" t="s">
        <v>329</v>
      </c>
      <c r="B80" s="912"/>
      <c r="C80" s="913"/>
      <c r="D80" s="151"/>
      <c r="E80" s="117"/>
      <c r="F80" s="117"/>
      <c r="G80" s="112">
        <f>SUM(G74:G79)</f>
        <v>1166.4580000001006</v>
      </c>
      <c r="H80" s="99"/>
      <c r="I80" s="118"/>
      <c r="J80" s="175"/>
      <c r="K80" s="59"/>
      <c r="L80" s="58"/>
      <c r="N80" s="87"/>
      <c r="O80" s="71"/>
    </row>
    <row r="81" spans="1:15" ht="30.75" customHeight="1">
      <c r="A81" s="915" t="s">
        <v>226</v>
      </c>
      <c r="B81" s="916"/>
      <c r="C81" s="917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>
      <c r="A82" s="345" t="s">
        <v>227</v>
      </c>
      <c r="B82" s="346"/>
      <c r="C82" s="346"/>
      <c r="D82" s="151" t="s">
        <v>228</v>
      </c>
      <c r="E82" s="95">
        <f>'10'!F82</f>
        <v>0</v>
      </c>
      <c r="F82" s="122">
        <v>0</v>
      </c>
      <c r="G82" s="112">
        <f t="shared" ref="G82:G92" si="8">F82-E82</f>
        <v>0</v>
      </c>
      <c r="H82" s="99">
        <f>G82+'10'!H82</f>
        <v>0</v>
      </c>
      <c r="I82" s="545"/>
      <c r="J82" s="175">
        <f>H82/DAY(B2)</f>
        <v>0</v>
      </c>
      <c r="O82" s="71"/>
    </row>
    <row r="83" spans="1:15" ht="30.75" customHeight="1">
      <c r="A83" s="345" t="s">
        <v>229</v>
      </c>
      <c r="B83" s="346"/>
      <c r="C83" s="346"/>
      <c r="D83" s="151" t="s">
        <v>228</v>
      </c>
      <c r="E83" s="95">
        <f>'10'!F83</f>
        <v>0</v>
      </c>
      <c r="F83" s="122">
        <v>0</v>
      </c>
      <c r="G83" s="112">
        <f t="shared" si="8"/>
        <v>0</v>
      </c>
      <c r="H83" s="99">
        <f>G83+'10'!H83</f>
        <v>0</v>
      </c>
      <c r="I83" s="545"/>
      <c r="J83" s="175">
        <f>H83/DAY(B2)</f>
        <v>0</v>
      </c>
      <c r="O83" s="71"/>
    </row>
    <row r="84" spans="1:15" ht="30.75" customHeight="1">
      <c r="A84" s="345" t="s">
        <v>230</v>
      </c>
      <c r="B84" s="346"/>
      <c r="C84" s="346"/>
      <c r="D84" s="151" t="s">
        <v>228</v>
      </c>
      <c r="E84" s="95">
        <f>'10'!F84</f>
        <v>43546</v>
      </c>
      <c r="F84" s="164">
        <v>43546</v>
      </c>
      <c r="G84" s="112">
        <f t="shared" si="8"/>
        <v>0</v>
      </c>
      <c r="H84" s="99">
        <f>G84+'10'!H84</f>
        <v>0</v>
      </c>
      <c r="I84" s="545"/>
      <c r="J84" s="175">
        <f>H84/DAY(B2)</f>
        <v>0</v>
      </c>
      <c r="O84" s="71"/>
    </row>
    <row r="85" spans="1:15" ht="30.75" customHeight="1">
      <c r="A85" s="345" t="s">
        <v>231</v>
      </c>
      <c r="B85" s="346"/>
      <c r="C85" s="346"/>
      <c r="D85" s="151" t="s">
        <v>228</v>
      </c>
      <c r="E85" s="95">
        <f>'10'!F85</f>
        <v>6172.08</v>
      </c>
      <c r="F85" s="164">
        <v>6496.48</v>
      </c>
      <c r="G85" s="112">
        <f t="shared" si="8"/>
        <v>324.39999999999964</v>
      </c>
      <c r="H85" s="99">
        <f>G85+'10'!H85</f>
        <v>564.02999999999975</v>
      </c>
      <c r="I85" s="545"/>
      <c r="J85" s="175">
        <f>H85/DAY(B2)</f>
        <v>51.275454545454522</v>
      </c>
      <c r="O85" s="71"/>
    </row>
    <row r="86" spans="1:15" ht="30.75" customHeight="1">
      <c r="A86" s="345" t="s">
        <v>232</v>
      </c>
      <c r="B86" s="346"/>
      <c r="C86" s="346"/>
      <c r="D86" s="151" t="s">
        <v>228</v>
      </c>
      <c r="E86" s="95">
        <f>'10'!F86</f>
        <v>46834</v>
      </c>
      <c r="F86" s="164">
        <v>46834</v>
      </c>
      <c r="G86" s="112">
        <f t="shared" si="8"/>
        <v>0</v>
      </c>
      <c r="H86" s="99">
        <f>G86+'10'!H86</f>
        <v>0</v>
      </c>
      <c r="I86" s="545"/>
      <c r="J86" s="175">
        <f>H86/DAY(B2)</f>
        <v>0</v>
      </c>
      <c r="O86" s="71"/>
    </row>
    <row r="87" spans="1:15" ht="30.75" customHeight="1">
      <c r="A87" s="345" t="s">
        <v>233</v>
      </c>
      <c r="B87" s="346"/>
      <c r="C87" s="346"/>
      <c r="D87" s="151" t="s">
        <v>228</v>
      </c>
      <c r="E87" s="95">
        <f>'10'!F87</f>
        <v>37028</v>
      </c>
      <c r="F87" s="164">
        <v>37030</v>
      </c>
      <c r="G87" s="112">
        <f t="shared" si="8"/>
        <v>2</v>
      </c>
      <c r="H87" s="99">
        <f>G87+'10'!H87</f>
        <v>2</v>
      </c>
      <c r="I87" s="545">
        <f>G84+G85+G86+G87</f>
        <v>326.39999999999964</v>
      </c>
      <c r="J87" s="175">
        <f>H87/DAY(B2)</f>
        <v>0.18181818181818182</v>
      </c>
      <c r="O87" s="71"/>
    </row>
    <row r="88" spans="1:15" ht="30.75" customHeight="1">
      <c r="A88" s="345" t="s">
        <v>234</v>
      </c>
      <c r="B88" s="346"/>
      <c r="C88" s="346"/>
      <c r="D88" s="151" t="s">
        <v>228</v>
      </c>
      <c r="E88" s="95">
        <f>'10'!F88</f>
        <v>24626.33</v>
      </c>
      <c r="F88" s="164">
        <v>24629.4</v>
      </c>
      <c r="G88" s="112">
        <f t="shared" si="8"/>
        <v>3.069999999999709</v>
      </c>
      <c r="H88" s="99">
        <f>G88+'10'!H88</f>
        <v>25.80000000000291</v>
      </c>
      <c r="I88" s="545"/>
      <c r="J88" s="175">
        <f>H88/DAY(B2)</f>
        <v>2.3454545454548099</v>
      </c>
      <c r="O88" s="71"/>
    </row>
    <row r="89" spans="1:15" ht="30.75" customHeight="1">
      <c r="A89" s="345" t="s">
        <v>235</v>
      </c>
      <c r="B89" s="346"/>
      <c r="C89" s="346"/>
      <c r="D89" s="151" t="s">
        <v>228</v>
      </c>
      <c r="E89" s="95">
        <f>'10'!F89</f>
        <v>28857.01</v>
      </c>
      <c r="F89" s="164">
        <v>28867.22</v>
      </c>
      <c r="G89" s="112">
        <f t="shared" si="8"/>
        <v>10.210000000002765</v>
      </c>
      <c r="H89" s="99">
        <f>G89+'10'!H89</f>
        <v>118.83000000000175</v>
      </c>
      <c r="I89" s="545">
        <f>G88+G89</f>
        <v>13.280000000002474</v>
      </c>
      <c r="J89" s="175">
        <f>H89/DAY(B2)</f>
        <v>10.802727272727431</v>
      </c>
      <c r="O89" s="71"/>
    </row>
    <row r="90" spans="1:15" ht="30.75" customHeight="1">
      <c r="A90" s="345" t="s">
        <v>236</v>
      </c>
      <c r="B90" s="346"/>
      <c r="C90" s="346"/>
      <c r="D90" s="151" t="s">
        <v>228</v>
      </c>
      <c r="E90" s="95">
        <f>'10'!F90</f>
        <v>74312.009999999995</v>
      </c>
      <c r="F90" s="164">
        <v>74321.36</v>
      </c>
      <c r="G90" s="112">
        <f t="shared" si="8"/>
        <v>9.3500000000058208</v>
      </c>
      <c r="H90" s="99">
        <f>G90+'10'!H90</f>
        <v>118.18000000000757</v>
      </c>
      <c r="I90" s="545">
        <f>G90</f>
        <v>9.3500000000058208</v>
      </c>
      <c r="J90" s="175">
        <f>H90/DAY(B2)</f>
        <v>10.743636363637052</v>
      </c>
      <c r="O90" s="71"/>
    </row>
    <row r="91" spans="1:15" ht="30.75" customHeight="1">
      <c r="A91" s="345" t="s">
        <v>237</v>
      </c>
      <c r="B91" s="346"/>
      <c r="C91" s="346"/>
      <c r="D91" s="151" t="s">
        <v>228</v>
      </c>
      <c r="E91" s="95">
        <f>'10'!F91</f>
        <v>5618</v>
      </c>
      <c r="F91" s="122">
        <v>5618</v>
      </c>
      <c r="G91" s="112">
        <f t="shared" si="8"/>
        <v>0</v>
      </c>
      <c r="H91" s="99">
        <f>G91+'10'!H91</f>
        <v>-0.21000000000003638</v>
      </c>
      <c r="I91" s="546"/>
      <c r="J91" s="175">
        <f>H91/DAY(B2)</f>
        <v>-1.9090909090912399E-2</v>
      </c>
      <c r="O91" s="71"/>
    </row>
    <row r="92" spans="1:15" ht="30.75" customHeight="1">
      <c r="A92" s="345" t="s">
        <v>238</v>
      </c>
      <c r="B92" s="346"/>
      <c r="C92" s="346"/>
      <c r="D92" s="151" t="s">
        <v>228</v>
      </c>
      <c r="E92" s="95">
        <f>'10'!F92</f>
        <v>7191.08</v>
      </c>
      <c r="F92" s="122">
        <v>7202.8</v>
      </c>
      <c r="G92" s="112">
        <f t="shared" si="8"/>
        <v>11.720000000000255</v>
      </c>
      <c r="H92" s="99">
        <f>G92+'10'!H92</f>
        <v>123.11000000000058</v>
      </c>
      <c r="I92" s="547">
        <f>G91+G92</f>
        <v>11.720000000000255</v>
      </c>
      <c r="J92" s="175">
        <f>H92/DAY(B2)</f>
        <v>11.191818181818235</v>
      </c>
      <c r="O92" s="71"/>
    </row>
    <row r="93" spans="1:15" ht="30.75" customHeight="1">
      <c r="A93" s="905" t="s">
        <v>239</v>
      </c>
      <c r="B93" s="906"/>
      <c r="C93" s="90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5505.2600000000093</v>
      </c>
      <c r="H94" s="99">
        <f>G94+'10'!H94</f>
        <v>59827.989999999991</v>
      </c>
      <c r="I94" s="118"/>
      <c r="J94" s="175">
        <f>H94/DAY(B2)</f>
        <v>5438.9081818181812</v>
      </c>
      <c r="K94" s="69"/>
      <c r="L94" s="66"/>
      <c r="O94" s="71"/>
    </row>
    <row r="95" spans="1:15" ht="30.75" customHeight="1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0.25332505061660265</v>
      </c>
      <c r="H95" s="99">
        <f>G95+'10'!H95</f>
        <v>2.8550948735947133</v>
      </c>
      <c r="I95" s="167"/>
      <c r="J95" s="175">
        <f>H95/DAY(B2)</f>
        <v>0.2595540794177012</v>
      </c>
      <c r="K95" s="69"/>
      <c r="L95" s="66"/>
      <c r="O95" s="71"/>
    </row>
    <row r="96" spans="1:15" ht="30.75" customHeight="1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4569.710000000021</v>
      </c>
      <c r="H96" s="99">
        <f>G96+'10'!H96</f>
        <v>49009.739999999991</v>
      </c>
      <c r="I96" s="118"/>
      <c r="J96" s="175">
        <f>H96/DAY(B2)</f>
        <v>4455.4309090909082</v>
      </c>
      <c r="K96" s="69"/>
      <c r="L96" s="66"/>
      <c r="O96" s="71"/>
    </row>
    <row r="97" spans="1:15" ht="30.75" customHeight="1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0.21027563040677438</v>
      </c>
      <c r="H97" s="99">
        <f>G97+'10'!H97</f>
        <v>2.3358780174130618</v>
      </c>
      <c r="I97" s="167"/>
      <c r="J97" s="175">
        <f>H97/DAY(B2)</f>
        <v>0.21235254703755108</v>
      </c>
      <c r="K97" s="69"/>
      <c r="L97" s="66"/>
      <c r="O97" s="71"/>
    </row>
    <row r="98" spans="1:15" ht="30.75" customHeight="1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2815.859999999986</v>
      </c>
      <c r="H98" s="99">
        <f>G98+'10'!H98</f>
        <v>30984.729999999981</v>
      </c>
      <c r="I98" s="168"/>
      <c r="J98" s="175">
        <f>H98/DAY(B2)</f>
        <v>2816.7936363636345</v>
      </c>
      <c r="K98" s="69"/>
      <c r="L98" s="66"/>
      <c r="O98" s="71"/>
    </row>
    <row r="99" spans="1:15" ht="30.75" customHeight="1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0.12957205963555982</v>
      </c>
      <c r="H99" s="99">
        <f>G99+'10'!H99</f>
        <v>1.4788929215975644</v>
      </c>
      <c r="I99" s="168"/>
      <c r="J99" s="175">
        <f>H99/DAY(B2)</f>
        <v>0.13444481105432404</v>
      </c>
      <c r="O99" s="71"/>
    </row>
    <row r="100" spans="1:15" ht="30.75" customHeight="1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2568.5</v>
      </c>
      <c r="H100" s="99">
        <f>G100+'10'!H100</f>
        <v>25579.700000000063</v>
      </c>
      <c r="I100" s="118"/>
      <c r="J100" s="175">
        <f>H100/DAY(B2)</f>
        <v>2325.4272727272783</v>
      </c>
      <c r="K100" s="70"/>
      <c r="O100" s="71"/>
    </row>
    <row r="101" spans="1:15" ht="30.75" customHeight="1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0.11818976624332782</v>
      </c>
      <c r="H101" s="99">
        <f>G101+'10'!H101</f>
        <v>1.218027610821341</v>
      </c>
      <c r="I101" s="168"/>
      <c r="J101" s="175">
        <f>H101/DAY(B2)</f>
        <v>0.1107297828019401</v>
      </c>
      <c r="O101" s="71"/>
    </row>
    <row r="102" spans="1:15" ht="30.75" customHeight="1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2243.2300000000396</v>
      </c>
      <c r="H102" s="99">
        <f>G102+'10'!H102</f>
        <v>25559.880000000005</v>
      </c>
      <c r="I102" s="168"/>
      <c r="J102" s="175">
        <f>H102/DAY(B2)</f>
        <v>2323.6254545454549</v>
      </c>
      <c r="O102" s="71"/>
    </row>
    <row r="103" spans="1:15" ht="30.75" customHeight="1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0.10322243695932448</v>
      </c>
      <c r="H103" s="99">
        <f>G103+'10'!H103</f>
        <v>1.2176348821949821</v>
      </c>
      <c r="I103" s="118"/>
      <c r="J103" s="175">
        <f>H103/DAY(B2)</f>
        <v>0.11069408019954383</v>
      </c>
      <c r="O103" s="71"/>
    </row>
    <row r="104" spans="1:15" ht="30.75" customHeight="1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1558.9000000000233</v>
      </c>
      <c r="H104" s="99">
        <f>G104+'10'!H104</f>
        <v>16379.200000000012</v>
      </c>
      <c r="I104" s="118"/>
      <c r="J104" s="175">
        <f>H104/DAY(B2)</f>
        <v>1489.0181818181829</v>
      </c>
      <c r="O104" s="71"/>
    </row>
    <row r="105" spans="1:15" ht="30.75" customHeight="1" thickBot="1">
      <c r="A105" s="895" t="s">
        <v>251</v>
      </c>
      <c r="B105" s="896"/>
      <c r="C105" s="897"/>
      <c r="D105" s="231" t="s">
        <v>23</v>
      </c>
      <c r="E105" s="185"/>
      <c r="F105" s="185"/>
      <c r="G105" s="186">
        <f>G104/G7</f>
        <v>7.1732928400516441E-2</v>
      </c>
      <c r="H105" s="99">
        <f>G105+'10'!H105</f>
        <v>0.78165194614763955</v>
      </c>
      <c r="I105" s="187"/>
      <c r="J105" s="188">
        <f>H105/DAY(B2)</f>
        <v>7.1059267831603601E-2</v>
      </c>
      <c r="O105" s="71"/>
    </row>
    <row r="106" spans="1:15" ht="30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>
      <c r="A108" s="891" t="s">
        <v>324</v>
      </c>
      <c r="B108" s="891"/>
      <c r="C108" s="891"/>
      <c r="D108" s="891"/>
      <c r="E108" s="891"/>
      <c r="F108" s="891"/>
      <c r="G108" s="891"/>
      <c r="H108" s="891"/>
      <c r="I108" s="891"/>
      <c r="J108" s="891"/>
    </row>
    <row r="109" spans="1:15" ht="30.75" customHeight="1">
      <c r="A109" s="918"/>
      <c r="B109" s="918"/>
    </row>
    <row r="110" spans="1:15" ht="30.75" customHeight="1">
      <c r="A110" s="892" t="s">
        <v>165</v>
      </c>
      <c r="B110" s="893"/>
      <c r="C110" s="893"/>
      <c r="D110" s="893"/>
      <c r="E110" s="893"/>
      <c r="F110" s="893"/>
      <c r="G110" s="893"/>
      <c r="H110" s="893"/>
      <c r="I110" s="893"/>
      <c r="J110" s="894"/>
    </row>
    <row r="111" spans="1:15" ht="30.75" customHeight="1">
      <c r="A111" s="885"/>
      <c r="B111" s="886"/>
      <c r="C111" s="887"/>
      <c r="D111" s="165"/>
      <c r="E111" s="165"/>
      <c r="F111" s="165"/>
      <c r="G111" s="165"/>
      <c r="H111" s="156"/>
      <c r="I111" s="165"/>
      <c r="J111" s="327"/>
    </row>
    <row r="112" spans="1:15" ht="30.75" customHeight="1">
      <c r="A112" s="881" t="s">
        <v>252</v>
      </c>
      <c r="B112" s="882"/>
      <c r="C112" s="883"/>
      <c r="D112" s="146" t="s">
        <v>183</v>
      </c>
      <c r="E112" s="95">
        <f>'10'!F112</f>
        <v>18111.599999999999</v>
      </c>
      <c r="F112" s="237">
        <v>18173.143</v>
      </c>
      <c r="G112" s="112">
        <f t="shared" ref="G112:G123" si="9">F112-E112</f>
        <v>61.543000000001484</v>
      </c>
      <c r="H112" s="99">
        <f>G112+'10'!H112</f>
        <v>661.84300000000076</v>
      </c>
      <c r="I112" s="165"/>
      <c r="J112" s="328">
        <f>H112/DAY(B2)</f>
        <v>60.167545454545525</v>
      </c>
    </row>
    <row r="113" spans="1:18" ht="30.75" customHeight="1">
      <c r="A113" s="881" t="s">
        <v>253</v>
      </c>
      <c r="B113" s="882"/>
      <c r="C113" s="883"/>
      <c r="D113" s="146" t="s">
        <v>183</v>
      </c>
      <c r="E113" s="95">
        <f>'10'!F113</f>
        <v>38507.11</v>
      </c>
      <c r="F113" s="237">
        <v>38647.271999999997</v>
      </c>
      <c r="G113" s="112">
        <f t="shared" si="9"/>
        <v>140.16199999999662</v>
      </c>
      <c r="H113" s="99">
        <f>G113+'10'!H113</f>
        <v>1568.2719999999972</v>
      </c>
      <c r="I113" s="165"/>
      <c r="J113" s="328">
        <f>H113/DAY(B2)</f>
        <v>142.57018181818157</v>
      </c>
    </row>
    <row r="114" spans="1:18" ht="30.75" customHeight="1">
      <c r="A114" s="881" t="s">
        <v>254</v>
      </c>
      <c r="B114" s="882"/>
      <c r="C114" s="883"/>
      <c r="D114" s="146" t="s">
        <v>183</v>
      </c>
      <c r="E114" s="95">
        <f>'10'!F114</f>
        <v>56484</v>
      </c>
      <c r="F114" s="237">
        <v>56702.146999999997</v>
      </c>
      <c r="G114" s="112">
        <f t="shared" si="9"/>
        <v>218.14699999999721</v>
      </c>
      <c r="H114" s="99">
        <f>G114+'10'!H114</f>
        <v>2434.3669999999984</v>
      </c>
      <c r="I114" s="165"/>
      <c r="J114" s="328">
        <f>H114/DAY(B2)</f>
        <v>221.30609090909076</v>
      </c>
    </row>
    <row r="115" spans="1:18" ht="30.75" customHeight="1">
      <c r="A115" s="881" t="s">
        <v>255</v>
      </c>
      <c r="B115" s="882"/>
      <c r="C115" s="883"/>
      <c r="D115" s="146" t="s">
        <v>183</v>
      </c>
      <c r="E115" s="95">
        <f>'10'!F115</f>
        <v>36468.300000000003</v>
      </c>
      <c r="F115" s="237">
        <v>36625.563000000002</v>
      </c>
      <c r="G115" s="112">
        <f t="shared" si="9"/>
        <v>157.26299999999901</v>
      </c>
      <c r="H115" s="99">
        <f>G115+'10'!H115</f>
        <v>1658.6529999999984</v>
      </c>
      <c r="I115" s="165"/>
      <c r="J115" s="328">
        <f>H115/DAY(B2)</f>
        <v>150.78663636363623</v>
      </c>
    </row>
    <row r="116" spans="1:18" ht="30.75" customHeight="1">
      <c r="A116" s="888" t="s">
        <v>96</v>
      </c>
      <c r="B116" s="889"/>
      <c r="C116" s="890"/>
      <c r="D116" s="146" t="s">
        <v>183</v>
      </c>
      <c r="E116" s="95">
        <f>'10'!F116</f>
        <v>138713</v>
      </c>
      <c r="F116" s="237">
        <v>139185.16</v>
      </c>
      <c r="G116" s="112">
        <f t="shared" si="9"/>
        <v>472.16000000000349</v>
      </c>
      <c r="H116" s="99">
        <f>G116+'10'!H116</f>
        <v>4696.7699999999895</v>
      </c>
      <c r="I116" s="165"/>
      <c r="J116" s="328">
        <f>H116/DAY(B2)</f>
        <v>426.97909090908996</v>
      </c>
      <c r="Q116" s="881" t="s">
        <v>311</v>
      </c>
      <c r="R116" s="883"/>
    </row>
    <row r="117" spans="1:18" ht="30.75" customHeight="1">
      <c r="A117" s="888" t="s">
        <v>184</v>
      </c>
      <c r="B117" s="889"/>
      <c r="C117" s="890"/>
      <c r="D117" s="146" t="s">
        <v>183</v>
      </c>
      <c r="E117" s="95">
        <f>'10'!F117</f>
        <v>86441.87</v>
      </c>
      <c r="F117" s="237">
        <v>86697.031000000003</v>
      </c>
      <c r="G117" s="112">
        <f t="shared" si="9"/>
        <v>255.16100000000733</v>
      </c>
      <c r="H117" s="99">
        <f>G117+'10'!H117</f>
        <v>3987.0310000000027</v>
      </c>
      <c r="I117" s="165"/>
      <c r="J117" s="328">
        <f>H117/DAY(B2)</f>
        <v>362.45736363636388</v>
      </c>
      <c r="Q117" s="881" t="s">
        <v>312</v>
      </c>
      <c r="R117" s="883"/>
    </row>
    <row r="118" spans="1:18" ht="30.75" customHeight="1">
      <c r="A118" s="880" t="s">
        <v>97</v>
      </c>
      <c r="B118" s="880"/>
      <c r="C118" s="880"/>
      <c r="D118" s="151" t="s">
        <v>183</v>
      </c>
      <c r="E118" s="95">
        <f>'10'!F118</f>
        <v>164478.26</v>
      </c>
      <c r="F118" s="416">
        <v>165156.15</v>
      </c>
      <c r="G118" s="112">
        <f t="shared" si="9"/>
        <v>677.88999999998487</v>
      </c>
      <c r="H118" s="99">
        <f>G118+'10'!H118</f>
        <v>7019</v>
      </c>
      <c r="I118" s="165"/>
      <c r="J118" s="328">
        <f>H118/DAY(B2)</f>
        <v>638.09090909090912</v>
      </c>
      <c r="Q118" s="881" t="s">
        <v>311</v>
      </c>
      <c r="R118" s="883"/>
    </row>
    <row r="119" spans="1:18" ht="30.75" customHeight="1">
      <c r="A119" s="880" t="s">
        <v>98</v>
      </c>
      <c r="B119" s="880"/>
      <c r="C119" s="880"/>
      <c r="D119" s="151" t="s">
        <v>183</v>
      </c>
      <c r="E119" s="95">
        <f>'10'!F119</f>
        <v>44302.64</v>
      </c>
      <c r="F119" s="237">
        <v>44337.11</v>
      </c>
      <c r="G119" s="112">
        <f t="shared" si="9"/>
        <v>34.470000000001164</v>
      </c>
      <c r="H119" s="99">
        <f>G119+'10'!H119</f>
        <v>397.93499999999767</v>
      </c>
      <c r="I119" s="165"/>
      <c r="J119" s="328">
        <f>H119/DAY(B2)</f>
        <v>36.175909090908881</v>
      </c>
    </row>
    <row r="120" spans="1:18" ht="30.75" customHeight="1">
      <c r="A120" s="880" t="s">
        <v>99</v>
      </c>
      <c r="B120" s="880"/>
      <c r="C120" s="880"/>
      <c r="D120" s="151" t="s">
        <v>183</v>
      </c>
      <c r="E120" s="95">
        <f>'10'!F120</f>
        <v>112426.55</v>
      </c>
      <c r="F120" s="237">
        <v>112799.43</v>
      </c>
      <c r="G120" s="112">
        <f t="shared" si="9"/>
        <v>372.8799999999901</v>
      </c>
      <c r="H120" s="99">
        <f>G120+'10'!H120</f>
        <v>4362.2899999999936</v>
      </c>
      <c r="I120" s="165"/>
      <c r="J120" s="328">
        <f>H120/DAY(B2)</f>
        <v>396.5718181818176</v>
      </c>
    </row>
    <row r="121" spans="1:18" ht="30.75" customHeight="1">
      <c r="A121" s="880" t="s">
        <v>100</v>
      </c>
      <c r="B121" s="880"/>
      <c r="C121" s="880"/>
      <c r="D121" s="151" t="s">
        <v>183</v>
      </c>
      <c r="E121" s="95">
        <f>'10'!F121</f>
        <v>125547.75</v>
      </c>
      <c r="F121" s="237">
        <v>125989.39</v>
      </c>
      <c r="G121" s="112">
        <f t="shared" si="9"/>
        <v>441.63999999999942</v>
      </c>
      <c r="H121" s="99">
        <f>G121+'10'!H121</f>
        <v>4766.5</v>
      </c>
      <c r="I121" s="165"/>
      <c r="J121" s="328">
        <f>H121/DAY(B2)</f>
        <v>433.31818181818181</v>
      </c>
    </row>
    <row r="122" spans="1:18" ht="30.75" customHeight="1">
      <c r="A122" s="880" t="s">
        <v>101</v>
      </c>
      <c r="B122" s="880"/>
      <c r="C122" s="880"/>
      <c r="D122" s="151" t="s">
        <v>183</v>
      </c>
      <c r="E122" s="95">
        <f>'10'!F122</f>
        <v>84321.63</v>
      </c>
      <c r="F122" s="237">
        <v>84648.5</v>
      </c>
      <c r="G122" s="112">
        <f t="shared" si="9"/>
        <v>326.86999999999534</v>
      </c>
      <c r="H122" s="99">
        <f>G122+'10'!H122</f>
        <v>3374.1300000000047</v>
      </c>
      <c r="I122" s="165"/>
      <c r="J122" s="328">
        <f>H122/DAY(B2)</f>
        <v>306.73909090909132</v>
      </c>
    </row>
    <row r="123" spans="1:18" ht="30.75" customHeight="1">
      <c r="A123" s="880" t="s">
        <v>102</v>
      </c>
      <c r="B123" s="880"/>
      <c r="C123" s="880"/>
      <c r="D123" s="151" t="s">
        <v>183</v>
      </c>
      <c r="E123" s="95">
        <f>'10'!F123</f>
        <v>81100.55</v>
      </c>
      <c r="F123" s="237">
        <v>81409.83</v>
      </c>
      <c r="G123" s="112">
        <f t="shared" si="9"/>
        <v>309.27999999999884</v>
      </c>
      <c r="H123" s="99">
        <f>G123+'10'!H123</f>
        <v>3460.8300000000017</v>
      </c>
      <c r="I123" s="165"/>
      <c r="J123" s="328">
        <f>H123/DAY(B2)</f>
        <v>314.62090909090927</v>
      </c>
    </row>
    <row r="124" spans="1:18" ht="30.75" customHeight="1">
      <c r="A124" s="885"/>
      <c r="B124" s="886"/>
      <c r="C124" s="887"/>
      <c r="D124" s="165"/>
      <c r="E124" s="165"/>
      <c r="F124" s="165"/>
      <c r="G124" s="327"/>
      <c r="H124" s="156"/>
      <c r="I124" s="165"/>
      <c r="J124" s="327"/>
    </row>
    <row r="125" spans="1:18" ht="30.75" customHeight="1">
      <c r="A125" s="787" t="s">
        <v>196</v>
      </c>
      <c r="B125" s="788"/>
      <c r="C125" s="245"/>
      <c r="D125" s="307"/>
      <c r="E125" s="308"/>
      <c r="F125" s="308"/>
      <c r="G125" s="309">
        <f>SUM(G112:G124)</f>
        <v>3467.4659999999749</v>
      </c>
      <c r="H125" s="156"/>
      <c r="I125" s="327">
        <f>G125-(G39+G53)</f>
        <v>651.60599999998885</v>
      </c>
      <c r="J125" s="327"/>
    </row>
    <row r="126" spans="1:18" ht="30.75" customHeight="1">
      <c r="A126" s="884" t="s">
        <v>317</v>
      </c>
      <c r="B126" s="884"/>
      <c r="C126" s="884"/>
      <c r="D126" s="884"/>
      <c r="E126" s="884"/>
      <c r="F126" s="884"/>
      <c r="G126" s="884"/>
      <c r="H126" s="884"/>
      <c r="I126" s="884"/>
      <c r="J126" s="884"/>
    </row>
    <row r="127" spans="1:18" ht="30.75" customHeight="1">
      <c r="A127" s="870"/>
      <c r="B127" s="870"/>
      <c r="C127" s="245"/>
      <c r="D127" s="307"/>
      <c r="E127" s="308"/>
      <c r="F127" s="308"/>
      <c r="G127" s="309"/>
      <c r="H127" s="99">
        <f>G127+'10'!H127</f>
        <v>0</v>
      </c>
      <c r="I127" s="165"/>
      <c r="J127" s="328">
        <f>H127/DAY(B2)</f>
        <v>0</v>
      </c>
    </row>
    <row r="128" spans="1:18" ht="30.75" customHeight="1">
      <c r="A128" s="881" t="s">
        <v>318</v>
      </c>
      <c r="B128" s="882"/>
      <c r="C128" s="883"/>
      <c r="D128" s="151" t="s">
        <v>183</v>
      </c>
      <c r="E128" s="95">
        <f>'10'!F128</f>
        <v>196866.23</v>
      </c>
      <c r="F128" s="157">
        <v>197364.41</v>
      </c>
      <c r="G128" s="112">
        <f t="shared" ref="G128:G134" si="10">F128-E128</f>
        <v>498.17999999999302</v>
      </c>
      <c r="H128" s="99">
        <f>G128+'10'!H128</f>
        <v>5478.7799999999988</v>
      </c>
      <c r="I128" s="165"/>
      <c r="J128" s="328">
        <f>H128/DAY(B2)</f>
        <v>498.07090909090897</v>
      </c>
    </row>
    <row r="129" spans="1:15" ht="30.75" customHeight="1">
      <c r="A129" s="329" t="s">
        <v>319</v>
      </c>
      <c r="B129" s="330"/>
      <c r="C129" s="331"/>
      <c r="D129" s="151" t="s">
        <v>183</v>
      </c>
      <c r="E129" s="95">
        <f>'10'!F129</f>
        <v>103172.05499999999</v>
      </c>
      <c r="F129" s="157">
        <v>103358.15</v>
      </c>
      <c r="G129" s="112">
        <f t="shared" si="10"/>
        <v>186.09500000000116</v>
      </c>
      <c r="H129" s="99">
        <f>G129+'10'!H129</f>
        <v>2081.1499999999942</v>
      </c>
      <c r="I129" s="165"/>
      <c r="J129" s="328">
        <f>H129/DAY(B2)</f>
        <v>189.19545454545403</v>
      </c>
      <c r="N129" s="240"/>
      <c r="O129" s="241"/>
    </row>
    <row r="130" spans="1:15" ht="30.75" customHeight="1">
      <c r="A130" s="329" t="s">
        <v>320</v>
      </c>
      <c r="B130" s="330"/>
      <c r="C130" s="331"/>
      <c r="D130" s="151" t="s">
        <v>183</v>
      </c>
      <c r="E130" s="95">
        <f>'10'!F130</f>
        <v>273880</v>
      </c>
      <c r="F130" s="157">
        <v>274474.07</v>
      </c>
      <c r="G130" s="112">
        <f t="shared" si="10"/>
        <v>594.07000000000698</v>
      </c>
      <c r="H130" s="99">
        <f>G130+'10'!H130</f>
        <v>5659.070000000007</v>
      </c>
      <c r="I130" s="165"/>
      <c r="J130" s="328">
        <f>H130/DAY(B2)</f>
        <v>514.46090909090969</v>
      </c>
      <c r="N130" s="240"/>
      <c r="O130" s="241"/>
    </row>
    <row r="131" spans="1:15" ht="30.75" customHeight="1">
      <c r="A131" s="881" t="s">
        <v>321</v>
      </c>
      <c r="B131" s="882"/>
      <c r="C131" s="883"/>
      <c r="D131" s="151" t="s">
        <v>183</v>
      </c>
      <c r="E131" s="95">
        <f>'10'!F131</f>
        <v>81246.16</v>
      </c>
      <c r="F131" s="157">
        <v>81465.191000000006</v>
      </c>
      <c r="G131" s="112">
        <f t="shared" si="10"/>
        <v>219.03100000000268</v>
      </c>
      <c r="H131" s="99">
        <f>G131+'10'!H131</f>
        <v>1914.5610000000015</v>
      </c>
      <c r="I131" s="165"/>
      <c r="J131" s="328">
        <f>H131/DAY(B2)</f>
        <v>174.05100000000013</v>
      </c>
      <c r="N131" s="240"/>
      <c r="O131" s="241"/>
    </row>
    <row r="132" spans="1:15" ht="30.75" customHeight="1">
      <c r="A132" s="881" t="s">
        <v>322</v>
      </c>
      <c r="B132" s="882"/>
      <c r="C132" s="883"/>
      <c r="D132" s="151" t="s">
        <v>183</v>
      </c>
      <c r="E132" s="95">
        <f>'10'!F132</f>
        <v>148274</v>
      </c>
      <c r="F132" s="157">
        <v>148274</v>
      </c>
      <c r="G132" s="112">
        <f t="shared" si="10"/>
        <v>0</v>
      </c>
      <c r="H132" s="99">
        <f>G132+'10'!H132</f>
        <v>0</v>
      </c>
      <c r="I132" s="165"/>
      <c r="J132" s="328">
        <f>H132/DAY(B2)</f>
        <v>0</v>
      </c>
    </row>
    <row r="133" spans="1:15" ht="30.75" customHeight="1">
      <c r="A133" s="881" t="s">
        <v>359</v>
      </c>
      <c r="B133" s="882"/>
      <c r="C133" s="883"/>
      <c r="D133" s="151" t="s">
        <v>183</v>
      </c>
      <c r="E133" s="95">
        <f>'10'!F133</f>
        <v>288548.17</v>
      </c>
      <c r="F133" s="157">
        <v>288548.17</v>
      </c>
      <c r="G133" s="112">
        <f t="shared" si="10"/>
        <v>0</v>
      </c>
      <c r="H133" s="99">
        <f>G133+'10'!H133</f>
        <v>-644499.83000000007</v>
      </c>
      <c r="I133" s="165"/>
      <c r="J133" s="328">
        <f>H133/DAY(B2)</f>
        <v>-58590.893636363646</v>
      </c>
    </row>
    <row r="134" spans="1:15" ht="30.75" customHeight="1">
      <c r="A134" s="881" t="s">
        <v>340</v>
      </c>
      <c r="B134" s="882"/>
      <c r="C134" s="883"/>
      <c r="D134" s="151" t="s">
        <v>183</v>
      </c>
      <c r="E134" s="95">
        <f>'10'!F134</f>
        <v>88694.8</v>
      </c>
      <c r="F134" s="157">
        <v>88856.566999999995</v>
      </c>
      <c r="G134" s="112">
        <f t="shared" si="10"/>
        <v>161.76699999999255</v>
      </c>
      <c r="H134" s="99">
        <f>G134+'10'!H134</f>
        <v>2904.5669999999955</v>
      </c>
      <c r="I134" s="165"/>
      <c r="J134" s="328">
        <f>H134/DAY(B2)</f>
        <v>264.05154545454502</v>
      </c>
    </row>
    <row r="135" spans="1:15" ht="30.75" customHeight="1">
      <c r="A135" s="787" t="s">
        <v>196</v>
      </c>
      <c r="B135" s="788"/>
      <c r="C135" s="331"/>
      <c r="D135" s="151"/>
      <c r="E135" s="95"/>
      <c r="F135" s="165"/>
      <c r="G135" s="112">
        <f>SUM(G128:G134)</f>
        <v>1659.1429999999964</v>
      </c>
      <c r="H135" s="99">
        <f>G135+'10'!H135</f>
        <v>-626461.70199999993</v>
      </c>
      <c r="I135" s="327">
        <f>G135-(G35+G49)</f>
        <v>-1459.9569999999803</v>
      </c>
      <c r="J135" s="328">
        <f>H135/DAY(B2)</f>
        <v>-56951.063818181814</v>
      </c>
    </row>
    <row r="136" spans="1:15" ht="30.75" customHeight="1">
      <c r="A136" s="869" t="s">
        <v>325</v>
      </c>
      <c r="B136" s="869"/>
      <c r="C136" s="869"/>
      <c r="D136" s="869"/>
      <c r="E136" s="869"/>
      <c r="F136" s="869"/>
      <c r="G136" s="869"/>
      <c r="H136" s="869"/>
      <c r="I136" s="869"/>
      <c r="J136" s="869"/>
    </row>
    <row r="137" spans="1:15" ht="30.75" customHeight="1">
      <c r="A137" s="245"/>
      <c r="B137" s="246"/>
      <c r="C137" s="246"/>
      <c r="D137" s="165"/>
      <c r="E137" s="165"/>
      <c r="F137" s="165" t="s">
        <v>356</v>
      </c>
      <c r="G137" s="165"/>
      <c r="H137" s="156"/>
      <c r="I137" s="165"/>
      <c r="J137" s="327"/>
    </row>
    <row r="138" spans="1:15" ht="30.75" customHeight="1">
      <c r="A138" s="880" t="s">
        <v>185</v>
      </c>
      <c r="B138" s="880"/>
      <c r="C138" s="880"/>
      <c r="D138" s="151" t="s">
        <v>183</v>
      </c>
      <c r="E138" s="95">
        <f>'10'!F138</f>
        <v>910632</v>
      </c>
      <c r="F138" s="147">
        <v>910757</v>
      </c>
      <c r="G138" s="112">
        <f t="shared" ref="G138:G152" si="11">F138-E138</f>
        <v>125</v>
      </c>
      <c r="H138" s="99">
        <f>G138+'10'!H138</f>
        <v>1278</v>
      </c>
      <c r="I138" s="118"/>
      <c r="J138" s="328">
        <f>H138/DAY(B2)</f>
        <v>116.18181818181819</v>
      </c>
    </row>
    <row r="139" spans="1:15" ht="30.75" customHeight="1">
      <c r="A139" s="880" t="s">
        <v>186</v>
      </c>
      <c r="B139" s="880"/>
      <c r="C139" s="880"/>
      <c r="D139" s="151" t="s">
        <v>183</v>
      </c>
      <c r="E139" s="95">
        <f>'10'!F139</f>
        <v>933952</v>
      </c>
      <c r="F139" s="148">
        <v>934410.3</v>
      </c>
      <c r="G139" s="112">
        <f t="shared" si="11"/>
        <v>458.30000000004657</v>
      </c>
      <c r="H139" s="99">
        <f>G139+'10'!H139</f>
        <v>2050.3000000000466</v>
      </c>
      <c r="I139" s="118"/>
      <c r="J139" s="328">
        <f>H139/DAY(B2)</f>
        <v>186.39090909091331</v>
      </c>
    </row>
    <row r="140" spans="1:15" ht="30.75" customHeight="1">
      <c r="A140" s="880" t="s">
        <v>187</v>
      </c>
      <c r="B140" s="880"/>
      <c r="C140" s="880"/>
      <c r="D140" s="151" t="s">
        <v>183</v>
      </c>
      <c r="E140" s="95">
        <f>'10'!F140</f>
        <v>4233.6000000000004</v>
      </c>
      <c r="F140" s="149">
        <v>4260.93</v>
      </c>
      <c r="G140" s="112">
        <f t="shared" si="11"/>
        <v>27.329999999999927</v>
      </c>
      <c r="H140" s="99">
        <f>G140+'10'!H140</f>
        <v>227.41900000000032</v>
      </c>
      <c r="I140" s="118"/>
      <c r="J140" s="328">
        <f>H140/DAY(B2)</f>
        <v>20.674454545454577</v>
      </c>
    </row>
    <row r="141" spans="1:15" ht="30.75" customHeight="1">
      <c r="A141" s="863" t="s">
        <v>188</v>
      </c>
      <c r="B141" s="863"/>
      <c r="C141" s="863"/>
      <c r="D141" s="151" t="s">
        <v>183</v>
      </c>
      <c r="E141" s="95">
        <f>'10'!F141</f>
        <v>126571</v>
      </c>
      <c r="F141" s="149">
        <v>126763</v>
      </c>
      <c r="G141" s="112">
        <f t="shared" si="11"/>
        <v>192</v>
      </c>
      <c r="H141" s="99">
        <f>G141+'10'!H141</f>
        <v>2165</v>
      </c>
      <c r="I141" s="118"/>
      <c r="J141" s="328">
        <f>H141/DAY(B2)</f>
        <v>196.81818181818181</v>
      </c>
    </row>
    <row r="142" spans="1:15" ht="30.75" customHeight="1">
      <c r="A142" s="863" t="s">
        <v>189</v>
      </c>
      <c r="B142" s="863"/>
      <c r="C142" s="863"/>
      <c r="D142" s="151" t="s">
        <v>183</v>
      </c>
      <c r="E142" s="95">
        <f>'10'!F142</f>
        <v>51468.1</v>
      </c>
      <c r="F142" s="148">
        <v>51563.839999999997</v>
      </c>
      <c r="G142" s="112">
        <f t="shared" si="11"/>
        <v>95.739999999997963</v>
      </c>
      <c r="H142" s="99">
        <f>G142+'10'!H142</f>
        <v>998.2899999999936</v>
      </c>
      <c r="I142" s="140"/>
      <c r="J142" s="328">
        <f>H142/DAY(B2)</f>
        <v>90.753636363635778</v>
      </c>
    </row>
    <row r="143" spans="1:15" ht="30.75" customHeight="1">
      <c r="A143" s="880" t="s">
        <v>91</v>
      </c>
      <c r="B143" s="880"/>
      <c r="C143" s="880"/>
      <c r="D143" s="151" t="s">
        <v>183</v>
      </c>
      <c r="E143" s="95">
        <f>'10'!F143</f>
        <v>13699.2</v>
      </c>
      <c r="F143" s="149">
        <v>13729.252</v>
      </c>
      <c r="G143" s="112">
        <f t="shared" si="11"/>
        <v>30.05199999999968</v>
      </c>
      <c r="H143" s="99">
        <f>G143+'10'!H143</f>
        <v>342.25200000000041</v>
      </c>
      <c r="I143" s="140"/>
      <c r="J143" s="328">
        <f>H143/DAY(B2)</f>
        <v>31.113818181818218</v>
      </c>
    </row>
    <row r="144" spans="1:15" ht="30.75" customHeight="1">
      <c r="A144" s="863" t="s">
        <v>90</v>
      </c>
      <c r="B144" s="863"/>
      <c r="C144" s="863"/>
      <c r="D144" s="151" t="s">
        <v>183</v>
      </c>
      <c r="E144" s="95">
        <f>'10'!F144</f>
        <v>957881</v>
      </c>
      <c r="F144" s="149">
        <v>958129</v>
      </c>
      <c r="G144" s="112">
        <f t="shared" si="11"/>
        <v>248</v>
      </c>
      <c r="H144" s="99">
        <f>G144+'10'!H144</f>
        <v>2659</v>
      </c>
      <c r="I144" s="140"/>
      <c r="J144" s="328">
        <f>H144/DAY(B2)</f>
        <v>241.72727272727272</v>
      </c>
    </row>
    <row r="145" spans="1:10" ht="30.75" customHeight="1">
      <c r="A145" s="880" t="s">
        <v>190</v>
      </c>
      <c r="B145" s="880"/>
      <c r="C145" s="880"/>
      <c r="D145" s="152" t="s">
        <v>183</v>
      </c>
      <c r="E145" s="95">
        <f>'10'!F145</f>
        <v>746688</v>
      </c>
      <c r="F145" s="149">
        <v>747201.1</v>
      </c>
      <c r="G145" s="112">
        <f t="shared" si="11"/>
        <v>513.09999999997672</v>
      </c>
      <c r="H145" s="99">
        <f>G145+'10'!H145</f>
        <v>2020.0999999999767</v>
      </c>
      <c r="I145" s="140"/>
      <c r="J145" s="328">
        <f>H145/DAY(B2)</f>
        <v>183.64545454545242</v>
      </c>
    </row>
    <row r="146" spans="1:10" ht="30.75" customHeight="1">
      <c r="A146" s="914" t="s">
        <v>191</v>
      </c>
      <c r="B146" s="900"/>
      <c r="C146" s="901"/>
      <c r="D146" s="152" t="s">
        <v>183</v>
      </c>
      <c r="E146" s="95">
        <f>'10'!F146</f>
        <v>788196</v>
      </c>
      <c r="F146" s="148">
        <v>788244</v>
      </c>
      <c r="G146" s="112">
        <f t="shared" si="11"/>
        <v>48</v>
      </c>
      <c r="H146" s="99">
        <f>G146+'10'!H146</f>
        <v>386</v>
      </c>
      <c r="I146" s="140"/>
      <c r="J146" s="328">
        <f>H146/DAY(B2)</f>
        <v>35.090909090909093</v>
      </c>
    </row>
    <row r="147" spans="1:10" ht="30.75" customHeight="1">
      <c r="A147" s="863" t="s">
        <v>192</v>
      </c>
      <c r="B147" s="863"/>
      <c r="C147" s="863"/>
      <c r="D147" s="152" t="s">
        <v>183</v>
      </c>
      <c r="E147" s="95">
        <f>'10'!F147</f>
        <v>763906.33</v>
      </c>
      <c r="F147" s="148">
        <v>764303.76</v>
      </c>
      <c r="G147" s="112">
        <f t="shared" si="11"/>
        <v>397.43000000005122</v>
      </c>
      <c r="H147" s="99">
        <f>G147+'10'!H147</f>
        <v>4165.7600000000093</v>
      </c>
      <c r="I147" s="140"/>
      <c r="J147" s="328">
        <f>H147/DAY(B2)</f>
        <v>378.70545454545538</v>
      </c>
    </row>
    <row r="148" spans="1:10" ht="30.75" customHeight="1">
      <c r="A148" s="864" t="s">
        <v>193</v>
      </c>
      <c r="B148" s="865"/>
      <c r="C148" s="866"/>
      <c r="D148" s="123" t="s">
        <v>130</v>
      </c>
      <c r="E148" s="95">
        <f>'10'!F148</f>
        <v>799697.76</v>
      </c>
      <c r="F148" s="150">
        <v>800002.16</v>
      </c>
      <c r="G148" s="112">
        <f t="shared" si="11"/>
        <v>304.40000000002328</v>
      </c>
      <c r="H148" s="99">
        <f>G148+'10'!H148</f>
        <v>3590.0800000000745</v>
      </c>
      <c r="I148" s="124"/>
      <c r="J148" s="328">
        <f>H148/DAY(B2)</f>
        <v>326.37090909091586</v>
      </c>
    </row>
    <row r="149" spans="1:10" ht="30.75" customHeight="1">
      <c r="A149" s="864" t="s">
        <v>336</v>
      </c>
      <c r="B149" s="865"/>
      <c r="C149" s="866"/>
      <c r="D149" s="227" t="s">
        <v>130</v>
      </c>
      <c r="E149" s="95">
        <f>'10'!F149</f>
        <v>205809</v>
      </c>
      <c r="F149" s="146">
        <v>206358</v>
      </c>
      <c r="G149" s="112">
        <f t="shared" si="11"/>
        <v>549</v>
      </c>
      <c r="H149" s="99">
        <f>G149+'10'!H149</f>
        <v>5066.7300000000105</v>
      </c>
      <c r="I149" s="119"/>
      <c r="J149" s="328">
        <f>H149/DAY(B2)</f>
        <v>460.61181818181916</v>
      </c>
    </row>
    <row r="150" spans="1:10" ht="30.75" customHeight="1">
      <c r="A150" s="864" t="s">
        <v>337</v>
      </c>
      <c r="B150" s="865"/>
      <c r="C150" s="866"/>
      <c r="D150" s="117" t="s">
        <v>130</v>
      </c>
      <c r="E150" s="95">
        <f>'10'!F150</f>
        <v>87358.7</v>
      </c>
      <c r="F150" s="233">
        <v>89496</v>
      </c>
      <c r="G150" s="112">
        <f t="shared" si="11"/>
        <v>2137.3000000000029</v>
      </c>
      <c r="H150" s="99">
        <f>G150+'10'!H150</f>
        <v>4282</v>
      </c>
      <c r="I150" s="119"/>
      <c r="J150" s="328">
        <f>H150/DAY(B2)</f>
        <v>389.27272727272725</v>
      </c>
    </row>
    <row r="151" spans="1:10" ht="30.75" customHeight="1">
      <c r="A151" s="864" t="s">
        <v>338</v>
      </c>
      <c r="B151" s="865"/>
      <c r="C151" s="866"/>
      <c r="D151" s="117" t="s">
        <v>130</v>
      </c>
      <c r="E151" s="95">
        <f>'10'!F151</f>
        <v>169737</v>
      </c>
      <c r="F151" s="233">
        <v>170045</v>
      </c>
      <c r="G151" s="112">
        <f t="shared" si="11"/>
        <v>308</v>
      </c>
      <c r="H151" s="99">
        <f>G151+'10'!H151</f>
        <v>3315</v>
      </c>
      <c r="I151" s="119"/>
      <c r="J151" s="328">
        <f>H151/DAY(B2)</f>
        <v>301.36363636363637</v>
      </c>
    </row>
    <row r="152" spans="1:10" ht="30.75" customHeight="1">
      <c r="A152" s="864" t="s">
        <v>339</v>
      </c>
      <c r="B152" s="865"/>
      <c r="C152" s="866"/>
      <c r="D152" s="117" t="s">
        <v>130</v>
      </c>
      <c r="E152" s="95">
        <f>'10'!F152</f>
        <v>43832.1</v>
      </c>
      <c r="F152" s="233">
        <v>43964.639999999999</v>
      </c>
      <c r="G152" s="112">
        <f t="shared" si="11"/>
        <v>132.54000000000087</v>
      </c>
      <c r="H152" s="99">
        <f>G152+'10'!H152</f>
        <v>1453.6399999999994</v>
      </c>
      <c r="I152" s="119"/>
      <c r="J152" s="328">
        <f>H152/DAY(B2)</f>
        <v>132.14909090909086</v>
      </c>
    </row>
    <row r="153" spans="1:10" ht="30.75" customHeight="1">
      <c r="A153" s="787" t="s">
        <v>196</v>
      </c>
      <c r="B153" s="788"/>
      <c r="C153" s="365"/>
      <c r="D153" s="358"/>
      <c r="E153" s="360"/>
      <c r="F153" s="361"/>
      <c r="G153" s="362">
        <f>SUM(G138:G152)</f>
        <v>5566.1920000000991</v>
      </c>
      <c r="H153" s="363"/>
      <c r="I153" s="119">
        <f>G153-(G38+G52)</f>
        <v>2997.6920000000991</v>
      </c>
      <c r="J153" s="366"/>
    </row>
    <row r="154" spans="1:10" ht="30.75" customHeight="1">
      <c r="A154" s="869" t="s">
        <v>344</v>
      </c>
      <c r="B154" s="869"/>
      <c r="C154" s="869"/>
      <c r="D154" s="869"/>
      <c r="E154" s="869"/>
      <c r="F154" s="869"/>
      <c r="G154" s="869"/>
      <c r="H154" s="869"/>
      <c r="I154" s="869"/>
      <c r="J154" s="869"/>
    </row>
    <row r="155" spans="1:10" ht="30.75" customHeight="1">
      <c r="A155" s="863" t="s">
        <v>345</v>
      </c>
      <c r="B155" s="863"/>
      <c r="C155" s="863"/>
      <c r="D155" s="117" t="s">
        <v>130</v>
      </c>
      <c r="E155" s="95">
        <f>'10'!F155</f>
        <v>244751</v>
      </c>
      <c r="F155" s="157">
        <v>245338.61</v>
      </c>
      <c r="G155" s="112">
        <f t="shared" ref="G155:G159" si="12">F155-E155</f>
        <v>587.60999999998603</v>
      </c>
      <c r="H155" s="99">
        <f>G155+'10'!H155</f>
        <v>6304.609999999986</v>
      </c>
      <c r="I155" s="364"/>
      <c r="J155" s="328">
        <f>H155/DAY(B2)</f>
        <v>573.14636363636237</v>
      </c>
    </row>
    <row r="156" spans="1:10" ht="30.75" customHeight="1">
      <c r="A156" s="863" t="s">
        <v>347</v>
      </c>
      <c r="B156" s="863"/>
      <c r="C156" s="863"/>
      <c r="D156" s="117" t="s">
        <v>130</v>
      </c>
      <c r="E156" s="95">
        <f>'10'!F156</f>
        <v>30543.83</v>
      </c>
      <c r="F156" s="155">
        <v>30637.600999999999</v>
      </c>
      <c r="G156" s="112">
        <f t="shared" si="12"/>
        <v>93.770999999997002</v>
      </c>
      <c r="H156" s="99">
        <f>G156+'10'!H156</f>
        <v>958.10099999999875</v>
      </c>
      <c r="I156" s="165"/>
      <c r="J156" s="328">
        <f>H156/DAY(B2)</f>
        <v>87.100090909090795</v>
      </c>
    </row>
    <row r="157" spans="1:10" ht="30.75" customHeight="1">
      <c r="A157" s="864" t="s">
        <v>360</v>
      </c>
      <c r="B157" s="865"/>
      <c r="C157" s="866"/>
      <c r="D157" s="117" t="s">
        <v>130</v>
      </c>
      <c r="E157" s="95">
        <f>'10'!F157</f>
        <v>37559</v>
      </c>
      <c r="F157" s="155">
        <v>37559</v>
      </c>
      <c r="G157" s="112">
        <f t="shared" si="12"/>
        <v>0</v>
      </c>
      <c r="H157" s="99">
        <f>G157+'10'!H157</f>
        <v>0</v>
      </c>
      <c r="I157" s="165"/>
      <c r="J157" s="328">
        <f>H157/DAY(B2)</f>
        <v>0</v>
      </c>
    </row>
    <row r="158" spans="1:10" ht="30.75" customHeight="1">
      <c r="A158" s="864" t="s">
        <v>361</v>
      </c>
      <c r="B158" s="865"/>
      <c r="C158" s="866"/>
      <c r="D158" s="117" t="s">
        <v>130</v>
      </c>
      <c r="E158" s="95">
        <f>'10'!F158</f>
        <v>1767.8</v>
      </c>
      <c r="F158" s="155">
        <v>1768</v>
      </c>
      <c r="G158" s="112">
        <f t="shared" si="12"/>
        <v>0.20000000000004547</v>
      </c>
      <c r="H158" s="99">
        <f>G158+'10'!H158</f>
        <v>10</v>
      </c>
      <c r="I158" s="165"/>
      <c r="J158" s="328">
        <f>H158/DAY(B2)</f>
        <v>0.90909090909090906</v>
      </c>
    </row>
    <row r="159" spans="1:10" ht="30.75" customHeight="1">
      <c r="A159" s="944"/>
      <c r="B159" s="945"/>
      <c r="C159" s="946"/>
      <c r="D159" s="117"/>
      <c r="E159" s="95"/>
      <c r="F159" s="155"/>
      <c r="G159" s="112">
        <f t="shared" si="12"/>
        <v>0</v>
      </c>
      <c r="H159" s="99">
        <f>G159+'10'!H159</f>
        <v>0</v>
      </c>
      <c r="I159" s="165"/>
      <c r="J159" s="328">
        <f>H159/DAY(B2)</f>
        <v>0</v>
      </c>
    </row>
    <row r="160" spans="1:10" ht="30.75" customHeight="1">
      <c r="A160" s="869" t="s">
        <v>326</v>
      </c>
      <c r="B160" s="869"/>
      <c r="C160" s="869"/>
      <c r="D160" s="869"/>
      <c r="E160" s="869"/>
      <c r="F160" s="869"/>
      <c r="G160" s="869"/>
      <c r="H160" s="869"/>
      <c r="I160" s="869"/>
      <c r="J160" s="869"/>
    </row>
    <row r="161" spans="1:10" ht="30.75" customHeight="1">
      <c r="A161" s="242" t="s">
        <v>92</v>
      </c>
      <c r="B161" s="243"/>
      <c r="C161" s="243"/>
      <c r="D161" s="244" t="s">
        <v>180</v>
      </c>
      <c r="E161" s="95">
        <f>'10'!F161</f>
        <v>510114.76</v>
      </c>
      <c r="F161" s="235">
        <v>510288.92</v>
      </c>
      <c r="G161" s="238">
        <f>F161-E161</f>
        <v>174.15999999997439</v>
      </c>
      <c r="H161" s="99">
        <f>G161+'10'!H161</f>
        <v>1905.5999999999767</v>
      </c>
      <c r="I161" s="236"/>
      <c r="J161" s="239">
        <f>H161/DAY(B2)</f>
        <v>173.23636363636152</v>
      </c>
    </row>
    <row r="162" spans="1:10" ht="30.75" customHeight="1">
      <c r="A162" s="242" t="s">
        <v>93</v>
      </c>
      <c r="B162" s="243"/>
      <c r="C162" s="243"/>
      <c r="D162" s="244" t="s">
        <v>180</v>
      </c>
      <c r="E162" s="95">
        <f>'10'!F162</f>
        <v>1117</v>
      </c>
      <c r="F162" s="235">
        <v>1160</v>
      </c>
      <c r="G162" s="238">
        <f t="shared" ref="G162:G165" si="13">F162-E162</f>
        <v>43</v>
      </c>
      <c r="H162" s="99">
        <f>G162+'10'!H162</f>
        <v>388.4</v>
      </c>
      <c r="I162" s="236"/>
      <c r="J162" s="239">
        <f>H162/DAY(B2)</f>
        <v>35.309090909090905</v>
      </c>
    </row>
    <row r="163" spans="1:10" ht="30.75" customHeight="1">
      <c r="A163" s="242" t="s">
        <v>197</v>
      </c>
      <c r="B163" s="243"/>
      <c r="C163" s="243"/>
      <c r="D163" s="244" t="s">
        <v>180</v>
      </c>
      <c r="E163" s="95">
        <f>'10'!F163</f>
        <v>0</v>
      </c>
      <c r="F163" s="235">
        <v>0</v>
      </c>
      <c r="G163" s="238">
        <f t="shared" si="13"/>
        <v>0</v>
      </c>
      <c r="H163" s="99">
        <f>G163+'10'!H163</f>
        <v>0</v>
      </c>
      <c r="I163" s="236"/>
      <c r="J163" s="239">
        <f>H163/DAY(B2)</f>
        <v>0</v>
      </c>
    </row>
    <row r="164" spans="1:10" ht="30.75" customHeight="1">
      <c r="A164" s="242" t="s">
        <v>197</v>
      </c>
      <c r="B164" s="243"/>
      <c r="C164" s="243"/>
      <c r="D164" s="244" t="s">
        <v>180</v>
      </c>
      <c r="E164" s="95">
        <f>'10'!F164</f>
        <v>7240</v>
      </c>
      <c r="F164" s="235">
        <v>7248</v>
      </c>
      <c r="G164" s="238">
        <f t="shared" si="13"/>
        <v>8</v>
      </c>
      <c r="H164" s="99">
        <f>G164+'10'!H164</f>
        <v>49</v>
      </c>
      <c r="I164" s="236"/>
      <c r="J164" s="239">
        <f>H164/DAY(B2)</f>
        <v>4.4545454545454541</v>
      </c>
    </row>
    <row r="165" spans="1:10" ht="30.75" customHeight="1">
      <c r="A165" s="242" t="s">
        <v>309</v>
      </c>
      <c r="B165" s="243"/>
      <c r="C165" s="243"/>
      <c r="D165" s="244" t="s">
        <v>180</v>
      </c>
      <c r="E165" s="95">
        <f>'10'!F165</f>
        <v>32841.72</v>
      </c>
      <c r="F165" s="235">
        <v>32849.752999999997</v>
      </c>
      <c r="G165" s="238">
        <f t="shared" si="13"/>
        <v>8.032999999995809</v>
      </c>
      <c r="H165" s="99">
        <f>G165+'10'!H165</f>
        <v>69.664999999993597</v>
      </c>
      <c r="I165" s="236"/>
      <c r="J165" s="239">
        <f>H165/DAY(B2)</f>
        <v>6.3331818181812363</v>
      </c>
    </row>
    <row r="166" spans="1:10" ht="30.75" customHeight="1">
      <c r="A166" s="870"/>
      <c r="B166" s="870"/>
      <c r="C166" s="246"/>
      <c r="D166" s="244" t="s">
        <v>180</v>
      </c>
      <c r="E166" s="95">
        <f>'10'!F166</f>
        <v>0</v>
      </c>
      <c r="F166" s="165" t="s">
        <v>207</v>
      </c>
      <c r="G166" s="165"/>
      <c r="H166" s="99">
        <f>G166+'10'!H166</f>
        <v>0</v>
      </c>
      <c r="I166" s="165"/>
      <c r="J166" s="239">
        <f>H166/DAY(B2)</f>
        <v>0</v>
      </c>
    </row>
    <row r="167" spans="1:10" ht="30.75" customHeight="1">
      <c r="A167" s="870"/>
      <c r="B167" s="870"/>
      <c r="C167" s="246"/>
      <c r="D167" s="244" t="s">
        <v>180</v>
      </c>
      <c r="E167" s="95">
        <f>'10'!F167</f>
        <v>0</v>
      </c>
      <c r="F167" s="165"/>
      <c r="G167" s="165"/>
      <c r="H167" s="99">
        <f>G167+'10'!H167</f>
        <v>0</v>
      </c>
      <c r="I167" s="165"/>
      <c r="J167" s="239">
        <f>H167/DAY(B2)</f>
        <v>0</v>
      </c>
    </row>
    <row r="168" spans="1:10" ht="30.75" customHeight="1">
      <c r="A168" s="870"/>
      <c r="B168" s="870"/>
      <c r="C168" s="246"/>
      <c r="D168" s="244" t="s">
        <v>180</v>
      </c>
      <c r="E168" s="95">
        <f>'10'!F168</f>
        <v>0</v>
      </c>
      <c r="F168" s="165"/>
      <c r="G168" s="165"/>
      <c r="H168" s="99">
        <f>G168+'10'!H168</f>
        <v>0</v>
      </c>
      <c r="I168" s="165"/>
      <c r="J168" s="239">
        <f>H168/DAY(B2)</f>
        <v>0</v>
      </c>
    </row>
    <row r="171" spans="1:10" ht="30.75" customHeight="1">
      <c r="A171" s="871" t="s">
        <v>330</v>
      </c>
      <c r="B171" s="872"/>
      <c r="C171" s="872"/>
      <c r="D171" s="872"/>
      <c r="E171" s="872"/>
      <c r="F171" s="872"/>
      <c r="G171" s="872"/>
      <c r="H171" s="872"/>
      <c r="I171" s="872"/>
      <c r="J171" s="873"/>
    </row>
    <row r="172" spans="1:10" ht="30.75" customHeight="1">
      <c r="A172" s="878"/>
      <c r="B172" s="879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>
      <c r="A173" s="789" t="s">
        <v>209</v>
      </c>
      <c r="B173" s="790"/>
      <c r="C173" s="333"/>
      <c r="D173" s="228" t="s">
        <v>142</v>
      </c>
      <c r="E173" s="95">
        <f>'10'!F173</f>
        <v>8624</v>
      </c>
      <c r="F173" s="157">
        <v>8626</v>
      </c>
      <c r="G173" s="155">
        <f>F173-E173</f>
        <v>2</v>
      </c>
      <c r="H173" s="99">
        <f>G173+'10'!H173</f>
        <v>14</v>
      </c>
      <c r="I173" s="155"/>
      <c r="J173" s="178">
        <f>H173/DAY(B2)</f>
        <v>1.2727272727272727</v>
      </c>
    </row>
    <row r="174" spans="1:10" ht="30.75" customHeight="1">
      <c r="A174" s="789" t="s">
        <v>75</v>
      </c>
      <c r="B174" s="790"/>
      <c r="C174" s="333"/>
      <c r="D174" s="228" t="s">
        <v>142</v>
      </c>
      <c r="E174" s="95">
        <f>'10'!F174</f>
        <v>43166</v>
      </c>
      <c r="F174" s="157">
        <v>43179</v>
      </c>
      <c r="G174" s="155">
        <f t="shared" ref="G174:G175" si="14">F174-E174</f>
        <v>13</v>
      </c>
      <c r="H174" s="99">
        <f>G174+'10'!H174</f>
        <v>129</v>
      </c>
      <c r="I174" s="155"/>
      <c r="J174" s="178">
        <f>H174/DAY(B2)</f>
        <v>11.727272727272727</v>
      </c>
    </row>
    <row r="175" spans="1:10" ht="30.75" customHeight="1">
      <c r="A175" s="789" t="s">
        <v>76</v>
      </c>
      <c r="B175" s="802"/>
      <c r="C175" s="790"/>
      <c r="D175" s="228" t="s">
        <v>142</v>
      </c>
      <c r="E175" s="95">
        <f>'10'!F175</f>
        <v>25969</v>
      </c>
      <c r="F175" s="155">
        <v>25984</v>
      </c>
      <c r="G175" s="155">
        <f t="shared" si="14"/>
        <v>15</v>
      </c>
      <c r="H175" s="99">
        <f>G175+'10'!H175</f>
        <v>163</v>
      </c>
      <c r="I175" s="155"/>
      <c r="J175" s="178">
        <f>H175/DAY(B2)</f>
        <v>14.818181818181818</v>
      </c>
    </row>
    <row r="176" spans="1:10" ht="30.75" customHeight="1">
      <c r="A176" s="787" t="s">
        <v>196</v>
      </c>
      <c r="B176" s="788"/>
      <c r="C176" s="400"/>
      <c r="D176" s="228" t="s">
        <v>142</v>
      </c>
      <c r="E176" s="95"/>
      <c r="F176" s="155"/>
      <c r="G176" s="155">
        <f>SUM(G173:G175)</f>
        <v>30</v>
      </c>
      <c r="H176" s="99">
        <f>G176+'10'!H176</f>
        <v>306</v>
      </c>
      <c r="I176" s="155"/>
      <c r="J176" s="178">
        <f>H176/DAY(B2)</f>
        <v>27.818181818181817</v>
      </c>
    </row>
    <row r="177" spans="1:10" ht="30.75" customHeight="1">
      <c r="A177" s="789" t="s">
        <v>77</v>
      </c>
      <c r="B177" s="790"/>
      <c r="C177" s="333"/>
      <c r="D177" s="228" t="s">
        <v>142</v>
      </c>
      <c r="E177" s="95"/>
      <c r="F177" s="155"/>
      <c r="G177" s="155"/>
      <c r="H177" s="99">
        <f>G177+'10'!H177</f>
        <v>0</v>
      </c>
      <c r="I177" s="155"/>
      <c r="J177" s="178">
        <f>H177/DAY(B2)</f>
        <v>0</v>
      </c>
    </row>
    <row r="178" spans="1:10" ht="30.75" customHeight="1">
      <c r="A178" s="789" t="s">
        <v>210</v>
      </c>
      <c r="B178" s="790"/>
      <c r="C178" s="333"/>
      <c r="D178" s="228" t="s">
        <v>142</v>
      </c>
      <c r="E178" s="95">
        <f>'10'!F178</f>
        <v>108158</v>
      </c>
      <c r="F178" s="155">
        <v>108258</v>
      </c>
      <c r="G178" s="155">
        <f>F178-E178</f>
        <v>100</v>
      </c>
      <c r="H178" s="99">
        <f>G178+'10'!H178</f>
        <v>1259</v>
      </c>
      <c r="I178" s="155"/>
      <c r="J178" s="178">
        <f>H178/DAY(B2)</f>
        <v>114.45454545454545</v>
      </c>
    </row>
    <row r="179" spans="1:10" ht="30.75" customHeight="1">
      <c r="A179" s="789" t="s">
        <v>211</v>
      </c>
      <c r="B179" s="790"/>
      <c r="C179" s="333"/>
      <c r="D179" s="228" t="s">
        <v>142</v>
      </c>
      <c r="E179" s="95">
        <f>'10'!F179</f>
        <v>37501</v>
      </c>
      <c r="F179" s="155">
        <v>37501</v>
      </c>
      <c r="G179" s="155">
        <f t="shared" ref="G179:G180" si="15">F179-E179</f>
        <v>0</v>
      </c>
      <c r="H179" s="99">
        <f>G179+'10'!H179</f>
        <v>0</v>
      </c>
      <c r="I179" s="155"/>
      <c r="J179" s="178">
        <f>H179/DAY(B2)</f>
        <v>0</v>
      </c>
    </row>
    <row r="180" spans="1:10" ht="30.75" customHeight="1">
      <c r="A180" s="789" t="s">
        <v>212</v>
      </c>
      <c r="B180" s="790"/>
      <c r="C180" s="333"/>
      <c r="D180" s="228" t="s">
        <v>142</v>
      </c>
      <c r="E180" s="95">
        <f>'10'!F180</f>
        <v>7599</v>
      </c>
      <c r="F180" s="155">
        <v>7617</v>
      </c>
      <c r="G180" s="155">
        <f t="shared" si="15"/>
        <v>18</v>
      </c>
      <c r="H180" s="99">
        <f>G180+'10'!H180</f>
        <v>54</v>
      </c>
      <c r="I180" s="155"/>
      <c r="J180" s="178">
        <f>H180/DAY(B2)</f>
        <v>4.9090909090909092</v>
      </c>
    </row>
    <row r="181" spans="1:10" ht="30.75" customHeight="1">
      <c r="A181" s="876" t="s">
        <v>108</v>
      </c>
      <c r="B181" s="877"/>
      <c r="C181" s="400"/>
      <c r="D181" s="228" t="s">
        <v>142</v>
      </c>
      <c r="E181" s="95"/>
      <c r="F181" s="155"/>
      <c r="G181" s="155">
        <f>SUM(G178:G180)</f>
        <v>118</v>
      </c>
      <c r="H181" s="99">
        <f>G181+'10'!H181</f>
        <v>1313</v>
      </c>
      <c r="I181" s="155"/>
      <c r="J181" s="178">
        <f>H181/DAY(B2)</f>
        <v>119.36363636363636</v>
      </c>
    </row>
    <row r="182" spans="1:10" ht="30.75" customHeight="1">
      <c r="A182" s="789" t="s">
        <v>213</v>
      </c>
      <c r="B182" s="790"/>
      <c r="C182" s="333"/>
      <c r="D182" s="228" t="s">
        <v>142</v>
      </c>
      <c r="E182" s="95"/>
      <c r="F182" s="155"/>
      <c r="G182" s="155"/>
      <c r="H182" s="99">
        <f>G182+'10'!H182</f>
        <v>0</v>
      </c>
      <c r="I182" s="155"/>
      <c r="J182" s="178">
        <f>H182/DAY(B2)</f>
        <v>0</v>
      </c>
    </row>
    <row r="183" spans="1:10" ht="30.75" customHeight="1">
      <c r="A183" s="789" t="s">
        <v>214</v>
      </c>
      <c r="B183" s="790"/>
      <c r="C183" s="334"/>
      <c r="D183" s="228" t="s">
        <v>142</v>
      </c>
      <c r="E183" s="95">
        <f>'10'!F183</f>
        <v>18444</v>
      </c>
      <c r="F183" s="157">
        <v>18450</v>
      </c>
      <c r="G183" s="157">
        <f>F183-E183</f>
        <v>6</v>
      </c>
      <c r="H183" s="99">
        <f>G183+'10'!H183</f>
        <v>72</v>
      </c>
      <c r="I183" s="155"/>
      <c r="J183" s="178">
        <f>H183/DAY(B2)</f>
        <v>6.5454545454545459</v>
      </c>
    </row>
    <row r="184" spans="1:10" ht="30.75" customHeight="1">
      <c r="A184" s="789" t="s">
        <v>215</v>
      </c>
      <c r="B184" s="790"/>
      <c r="C184" s="334"/>
      <c r="D184" s="228" t="s">
        <v>142</v>
      </c>
      <c r="E184" s="95">
        <f>'10'!F184</f>
        <v>13086</v>
      </c>
      <c r="F184" s="157">
        <v>13094</v>
      </c>
      <c r="G184" s="157">
        <f t="shared" ref="G184:G185" si="16">F184-E184</f>
        <v>8</v>
      </c>
      <c r="H184" s="99">
        <f>G184+'10'!H184</f>
        <v>114</v>
      </c>
      <c r="I184" s="155"/>
      <c r="J184" s="178">
        <f>H184/DAY(B2)</f>
        <v>10.363636363636363</v>
      </c>
    </row>
    <row r="185" spans="1:10" ht="30.75" customHeight="1">
      <c r="A185" s="789" t="s">
        <v>216</v>
      </c>
      <c r="B185" s="790"/>
      <c r="C185" s="334"/>
      <c r="D185" s="228" t="s">
        <v>142</v>
      </c>
      <c r="E185" s="95">
        <f>'10'!F185</f>
        <v>0</v>
      </c>
      <c r="F185" s="157">
        <v>0</v>
      </c>
      <c r="G185" s="157">
        <f t="shared" si="16"/>
        <v>0</v>
      </c>
      <c r="H185" s="99">
        <f>G185+'10'!H185</f>
        <v>0</v>
      </c>
      <c r="I185" s="155"/>
      <c r="J185" s="178">
        <f>H185/DAY(B2)</f>
        <v>0</v>
      </c>
    </row>
    <row r="186" spans="1:10" ht="30.75" customHeight="1">
      <c r="A186" s="787" t="s">
        <v>196</v>
      </c>
      <c r="B186" s="788"/>
      <c r="C186" s="399"/>
      <c r="D186" s="228" t="s">
        <v>142</v>
      </c>
      <c r="E186" s="95"/>
      <c r="F186" s="157"/>
      <c r="G186" s="157">
        <f>SUM(G183:G185)</f>
        <v>14</v>
      </c>
      <c r="H186" s="99">
        <f>G186+'10'!H186</f>
        <v>186</v>
      </c>
      <c r="I186" s="157"/>
      <c r="J186" s="178">
        <f>H186/DAY(B2)</f>
        <v>16.90909090909091</v>
      </c>
    </row>
    <row r="187" spans="1:10" ht="30.75" customHeight="1">
      <c r="A187" s="867" t="s">
        <v>217</v>
      </c>
      <c r="B187" s="868"/>
      <c r="C187" s="333"/>
      <c r="D187" s="230" t="s">
        <v>142</v>
      </c>
      <c r="E187" s="95"/>
      <c r="F187" s="159"/>
      <c r="G187" s="377">
        <f>G62+G19</f>
        <v>196.70000000001164</v>
      </c>
      <c r="H187" s="99">
        <f>G187+'10'!H187</f>
        <v>1921</v>
      </c>
      <c r="I187" s="158"/>
      <c r="J187" s="179">
        <f>H187/DAY(B2)</f>
        <v>174.63636363636363</v>
      </c>
    </row>
    <row r="188" spans="1:10" ht="30.75" customHeight="1">
      <c r="A188" s="867" t="s">
        <v>218</v>
      </c>
      <c r="B188" s="868"/>
      <c r="C188" s="333"/>
      <c r="D188" s="230" t="s">
        <v>142</v>
      </c>
      <c r="E188" s="95"/>
      <c r="F188" s="159"/>
      <c r="G188" s="377">
        <f>G65+G66+G67+G69+G70</f>
        <v>221</v>
      </c>
      <c r="H188" s="99">
        <f>G188+'10'!H188</f>
        <v>2888</v>
      </c>
      <c r="I188" s="158"/>
      <c r="J188" s="179">
        <f>H188/DAY(B2)</f>
        <v>262.54545454545456</v>
      </c>
    </row>
    <row r="189" spans="1:10" ht="30.75" customHeight="1">
      <c r="A189" s="867" t="s">
        <v>219</v>
      </c>
      <c r="B189" s="868"/>
      <c r="C189" s="333"/>
      <c r="D189" s="230" t="s">
        <v>142</v>
      </c>
      <c r="E189" s="95"/>
      <c r="F189" s="157"/>
      <c r="G189" s="376">
        <f>G181</f>
        <v>118</v>
      </c>
      <c r="H189" s="99">
        <f>G189+'10'!H189</f>
        <v>1313</v>
      </c>
      <c r="I189" s="158"/>
      <c r="J189" s="179">
        <f>H189/DAY(B2)</f>
        <v>119.36363636363636</v>
      </c>
    </row>
    <row r="190" spans="1:10" ht="30.75" customHeight="1">
      <c r="A190" s="874"/>
      <c r="B190" s="875"/>
      <c r="C190" s="398"/>
      <c r="D190" s="395"/>
      <c r="E190" s="395" t="s">
        <v>207</v>
      </c>
      <c r="F190" s="395"/>
      <c r="G190" s="395"/>
      <c r="H190" s="396"/>
      <c r="I190" s="395"/>
      <c r="J190" s="397"/>
    </row>
  </sheetData>
  <mergeCells count="115">
    <mergeCell ref="A64:C64"/>
    <mergeCell ref="A65:C6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61:C61"/>
    <mergeCell ref="A62:C62"/>
    <mergeCell ref="A63:C63"/>
    <mergeCell ref="A124:C124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05:C105"/>
    <mergeCell ref="A108:J108"/>
    <mergeCell ref="A78:C78"/>
    <mergeCell ref="A97:C97"/>
    <mergeCell ref="A98:C98"/>
    <mergeCell ref="A99:C99"/>
    <mergeCell ref="A100:C100"/>
    <mergeCell ref="A71:C71"/>
    <mergeCell ref="A72:B72"/>
    <mergeCell ref="A181:B181"/>
    <mergeCell ref="A183:B183"/>
    <mergeCell ref="A175:C175"/>
    <mergeCell ref="A182:B182"/>
    <mergeCell ref="A178:B178"/>
    <mergeCell ref="A179:B179"/>
    <mergeCell ref="A180:B180"/>
    <mergeCell ref="A109:B109"/>
    <mergeCell ref="A102:C102"/>
    <mergeCell ref="A115:C115"/>
    <mergeCell ref="A116:C116"/>
    <mergeCell ref="A119:C119"/>
    <mergeCell ref="A120:C120"/>
    <mergeCell ref="A121:C121"/>
    <mergeCell ref="A122:C122"/>
    <mergeCell ref="A123:C123"/>
    <mergeCell ref="A148:C148"/>
    <mergeCell ref="A149:C149"/>
    <mergeCell ref="A147:C147"/>
    <mergeCell ref="A101:C101"/>
    <mergeCell ref="A103:C103"/>
    <mergeCell ref="A104:C104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32:C132"/>
    <mergeCell ref="A133:C133"/>
    <mergeCell ref="A134:C134"/>
    <mergeCell ref="A136:J136"/>
    <mergeCell ref="A125:B125"/>
    <mergeCell ref="A126:J126"/>
    <mergeCell ref="A127:B127"/>
    <mergeCell ref="A128:C128"/>
    <mergeCell ref="A131:C131"/>
    <mergeCell ref="A135:B135"/>
    <mergeCell ref="A160:J160"/>
    <mergeCell ref="A166:B166"/>
    <mergeCell ref="A167:B167"/>
    <mergeCell ref="A168:B168"/>
    <mergeCell ref="A171:J171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2:B172"/>
    <mergeCell ref="A173:B173"/>
    <mergeCell ref="A174:B174"/>
    <mergeCell ref="A176:B176"/>
    <mergeCell ref="A177:B177"/>
    <mergeCell ref="A184:B184"/>
    <mergeCell ref="A185:B185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R190"/>
  <sheetViews>
    <sheetView view="pageBreakPreview" topLeftCell="A121" zoomScale="55" zoomScaleNormal="75" zoomScaleSheetLayoutView="55" workbookViewId="0">
      <selection activeCell="F140" sqref="F140"/>
    </sheetView>
  </sheetViews>
  <sheetFormatPr defaultColWidth="22.33203125" defaultRowHeight="32.2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2.25" customHeight="1">
      <c r="A1" s="919" t="s">
        <v>115</v>
      </c>
      <c r="B1" s="920"/>
      <c r="C1" s="920"/>
      <c r="D1" s="920"/>
      <c r="E1" s="920"/>
      <c r="F1" s="920"/>
      <c r="G1" s="920"/>
      <c r="H1" s="920"/>
      <c r="I1" s="920"/>
      <c r="J1" s="921"/>
    </row>
    <row r="2" spans="1:15" s="57" customFormat="1" ht="32.25" customHeight="1">
      <c r="A2" s="191" t="s">
        <v>372</v>
      </c>
      <c r="B2" s="262">
        <v>44938</v>
      </c>
      <c r="C2" s="348" t="s">
        <v>67</v>
      </c>
      <c r="D2" s="218">
        <v>0.49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2.25" customHeight="1">
      <c r="A3" s="189"/>
      <c r="B3" s="221"/>
      <c r="C3" s="348" t="s">
        <v>118</v>
      </c>
      <c r="D3" s="219">
        <v>33</v>
      </c>
      <c r="E3" s="928" t="s">
        <v>119</v>
      </c>
      <c r="F3" s="929"/>
      <c r="G3" s="101"/>
      <c r="H3" s="102"/>
      <c r="I3" s="102"/>
      <c r="J3" s="222"/>
      <c r="K3" s="61"/>
      <c r="L3" s="58"/>
    </row>
    <row r="4" spans="1:15" s="57" customFormat="1" ht="32.25" customHeight="1">
      <c r="A4" s="192"/>
      <c r="B4" s="223"/>
      <c r="C4" s="348" t="s">
        <v>120</v>
      </c>
      <c r="D4" s="218">
        <v>0.81</v>
      </c>
      <c r="E4" s="103"/>
      <c r="F4" s="103"/>
      <c r="G4" s="103"/>
      <c r="H4" s="103"/>
      <c r="I4" s="104"/>
      <c r="J4" s="222"/>
      <c r="K4" s="62"/>
      <c r="L4" s="58"/>
    </row>
    <row r="5" spans="1:15" ht="32.2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2.25" customHeight="1">
      <c r="A6" s="922" t="s">
        <v>128</v>
      </c>
      <c r="B6" s="923"/>
      <c r="C6" s="92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2.25" customHeight="1" thickBot="1">
      <c r="A7" s="194" t="s">
        <v>129</v>
      </c>
      <c r="B7" s="195"/>
      <c r="C7" s="195"/>
      <c r="D7" s="151" t="s">
        <v>130</v>
      </c>
      <c r="E7" s="95">
        <f>'11'!F7</f>
        <v>208291</v>
      </c>
      <c r="F7" s="95">
        <v>229249.27</v>
      </c>
      <c r="G7" s="112">
        <f>F7-E7</f>
        <v>20958.26999999999</v>
      </c>
      <c r="H7" s="99">
        <f>G7+'11'!H7</f>
        <v>251630.27</v>
      </c>
      <c r="I7" s="113">
        <f>'1'!I7</f>
        <v>12000</v>
      </c>
      <c r="J7" s="175">
        <f>H7/DAY(B2)</f>
        <v>20969.189166666667</v>
      </c>
      <c r="K7" s="172">
        <v>1375467</v>
      </c>
      <c r="L7" s="66"/>
      <c r="N7" s="87"/>
      <c r="O7" s="71"/>
    </row>
    <row r="8" spans="1:15" ht="32.25" customHeight="1" thickBot="1">
      <c r="A8" s="196" t="s">
        <v>131</v>
      </c>
      <c r="B8" s="197"/>
      <c r="C8" s="198"/>
      <c r="D8" s="224" t="s">
        <v>24</v>
      </c>
      <c r="E8" s="95">
        <f>'11'!F8</f>
        <v>391983</v>
      </c>
      <c r="F8" s="114">
        <v>413419</v>
      </c>
      <c r="G8" s="115">
        <f>F8-E8</f>
        <v>21436</v>
      </c>
      <c r="H8" s="99">
        <f>G8+'11'!H8</f>
        <v>255562</v>
      </c>
      <c r="I8" s="116"/>
      <c r="J8" s="175">
        <f>H8/DAY(B2)</f>
        <v>21296.833333333332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2.25" customHeight="1">
      <c r="A9" s="199" t="s">
        <v>132</v>
      </c>
      <c r="B9" s="200"/>
      <c r="C9" s="200"/>
      <c r="D9" s="151" t="s">
        <v>130</v>
      </c>
      <c r="E9" s="95">
        <f>'11'!F9</f>
        <v>4592531.9000000004</v>
      </c>
      <c r="F9" s="468">
        <v>4604861.9000000004</v>
      </c>
      <c r="G9" s="112">
        <f>F9-E9</f>
        <v>12330</v>
      </c>
      <c r="H9" s="99">
        <f>G9+'11'!H9</f>
        <v>188256</v>
      </c>
      <c r="I9" s="124">
        <f>I7-J7</f>
        <v>-8969.189166666667</v>
      </c>
      <c r="J9" s="175">
        <f>H9/DAY(B2)</f>
        <v>15688</v>
      </c>
      <c r="K9" s="79">
        <f>K8-100</f>
        <v>1715817</v>
      </c>
      <c r="L9" s="66"/>
      <c r="N9" s="87"/>
      <c r="O9" s="71">
        <f>G9-G10</f>
        <v>4270</v>
      </c>
    </row>
    <row r="10" spans="1:15" ht="32.25" customHeight="1">
      <c r="A10" s="194" t="s">
        <v>133</v>
      </c>
      <c r="B10" s="195"/>
      <c r="C10" s="195"/>
      <c r="D10" s="151" t="s">
        <v>130</v>
      </c>
      <c r="E10" s="95">
        <f>'11'!F10</f>
        <v>4119844.3</v>
      </c>
      <c r="F10" s="353">
        <v>4127904.3</v>
      </c>
      <c r="G10" s="112">
        <f t="shared" ref="G10:G12" si="0">F10-E10</f>
        <v>8060</v>
      </c>
      <c r="H10" s="99">
        <f>G10+'11'!H10</f>
        <v>57868</v>
      </c>
      <c r="I10" s="282"/>
      <c r="J10" s="175">
        <f>H10/DAY(B2)</f>
        <v>4822.333333333333</v>
      </c>
      <c r="K10" s="79"/>
      <c r="L10" s="66"/>
      <c r="N10" s="87"/>
      <c r="O10" s="71"/>
    </row>
    <row r="11" spans="1:15" ht="32.25" customHeight="1">
      <c r="A11" s="194" t="s">
        <v>134</v>
      </c>
      <c r="B11" s="195"/>
      <c r="C11" s="195"/>
      <c r="D11" s="151" t="s">
        <v>130</v>
      </c>
      <c r="E11" s="95">
        <f>'11'!F11</f>
        <v>38700</v>
      </c>
      <c r="F11" s="95">
        <v>38700</v>
      </c>
      <c r="G11" s="112">
        <f t="shared" si="0"/>
        <v>0</v>
      </c>
      <c r="H11" s="99">
        <f>G11+'11'!H11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2.25" customHeight="1">
      <c r="A12" s="194" t="s">
        <v>135</v>
      </c>
      <c r="B12" s="195"/>
      <c r="C12" s="195"/>
      <c r="D12" s="151" t="s">
        <v>130</v>
      </c>
      <c r="E12" s="95">
        <f>'11'!F12</f>
        <v>40550</v>
      </c>
      <c r="F12" s="117">
        <v>40550</v>
      </c>
      <c r="G12" s="112">
        <f t="shared" si="0"/>
        <v>0</v>
      </c>
      <c r="H12" s="99">
        <f>G12+'11'!H12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2.2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20390</v>
      </c>
      <c r="H13" s="99">
        <f>G13+'11'!H13</f>
        <v>246124</v>
      </c>
      <c r="I13" s="120">
        <f>G7-G13</f>
        <v>568.26999999998952</v>
      </c>
      <c r="J13" s="175">
        <f>H13/DAY(B2)</f>
        <v>20510.333333333332</v>
      </c>
      <c r="K13" s="79"/>
      <c r="L13" s="66"/>
      <c r="N13" s="87"/>
      <c r="O13" s="71"/>
    </row>
    <row r="14" spans="1:15" ht="32.25" customHeight="1">
      <c r="A14" s="925" t="s">
        <v>137</v>
      </c>
      <c r="B14" s="926"/>
      <c r="C14" s="92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2.25" customHeight="1">
      <c r="A15" s="345" t="s">
        <v>138</v>
      </c>
      <c r="B15" s="205"/>
      <c r="C15" s="205"/>
      <c r="D15" s="151" t="s">
        <v>139</v>
      </c>
      <c r="E15" s="95">
        <f>'11'!F15</f>
        <v>2265706.4580000001</v>
      </c>
      <c r="F15" s="468">
        <v>2266869.98</v>
      </c>
      <c r="G15" s="112">
        <f>(F15-E15)</f>
        <v>1163.5219999998808</v>
      </c>
      <c r="H15" s="99">
        <f>G15+'11'!H15</f>
        <v>13568.621999999974</v>
      </c>
      <c r="I15" s="113">
        <f>'1'!I15</f>
        <v>800</v>
      </c>
      <c r="J15" s="175">
        <f>H15/DAY(B2)</f>
        <v>1130.7184999999979</v>
      </c>
      <c r="K15" s="79"/>
      <c r="L15" s="66"/>
      <c r="N15" s="87"/>
      <c r="O15" s="71"/>
    </row>
    <row r="16" spans="1:15" ht="32.2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-330.7184999999979</v>
      </c>
      <c r="J16" s="176"/>
      <c r="K16" s="79"/>
      <c r="L16" s="66"/>
      <c r="N16" s="87"/>
      <c r="O16" s="71"/>
    </row>
    <row r="17" spans="1:15" ht="32.25" customHeight="1">
      <c r="A17" s="925" t="s">
        <v>140</v>
      </c>
      <c r="B17" s="926"/>
      <c r="C17" s="92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2.25" customHeight="1">
      <c r="A18" s="902" t="s">
        <v>141</v>
      </c>
      <c r="B18" s="903"/>
      <c r="C18" s="904"/>
      <c r="D18" s="151" t="s">
        <v>142</v>
      </c>
      <c r="E18" s="95">
        <f>'11'!F18</f>
        <v>26</v>
      </c>
      <c r="F18" s="122">
        <v>19</v>
      </c>
      <c r="G18" s="119">
        <f>F18*10</f>
        <v>190</v>
      </c>
      <c r="H18" s="99">
        <f>G18+'11'!H18</f>
        <v>2520</v>
      </c>
      <c r="I18" s="113">
        <f>'1'!I18</f>
        <v>65</v>
      </c>
      <c r="J18" s="175">
        <f>H18/DAY(B2)</f>
        <v>210</v>
      </c>
      <c r="K18" s="79"/>
      <c r="L18" s="66"/>
      <c r="N18" s="87"/>
      <c r="O18" s="71"/>
    </row>
    <row r="19" spans="1:15" ht="32.25" customHeight="1">
      <c r="A19" s="902" t="s">
        <v>69</v>
      </c>
      <c r="B19" s="903"/>
      <c r="C19" s="904"/>
      <c r="D19" s="151" t="s">
        <v>142</v>
      </c>
      <c r="E19" s="95">
        <f>'11'!F19</f>
        <v>170196</v>
      </c>
      <c r="F19" s="122">
        <v>170251</v>
      </c>
      <c r="G19" s="112">
        <f t="shared" ref="G19" si="1">F19-E19</f>
        <v>55</v>
      </c>
      <c r="H19" s="99">
        <f>G19+'11'!H19</f>
        <v>691</v>
      </c>
      <c r="I19" s="335"/>
      <c r="J19" s="175">
        <f>H19/DAY(B2)</f>
        <v>57.583333333333336</v>
      </c>
      <c r="K19" s="79"/>
      <c r="L19" s="66"/>
      <c r="N19" s="87"/>
      <c r="O19" s="71"/>
    </row>
    <row r="20" spans="1:15" ht="32.25" customHeight="1">
      <c r="A20" s="201" t="s">
        <v>143</v>
      </c>
      <c r="B20" s="202"/>
      <c r="C20" s="202"/>
      <c r="D20" s="126"/>
      <c r="E20" s="126"/>
      <c r="F20" s="126"/>
      <c r="G20" s="127">
        <f>G18+G19</f>
        <v>245</v>
      </c>
      <c r="H20" s="99">
        <f>G20+'11'!H20</f>
        <v>3211</v>
      </c>
      <c r="I20" s="336">
        <f>I18-J20</f>
        <v>-202.58333333333331</v>
      </c>
      <c r="J20" s="175">
        <f>H20/DAY(B2)</f>
        <v>267.58333333333331</v>
      </c>
      <c r="K20" s="79"/>
      <c r="L20" s="66"/>
      <c r="N20" s="87"/>
      <c r="O20" s="71"/>
    </row>
    <row r="21" spans="1:15" ht="32.25" customHeight="1">
      <c r="A21" s="925" t="s">
        <v>144</v>
      </c>
      <c r="B21" s="926"/>
      <c r="C21" s="92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2.25" customHeight="1">
      <c r="A22" s="345" t="s">
        <v>145</v>
      </c>
      <c r="B22" s="205"/>
      <c r="C22" s="205"/>
      <c r="D22" s="151" t="s">
        <v>146</v>
      </c>
      <c r="E22" s="95">
        <f>'11'!F22</f>
        <v>2970</v>
      </c>
      <c r="F22" s="122">
        <v>2970</v>
      </c>
      <c r="G22" s="119">
        <f t="shared" ref="G22" si="2">(F22-E22)</f>
        <v>0</v>
      </c>
      <c r="H22" s="99">
        <f>G22+'11'!H22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2.25" customHeight="1">
      <c r="A23" s="345" t="s">
        <v>147</v>
      </c>
      <c r="B23" s="205"/>
      <c r="C23" s="205"/>
      <c r="D23" s="151" t="s">
        <v>146</v>
      </c>
      <c r="E23" s="95">
        <f>'11'!F23</f>
        <v>2000</v>
      </c>
      <c r="F23" s="122">
        <v>2000</v>
      </c>
      <c r="G23" s="119">
        <v>0</v>
      </c>
      <c r="H23" s="99">
        <f>G23+'11'!H23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2.25" customHeight="1">
      <c r="A24" s="206" t="s">
        <v>148</v>
      </c>
      <c r="B24" s="207"/>
      <c r="C24" s="207"/>
      <c r="D24" s="146" t="s">
        <v>146</v>
      </c>
      <c r="E24" s="95">
        <f>'11'!F24</f>
        <v>4970</v>
      </c>
      <c r="F24" s="128">
        <v>4970</v>
      </c>
      <c r="G24" s="119">
        <v>0</v>
      </c>
      <c r="H24" s="99">
        <f>G24+'11'!H24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2.25" customHeight="1">
      <c r="A25" s="930" t="s">
        <v>149</v>
      </c>
      <c r="B25" s="931"/>
      <c r="C25" s="93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2.2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2.25" customHeight="1">
      <c r="A27" s="208" t="s">
        <v>5</v>
      </c>
      <c r="B27" s="209"/>
      <c r="C27" s="210"/>
      <c r="D27" s="226" t="s">
        <v>24</v>
      </c>
      <c r="E27" s="135">
        <f>G8</f>
        <v>21436</v>
      </c>
      <c r="F27" s="136">
        <v>9</v>
      </c>
      <c r="G27" s="137">
        <f>E27*F27</f>
        <v>192924</v>
      </c>
      <c r="H27" s="99">
        <f>G27+'11'!H27</f>
        <v>2406265</v>
      </c>
      <c r="I27" s="138"/>
      <c r="J27" s="175">
        <f>H27/DAY(B2)</f>
        <v>200522.08333333334</v>
      </c>
      <c r="K27" s="63"/>
      <c r="L27" s="89"/>
      <c r="N27" s="87"/>
      <c r="O27" s="71"/>
    </row>
    <row r="28" spans="1:15" s="88" customFormat="1" ht="32.25" customHeight="1">
      <c r="A28" s="208" t="s">
        <v>152</v>
      </c>
      <c r="B28" s="209"/>
      <c r="C28" s="210"/>
      <c r="D28" s="226" t="s">
        <v>153</v>
      </c>
      <c r="E28" s="139">
        <f>G15</f>
        <v>1163.5219999998808</v>
      </c>
      <c r="F28" s="136">
        <v>70</v>
      </c>
      <c r="G28" s="137">
        <f>E28*F28</f>
        <v>81446.539999991655</v>
      </c>
      <c r="H28" s="99">
        <f>G28+'11'!H28</f>
        <v>945116.74999999814</v>
      </c>
      <c r="I28" s="140"/>
      <c r="J28" s="175">
        <f>H28/DAY(B2)</f>
        <v>78759.729166666511</v>
      </c>
      <c r="K28" s="63"/>
      <c r="L28" s="89"/>
      <c r="N28" s="87"/>
      <c r="O28" s="71"/>
    </row>
    <row r="29" spans="1:15" s="88" customFormat="1" ht="32.2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2.25" customHeight="1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151</v>
      </c>
      <c r="G30" s="137">
        <f>E30*F30</f>
        <v>8305</v>
      </c>
      <c r="H30" s="99">
        <f>G30+'11'!H30</f>
        <v>104341</v>
      </c>
      <c r="I30" s="140"/>
      <c r="J30" s="175">
        <f>H30/DAY(B2)</f>
        <v>8695.0833333333339</v>
      </c>
      <c r="K30" s="63"/>
      <c r="L30" s="89"/>
      <c r="N30" s="87"/>
      <c r="O30" s="71"/>
    </row>
    <row r="31" spans="1:15" s="88" customFormat="1" ht="32.25" customHeight="1">
      <c r="A31" s="208" t="s">
        <v>158</v>
      </c>
      <c r="B31" s="209"/>
      <c r="C31" s="210"/>
      <c r="D31" s="226" t="s">
        <v>142</v>
      </c>
      <c r="E31" s="141">
        <f>G18</f>
        <v>190</v>
      </c>
      <c r="F31" s="136">
        <v>80</v>
      </c>
      <c r="G31" s="137">
        <f>E31*F31</f>
        <v>15200</v>
      </c>
      <c r="H31" s="99">
        <f>G31+'11'!H31</f>
        <v>205600</v>
      </c>
      <c r="I31" s="140"/>
      <c r="J31" s="175">
        <f>H31/DAY(B2)</f>
        <v>17133.333333333332</v>
      </c>
      <c r="K31" s="63"/>
      <c r="L31" s="89"/>
      <c r="N31" s="87"/>
      <c r="O31" s="71"/>
    </row>
    <row r="32" spans="1:15" s="88" customFormat="1" ht="32.2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297875.53999999166</v>
      </c>
      <c r="H32" s="99">
        <f>G32+'11'!H32</f>
        <v>3661322.7499999981</v>
      </c>
      <c r="I32" s="144"/>
      <c r="J32" s="175">
        <f>H32/DAY(B2)</f>
        <v>305110.22916666651</v>
      </c>
      <c r="K32" s="63"/>
      <c r="L32" s="89"/>
      <c r="N32" s="87"/>
      <c r="O32" s="71"/>
    </row>
    <row r="33" spans="1:15" ht="32.25" customHeight="1">
      <c r="A33" s="933" t="s">
        <v>331</v>
      </c>
      <c r="B33" s="934"/>
      <c r="C33" s="93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2.2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2.25" customHeight="1">
      <c r="A35" s="194" t="s">
        <v>161</v>
      </c>
      <c r="B35" s="195"/>
      <c r="C35" s="195"/>
      <c r="D35" s="151" t="s">
        <v>130</v>
      </c>
      <c r="E35" s="95">
        <f>'11'!F35</f>
        <v>482727.87</v>
      </c>
      <c r="F35" s="145">
        <v>485316.39</v>
      </c>
      <c r="G35" s="112">
        <f t="shared" ref="G35:G46" si="3">F35-E35</f>
        <v>2588.5200000000186</v>
      </c>
      <c r="H35" s="99">
        <f>G35+'11'!H35</f>
        <v>30798.400000000023</v>
      </c>
      <c r="I35" s="95"/>
      <c r="J35" s="175">
        <f>H35/DAY(B2)</f>
        <v>2566.5333333333351</v>
      </c>
      <c r="K35" s="79"/>
      <c r="L35" s="66"/>
      <c r="N35" s="87"/>
      <c r="O35" s="71"/>
    </row>
    <row r="36" spans="1:15" ht="32.25" customHeight="1">
      <c r="A36" s="194" t="s">
        <v>162</v>
      </c>
      <c r="B36" s="195"/>
      <c r="C36" s="195"/>
      <c r="D36" s="151" t="s">
        <v>130</v>
      </c>
      <c r="E36" s="95">
        <f>'11'!F36</f>
        <v>363968.27</v>
      </c>
      <c r="F36" s="145">
        <v>364744</v>
      </c>
      <c r="G36" s="112">
        <f t="shared" si="3"/>
        <v>775.72999999998137</v>
      </c>
      <c r="H36" s="99">
        <f>G36+'11'!H36</f>
        <v>10655.099999999977</v>
      </c>
      <c r="I36" s="95"/>
      <c r="J36" s="175">
        <f>H36/DAY(B2)</f>
        <v>887.92499999999802</v>
      </c>
      <c r="K36" s="79"/>
      <c r="L36" s="66"/>
      <c r="N36" s="87"/>
      <c r="O36" s="344"/>
    </row>
    <row r="37" spans="1:15" ht="32.25" customHeight="1">
      <c r="A37" s="194" t="s">
        <v>163</v>
      </c>
      <c r="B37" s="195"/>
      <c r="C37" s="195"/>
      <c r="D37" s="151" t="s">
        <v>130</v>
      </c>
      <c r="E37" s="95">
        <f>'11'!F37</f>
        <v>354648.63</v>
      </c>
      <c r="F37" s="418">
        <v>356140.31</v>
      </c>
      <c r="G37" s="112">
        <f t="shared" si="3"/>
        <v>1491.679999999993</v>
      </c>
      <c r="H37" s="99">
        <f>G37+'11'!H37</f>
        <v>17870.440000000002</v>
      </c>
      <c r="I37" s="95"/>
      <c r="J37" s="175">
        <f>H37/DAY(B2)</f>
        <v>1489.2033333333336</v>
      </c>
      <c r="K37" s="79"/>
      <c r="L37" s="66"/>
      <c r="N37" s="87"/>
      <c r="O37" s="234"/>
    </row>
    <row r="38" spans="1:15" ht="32.25" customHeight="1">
      <c r="A38" s="194" t="s">
        <v>164</v>
      </c>
      <c r="B38" s="195"/>
      <c r="C38" s="195"/>
      <c r="D38" s="151" t="s">
        <v>130</v>
      </c>
      <c r="E38" s="95">
        <f>'11'!F38</f>
        <v>825257.29</v>
      </c>
      <c r="F38" s="108">
        <v>827748.91</v>
      </c>
      <c r="G38" s="112">
        <f t="shared" si="3"/>
        <v>2491.6199999999953</v>
      </c>
      <c r="H38" s="99">
        <f>G38+'11'!H38</f>
        <v>28071.560000000056</v>
      </c>
      <c r="I38" s="95"/>
      <c r="J38" s="175">
        <f>H38/DAY(B2)</f>
        <v>2339.2966666666712</v>
      </c>
      <c r="K38" s="79"/>
      <c r="L38" s="66"/>
      <c r="N38" s="87"/>
      <c r="O38" s="71"/>
    </row>
    <row r="39" spans="1:15" ht="32.25" customHeight="1">
      <c r="A39" s="194" t="s">
        <v>165</v>
      </c>
      <c r="B39" s="195"/>
      <c r="C39" s="195"/>
      <c r="D39" s="151" t="s">
        <v>130</v>
      </c>
      <c r="E39" s="95">
        <f>'11'!F39</f>
        <v>651274.67000000004</v>
      </c>
      <c r="F39" s="145">
        <v>653966.9</v>
      </c>
      <c r="G39" s="112">
        <f t="shared" si="3"/>
        <v>2692.2299999999814</v>
      </c>
      <c r="H39" s="99">
        <f>G39+'11'!H39</f>
        <v>33676.900000000023</v>
      </c>
      <c r="I39" s="95"/>
      <c r="J39" s="175">
        <f>H39/DAY(B2)</f>
        <v>2806.4083333333351</v>
      </c>
      <c r="K39" s="79"/>
      <c r="L39" s="66"/>
      <c r="N39" s="87"/>
      <c r="O39" s="71"/>
    </row>
    <row r="40" spans="1:15" ht="32.25" customHeight="1">
      <c r="A40" s="215" t="s">
        <v>166</v>
      </c>
      <c r="B40" s="216"/>
      <c r="C40" s="216"/>
      <c r="D40" s="151" t="s">
        <v>130</v>
      </c>
      <c r="E40" s="95">
        <f>'11'!F40</f>
        <v>213309.45</v>
      </c>
      <c r="F40" s="145">
        <v>213665.71</v>
      </c>
      <c r="G40" s="112">
        <f t="shared" si="3"/>
        <v>356.25999999998021</v>
      </c>
      <c r="H40" s="99">
        <f>G40+'11'!H40</f>
        <v>3979.359999999986</v>
      </c>
      <c r="I40" s="95"/>
      <c r="J40" s="175">
        <f>H40/DAY(B2)</f>
        <v>331.61333333333215</v>
      </c>
      <c r="K40" s="80"/>
      <c r="L40" s="66"/>
      <c r="N40" s="87"/>
      <c r="O40" s="71"/>
    </row>
    <row r="41" spans="1:15" ht="32.25" customHeight="1">
      <c r="A41" s="194" t="s">
        <v>167</v>
      </c>
      <c r="B41" s="195"/>
      <c r="C41" s="195"/>
      <c r="D41" s="151" t="s">
        <v>130</v>
      </c>
      <c r="E41" s="95">
        <f>'11'!F41</f>
        <v>420212.51</v>
      </c>
      <c r="F41" s="145">
        <v>420212.51</v>
      </c>
      <c r="G41" s="112">
        <f t="shared" si="3"/>
        <v>0</v>
      </c>
      <c r="H41" s="99">
        <f>G41+'11'!H41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32.25" customHeight="1">
      <c r="A42" s="194" t="s">
        <v>168</v>
      </c>
      <c r="B42" s="195"/>
      <c r="C42" s="195"/>
      <c r="D42" s="151" t="s">
        <v>130</v>
      </c>
      <c r="E42" s="95">
        <f>'11'!F42</f>
        <v>969786.71</v>
      </c>
      <c r="F42" s="145">
        <v>970677.43</v>
      </c>
      <c r="G42" s="112">
        <f t="shared" si="3"/>
        <v>890.72000000008848</v>
      </c>
      <c r="H42" s="99">
        <f>G42+'11'!H42</f>
        <v>49722.960000000079</v>
      </c>
      <c r="I42" s="95"/>
      <c r="J42" s="175">
        <f>H42/DAY(B2)</f>
        <v>4143.5800000000063</v>
      </c>
      <c r="K42" s="79"/>
      <c r="L42" s="66"/>
      <c r="N42" s="87"/>
      <c r="O42" s="71"/>
    </row>
    <row r="43" spans="1:15" ht="32.25" customHeight="1">
      <c r="A43" s="194" t="s">
        <v>169</v>
      </c>
      <c r="B43" s="195"/>
      <c r="C43" s="195"/>
      <c r="D43" s="151" t="s">
        <v>130</v>
      </c>
      <c r="E43" s="95">
        <f>'11'!F43</f>
        <v>422444</v>
      </c>
      <c r="F43" s="418">
        <v>422444</v>
      </c>
      <c r="G43" s="112">
        <f t="shared" si="3"/>
        <v>0</v>
      </c>
      <c r="H43" s="99">
        <f>G43+'11'!H43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32.25" customHeight="1">
      <c r="A44" s="194" t="s">
        <v>170</v>
      </c>
      <c r="B44" s="195"/>
      <c r="C44" s="195"/>
      <c r="D44" s="151" t="s">
        <v>130</v>
      </c>
      <c r="E44" s="95">
        <f>'11'!F44</f>
        <v>0</v>
      </c>
      <c r="F44" s="145">
        <v>0</v>
      </c>
      <c r="G44" s="112">
        <f t="shared" si="3"/>
        <v>0</v>
      </c>
      <c r="H44" s="99">
        <f>G44+'11'!H44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2.25" customHeight="1">
      <c r="A45" s="194" t="s">
        <v>171</v>
      </c>
      <c r="B45" s="195"/>
      <c r="C45" s="195"/>
      <c r="D45" s="151" t="s">
        <v>130</v>
      </c>
      <c r="E45" s="95">
        <f>'11'!F45</f>
        <v>0</v>
      </c>
      <c r="F45" s="145">
        <v>0</v>
      </c>
      <c r="G45" s="112">
        <f t="shared" si="3"/>
        <v>0</v>
      </c>
      <c r="H45" s="99">
        <f>G45+'11'!H45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2.25" customHeight="1">
      <c r="A46" s="194" t="s">
        <v>172</v>
      </c>
      <c r="B46" s="195"/>
      <c r="C46" s="195"/>
      <c r="D46" s="151" t="s">
        <v>130</v>
      </c>
      <c r="E46" s="95">
        <f>'11'!F46</f>
        <v>0</v>
      </c>
      <c r="F46" s="145">
        <v>0</v>
      </c>
      <c r="G46" s="112">
        <f t="shared" si="3"/>
        <v>0</v>
      </c>
      <c r="H46" s="99">
        <f>G46+'11'!H46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2.2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11286.760000000038</v>
      </c>
      <c r="H47" s="99">
        <f>G47+'11'!H47</f>
        <v>174774.72000000015</v>
      </c>
      <c r="I47" s="95"/>
      <c r="J47" s="175">
        <f>H47/DAY(B2)</f>
        <v>14564.560000000012</v>
      </c>
      <c r="K47" s="79"/>
      <c r="L47" s="66"/>
      <c r="N47" s="87"/>
      <c r="O47" s="71"/>
    </row>
    <row r="48" spans="1:15" ht="32.2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2.25" customHeight="1">
      <c r="A49" s="194" t="s">
        <v>161</v>
      </c>
      <c r="B49" s="217"/>
      <c r="C49" s="217"/>
      <c r="D49" s="151" t="s">
        <v>130</v>
      </c>
      <c r="E49" s="95">
        <f>'11'!F49</f>
        <v>812206.47</v>
      </c>
      <c r="F49" s="145">
        <v>812739.11</v>
      </c>
      <c r="G49" s="112">
        <f t="shared" ref="G49:G58" si="4">F49-E49</f>
        <v>532.64000000001397</v>
      </c>
      <c r="H49" s="99">
        <f>G49+'11'!H49</f>
        <v>6234.9599999999627</v>
      </c>
      <c r="I49" s="95"/>
      <c r="J49" s="175">
        <f>H49/DAY(B2)</f>
        <v>519.57999999999686</v>
      </c>
      <c r="K49" s="79"/>
      <c r="L49" s="66"/>
      <c r="N49" s="87"/>
      <c r="O49" s="71"/>
    </row>
    <row r="50" spans="1:15" ht="32.25" customHeight="1">
      <c r="A50" s="194" t="s">
        <v>175</v>
      </c>
      <c r="B50" s="217"/>
      <c r="C50" s="217"/>
      <c r="D50" s="151" t="s">
        <v>130</v>
      </c>
      <c r="E50" s="95">
        <f>'11'!F50</f>
        <v>516833.51</v>
      </c>
      <c r="F50" s="145">
        <v>518145.79</v>
      </c>
      <c r="G50" s="112">
        <f t="shared" si="4"/>
        <v>1312.2799999999697</v>
      </c>
      <c r="H50" s="99">
        <f>G50+'11'!H50</f>
        <v>16992.789999999979</v>
      </c>
      <c r="I50" s="95"/>
      <c r="J50" s="175">
        <f>H50/DAY(B2)</f>
        <v>1416.0658333333315</v>
      </c>
      <c r="K50" s="79"/>
      <c r="L50" s="66"/>
      <c r="N50" s="87"/>
      <c r="O50" s="71"/>
    </row>
    <row r="51" spans="1:15" ht="32.25" customHeight="1">
      <c r="A51" s="194" t="s">
        <v>163</v>
      </c>
      <c r="B51" s="217"/>
      <c r="C51" s="217"/>
      <c r="D51" s="151" t="s">
        <v>130</v>
      </c>
      <c r="E51" s="95">
        <f>'11'!F51</f>
        <v>156958.44</v>
      </c>
      <c r="F51" s="145">
        <v>156958.44</v>
      </c>
      <c r="G51" s="112">
        <f t="shared" si="4"/>
        <v>0</v>
      </c>
      <c r="H51" s="99">
        <f>G51+'11'!H51</f>
        <v>0.44000000000232831</v>
      </c>
      <c r="I51" s="95"/>
      <c r="J51" s="175">
        <f>H51/DAY(B2)</f>
        <v>3.6666666666860692E-2</v>
      </c>
      <c r="K51" s="79"/>
      <c r="L51" s="66"/>
      <c r="N51" s="87"/>
      <c r="O51" s="71"/>
    </row>
    <row r="52" spans="1:15" ht="32.25" customHeight="1">
      <c r="A52" s="194" t="s">
        <v>176</v>
      </c>
      <c r="B52" s="217"/>
      <c r="C52" s="217"/>
      <c r="D52" s="151" t="s">
        <v>130</v>
      </c>
      <c r="E52" s="95">
        <f>'11'!F52</f>
        <v>9.76</v>
      </c>
      <c r="F52" s="145">
        <v>10</v>
      </c>
      <c r="G52" s="112">
        <f t="shared" si="4"/>
        <v>0.24000000000000021</v>
      </c>
      <c r="H52" s="99">
        <f>G52+'11'!H52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2.25" customHeight="1">
      <c r="A53" s="194" t="s">
        <v>165</v>
      </c>
      <c r="B53" s="217"/>
      <c r="C53" s="217"/>
      <c r="D53" s="151" t="s">
        <v>130</v>
      </c>
      <c r="E53" s="95">
        <f>'11'!F53</f>
        <v>630355.09</v>
      </c>
      <c r="F53" s="145">
        <v>630355.03</v>
      </c>
      <c r="G53" s="112">
        <f t="shared" si="4"/>
        <v>-5.9999999939464033E-2</v>
      </c>
      <c r="H53" s="99">
        <f>G53+'11'!H53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2.25" customHeight="1">
      <c r="A54" s="194" t="s">
        <v>177</v>
      </c>
      <c r="B54" s="217"/>
      <c r="C54" s="217"/>
      <c r="D54" s="151" t="s">
        <v>130</v>
      </c>
      <c r="E54" s="95">
        <f>'11'!F54</f>
        <v>118366.23</v>
      </c>
      <c r="F54" s="145">
        <v>118683.82</v>
      </c>
      <c r="G54" s="112">
        <f t="shared" si="4"/>
        <v>317.59000000001106</v>
      </c>
      <c r="H54" s="99">
        <f>G54+'11'!H54</f>
        <v>4086.6900000000023</v>
      </c>
      <c r="I54" s="95"/>
      <c r="J54" s="175">
        <f>H54/DAY(B2)</f>
        <v>340.55750000000018</v>
      </c>
      <c r="K54" s="79"/>
      <c r="L54" s="66"/>
      <c r="N54" s="87"/>
      <c r="O54" s="71"/>
    </row>
    <row r="55" spans="1:15" ht="32.25" customHeight="1">
      <c r="A55" s="194" t="s">
        <v>178</v>
      </c>
      <c r="B55" s="217"/>
      <c r="C55" s="217"/>
      <c r="D55" s="151" t="s">
        <v>130</v>
      </c>
      <c r="E55" s="95">
        <f>'11'!F55</f>
        <v>576335.63</v>
      </c>
      <c r="F55" s="145">
        <v>576335.63</v>
      </c>
      <c r="G55" s="112">
        <f t="shared" si="4"/>
        <v>0</v>
      </c>
      <c r="H55" s="99">
        <f>G55+'11'!H55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32.25" customHeight="1">
      <c r="A56" s="194" t="s">
        <v>179</v>
      </c>
      <c r="B56" s="217"/>
      <c r="C56" s="217"/>
      <c r="D56" s="151" t="s">
        <v>180</v>
      </c>
      <c r="E56" s="95">
        <f>'11'!F56</f>
        <v>335403.71000000002</v>
      </c>
      <c r="F56" s="145">
        <v>337679.19</v>
      </c>
      <c r="G56" s="112">
        <f t="shared" si="4"/>
        <v>2275.4799999999814</v>
      </c>
      <c r="H56" s="99">
        <f>G56+'11'!H56</f>
        <v>2452.9799999999814</v>
      </c>
      <c r="I56" s="95"/>
      <c r="J56" s="175">
        <f>H56/DAY(B2)</f>
        <v>204.41499999999846</v>
      </c>
      <c r="K56" s="78"/>
      <c r="L56" s="66"/>
      <c r="N56" s="87"/>
      <c r="O56" s="71"/>
    </row>
    <row r="57" spans="1:15" ht="32.25" customHeight="1">
      <c r="A57" s="194" t="s">
        <v>169</v>
      </c>
      <c r="B57" s="217"/>
      <c r="C57" s="217"/>
      <c r="D57" s="151" t="s">
        <v>130</v>
      </c>
      <c r="E57" s="95">
        <f>'11'!F57</f>
        <v>656748.79</v>
      </c>
      <c r="F57" s="145">
        <v>659341.55000000005</v>
      </c>
      <c r="G57" s="112">
        <f t="shared" si="4"/>
        <v>2592.7600000000093</v>
      </c>
      <c r="H57" s="99">
        <f>G57+'11'!H57</f>
        <v>28508.550000000047</v>
      </c>
      <c r="I57" s="95"/>
      <c r="J57" s="175">
        <f>H57/DAY(B2)</f>
        <v>2375.7125000000037</v>
      </c>
      <c r="K57" s="79"/>
      <c r="L57" s="66"/>
      <c r="N57" s="87"/>
      <c r="O57" s="71"/>
    </row>
    <row r="58" spans="1:15" ht="32.25" customHeight="1">
      <c r="A58" s="194" t="s">
        <v>181</v>
      </c>
      <c r="B58" s="217"/>
      <c r="C58" s="217"/>
      <c r="D58" s="151" t="s">
        <v>130</v>
      </c>
      <c r="E58" s="95">
        <f>'11'!F58</f>
        <v>89376.278999999995</v>
      </c>
      <c r="F58" s="145">
        <v>89633.919800000003</v>
      </c>
      <c r="G58" s="112">
        <f t="shared" si="4"/>
        <v>257.64080000000831</v>
      </c>
      <c r="H58" s="99">
        <f>G58+'11'!H58</f>
        <v>3073.4208000000071</v>
      </c>
      <c r="I58" s="95"/>
      <c r="J58" s="175">
        <f>H58/DAY(B2)</f>
        <v>256.11840000000058</v>
      </c>
      <c r="K58" s="79"/>
      <c r="L58" s="66"/>
      <c r="N58" s="87"/>
      <c r="O58" s="71"/>
    </row>
    <row r="59" spans="1:15" ht="32.2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7288.5708000000541</v>
      </c>
      <c r="H59" s="99">
        <f>G59+'11'!H59</f>
        <v>61349.830799999982</v>
      </c>
      <c r="I59" s="95">
        <f>G7-G60</f>
        <v>2382.9391999998988</v>
      </c>
      <c r="J59" s="175">
        <f>H59/DAY(B2)</f>
        <v>5112.4858999999988</v>
      </c>
      <c r="K59" s="79"/>
      <c r="L59" s="66"/>
      <c r="N59" s="87"/>
      <c r="O59" s="71"/>
    </row>
    <row r="60" spans="1:15" ht="32.25" customHeight="1">
      <c r="A60" s="194"/>
      <c r="B60" s="195"/>
      <c r="C60" s="195"/>
      <c r="D60" s="146" t="s">
        <v>182</v>
      </c>
      <c r="E60" s="146"/>
      <c r="F60" s="146"/>
      <c r="G60" s="119">
        <f>G47+G59</f>
        <v>18575.330800000091</v>
      </c>
      <c r="H60" s="99">
        <f>G60+'11'!H60</f>
        <v>236124.55080000008</v>
      </c>
      <c r="I60" s="95">
        <f>G13-G60</f>
        <v>1814.6691999999093</v>
      </c>
      <c r="J60" s="175">
        <f>H60/DAY(B2)</f>
        <v>19677.045900000008</v>
      </c>
      <c r="K60" s="79"/>
      <c r="L60" s="66"/>
      <c r="N60" s="87"/>
      <c r="O60" s="71"/>
    </row>
    <row r="61" spans="1:15" s="68" customFormat="1" ht="32.25" customHeight="1">
      <c r="A61" s="935" t="s">
        <v>332</v>
      </c>
      <c r="B61" s="936"/>
      <c r="C61" s="93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2.25" customHeight="1">
      <c r="A62" s="902" t="s">
        <v>198</v>
      </c>
      <c r="B62" s="903"/>
      <c r="C62" s="904"/>
      <c r="D62" s="151" t="s">
        <v>142</v>
      </c>
      <c r="E62" s="95">
        <f>'11'!F62</f>
        <v>313385</v>
      </c>
      <c r="F62" s="122">
        <v>313385</v>
      </c>
      <c r="G62" s="112">
        <f t="shared" ref="G62:G63" si="5">F62-E62</f>
        <v>0</v>
      </c>
      <c r="H62" s="99">
        <f>G62+'11'!H62</f>
        <v>1285</v>
      </c>
      <c r="I62" s="118"/>
      <c r="J62" s="175">
        <f>H62/DAY(B2)</f>
        <v>107.08333333333333</v>
      </c>
      <c r="K62" s="80"/>
      <c r="L62" s="66"/>
      <c r="N62" s="87"/>
      <c r="O62" s="71"/>
    </row>
    <row r="63" spans="1:15" ht="32.25" customHeight="1">
      <c r="A63" s="902" t="s">
        <v>199</v>
      </c>
      <c r="B63" s="903"/>
      <c r="C63" s="904"/>
      <c r="D63" s="151" t="s">
        <v>142</v>
      </c>
      <c r="E63" s="95">
        <f>'11'!F63</f>
        <v>250203</v>
      </c>
      <c r="F63" s="122">
        <v>250322</v>
      </c>
      <c r="G63" s="112">
        <f t="shared" si="5"/>
        <v>119</v>
      </c>
      <c r="H63" s="99">
        <f>G63+'11'!H63</f>
        <v>1287</v>
      </c>
      <c r="I63" s="118"/>
      <c r="J63" s="175">
        <f>H63/DAY(B2)</f>
        <v>107.25</v>
      </c>
      <c r="K63" s="69"/>
      <c r="L63" s="66"/>
      <c r="N63" s="87"/>
      <c r="O63" s="71"/>
    </row>
    <row r="64" spans="1:15" ht="32.25" customHeight="1">
      <c r="A64" s="911" t="s">
        <v>200</v>
      </c>
      <c r="B64" s="912"/>
      <c r="C64" s="913"/>
      <c r="D64" s="151"/>
      <c r="E64" s="95">
        <f>'11'!F64</f>
        <v>0</v>
      </c>
      <c r="F64" s="122"/>
      <c r="G64" s="112">
        <f>G62+G63</f>
        <v>119</v>
      </c>
      <c r="H64" s="99">
        <f>G64+'11'!H64</f>
        <v>2572</v>
      </c>
      <c r="I64" s="118"/>
      <c r="J64" s="175">
        <f>H64/DAY(B2)</f>
        <v>214.33333333333334</v>
      </c>
      <c r="K64" s="69"/>
      <c r="L64" s="66"/>
      <c r="N64" s="87"/>
      <c r="O64" s="71"/>
    </row>
    <row r="65" spans="1:15" ht="32.25" customHeight="1">
      <c r="A65" s="902" t="s">
        <v>201</v>
      </c>
      <c r="B65" s="903"/>
      <c r="C65" s="904"/>
      <c r="D65" s="151" t="s">
        <v>142</v>
      </c>
      <c r="E65" s="95">
        <f>'11'!F65</f>
        <v>473420</v>
      </c>
      <c r="F65" s="122">
        <v>473512</v>
      </c>
      <c r="G65" s="112">
        <f t="shared" ref="G65:G70" si="6">F65-E65</f>
        <v>92</v>
      </c>
      <c r="H65" s="99">
        <f>G65+'11'!H65</f>
        <v>1482</v>
      </c>
      <c r="I65" s="118"/>
      <c r="J65" s="175">
        <f>H65/DAY(B2)</f>
        <v>123.5</v>
      </c>
      <c r="K65" s="69"/>
      <c r="L65" s="66"/>
      <c r="N65" s="87"/>
      <c r="O65" s="71"/>
    </row>
    <row r="66" spans="1:15" ht="32.25" customHeight="1">
      <c r="A66" s="345" t="s">
        <v>202</v>
      </c>
      <c r="B66" s="346"/>
      <c r="C66" s="346"/>
      <c r="D66" s="151" t="s">
        <v>142</v>
      </c>
      <c r="E66" s="95">
        <f>'11'!F66</f>
        <v>113830</v>
      </c>
      <c r="F66" s="122">
        <v>113853</v>
      </c>
      <c r="G66" s="112">
        <f t="shared" si="6"/>
        <v>23</v>
      </c>
      <c r="H66" s="99">
        <f>G66+'11'!H66</f>
        <v>1131</v>
      </c>
      <c r="I66" s="118"/>
      <c r="J66" s="175">
        <f>H66/DAY(B2)</f>
        <v>94.25</v>
      </c>
      <c r="K66" s="78"/>
      <c r="L66" s="66"/>
      <c r="N66" s="87"/>
      <c r="O66" s="71"/>
    </row>
    <row r="67" spans="1:15" ht="32.25" customHeight="1">
      <c r="A67" s="345" t="s">
        <v>203</v>
      </c>
      <c r="B67" s="346"/>
      <c r="C67" s="346"/>
      <c r="D67" s="151" t="s">
        <v>142</v>
      </c>
      <c r="E67" s="95">
        <f>'11'!F67</f>
        <v>116825</v>
      </c>
      <c r="F67" s="122">
        <v>116828</v>
      </c>
      <c r="G67" s="112">
        <f t="shared" si="6"/>
        <v>3</v>
      </c>
      <c r="H67" s="99">
        <f>G67+'11'!H67</f>
        <v>261</v>
      </c>
      <c r="I67" s="118"/>
      <c r="J67" s="175">
        <f>H67/DAY(B2)</f>
        <v>21.75</v>
      </c>
      <c r="K67" s="81"/>
      <c r="L67" s="66"/>
      <c r="N67" s="87"/>
      <c r="O67" s="71"/>
    </row>
    <row r="68" spans="1:15" ht="32.25" customHeight="1">
      <c r="A68" s="345" t="s">
        <v>204</v>
      </c>
      <c r="B68" s="346"/>
      <c r="C68" s="346"/>
      <c r="D68" s="151" t="s">
        <v>142</v>
      </c>
      <c r="E68" s="95">
        <f>'11'!F68</f>
        <v>169578</v>
      </c>
      <c r="F68" s="122">
        <v>169593</v>
      </c>
      <c r="G68" s="112">
        <f t="shared" si="6"/>
        <v>15</v>
      </c>
      <c r="H68" s="99">
        <f>G68+'11'!H68</f>
        <v>234</v>
      </c>
      <c r="I68" s="118"/>
      <c r="J68" s="175">
        <f>H68/DAY(B2)</f>
        <v>19.5</v>
      </c>
      <c r="K68" s="69"/>
      <c r="L68" s="66"/>
      <c r="N68" s="87"/>
      <c r="O68" s="71"/>
    </row>
    <row r="69" spans="1:15" ht="32.25" customHeight="1">
      <c r="A69" s="345" t="s">
        <v>205</v>
      </c>
      <c r="B69" s="346"/>
      <c r="C69" s="346"/>
      <c r="D69" s="151" t="s">
        <v>142</v>
      </c>
      <c r="E69" s="95">
        <f>'11'!F69</f>
        <v>13020</v>
      </c>
      <c r="F69" s="122">
        <v>13024</v>
      </c>
      <c r="G69" s="112">
        <f t="shared" si="6"/>
        <v>4</v>
      </c>
      <c r="H69" s="99">
        <f>G69+'11'!H69</f>
        <v>58</v>
      </c>
      <c r="I69" s="118"/>
      <c r="J69" s="175">
        <f>H69/DAY(B2)</f>
        <v>4.833333333333333</v>
      </c>
      <c r="K69" s="69"/>
      <c r="L69" s="66"/>
      <c r="N69" s="87"/>
      <c r="O69" s="71"/>
    </row>
    <row r="70" spans="1:15" ht="32.25" customHeight="1">
      <c r="A70" s="345" t="s">
        <v>206</v>
      </c>
      <c r="B70" s="346"/>
      <c r="C70" s="346"/>
      <c r="D70" s="151" t="s">
        <v>142</v>
      </c>
      <c r="E70" s="95">
        <f>'11'!F70</f>
        <v>11094</v>
      </c>
      <c r="F70" s="122">
        <v>11096</v>
      </c>
      <c r="G70" s="112">
        <f t="shared" si="6"/>
        <v>2</v>
      </c>
      <c r="H70" s="99">
        <f>G70+'11'!H70</f>
        <v>80</v>
      </c>
      <c r="I70" s="118"/>
      <c r="J70" s="175">
        <f>H70/DAY(B2)</f>
        <v>6.666666666666667</v>
      </c>
      <c r="K70" s="69"/>
      <c r="L70" s="66"/>
      <c r="N70" s="87"/>
      <c r="O70" s="71"/>
    </row>
    <row r="71" spans="1:15" ht="32.25" customHeight="1">
      <c r="A71" s="911" t="s">
        <v>208</v>
      </c>
      <c r="B71" s="912"/>
      <c r="C71" s="913"/>
      <c r="D71" s="152"/>
      <c r="E71" s="152"/>
      <c r="F71" s="152"/>
      <c r="G71" s="153">
        <f>SUM(G65:G70)</f>
        <v>139</v>
      </c>
      <c r="H71" s="99">
        <f>G71+'11'!H71</f>
        <v>3246</v>
      </c>
      <c r="I71" s="154"/>
      <c r="J71" s="175">
        <f>H71/DAY(B2)</f>
        <v>270.5</v>
      </c>
      <c r="K71" s="69"/>
      <c r="L71" s="66"/>
      <c r="N71" s="87"/>
      <c r="O71" s="71"/>
    </row>
    <row r="72" spans="1:15" s="88" customFormat="1" ht="32.25" customHeight="1">
      <c r="A72" s="898"/>
      <c r="B72" s="88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2.25" customHeight="1">
      <c r="A73" s="908" t="s">
        <v>333</v>
      </c>
      <c r="B73" s="909"/>
      <c r="C73" s="910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2.25" customHeight="1">
      <c r="A74" s="902" t="s">
        <v>220</v>
      </c>
      <c r="B74" s="903"/>
      <c r="C74" s="904"/>
      <c r="D74" s="151" t="s">
        <v>139</v>
      </c>
      <c r="E74" s="95">
        <f>'11'!F74</f>
        <v>996562.1</v>
      </c>
      <c r="F74" s="117">
        <v>996860</v>
      </c>
      <c r="G74" s="112">
        <f t="shared" ref="G74:G78" si="7">F74-E74</f>
        <v>297.90000000002328</v>
      </c>
      <c r="H74" s="99">
        <f>G74+'11'!H74</f>
        <v>994345</v>
      </c>
      <c r="I74" s="154"/>
      <c r="J74" s="175">
        <f>H74/DAY(B2)</f>
        <v>82862.083333333328</v>
      </c>
      <c r="K74" s="69"/>
      <c r="L74" s="66"/>
      <c r="N74" s="87"/>
      <c r="O74" s="71"/>
    </row>
    <row r="75" spans="1:15" ht="32.25" customHeight="1">
      <c r="A75" s="902" t="s">
        <v>221</v>
      </c>
      <c r="B75" s="903"/>
      <c r="C75" s="904"/>
      <c r="D75" s="151" t="s">
        <v>139</v>
      </c>
      <c r="E75" s="95">
        <f>'11'!F75</f>
        <v>73586.8</v>
      </c>
      <c r="F75" s="123">
        <v>73587</v>
      </c>
      <c r="G75" s="112">
        <f t="shared" si="7"/>
        <v>0.19999999999708962</v>
      </c>
      <c r="H75" s="99">
        <f>G75+'11'!H75</f>
        <v>0.19999999999708962</v>
      </c>
      <c r="I75" s="154"/>
      <c r="J75" s="175">
        <f>H75/DAY(B2)</f>
        <v>1.6666666666424135E-2</v>
      </c>
      <c r="K75" s="69"/>
      <c r="L75" s="66"/>
      <c r="N75" s="87"/>
      <c r="O75" s="71"/>
    </row>
    <row r="76" spans="1:15" ht="32.25" customHeight="1">
      <c r="A76" s="899" t="s">
        <v>222</v>
      </c>
      <c r="B76" s="900"/>
      <c r="C76" s="901"/>
      <c r="D76" s="151" t="s">
        <v>139</v>
      </c>
      <c r="E76" s="95">
        <f>'11'!F76</f>
        <v>208539.2</v>
      </c>
      <c r="F76" s="123">
        <v>208656</v>
      </c>
      <c r="G76" s="112">
        <f t="shared" si="7"/>
        <v>116.79999999998836</v>
      </c>
      <c r="H76" s="99">
        <f>G76+'11'!H76</f>
        <v>1279</v>
      </c>
      <c r="I76" s="154"/>
      <c r="J76" s="175">
        <f>H76/DAY(B2)</f>
        <v>106.58333333333333</v>
      </c>
      <c r="K76" s="69"/>
      <c r="L76" s="66"/>
      <c r="N76" s="87"/>
      <c r="O76" s="71"/>
    </row>
    <row r="77" spans="1:15" ht="32.25" customHeight="1">
      <c r="A77" s="899" t="s">
        <v>223</v>
      </c>
      <c r="B77" s="900"/>
      <c r="C77" s="901"/>
      <c r="D77" s="151" t="s">
        <v>139</v>
      </c>
      <c r="E77" s="95">
        <f>'11'!F77</f>
        <v>58682</v>
      </c>
      <c r="F77" s="123">
        <v>58738</v>
      </c>
      <c r="G77" s="112">
        <f t="shared" si="7"/>
        <v>56</v>
      </c>
      <c r="H77" s="99">
        <f>G77+'11'!H77</f>
        <v>586</v>
      </c>
      <c r="I77" s="154"/>
      <c r="J77" s="175">
        <f>H77/DAY(B2)</f>
        <v>48.833333333333336</v>
      </c>
      <c r="K77" s="69"/>
      <c r="L77" s="66"/>
      <c r="N77" s="87"/>
      <c r="O77" s="71"/>
    </row>
    <row r="78" spans="1:15" ht="32.25" customHeight="1">
      <c r="A78" s="899" t="s">
        <v>224</v>
      </c>
      <c r="B78" s="900"/>
      <c r="C78" s="901"/>
      <c r="D78" s="151" t="s">
        <v>139</v>
      </c>
      <c r="E78" s="95">
        <f>'11'!F78</f>
        <v>9563</v>
      </c>
      <c r="F78" s="123">
        <v>9563</v>
      </c>
      <c r="G78" s="112">
        <f t="shared" si="7"/>
        <v>0</v>
      </c>
      <c r="H78" s="99">
        <f>G78+'11'!H78</f>
        <v>-1</v>
      </c>
      <c r="I78" s="118"/>
      <c r="J78" s="175">
        <f>H78/DAY(B2)</f>
        <v>-8.3333333333333329E-2</v>
      </c>
      <c r="K78" s="69"/>
      <c r="L78" s="66"/>
      <c r="N78" s="87"/>
      <c r="O78" s="71"/>
    </row>
    <row r="79" spans="1:15" s="57" customFormat="1" ht="32.25" customHeight="1">
      <c r="A79" s="899" t="s">
        <v>225</v>
      </c>
      <c r="B79" s="900"/>
      <c r="C79" s="901"/>
      <c r="D79" s="151"/>
      <c r="E79" s="95">
        <f>'11'!F79</f>
        <v>0</v>
      </c>
      <c r="F79" s="117"/>
      <c r="G79" s="112">
        <f>G15-SUM(G74:G78)</f>
        <v>692.62199999987206</v>
      </c>
      <c r="H79" s="99">
        <f>G79+'11'!H79</f>
        <v>-982640.57799999998</v>
      </c>
      <c r="I79" s="118"/>
      <c r="J79" s="175">
        <f>H79/DAY(B2)</f>
        <v>-81886.714833333332</v>
      </c>
      <c r="K79" s="59"/>
      <c r="L79" s="58"/>
      <c r="N79" s="87"/>
      <c r="O79" s="71"/>
    </row>
    <row r="80" spans="1:15" s="57" customFormat="1" ht="32.25" customHeight="1">
      <c r="A80" s="911" t="s">
        <v>329</v>
      </c>
      <c r="B80" s="912"/>
      <c r="C80" s="913"/>
      <c r="D80" s="151"/>
      <c r="E80" s="117"/>
      <c r="F80" s="117"/>
      <c r="G80" s="112">
        <f>SUM(G74:G79)</f>
        <v>1163.5219999998808</v>
      </c>
      <c r="H80" s="99">
        <f>G80+'11'!H80</f>
        <v>1163.5219999998808</v>
      </c>
      <c r="I80" s="118"/>
      <c r="J80" s="175">
        <f>H80/DAY(B2)</f>
        <v>96.960166666656733</v>
      </c>
      <c r="K80" s="59"/>
      <c r="L80" s="58"/>
      <c r="N80" s="87"/>
      <c r="O80" s="71"/>
    </row>
    <row r="81" spans="1:15" ht="32.25" customHeight="1">
      <c r="A81" s="915" t="s">
        <v>226</v>
      </c>
      <c r="B81" s="916"/>
      <c r="C81" s="917"/>
      <c r="D81" s="110"/>
      <c r="E81" s="110"/>
      <c r="F81" s="110"/>
      <c r="G81" s="163"/>
      <c r="H81" s="163"/>
      <c r="I81" s="163"/>
      <c r="J81" s="184"/>
      <c r="O81" s="71"/>
    </row>
    <row r="82" spans="1:15" ht="32.25" customHeight="1">
      <c r="A82" s="345" t="s">
        <v>227</v>
      </c>
      <c r="B82" s="346"/>
      <c r="C82" s="346"/>
      <c r="D82" s="151" t="s">
        <v>228</v>
      </c>
      <c r="E82" s="95">
        <f>'11'!F82</f>
        <v>0</v>
      </c>
      <c r="F82" s="122">
        <v>0</v>
      </c>
      <c r="G82" s="112">
        <f t="shared" ref="G82:G92" si="8">F82-E82</f>
        <v>0</v>
      </c>
      <c r="H82" s="99">
        <f>G82+'11'!H82</f>
        <v>0</v>
      </c>
      <c r="I82" s="545"/>
      <c r="J82" s="175">
        <f>H82/DAY(B2)</f>
        <v>0</v>
      </c>
      <c r="O82" s="71"/>
    </row>
    <row r="83" spans="1:15" ht="32.25" customHeight="1">
      <c r="A83" s="345" t="s">
        <v>229</v>
      </c>
      <c r="B83" s="346"/>
      <c r="C83" s="346"/>
      <c r="D83" s="151" t="s">
        <v>228</v>
      </c>
      <c r="E83" s="95">
        <f>'11'!F83</f>
        <v>0</v>
      </c>
      <c r="F83" s="122">
        <v>0</v>
      </c>
      <c r="G83" s="112">
        <f t="shared" si="8"/>
        <v>0</v>
      </c>
      <c r="H83" s="99">
        <f>G83+'11'!H83</f>
        <v>0</v>
      </c>
      <c r="I83" s="545"/>
      <c r="J83" s="175">
        <f>H83/DAY(B2)</f>
        <v>0</v>
      </c>
      <c r="O83" s="71"/>
    </row>
    <row r="84" spans="1:15" ht="32.25" customHeight="1">
      <c r="A84" s="345" t="s">
        <v>230</v>
      </c>
      <c r="B84" s="346"/>
      <c r="C84" s="346"/>
      <c r="D84" s="151" t="s">
        <v>228</v>
      </c>
      <c r="E84" s="95">
        <f>'11'!F84</f>
        <v>43546</v>
      </c>
      <c r="F84" s="164">
        <v>43546</v>
      </c>
      <c r="G84" s="112">
        <f t="shared" si="8"/>
        <v>0</v>
      </c>
      <c r="H84" s="99">
        <f>G84+'11'!H84</f>
        <v>0</v>
      </c>
      <c r="I84" s="545"/>
      <c r="J84" s="175">
        <f>H84/DAY(B2)</f>
        <v>0</v>
      </c>
      <c r="O84" s="71"/>
    </row>
    <row r="85" spans="1:15" ht="32.25" customHeight="1">
      <c r="A85" s="345" t="s">
        <v>231</v>
      </c>
      <c r="B85" s="346"/>
      <c r="C85" s="346"/>
      <c r="D85" s="151" t="s">
        <v>228</v>
      </c>
      <c r="E85" s="95">
        <f>'11'!F85</f>
        <v>6496.48</v>
      </c>
      <c r="F85" s="164">
        <v>6499.36</v>
      </c>
      <c r="G85" s="112">
        <f t="shared" si="8"/>
        <v>2.8800000000001091</v>
      </c>
      <c r="H85" s="99">
        <f>G85+'11'!H85</f>
        <v>566.90999999999985</v>
      </c>
      <c r="I85" s="545"/>
      <c r="J85" s="175">
        <f>H85/DAY(B2)</f>
        <v>47.242499999999986</v>
      </c>
      <c r="O85" s="71"/>
    </row>
    <row r="86" spans="1:15" ht="32.25" customHeight="1">
      <c r="A86" s="345" t="s">
        <v>232</v>
      </c>
      <c r="B86" s="346"/>
      <c r="C86" s="346"/>
      <c r="D86" s="151" t="s">
        <v>228</v>
      </c>
      <c r="E86" s="95">
        <f>'11'!F86</f>
        <v>46834</v>
      </c>
      <c r="F86" s="164">
        <v>46838</v>
      </c>
      <c r="G86" s="112">
        <f t="shared" si="8"/>
        <v>4</v>
      </c>
      <c r="H86" s="99">
        <f>G86+'11'!H86</f>
        <v>4</v>
      </c>
      <c r="I86" s="545"/>
      <c r="J86" s="175">
        <f>H86/DAY(B2)</f>
        <v>0.33333333333333331</v>
      </c>
      <c r="O86" s="71"/>
    </row>
    <row r="87" spans="1:15" ht="32.25" customHeight="1">
      <c r="A87" s="345" t="s">
        <v>233</v>
      </c>
      <c r="B87" s="346"/>
      <c r="C87" s="346"/>
      <c r="D87" s="151" t="s">
        <v>228</v>
      </c>
      <c r="E87" s="95">
        <f>'11'!F87</f>
        <v>37030</v>
      </c>
      <c r="F87" s="164">
        <v>37048</v>
      </c>
      <c r="G87" s="112">
        <f t="shared" si="8"/>
        <v>18</v>
      </c>
      <c r="H87" s="99">
        <f>G87+'11'!H87</f>
        <v>20</v>
      </c>
      <c r="I87" s="545">
        <f>G84+G85+G86+G87</f>
        <v>24.880000000000109</v>
      </c>
      <c r="J87" s="175">
        <f>H87/DAY(B2)</f>
        <v>1.6666666666666667</v>
      </c>
      <c r="O87" s="71"/>
    </row>
    <row r="88" spans="1:15" ht="32.25" customHeight="1">
      <c r="A88" s="345" t="s">
        <v>234</v>
      </c>
      <c r="B88" s="346"/>
      <c r="C88" s="346"/>
      <c r="D88" s="151" t="s">
        <v>228</v>
      </c>
      <c r="E88" s="95">
        <f>'11'!F88</f>
        <v>24629.4</v>
      </c>
      <c r="F88" s="164">
        <v>24633.54</v>
      </c>
      <c r="G88" s="112">
        <f t="shared" si="8"/>
        <v>4.1399999999994179</v>
      </c>
      <c r="H88" s="99">
        <f>G88+'11'!H88</f>
        <v>29.940000000002328</v>
      </c>
      <c r="I88" s="545"/>
      <c r="J88" s="175">
        <f>H88/DAY(B2)</f>
        <v>2.4950000000001942</v>
      </c>
      <c r="N88" s="65">
        <v>7</v>
      </c>
      <c r="O88" s="71"/>
    </row>
    <row r="89" spans="1:15" ht="32.25" customHeight="1">
      <c r="A89" s="345" t="s">
        <v>235</v>
      </c>
      <c r="B89" s="346"/>
      <c r="C89" s="346"/>
      <c r="D89" s="151" t="s">
        <v>228</v>
      </c>
      <c r="E89" s="95">
        <f>'11'!F89</f>
        <v>28867.22</v>
      </c>
      <c r="F89" s="164">
        <v>28877.67</v>
      </c>
      <c r="G89" s="112">
        <f t="shared" si="8"/>
        <v>10.44999999999709</v>
      </c>
      <c r="H89" s="99">
        <f>G89+'11'!H89</f>
        <v>129.27999999999884</v>
      </c>
      <c r="I89" s="545">
        <f>G88+G89</f>
        <v>14.589999999996508</v>
      </c>
      <c r="J89" s="175">
        <f>H89/DAY(B2)</f>
        <v>10.773333333333236</v>
      </c>
      <c r="O89" s="71"/>
    </row>
    <row r="90" spans="1:15" ht="32.25" customHeight="1">
      <c r="A90" s="345" t="s">
        <v>236</v>
      </c>
      <c r="B90" s="346"/>
      <c r="C90" s="346"/>
      <c r="D90" s="151" t="s">
        <v>228</v>
      </c>
      <c r="E90" s="95">
        <f>'11'!F90</f>
        <v>74321.36</v>
      </c>
      <c r="F90" s="164">
        <v>74328.33</v>
      </c>
      <c r="G90" s="112">
        <f t="shared" si="8"/>
        <v>6.9700000000011642</v>
      </c>
      <c r="H90" s="99">
        <f>G90+'11'!H90</f>
        <v>125.15000000000873</v>
      </c>
      <c r="I90" s="545">
        <f>G90</f>
        <v>6.9700000000011642</v>
      </c>
      <c r="J90" s="175">
        <f>H90/DAY(B2)</f>
        <v>10.429166666667394</v>
      </c>
      <c r="O90" s="71"/>
    </row>
    <row r="91" spans="1:15" ht="32.25" customHeight="1">
      <c r="A91" s="345" t="s">
        <v>237</v>
      </c>
      <c r="B91" s="346"/>
      <c r="C91" s="346"/>
      <c r="D91" s="151" t="s">
        <v>228</v>
      </c>
      <c r="E91" s="95">
        <f>'11'!F91</f>
        <v>5618</v>
      </c>
      <c r="F91" s="122">
        <v>5618</v>
      </c>
      <c r="G91" s="112">
        <f t="shared" si="8"/>
        <v>0</v>
      </c>
      <c r="H91" s="99">
        <f>G91+'11'!H91</f>
        <v>-0.21000000000003638</v>
      </c>
      <c r="I91" s="546"/>
      <c r="J91" s="175">
        <f>H91/DAY(B2)</f>
        <v>-1.750000000000303E-2</v>
      </c>
      <c r="O91" s="71"/>
    </row>
    <row r="92" spans="1:15" ht="32.25" customHeight="1">
      <c r="A92" s="345" t="s">
        <v>238</v>
      </c>
      <c r="B92" s="346"/>
      <c r="C92" s="346"/>
      <c r="D92" s="151" t="s">
        <v>228</v>
      </c>
      <c r="E92" s="95">
        <f>'11'!F92</f>
        <v>7202.8</v>
      </c>
      <c r="F92" s="122">
        <v>7214</v>
      </c>
      <c r="G92" s="112">
        <f t="shared" si="8"/>
        <v>11.199999999999818</v>
      </c>
      <c r="H92" s="99">
        <f>G92+'11'!H92</f>
        <v>134.3100000000004</v>
      </c>
      <c r="I92" s="547">
        <f>G91+G92</f>
        <v>11.199999999999818</v>
      </c>
      <c r="J92" s="175">
        <f>H92/DAY(B2)</f>
        <v>11.192500000000033</v>
      </c>
      <c r="O92" s="71"/>
    </row>
    <row r="93" spans="1:15" ht="32.25" customHeight="1">
      <c r="A93" s="905" t="s">
        <v>239</v>
      </c>
      <c r="B93" s="906"/>
      <c r="C93" s="90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2.25" customHeight="1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5713.9200000000419</v>
      </c>
      <c r="H94" s="99">
        <f>G94+'11'!H94</f>
        <v>65541.910000000033</v>
      </c>
      <c r="I94" s="118"/>
      <c r="J94" s="175">
        <f>H94/DAY(B2)</f>
        <v>5461.825833333336</v>
      </c>
      <c r="K94" s="69"/>
      <c r="L94" s="66"/>
      <c r="O94" s="71"/>
    </row>
    <row r="95" spans="1:15" ht="32.25" customHeight="1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0.27263318966689737</v>
      </c>
      <c r="H95" s="99">
        <f>G95+'11'!H95</f>
        <v>3.1277280632616105</v>
      </c>
      <c r="I95" s="167"/>
      <c r="J95" s="175">
        <f>H95/DAY(B2)</f>
        <v>0.26064400527180087</v>
      </c>
      <c r="K95" s="69"/>
      <c r="L95" s="66"/>
      <c r="O95" s="71"/>
    </row>
    <row r="96" spans="1:15" ht="32.25" customHeight="1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3166.2000000000698</v>
      </c>
      <c r="H96" s="99">
        <f>G96+'11'!H96</f>
        <v>52175.940000000061</v>
      </c>
      <c r="I96" s="118"/>
      <c r="J96" s="175">
        <f>H96/DAY(B2)</f>
        <v>4347.9950000000053</v>
      </c>
      <c r="K96" s="69"/>
      <c r="L96" s="66"/>
      <c r="O96" s="71"/>
    </row>
    <row r="97" spans="1:15" ht="32.25" customHeight="1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0.15107162948087183</v>
      </c>
      <c r="H97" s="99">
        <f>G97+'11'!H97</f>
        <v>2.4869496468939336</v>
      </c>
      <c r="I97" s="167"/>
      <c r="J97" s="175">
        <f>H97/DAY(B2)</f>
        <v>0.20724580390782779</v>
      </c>
      <c r="K97" s="69"/>
      <c r="L97" s="66"/>
      <c r="O97" s="71"/>
    </row>
    <row r="98" spans="1:15" ht="32.25" customHeight="1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2692.1700000000419</v>
      </c>
      <c r="H98" s="99">
        <f>G98+'11'!H98</f>
        <v>33676.900000000023</v>
      </c>
      <c r="I98" s="168"/>
      <c r="J98" s="175">
        <f>H98/DAY(B2)</f>
        <v>2806.4083333333351</v>
      </c>
      <c r="K98" s="69"/>
      <c r="L98" s="66"/>
      <c r="O98" s="71"/>
    </row>
    <row r="99" spans="1:15" ht="32.25" customHeight="1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0.12845382753443119</v>
      </c>
      <c r="H99" s="99">
        <f>G99+'11'!H99</f>
        <v>1.6073467491319955</v>
      </c>
      <c r="I99" s="168"/>
      <c r="J99" s="175">
        <f>H99/DAY(B2)</f>
        <v>0.13394556242766628</v>
      </c>
      <c r="O99" s="71"/>
    </row>
    <row r="100" spans="1:15" ht="32.25" customHeight="1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2491.8599999999951</v>
      </c>
      <c r="H100" s="99">
        <f>G100+'11'!H100</f>
        <v>28071.560000000056</v>
      </c>
      <c r="I100" s="118"/>
      <c r="J100" s="175">
        <f>H100/DAY(B2)</f>
        <v>2339.2966666666712</v>
      </c>
      <c r="K100" s="70"/>
      <c r="O100" s="71"/>
    </row>
    <row r="101" spans="1:15" ht="32.25" customHeight="1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0.11889626386147313</v>
      </c>
      <c r="H101" s="99">
        <f>G101+'11'!H101</f>
        <v>1.3369238746828143</v>
      </c>
      <c r="I101" s="168"/>
      <c r="J101" s="175">
        <f>H101/DAY(B2)</f>
        <v>0.11141032289023452</v>
      </c>
      <c r="O101" s="71"/>
    </row>
    <row r="102" spans="1:15" ht="32.25" customHeight="1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2088.0099999999511</v>
      </c>
      <c r="H102" s="99">
        <f>G102+'11'!H102</f>
        <v>27647.889999999956</v>
      </c>
      <c r="I102" s="168"/>
      <c r="J102" s="175">
        <f>H102/DAY(B2)</f>
        <v>2303.9908333333296</v>
      </c>
      <c r="O102" s="71"/>
    </row>
    <row r="103" spans="1:15" ht="32.25" customHeight="1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9.9627020741690608E-2</v>
      </c>
      <c r="H103" s="99">
        <f>G103+'11'!H103</f>
        <v>1.3172619029366728</v>
      </c>
      <c r="I103" s="118"/>
      <c r="J103" s="175">
        <f>H103/DAY(B2)</f>
        <v>0.10977182524472273</v>
      </c>
      <c r="O103" s="71"/>
    </row>
    <row r="104" spans="1:15" ht="32.25" customHeight="1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1491.679999999993</v>
      </c>
      <c r="H104" s="99">
        <f>G104+'11'!H104</f>
        <v>17870.880000000005</v>
      </c>
      <c r="I104" s="118"/>
      <c r="J104" s="175">
        <f>H104/DAY(B2)</f>
        <v>1489.2400000000005</v>
      </c>
      <c r="O104" s="71"/>
    </row>
    <row r="105" spans="1:15" ht="32.25" customHeight="1" thickBot="1">
      <c r="A105" s="895" t="s">
        <v>251</v>
      </c>
      <c r="B105" s="896"/>
      <c r="C105" s="897"/>
      <c r="D105" s="231" t="s">
        <v>23</v>
      </c>
      <c r="E105" s="185"/>
      <c r="F105" s="185"/>
      <c r="G105" s="186">
        <f>G104/G7</f>
        <v>7.1173813487467902E-2</v>
      </c>
      <c r="H105" s="99">
        <f>G105+'11'!H105</f>
        <v>0.85282575963510743</v>
      </c>
      <c r="I105" s="187"/>
      <c r="J105" s="188">
        <f>H105/DAY(B2)</f>
        <v>7.1068813302925624E-2</v>
      </c>
      <c r="O105" s="71"/>
    </row>
    <row r="106" spans="1:15" ht="32.2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2.25" customHeight="1">
      <c r="A108" s="891" t="s">
        <v>324</v>
      </c>
      <c r="B108" s="891"/>
      <c r="C108" s="891"/>
      <c r="D108" s="891"/>
      <c r="E108" s="891"/>
      <c r="F108" s="891"/>
      <c r="G108" s="891"/>
      <c r="H108" s="891"/>
      <c r="I108" s="891"/>
      <c r="J108" s="891"/>
    </row>
    <row r="109" spans="1:15" ht="32.25" customHeight="1">
      <c r="A109" s="918"/>
      <c r="B109" s="918"/>
    </row>
    <row r="110" spans="1:15" ht="32.25" customHeight="1">
      <c r="A110" s="892" t="s">
        <v>165</v>
      </c>
      <c r="B110" s="893"/>
      <c r="C110" s="893"/>
      <c r="D110" s="893"/>
      <c r="E110" s="893"/>
      <c r="F110" s="893"/>
      <c r="G110" s="893"/>
      <c r="H110" s="893"/>
      <c r="I110" s="893"/>
      <c r="J110" s="894"/>
    </row>
    <row r="111" spans="1:15" ht="32.25" customHeight="1">
      <c r="A111" s="885"/>
      <c r="B111" s="886"/>
      <c r="C111" s="887"/>
      <c r="D111" s="165"/>
      <c r="E111" s="165"/>
      <c r="F111" s="165"/>
      <c r="G111" s="165"/>
      <c r="H111" s="156"/>
      <c r="I111" s="165"/>
      <c r="J111" s="327"/>
    </row>
    <row r="112" spans="1:15" ht="32.25" customHeight="1">
      <c r="A112" s="881" t="s">
        <v>252</v>
      </c>
      <c r="B112" s="882"/>
      <c r="C112" s="883"/>
      <c r="D112" s="146" t="s">
        <v>183</v>
      </c>
      <c r="E112" s="95">
        <f>'11'!F112</f>
        <v>18173.143</v>
      </c>
      <c r="F112" s="237">
        <v>18235.16</v>
      </c>
      <c r="G112" s="112">
        <f t="shared" ref="G112:G123" si="9">F112-E112</f>
        <v>62.016999999999825</v>
      </c>
      <c r="H112" s="99">
        <f>G112+'11'!H112</f>
        <v>723.86000000000058</v>
      </c>
      <c r="I112" s="165"/>
      <c r="J112" s="328">
        <f>H112/DAY(B2)</f>
        <v>60.321666666666715</v>
      </c>
    </row>
    <row r="113" spans="1:18" ht="32.25" customHeight="1">
      <c r="A113" s="881" t="s">
        <v>253</v>
      </c>
      <c r="B113" s="882"/>
      <c r="C113" s="883"/>
      <c r="D113" s="146" t="s">
        <v>183</v>
      </c>
      <c r="E113" s="95">
        <f>'11'!F113</f>
        <v>38647.271999999997</v>
      </c>
      <c r="F113" s="237">
        <v>38792.112300000001</v>
      </c>
      <c r="G113" s="112">
        <f t="shared" si="9"/>
        <v>144.84030000000348</v>
      </c>
      <c r="H113" s="99">
        <f>G113+'11'!H113</f>
        <v>1713.1123000000007</v>
      </c>
      <c r="I113" s="165"/>
      <c r="J113" s="328">
        <f>H113/DAY(B2)</f>
        <v>142.75935833333338</v>
      </c>
    </row>
    <row r="114" spans="1:18" ht="32.25" customHeight="1">
      <c r="A114" s="881" t="s">
        <v>254</v>
      </c>
      <c r="B114" s="882"/>
      <c r="C114" s="883"/>
      <c r="D114" s="146" t="s">
        <v>183</v>
      </c>
      <c r="E114" s="95">
        <f>'11'!F114</f>
        <v>56702.146999999997</v>
      </c>
      <c r="F114" s="237">
        <v>56927</v>
      </c>
      <c r="G114" s="112">
        <f t="shared" si="9"/>
        <v>224.85300000000279</v>
      </c>
      <c r="H114" s="99">
        <f>G114+'11'!H114</f>
        <v>2659.2200000000012</v>
      </c>
      <c r="I114" s="165"/>
      <c r="J114" s="328">
        <f>H114/DAY(B2)</f>
        <v>221.60166666666677</v>
      </c>
    </row>
    <row r="115" spans="1:18" ht="32.25" customHeight="1">
      <c r="A115" s="881" t="s">
        <v>255</v>
      </c>
      <c r="B115" s="882"/>
      <c r="C115" s="883"/>
      <c r="D115" s="146" t="s">
        <v>183</v>
      </c>
      <c r="E115" s="95">
        <f>'11'!F115</f>
        <v>36625.563000000002</v>
      </c>
      <c r="F115" s="237">
        <v>36744.980000000003</v>
      </c>
      <c r="G115" s="112">
        <f t="shared" si="9"/>
        <v>119.41700000000128</v>
      </c>
      <c r="H115" s="99">
        <f>G115+'11'!H115</f>
        <v>1778.0699999999997</v>
      </c>
      <c r="I115" s="165"/>
      <c r="J115" s="328">
        <f>H115/DAY(B2)</f>
        <v>148.17249999999999</v>
      </c>
    </row>
    <row r="116" spans="1:18" ht="32.25" customHeight="1">
      <c r="A116" s="888" t="s">
        <v>96</v>
      </c>
      <c r="B116" s="889"/>
      <c r="C116" s="890"/>
      <c r="D116" s="146" t="s">
        <v>183</v>
      </c>
      <c r="E116" s="95">
        <f>'11'!F116</f>
        <v>139185.16</v>
      </c>
      <c r="F116" s="237">
        <v>139467.70000000001</v>
      </c>
      <c r="G116" s="112">
        <f t="shared" si="9"/>
        <v>282.54000000000815</v>
      </c>
      <c r="H116" s="99">
        <f>G116+'11'!H116</f>
        <v>4979.3099999999977</v>
      </c>
      <c r="I116" s="165"/>
      <c r="J116" s="328">
        <f>H116/DAY(B2)</f>
        <v>414.94249999999982</v>
      </c>
      <c r="Q116" s="881" t="s">
        <v>311</v>
      </c>
      <c r="R116" s="883"/>
    </row>
    <row r="117" spans="1:18" ht="32.25" customHeight="1">
      <c r="A117" s="888" t="s">
        <v>184</v>
      </c>
      <c r="B117" s="889"/>
      <c r="C117" s="890"/>
      <c r="D117" s="146" t="s">
        <v>183</v>
      </c>
      <c r="E117" s="95">
        <f>'11'!F117</f>
        <v>86697.031000000003</v>
      </c>
      <c r="F117" s="237">
        <v>87031.198999999993</v>
      </c>
      <c r="G117" s="112">
        <f t="shared" si="9"/>
        <v>334.16799999999057</v>
      </c>
      <c r="H117" s="99">
        <f>G117+'11'!H117</f>
        <v>4321.1989999999932</v>
      </c>
      <c r="I117" s="165"/>
      <c r="J117" s="328">
        <f>H117/DAY(B2)</f>
        <v>360.0999166666661</v>
      </c>
      <c r="Q117" s="881" t="s">
        <v>312</v>
      </c>
      <c r="R117" s="883"/>
    </row>
    <row r="118" spans="1:18" ht="32.25" customHeight="1">
      <c r="A118" s="880" t="s">
        <v>97</v>
      </c>
      <c r="B118" s="880"/>
      <c r="C118" s="880"/>
      <c r="D118" s="151" t="s">
        <v>183</v>
      </c>
      <c r="E118" s="95">
        <f>'11'!F118</f>
        <v>165156.15</v>
      </c>
      <c r="F118" s="237">
        <v>165822</v>
      </c>
      <c r="G118" s="112">
        <f t="shared" si="9"/>
        <v>665.85000000000582</v>
      </c>
      <c r="H118" s="99">
        <f>G118+'11'!H118</f>
        <v>7684.8500000000058</v>
      </c>
      <c r="I118" s="165"/>
      <c r="J118" s="328">
        <f>H118/DAY(B2)</f>
        <v>640.40416666666715</v>
      </c>
      <c r="Q118" s="881" t="s">
        <v>311</v>
      </c>
      <c r="R118" s="883"/>
    </row>
    <row r="119" spans="1:18" ht="32.25" customHeight="1">
      <c r="A119" s="880" t="s">
        <v>98</v>
      </c>
      <c r="B119" s="880"/>
      <c r="C119" s="880"/>
      <c r="D119" s="151" t="s">
        <v>183</v>
      </c>
      <c r="E119" s="95">
        <f>'11'!F119</f>
        <v>44337.11</v>
      </c>
      <c r="F119" s="237">
        <v>44375</v>
      </c>
      <c r="G119" s="112">
        <f t="shared" si="9"/>
        <v>37.889999999999418</v>
      </c>
      <c r="H119" s="99">
        <f>G119+'11'!H119</f>
        <v>435.82499999999709</v>
      </c>
      <c r="I119" s="165"/>
      <c r="J119" s="328">
        <f>H119/DAY(B2)</f>
        <v>36.31874999999976</v>
      </c>
    </row>
    <row r="120" spans="1:18" ht="32.25" customHeight="1">
      <c r="A120" s="880" t="s">
        <v>99</v>
      </c>
      <c r="B120" s="880"/>
      <c r="C120" s="880"/>
      <c r="D120" s="151" t="s">
        <v>183</v>
      </c>
      <c r="E120" s="95">
        <f>'11'!F120</f>
        <v>112799.43</v>
      </c>
      <c r="F120" s="237">
        <v>113184</v>
      </c>
      <c r="G120" s="112">
        <f t="shared" si="9"/>
        <v>384.57000000000698</v>
      </c>
      <c r="H120" s="99">
        <f>G120+'11'!H120</f>
        <v>4746.8600000000006</v>
      </c>
      <c r="I120" s="165"/>
      <c r="J120" s="328">
        <f>H120/DAY(B2)</f>
        <v>395.57166666666672</v>
      </c>
    </row>
    <row r="121" spans="1:18" ht="32.25" customHeight="1">
      <c r="A121" s="880" t="s">
        <v>100</v>
      </c>
      <c r="B121" s="880"/>
      <c r="C121" s="880"/>
      <c r="D121" s="151" t="s">
        <v>183</v>
      </c>
      <c r="E121" s="95">
        <f>'11'!F121</f>
        <v>125989.39</v>
      </c>
      <c r="F121" s="237">
        <v>126455</v>
      </c>
      <c r="G121" s="112">
        <f t="shared" si="9"/>
        <v>465.61000000000058</v>
      </c>
      <c r="H121" s="99">
        <f>G121+'11'!H121</f>
        <v>5232.1100000000006</v>
      </c>
      <c r="I121" s="165"/>
      <c r="J121" s="328">
        <f>H121/DAY(B2)</f>
        <v>436.00916666666672</v>
      </c>
    </row>
    <row r="122" spans="1:18" ht="32.25" customHeight="1">
      <c r="A122" s="880" t="s">
        <v>101</v>
      </c>
      <c r="B122" s="880"/>
      <c r="C122" s="880"/>
      <c r="D122" s="151" t="s">
        <v>183</v>
      </c>
      <c r="E122" s="95">
        <f>'11'!F122</f>
        <v>84648.5</v>
      </c>
      <c r="F122" s="237">
        <v>84973</v>
      </c>
      <c r="G122" s="112">
        <f t="shared" si="9"/>
        <v>324.5</v>
      </c>
      <c r="H122" s="99">
        <f>G122+'11'!H122</f>
        <v>3698.6300000000047</v>
      </c>
      <c r="I122" s="165"/>
      <c r="J122" s="328">
        <f>H122/DAY(B2)</f>
        <v>308.21916666666704</v>
      </c>
    </row>
    <row r="123" spans="1:18" ht="32.25" customHeight="1">
      <c r="A123" s="880" t="s">
        <v>102</v>
      </c>
      <c r="B123" s="880"/>
      <c r="C123" s="880"/>
      <c r="D123" s="151" t="s">
        <v>183</v>
      </c>
      <c r="E123" s="95">
        <f>'11'!F123</f>
        <v>81409.83</v>
      </c>
      <c r="F123" s="237">
        <v>81724.623200000002</v>
      </c>
      <c r="G123" s="112">
        <f t="shared" si="9"/>
        <v>314.79320000000007</v>
      </c>
      <c r="H123" s="99">
        <f>G123+'11'!H123</f>
        <v>3775.6232000000018</v>
      </c>
      <c r="I123" s="165"/>
      <c r="J123" s="328">
        <f>H123/DAY(B2)</f>
        <v>314.63526666666684</v>
      </c>
    </row>
    <row r="124" spans="1:18" ht="32.25" customHeight="1">
      <c r="A124" s="885"/>
      <c r="B124" s="886"/>
      <c r="C124" s="887"/>
      <c r="D124" s="165"/>
      <c r="E124" s="165"/>
      <c r="F124" s="165"/>
      <c r="G124" s="327"/>
      <c r="H124" s="156"/>
      <c r="I124" s="165"/>
      <c r="J124" s="327"/>
    </row>
    <row r="125" spans="1:18" ht="32.25" customHeight="1">
      <c r="A125" s="787" t="s">
        <v>196</v>
      </c>
      <c r="B125" s="788"/>
      <c r="C125" s="245"/>
      <c r="D125" s="307"/>
      <c r="E125" s="308"/>
      <c r="F125" s="308"/>
      <c r="G125" s="309">
        <f>SUM(G112:G124)</f>
        <v>3361.048500000019</v>
      </c>
      <c r="H125" s="156"/>
      <c r="I125" s="327" t="s">
        <v>365</v>
      </c>
      <c r="J125" s="327"/>
    </row>
    <row r="126" spans="1:18" ht="32.25" customHeight="1">
      <c r="A126" s="884" t="s">
        <v>317</v>
      </c>
      <c r="B126" s="884"/>
      <c r="C126" s="884"/>
      <c r="D126" s="884"/>
      <c r="E126" s="884"/>
      <c r="F126" s="884"/>
      <c r="G126" s="884"/>
      <c r="H126" s="884"/>
      <c r="I126" s="884"/>
      <c r="J126" s="884"/>
    </row>
    <row r="127" spans="1:18" ht="32.25" customHeight="1">
      <c r="A127" s="870"/>
      <c r="B127" s="870"/>
      <c r="C127" s="245"/>
      <c r="D127" s="307"/>
      <c r="E127" s="308"/>
      <c r="F127" s="308"/>
      <c r="G127" s="309"/>
      <c r="H127" s="99">
        <f>G127+'11'!H127</f>
        <v>0</v>
      </c>
      <c r="I127" s="165"/>
      <c r="J127" s="328">
        <f>H127/DAY(B2)</f>
        <v>0</v>
      </c>
    </row>
    <row r="128" spans="1:18" ht="32.25" customHeight="1">
      <c r="A128" s="881" t="s">
        <v>318</v>
      </c>
      <c r="B128" s="882"/>
      <c r="C128" s="883"/>
      <c r="D128" s="151" t="s">
        <v>183</v>
      </c>
      <c r="E128" s="95">
        <f>'11'!F128</f>
        <v>197364.41</v>
      </c>
      <c r="F128" s="165">
        <v>197883.77</v>
      </c>
      <c r="G128" s="112">
        <f t="shared" ref="G128:G134" si="10">F128-E128</f>
        <v>519.35999999998603</v>
      </c>
      <c r="H128" s="99">
        <f>G128+'11'!H128</f>
        <v>5998.1399999999849</v>
      </c>
      <c r="I128" s="165"/>
      <c r="J128" s="328">
        <f>H128/DAY(B2)</f>
        <v>499.84499999999872</v>
      </c>
    </row>
    <row r="129" spans="1:15" ht="32.25" customHeight="1">
      <c r="A129" s="329" t="s">
        <v>319</v>
      </c>
      <c r="B129" s="330"/>
      <c r="C129" s="331"/>
      <c r="D129" s="151" t="s">
        <v>183</v>
      </c>
      <c r="E129" s="95">
        <f>'11'!F129</f>
        <v>103358.15</v>
      </c>
      <c r="F129" s="165">
        <v>103515</v>
      </c>
      <c r="G129" s="112">
        <f t="shared" si="10"/>
        <v>156.85000000000582</v>
      </c>
      <c r="H129" s="99">
        <f>G129+'11'!H129</f>
        <v>2238</v>
      </c>
      <c r="I129" s="165"/>
      <c r="J129" s="328">
        <f>H129/DAY(B2)</f>
        <v>186.5</v>
      </c>
      <c r="N129" s="240"/>
      <c r="O129" s="241"/>
    </row>
    <row r="130" spans="1:15" ht="32.25" customHeight="1">
      <c r="A130" s="329" t="s">
        <v>320</v>
      </c>
      <c r="B130" s="330"/>
      <c r="C130" s="331"/>
      <c r="D130" s="151" t="s">
        <v>183</v>
      </c>
      <c r="E130" s="95">
        <f>'11'!F130</f>
        <v>274474.07</v>
      </c>
      <c r="F130" s="165">
        <v>275108.90999999997</v>
      </c>
      <c r="G130" s="112">
        <f t="shared" si="10"/>
        <v>634.8399999999674</v>
      </c>
      <c r="H130" s="99">
        <f>G130+'11'!H130</f>
        <v>6293.9099999999744</v>
      </c>
      <c r="I130" s="165"/>
      <c r="J130" s="328">
        <f>H130/DAY(B2)</f>
        <v>524.4924999999979</v>
      </c>
      <c r="N130" s="240"/>
      <c r="O130" s="241"/>
    </row>
    <row r="131" spans="1:15" ht="32.25" customHeight="1">
      <c r="A131" s="881" t="s">
        <v>321</v>
      </c>
      <c r="B131" s="882"/>
      <c r="C131" s="883"/>
      <c r="D131" s="151" t="s">
        <v>183</v>
      </c>
      <c r="E131" s="95">
        <f>'11'!F131</f>
        <v>81465.191000000006</v>
      </c>
      <c r="F131" s="165">
        <v>81664</v>
      </c>
      <c r="G131" s="112">
        <f t="shared" si="10"/>
        <v>198.80899999999383</v>
      </c>
      <c r="H131" s="99">
        <f>G131+'11'!H131</f>
        <v>2113.3699999999953</v>
      </c>
      <c r="I131" s="165"/>
      <c r="J131" s="328">
        <f>H131/DAY(B2)</f>
        <v>176.11416666666628</v>
      </c>
      <c r="N131" s="240"/>
      <c r="O131" s="241"/>
    </row>
    <row r="132" spans="1:15" ht="32.25" customHeight="1">
      <c r="A132" s="881" t="s">
        <v>322</v>
      </c>
      <c r="B132" s="882"/>
      <c r="C132" s="883"/>
      <c r="D132" s="151" t="s">
        <v>183</v>
      </c>
      <c r="E132" s="95">
        <f>'11'!F132</f>
        <v>148274</v>
      </c>
      <c r="F132" s="165">
        <v>148274</v>
      </c>
      <c r="G132" s="112">
        <f t="shared" si="10"/>
        <v>0</v>
      </c>
      <c r="H132" s="99">
        <f>G132+'11'!H132</f>
        <v>0</v>
      </c>
      <c r="I132" s="165"/>
      <c r="J132" s="328">
        <f>H132/DAY(B2)</f>
        <v>0</v>
      </c>
    </row>
    <row r="133" spans="1:15" ht="32.25" customHeight="1">
      <c r="A133" s="881" t="s">
        <v>359</v>
      </c>
      <c r="B133" s="882"/>
      <c r="C133" s="883"/>
      <c r="D133" s="151" t="s">
        <v>183</v>
      </c>
      <c r="E133" s="95">
        <f>'11'!F133</f>
        <v>288548.17</v>
      </c>
      <c r="F133" s="165">
        <v>288548</v>
      </c>
      <c r="G133" s="112">
        <f t="shared" si="10"/>
        <v>-0.16999999998370185</v>
      </c>
      <c r="H133" s="99">
        <f>G133+'11'!H133</f>
        <v>-644500</v>
      </c>
      <c r="I133" s="165"/>
      <c r="J133" s="328">
        <f>H133/DAY(B2)</f>
        <v>-53708.333333333336</v>
      </c>
    </row>
    <row r="134" spans="1:15" ht="32.25" customHeight="1">
      <c r="A134" s="881" t="s">
        <v>340</v>
      </c>
      <c r="B134" s="882"/>
      <c r="C134" s="883"/>
      <c r="D134" s="151" t="s">
        <v>183</v>
      </c>
      <c r="E134" s="95">
        <f>'11'!F134</f>
        <v>88856.566999999995</v>
      </c>
      <c r="F134" s="165">
        <v>88988</v>
      </c>
      <c r="G134" s="112">
        <f t="shared" si="10"/>
        <v>131.43300000000454</v>
      </c>
      <c r="H134" s="99">
        <f>G134+'11'!H134</f>
        <v>3036</v>
      </c>
      <c r="I134" s="165"/>
      <c r="J134" s="328">
        <f>H134/DAY(B2)</f>
        <v>253</v>
      </c>
    </row>
    <row r="135" spans="1:15" ht="32.25" customHeight="1">
      <c r="A135" s="787" t="s">
        <v>196</v>
      </c>
      <c r="B135" s="788"/>
      <c r="C135" s="331"/>
      <c r="D135" s="151"/>
      <c r="E135" s="95"/>
      <c r="F135" s="165"/>
      <c r="G135" s="112">
        <f>SUM(G128:G134)</f>
        <v>1641.1219999999739</v>
      </c>
      <c r="H135" s="99">
        <f>G135+'10'!H135</f>
        <v>-626479.723</v>
      </c>
      <c r="I135" s="327">
        <f>G135-(G35+G49)</f>
        <v>-1480.0380000000587</v>
      </c>
      <c r="J135" s="328">
        <f>H135/DAY(B2)</f>
        <v>-52206.643583333331</v>
      </c>
    </row>
    <row r="136" spans="1:15" ht="32.25" customHeight="1">
      <c r="A136" s="869" t="s">
        <v>207</v>
      </c>
      <c r="B136" s="869"/>
      <c r="C136" s="869"/>
      <c r="D136" s="869"/>
      <c r="E136" s="869"/>
      <c r="F136" s="869"/>
      <c r="G136" s="869"/>
      <c r="H136" s="869"/>
      <c r="I136" s="869"/>
      <c r="J136" s="869"/>
    </row>
    <row r="137" spans="1:15" ht="32.2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2.25" customHeight="1">
      <c r="A138" s="880" t="s">
        <v>185</v>
      </c>
      <c r="B138" s="880"/>
      <c r="C138" s="880"/>
      <c r="D138" s="151" t="s">
        <v>183</v>
      </c>
      <c r="E138" s="95">
        <f>'11'!F138</f>
        <v>910757</v>
      </c>
      <c r="F138" s="147">
        <v>910888</v>
      </c>
      <c r="G138" s="112">
        <f t="shared" ref="G138:G152" si="11">F138-E138</f>
        <v>131</v>
      </c>
      <c r="H138" s="99">
        <f>G138+'11'!H138</f>
        <v>1409</v>
      </c>
      <c r="I138" s="118"/>
      <c r="J138" s="328">
        <f>H138/DAY(B2)</f>
        <v>117.41666666666667</v>
      </c>
    </row>
    <row r="139" spans="1:15" ht="32.25" customHeight="1">
      <c r="A139" s="880" t="s">
        <v>186</v>
      </c>
      <c r="B139" s="880"/>
      <c r="C139" s="880"/>
      <c r="D139" s="151" t="s">
        <v>183</v>
      </c>
      <c r="E139" s="95">
        <f>'11'!F139</f>
        <v>934410.3</v>
      </c>
      <c r="F139" s="148">
        <v>934440</v>
      </c>
      <c r="G139" s="112">
        <f t="shared" si="11"/>
        <v>29.699999999953434</v>
      </c>
      <c r="H139" s="99">
        <f>G139+'11'!H139</f>
        <v>2080</v>
      </c>
      <c r="I139" s="118"/>
      <c r="J139" s="328">
        <f>H139/DAY(B2)</f>
        <v>173.33333333333334</v>
      </c>
    </row>
    <row r="140" spans="1:15" ht="32.25" customHeight="1">
      <c r="A140" s="880" t="s">
        <v>187</v>
      </c>
      <c r="B140" s="880"/>
      <c r="C140" s="880"/>
      <c r="D140" s="151" t="s">
        <v>183</v>
      </c>
      <c r="E140" s="95">
        <f>'11'!F140</f>
        <v>4260.93</v>
      </c>
      <c r="F140" s="149">
        <v>4291</v>
      </c>
      <c r="G140" s="112">
        <f t="shared" si="11"/>
        <v>30.069999999999709</v>
      </c>
      <c r="H140" s="99">
        <f>G140+'11'!H140</f>
        <v>257.48900000000003</v>
      </c>
      <c r="I140" s="118"/>
      <c r="J140" s="328">
        <f>H140/DAY(B2)</f>
        <v>21.457416666666671</v>
      </c>
    </row>
    <row r="141" spans="1:15" ht="32.25" customHeight="1">
      <c r="A141" s="863" t="s">
        <v>188</v>
      </c>
      <c r="B141" s="863"/>
      <c r="C141" s="863"/>
      <c r="D141" s="151" t="s">
        <v>183</v>
      </c>
      <c r="E141" s="95">
        <f>'11'!F141</f>
        <v>126763</v>
      </c>
      <c r="F141" s="149">
        <v>126957</v>
      </c>
      <c r="G141" s="112">
        <f t="shared" si="11"/>
        <v>194</v>
      </c>
      <c r="H141" s="99">
        <f>G141+'11'!H141</f>
        <v>2359</v>
      </c>
      <c r="I141" s="118"/>
      <c r="J141" s="328">
        <f>H141/DAY(B2)</f>
        <v>196.58333333333334</v>
      </c>
    </row>
    <row r="142" spans="1:15" ht="32.25" customHeight="1">
      <c r="A142" s="863" t="s">
        <v>189</v>
      </c>
      <c r="B142" s="863"/>
      <c r="C142" s="863"/>
      <c r="D142" s="151" t="s">
        <v>183</v>
      </c>
      <c r="E142" s="95">
        <f>'11'!F142</f>
        <v>51563.839999999997</v>
      </c>
      <c r="F142" s="148">
        <v>51659</v>
      </c>
      <c r="G142" s="112">
        <f t="shared" si="11"/>
        <v>95.160000000003492</v>
      </c>
      <c r="H142" s="99">
        <f>G142+'11'!H142</f>
        <v>1093.4499999999971</v>
      </c>
      <c r="I142" s="140"/>
      <c r="J142" s="328">
        <f>H142/DAY(B2)</f>
        <v>91.120833333333096</v>
      </c>
    </row>
    <row r="143" spans="1:15" ht="32.25" customHeight="1">
      <c r="A143" s="880" t="s">
        <v>91</v>
      </c>
      <c r="B143" s="880"/>
      <c r="C143" s="880"/>
      <c r="D143" s="151" t="s">
        <v>183</v>
      </c>
      <c r="E143" s="95">
        <f>'11'!F143</f>
        <v>13729.252</v>
      </c>
      <c r="F143" s="149">
        <v>13761.44</v>
      </c>
      <c r="G143" s="112">
        <f t="shared" si="11"/>
        <v>32.188000000000102</v>
      </c>
      <c r="H143" s="99">
        <f>G143+'11'!H143</f>
        <v>374.44000000000051</v>
      </c>
      <c r="I143" s="140"/>
      <c r="J143" s="328">
        <f>H143/DAY(B2)</f>
        <v>31.203333333333376</v>
      </c>
    </row>
    <row r="144" spans="1:15" ht="32.25" customHeight="1">
      <c r="A144" s="863" t="s">
        <v>90</v>
      </c>
      <c r="B144" s="863"/>
      <c r="C144" s="863"/>
      <c r="D144" s="151" t="s">
        <v>183</v>
      </c>
      <c r="E144" s="95">
        <f>'11'!F144</f>
        <v>958129</v>
      </c>
      <c r="F144" s="149">
        <v>958375</v>
      </c>
      <c r="G144" s="112">
        <f t="shared" si="11"/>
        <v>246</v>
      </c>
      <c r="H144" s="99">
        <f>G144+'11'!H144</f>
        <v>2905</v>
      </c>
      <c r="I144" s="140"/>
      <c r="J144" s="328">
        <f>H144/DAY(B2)</f>
        <v>242.08333333333334</v>
      </c>
    </row>
    <row r="145" spans="1:10" ht="32.25" customHeight="1">
      <c r="A145" s="880" t="s">
        <v>190</v>
      </c>
      <c r="B145" s="880"/>
      <c r="C145" s="880"/>
      <c r="D145" s="152" t="s">
        <v>183</v>
      </c>
      <c r="E145" s="95">
        <f>'11'!F145</f>
        <v>747201.1</v>
      </c>
      <c r="F145" s="149">
        <v>747213</v>
      </c>
      <c r="G145" s="112">
        <f t="shared" si="11"/>
        <v>11.900000000023283</v>
      </c>
      <c r="H145" s="99">
        <f>G145+'11'!H145</f>
        <v>2032</v>
      </c>
      <c r="I145" s="140"/>
      <c r="J145" s="328">
        <f>H145/DAY(B2)</f>
        <v>169.33333333333334</v>
      </c>
    </row>
    <row r="146" spans="1:10" ht="32.25" customHeight="1">
      <c r="A146" s="914" t="s">
        <v>191</v>
      </c>
      <c r="B146" s="900"/>
      <c r="C146" s="901"/>
      <c r="D146" s="152" t="s">
        <v>183</v>
      </c>
      <c r="E146" s="95">
        <f>'11'!F146</f>
        <v>788244</v>
      </c>
      <c r="F146" s="148">
        <v>788288</v>
      </c>
      <c r="G146" s="112">
        <f t="shared" si="11"/>
        <v>44</v>
      </c>
      <c r="H146" s="99">
        <f>G146+'11'!H146</f>
        <v>430</v>
      </c>
      <c r="I146" s="140"/>
      <c r="J146" s="328">
        <f>H146/DAY(B2)</f>
        <v>35.833333333333336</v>
      </c>
    </row>
    <row r="147" spans="1:10" ht="32.25" customHeight="1">
      <c r="A147" s="863" t="s">
        <v>192</v>
      </c>
      <c r="B147" s="863"/>
      <c r="C147" s="863"/>
      <c r="D147" s="152" t="s">
        <v>183</v>
      </c>
      <c r="E147" s="95">
        <f>'11'!F147</f>
        <v>764303.76</v>
      </c>
      <c r="F147" s="148">
        <v>764598</v>
      </c>
      <c r="G147" s="112">
        <f t="shared" si="11"/>
        <v>294.23999999999069</v>
      </c>
      <c r="H147" s="99">
        <f>G147+'11'!H147</f>
        <v>4460</v>
      </c>
      <c r="I147" s="140"/>
      <c r="J147" s="328">
        <f>H147/DAY(B2)</f>
        <v>371.66666666666669</v>
      </c>
    </row>
    <row r="148" spans="1:10" ht="32.25" customHeight="1">
      <c r="A148" s="864" t="s">
        <v>193</v>
      </c>
      <c r="B148" s="865"/>
      <c r="C148" s="866"/>
      <c r="D148" s="123" t="s">
        <v>130</v>
      </c>
      <c r="E148" s="95">
        <f>'11'!F148</f>
        <v>800002.16</v>
      </c>
      <c r="F148" s="403">
        <v>800392</v>
      </c>
      <c r="G148" s="112">
        <f t="shared" si="11"/>
        <v>389.8399999999674</v>
      </c>
      <c r="H148" s="99">
        <f>G148+'11'!H148</f>
        <v>3979.9200000000419</v>
      </c>
      <c r="I148" s="124"/>
      <c r="J148" s="328">
        <f>H148/DAY(B2)</f>
        <v>331.66000000000349</v>
      </c>
    </row>
    <row r="149" spans="1:10" ht="32.25" customHeight="1">
      <c r="A149" s="864" t="s">
        <v>336</v>
      </c>
      <c r="B149" s="865"/>
      <c r="C149" s="866"/>
      <c r="D149" s="227" t="s">
        <v>130</v>
      </c>
      <c r="E149" s="95">
        <f>'11'!F149</f>
        <v>206358</v>
      </c>
      <c r="F149" s="146">
        <v>206769</v>
      </c>
      <c r="G149" s="112">
        <f t="shared" si="11"/>
        <v>411</v>
      </c>
      <c r="H149" s="99">
        <f>G149+'11'!H149</f>
        <v>5477.7300000000105</v>
      </c>
      <c r="I149" s="119"/>
      <c r="J149" s="328">
        <f>H149/DAY(B2)</f>
        <v>456.47750000000087</v>
      </c>
    </row>
    <row r="150" spans="1:10" ht="32.25" customHeight="1">
      <c r="A150" s="864" t="s">
        <v>337</v>
      </c>
      <c r="B150" s="865"/>
      <c r="C150" s="866"/>
      <c r="D150" s="117" t="s">
        <v>130</v>
      </c>
      <c r="E150" s="95">
        <f>'11'!F150</f>
        <v>89496</v>
      </c>
      <c r="F150" s="233">
        <v>90078</v>
      </c>
      <c r="G150" s="112">
        <f t="shared" si="11"/>
        <v>582</v>
      </c>
      <c r="H150" s="99">
        <f>G150+'11'!H150</f>
        <v>4864</v>
      </c>
      <c r="I150" s="119"/>
      <c r="J150" s="328">
        <f>H150/DAY(B2)</f>
        <v>405.33333333333331</v>
      </c>
    </row>
    <row r="151" spans="1:10" ht="32.25" customHeight="1">
      <c r="A151" s="864" t="s">
        <v>338</v>
      </c>
      <c r="B151" s="865"/>
      <c r="C151" s="866"/>
      <c r="D151" s="117" t="s">
        <v>130</v>
      </c>
      <c r="E151" s="95">
        <f>'11'!F151</f>
        <v>170045</v>
      </c>
      <c r="F151" s="233">
        <v>170364</v>
      </c>
      <c r="G151" s="112">
        <f t="shared" si="11"/>
        <v>319</v>
      </c>
      <c r="H151" s="99">
        <f>G151+'11'!H151</f>
        <v>3634</v>
      </c>
      <c r="I151" s="119"/>
      <c r="J151" s="328">
        <f>H151/DAY(B2)</f>
        <v>302.83333333333331</v>
      </c>
    </row>
    <row r="152" spans="1:10" ht="32.25" customHeight="1">
      <c r="A152" s="864" t="s">
        <v>339</v>
      </c>
      <c r="B152" s="865"/>
      <c r="C152" s="866"/>
      <c r="D152" s="117" t="s">
        <v>130</v>
      </c>
      <c r="E152" s="95">
        <f>'11'!F152</f>
        <v>43964.639999999999</v>
      </c>
      <c r="F152" s="233">
        <v>44098.369899999998</v>
      </c>
      <c r="G152" s="112">
        <f t="shared" si="11"/>
        <v>133.72989999999845</v>
      </c>
      <c r="H152" s="99">
        <f>G152+'11'!H152</f>
        <v>1587.3698999999979</v>
      </c>
      <c r="I152" s="119"/>
      <c r="J152" s="328">
        <f>H152/DAY(B2)</f>
        <v>132.28082499999982</v>
      </c>
    </row>
    <row r="153" spans="1:10" ht="32.25" customHeight="1">
      <c r="A153" s="787" t="s">
        <v>196</v>
      </c>
      <c r="B153" s="788"/>
      <c r="C153" s="365"/>
      <c r="D153" s="358"/>
      <c r="E153" s="360"/>
      <c r="F153" s="361"/>
      <c r="G153" s="362">
        <f>SUM(G138:G152)</f>
        <v>2943.8278999999366</v>
      </c>
      <c r="H153" s="363"/>
      <c r="I153" s="119">
        <f>G153-(G38+G52)</f>
        <v>451.96789999994144</v>
      </c>
      <c r="J153" s="366"/>
    </row>
    <row r="154" spans="1:10" ht="32.25" customHeight="1">
      <c r="A154" s="869" t="s">
        <v>344</v>
      </c>
      <c r="B154" s="869"/>
      <c r="C154" s="869"/>
      <c r="D154" s="869"/>
      <c r="E154" s="869"/>
      <c r="F154" s="869"/>
      <c r="G154" s="869"/>
      <c r="H154" s="869"/>
      <c r="I154" s="869"/>
      <c r="J154" s="869"/>
    </row>
    <row r="155" spans="1:10" ht="32.25" customHeight="1">
      <c r="A155" s="863" t="s">
        <v>345</v>
      </c>
      <c r="B155" s="863"/>
      <c r="C155" s="863"/>
      <c r="D155" s="117" t="s">
        <v>130</v>
      </c>
      <c r="E155" s="95">
        <f>'11'!F155</f>
        <v>245338.61</v>
      </c>
      <c r="F155" s="374">
        <v>245843</v>
      </c>
      <c r="G155" s="112">
        <f t="shared" ref="G155:G158" si="12">F155-E155</f>
        <v>504.39000000001397</v>
      </c>
      <c r="H155" s="99">
        <f>G155+'11'!H155</f>
        <v>6809</v>
      </c>
      <c r="I155" s="364"/>
      <c r="J155" s="328">
        <f>H155/DAY(B2)</f>
        <v>567.41666666666663</v>
      </c>
    </row>
    <row r="156" spans="1:10" ht="32.25" customHeight="1">
      <c r="A156" s="863" t="s">
        <v>347</v>
      </c>
      <c r="B156" s="863"/>
      <c r="C156" s="863"/>
      <c r="D156" s="117" t="s">
        <v>130</v>
      </c>
      <c r="E156" s="95">
        <f>'11'!F156</f>
        <v>30637.600999999999</v>
      </c>
      <c r="F156" s="155">
        <v>30730</v>
      </c>
      <c r="G156" s="112">
        <f t="shared" si="12"/>
        <v>92.399000000001251</v>
      </c>
      <c r="H156" s="99">
        <f>G156+'11'!H156</f>
        <v>1050.5</v>
      </c>
      <c r="I156" s="165"/>
      <c r="J156" s="328">
        <f>H156/DAY(B2)</f>
        <v>87.541666666666671</v>
      </c>
    </row>
    <row r="157" spans="1:10" ht="32.25" customHeight="1">
      <c r="A157" s="864" t="s">
        <v>360</v>
      </c>
      <c r="B157" s="865"/>
      <c r="C157" s="866"/>
      <c r="D157" s="117" t="s">
        <v>130</v>
      </c>
      <c r="E157" s="95">
        <f>'11'!F157</f>
        <v>37559</v>
      </c>
      <c r="F157" s="155">
        <v>37559</v>
      </c>
      <c r="G157" s="112">
        <f t="shared" si="12"/>
        <v>0</v>
      </c>
      <c r="H157" s="99">
        <f>G157+'11'!H157</f>
        <v>0</v>
      </c>
      <c r="I157" s="165"/>
      <c r="J157" s="328">
        <f>H157/DAY(B2)</f>
        <v>0</v>
      </c>
    </row>
    <row r="158" spans="1:10" ht="32.25" customHeight="1">
      <c r="A158" s="864" t="s">
        <v>361</v>
      </c>
      <c r="B158" s="865"/>
      <c r="C158" s="866"/>
      <c r="D158" s="117" t="s">
        <v>130</v>
      </c>
      <c r="E158" s="95">
        <f>'11'!F158</f>
        <v>1768</v>
      </c>
      <c r="F158" s="155">
        <v>1768</v>
      </c>
      <c r="G158" s="112">
        <f t="shared" si="12"/>
        <v>0</v>
      </c>
      <c r="H158" s="99">
        <f>G158+'11'!H158</f>
        <v>10</v>
      </c>
      <c r="I158" s="165"/>
      <c r="J158" s="328">
        <f>H158/DAY(B2)</f>
        <v>0.83333333333333337</v>
      </c>
    </row>
    <row r="159" spans="1:10" ht="32.25" customHeight="1">
      <c r="A159" s="944"/>
      <c r="B159" s="945"/>
      <c r="C159" s="946"/>
      <c r="D159" s="117"/>
      <c r="E159" s="95"/>
      <c r="F159" s="165"/>
      <c r="G159" s="362">
        <f>SUM(G155:G158)</f>
        <v>596.78900000001522</v>
      </c>
      <c r="H159" s="99"/>
      <c r="I159" s="165"/>
      <c r="J159" s="328"/>
    </row>
    <row r="160" spans="1:10" ht="32.25" customHeight="1">
      <c r="A160" s="869" t="s">
        <v>326</v>
      </c>
      <c r="B160" s="869"/>
      <c r="C160" s="869"/>
      <c r="D160" s="869"/>
      <c r="E160" s="869"/>
      <c r="F160" s="869"/>
      <c r="G160" s="869"/>
      <c r="H160" s="869"/>
      <c r="I160" s="869"/>
      <c r="J160" s="869"/>
    </row>
    <row r="161" spans="1:10" ht="32.25" customHeight="1">
      <c r="A161" s="242" t="s">
        <v>92</v>
      </c>
      <c r="B161" s="243"/>
      <c r="C161" s="243"/>
      <c r="D161" s="244" t="s">
        <v>180</v>
      </c>
      <c r="E161" s="95">
        <f>'11'!F161</f>
        <v>510288.92</v>
      </c>
      <c r="F161" s="235">
        <v>510445</v>
      </c>
      <c r="G161" s="238">
        <f t="shared" ref="G161:G165" si="13">F161-E161</f>
        <v>156.0800000000163</v>
      </c>
      <c r="H161" s="99">
        <f>G161+'11'!H161</f>
        <v>2061.679999999993</v>
      </c>
      <c r="I161" s="236"/>
      <c r="J161" s="239">
        <f>H161/DAY(B2)</f>
        <v>171.80666666666608</v>
      </c>
    </row>
    <row r="162" spans="1:10" ht="32.25" customHeight="1">
      <c r="A162" s="242" t="s">
        <v>93</v>
      </c>
      <c r="B162" s="243"/>
      <c r="C162" s="243"/>
      <c r="D162" s="244" t="s">
        <v>180</v>
      </c>
      <c r="E162" s="95">
        <f>'11'!F162</f>
        <v>1160</v>
      </c>
      <c r="F162" s="235">
        <v>1193</v>
      </c>
      <c r="G162" s="238">
        <f t="shared" si="13"/>
        <v>33</v>
      </c>
      <c r="H162" s="99">
        <f>G162+'11'!H162</f>
        <v>421.4</v>
      </c>
      <c r="I162" s="236"/>
      <c r="J162" s="239">
        <f>H162/DAY(B2)</f>
        <v>35.116666666666667</v>
      </c>
    </row>
    <row r="163" spans="1:10" ht="32.25" customHeight="1">
      <c r="A163" s="242" t="s">
        <v>197</v>
      </c>
      <c r="B163" s="243"/>
      <c r="C163" s="243"/>
      <c r="D163" s="244" t="s">
        <v>180</v>
      </c>
      <c r="E163" s="95">
        <f>'11'!F163</f>
        <v>0</v>
      </c>
      <c r="F163" s="235">
        <v>0</v>
      </c>
      <c r="G163" s="238">
        <f t="shared" si="13"/>
        <v>0</v>
      </c>
      <c r="H163" s="99">
        <f>G163+'11'!H163</f>
        <v>0</v>
      </c>
      <c r="I163" s="236"/>
      <c r="J163" s="239">
        <f>H163/DAY(B2)</f>
        <v>0</v>
      </c>
    </row>
    <row r="164" spans="1:10" ht="32.25" customHeight="1">
      <c r="A164" s="242" t="s">
        <v>197</v>
      </c>
      <c r="B164" s="243"/>
      <c r="C164" s="243"/>
      <c r="D164" s="244" t="s">
        <v>180</v>
      </c>
      <c r="E164" s="95">
        <f>'11'!F164</f>
        <v>7248</v>
      </c>
      <c r="F164" s="235">
        <v>7254</v>
      </c>
      <c r="G164" s="238">
        <f t="shared" si="13"/>
        <v>6</v>
      </c>
      <c r="H164" s="99">
        <f>G164+'11'!H164</f>
        <v>55</v>
      </c>
      <c r="I164" s="236"/>
      <c r="J164" s="239">
        <f>H164/DAY(B2)</f>
        <v>4.583333333333333</v>
      </c>
    </row>
    <row r="165" spans="1:10" ht="32.25" customHeight="1">
      <c r="A165" s="242" t="s">
        <v>309</v>
      </c>
      <c r="B165" s="243"/>
      <c r="C165" s="243"/>
      <c r="D165" s="244" t="s">
        <v>180</v>
      </c>
      <c r="E165" s="95">
        <f>'11'!F165</f>
        <v>32849.752999999997</v>
      </c>
      <c r="F165" s="235">
        <v>32856</v>
      </c>
      <c r="G165" s="238">
        <f t="shared" si="13"/>
        <v>6.2470000000030268</v>
      </c>
      <c r="H165" s="99">
        <f>G165+'11'!H165</f>
        <v>75.911999999996624</v>
      </c>
      <c r="I165" s="236"/>
      <c r="J165" s="239">
        <f>H165/DAY(B2)</f>
        <v>6.325999999999719</v>
      </c>
    </row>
    <row r="166" spans="1:10" ht="32.25" customHeight="1">
      <c r="A166" s="870"/>
      <c r="B166" s="870"/>
      <c r="C166" s="246"/>
      <c r="D166" s="244" t="s">
        <v>180</v>
      </c>
      <c r="E166" s="95" t="str">
        <f>'11'!F166</f>
        <v xml:space="preserve"> </v>
      </c>
      <c r="F166" s="165"/>
      <c r="G166" s="165"/>
      <c r="H166" s="99">
        <f>G166+'11'!H166</f>
        <v>0</v>
      </c>
      <c r="I166" s="165"/>
      <c r="J166" s="239">
        <f>H166/DAY(B2)</f>
        <v>0</v>
      </c>
    </row>
    <row r="167" spans="1:10" ht="32.25" customHeight="1">
      <c r="A167" s="870"/>
      <c r="B167" s="870"/>
      <c r="C167" s="246"/>
      <c r="D167" s="244" t="s">
        <v>180</v>
      </c>
      <c r="E167" s="95">
        <f>'11'!F167</f>
        <v>0</v>
      </c>
      <c r="F167" s="165">
        <v>0</v>
      </c>
      <c r="G167" s="165"/>
      <c r="H167" s="99">
        <f>G167+'11'!H167</f>
        <v>0</v>
      </c>
      <c r="I167" s="165"/>
      <c r="J167" s="239">
        <f>H167/DAY(B2)</f>
        <v>0</v>
      </c>
    </row>
    <row r="168" spans="1:10" ht="32.25" customHeight="1">
      <c r="A168" s="870"/>
      <c r="B168" s="870"/>
      <c r="C168" s="246"/>
      <c r="D168" s="244" t="s">
        <v>180</v>
      </c>
      <c r="E168" s="95">
        <f>'11'!F168</f>
        <v>0</v>
      </c>
      <c r="F168" s="165">
        <v>0</v>
      </c>
      <c r="G168" s="165"/>
      <c r="H168" s="99">
        <f>G168+'11'!H168</f>
        <v>0</v>
      </c>
      <c r="I168" s="165"/>
      <c r="J168" s="239">
        <f>H168/DAY(B2)</f>
        <v>0</v>
      </c>
    </row>
    <row r="171" spans="1:10" ht="32.25" customHeight="1">
      <c r="A171" s="871" t="s">
        <v>330</v>
      </c>
      <c r="B171" s="872"/>
      <c r="C171" s="872"/>
      <c r="D171" s="872"/>
      <c r="E171" s="872"/>
      <c r="F171" s="872"/>
      <c r="G171" s="872"/>
      <c r="H171" s="872"/>
      <c r="I171" s="872"/>
      <c r="J171" s="873"/>
    </row>
    <row r="172" spans="1:10" ht="32.25" customHeight="1">
      <c r="A172" s="878"/>
      <c r="B172" s="879"/>
      <c r="C172" s="332"/>
      <c r="D172" s="228"/>
      <c r="E172" s="155"/>
      <c r="F172" s="155"/>
      <c r="G172" s="155"/>
      <c r="H172" s="156"/>
      <c r="I172" s="155"/>
      <c r="J172" s="178"/>
    </row>
    <row r="173" spans="1:10" ht="32.25" customHeight="1">
      <c r="A173" s="789" t="s">
        <v>209</v>
      </c>
      <c r="B173" s="790"/>
      <c r="C173" s="333"/>
      <c r="D173" s="228" t="s">
        <v>142</v>
      </c>
      <c r="E173" s="157">
        <f>'11'!F173</f>
        <v>8626</v>
      </c>
      <c r="F173" s="155">
        <v>8628</v>
      </c>
      <c r="G173" s="155">
        <f>F173-E173</f>
        <v>2</v>
      </c>
      <c r="H173" s="99">
        <f>G173+'11'!H173</f>
        <v>16</v>
      </c>
      <c r="I173" s="155"/>
      <c r="J173" s="178">
        <f>H173/DAY(B2)</f>
        <v>1.3333333333333333</v>
      </c>
    </row>
    <row r="174" spans="1:10" ht="32.25" customHeight="1">
      <c r="A174" s="789" t="s">
        <v>75</v>
      </c>
      <c r="B174" s="790"/>
      <c r="C174" s="333"/>
      <c r="D174" s="228" t="s">
        <v>142</v>
      </c>
      <c r="E174" s="157">
        <f>'11'!F174</f>
        <v>43179</v>
      </c>
      <c r="F174" s="157">
        <v>43192</v>
      </c>
      <c r="G174" s="155">
        <f t="shared" ref="G174:G175" si="14">F174-E174</f>
        <v>13</v>
      </c>
      <c r="H174" s="99">
        <f>G174+'11'!H174</f>
        <v>142</v>
      </c>
      <c r="I174" s="155"/>
      <c r="J174" s="178">
        <f>H174/DAY(B2)</f>
        <v>11.833333333333334</v>
      </c>
    </row>
    <row r="175" spans="1:10" ht="32.25" customHeight="1">
      <c r="A175" s="789" t="s">
        <v>76</v>
      </c>
      <c r="B175" s="802"/>
      <c r="C175" s="790"/>
      <c r="D175" s="228" t="s">
        <v>142</v>
      </c>
      <c r="E175" s="157">
        <f>'11'!F175</f>
        <v>25984</v>
      </c>
      <c r="F175" s="155">
        <v>25998</v>
      </c>
      <c r="G175" s="155">
        <f t="shared" si="14"/>
        <v>14</v>
      </c>
      <c r="H175" s="99">
        <f>G175+'11'!H175</f>
        <v>177</v>
      </c>
      <c r="I175" s="155"/>
      <c r="J175" s="178">
        <f>H175/DAY(B2)</f>
        <v>14.75</v>
      </c>
    </row>
    <row r="176" spans="1:10" ht="32.25" customHeight="1">
      <c r="A176" s="462" t="s">
        <v>196</v>
      </c>
      <c r="B176" s="463"/>
      <c r="C176" s="400"/>
      <c r="D176" s="228" t="s">
        <v>142</v>
      </c>
      <c r="E176" s="95"/>
      <c r="F176" s="155"/>
      <c r="G176" s="155">
        <f>SUM(G173:G175)</f>
        <v>29</v>
      </c>
      <c r="H176" s="99">
        <f>G176+'11'!H176</f>
        <v>335</v>
      </c>
      <c r="I176" s="155"/>
      <c r="J176" s="178">
        <f>H176/DAY(B2)</f>
        <v>27.916666666666668</v>
      </c>
    </row>
    <row r="177" spans="1:10" ht="32.25" customHeight="1">
      <c r="A177" s="789" t="s">
        <v>77</v>
      </c>
      <c r="B177" s="790"/>
      <c r="C177" s="333"/>
      <c r="D177" s="228" t="s">
        <v>142</v>
      </c>
      <c r="E177" s="95"/>
      <c r="F177" s="155"/>
      <c r="G177" s="155"/>
      <c r="H177" s="99">
        <f>G177+'11'!H177</f>
        <v>0</v>
      </c>
      <c r="I177" s="155"/>
      <c r="J177" s="178">
        <f>H177/DAY(B2)</f>
        <v>0</v>
      </c>
    </row>
    <row r="178" spans="1:10" ht="32.25" customHeight="1">
      <c r="A178" s="789" t="s">
        <v>210</v>
      </c>
      <c r="B178" s="790"/>
      <c r="C178" s="333"/>
      <c r="D178" s="228" t="s">
        <v>142</v>
      </c>
      <c r="E178" s="95">
        <f>'11'!F178</f>
        <v>108258</v>
      </c>
      <c r="F178" s="155">
        <v>108400</v>
      </c>
      <c r="G178" s="155">
        <f>F178-E178</f>
        <v>142</v>
      </c>
      <c r="H178" s="99">
        <f>G178+'11'!H178</f>
        <v>1401</v>
      </c>
      <c r="I178" s="155"/>
      <c r="J178" s="178">
        <f>H178/DAY(B2)</f>
        <v>116.75</v>
      </c>
    </row>
    <row r="179" spans="1:10" ht="32.25" customHeight="1">
      <c r="A179" s="789" t="s">
        <v>211</v>
      </c>
      <c r="B179" s="790"/>
      <c r="C179" s="333"/>
      <c r="D179" s="228" t="s">
        <v>142</v>
      </c>
      <c r="E179" s="95">
        <f>'11'!F179</f>
        <v>37501</v>
      </c>
      <c r="F179" s="155">
        <v>37501</v>
      </c>
      <c r="G179" s="155">
        <f t="shared" ref="G179:G180" si="15">F179-E179</f>
        <v>0</v>
      </c>
      <c r="H179" s="99">
        <f>G179+'11'!H179</f>
        <v>0</v>
      </c>
      <c r="I179" s="155"/>
      <c r="J179" s="178">
        <f>H179/DAY(B2)</f>
        <v>0</v>
      </c>
    </row>
    <row r="180" spans="1:10" ht="32.25" customHeight="1">
      <c r="A180" s="789" t="s">
        <v>212</v>
      </c>
      <c r="B180" s="790"/>
      <c r="C180" s="333"/>
      <c r="D180" s="228" t="s">
        <v>142</v>
      </c>
      <c r="E180" s="95">
        <f>'11'!F180</f>
        <v>7617</v>
      </c>
      <c r="F180" s="155">
        <v>7621</v>
      </c>
      <c r="G180" s="155">
        <f t="shared" si="15"/>
        <v>4</v>
      </c>
      <c r="H180" s="99">
        <f>G180+'11'!H180</f>
        <v>58</v>
      </c>
      <c r="I180" s="155"/>
      <c r="J180" s="178">
        <f>H180/DAY(B2)</f>
        <v>4.833333333333333</v>
      </c>
    </row>
    <row r="181" spans="1:10" ht="32.25" customHeight="1">
      <c r="A181" s="876" t="s">
        <v>108</v>
      </c>
      <c r="B181" s="877"/>
      <c r="C181" s="400"/>
      <c r="D181" s="228" t="s">
        <v>142</v>
      </c>
      <c r="E181" s="95"/>
      <c r="F181" s="155"/>
      <c r="G181" s="155">
        <f>SUM(G178:G180)</f>
        <v>146</v>
      </c>
      <c r="H181" s="99">
        <f>G181+'11'!H181</f>
        <v>1459</v>
      </c>
      <c r="I181" s="155"/>
      <c r="J181" s="178">
        <f>H181/DAY(B2)</f>
        <v>121.58333333333333</v>
      </c>
    </row>
    <row r="182" spans="1:10" ht="32.25" customHeight="1">
      <c r="A182" s="789" t="s">
        <v>213</v>
      </c>
      <c r="B182" s="790"/>
      <c r="C182" s="333"/>
      <c r="D182" s="228" t="s">
        <v>142</v>
      </c>
      <c r="E182" s="95"/>
      <c r="F182" s="155"/>
      <c r="G182" s="155"/>
      <c r="H182" s="99">
        <f>G182+'11'!H182</f>
        <v>0</v>
      </c>
      <c r="I182" s="155"/>
      <c r="J182" s="178">
        <f>H182/DAY(B2)</f>
        <v>0</v>
      </c>
    </row>
    <row r="183" spans="1:10" ht="32.25" customHeight="1">
      <c r="A183" s="789" t="s">
        <v>214</v>
      </c>
      <c r="B183" s="790"/>
      <c r="C183" s="334"/>
      <c r="D183" s="228" t="s">
        <v>142</v>
      </c>
      <c r="E183" s="95">
        <f>'11'!F183</f>
        <v>18450</v>
      </c>
      <c r="F183" s="157">
        <v>18455</v>
      </c>
      <c r="G183" s="157">
        <f>F183-E183</f>
        <v>5</v>
      </c>
      <c r="H183" s="99">
        <f>G183+'11'!H183</f>
        <v>77</v>
      </c>
      <c r="I183" s="155"/>
      <c r="J183" s="178">
        <f>H183/DAY(B2)</f>
        <v>6.416666666666667</v>
      </c>
    </row>
    <row r="184" spans="1:10" ht="32.25" customHeight="1">
      <c r="A184" s="789" t="s">
        <v>215</v>
      </c>
      <c r="B184" s="790"/>
      <c r="C184" s="334"/>
      <c r="D184" s="228" t="s">
        <v>142</v>
      </c>
      <c r="E184" s="95">
        <f>'11'!F184</f>
        <v>13094</v>
      </c>
      <c r="F184" s="157">
        <v>13100</v>
      </c>
      <c r="G184" s="157">
        <f t="shared" ref="G184:G185" si="16">F184-E184</f>
        <v>6</v>
      </c>
      <c r="H184" s="99">
        <f>G184+'11'!H184</f>
        <v>120</v>
      </c>
      <c r="I184" s="155"/>
      <c r="J184" s="178">
        <f>H184/DAY(B2)</f>
        <v>10</v>
      </c>
    </row>
    <row r="185" spans="1:10" ht="32.25" customHeight="1">
      <c r="A185" s="789" t="s">
        <v>216</v>
      </c>
      <c r="B185" s="790"/>
      <c r="C185" s="334"/>
      <c r="D185" s="228" t="s">
        <v>142</v>
      </c>
      <c r="E185" s="95">
        <f>'11'!F185</f>
        <v>0</v>
      </c>
      <c r="F185" s="157">
        <v>0</v>
      </c>
      <c r="G185" s="157">
        <f t="shared" si="16"/>
        <v>0</v>
      </c>
      <c r="H185" s="99">
        <f>G185+'11'!H185</f>
        <v>0</v>
      </c>
      <c r="I185" s="155"/>
      <c r="J185" s="178">
        <f>H185/DAY(B2)</f>
        <v>0</v>
      </c>
    </row>
    <row r="186" spans="1:10" ht="32.25" customHeight="1">
      <c r="A186" s="787" t="s">
        <v>196</v>
      </c>
      <c r="B186" s="788"/>
      <c r="C186" s="399"/>
      <c r="D186" s="228" t="s">
        <v>142</v>
      </c>
      <c r="E186" s="95"/>
      <c r="F186" s="157"/>
      <c r="G186" s="157">
        <f>SUM(G183:G185)</f>
        <v>11</v>
      </c>
      <c r="H186" s="99">
        <f>G186+'11'!H186</f>
        <v>197</v>
      </c>
      <c r="I186" s="157"/>
      <c r="J186" s="178">
        <f>H186/DAY(B2)</f>
        <v>16.416666666666668</v>
      </c>
    </row>
    <row r="187" spans="1:10" ht="32.25" customHeight="1">
      <c r="A187" s="867" t="s">
        <v>217</v>
      </c>
      <c r="B187" s="868"/>
      <c r="C187" s="333"/>
      <c r="D187" s="230" t="s">
        <v>142</v>
      </c>
      <c r="E187" s="95"/>
      <c r="F187" s="159"/>
      <c r="G187" s="377">
        <f>G62+G19</f>
        <v>55</v>
      </c>
      <c r="H187" s="99">
        <f>G187+'11'!H187</f>
        <v>1976</v>
      </c>
      <c r="I187" s="158"/>
      <c r="J187" s="179">
        <f>H187/DAY(B2)</f>
        <v>164.66666666666666</v>
      </c>
    </row>
    <row r="188" spans="1:10" ht="32.25" customHeight="1">
      <c r="A188" s="867" t="s">
        <v>218</v>
      </c>
      <c r="B188" s="868"/>
      <c r="C188" s="333"/>
      <c r="D188" s="230" t="s">
        <v>142</v>
      </c>
      <c r="E188" s="95"/>
      <c r="F188" s="159"/>
      <c r="G188" s="377">
        <f>G65+G66+G67+G69+G70</f>
        <v>124</v>
      </c>
      <c r="H188" s="99">
        <f>G188+'11'!H188</f>
        <v>3012</v>
      </c>
      <c r="I188" s="158"/>
      <c r="J188" s="179">
        <f>H188/DAY(B2)</f>
        <v>251</v>
      </c>
    </row>
    <row r="189" spans="1:10" ht="32.25" customHeight="1">
      <c r="A189" s="867" t="s">
        <v>219</v>
      </c>
      <c r="B189" s="868"/>
      <c r="C189" s="333"/>
      <c r="D189" s="230" t="s">
        <v>142</v>
      </c>
      <c r="E189" s="95"/>
      <c r="F189" s="157"/>
      <c r="G189" s="518">
        <f>G181</f>
        <v>146</v>
      </c>
      <c r="H189" s="99">
        <f>G189+'11'!H189</f>
        <v>1459</v>
      </c>
      <c r="I189" s="158"/>
      <c r="J189" s="179">
        <f>H189/DAY(B2)</f>
        <v>121.58333333333333</v>
      </c>
    </row>
    <row r="190" spans="1:10" ht="32.25" customHeight="1">
      <c r="A190" s="874"/>
      <c r="B190" s="875"/>
      <c r="C190" s="398"/>
      <c r="D190" s="395"/>
      <c r="E190" s="392"/>
      <c r="F190" s="395"/>
      <c r="G190" s="395"/>
      <c r="H190" s="401"/>
      <c r="I190" s="395"/>
      <c r="J190" s="397"/>
    </row>
  </sheetData>
  <mergeCells count="114"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23:C123"/>
    <mergeCell ref="A109:B109"/>
    <mergeCell ref="A93:C93"/>
    <mergeCell ref="A94:C94"/>
    <mergeCell ref="A64:C64"/>
    <mergeCell ref="A65:C65"/>
    <mergeCell ref="A73:C73"/>
    <mergeCell ref="A74:C74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95:C95"/>
    <mergeCell ref="A96:C96"/>
    <mergeCell ref="A102:C102"/>
    <mergeCell ref="A61:C61"/>
    <mergeCell ref="A62:C62"/>
    <mergeCell ref="A63:C63"/>
    <mergeCell ref="A71:C71"/>
    <mergeCell ref="A72:B72"/>
    <mergeCell ref="A181:B181"/>
    <mergeCell ref="A183:B183"/>
    <mergeCell ref="A175:C175"/>
    <mergeCell ref="A182:B182"/>
    <mergeCell ref="A177:B177"/>
    <mergeCell ref="A178:B178"/>
    <mergeCell ref="A179:B179"/>
    <mergeCell ref="A180:B180"/>
    <mergeCell ref="A79:C79"/>
    <mergeCell ref="A80:C80"/>
    <mergeCell ref="A81:C81"/>
    <mergeCell ref="A115:C115"/>
    <mergeCell ref="A116:C116"/>
    <mergeCell ref="A119:C119"/>
    <mergeCell ref="A120:C120"/>
    <mergeCell ref="A121:C121"/>
    <mergeCell ref="A122:C122"/>
    <mergeCell ref="A148:C148"/>
    <mergeCell ref="A149:C149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7:C147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84:B184"/>
    <mergeCell ref="A185:B185"/>
  </mergeCells>
  <pageMargins left="0.22" right="0.17" top="0.14000000000000001" bottom="0.2" header="0.2" footer="0.2"/>
  <pageSetup paperSize="5" scale="16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R190"/>
  <sheetViews>
    <sheetView view="pageBreakPreview" topLeftCell="A4" zoomScale="55" zoomScaleSheetLayoutView="55" workbookViewId="0">
      <selection activeCell="F71" sqref="F71"/>
    </sheetView>
  </sheetViews>
  <sheetFormatPr defaultColWidth="22.33203125" defaultRowHeight="27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919" t="s">
        <v>115</v>
      </c>
      <c r="B1" s="920"/>
      <c r="C1" s="920"/>
      <c r="D1" s="920"/>
      <c r="E1" s="920"/>
      <c r="F1" s="920"/>
      <c r="G1" s="920"/>
      <c r="H1" s="920"/>
      <c r="I1" s="920"/>
      <c r="J1" s="921"/>
    </row>
    <row r="2" spans="1:15" s="57" customFormat="1" ht="27.75" customHeight="1">
      <c r="A2" s="191" t="s">
        <v>373</v>
      </c>
      <c r="B2" s="262">
        <v>44939</v>
      </c>
      <c r="C2" s="348" t="s">
        <v>67</v>
      </c>
      <c r="D2" s="218">
        <v>0.49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33</v>
      </c>
      <c r="E3" s="928" t="s">
        <v>119</v>
      </c>
      <c r="F3" s="929"/>
      <c r="G3" s="101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0.82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922" t="s">
        <v>128</v>
      </c>
      <c r="B6" s="923"/>
      <c r="C6" s="92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'12'!F7</f>
        <v>229249.27</v>
      </c>
      <c r="F7" s="95">
        <v>250694</v>
      </c>
      <c r="G7" s="112">
        <f>F7-E7</f>
        <v>21444.73000000001</v>
      </c>
      <c r="H7" s="99">
        <f>G7+'12'!H7</f>
        <v>273075</v>
      </c>
      <c r="I7" s="113">
        <f>'1'!I7</f>
        <v>12000</v>
      </c>
      <c r="J7" s="175">
        <f>H7/DAY(B2)</f>
        <v>21005.76923076923</v>
      </c>
      <c r="K7" s="172">
        <v>1375467</v>
      </c>
      <c r="L7" s="66"/>
      <c r="N7" s="87"/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'12'!F8</f>
        <v>413419</v>
      </c>
      <c r="F8" s="114">
        <v>435534</v>
      </c>
      <c r="G8" s="115">
        <f>F8-E8</f>
        <v>22115</v>
      </c>
      <c r="H8" s="99">
        <f>G8+'12'!H8</f>
        <v>277677</v>
      </c>
      <c r="I8" s="116"/>
      <c r="J8" s="175">
        <f>H8/DAY(B2)</f>
        <v>21359.76923076923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'12'!F9</f>
        <v>4604861.9000000004</v>
      </c>
      <c r="F9" s="468">
        <v>4616659</v>
      </c>
      <c r="G9" s="112">
        <f>F9-E9</f>
        <v>11797.099999999627</v>
      </c>
      <c r="H9" s="99">
        <f>G9+'12'!H9</f>
        <v>200053.09999999963</v>
      </c>
      <c r="I9" s="124">
        <f>I7-J7</f>
        <v>-9005.7692307692305</v>
      </c>
      <c r="J9" s="175">
        <f>H9/DAY(B2)</f>
        <v>15388.699999999972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'12'!F10</f>
        <v>4127904.3</v>
      </c>
      <c r="F10" s="353">
        <v>4137042.7</v>
      </c>
      <c r="G10" s="112">
        <f t="shared" ref="G10:G12" si="0">F10-E10</f>
        <v>9138.4000000003725</v>
      </c>
      <c r="H10" s="99">
        <f>G10+'12'!H10</f>
        <v>67006.400000000373</v>
      </c>
      <c r="I10" s="282"/>
      <c r="J10" s="175">
        <f>H10/DAY(B2)</f>
        <v>5154.3384615384903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'12'!F11</f>
        <v>38700</v>
      </c>
      <c r="F11" s="468">
        <v>38700</v>
      </c>
      <c r="G11" s="112">
        <f t="shared" si="0"/>
        <v>0</v>
      </c>
      <c r="H11" s="99">
        <f>G11+'12'!H11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'12'!F12</f>
        <v>40550</v>
      </c>
      <c r="F12" s="117">
        <v>40550</v>
      </c>
      <c r="G12" s="112">
        <f t="shared" si="0"/>
        <v>0</v>
      </c>
      <c r="H12" s="99">
        <f>G12+'12'!H12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20935.5</v>
      </c>
      <c r="H13" s="99">
        <f>G13+'12'!H13</f>
        <v>267059.5</v>
      </c>
      <c r="I13" s="120">
        <f>G7-G13</f>
        <v>509.23000000001048</v>
      </c>
      <c r="J13" s="175">
        <f>H13/DAY(B2)</f>
        <v>20543.038461538461</v>
      </c>
      <c r="K13" s="79"/>
      <c r="L13" s="66"/>
      <c r="N13" s="87"/>
      <c r="O13" s="71"/>
    </row>
    <row r="14" spans="1:15" ht="27.75" customHeight="1">
      <c r="A14" s="925" t="s">
        <v>137</v>
      </c>
      <c r="B14" s="926"/>
      <c r="C14" s="92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468">
        <f>'12'!F15</f>
        <v>2266869.98</v>
      </c>
      <c r="F15" s="468">
        <v>2268010</v>
      </c>
      <c r="G15" s="112">
        <f>(F15-E15)</f>
        <v>1140.0200000000186</v>
      </c>
      <c r="H15" s="99">
        <f>G15+'12'!H15</f>
        <v>14708.641999999993</v>
      </c>
      <c r="I15" s="113">
        <f>'1'!I15</f>
        <v>800</v>
      </c>
      <c r="J15" s="175">
        <f>H15/DAY(B2)</f>
        <v>1131.4339999999995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-331.43399999999951</v>
      </c>
      <c r="J16" s="176"/>
      <c r="K16" s="79"/>
      <c r="L16" s="66"/>
      <c r="N16" s="87"/>
      <c r="O16" s="71"/>
    </row>
    <row r="17" spans="1:15" ht="27.75" customHeight="1">
      <c r="A17" s="925" t="s">
        <v>140</v>
      </c>
      <c r="B17" s="926"/>
      <c r="C17" s="92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>
      <c r="A18" s="902" t="s">
        <v>141</v>
      </c>
      <c r="B18" s="903"/>
      <c r="C18" s="904"/>
      <c r="D18" s="151" t="s">
        <v>142</v>
      </c>
      <c r="E18" s="95">
        <f>'12'!F18</f>
        <v>19</v>
      </c>
      <c r="F18" s="122">
        <v>17</v>
      </c>
      <c r="G18" s="119">
        <f>F18*10</f>
        <v>170</v>
      </c>
      <c r="H18" s="99">
        <f>G18+'12'!H18</f>
        <v>2690</v>
      </c>
      <c r="I18" s="113">
        <f>'1'!I18</f>
        <v>65</v>
      </c>
      <c r="J18" s="175">
        <f>H18/DAY(B2)</f>
        <v>206.92307692307693</v>
      </c>
      <c r="K18" s="79"/>
      <c r="L18" s="66"/>
      <c r="N18" s="87"/>
      <c r="O18" s="71"/>
    </row>
    <row r="19" spans="1:15" ht="27.75" customHeight="1">
      <c r="A19" s="902" t="s">
        <v>69</v>
      </c>
      <c r="B19" s="903"/>
      <c r="C19" s="904"/>
      <c r="D19" s="151" t="s">
        <v>142</v>
      </c>
      <c r="E19" s="95">
        <f>'12'!F19</f>
        <v>170251</v>
      </c>
      <c r="F19" s="122">
        <v>170304</v>
      </c>
      <c r="G19" s="112">
        <f t="shared" ref="G19" si="1">F19-E19</f>
        <v>53</v>
      </c>
      <c r="H19" s="99">
        <f>G19+'12'!H19</f>
        <v>744</v>
      </c>
      <c r="I19" s="335"/>
      <c r="J19" s="175">
        <f>H19/DAY(B2)</f>
        <v>57.230769230769234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223</v>
      </c>
      <c r="H20" s="99">
        <f>G20+'12'!H20</f>
        <v>3434</v>
      </c>
      <c r="I20" s="336">
        <f>I18-J20</f>
        <v>-199.15384615384613</v>
      </c>
      <c r="J20" s="175">
        <f>H20/DAY(B2)</f>
        <v>264.15384615384613</v>
      </c>
      <c r="K20" s="79"/>
      <c r="L20" s="66"/>
      <c r="N20" s="87"/>
      <c r="O20" s="71"/>
    </row>
    <row r="21" spans="1:15" ht="27.75" customHeight="1">
      <c r="A21" s="925" t="s">
        <v>144</v>
      </c>
      <c r="B21" s="926"/>
      <c r="C21" s="92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'12'!F22</f>
        <v>2970</v>
      </c>
      <c r="F22" s="122">
        <v>2970</v>
      </c>
      <c r="G22" s="119">
        <f t="shared" ref="G22" si="2">(F22-E22)</f>
        <v>0</v>
      </c>
      <c r="H22" s="99">
        <f>G22+'12'!H22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95">
        <f>'12'!F23</f>
        <v>2000</v>
      </c>
      <c r="F23" s="122">
        <v>1500</v>
      </c>
      <c r="G23" s="119">
        <v>0</v>
      </c>
      <c r="H23" s="99">
        <f>G23+'12'!H23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'12'!F24</f>
        <v>4970</v>
      </c>
      <c r="F24" s="128">
        <v>4970</v>
      </c>
      <c r="G24" s="119">
        <v>0</v>
      </c>
      <c r="H24" s="99">
        <f>G24+'12'!H24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930" t="s">
        <v>149</v>
      </c>
      <c r="B25" s="931"/>
      <c r="C25" s="93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22115</v>
      </c>
      <c r="F27" s="136">
        <v>9</v>
      </c>
      <c r="G27" s="137">
        <f>E27*F27</f>
        <v>199035</v>
      </c>
      <c r="H27" s="99">
        <f>G27+'12'!H27</f>
        <v>2605300</v>
      </c>
      <c r="I27" s="138"/>
      <c r="J27" s="175">
        <f>H27/DAY(B2)</f>
        <v>200407.69230769231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1140.0200000000186</v>
      </c>
      <c r="F28" s="136">
        <v>70</v>
      </c>
      <c r="G28" s="137">
        <f>E28*F28</f>
        <v>79801.400000001304</v>
      </c>
      <c r="H28" s="99">
        <f>G28+'12'!H28</f>
        <v>1024918.1499999994</v>
      </c>
      <c r="I28" s="140"/>
      <c r="J28" s="175">
        <f>H28/DAY(B2)</f>
        <v>78839.857692307647</v>
      </c>
      <c r="K28" s="63"/>
      <c r="L28" s="89"/>
      <c r="N28" s="87"/>
      <c r="O28" s="71">
        <v>0</v>
      </c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151</v>
      </c>
      <c r="G30" s="137">
        <f>E30*F30</f>
        <v>8003</v>
      </c>
      <c r="H30" s="99">
        <f>G30+'12'!H30</f>
        <v>112344</v>
      </c>
      <c r="I30" s="140"/>
      <c r="J30" s="175">
        <f>H30/DAY(B2)</f>
        <v>8641.8461538461543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170</v>
      </c>
      <c r="F31" s="136">
        <v>80</v>
      </c>
      <c r="G31" s="137">
        <f>E31*F31</f>
        <v>13600</v>
      </c>
      <c r="H31" s="99">
        <f>G31+'12'!H31</f>
        <v>219200</v>
      </c>
      <c r="I31" s="140"/>
      <c r="J31" s="175">
        <f>H31/DAY(B2)</f>
        <v>16861.538461538461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300439.4000000013</v>
      </c>
      <c r="H32" s="99">
        <f>G32+'12'!H32</f>
        <v>3961762.1499999994</v>
      </c>
      <c r="I32" s="144"/>
      <c r="J32" s="175">
        <f>H32/DAY(B2)</f>
        <v>304750.93461538455</v>
      </c>
      <c r="K32" s="63"/>
      <c r="L32" s="89"/>
      <c r="N32" s="87"/>
      <c r="O32" s="71"/>
    </row>
    <row r="33" spans="1:15" ht="27.75" customHeight="1">
      <c r="A33" s="933" t="s">
        <v>331</v>
      </c>
      <c r="B33" s="934"/>
      <c r="C33" s="93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'12'!F35</f>
        <v>485316.39</v>
      </c>
      <c r="F35" s="145">
        <v>488001</v>
      </c>
      <c r="G35" s="112">
        <f t="shared" ref="G35:G46" si="3">F35-E35</f>
        <v>2684.609999999986</v>
      </c>
      <c r="H35" s="99">
        <f>G35+'12'!H35</f>
        <v>33483.010000000009</v>
      </c>
      <c r="I35" s="95"/>
      <c r="J35" s="175">
        <f>H35/DAY(B2)</f>
        <v>2575.6161538461547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'12'!F36</f>
        <v>364744</v>
      </c>
      <c r="F36" s="145">
        <v>365565</v>
      </c>
      <c r="G36" s="112">
        <f t="shared" si="3"/>
        <v>821</v>
      </c>
      <c r="H36" s="99">
        <f>G36+'12'!H36</f>
        <v>11476.099999999977</v>
      </c>
      <c r="I36" s="95"/>
      <c r="J36" s="175">
        <f>H36/DAY(B2)</f>
        <v>882.77692307692132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'12'!F37</f>
        <v>356140.31</v>
      </c>
      <c r="F37" s="145">
        <v>357546</v>
      </c>
      <c r="G37" s="112">
        <f t="shared" si="3"/>
        <v>1405.6900000000023</v>
      </c>
      <c r="H37" s="99">
        <f>G37+'12'!H37</f>
        <v>19276.130000000005</v>
      </c>
      <c r="I37" s="95"/>
      <c r="J37" s="175">
        <f>H37/DAY(B2)</f>
        <v>1482.7792307692312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'12'!F38</f>
        <v>827748.91</v>
      </c>
      <c r="F38" s="108">
        <v>830231</v>
      </c>
      <c r="G38" s="112">
        <f t="shared" si="3"/>
        <v>2482.0899999999674</v>
      </c>
      <c r="H38" s="99">
        <f>G38+'12'!H38</f>
        <v>30553.650000000023</v>
      </c>
      <c r="I38" s="95"/>
      <c r="J38" s="175">
        <f>H38/DAY(B2)</f>
        <v>2350.2807692307711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'12'!F39</f>
        <v>653966.9</v>
      </c>
      <c r="F39" s="145">
        <v>656877</v>
      </c>
      <c r="G39" s="112">
        <f t="shared" si="3"/>
        <v>2910.0999999999767</v>
      </c>
      <c r="H39" s="99">
        <f>G39+'12'!H39</f>
        <v>36587</v>
      </c>
      <c r="I39" s="95"/>
      <c r="J39" s="175">
        <f>H39/DAY(B2)</f>
        <v>2814.3846153846152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'12'!F40</f>
        <v>213665.71</v>
      </c>
      <c r="F40" s="145">
        <v>213880</v>
      </c>
      <c r="G40" s="112">
        <f t="shared" si="3"/>
        <v>214.29000000000815</v>
      </c>
      <c r="H40" s="99">
        <f>G40+'12'!H40</f>
        <v>4193.6499999999942</v>
      </c>
      <c r="I40" s="95"/>
      <c r="J40" s="175">
        <f>H40/DAY(B2)</f>
        <v>322.5884615384611</v>
      </c>
      <c r="K40" s="80"/>
      <c r="L40" s="66"/>
      <c r="N40" s="87"/>
      <c r="O40" s="71"/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'12'!F41</f>
        <v>420212.51</v>
      </c>
      <c r="F41" s="145">
        <v>420212.51</v>
      </c>
      <c r="G41" s="112">
        <f t="shared" si="3"/>
        <v>0</v>
      </c>
      <c r="H41" s="99">
        <f>G41+'12'!H41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'12'!F42</f>
        <v>970677.43</v>
      </c>
      <c r="F42" s="145">
        <v>970677</v>
      </c>
      <c r="G42" s="112">
        <f t="shared" si="3"/>
        <v>-0.43000000005122274</v>
      </c>
      <c r="H42" s="99">
        <f>G42+'12'!H42</f>
        <v>49722.530000000028</v>
      </c>
      <c r="I42" s="95"/>
      <c r="J42" s="175">
        <f>H42/DAY(B2)</f>
        <v>3824.8100000000022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'12'!F43</f>
        <v>422444</v>
      </c>
      <c r="F43" s="145">
        <v>422444</v>
      </c>
      <c r="G43" s="112">
        <f t="shared" si="3"/>
        <v>0</v>
      </c>
      <c r="H43" s="99">
        <f>G43+'12'!H43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'12'!F44</f>
        <v>0</v>
      </c>
      <c r="F44" s="145">
        <v>0</v>
      </c>
      <c r="G44" s="112">
        <f t="shared" si="3"/>
        <v>0</v>
      </c>
      <c r="H44" s="99">
        <f>G44+'12'!H44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'12'!F45</f>
        <v>0</v>
      </c>
      <c r="F45" s="145">
        <v>0</v>
      </c>
      <c r="G45" s="112">
        <f t="shared" si="3"/>
        <v>0</v>
      </c>
      <c r="H45" s="99">
        <f>G45+'12'!H45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'12'!F46</f>
        <v>0</v>
      </c>
      <c r="F46" s="145">
        <v>0</v>
      </c>
      <c r="G46" s="112">
        <f t="shared" si="3"/>
        <v>0</v>
      </c>
      <c r="H46" s="99">
        <f>G46+'12'!H46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10517.349999999889</v>
      </c>
      <c r="H47" s="99">
        <f>G47+'12'!H47</f>
        <v>185292.07000000004</v>
      </c>
      <c r="I47" s="95"/>
      <c r="J47" s="175">
        <f>H47/DAY(B2)</f>
        <v>14253.236153846157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'12'!F49</f>
        <v>812739.11</v>
      </c>
      <c r="F49" s="145">
        <v>813267</v>
      </c>
      <c r="G49" s="112">
        <f t="shared" ref="G49:G58" si="4">F49-E49</f>
        <v>527.89000000001397</v>
      </c>
      <c r="H49" s="99">
        <f>G49+'12'!H49</f>
        <v>6762.8499999999767</v>
      </c>
      <c r="I49" s="95"/>
      <c r="J49" s="175">
        <f>H49/DAY(B2)</f>
        <v>520.21923076922894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'12'!F50</f>
        <v>518145.79</v>
      </c>
      <c r="F50" s="145">
        <v>519688</v>
      </c>
      <c r="G50" s="112">
        <f t="shared" si="4"/>
        <v>1542.210000000021</v>
      </c>
      <c r="H50" s="99">
        <f>G50+'12'!H50</f>
        <v>18535</v>
      </c>
      <c r="I50" s="95"/>
      <c r="J50" s="175">
        <f>H50/DAY(B2)</f>
        <v>1425.7692307692307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'12'!F51</f>
        <v>156958.44</v>
      </c>
      <c r="F51" s="145">
        <v>156958</v>
      </c>
      <c r="G51" s="112">
        <f t="shared" si="4"/>
        <v>-0.44000000000232831</v>
      </c>
      <c r="H51" s="99">
        <f>G51+'12'!H51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'12'!F52</f>
        <v>10</v>
      </c>
      <c r="F52" s="145">
        <v>10</v>
      </c>
      <c r="G52" s="112">
        <f t="shared" si="4"/>
        <v>0</v>
      </c>
      <c r="H52" s="99">
        <f>G52+'12'!H52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'12'!F53</f>
        <v>630355.03</v>
      </c>
      <c r="F53" s="145">
        <v>630355</v>
      </c>
      <c r="G53" s="112">
        <f t="shared" si="4"/>
        <v>-3.0000000027939677E-2</v>
      </c>
      <c r="H53" s="99">
        <f>G53+'12'!H53</f>
        <v>-3.0000000027939677E-2</v>
      </c>
      <c r="I53" s="95"/>
      <c r="J53" s="175">
        <f>H53/DAY(B2)</f>
        <v>-2.3076923098415136E-3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'12'!F54</f>
        <v>118683.82</v>
      </c>
      <c r="F54" s="145">
        <v>119031</v>
      </c>
      <c r="G54" s="112">
        <f t="shared" si="4"/>
        <v>347.17999999999302</v>
      </c>
      <c r="H54" s="99">
        <f>G54+'12'!H54</f>
        <v>4433.8699999999953</v>
      </c>
      <c r="I54" s="95"/>
      <c r="J54" s="175">
        <f>H54/DAY(B2)</f>
        <v>341.06692307692271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'12'!F55</f>
        <v>576335.63</v>
      </c>
      <c r="F55" s="145">
        <v>576335.63</v>
      </c>
      <c r="G55" s="112">
        <f t="shared" si="4"/>
        <v>0</v>
      </c>
      <c r="H55" s="99">
        <f>G55+'12'!H55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'12'!F56</f>
        <v>337679.19</v>
      </c>
      <c r="F56" s="145">
        <v>340490</v>
      </c>
      <c r="G56" s="112">
        <f t="shared" si="4"/>
        <v>2810.8099999999977</v>
      </c>
      <c r="H56" s="99">
        <f>G56+'12'!H56</f>
        <v>5263.789999999979</v>
      </c>
      <c r="I56" s="95"/>
      <c r="J56" s="175">
        <f>H56/DAY(B2)</f>
        <v>404.90692307692149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'12'!F57</f>
        <v>659341.55000000005</v>
      </c>
      <c r="F57" s="145">
        <v>661973</v>
      </c>
      <c r="G57" s="112">
        <f t="shared" si="4"/>
        <v>2631.4499999999534</v>
      </c>
      <c r="H57" s="99">
        <f>G57+'12'!H57</f>
        <v>31140</v>
      </c>
      <c r="I57" s="95"/>
      <c r="J57" s="175">
        <f>H57/DAY(B2)</f>
        <v>2395.3846153846152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'12'!F58</f>
        <v>89633.919800000003</v>
      </c>
      <c r="F58" s="145">
        <v>89875</v>
      </c>
      <c r="G58" s="112">
        <f t="shared" si="4"/>
        <v>241.08019999999669</v>
      </c>
      <c r="H58" s="99">
        <f>G58+'12'!H58</f>
        <v>3314.5010000000038</v>
      </c>
      <c r="I58" s="95"/>
      <c r="J58" s="175">
        <f>H58/DAY(B2)</f>
        <v>254.96161538461567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8100.1501999999455</v>
      </c>
      <c r="H59" s="99">
        <f>G59+'12'!H59</f>
        <v>69449.980999999927</v>
      </c>
      <c r="I59" s="95">
        <f>G7-G60</f>
        <v>2827.2298000001756</v>
      </c>
      <c r="J59" s="175">
        <f>H59/DAY(B2)</f>
        <v>5342.3062307692253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18617.500199999835</v>
      </c>
      <c r="H60" s="99">
        <f>G60+'12'!H60</f>
        <v>254742.05099999992</v>
      </c>
      <c r="I60" s="95">
        <f>G13-G60</f>
        <v>2317.9998000001651</v>
      </c>
      <c r="J60" s="175">
        <f>H60/DAY(B2)</f>
        <v>19595.542384615379</v>
      </c>
      <c r="K60" s="79"/>
      <c r="L60" s="66"/>
      <c r="N60" s="87"/>
      <c r="O60" s="71"/>
    </row>
    <row r="61" spans="1:15" s="68" customFormat="1" ht="27.75" customHeight="1">
      <c r="A61" s="935" t="s">
        <v>332</v>
      </c>
      <c r="B61" s="936"/>
      <c r="C61" s="93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>
      <c r="A62" s="902" t="s">
        <v>198</v>
      </c>
      <c r="B62" s="903"/>
      <c r="C62" s="904"/>
      <c r="D62" s="151" t="s">
        <v>142</v>
      </c>
      <c r="E62" s="95">
        <f>'12'!F62</f>
        <v>313385</v>
      </c>
      <c r="F62" s="122">
        <v>313385</v>
      </c>
      <c r="G62" s="112">
        <f t="shared" ref="G62:G63" si="5">F62-E62</f>
        <v>0</v>
      </c>
      <c r="H62" s="99">
        <f>G62+'12'!H62</f>
        <v>1285</v>
      </c>
      <c r="I62" s="118"/>
      <c r="J62" s="175">
        <f>H62/DAY(B2)</f>
        <v>98.84615384615384</v>
      </c>
      <c r="K62" s="80"/>
      <c r="L62" s="66"/>
      <c r="N62" s="87"/>
      <c r="O62" s="71"/>
    </row>
    <row r="63" spans="1:15" ht="27.75" customHeight="1">
      <c r="A63" s="902" t="s">
        <v>199</v>
      </c>
      <c r="B63" s="903"/>
      <c r="C63" s="904"/>
      <c r="D63" s="151" t="s">
        <v>142</v>
      </c>
      <c r="E63" s="95">
        <f>'12'!F63</f>
        <v>250322</v>
      </c>
      <c r="F63" s="122">
        <v>250439</v>
      </c>
      <c r="G63" s="112">
        <f t="shared" si="5"/>
        <v>117</v>
      </c>
      <c r="H63" s="99">
        <f>G63+'12'!H63</f>
        <v>1404</v>
      </c>
      <c r="I63" s="118"/>
      <c r="J63" s="175">
        <f>H63/DAY(B2)</f>
        <v>108</v>
      </c>
      <c r="K63" s="69"/>
      <c r="L63" s="66"/>
      <c r="N63" s="87"/>
      <c r="O63" s="71"/>
    </row>
    <row r="64" spans="1:15" ht="27.75" customHeight="1">
      <c r="A64" s="911" t="s">
        <v>200</v>
      </c>
      <c r="B64" s="912"/>
      <c r="C64" s="913"/>
      <c r="D64" s="151"/>
      <c r="E64" s="95">
        <f>'12'!F64</f>
        <v>0</v>
      </c>
      <c r="F64" s="122"/>
      <c r="G64" s="112">
        <f>G62+G63</f>
        <v>117</v>
      </c>
      <c r="H64" s="99">
        <f>G64+'12'!H64</f>
        <v>2689</v>
      </c>
      <c r="I64" s="118"/>
      <c r="J64" s="175">
        <f>H64/DAY(B2)</f>
        <v>206.84615384615384</v>
      </c>
      <c r="K64" s="69"/>
      <c r="L64" s="66"/>
      <c r="N64" s="87"/>
      <c r="O64" s="71"/>
    </row>
    <row r="65" spans="1:15" ht="27.75" customHeight="1">
      <c r="A65" s="902" t="s">
        <v>201</v>
      </c>
      <c r="B65" s="903"/>
      <c r="C65" s="904"/>
      <c r="D65" s="151" t="s">
        <v>142</v>
      </c>
      <c r="E65" s="95">
        <f>'12'!F65</f>
        <v>473512</v>
      </c>
      <c r="F65" s="122">
        <v>473644</v>
      </c>
      <c r="G65" s="112">
        <f t="shared" ref="G65:G70" si="6">F65-E65</f>
        <v>132</v>
      </c>
      <c r="H65" s="99">
        <f>G65+'12'!H65</f>
        <v>1614</v>
      </c>
      <c r="I65" s="118"/>
      <c r="J65" s="175">
        <f>H65/DAY(B2)</f>
        <v>124.15384615384616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'12'!F66</f>
        <v>113853</v>
      </c>
      <c r="F66" s="122">
        <v>113899</v>
      </c>
      <c r="G66" s="112">
        <f t="shared" si="6"/>
        <v>46</v>
      </c>
      <c r="H66" s="99">
        <f>G66+'12'!H66</f>
        <v>1177</v>
      </c>
      <c r="I66" s="118"/>
      <c r="J66" s="175">
        <f>H66/DAY(B2)</f>
        <v>90.538461538461533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'12'!F67</f>
        <v>116828</v>
      </c>
      <c r="F67" s="122">
        <v>116877</v>
      </c>
      <c r="G67" s="112">
        <f t="shared" si="6"/>
        <v>49</v>
      </c>
      <c r="H67" s="99">
        <f>G67+'12'!H67</f>
        <v>310</v>
      </c>
      <c r="I67" s="118"/>
      <c r="J67" s="175">
        <f>H67/DAY(B2)</f>
        <v>23.846153846153847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'12'!F68</f>
        <v>169593</v>
      </c>
      <c r="F68" s="122">
        <v>169606</v>
      </c>
      <c r="G68" s="112">
        <f t="shared" si="6"/>
        <v>13</v>
      </c>
      <c r="H68" s="99">
        <f>G68+'12'!H68</f>
        <v>247</v>
      </c>
      <c r="I68" s="118"/>
      <c r="J68" s="175">
        <f>H68/DAY(B2)</f>
        <v>19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'12'!F69</f>
        <v>13024</v>
      </c>
      <c r="F69" s="122">
        <v>13028</v>
      </c>
      <c r="G69" s="112">
        <f t="shared" si="6"/>
        <v>4</v>
      </c>
      <c r="H69" s="99">
        <f>G69+'12'!H69</f>
        <v>62</v>
      </c>
      <c r="I69" s="118"/>
      <c r="J69" s="175">
        <f>H69/DAY(B2)</f>
        <v>4.7692307692307692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'12'!F70</f>
        <v>11096</v>
      </c>
      <c r="F70" s="122">
        <v>11122</v>
      </c>
      <c r="G70" s="112">
        <f t="shared" si="6"/>
        <v>26</v>
      </c>
      <c r="H70" s="99">
        <f>G70+'12'!H70</f>
        <v>106</v>
      </c>
      <c r="I70" s="118"/>
      <c r="J70" s="175">
        <f>H70/DAY(B2)</f>
        <v>8.1538461538461533</v>
      </c>
      <c r="K70" s="69"/>
      <c r="L70" s="66"/>
      <c r="N70" s="87"/>
      <c r="O70" s="71"/>
    </row>
    <row r="71" spans="1:15" ht="27.75" customHeight="1">
      <c r="A71" s="911" t="s">
        <v>208</v>
      </c>
      <c r="B71" s="912"/>
      <c r="C71" s="913"/>
      <c r="D71" s="152"/>
      <c r="E71" s="152"/>
      <c r="F71" s="152" t="s">
        <v>369</v>
      </c>
      <c r="G71" s="153">
        <f>SUM(G65:G70)</f>
        <v>270</v>
      </c>
      <c r="H71" s="99">
        <f>G71+'12'!H71</f>
        <v>3516</v>
      </c>
      <c r="I71" s="154"/>
      <c r="J71" s="175">
        <f>H71/DAY(B2)</f>
        <v>270.46153846153845</v>
      </c>
      <c r="K71" s="69"/>
      <c r="L71" s="66"/>
      <c r="N71" s="87"/>
      <c r="O71" s="71"/>
    </row>
    <row r="72" spans="1:15" s="88" customFormat="1" ht="27.75" customHeight="1">
      <c r="A72" s="898"/>
      <c r="B72" s="88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>
      <c r="A73" s="908" t="s">
        <v>333</v>
      </c>
      <c r="B73" s="909"/>
      <c r="C73" s="910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>
      <c r="A74" s="902" t="s">
        <v>220</v>
      </c>
      <c r="B74" s="903"/>
      <c r="C74" s="904"/>
      <c r="D74" s="151" t="s">
        <v>139</v>
      </c>
      <c r="E74" s="95">
        <f>'12'!F74</f>
        <v>996860</v>
      </c>
      <c r="F74" s="117">
        <v>997158</v>
      </c>
      <c r="G74" s="112">
        <f t="shared" ref="G74:G78" si="7">F74-E74</f>
        <v>298</v>
      </c>
      <c r="H74" s="99">
        <f>G74+'12'!H74</f>
        <v>994643</v>
      </c>
      <c r="I74" s="154"/>
      <c r="J74" s="175">
        <f>H74/DAY(B2)</f>
        <v>76511</v>
      </c>
      <c r="K74" s="69"/>
      <c r="L74" s="66"/>
      <c r="N74" s="87"/>
      <c r="O74" s="71"/>
    </row>
    <row r="75" spans="1:15" ht="27.75" customHeight="1">
      <c r="A75" s="902" t="s">
        <v>221</v>
      </c>
      <c r="B75" s="903"/>
      <c r="C75" s="904"/>
      <c r="D75" s="151" t="s">
        <v>139</v>
      </c>
      <c r="E75" s="95">
        <f>'12'!F75</f>
        <v>73587</v>
      </c>
      <c r="F75" s="123">
        <v>73586.600000000006</v>
      </c>
      <c r="G75" s="112">
        <f t="shared" si="7"/>
        <v>-0.39999999999417923</v>
      </c>
      <c r="H75" s="99">
        <f>G75+'12'!H75</f>
        <v>-0.19999999999708962</v>
      </c>
      <c r="I75" s="154"/>
      <c r="J75" s="175">
        <f>H75/DAY(B2)</f>
        <v>-1.5384615384391509E-2</v>
      </c>
      <c r="K75" s="69"/>
      <c r="L75" s="66"/>
      <c r="N75" s="87"/>
      <c r="O75" s="71"/>
    </row>
    <row r="76" spans="1:15" ht="27.75" customHeight="1">
      <c r="A76" s="899" t="s">
        <v>222</v>
      </c>
      <c r="B76" s="900"/>
      <c r="C76" s="901"/>
      <c r="D76" s="151" t="s">
        <v>139</v>
      </c>
      <c r="E76" s="95">
        <f>'12'!F76</f>
        <v>208656</v>
      </c>
      <c r="F76" s="123">
        <v>208758</v>
      </c>
      <c r="G76" s="112">
        <f t="shared" si="7"/>
        <v>102</v>
      </c>
      <c r="H76" s="99">
        <f>G76+'12'!H76</f>
        <v>1381</v>
      </c>
      <c r="I76" s="154"/>
      <c r="J76" s="175">
        <f>H76/DAY(B2)</f>
        <v>106.23076923076923</v>
      </c>
      <c r="K76" s="69"/>
      <c r="L76" s="66"/>
      <c r="N76" s="87"/>
      <c r="O76" s="71"/>
    </row>
    <row r="77" spans="1:15" ht="27.75" customHeight="1">
      <c r="A77" s="899" t="s">
        <v>223</v>
      </c>
      <c r="B77" s="900"/>
      <c r="C77" s="901"/>
      <c r="D77" s="151" t="s">
        <v>139</v>
      </c>
      <c r="E77" s="95">
        <f>'12'!F77</f>
        <v>58738</v>
      </c>
      <c r="F77" s="123">
        <v>58792</v>
      </c>
      <c r="G77" s="112">
        <f t="shared" si="7"/>
        <v>54</v>
      </c>
      <c r="H77" s="99">
        <f>G77+'12'!H77</f>
        <v>640</v>
      </c>
      <c r="I77" s="154"/>
      <c r="J77" s="175">
        <f>H77/DAY(B2)</f>
        <v>49.230769230769234</v>
      </c>
      <c r="K77" s="69"/>
      <c r="L77" s="66"/>
      <c r="N77" s="87"/>
      <c r="O77" s="71"/>
    </row>
    <row r="78" spans="1:15" ht="27.75" customHeight="1">
      <c r="A78" s="899" t="s">
        <v>224</v>
      </c>
      <c r="B78" s="900"/>
      <c r="C78" s="901"/>
      <c r="D78" s="151" t="s">
        <v>139</v>
      </c>
      <c r="E78" s="95">
        <f>'12'!F78</f>
        <v>9563</v>
      </c>
      <c r="F78" s="123">
        <v>9563</v>
      </c>
      <c r="G78" s="112">
        <f t="shared" si="7"/>
        <v>0</v>
      </c>
      <c r="H78" s="99">
        <f>G78+'12'!H78</f>
        <v>-1</v>
      </c>
      <c r="I78" s="118"/>
      <c r="J78" s="175">
        <f>H78/DAY(B2)</f>
        <v>-7.6923076923076927E-2</v>
      </c>
      <c r="K78" s="69"/>
      <c r="L78" s="66"/>
      <c r="N78" s="87"/>
      <c r="O78" s="71"/>
    </row>
    <row r="79" spans="1:15" s="57" customFormat="1" ht="27.75" customHeight="1">
      <c r="A79" s="899" t="s">
        <v>225</v>
      </c>
      <c r="B79" s="900"/>
      <c r="C79" s="901"/>
      <c r="D79" s="151"/>
      <c r="E79" s="95">
        <f>'12'!F79</f>
        <v>0</v>
      </c>
      <c r="F79" s="117"/>
      <c r="G79" s="112">
        <f>G15-SUM(G74:G78)</f>
        <v>686.42000000001281</v>
      </c>
      <c r="H79" s="99">
        <f>G79+'12'!H79</f>
        <v>-981954.15799999994</v>
      </c>
      <c r="I79" s="118"/>
      <c r="J79" s="175"/>
      <c r="K79" s="59"/>
      <c r="L79" s="58"/>
      <c r="N79" s="87"/>
      <c r="O79" s="71"/>
    </row>
    <row r="80" spans="1:15" s="57" customFormat="1" ht="27.75" customHeight="1">
      <c r="A80" s="911" t="s">
        <v>329</v>
      </c>
      <c r="B80" s="912"/>
      <c r="C80" s="913"/>
      <c r="D80" s="151"/>
      <c r="E80" s="117"/>
      <c r="F80" s="117"/>
      <c r="G80" s="112">
        <f>SUM(G74:G79)</f>
        <v>1140.0200000000186</v>
      </c>
      <c r="H80" s="99"/>
      <c r="I80" s="118"/>
      <c r="J80" s="175"/>
      <c r="K80" s="59"/>
      <c r="L80" s="58"/>
      <c r="N80" s="87"/>
      <c r="O80" s="71"/>
    </row>
    <row r="81" spans="1:15" ht="27.75" customHeight="1">
      <c r="A81" s="915" t="s">
        <v>226</v>
      </c>
      <c r="B81" s="916"/>
      <c r="C81" s="917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'12'!F82</f>
        <v>0</v>
      </c>
      <c r="F82" s="122"/>
      <c r="G82" s="112">
        <f t="shared" ref="G82:G92" si="8">F82-E82</f>
        <v>0</v>
      </c>
      <c r="H82" s="99">
        <f>G82+'12'!H82</f>
        <v>0</v>
      </c>
      <c r="I82" s="545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'12'!F83</f>
        <v>0</v>
      </c>
      <c r="F83" s="122"/>
      <c r="G83" s="112">
        <f t="shared" si="8"/>
        <v>0</v>
      </c>
      <c r="H83" s="99">
        <f>G83+'12'!H83</f>
        <v>0</v>
      </c>
      <c r="I83" s="545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'12'!F84</f>
        <v>43546</v>
      </c>
      <c r="F84" s="164">
        <v>43546</v>
      </c>
      <c r="G84" s="112">
        <f t="shared" si="8"/>
        <v>0</v>
      </c>
      <c r="H84" s="99">
        <f>G84+'12'!H84</f>
        <v>0</v>
      </c>
      <c r="I84" s="545"/>
      <c r="J84" s="175">
        <f>H84/DAY(B2)</f>
        <v>0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'12'!F85</f>
        <v>6499.36</v>
      </c>
      <c r="F85" s="164">
        <v>6203</v>
      </c>
      <c r="G85" s="112">
        <f t="shared" si="8"/>
        <v>-296.35999999999967</v>
      </c>
      <c r="H85" s="99">
        <f>G85+'12'!H85</f>
        <v>270.55000000000018</v>
      </c>
      <c r="I85" s="545"/>
      <c r="J85" s="175">
        <f>H85/DAY(B2)</f>
        <v>20.811538461538476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'12'!F86</f>
        <v>46838</v>
      </c>
      <c r="F86" s="164">
        <v>46834</v>
      </c>
      <c r="G86" s="112">
        <f t="shared" si="8"/>
        <v>-4</v>
      </c>
      <c r="H86" s="99">
        <f>G86+'12'!H86</f>
        <v>0</v>
      </c>
      <c r="I86" s="545"/>
      <c r="J86" s="175">
        <f>H86/DAY(B2)</f>
        <v>0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'12'!F87</f>
        <v>37048</v>
      </c>
      <c r="F87" s="164">
        <v>37072</v>
      </c>
      <c r="G87" s="112">
        <f t="shared" si="8"/>
        <v>24</v>
      </c>
      <c r="H87" s="99">
        <f>G87+'12'!H87</f>
        <v>44</v>
      </c>
      <c r="I87" s="545">
        <f>G84+G85+G86+G87</f>
        <v>-276.35999999999967</v>
      </c>
      <c r="J87" s="175">
        <f>H87/DAY(B2)</f>
        <v>3.3846153846153846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'12'!F88</f>
        <v>24633.54</v>
      </c>
      <c r="F88" s="164">
        <v>24638</v>
      </c>
      <c r="G88" s="112">
        <f t="shared" si="8"/>
        <v>4.4599999999991269</v>
      </c>
      <c r="H88" s="99">
        <f>G88+'12'!H88</f>
        <v>34.400000000001455</v>
      </c>
      <c r="I88" s="545"/>
      <c r="J88" s="175">
        <f>H88/DAY(B2)</f>
        <v>2.646153846153958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'12'!F89</f>
        <v>28877.67</v>
      </c>
      <c r="F89" s="164">
        <v>28888</v>
      </c>
      <c r="G89" s="112">
        <f t="shared" si="8"/>
        <v>10.330000000001746</v>
      </c>
      <c r="H89" s="99">
        <f>G89+'12'!H89</f>
        <v>139.61000000000058</v>
      </c>
      <c r="I89" s="545">
        <f>G88+G89</f>
        <v>14.790000000000873</v>
      </c>
      <c r="J89" s="175">
        <f>H89/DAY(B2)</f>
        <v>10.739230769230813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'12'!F90</f>
        <v>74328.33</v>
      </c>
      <c r="F90" s="164">
        <v>74335</v>
      </c>
      <c r="G90" s="112">
        <f t="shared" si="8"/>
        <v>6.6699999999982538</v>
      </c>
      <c r="H90" s="99">
        <f>G90+'12'!H90</f>
        <v>131.82000000000698</v>
      </c>
      <c r="I90" s="545">
        <f>G90</f>
        <v>6.6699999999982538</v>
      </c>
      <c r="J90" s="175">
        <f>H90/DAY(B2)</f>
        <v>10.140000000000537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'12'!F91</f>
        <v>5618</v>
      </c>
      <c r="F91" s="122">
        <v>5618</v>
      </c>
      <c r="G91" s="112">
        <f t="shared" si="8"/>
        <v>0</v>
      </c>
      <c r="H91" s="99">
        <f>G91+'12'!H91</f>
        <v>-0.21000000000003638</v>
      </c>
      <c r="I91" s="546"/>
      <c r="J91" s="175">
        <f>H91/DAY(B2)</f>
        <v>-1.6153846153848954E-2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'12'!F92</f>
        <v>7214</v>
      </c>
      <c r="F92" s="122">
        <v>7225.69</v>
      </c>
      <c r="G92" s="112">
        <f t="shared" si="8"/>
        <v>11.6899999999996</v>
      </c>
      <c r="H92" s="99">
        <f>G92+'12'!H92</f>
        <v>146</v>
      </c>
      <c r="I92" s="547">
        <f>G91+G92</f>
        <v>11.6899999999996</v>
      </c>
      <c r="J92" s="175">
        <f>H92/DAY(B2)</f>
        <v>11.23076923076923</v>
      </c>
      <c r="O92" s="71"/>
    </row>
    <row r="93" spans="1:15" ht="27.75" customHeight="1">
      <c r="A93" s="905" t="s">
        <v>239</v>
      </c>
      <c r="B93" s="906"/>
      <c r="C93" s="90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5843.9499999999534</v>
      </c>
      <c r="H94" s="99">
        <f>G94+'12'!H94</f>
        <v>71385.859999999986</v>
      </c>
      <c r="I94" s="118"/>
      <c r="J94" s="175">
        <f>H94/DAY(B2)</f>
        <v>5491.2199999999993</v>
      </c>
      <c r="K94" s="69"/>
      <c r="L94" s="66"/>
      <c r="O94" s="71"/>
    </row>
    <row r="95" spans="1:15" ht="27.75" customHeight="1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0.272512174319749</v>
      </c>
      <c r="H95" s="99">
        <f>G95+'12'!H95</f>
        <v>3.4002402375813596</v>
      </c>
      <c r="I95" s="167"/>
      <c r="J95" s="175">
        <f>H95/DAY(B2)</f>
        <v>0.26155694135241225</v>
      </c>
      <c r="K95" s="69"/>
      <c r="L95" s="66"/>
      <c r="O95" s="71"/>
    </row>
    <row r="96" spans="1:15" ht="27.75" customHeight="1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2810.3799999999464</v>
      </c>
      <c r="H96" s="99">
        <f>G96+'12'!H96</f>
        <v>54986.320000000007</v>
      </c>
      <c r="I96" s="118"/>
      <c r="J96" s="175">
        <f>H96/DAY(B2)</f>
        <v>4229.7169230769232</v>
      </c>
      <c r="K96" s="69"/>
      <c r="L96" s="66"/>
      <c r="O96" s="71"/>
    </row>
    <row r="97" spans="1:15" ht="27.75" customHeight="1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0.13105224453746656</v>
      </c>
      <c r="H97" s="99">
        <f>G97+'12'!H97</f>
        <v>2.6180018914314003</v>
      </c>
      <c r="I97" s="167"/>
      <c r="J97" s="175">
        <f>H97/DAY(B2)</f>
        <v>0.20138476087933849</v>
      </c>
      <c r="K97" s="69"/>
      <c r="L97" s="66"/>
      <c r="O97" s="71"/>
    </row>
    <row r="98" spans="1:15" ht="27.75" customHeight="1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2910.0699999999488</v>
      </c>
      <c r="H98" s="99">
        <f>G98+'12'!H98</f>
        <v>36586.969999999972</v>
      </c>
      <c r="I98" s="168"/>
      <c r="J98" s="175">
        <f>H98/DAY(B2)</f>
        <v>2814.3823076923054</v>
      </c>
      <c r="K98" s="69"/>
      <c r="L98" s="66"/>
      <c r="O98" s="71"/>
    </row>
    <row r="99" spans="1:15" ht="27.75" customHeight="1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0.13570093911184461</v>
      </c>
      <c r="H99" s="99">
        <f>G99+'12'!H99</f>
        <v>1.7430476882438402</v>
      </c>
      <c r="I99" s="168"/>
      <c r="J99" s="175">
        <f>H99/DAY(B2)</f>
        <v>0.13408059140337231</v>
      </c>
      <c r="O99" s="71"/>
    </row>
    <row r="100" spans="1:15" ht="27.75" customHeight="1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2482.0899999999674</v>
      </c>
      <c r="H100" s="99">
        <f>G100+'12'!H100</f>
        <v>30553.650000000023</v>
      </c>
      <c r="I100" s="118"/>
      <c r="J100" s="175">
        <f>H100/DAY(B2)</f>
        <v>2350.2807692307711</v>
      </c>
      <c r="K100" s="70"/>
      <c r="O100" s="71"/>
    </row>
    <row r="101" spans="1:15" ht="27.75" customHeight="1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0.11574358828485909</v>
      </c>
      <c r="H101" s="99">
        <f>G101+'12'!H101</f>
        <v>1.4526674629676735</v>
      </c>
      <c r="I101" s="168"/>
      <c r="J101" s="175">
        <f>H101/DAY(B2)</f>
        <v>0.11174365099751335</v>
      </c>
      <c r="O101" s="71"/>
    </row>
    <row r="102" spans="1:15" ht="27.75" customHeight="1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2363.210000000021</v>
      </c>
      <c r="H102" s="99">
        <f>G102+'12'!H102</f>
        <v>30011.099999999977</v>
      </c>
      <c r="I102" s="168"/>
      <c r="J102" s="175">
        <f>H102/DAY(B2)</f>
        <v>2308.5461538461523</v>
      </c>
      <c r="O102" s="71"/>
    </row>
    <row r="103" spans="1:15" ht="27.75" customHeight="1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0.11020003516015449</v>
      </c>
      <c r="H103" s="99">
        <f>G103+'12'!H103</f>
        <v>1.4274619380968272</v>
      </c>
      <c r="I103" s="118"/>
      <c r="J103" s="175">
        <f>H103/DAY(B2)</f>
        <v>0.10980476446898671</v>
      </c>
      <c r="O103" s="71"/>
    </row>
    <row r="104" spans="1:15" ht="27.75" customHeight="1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1405.25</v>
      </c>
      <c r="H104" s="99">
        <f>G104+'12'!H104</f>
        <v>19276.130000000005</v>
      </c>
      <c r="I104" s="118"/>
      <c r="J104" s="175">
        <f>H104/DAY(B2)</f>
        <v>1482.7792307692312</v>
      </c>
      <c r="O104" s="71"/>
    </row>
    <row r="105" spans="1:15" ht="27.75" customHeight="1" thickBot="1">
      <c r="A105" s="895" t="s">
        <v>251</v>
      </c>
      <c r="B105" s="896"/>
      <c r="C105" s="897"/>
      <c r="D105" s="231" t="s">
        <v>23</v>
      </c>
      <c r="E105" s="185"/>
      <c r="F105" s="185"/>
      <c r="G105" s="186">
        <f>G104/G7</f>
        <v>6.5528920158938783E-2</v>
      </c>
      <c r="H105" s="99">
        <f>G105+'12'!H105</f>
        <v>0.91835467979404617</v>
      </c>
      <c r="I105" s="187"/>
      <c r="J105" s="188">
        <f>H105/DAY(B2)</f>
        <v>7.0642667676465085E-2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>
      <c r="A108" s="891" t="s">
        <v>324</v>
      </c>
      <c r="B108" s="891"/>
      <c r="C108" s="891"/>
      <c r="D108" s="891"/>
      <c r="E108" s="891"/>
      <c r="F108" s="891"/>
      <c r="G108" s="891"/>
      <c r="H108" s="891"/>
      <c r="I108" s="891"/>
      <c r="J108" s="891"/>
    </row>
    <row r="109" spans="1:15" ht="27.75" customHeight="1">
      <c r="A109" s="918"/>
      <c r="B109" s="918"/>
    </row>
    <row r="110" spans="1:15" ht="27.75" customHeight="1">
      <c r="A110" s="892" t="s">
        <v>165</v>
      </c>
      <c r="B110" s="893"/>
      <c r="C110" s="893"/>
      <c r="D110" s="893"/>
      <c r="E110" s="893"/>
      <c r="F110" s="893"/>
      <c r="G110" s="893"/>
      <c r="H110" s="893"/>
      <c r="I110" s="893"/>
      <c r="J110" s="894"/>
    </row>
    <row r="111" spans="1:15" ht="27.75" customHeight="1">
      <c r="A111" s="885"/>
      <c r="B111" s="886"/>
      <c r="C111" s="887"/>
      <c r="D111" s="165"/>
      <c r="E111" s="165"/>
      <c r="F111" s="165"/>
      <c r="G111" s="165"/>
      <c r="H111" s="156"/>
      <c r="I111" s="165"/>
      <c r="J111" s="327"/>
    </row>
    <row r="112" spans="1:15" ht="27.75" customHeight="1">
      <c r="A112" s="881" t="s">
        <v>252</v>
      </c>
      <c r="B112" s="882"/>
      <c r="C112" s="883"/>
      <c r="D112" s="146" t="s">
        <v>183</v>
      </c>
      <c r="E112" s="95">
        <f>'12'!F112</f>
        <v>18235.16</v>
      </c>
      <c r="F112" s="237">
        <v>18297.244999999999</v>
      </c>
      <c r="G112" s="112">
        <f t="shared" ref="G112:G123" si="9">F112-E112</f>
        <v>62.084999999999127</v>
      </c>
      <c r="H112" s="99">
        <f>G112+'12'!H112</f>
        <v>785.94499999999971</v>
      </c>
      <c r="I112" s="165"/>
      <c r="J112" s="328">
        <f>H112/DAY(B2)</f>
        <v>60.457307692307673</v>
      </c>
    </row>
    <row r="113" spans="1:18" ht="27.75" customHeight="1">
      <c r="A113" s="881" t="s">
        <v>253</v>
      </c>
      <c r="B113" s="882"/>
      <c r="C113" s="883"/>
      <c r="D113" s="146" t="s">
        <v>183</v>
      </c>
      <c r="E113" s="95">
        <f>'12'!F113</f>
        <v>38792.112300000001</v>
      </c>
      <c r="F113" s="237">
        <v>38933</v>
      </c>
      <c r="G113" s="112">
        <f t="shared" si="9"/>
        <v>140.88769999999931</v>
      </c>
      <c r="H113" s="99">
        <f>G113+'12'!H113</f>
        <v>1854</v>
      </c>
      <c r="I113" s="165"/>
      <c r="J113" s="328">
        <f>H113/DAY(B2)</f>
        <v>142.61538461538461</v>
      </c>
    </row>
    <row r="114" spans="1:18" ht="27.75" customHeight="1">
      <c r="A114" s="881" t="s">
        <v>254</v>
      </c>
      <c r="B114" s="882"/>
      <c r="C114" s="883"/>
      <c r="D114" s="146" t="s">
        <v>183</v>
      </c>
      <c r="E114" s="95">
        <f>'12'!F114</f>
        <v>56927</v>
      </c>
      <c r="F114" s="237">
        <v>57151</v>
      </c>
      <c r="G114" s="112">
        <f t="shared" si="9"/>
        <v>224</v>
      </c>
      <c r="H114" s="99">
        <f>G114+'12'!H114</f>
        <v>2883.2200000000012</v>
      </c>
      <c r="I114" s="165"/>
      <c r="J114" s="328">
        <f>H114/DAY(B2)</f>
        <v>221.78615384615392</v>
      </c>
    </row>
    <row r="115" spans="1:18" ht="27.75" customHeight="1">
      <c r="A115" s="881" t="s">
        <v>255</v>
      </c>
      <c r="B115" s="882"/>
      <c r="C115" s="883"/>
      <c r="D115" s="146" t="s">
        <v>183</v>
      </c>
      <c r="E115" s="95">
        <f>'12'!F115</f>
        <v>36744.980000000003</v>
      </c>
      <c r="F115" s="237">
        <v>36903</v>
      </c>
      <c r="G115" s="112">
        <f t="shared" si="9"/>
        <v>158.0199999999968</v>
      </c>
      <c r="H115" s="99">
        <f>G115+'12'!H115</f>
        <v>1936.0899999999965</v>
      </c>
      <c r="I115" s="165"/>
      <c r="J115" s="328">
        <f>H115/DAY(B2)</f>
        <v>148.92999999999972</v>
      </c>
    </row>
    <row r="116" spans="1:18" ht="27.75" customHeight="1">
      <c r="A116" s="888" t="s">
        <v>96</v>
      </c>
      <c r="B116" s="889"/>
      <c r="C116" s="890"/>
      <c r="D116" s="146" t="s">
        <v>183</v>
      </c>
      <c r="E116" s="95">
        <f>'12'!F116</f>
        <v>139467.70000000001</v>
      </c>
      <c r="F116" s="237">
        <v>139980</v>
      </c>
      <c r="G116" s="112">
        <f t="shared" si="9"/>
        <v>512.29999999998836</v>
      </c>
      <c r="H116" s="99">
        <f>G116+'12'!H116</f>
        <v>5491.609999999986</v>
      </c>
      <c r="I116" s="165"/>
      <c r="J116" s="328">
        <f>H116/DAY(B2)</f>
        <v>422.4315384615374</v>
      </c>
      <c r="Q116" s="881"/>
      <c r="R116" s="883"/>
    </row>
    <row r="117" spans="1:18" ht="27.75" customHeight="1">
      <c r="A117" s="888" t="s">
        <v>184</v>
      </c>
      <c r="B117" s="889"/>
      <c r="C117" s="890"/>
      <c r="D117" s="146" t="s">
        <v>183</v>
      </c>
      <c r="E117" s="95">
        <f>'12'!F117</f>
        <v>87031.198999999993</v>
      </c>
      <c r="F117" s="237">
        <v>87330</v>
      </c>
      <c r="G117" s="112">
        <f t="shared" si="9"/>
        <v>298.80100000000675</v>
      </c>
      <c r="H117" s="99">
        <f>G117+'12'!H117</f>
        <v>4620</v>
      </c>
      <c r="I117" s="165"/>
      <c r="J117" s="328">
        <f>H117/DAY(B2)</f>
        <v>355.38461538461536</v>
      </c>
      <c r="Q117" s="881"/>
      <c r="R117" s="883"/>
    </row>
    <row r="118" spans="1:18" ht="27.75" customHeight="1">
      <c r="A118" s="880" t="s">
        <v>97</v>
      </c>
      <c r="B118" s="880"/>
      <c r="C118" s="880"/>
      <c r="D118" s="151" t="s">
        <v>183</v>
      </c>
      <c r="E118" s="95">
        <f>'12'!F118</f>
        <v>165822</v>
      </c>
      <c r="F118" s="237">
        <v>166102</v>
      </c>
      <c r="G118" s="112">
        <f t="shared" si="9"/>
        <v>280</v>
      </c>
      <c r="H118" s="99">
        <f>G118+'12'!H118</f>
        <v>7964.8500000000058</v>
      </c>
      <c r="I118" s="165"/>
      <c r="J118" s="328">
        <f>H118/DAY(B2)</f>
        <v>612.68076923076967</v>
      </c>
      <c r="Q118" s="881"/>
      <c r="R118" s="883"/>
    </row>
    <row r="119" spans="1:18" ht="27.75" customHeight="1">
      <c r="A119" s="880" t="s">
        <v>98</v>
      </c>
      <c r="B119" s="880"/>
      <c r="C119" s="880"/>
      <c r="D119" s="151" t="s">
        <v>183</v>
      </c>
      <c r="E119" s="95">
        <f>'12'!F119</f>
        <v>44375</v>
      </c>
      <c r="F119" s="237">
        <v>44411</v>
      </c>
      <c r="G119" s="112">
        <f t="shared" si="9"/>
        <v>36</v>
      </c>
      <c r="H119" s="99">
        <f>G119+'12'!H119</f>
        <v>471.82499999999709</v>
      </c>
      <c r="I119" s="165"/>
      <c r="J119" s="328">
        <f>H119/DAY(B2)</f>
        <v>36.294230769230545</v>
      </c>
    </row>
    <row r="120" spans="1:18" ht="27.75" customHeight="1">
      <c r="A120" s="880" t="s">
        <v>99</v>
      </c>
      <c r="B120" s="880"/>
      <c r="C120" s="880"/>
      <c r="D120" s="151" t="s">
        <v>183</v>
      </c>
      <c r="E120" s="95">
        <f>'12'!F120</f>
        <v>113184</v>
      </c>
      <c r="F120" s="237">
        <v>113565</v>
      </c>
      <c r="G120" s="112">
        <f t="shared" si="9"/>
        <v>381</v>
      </c>
      <c r="H120" s="99">
        <f>G120+'12'!H120</f>
        <v>5127.8600000000006</v>
      </c>
      <c r="I120" s="165"/>
      <c r="J120" s="328">
        <f>H120/DAY(B2)</f>
        <v>394.45076923076925</v>
      </c>
    </row>
    <row r="121" spans="1:18" ht="27.75" customHeight="1">
      <c r="A121" s="880" t="s">
        <v>100</v>
      </c>
      <c r="B121" s="880"/>
      <c r="C121" s="880"/>
      <c r="D121" s="151" t="s">
        <v>183</v>
      </c>
      <c r="E121" s="95">
        <f>'12'!F121</f>
        <v>126455</v>
      </c>
      <c r="F121" s="237">
        <v>126899</v>
      </c>
      <c r="G121" s="112">
        <f t="shared" si="9"/>
        <v>444</v>
      </c>
      <c r="H121" s="99">
        <f>G121+'12'!H121</f>
        <v>5676.1100000000006</v>
      </c>
      <c r="I121" s="165"/>
      <c r="J121" s="328">
        <f>H121/DAY(B2)</f>
        <v>436.62384615384622</v>
      </c>
    </row>
    <row r="122" spans="1:18" ht="27.75" customHeight="1">
      <c r="A122" s="880" t="s">
        <v>101</v>
      </c>
      <c r="B122" s="880"/>
      <c r="C122" s="880"/>
      <c r="D122" s="151" t="s">
        <v>183</v>
      </c>
      <c r="E122" s="95">
        <f>'12'!F122</f>
        <v>84973</v>
      </c>
      <c r="F122" s="237">
        <v>85302</v>
      </c>
      <c r="G122" s="112">
        <f t="shared" si="9"/>
        <v>329</v>
      </c>
      <c r="H122" s="99">
        <f>G122+'12'!H122</f>
        <v>4027.6300000000047</v>
      </c>
      <c r="I122" s="165"/>
      <c r="J122" s="328">
        <f>H122/DAY(B2)</f>
        <v>309.81769230769265</v>
      </c>
    </row>
    <row r="123" spans="1:18" ht="27.75" customHeight="1">
      <c r="A123" s="880" t="s">
        <v>102</v>
      </c>
      <c r="B123" s="880"/>
      <c r="C123" s="880"/>
      <c r="D123" s="151" t="s">
        <v>183</v>
      </c>
      <c r="E123" s="95">
        <f>'12'!F123</f>
        <v>81724.623200000002</v>
      </c>
      <c r="F123" s="237">
        <v>81882</v>
      </c>
      <c r="G123" s="112">
        <f t="shared" si="9"/>
        <v>157.37679999999818</v>
      </c>
      <c r="H123" s="99">
        <f>G123+'12'!H123</f>
        <v>3933</v>
      </c>
      <c r="I123" s="165"/>
      <c r="J123" s="328">
        <f>H123/DAY(B2)</f>
        <v>302.53846153846155</v>
      </c>
    </row>
    <row r="124" spans="1:18" ht="27.75" customHeight="1">
      <c r="A124" s="885"/>
      <c r="B124" s="886"/>
      <c r="C124" s="887"/>
      <c r="D124" s="165"/>
      <c r="E124" s="165"/>
      <c r="F124" s="165"/>
      <c r="G124" s="327"/>
      <c r="H124" s="156"/>
      <c r="I124" s="165"/>
      <c r="J124" s="327"/>
    </row>
    <row r="125" spans="1:18" ht="27.75" customHeight="1">
      <c r="A125" s="787" t="s">
        <v>196</v>
      </c>
      <c r="B125" s="788"/>
      <c r="C125" s="245"/>
      <c r="D125" s="307"/>
      <c r="E125" s="308"/>
      <c r="F125" s="308"/>
      <c r="G125" s="309">
        <f>SUM(G112:G124)</f>
        <v>3023.4704999999885</v>
      </c>
      <c r="H125" s="156"/>
      <c r="I125" s="327">
        <f>G125-(G39+G53)</f>
        <v>113.40050000003976</v>
      </c>
      <c r="J125" s="327"/>
    </row>
    <row r="126" spans="1:18" ht="27.75" customHeight="1">
      <c r="A126" s="884" t="s">
        <v>317</v>
      </c>
      <c r="B126" s="884"/>
      <c r="C126" s="884"/>
      <c r="D126" s="884"/>
      <c r="E126" s="884"/>
      <c r="F126" s="884"/>
      <c r="G126" s="884"/>
      <c r="H126" s="884"/>
      <c r="I126" s="884"/>
      <c r="J126" s="884"/>
    </row>
    <row r="127" spans="1:18" ht="27.75" customHeight="1">
      <c r="A127" s="870"/>
      <c r="B127" s="870"/>
      <c r="C127" s="245"/>
      <c r="D127" s="307"/>
      <c r="E127" s="308"/>
      <c r="F127" s="308"/>
      <c r="G127" s="309"/>
      <c r="H127" s="99">
        <f>G127+'12'!H127</f>
        <v>0</v>
      </c>
      <c r="I127" s="165"/>
      <c r="J127" s="328">
        <f>H127/DAY(B2)</f>
        <v>0</v>
      </c>
    </row>
    <row r="128" spans="1:18" ht="27.75" customHeight="1">
      <c r="A128" s="881" t="s">
        <v>318</v>
      </c>
      <c r="B128" s="882"/>
      <c r="C128" s="883"/>
      <c r="D128" s="151" t="s">
        <v>183</v>
      </c>
      <c r="E128" s="95">
        <f>'12'!F128</f>
        <v>197883.77</v>
      </c>
      <c r="F128" s="165">
        <v>198403.17</v>
      </c>
      <c r="G128" s="112">
        <f t="shared" ref="G128:G134" si="10">F128-E128</f>
        <v>519.40000000002328</v>
      </c>
      <c r="H128" s="99">
        <f>G128+'12'!H128</f>
        <v>6517.5400000000081</v>
      </c>
      <c r="I128" s="165"/>
      <c r="J128" s="328">
        <f>H128/DAY(B2)</f>
        <v>501.34923076923138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'12'!F129</f>
        <v>103515</v>
      </c>
      <c r="F129" s="165">
        <v>103674.21</v>
      </c>
      <c r="G129" s="112">
        <f t="shared" si="10"/>
        <v>159.2100000000064</v>
      </c>
      <c r="H129" s="99">
        <f>G129+'12'!H129</f>
        <v>2397.2100000000064</v>
      </c>
      <c r="I129" s="165"/>
      <c r="J129" s="328">
        <f>H129/DAY(B2)</f>
        <v>184.40076923076973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'12'!F130</f>
        <v>275108.90999999997</v>
      </c>
      <c r="F130" s="165">
        <v>275794</v>
      </c>
      <c r="G130" s="112">
        <f t="shared" si="10"/>
        <v>685.09000000002561</v>
      </c>
      <c r="H130" s="99">
        <f>G130+'12'!H130</f>
        <v>6979</v>
      </c>
      <c r="I130" s="165"/>
      <c r="J130" s="328">
        <f>H130/DAY(B2)</f>
        <v>536.84615384615381</v>
      </c>
      <c r="N130" s="240"/>
      <c r="O130" s="241"/>
    </row>
    <row r="131" spans="1:15" ht="27.75" customHeight="1">
      <c r="A131" s="881" t="s">
        <v>321</v>
      </c>
      <c r="B131" s="882"/>
      <c r="C131" s="883"/>
      <c r="D131" s="151" t="s">
        <v>183</v>
      </c>
      <c r="E131" s="95">
        <f>'12'!F131</f>
        <v>81664</v>
      </c>
      <c r="F131" s="165">
        <v>81882</v>
      </c>
      <c r="G131" s="112">
        <f t="shared" si="10"/>
        <v>218</v>
      </c>
      <c r="H131" s="99">
        <f>G131+'12'!H131</f>
        <v>2331.3699999999953</v>
      </c>
      <c r="I131" s="165"/>
      <c r="J131" s="328">
        <f>H131/DAY(B2)</f>
        <v>179.33615384615348</v>
      </c>
      <c r="N131" s="240"/>
      <c r="O131" s="241"/>
    </row>
    <row r="132" spans="1:15" ht="27.75" customHeight="1">
      <c r="A132" s="881" t="s">
        <v>322</v>
      </c>
      <c r="B132" s="882"/>
      <c r="C132" s="883"/>
      <c r="D132" s="151" t="s">
        <v>183</v>
      </c>
      <c r="E132" s="95">
        <f>'12'!F132</f>
        <v>148274</v>
      </c>
      <c r="F132" s="165">
        <v>148274</v>
      </c>
      <c r="G132" s="112">
        <f t="shared" si="10"/>
        <v>0</v>
      </c>
      <c r="H132" s="99">
        <f>G132+'12'!H132</f>
        <v>0</v>
      </c>
      <c r="I132" s="165"/>
      <c r="J132" s="328">
        <f>H132/DAY(B2)</f>
        <v>0</v>
      </c>
    </row>
    <row r="133" spans="1:15" ht="27.75" customHeight="1">
      <c r="A133" s="881" t="s">
        <v>359</v>
      </c>
      <c r="B133" s="882"/>
      <c r="C133" s="883"/>
      <c r="D133" s="151" t="s">
        <v>183</v>
      </c>
      <c r="E133" s="95">
        <f>'12'!F133</f>
        <v>288548</v>
      </c>
      <c r="F133" s="165">
        <v>288548.17</v>
      </c>
      <c r="G133" s="112">
        <f t="shared" si="10"/>
        <v>0.16999999998370185</v>
      </c>
      <c r="H133" s="99">
        <f>G133+'12'!H133</f>
        <v>-644499.83000000007</v>
      </c>
      <c r="I133" s="165"/>
      <c r="J133" s="328">
        <f>H133/DAY(B2)</f>
        <v>-49576.91</v>
      </c>
    </row>
    <row r="134" spans="1:15" ht="27.75" customHeight="1">
      <c r="A134" s="881" t="s">
        <v>340</v>
      </c>
      <c r="B134" s="882"/>
      <c r="C134" s="883"/>
      <c r="D134" s="151" t="s">
        <v>183</v>
      </c>
      <c r="E134" s="95">
        <f>'12'!F134</f>
        <v>88988</v>
      </c>
      <c r="F134" s="165">
        <v>89514.15</v>
      </c>
      <c r="G134" s="112">
        <f t="shared" si="10"/>
        <v>526.14999999999418</v>
      </c>
      <c r="H134" s="99">
        <f>G134+'12'!H134</f>
        <v>3562.1499999999942</v>
      </c>
      <c r="I134" s="165"/>
      <c r="J134" s="328">
        <f>H134/DAY(B2)</f>
        <v>274.01153846153801</v>
      </c>
    </row>
    <row r="135" spans="1:15" ht="27.75" customHeight="1">
      <c r="A135" s="787" t="s">
        <v>196</v>
      </c>
      <c r="B135" s="788"/>
      <c r="C135" s="331"/>
      <c r="D135" s="151"/>
      <c r="E135" s="95"/>
      <c r="F135" s="165"/>
      <c r="G135" s="112">
        <f>SUM(G128:G134)</f>
        <v>2108.0200000000332</v>
      </c>
      <c r="H135" s="99">
        <f>G135+'12'!H135</f>
        <v>-624371.70299999998</v>
      </c>
      <c r="I135" s="327">
        <f>G135-(G35+G49)</f>
        <v>-1104.4799999999668</v>
      </c>
      <c r="J135" s="328">
        <f>H135/DAY(B2)</f>
        <v>-48028.59253846154</v>
      </c>
    </row>
    <row r="136" spans="1:15" ht="27.75" customHeight="1">
      <c r="A136" s="869" t="s">
        <v>325</v>
      </c>
      <c r="B136" s="869"/>
      <c r="C136" s="869"/>
      <c r="D136" s="869"/>
      <c r="E136" s="869"/>
      <c r="F136" s="869"/>
      <c r="G136" s="869"/>
      <c r="H136" s="869"/>
      <c r="I136" s="869"/>
      <c r="J136" s="869"/>
    </row>
    <row r="137" spans="1:15" ht="27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>
      <c r="A138" s="880" t="s">
        <v>185</v>
      </c>
      <c r="B138" s="880"/>
      <c r="C138" s="880"/>
      <c r="D138" s="151" t="s">
        <v>183</v>
      </c>
      <c r="E138" s="95">
        <f>'12'!F138</f>
        <v>910888</v>
      </c>
      <c r="F138" s="147">
        <v>910968</v>
      </c>
      <c r="G138" s="112">
        <f t="shared" ref="G138:G152" si="11">F138-E138</f>
        <v>80</v>
      </c>
      <c r="H138" s="99">
        <f>G138+'12'!H138</f>
        <v>1489</v>
      </c>
      <c r="I138" s="118"/>
      <c r="J138" s="328">
        <f>H138/DAY(B2)</f>
        <v>114.53846153846153</v>
      </c>
    </row>
    <row r="139" spans="1:15" ht="27.75" customHeight="1">
      <c r="A139" s="880" t="s">
        <v>186</v>
      </c>
      <c r="B139" s="880"/>
      <c r="C139" s="880"/>
      <c r="D139" s="151" t="s">
        <v>183</v>
      </c>
      <c r="E139" s="95">
        <f>'12'!F139</f>
        <v>934440</v>
      </c>
      <c r="F139" s="148">
        <v>934457</v>
      </c>
      <c r="G139" s="112">
        <f t="shared" si="11"/>
        <v>17</v>
      </c>
      <c r="H139" s="99">
        <f>G139+'12'!H139</f>
        <v>2097</v>
      </c>
      <c r="I139" s="118"/>
      <c r="J139" s="328">
        <f>H139/DAY(B2)</f>
        <v>161.30769230769232</v>
      </c>
    </row>
    <row r="140" spans="1:15" ht="27.75" customHeight="1">
      <c r="A140" s="880" t="s">
        <v>187</v>
      </c>
      <c r="B140" s="880"/>
      <c r="C140" s="880"/>
      <c r="D140" s="151" t="s">
        <v>183</v>
      </c>
      <c r="E140" s="95">
        <f>'12'!F140</f>
        <v>4291</v>
      </c>
      <c r="F140" s="149">
        <v>4320</v>
      </c>
      <c r="G140" s="112">
        <f t="shared" si="11"/>
        <v>29</v>
      </c>
      <c r="H140" s="99">
        <f>G140+'12'!H140</f>
        <v>286.48900000000003</v>
      </c>
      <c r="I140" s="118"/>
      <c r="J140" s="328">
        <f>H140/DAY(B2)</f>
        <v>22.037615384615385</v>
      </c>
    </row>
    <row r="141" spans="1:15" ht="27.75" customHeight="1">
      <c r="A141" s="863" t="s">
        <v>188</v>
      </c>
      <c r="B141" s="863"/>
      <c r="C141" s="863"/>
      <c r="D141" s="151" t="s">
        <v>183</v>
      </c>
      <c r="E141" s="95">
        <f>'12'!F141</f>
        <v>126957</v>
      </c>
      <c r="F141" s="149">
        <v>127072</v>
      </c>
      <c r="G141" s="112">
        <f t="shared" si="11"/>
        <v>115</v>
      </c>
      <c r="H141" s="99">
        <f>G141+'12'!H141</f>
        <v>2474</v>
      </c>
      <c r="I141" s="118"/>
      <c r="J141" s="328">
        <f>H141/DAY(B2)</f>
        <v>190.30769230769232</v>
      </c>
    </row>
    <row r="142" spans="1:15" ht="27.75" customHeight="1">
      <c r="A142" s="863" t="s">
        <v>189</v>
      </c>
      <c r="B142" s="863"/>
      <c r="C142" s="863"/>
      <c r="D142" s="151" t="s">
        <v>183</v>
      </c>
      <c r="E142" s="95">
        <f>'12'!F142</f>
        <v>51659</v>
      </c>
      <c r="F142" s="148">
        <v>51746.55</v>
      </c>
      <c r="G142" s="112">
        <f t="shared" si="11"/>
        <v>87.55000000000291</v>
      </c>
      <c r="H142" s="99">
        <f>G142+'12'!H142</f>
        <v>1181</v>
      </c>
      <c r="I142" s="140"/>
      <c r="J142" s="328">
        <f>H142/DAY(B2)</f>
        <v>90.84615384615384</v>
      </c>
    </row>
    <row r="143" spans="1:15" ht="27.75" customHeight="1">
      <c r="A143" s="880" t="s">
        <v>91</v>
      </c>
      <c r="B143" s="880"/>
      <c r="C143" s="880"/>
      <c r="D143" s="151" t="s">
        <v>183</v>
      </c>
      <c r="E143" s="95">
        <f>'12'!F143</f>
        <v>13761.44</v>
      </c>
      <c r="F143" s="149">
        <v>13788</v>
      </c>
      <c r="G143" s="112">
        <f t="shared" si="11"/>
        <v>26.559999999999491</v>
      </c>
      <c r="H143" s="99">
        <f>G143+'12'!H143</f>
        <v>401</v>
      </c>
      <c r="I143" s="140"/>
      <c r="J143" s="328">
        <f>H143/DAY(B2)</f>
        <v>30.846153846153847</v>
      </c>
    </row>
    <row r="144" spans="1:15" ht="27.75" customHeight="1">
      <c r="A144" s="863" t="s">
        <v>90</v>
      </c>
      <c r="B144" s="863"/>
      <c r="C144" s="863"/>
      <c r="D144" s="151" t="s">
        <v>183</v>
      </c>
      <c r="E144" s="95">
        <f>'12'!F144</f>
        <v>958375</v>
      </c>
      <c r="F144" s="149">
        <v>958618</v>
      </c>
      <c r="G144" s="112">
        <f t="shared" si="11"/>
        <v>243</v>
      </c>
      <c r="H144" s="99">
        <f>G144+'12'!H144</f>
        <v>3148</v>
      </c>
      <c r="I144" s="140"/>
      <c r="J144" s="328">
        <f>H144/DAY(B2)</f>
        <v>242.15384615384616</v>
      </c>
    </row>
    <row r="145" spans="1:10" ht="27.75" customHeight="1">
      <c r="A145" s="880" t="s">
        <v>190</v>
      </c>
      <c r="B145" s="880"/>
      <c r="C145" s="880"/>
      <c r="D145" s="152" t="s">
        <v>183</v>
      </c>
      <c r="E145" s="95">
        <f>'12'!F145</f>
        <v>747213</v>
      </c>
      <c r="F145" s="149">
        <v>747226</v>
      </c>
      <c r="G145" s="112">
        <f t="shared" si="11"/>
        <v>13</v>
      </c>
      <c r="H145" s="99">
        <f>G145+'12'!H145</f>
        <v>2045</v>
      </c>
      <c r="I145" s="140"/>
      <c r="J145" s="328">
        <f>H145/DAY(B2)</f>
        <v>157.30769230769232</v>
      </c>
    </row>
    <row r="146" spans="1:10" ht="27.75" customHeight="1">
      <c r="A146" s="914" t="s">
        <v>191</v>
      </c>
      <c r="B146" s="900"/>
      <c r="C146" s="901"/>
      <c r="D146" s="152" t="s">
        <v>183</v>
      </c>
      <c r="E146" s="95">
        <f>'12'!F146</f>
        <v>788288</v>
      </c>
      <c r="F146" s="148">
        <v>788339</v>
      </c>
      <c r="G146" s="112">
        <f t="shared" si="11"/>
        <v>51</v>
      </c>
      <c r="H146" s="99">
        <f>G146+'12'!H146</f>
        <v>481</v>
      </c>
      <c r="I146" s="140"/>
      <c r="J146" s="328">
        <f>H146/DAY(B2)</f>
        <v>37</v>
      </c>
    </row>
    <row r="147" spans="1:10" ht="27.75" customHeight="1">
      <c r="A147" s="863" t="s">
        <v>192</v>
      </c>
      <c r="B147" s="863"/>
      <c r="C147" s="863"/>
      <c r="D147" s="152" t="s">
        <v>183</v>
      </c>
      <c r="E147" s="95">
        <f>'12'!F147</f>
        <v>764598</v>
      </c>
      <c r="F147" s="148">
        <v>765091.76</v>
      </c>
      <c r="G147" s="112">
        <f t="shared" si="11"/>
        <v>493.76000000000931</v>
      </c>
      <c r="H147" s="99">
        <f>G147+'12'!H147</f>
        <v>4953.7600000000093</v>
      </c>
      <c r="I147" s="140"/>
      <c r="J147" s="328">
        <f>H147/DAY(B2)</f>
        <v>381.05846153846227</v>
      </c>
    </row>
    <row r="148" spans="1:10" ht="27.75" customHeight="1">
      <c r="A148" s="864" t="s">
        <v>193</v>
      </c>
      <c r="B148" s="865"/>
      <c r="C148" s="866"/>
      <c r="D148" s="123" t="s">
        <v>130</v>
      </c>
      <c r="E148" s="95">
        <f>'12'!F148</f>
        <v>800392</v>
      </c>
      <c r="F148" s="150">
        <v>800663.28</v>
      </c>
      <c r="G148" s="112">
        <f t="shared" si="11"/>
        <v>271.28000000002794</v>
      </c>
      <c r="H148" s="99">
        <f>G148+'12'!H148</f>
        <v>4251.2000000000698</v>
      </c>
      <c r="I148" s="124"/>
      <c r="J148" s="328">
        <f>H148/DAY(B2)</f>
        <v>327.01538461538996</v>
      </c>
    </row>
    <row r="149" spans="1:10" ht="27.75" customHeight="1">
      <c r="A149" s="864" t="s">
        <v>336</v>
      </c>
      <c r="B149" s="865"/>
      <c r="C149" s="866"/>
      <c r="D149" s="227" t="s">
        <v>130</v>
      </c>
      <c r="E149" s="95">
        <f>'12'!F149</f>
        <v>206769</v>
      </c>
      <c r="F149" s="146">
        <v>207177</v>
      </c>
      <c r="G149" s="112">
        <f t="shared" si="11"/>
        <v>408</v>
      </c>
      <c r="H149" s="99">
        <f>G149+'12'!H149</f>
        <v>5885.7300000000105</v>
      </c>
      <c r="I149" s="119"/>
      <c r="J149" s="328">
        <f>H149/DAY(B2)</f>
        <v>452.74846153846232</v>
      </c>
    </row>
    <row r="150" spans="1:10" ht="27.75" customHeight="1">
      <c r="A150" s="864" t="s">
        <v>337</v>
      </c>
      <c r="B150" s="865"/>
      <c r="C150" s="866"/>
      <c r="D150" s="117" t="s">
        <v>130</v>
      </c>
      <c r="E150" s="95">
        <f>'12'!F150</f>
        <v>90078</v>
      </c>
      <c r="F150" s="233">
        <v>90323</v>
      </c>
      <c r="G150" s="112">
        <f t="shared" si="11"/>
        <v>245</v>
      </c>
      <c r="H150" s="99">
        <f>G150+'12'!H150</f>
        <v>5109</v>
      </c>
      <c r="I150" s="119"/>
      <c r="J150" s="328">
        <f>H150/DAY(B2)</f>
        <v>393</v>
      </c>
    </row>
    <row r="151" spans="1:10" ht="27.75" customHeight="1">
      <c r="A151" s="864" t="s">
        <v>338</v>
      </c>
      <c r="B151" s="865"/>
      <c r="C151" s="866"/>
      <c r="D151" s="117" t="s">
        <v>130</v>
      </c>
      <c r="E151" s="95">
        <f>'12'!F151</f>
        <v>170364</v>
      </c>
      <c r="F151" s="233">
        <v>170665</v>
      </c>
      <c r="G151" s="112">
        <f t="shared" si="11"/>
        <v>301</v>
      </c>
      <c r="H151" s="99">
        <f>G151+'12'!H151</f>
        <v>3935</v>
      </c>
      <c r="I151" s="119"/>
      <c r="J151" s="328">
        <f>H151/DAY(B2)</f>
        <v>302.69230769230768</v>
      </c>
    </row>
    <row r="152" spans="1:10" ht="27.75" customHeight="1">
      <c r="A152" s="864" t="s">
        <v>339</v>
      </c>
      <c r="B152" s="865"/>
      <c r="C152" s="866"/>
      <c r="D152" s="117" t="s">
        <v>130</v>
      </c>
      <c r="E152" s="95">
        <f>'12'!F152</f>
        <v>44098.369899999998</v>
      </c>
      <c r="F152" s="233">
        <v>44231</v>
      </c>
      <c r="G152" s="112">
        <f t="shared" si="11"/>
        <v>132.63010000000213</v>
      </c>
      <c r="H152" s="99">
        <f>G152+'12'!H152</f>
        <v>1720</v>
      </c>
      <c r="I152" s="119"/>
      <c r="J152" s="328">
        <f>H152/DAY(B2)</f>
        <v>132.30769230769232</v>
      </c>
    </row>
    <row r="153" spans="1:10" ht="27.75" customHeight="1">
      <c r="A153" s="787" t="s">
        <v>196</v>
      </c>
      <c r="B153" s="788"/>
      <c r="C153" s="365"/>
      <c r="D153" s="358"/>
      <c r="E153" s="360"/>
      <c r="F153" s="361"/>
      <c r="G153" s="362">
        <f>SUM(G138:G152)</f>
        <v>2513.7801000000418</v>
      </c>
      <c r="H153" s="363"/>
      <c r="I153" s="119">
        <f>G153-(G38+G52)</f>
        <v>31.690100000074381</v>
      </c>
      <c r="J153" s="366"/>
    </row>
    <row r="154" spans="1:10" ht="27.75" customHeight="1">
      <c r="A154" s="869" t="s">
        <v>344</v>
      </c>
      <c r="B154" s="869"/>
      <c r="C154" s="869"/>
      <c r="D154" s="869"/>
      <c r="E154" s="869"/>
      <c r="F154" s="869"/>
      <c r="G154" s="869"/>
      <c r="H154" s="869"/>
      <c r="I154" s="869"/>
      <c r="J154" s="869"/>
    </row>
    <row r="155" spans="1:10" ht="27.75" customHeight="1">
      <c r="A155" s="863" t="s">
        <v>345</v>
      </c>
      <c r="B155" s="863"/>
      <c r="C155" s="863"/>
      <c r="D155" s="117" t="s">
        <v>130</v>
      </c>
      <c r="E155" s="374">
        <f>'12'!F155</f>
        <v>245843</v>
      </c>
      <c r="F155" s="374">
        <v>246419</v>
      </c>
      <c r="G155" s="112">
        <f t="shared" ref="G155:G158" si="12">F155-E155</f>
        <v>576</v>
      </c>
      <c r="H155" s="99">
        <f>G155+'12'!H155</f>
        <v>7385</v>
      </c>
      <c r="I155" s="364"/>
      <c r="J155" s="328">
        <f>H155/DAY(B2)</f>
        <v>568.07692307692309</v>
      </c>
    </row>
    <row r="156" spans="1:10" ht="27.75" customHeight="1">
      <c r="A156" s="863" t="s">
        <v>347</v>
      </c>
      <c r="B156" s="863"/>
      <c r="C156" s="863"/>
      <c r="D156" s="117" t="s">
        <v>130</v>
      </c>
      <c r="E156" s="374">
        <f>'12'!F156</f>
        <v>30730</v>
      </c>
      <c r="F156" s="155">
        <v>30829</v>
      </c>
      <c r="G156" s="112">
        <f t="shared" si="12"/>
        <v>99</v>
      </c>
      <c r="H156" s="99">
        <f>G156+'12'!H156</f>
        <v>1149.5</v>
      </c>
      <c r="I156" s="165"/>
      <c r="J156" s="328">
        <f>H156/DAY(B2)</f>
        <v>88.42307692307692</v>
      </c>
    </row>
    <row r="157" spans="1:10" ht="27.75" customHeight="1">
      <c r="A157" s="864" t="s">
        <v>360</v>
      </c>
      <c r="B157" s="865"/>
      <c r="C157" s="866"/>
      <c r="D157" s="117" t="s">
        <v>130</v>
      </c>
      <c r="E157" s="374">
        <f>'12'!F157</f>
        <v>37559</v>
      </c>
      <c r="F157" s="155">
        <v>37559</v>
      </c>
      <c r="G157" s="112">
        <f t="shared" si="12"/>
        <v>0</v>
      </c>
      <c r="H157" s="99">
        <f>G157+'12'!H157</f>
        <v>0</v>
      </c>
      <c r="I157" s="165"/>
      <c r="J157" s="328">
        <f>H157/DAY(B2)</f>
        <v>0</v>
      </c>
    </row>
    <row r="158" spans="1:10" ht="27.75" customHeight="1">
      <c r="A158" s="864" t="s">
        <v>361</v>
      </c>
      <c r="B158" s="865"/>
      <c r="C158" s="866"/>
      <c r="D158" s="117" t="s">
        <v>130</v>
      </c>
      <c r="E158" s="374">
        <f>'12'!F158</f>
        <v>1768</v>
      </c>
      <c r="F158" s="155">
        <v>1769</v>
      </c>
      <c r="G158" s="112">
        <f t="shared" si="12"/>
        <v>1</v>
      </c>
      <c r="H158" s="99">
        <f>G158+'12'!H158</f>
        <v>11</v>
      </c>
      <c r="I158" s="165"/>
      <c r="J158" s="328">
        <f>H158/DAY(B2)</f>
        <v>0.84615384615384615</v>
      </c>
    </row>
    <row r="159" spans="1:10" ht="27.75" customHeight="1">
      <c r="A159" s="944"/>
      <c r="B159" s="945"/>
      <c r="C159" s="946"/>
      <c r="D159" s="117"/>
      <c r="E159" s="95"/>
      <c r="F159" s="165"/>
      <c r="G159" s="362">
        <f>SUM(G155:G158)</f>
        <v>676</v>
      </c>
      <c r="H159" s="99"/>
      <c r="I159" s="165"/>
      <c r="J159" s="328"/>
    </row>
    <row r="160" spans="1:10" ht="27.75" customHeight="1">
      <c r="A160" s="869" t="s">
        <v>326</v>
      </c>
      <c r="B160" s="869"/>
      <c r="C160" s="869"/>
      <c r="D160" s="869"/>
      <c r="E160" s="869"/>
      <c r="F160" s="869"/>
      <c r="G160" s="869"/>
      <c r="H160" s="869"/>
      <c r="I160" s="869"/>
      <c r="J160" s="869"/>
    </row>
    <row r="161" spans="1:10" ht="27.75" customHeight="1">
      <c r="A161" s="242" t="s">
        <v>92</v>
      </c>
      <c r="B161" s="243"/>
      <c r="C161" s="243"/>
      <c r="D161" s="244" t="s">
        <v>180</v>
      </c>
      <c r="E161" s="95">
        <f>'12'!F161</f>
        <v>510445</v>
      </c>
      <c r="F161" s="235">
        <v>510606.4</v>
      </c>
      <c r="G161" s="238">
        <f t="shared" ref="G161:G165" si="13">F161-E161</f>
        <v>161.40000000002328</v>
      </c>
      <c r="H161" s="99">
        <f>G161+'12'!H161</f>
        <v>2223.0800000000163</v>
      </c>
      <c r="I161" s="236"/>
      <c r="J161" s="239">
        <f>H161/DAY(B2)</f>
        <v>171.00615384615509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95">
        <f>'12'!F162</f>
        <v>1193</v>
      </c>
      <c r="F162" s="235">
        <v>1230</v>
      </c>
      <c r="G162" s="238">
        <f t="shared" si="13"/>
        <v>37</v>
      </c>
      <c r="H162" s="99">
        <f>G162+'12'!H162</f>
        <v>458.4</v>
      </c>
      <c r="I162" s="236"/>
      <c r="J162" s="239">
        <f>H162/DAY(B2)</f>
        <v>35.261538461538457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95">
        <f>'12'!F163</f>
        <v>0</v>
      </c>
      <c r="F163" s="235">
        <v>0</v>
      </c>
      <c r="G163" s="238">
        <f t="shared" si="13"/>
        <v>0</v>
      </c>
      <c r="H163" s="99">
        <f>G163+'12'!H163</f>
        <v>0</v>
      </c>
      <c r="I163" s="236"/>
      <c r="J163" s="239">
        <f>H163/DAY(B2)</f>
        <v>0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95">
        <f>'12'!F164</f>
        <v>7254</v>
      </c>
      <c r="F164" s="235">
        <v>7267.3</v>
      </c>
      <c r="G164" s="238">
        <f t="shared" si="13"/>
        <v>13.300000000000182</v>
      </c>
      <c r="H164" s="99">
        <f>G164+'12'!H164</f>
        <v>68.300000000000182</v>
      </c>
      <c r="I164" s="236"/>
      <c r="J164" s="239">
        <f>H164/DAY(B2)</f>
        <v>5.253846153846168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95">
        <f>'12'!F165</f>
        <v>32856</v>
      </c>
      <c r="F165" s="235">
        <v>32864.01</v>
      </c>
      <c r="G165" s="238">
        <f t="shared" si="13"/>
        <v>8.0100000000020373</v>
      </c>
      <c r="H165" s="99">
        <f>G165+'12'!H165</f>
        <v>83.921999999998661</v>
      </c>
      <c r="I165" s="236"/>
      <c r="J165" s="239">
        <f>H165/DAY(B2)</f>
        <v>6.4555384615383584</v>
      </c>
    </row>
    <row r="166" spans="1:10" ht="27.75" customHeight="1">
      <c r="A166" s="870"/>
      <c r="B166" s="870"/>
      <c r="C166" s="246"/>
      <c r="D166" s="244" t="s">
        <v>180</v>
      </c>
      <c r="E166" s="95">
        <f>'12'!F166</f>
        <v>0</v>
      </c>
      <c r="F166" s="165"/>
      <c r="G166" s="165"/>
      <c r="H166" s="99">
        <f>G166+'12'!H166</f>
        <v>0</v>
      </c>
      <c r="I166" s="165"/>
      <c r="J166" s="239">
        <f>H166/DAY(B2)</f>
        <v>0</v>
      </c>
    </row>
    <row r="167" spans="1:10" ht="27.75" customHeight="1">
      <c r="A167" s="870"/>
      <c r="B167" s="870"/>
      <c r="C167" s="246"/>
      <c r="D167" s="244" t="s">
        <v>180</v>
      </c>
      <c r="E167" s="95">
        <f>'12'!F167</f>
        <v>0</v>
      </c>
      <c r="F167" s="165"/>
      <c r="G167" s="165"/>
      <c r="H167" s="99">
        <f>G167+'12'!H167</f>
        <v>0</v>
      </c>
      <c r="I167" s="165"/>
      <c r="J167" s="239">
        <f>H167/DAY(B2)</f>
        <v>0</v>
      </c>
    </row>
    <row r="168" spans="1:10" ht="27.75" customHeight="1">
      <c r="A168" s="870"/>
      <c r="B168" s="870"/>
      <c r="C168" s="246"/>
      <c r="D168" s="244" t="s">
        <v>180</v>
      </c>
      <c r="E168" s="95">
        <f>'12'!F168</f>
        <v>0</v>
      </c>
      <c r="F168" s="165"/>
      <c r="G168" s="165"/>
      <c r="H168" s="99">
        <f>G168+'12'!H168</f>
        <v>0</v>
      </c>
      <c r="I168" s="165"/>
      <c r="J168" s="239">
        <f>H168/DAY(B2)</f>
        <v>0</v>
      </c>
    </row>
    <row r="171" spans="1:10" ht="27.75" customHeight="1">
      <c r="A171" s="871" t="s">
        <v>330</v>
      </c>
      <c r="B171" s="872"/>
      <c r="C171" s="872"/>
      <c r="D171" s="872"/>
      <c r="E171" s="872"/>
      <c r="F171" s="872"/>
      <c r="G171" s="872"/>
      <c r="H171" s="872"/>
      <c r="I171" s="872"/>
      <c r="J171" s="873"/>
    </row>
    <row r="172" spans="1:10" ht="27.75" customHeight="1">
      <c r="A172" s="878"/>
      <c r="B172" s="879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>
      <c r="A173" s="789" t="s">
        <v>209</v>
      </c>
      <c r="B173" s="790"/>
      <c r="C173" s="333"/>
      <c r="D173" s="228" t="s">
        <v>142</v>
      </c>
      <c r="E173" s="95">
        <f>'12'!F173</f>
        <v>8628</v>
      </c>
      <c r="F173" s="155">
        <v>8630</v>
      </c>
      <c r="G173" s="155">
        <f>F173-E173</f>
        <v>2</v>
      </c>
      <c r="H173" s="99">
        <f>G173+'12'!H173</f>
        <v>18</v>
      </c>
      <c r="I173" s="155"/>
      <c r="J173" s="178">
        <f>H173/DAY(B2)</f>
        <v>1.3846153846153846</v>
      </c>
    </row>
    <row r="174" spans="1:10" ht="27.75" customHeight="1">
      <c r="A174" s="789" t="s">
        <v>75</v>
      </c>
      <c r="B174" s="790"/>
      <c r="C174" s="333"/>
      <c r="D174" s="228" t="s">
        <v>142</v>
      </c>
      <c r="E174" s="95">
        <f>'12'!F174</f>
        <v>43192</v>
      </c>
      <c r="F174" s="157">
        <v>43204</v>
      </c>
      <c r="G174" s="155">
        <f t="shared" ref="G174:G175" si="14">F174-E174</f>
        <v>12</v>
      </c>
      <c r="H174" s="99">
        <f>G174+'12'!H174</f>
        <v>154</v>
      </c>
      <c r="I174" s="155"/>
      <c r="J174" s="178">
        <f>H174/DAY(B2)</f>
        <v>11.846153846153847</v>
      </c>
    </row>
    <row r="175" spans="1:10" ht="27.75" customHeight="1">
      <c r="A175" s="789" t="s">
        <v>76</v>
      </c>
      <c r="B175" s="802"/>
      <c r="C175" s="790"/>
      <c r="D175" s="228" t="s">
        <v>142</v>
      </c>
      <c r="E175" s="95">
        <f>'12'!F175</f>
        <v>25998</v>
      </c>
      <c r="F175" s="155">
        <v>26013</v>
      </c>
      <c r="G175" s="155">
        <f t="shared" si="14"/>
        <v>15</v>
      </c>
      <c r="H175" s="99">
        <f>G175+'12'!H175</f>
        <v>192</v>
      </c>
      <c r="I175" s="155"/>
      <c r="J175" s="178">
        <f>H175/DAY(B2)</f>
        <v>14.76923076923077</v>
      </c>
    </row>
    <row r="176" spans="1:10" ht="27.75" customHeight="1">
      <c r="A176" s="787" t="s">
        <v>196</v>
      </c>
      <c r="B176" s="788"/>
      <c r="C176" s="400"/>
      <c r="D176" s="228" t="s">
        <v>142</v>
      </c>
      <c r="E176" s="95"/>
      <c r="F176" s="155"/>
      <c r="G176" s="155">
        <f>SUM(G173:G175)</f>
        <v>29</v>
      </c>
      <c r="H176" s="99">
        <f>G176+'12'!H176</f>
        <v>364</v>
      </c>
      <c r="I176" s="155"/>
      <c r="J176" s="178">
        <f>H176/DAY(B2)</f>
        <v>28</v>
      </c>
    </row>
    <row r="177" spans="1:15" ht="27.75" customHeight="1">
      <c r="A177" s="789" t="s">
        <v>77</v>
      </c>
      <c r="B177" s="790"/>
      <c r="C177" s="333"/>
      <c r="D177" s="228" t="s">
        <v>142</v>
      </c>
      <c r="E177" s="95"/>
      <c r="F177" s="155"/>
      <c r="G177" s="155"/>
      <c r="H177" s="99">
        <f>G177+'12'!H177</f>
        <v>0</v>
      </c>
      <c r="I177" s="155"/>
      <c r="J177" s="178">
        <f>H177/DAY(B2)</f>
        <v>0</v>
      </c>
    </row>
    <row r="178" spans="1:15" ht="27.75" customHeight="1">
      <c r="A178" s="789" t="s">
        <v>210</v>
      </c>
      <c r="B178" s="790"/>
      <c r="C178" s="333"/>
      <c r="D178" s="228" t="s">
        <v>142</v>
      </c>
      <c r="E178" s="95">
        <f>'12'!F178</f>
        <v>108400</v>
      </c>
      <c r="F178" s="155">
        <v>108512</v>
      </c>
      <c r="G178" s="155">
        <f>F178-E178</f>
        <v>112</v>
      </c>
      <c r="H178" s="99">
        <f>G178+'12'!H178</f>
        <v>1513</v>
      </c>
      <c r="I178" s="155"/>
      <c r="J178" s="178">
        <f>H178/DAY(B2)</f>
        <v>116.38461538461539</v>
      </c>
    </row>
    <row r="179" spans="1:15" ht="27.75" customHeight="1">
      <c r="A179" s="789" t="s">
        <v>211</v>
      </c>
      <c r="B179" s="790"/>
      <c r="C179" s="333"/>
      <c r="D179" s="228" t="s">
        <v>142</v>
      </c>
      <c r="E179" s="95">
        <f>'12'!F179</f>
        <v>37501</v>
      </c>
      <c r="F179" s="155">
        <v>37501</v>
      </c>
      <c r="G179" s="155">
        <f t="shared" ref="G179:G180" si="15">F179-E179</f>
        <v>0</v>
      </c>
      <c r="H179" s="99">
        <f>G179+'12'!H179</f>
        <v>0</v>
      </c>
      <c r="I179" s="155"/>
      <c r="J179" s="178">
        <f>H179/DAY(B2)</f>
        <v>0</v>
      </c>
    </row>
    <row r="180" spans="1:15" ht="27.75" customHeight="1">
      <c r="A180" s="789" t="s">
        <v>212</v>
      </c>
      <c r="B180" s="790"/>
      <c r="C180" s="333"/>
      <c r="D180" s="228" t="s">
        <v>142</v>
      </c>
      <c r="E180" s="95">
        <f>'12'!F180</f>
        <v>7621</v>
      </c>
      <c r="F180" s="155">
        <v>7621</v>
      </c>
      <c r="G180" s="155">
        <f t="shared" si="15"/>
        <v>0</v>
      </c>
      <c r="H180" s="99">
        <f>G180+'12'!H180</f>
        <v>58</v>
      </c>
      <c r="I180" s="155"/>
      <c r="J180" s="178">
        <f>H180/DAY(B2)</f>
        <v>4.4615384615384617</v>
      </c>
    </row>
    <row r="181" spans="1:15" ht="27.75" customHeight="1">
      <c r="A181" s="876" t="s">
        <v>108</v>
      </c>
      <c r="B181" s="877"/>
      <c r="C181" s="400"/>
      <c r="D181" s="228" t="s">
        <v>142</v>
      </c>
      <c r="E181" s="95"/>
      <c r="F181" s="155"/>
      <c r="G181" s="155">
        <f>SUM(G178:G180)</f>
        <v>112</v>
      </c>
      <c r="H181" s="99">
        <f>G181+'12'!H181</f>
        <v>1571</v>
      </c>
      <c r="I181" s="155"/>
      <c r="J181" s="178">
        <f>H181/DAY(B2)</f>
        <v>120.84615384615384</v>
      </c>
    </row>
    <row r="182" spans="1:15" ht="27.75" customHeight="1">
      <c r="A182" s="789" t="s">
        <v>213</v>
      </c>
      <c r="B182" s="790"/>
      <c r="C182" s="333"/>
      <c r="D182" s="228" t="s">
        <v>142</v>
      </c>
      <c r="E182" s="95"/>
      <c r="F182" s="155"/>
      <c r="G182" s="155"/>
      <c r="H182" s="99">
        <f>G182+'12'!H182</f>
        <v>0</v>
      </c>
      <c r="I182" s="155"/>
      <c r="J182" s="178">
        <f>H182/DAY(B2)</f>
        <v>0</v>
      </c>
    </row>
    <row r="183" spans="1:15" ht="27.75" customHeight="1">
      <c r="A183" s="789" t="s">
        <v>214</v>
      </c>
      <c r="B183" s="790"/>
      <c r="C183" s="334"/>
      <c r="D183" s="228" t="s">
        <v>142</v>
      </c>
      <c r="E183" s="95">
        <f>'12'!F183</f>
        <v>18455</v>
      </c>
      <c r="F183" s="157">
        <v>18460</v>
      </c>
      <c r="G183" s="157">
        <f>F183-E183</f>
        <v>5</v>
      </c>
      <c r="H183" s="99">
        <f>G183+'12'!H183</f>
        <v>82</v>
      </c>
      <c r="I183" s="155"/>
      <c r="J183" s="178">
        <f>H183/DAY(B2)</f>
        <v>6.3076923076923075</v>
      </c>
    </row>
    <row r="184" spans="1:15" ht="27.75" customHeight="1">
      <c r="A184" s="789" t="s">
        <v>215</v>
      </c>
      <c r="B184" s="790"/>
      <c r="C184" s="334"/>
      <c r="D184" s="228" t="s">
        <v>142</v>
      </c>
      <c r="E184" s="95">
        <f>'12'!F184</f>
        <v>13100</v>
      </c>
      <c r="F184" s="157">
        <v>13112</v>
      </c>
      <c r="G184" s="157">
        <f t="shared" ref="G184:G185" si="16">F184-E184</f>
        <v>12</v>
      </c>
      <c r="H184" s="99">
        <f>G184+'12'!H184</f>
        <v>132</v>
      </c>
      <c r="I184" s="155"/>
      <c r="J184" s="178">
        <f>H184/DAY(B2)</f>
        <v>10.153846153846153</v>
      </c>
      <c r="O184" s="65" t="s">
        <v>362</v>
      </c>
    </row>
    <row r="185" spans="1:15" ht="27.75" customHeight="1">
      <c r="A185" s="789" t="s">
        <v>216</v>
      </c>
      <c r="B185" s="790"/>
      <c r="C185" s="334"/>
      <c r="D185" s="228" t="s">
        <v>142</v>
      </c>
      <c r="E185" s="95">
        <f>'12'!F185</f>
        <v>0</v>
      </c>
      <c r="F185" s="157">
        <v>0</v>
      </c>
      <c r="G185" s="157">
        <f t="shared" si="16"/>
        <v>0</v>
      </c>
      <c r="H185" s="99">
        <f>G185+'12'!H185</f>
        <v>0</v>
      </c>
      <c r="I185" s="155"/>
      <c r="J185" s="178">
        <f>H185/DAY(B2)</f>
        <v>0</v>
      </c>
    </row>
    <row r="186" spans="1:15" ht="27.75" customHeight="1">
      <c r="A186" s="787" t="s">
        <v>196</v>
      </c>
      <c r="B186" s="788"/>
      <c r="C186" s="399"/>
      <c r="D186" s="228" t="s">
        <v>142</v>
      </c>
      <c r="E186" s="95"/>
      <c r="F186" s="157"/>
      <c r="G186" s="157">
        <f>SUM(G183:G185)</f>
        <v>17</v>
      </c>
      <c r="H186" s="99">
        <f>G186+'12'!H186</f>
        <v>214</v>
      </c>
      <c r="I186" s="157"/>
      <c r="J186" s="178">
        <f>H186/DAY(B2)</f>
        <v>16.46153846153846</v>
      </c>
    </row>
    <row r="187" spans="1:15" ht="27.75" customHeight="1">
      <c r="A187" s="867" t="s">
        <v>217</v>
      </c>
      <c r="B187" s="868"/>
      <c r="C187" s="333"/>
      <c r="D187" s="230" t="s">
        <v>142</v>
      </c>
      <c r="E187" s="95"/>
      <c r="F187" s="159"/>
      <c r="G187" s="377">
        <f>G62+G19</f>
        <v>53</v>
      </c>
      <c r="H187" s="99">
        <f>G187+'12'!H187</f>
        <v>2029</v>
      </c>
      <c r="I187" s="158"/>
      <c r="J187" s="179">
        <f>H187/DAY(B2)</f>
        <v>156.07692307692307</v>
      </c>
    </row>
    <row r="188" spans="1:15" ht="27.75" customHeight="1">
      <c r="A188" s="867" t="s">
        <v>218</v>
      </c>
      <c r="B188" s="868"/>
      <c r="C188" s="333"/>
      <c r="D188" s="230" t="s">
        <v>142</v>
      </c>
      <c r="E188" s="95"/>
      <c r="F188" s="159"/>
      <c r="G188" s="377">
        <f>G65+G66+G67+G69+G70</f>
        <v>257</v>
      </c>
      <c r="H188" s="99">
        <f>G188+'12'!H188</f>
        <v>3269</v>
      </c>
      <c r="I188" s="158"/>
      <c r="J188" s="179">
        <f>H188/DAY(B2)</f>
        <v>251.46153846153845</v>
      </c>
    </row>
    <row r="189" spans="1:15" ht="27.75" customHeight="1">
      <c r="A189" s="867" t="s">
        <v>219</v>
      </c>
      <c r="B189" s="868"/>
      <c r="C189" s="333"/>
      <c r="D189" s="230" t="s">
        <v>142</v>
      </c>
      <c r="E189" s="95"/>
      <c r="F189" s="157"/>
      <c r="G189" s="376">
        <f>G181</f>
        <v>112</v>
      </c>
      <c r="H189" s="99">
        <f>G189+'12'!H189</f>
        <v>1571</v>
      </c>
      <c r="I189" s="158"/>
      <c r="J189" s="179">
        <f>H189/DAY(B2)</f>
        <v>120.84615384615384</v>
      </c>
    </row>
    <row r="190" spans="1:15" ht="27.75" customHeight="1">
      <c r="A190" s="874"/>
      <c r="B190" s="875"/>
      <c r="C190" s="398"/>
      <c r="D190" s="395"/>
      <c r="E190" s="395" t="s">
        <v>207</v>
      </c>
      <c r="F190" s="395"/>
      <c r="G190" s="395"/>
      <c r="H190" s="396"/>
      <c r="I190" s="395"/>
      <c r="J190" s="397"/>
    </row>
  </sheetData>
  <mergeCells count="115">
    <mergeCell ref="A1:J1"/>
    <mergeCell ref="A6:C6"/>
    <mergeCell ref="A14:C14"/>
    <mergeCell ref="A17:C17"/>
    <mergeCell ref="A18:C18"/>
    <mergeCell ref="A25:C25"/>
    <mergeCell ref="A96:C96"/>
    <mergeCell ref="A93:C93"/>
    <mergeCell ref="A94:C94"/>
    <mergeCell ref="A73:C73"/>
    <mergeCell ref="A74:C74"/>
    <mergeCell ref="E3:F3"/>
    <mergeCell ref="A75:C75"/>
    <mergeCell ref="A76:C76"/>
    <mergeCell ref="A77:C77"/>
    <mergeCell ref="A79:C79"/>
    <mergeCell ref="A80:C80"/>
    <mergeCell ref="A19:C19"/>
    <mergeCell ref="A21:C21"/>
    <mergeCell ref="A64:C64"/>
    <mergeCell ref="A65:C65"/>
    <mergeCell ref="A33:C33"/>
    <mergeCell ref="A61:C61"/>
    <mergeCell ref="A62:C62"/>
    <mergeCell ref="A123:C123"/>
    <mergeCell ref="A149:C149"/>
    <mergeCell ref="A143:C143"/>
    <mergeCell ref="A144:C144"/>
    <mergeCell ref="A145:C145"/>
    <mergeCell ref="A146:C146"/>
    <mergeCell ref="A147:C147"/>
    <mergeCell ref="A148:C148"/>
    <mergeCell ref="A113:C113"/>
    <mergeCell ref="A114:C114"/>
    <mergeCell ref="A115:C115"/>
    <mergeCell ref="A116:C116"/>
    <mergeCell ref="A124:C124"/>
    <mergeCell ref="A125:B125"/>
    <mergeCell ref="A126:J126"/>
    <mergeCell ref="A134:C134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63:C63"/>
    <mergeCell ref="A99:C99"/>
    <mergeCell ref="A100:C100"/>
    <mergeCell ref="A101:C101"/>
    <mergeCell ref="A103:C103"/>
    <mergeCell ref="A104:C104"/>
    <mergeCell ref="A71:C71"/>
    <mergeCell ref="A72:B72"/>
    <mergeCell ref="A78:C78"/>
    <mergeCell ref="A97:C97"/>
    <mergeCell ref="A98:C98"/>
    <mergeCell ref="A95:C95"/>
    <mergeCell ref="A81:C81"/>
    <mergeCell ref="A102:C102"/>
    <mergeCell ref="Q116:R116"/>
    <mergeCell ref="A105:C105"/>
    <mergeCell ref="A108:J108"/>
    <mergeCell ref="A110:J110"/>
    <mergeCell ref="A111:C111"/>
    <mergeCell ref="A112:C112"/>
    <mergeCell ref="A109:B109"/>
    <mergeCell ref="A121:C121"/>
    <mergeCell ref="A122:C122"/>
    <mergeCell ref="Q117:R117"/>
    <mergeCell ref="A118:C118"/>
    <mergeCell ref="Q118:R118"/>
    <mergeCell ref="A119:C119"/>
    <mergeCell ref="A120:C120"/>
    <mergeCell ref="A117:C117"/>
    <mergeCell ref="A141:C141"/>
    <mergeCell ref="A142:C142"/>
    <mergeCell ref="A160:J160"/>
    <mergeCell ref="A166:B16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4:B174"/>
    <mergeCell ref="A176:B176"/>
    <mergeCell ref="A177:B177"/>
    <mergeCell ref="A178:B178"/>
    <mergeCell ref="A179:B179"/>
    <mergeCell ref="A181:B181"/>
    <mergeCell ref="A182:B182"/>
    <mergeCell ref="A175:C175"/>
    <mergeCell ref="A183:B183"/>
    <mergeCell ref="A184:B184"/>
    <mergeCell ref="A180:B180"/>
    <mergeCell ref="A185:B185"/>
    <mergeCell ref="A167:B167"/>
    <mergeCell ref="A168:B168"/>
    <mergeCell ref="A171:J171"/>
    <mergeCell ref="A172:B172"/>
    <mergeCell ref="A173:B173"/>
    <mergeCell ref="A140:C140"/>
  </mergeCells>
  <pageMargins left="0.22" right="0.17" top="0.14000000000000001" bottom="0.2" header="0.2" footer="0.2"/>
  <pageSetup paperSize="5" scale="1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AKS190"/>
  <sheetViews>
    <sheetView view="pageBreakPreview" zoomScale="53" zoomScaleSheetLayoutView="53" workbookViewId="0">
      <selection activeCell="F71" sqref="F71"/>
    </sheetView>
  </sheetViews>
  <sheetFormatPr defaultColWidth="22.33203125" defaultRowHeight="27.75" customHeight="1"/>
  <cols>
    <col min="1" max="1" width="41.33203125" style="94" customWidth="1"/>
    <col min="2" max="2" width="21.6640625" style="97" customWidth="1"/>
    <col min="3" max="3" width="15.88671875" style="97" customWidth="1"/>
    <col min="4" max="4" width="13.6640625" style="160" customWidth="1"/>
    <col min="5" max="5" width="25" style="160" customWidth="1"/>
    <col min="6" max="6" width="24.5546875" style="160" customWidth="1"/>
    <col min="7" max="7" width="27.109375" style="160" customWidth="1"/>
    <col min="8" max="8" width="27.33203125" style="161" customWidth="1"/>
    <col min="9" max="9" width="20.33203125" style="160" customWidth="1"/>
    <col min="10" max="10" width="21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919" t="s">
        <v>115</v>
      </c>
      <c r="B1" s="920"/>
      <c r="C1" s="920"/>
      <c r="D1" s="920"/>
      <c r="E1" s="920"/>
      <c r="F1" s="920"/>
      <c r="G1" s="920"/>
      <c r="H1" s="920"/>
      <c r="I1" s="920"/>
      <c r="J1" s="921"/>
    </row>
    <row r="2" spans="1:15" s="57" customFormat="1" ht="27.75" customHeight="1">
      <c r="A2" s="191" t="s">
        <v>372</v>
      </c>
      <c r="B2" s="262">
        <v>44940</v>
      </c>
      <c r="C2" s="348" t="s">
        <v>67</v>
      </c>
      <c r="D2" s="218">
        <v>0.5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29</v>
      </c>
      <c r="E3" s="928" t="s">
        <v>119</v>
      </c>
      <c r="F3" s="929"/>
      <c r="G3" s="101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922" t="s">
        <v>128</v>
      </c>
      <c r="B6" s="923"/>
      <c r="C6" s="92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'13'!F7</f>
        <v>250694</v>
      </c>
      <c r="F7" s="95">
        <v>270912</v>
      </c>
      <c r="G7" s="112">
        <f>F7-E7</f>
        <v>20218</v>
      </c>
      <c r="H7" s="99">
        <f>G7+'13'!H7</f>
        <v>293293</v>
      </c>
      <c r="I7" s="113">
        <f>'1'!I7</f>
        <v>12000</v>
      </c>
      <c r="J7" s="175">
        <f>H7/DAY(B2)</f>
        <v>20949.5</v>
      </c>
      <c r="K7" s="172">
        <v>1375467</v>
      </c>
      <c r="L7" s="66"/>
      <c r="N7" s="87">
        <f>G8-G7</f>
        <v>678</v>
      </c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'13'!F8</f>
        <v>435534</v>
      </c>
      <c r="F8" s="114">
        <v>456430</v>
      </c>
      <c r="G8" s="115">
        <f>F8-E8</f>
        <v>20896</v>
      </c>
      <c r="H8" s="99">
        <f>G8+'13'!H8</f>
        <v>298573</v>
      </c>
      <c r="I8" s="116"/>
      <c r="J8" s="175">
        <f>H8/DAY(B2)</f>
        <v>21326.642857142859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'13'!F9</f>
        <v>4616659</v>
      </c>
      <c r="F9" s="468">
        <v>4628221.5</v>
      </c>
      <c r="G9" s="112">
        <f>F9-E9</f>
        <v>11562.5</v>
      </c>
      <c r="H9" s="99">
        <f>G9+'13'!H9</f>
        <v>211615.59999999963</v>
      </c>
      <c r="I9" s="124">
        <f>I7-J7</f>
        <v>-8949.5</v>
      </c>
      <c r="J9" s="175">
        <f>H9/DAY(B2)</f>
        <v>15115.399999999974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'13'!F10</f>
        <v>4137042.7</v>
      </c>
      <c r="F10" s="353">
        <v>4145161.5</v>
      </c>
      <c r="G10" s="112">
        <f t="shared" ref="G10:G12" si="0">F10-E10</f>
        <v>8118.7999999998137</v>
      </c>
      <c r="H10" s="99">
        <f>G10+'13'!H10</f>
        <v>75125.200000000186</v>
      </c>
      <c r="I10" s="282"/>
      <c r="J10" s="175">
        <f>H10/DAY(B2)</f>
        <v>5366.0857142857276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'13'!F11</f>
        <v>38700</v>
      </c>
      <c r="F11" s="95">
        <v>38700</v>
      </c>
      <c r="G11" s="112">
        <f t="shared" si="0"/>
        <v>0</v>
      </c>
      <c r="H11" s="99">
        <f>G11+'13'!H11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'13'!F12</f>
        <v>40550</v>
      </c>
      <c r="F12" s="117">
        <v>40550</v>
      </c>
      <c r="G12" s="112">
        <f t="shared" si="0"/>
        <v>0</v>
      </c>
      <c r="H12" s="99">
        <f>G12+'13'!H12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19681.299999999814</v>
      </c>
      <c r="H13" s="99">
        <f>G13+'13'!H13</f>
        <v>286740.79999999981</v>
      </c>
      <c r="I13" s="120">
        <f>G7-G13</f>
        <v>536.70000000018626</v>
      </c>
      <c r="J13" s="175">
        <f>H13/DAY(B2)</f>
        <v>20481.4857142857</v>
      </c>
      <c r="K13" s="79"/>
      <c r="L13" s="66"/>
      <c r="N13" s="87"/>
      <c r="O13" s="71"/>
    </row>
    <row r="14" spans="1:15" ht="27.75" customHeight="1">
      <c r="A14" s="925" t="s">
        <v>137</v>
      </c>
      <c r="B14" s="926"/>
      <c r="C14" s="92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468">
        <f>'13'!F15</f>
        <v>2268010</v>
      </c>
      <c r="F15" s="468">
        <v>2269200</v>
      </c>
      <c r="G15" s="112">
        <f>(F15-E15)</f>
        <v>1190</v>
      </c>
      <c r="H15" s="99">
        <f>G15+'13'!H15</f>
        <v>15898.641999999993</v>
      </c>
      <c r="I15" s="113">
        <f>'1'!I15</f>
        <v>800</v>
      </c>
      <c r="J15" s="175">
        <f>H15/DAY(B2)</f>
        <v>1135.6172857142851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-335.61728571428512</v>
      </c>
      <c r="J16" s="176"/>
      <c r="K16" s="79"/>
      <c r="L16" s="66"/>
      <c r="N16" s="87"/>
      <c r="O16" s="71"/>
    </row>
    <row r="17" spans="1:15" ht="27.75" customHeight="1">
      <c r="A17" s="925" t="s">
        <v>140</v>
      </c>
      <c r="B17" s="926"/>
      <c r="C17" s="92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>
      <c r="A18" s="902" t="s">
        <v>141</v>
      </c>
      <c r="B18" s="903"/>
      <c r="C18" s="904"/>
      <c r="D18" s="151" t="s">
        <v>142</v>
      </c>
      <c r="E18" s="95">
        <f>'13'!F18</f>
        <v>17</v>
      </c>
      <c r="F18" s="122">
        <v>23</v>
      </c>
      <c r="G18" s="119">
        <f>F18*10</f>
        <v>230</v>
      </c>
      <c r="H18" s="99">
        <f>G18+'13'!H18</f>
        <v>2920</v>
      </c>
      <c r="I18" s="113">
        <f>'1'!I18</f>
        <v>65</v>
      </c>
      <c r="J18" s="175">
        <f>H18/DAY(B2)</f>
        <v>208.57142857142858</v>
      </c>
      <c r="K18" s="79"/>
      <c r="L18" s="66"/>
      <c r="N18" s="87"/>
      <c r="O18" s="71"/>
    </row>
    <row r="19" spans="1:15" ht="27.75" customHeight="1">
      <c r="A19" s="902" t="s">
        <v>69</v>
      </c>
      <c r="B19" s="903"/>
      <c r="C19" s="904"/>
      <c r="D19" s="151" t="s">
        <v>142</v>
      </c>
      <c r="E19" s="95">
        <f>'13'!F19</f>
        <v>170304</v>
      </c>
      <c r="F19" s="122">
        <v>170363</v>
      </c>
      <c r="G19" s="112">
        <f t="shared" ref="G19" si="1">F19-E19</f>
        <v>59</v>
      </c>
      <c r="H19" s="99">
        <f>G19+'13'!H19</f>
        <v>803</v>
      </c>
      <c r="I19" s="335"/>
      <c r="J19" s="175">
        <f>H19/DAY(B2)</f>
        <v>57.357142857142854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289</v>
      </c>
      <c r="H20" s="99">
        <f>G20+'13'!H20</f>
        <v>3723</v>
      </c>
      <c r="I20" s="336">
        <f>I18-J20</f>
        <v>-200.92857142857144</v>
      </c>
      <c r="J20" s="175">
        <f>H20/DAY(B2)</f>
        <v>265.92857142857144</v>
      </c>
      <c r="K20" s="79"/>
      <c r="L20" s="66"/>
      <c r="N20" s="87"/>
      <c r="O20" s="71"/>
    </row>
    <row r="21" spans="1:15" ht="27.75" customHeight="1">
      <c r="A21" s="925" t="s">
        <v>144</v>
      </c>
      <c r="B21" s="926"/>
      <c r="C21" s="92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'13'!F22</f>
        <v>2970</v>
      </c>
      <c r="F22" s="122">
        <v>2970</v>
      </c>
      <c r="G22" s="119">
        <f t="shared" ref="G22" si="2">(F22-E22)</f>
        <v>0</v>
      </c>
      <c r="H22" s="99">
        <f>G22+'13'!H22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95">
        <v>1960</v>
      </c>
      <c r="F23" s="122">
        <v>1960</v>
      </c>
      <c r="G23" s="112">
        <f t="shared" ref="G23" si="3">F23-E23</f>
        <v>0</v>
      </c>
      <c r="H23" s="99">
        <f>G23+'13'!H23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SUM(E22:E23)</f>
        <v>4930</v>
      </c>
      <c r="F24" s="128">
        <f>SUM(F22:F23)</f>
        <v>4930</v>
      </c>
      <c r="G24" s="119">
        <v>0</v>
      </c>
      <c r="H24" s="99">
        <f>G24+'13'!H24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930" t="s">
        <v>149</v>
      </c>
      <c r="B25" s="931"/>
      <c r="C25" s="93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20896</v>
      </c>
      <c r="F27" s="136">
        <v>9</v>
      </c>
      <c r="G27" s="137">
        <f>E27*F27</f>
        <v>188064</v>
      </c>
      <c r="H27" s="99">
        <f>G27+'13'!H27</f>
        <v>2793364</v>
      </c>
      <c r="I27" s="138"/>
      <c r="J27" s="175">
        <f>H27/DAY(B2)</f>
        <v>199526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1190</v>
      </c>
      <c r="F28" s="136">
        <v>70</v>
      </c>
      <c r="G28" s="137">
        <f>E28*F28</f>
        <v>83300</v>
      </c>
      <c r="H28" s="99">
        <f>G28+'13'!H28</f>
        <v>1108218.1499999994</v>
      </c>
      <c r="I28" s="140"/>
      <c r="J28" s="175">
        <f>H28/DAY(B2)</f>
        <v>79158.439285714252</v>
      </c>
      <c r="K28" s="63"/>
      <c r="L28" s="89"/>
      <c r="N28" s="87"/>
      <c r="O28" s="71"/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v>100</v>
      </c>
      <c r="F29" s="136">
        <v>69</v>
      </c>
      <c r="G29" s="137">
        <f>E29*F29</f>
        <v>6900</v>
      </c>
      <c r="H29" s="99">
        <f>G29+'13'!H29</f>
        <v>6900</v>
      </c>
      <c r="I29" s="140"/>
      <c r="J29" s="175">
        <f>H29/DAY(B2)</f>
        <v>492.85714285714283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59</v>
      </c>
      <c r="F30" s="136">
        <v>151</v>
      </c>
      <c r="G30" s="137">
        <f>E30*F30</f>
        <v>8909</v>
      </c>
      <c r="H30" s="99">
        <f>G30+'13'!H30</f>
        <v>121253</v>
      </c>
      <c r="I30" s="140"/>
      <c r="J30" s="175">
        <f>H30/DAY(B2)</f>
        <v>8660.9285714285706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230</v>
      </c>
      <c r="F31" s="136">
        <v>80</v>
      </c>
      <c r="G31" s="137">
        <f>E31*F31</f>
        <v>18400</v>
      </c>
      <c r="H31" s="99">
        <f>G31+'13'!H31</f>
        <v>237600</v>
      </c>
      <c r="I31" s="140"/>
      <c r="J31" s="175">
        <f>H31/DAY(B2)</f>
        <v>16971.428571428572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305573</v>
      </c>
      <c r="H32" s="99">
        <f>G32+'13'!H32</f>
        <v>4267335.1499999994</v>
      </c>
      <c r="I32" s="144"/>
      <c r="J32" s="175">
        <f>H32/DAY(B2)</f>
        <v>304809.65357142856</v>
      </c>
      <c r="K32" s="63"/>
      <c r="L32" s="89"/>
      <c r="N32" s="87"/>
      <c r="O32" s="71"/>
    </row>
    <row r="33" spans="1:15" ht="27.75" customHeight="1">
      <c r="A33" s="933" t="s">
        <v>331</v>
      </c>
      <c r="B33" s="934"/>
      <c r="C33" s="93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'13'!F35</f>
        <v>488001</v>
      </c>
      <c r="F35" s="145">
        <v>490739.79</v>
      </c>
      <c r="G35" s="112">
        <f t="shared" ref="G35:G46" si="4">F35-E35</f>
        <v>2738.789999999979</v>
      </c>
      <c r="H35" s="99">
        <f>G35+'13'!H35</f>
        <v>36221.799999999988</v>
      </c>
      <c r="I35" s="95"/>
      <c r="J35" s="175">
        <f>H35/DAY(B2)</f>
        <v>2587.2714285714278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'13'!F36</f>
        <v>365565</v>
      </c>
      <c r="F36" s="145">
        <v>366351.79</v>
      </c>
      <c r="G36" s="112">
        <f t="shared" si="4"/>
        <v>786.78999999997905</v>
      </c>
      <c r="H36" s="99">
        <f>G36+'13'!H36</f>
        <v>12262.889999999956</v>
      </c>
      <c r="I36" s="95"/>
      <c r="J36" s="175">
        <f>H36/DAY(B2)</f>
        <v>875.92071428571114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'13'!F37</f>
        <v>357546</v>
      </c>
      <c r="F37" s="145">
        <v>358947.47</v>
      </c>
      <c r="G37" s="112">
        <f t="shared" si="4"/>
        <v>1401.4699999999721</v>
      </c>
      <c r="H37" s="99">
        <f>G37+'13'!H37</f>
        <v>20677.599999999977</v>
      </c>
      <c r="I37" s="95"/>
      <c r="J37" s="175">
        <f>H37/DAY(B2)</f>
        <v>1476.9714285714269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'13'!F38</f>
        <v>830231</v>
      </c>
      <c r="F38" s="108">
        <v>832623.99</v>
      </c>
      <c r="G38" s="112">
        <f t="shared" si="4"/>
        <v>2392.9899999999907</v>
      </c>
      <c r="H38" s="99">
        <f>G38+'13'!H38</f>
        <v>32946.640000000014</v>
      </c>
      <c r="I38" s="95"/>
      <c r="J38" s="175">
        <f>H38/DAY(B2)</f>
        <v>2353.3314285714296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'13'!F39</f>
        <v>656877</v>
      </c>
      <c r="F39" s="145">
        <v>659627.18999999994</v>
      </c>
      <c r="G39" s="112">
        <f t="shared" si="4"/>
        <v>2750.1899999999441</v>
      </c>
      <c r="H39" s="99">
        <f>G39+'13'!H39</f>
        <v>39337.189999999944</v>
      </c>
      <c r="I39" s="95"/>
      <c r="J39" s="175">
        <f>H39/DAY(B2)</f>
        <v>2809.7992857142817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'13'!F40</f>
        <v>213880</v>
      </c>
      <c r="F40" s="145">
        <v>214107.97</v>
      </c>
      <c r="G40" s="112">
        <f t="shared" si="4"/>
        <v>227.97000000000116</v>
      </c>
      <c r="H40" s="99">
        <f>G40+'13'!H40</f>
        <v>4421.6199999999953</v>
      </c>
      <c r="I40" s="95"/>
      <c r="J40" s="175">
        <f>H40/DAY(B2)</f>
        <v>315.82999999999964</v>
      </c>
      <c r="K40" s="80"/>
      <c r="L40" s="66"/>
      <c r="N40" s="87"/>
      <c r="O40" s="71"/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'13'!F41</f>
        <v>420212.51</v>
      </c>
      <c r="F41" s="145">
        <v>420212.51</v>
      </c>
      <c r="G41" s="112">
        <f t="shared" si="4"/>
        <v>0</v>
      </c>
      <c r="H41" s="99">
        <f>G41+'13'!H41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'13'!F42</f>
        <v>970677</v>
      </c>
      <c r="F42" s="145">
        <v>970677</v>
      </c>
      <c r="G42" s="112">
        <f t="shared" si="4"/>
        <v>0</v>
      </c>
      <c r="H42" s="99">
        <f>G42+'13'!H42</f>
        <v>49722.530000000028</v>
      </c>
      <c r="I42" s="95"/>
      <c r="J42" s="175">
        <f>H42/DAY(B2)</f>
        <v>3551.6092857142876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'13'!F43</f>
        <v>422444</v>
      </c>
      <c r="F43" s="145">
        <v>422444</v>
      </c>
      <c r="G43" s="112">
        <f t="shared" si="4"/>
        <v>0</v>
      </c>
      <c r="H43" s="99">
        <f>G43+'13'!H43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'13'!F44</f>
        <v>0</v>
      </c>
      <c r="F44" s="145">
        <v>0</v>
      </c>
      <c r="G44" s="112">
        <f t="shared" si="4"/>
        <v>0</v>
      </c>
      <c r="H44" s="99">
        <f>G44+'13'!H44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'13'!F45</f>
        <v>0</v>
      </c>
      <c r="F45" s="145">
        <v>0</v>
      </c>
      <c r="G45" s="112">
        <f t="shared" si="4"/>
        <v>0</v>
      </c>
      <c r="H45" s="99">
        <f>G45+'13'!H45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'13'!F46</f>
        <v>0</v>
      </c>
      <c r="F46" s="145">
        <v>0</v>
      </c>
      <c r="G46" s="112">
        <f t="shared" si="4"/>
        <v>0</v>
      </c>
      <c r="H46" s="99">
        <f>G46+'13'!H46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10298.199999999866</v>
      </c>
      <c r="H47" s="99">
        <f>G47+'13'!H47</f>
        <v>195590.2699999999</v>
      </c>
      <c r="I47" s="95"/>
      <c r="J47" s="175">
        <f>H47/DAY(B2)</f>
        <v>13970.733571428564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'13'!F49</f>
        <v>813267</v>
      </c>
      <c r="F49" s="145">
        <v>813793.99</v>
      </c>
      <c r="G49" s="112">
        <f t="shared" ref="G49:G58" si="5">F49-E49</f>
        <v>526.98999999999069</v>
      </c>
      <c r="H49" s="99">
        <f>G49+'13'!H49</f>
        <v>7289.8399999999674</v>
      </c>
      <c r="I49" s="95"/>
      <c r="J49" s="175">
        <f>H49/DAY(B2)</f>
        <v>520.70285714285478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'13'!F50</f>
        <v>519688</v>
      </c>
      <c r="F50" s="145">
        <v>520972.79</v>
      </c>
      <c r="G50" s="112">
        <f t="shared" si="5"/>
        <v>1284.789999999979</v>
      </c>
      <c r="H50" s="99">
        <f>G50+'13'!H50</f>
        <v>19819.789999999979</v>
      </c>
      <c r="I50" s="95"/>
      <c r="J50" s="175">
        <f>H50/DAY(B2)</f>
        <v>1415.6992857142843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'13'!F51</f>
        <v>156958</v>
      </c>
      <c r="F51" s="145">
        <v>156958.44</v>
      </c>
      <c r="G51" s="112">
        <f t="shared" si="5"/>
        <v>0.44000000000232831</v>
      </c>
      <c r="H51" s="99">
        <f>G51+'13'!H51</f>
        <v>0.44000000000232831</v>
      </c>
      <c r="I51" s="95"/>
      <c r="J51" s="175">
        <f>H51/DAY(B2)</f>
        <v>3.1428571428737735E-2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'13'!F52</f>
        <v>10</v>
      </c>
      <c r="F52" s="145">
        <v>10</v>
      </c>
      <c r="G52" s="112">
        <f t="shared" si="5"/>
        <v>0</v>
      </c>
      <c r="H52" s="99">
        <f>G52+'13'!H52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'13'!F53</f>
        <v>630355</v>
      </c>
      <c r="F53" s="145">
        <v>630355.03</v>
      </c>
      <c r="G53" s="112">
        <f t="shared" si="5"/>
        <v>3.0000000027939677E-2</v>
      </c>
      <c r="H53" s="99">
        <f>G53+'13'!H53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'13'!F54</f>
        <v>119031</v>
      </c>
      <c r="F54" s="145">
        <v>119399.08</v>
      </c>
      <c r="G54" s="112">
        <f t="shared" si="5"/>
        <v>368.08000000000175</v>
      </c>
      <c r="H54" s="99">
        <f>G54+'13'!H54</f>
        <v>4801.9499999999971</v>
      </c>
      <c r="I54" s="95"/>
      <c r="J54" s="175">
        <f>H54/DAY(B2)</f>
        <v>342.99642857142834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'13'!F55</f>
        <v>576335.63</v>
      </c>
      <c r="F55" s="145">
        <v>576335.63</v>
      </c>
      <c r="G55" s="112">
        <f t="shared" si="5"/>
        <v>0</v>
      </c>
      <c r="H55" s="99">
        <f>G55+'13'!H55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'13'!F56</f>
        <v>340490</v>
      </c>
      <c r="F56" s="145">
        <v>342780.11</v>
      </c>
      <c r="G56" s="112">
        <f t="shared" si="5"/>
        <v>2290.109999999986</v>
      </c>
      <c r="H56" s="99">
        <f>G56+'13'!H56</f>
        <v>7553.8999999999651</v>
      </c>
      <c r="I56" s="95"/>
      <c r="J56" s="175">
        <f>H56/DAY(B2)</f>
        <v>539.56428571428319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'13'!F57</f>
        <v>661973</v>
      </c>
      <c r="F57" s="145">
        <v>664617.99</v>
      </c>
      <c r="G57" s="112">
        <f t="shared" si="5"/>
        <v>2644.9899999999907</v>
      </c>
      <c r="H57" s="99">
        <f>G57+'13'!H57</f>
        <v>33784.989999999991</v>
      </c>
      <c r="I57" s="95"/>
      <c r="J57" s="175">
        <f>H57/DAY(B2)</f>
        <v>2413.213571428571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'13'!F58</f>
        <v>89875</v>
      </c>
      <c r="F58" s="145">
        <v>90135.47</v>
      </c>
      <c r="G58" s="112">
        <f t="shared" si="5"/>
        <v>260.47000000000116</v>
      </c>
      <c r="H58" s="99">
        <f>G58+'13'!H58</f>
        <v>3574.971000000005</v>
      </c>
      <c r="I58" s="95"/>
      <c r="J58" s="175">
        <f>H58/DAY(B2)</f>
        <v>255.35507142857179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7375.8999999999796</v>
      </c>
      <c r="H59" s="99">
        <f>G59+'13'!H59</f>
        <v>76825.880999999907</v>
      </c>
      <c r="I59" s="95">
        <f>G7-G60</f>
        <v>2543.9000000001543</v>
      </c>
      <c r="J59" s="175">
        <f>H59/DAY(B2)</f>
        <v>5487.5629285714222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17674.099999999846</v>
      </c>
      <c r="H60" s="99">
        <f>G60+'13'!H60</f>
        <v>272416.15099999978</v>
      </c>
      <c r="I60" s="95">
        <f>G13-G60</f>
        <v>2007.199999999968</v>
      </c>
      <c r="J60" s="175">
        <f>H60/DAY(B2)</f>
        <v>19458.296499999986</v>
      </c>
      <c r="K60" s="79"/>
      <c r="L60" s="66"/>
      <c r="N60" s="87"/>
      <c r="O60" s="71"/>
    </row>
    <row r="61" spans="1:15" s="68" customFormat="1" ht="27.75" customHeight="1">
      <c r="A61" s="935" t="s">
        <v>332</v>
      </c>
      <c r="B61" s="936"/>
      <c r="C61" s="93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>
      <c r="A62" s="902" t="s">
        <v>198</v>
      </c>
      <c r="B62" s="903"/>
      <c r="C62" s="904"/>
      <c r="D62" s="151" t="s">
        <v>142</v>
      </c>
      <c r="E62" s="95">
        <f>'13'!F62</f>
        <v>313385</v>
      </c>
      <c r="F62" s="122">
        <v>313385</v>
      </c>
      <c r="G62" s="112">
        <f t="shared" ref="G62:G63" si="6">F62-E62</f>
        <v>0</v>
      </c>
      <c r="H62" s="99">
        <f>G62+'13'!H62</f>
        <v>1285</v>
      </c>
      <c r="I62" s="118"/>
      <c r="J62" s="175">
        <f>H62/DAY(B2)</f>
        <v>91.785714285714292</v>
      </c>
      <c r="K62" s="80"/>
      <c r="L62" s="66"/>
      <c r="N62" s="87"/>
      <c r="O62" s="71"/>
    </row>
    <row r="63" spans="1:15" ht="27.75" customHeight="1">
      <c r="A63" s="902" t="s">
        <v>199</v>
      </c>
      <c r="B63" s="903"/>
      <c r="C63" s="904"/>
      <c r="D63" s="151" t="s">
        <v>142</v>
      </c>
      <c r="E63" s="95">
        <f>'13'!F63</f>
        <v>250439</v>
      </c>
      <c r="F63" s="122">
        <v>250566</v>
      </c>
      <c r="G63" s="112">
        <f t="shared" si="6"/>
        <v>127</v>
      </c>
      <c r="H63" s="99">
        <f>G63+'13'!H63</f>
        <v>1531</v>
      </c>
      <c r="I63" s="118"/>
      <c r="J63" s="175">
        <f>H63/DAY(B2)</f>
        <v>109.35714285714286</v>
      </c>
      <c r="K63" s="69"/>
      <c r="L63" s="66"/>
      <c r="N63" s="87"/>
      <c r="O63" s="71"/>
    </row>
    <row r="64" spans="1:15" ht="27.75" customHeight="1">
      <c r="A64" s="911" t="s">
        <v>200</v>
      </c>
      <c r="B64" s="912"/>
      <c r="C64" s="913"/>
      <c r="D64" s="151"/>
      <c r="E64" s="95">
        <f>'13'!F64</f>
        <v>0</v>
      </c>
      <c r="F64" s="122"/>
      <c r="G64" s="112">
        <f>G62+G63</f>
        <v>127</v>
      </c>
      <c r="H64" s="99">
        <f>G64+'13'!H64</f>
        <v>2816</v>
      </c>
      <c r="I64" s="118"/>
      <c r="J64" s="175">
        <f>H64/DAY(B2)</f>
        <v>201.14285714285714</v>
      </c>
      <c r="K64" s="69"/>
      <c r="L64" s="66"/>
      <c r="N64" s="87"/>
      <c r="O64" s="71"/>
    </row>
    <row r="65" spans="1:981" ht="27.75" customHeight="1">
      <c r="A65" s="902" t="s">
        <v>201</v>
      </c>
      <c r="B65" s="903"/>
      <c r="C65" s="904"/>
      <c r="D65" s="151" t="s">
        <v>142</v>
      </c>
      <c r="E65" s="95">
        <f>'13'!F65</f>
        <v>473644</v>
      </c>
      <c r="F65" s="122">
        <v>473776</v>
      </c>
      <c r="G65" s="112">
        <f t="shared" ref="G65:G70" si="7">F65-E65</f>
        <v>132</v>
      </c>
      <c r="H65" s="99">
        <f>G65+'13'!H65</f>
        <v>1746</v>
      </c>
      <c r="I65" s="118"/>
      <c r="J65" s="175">
        <f>H65/DAY(B2)</f>
        <v>124.71428571428571</v>
      </c>
      <c r="K65" s="69"/>
      <c r="L65" s="66"/>
      <c r="N65" s="87"/>
      <c r="O65" s="71"/>
    </row>
    <row r="66" spans="1:981" ht="27.75" customHeight="1">
      <c r="A66" s="345" t="s">
        <v>202</v>
      </c>
      <c r="B66" s="346"/>
      <c r="C66" s="346"/>
      <c r="D66" s="151" t="s">
        <v>142</v>
      </c>
      <c r="E66" s="95">
        <f>'13'!F66</f>
        <v>113899</v>
      </c>
      <c r="F66" s="122">
        <v>113945</v>
      </c>
      <c r="G66" s="112">
        <f t="shared" si="7"/>
        <v>46</v>
      </c>
      <c r="H66" s="99">
        <f>G66+'13'!H66</f>
        <v>1223</v>
      </c>
      <c r="I66" s="118"/>
      <c r="J66" s="175">
        <f>H66/DAY(B2)</f>
        <v>87.357142857142861</v>
      </c>
      <c r="K66" s="78"/>
      <c r="L66" s="66"/>
      <c r="N66" s="87"/>
      <c r="O66" s="71"/>
    </row>
    <row r="67" spans="1:981" ht="27.75" customHeight="1">
      <c r="A67" s="345" t="s">
        <v>203</v>
      </c>
      <c r="B67" s="346"/>
      <c r="C67" s="346"/>
      <c r="D67" s="151" t="s">
        <v>142</v>
      </c>
      <c r="E67" s="95">
        <f>'13'!F67</f>
        <v>116877</v>
      </c>
      <c r="F67" s="122">
        <v>116910</v>
      </c>
      <c r="G67" s="112">
        <f t="shared" si="7"/>
        <v>33</v>
      </c>
      <c r="H67" s="99">
        <f>G67+'13'!H67</f>
        <v>343</v>
      </c>
      <c r="I67" s="118"/>
      <c r="J67" s="175">
        <f>H67/DAY(B2)</f>
        <v>24.5</v>
      </c>
      <c r="K67" s="81"/>
      <c r="L67" s="66"/>
      <c r="N67" s="87"/>
      <c r="O67" s="71"/>
    </row>
    <row r="68" spans="1:981" ht="27.75" customHeight="1">
      <c r="A68" s="345" t="s">
        <v>204</v>
      </c>
      <c r="B68" s="346"/>
      <c r="C68" s="346"/>
      <c r="D68" s="151" t="s">
        <v>142</v>
      </c>
      <c r="E68" s="95">
        <f>'13'!F68</f>
        <v>169606</v>
      </c>
      <c r="F68" s="122">
        <v>169618</v>
      </c>
      <c r="G68" s="112">
        <f t="shared" si="7"/>
        <v>12</v>
      </c>
      <c r="H68" s="99">
        <f>G68+'13'!H68</f>
        <v>259</v>
      </c>
      <c r="I68" s="118"/>
      <c r="J68" s="175">
        <f>H68/DAY(B2)</f>
        <v>18.5</v>
      </c>
      <c r="K68" s="69"/>
      <c r="L68" s="66"/>
      <c r="N68" s="87"/>
      <c r="O68" s="71"/>
      <c r="AKS68" s="65" t="s">
        <v>381</v>
      </c>
    </row>
    <row r="69" spans="1:981" ht="27.75" customHeight="1">
      <c r="A69" s="345" t="s">
        <v>205</v>
      </c>
      <c r="B69" s="346"/>
      <c r="C69" s="346"/>
      <c r="D69" s="151" t="s">
        <v>142</v>
      </c>
      <c r="E69" s="95">
        <f>'13'!F69</f>
        <v>13028</v>
      </c>
      <c r="F69" s="122">
        <v>13030</v>
      </c>
      <c r="G69" s="112">
        <f t="shared" si="7"/>
        <v>2</v>
      </c>
      <c r="H69" s="99">
        <f>G69+'13'!H69</f>
        <v>64</v>
      </c>
      <c r="I69" s="118"/>
      <c r="J69" s="175">
        <f>H69/DAY(B2)</f>
        <v>4.5714285714285712</v>
      </c>
      <c r="K69" s="69"/>
      <c r="L69" s="66"/>
      <c r="N69" s="87"/>
      <c r="O69" s="71"/>
    </row>
    <row r="70" spans="1:981" ht="27.75" customHeight="1">
      <c r="A70" s="345" t="s">
        <v>206</v>
      </c>
      <c r="B70" s="346"/>
      <c r="C70" s="346"/>
      <c r="D70" s="151" t="s">
        <v>142</v>
      </c>
      <c r="E70" s="95">
        <f>'13'!F70</f>
        <v>11122</v>
      </c>
      <c r="F70" s="122">
        <v>11136</v>
      </c>
      <c r="G70" s="112">
        <f t="shared" si="7"/>
        <v>14</v>
      </c>
      <c r="H70" s="99">
        <f>G70+'13'!H70</f>
        <v>120</v>
      </c>
      <c r="I70" s="118"/>
      <c r="J70" s="175">
        <f>H70/DAY(B2)</f>
        <v>8.5714285714285712</v>
      </c>
      <c r="K70" s="69"/>
      <c r="L70" s="66"/>
      <c r="N70" s="87"/>
      <c r="O70" s="71"/>
    </row>
    <row r="71" spans="1:981" ht="27.75" customHeight="1">
      <c r="A71" s="911" t="s">
        <v>208</v>
      </c>
      <c r="B71" s="912"/>
      <c r="C71" s="913"/>
      <c r="D71" s="152"/>
      <c r="E71" s="152"/>
      <c r="F71" s="152"/>
      <c r="G71" s="153">
        <f>SUM(G65:G70)</f>
        <v>239</v>
      </c>
      <c r="H71" s="99">
        <f>G71+'13'!H71</f>
        <v>3755</v>
      </c>
      <c r="I71" s="154"/>
      <c r="J71" s="175">
        <f>H71/DAY(B2)</f>
        <v>268.21428571428572</v>
      </c>
      <c r="K71" s="69"/>
      <c r="L71" s="66"/>
      <c r="N71" s="87"/>
      <c r="O71" s="71"/>
    </row>
    <row r="72" spans="1:981" s="88" customFormat="1" ht="27.75" customHeight="1">
      <c r="A72" s="898"/>
      <c r="B72" s="88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981" ht="27.75" customHeight="1">
      <c r="A73" s="908" t="s">
        <v>333</v>
      </c>
      <c r="B73" s="909"/>
      <c r="C73" s="910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981" ht="27.75" customHeight="1">
      <c r="A74" s="902" t="s">
        <v>220</v>
      </c>
      <c r="B74" s="903"/>
      <c r="C74" s="904"/>
      <c r="D74" s="151" t="s">
        <v>139</v>
      </c>
      <c r="E74" s="95">
        <f>'13'!F74</f>
        <v>997158</v>
      </c>
      <c r="F74" s="232">
        <v>997449</v>
      </c>
      <c r="G74" s="112">
        <f t="shared" ref="G74:G78" si="8">F74-E74</f>
        <v>291</v>
      </c>
      <c r="H74" s="99">
        <f>G74+'13'!H74</f>
        <v>994934</v>
      </c>
      <c r="I74" s="154"/>
      <c r="J74" s="175">
        <f>H74/DAY(B2)</f>
        <v>71066.71428571429</v>
      </c>
      <c r="K74" s="69"/>
      <c r="L74" s="66"/>
      <c r="N74" s="87"/>
      <c r="O74" s="71"/>
    </row>
    <row r="75" spans="1:981" ht="27.75" customHeight="1">
      <c r="A75" s="902" t="s">
        <v>221</v>
      </c>
      <c r="B75" s="903"/>
      <c r="C75" s="904"/>
      <c r="D75" s="151" t="s">
        <v>139</v>
      </c>
      <c r="E75" s="95">
        <f>'13'!F75</f>
        <v>73586.600000000006</v>
      </c>
      <c r="F75" s="123">
        <v>73586.600000000006</v>
      </c>
      <c r="G75" s="112">
        <f t="shared" si="8"/>
        <v>0</v>
      </c>
      <c r="H75" s="99">
        <f>G75+'13'!H75</f>
        <v>-0.19999999999708962</v>
      </c>
      <c r="I75" s="154"/>
      <c r="J75" s="175">
        <f>H75/DAY(B2)</f>
        <v>-1.4285714285506401E-2</v>
      </c>
      <c r="K75" s="69"/>
      <c r="L75" s="66"/>
      <c r="N75" s="87"/>
      <c r="O75" s="71"/>
    </row>
    <row r="76" spans="1:981" ht="27.75" customHeight="1">
      <c r="A76" s="899" t="s">
        <v>222</v>
      </c>
      <c r="B76" s="900"/>
      <c r="C76" s="901"/>
      <c r="D76" s="151" t="s">
        <v>139</v>
      </c>
      <c r="E76" s="95">
        <f>'13'!F76</f>
        <v>208758</v>
      </c>
      <c r="F76" s="123">
        <v>208870</v>
      </c>
      <c r="G76" s="112">
        <f t="shared" si="8"/>
        <v>112</v>
      </c>
      <c r="H76" s="99">
        <f>G76+'13'!H76</f>
        <v>1493</v>
      </c>
      <c r="I76" s="154"/>
      <c r="J76" s="175">
        <f>H76/DAY(B2)</f>
        <v>106.64285714285714</v>
      </c>
      <c r="K76" s="69"/>
      <c r="L76" s="66"/>
      <c r="N76" s="87"/>
      <c r="O76" s="71"/>
    </row>
    <row r="77" spans="1:981" ht="27.75" customHeight="1">
      <c r="A77" s="899" t="s">
        <v>223</v>
      </c>
      <c r="B77" s="900"/>
      <c r="C77" s="901"/>
      <c r="D77" s="151" t="s">
        <v>139</v>
      </c>
      <c r="E77" s="95">
        <f>'13'!F77</f>
        <v>58792</v>
      </c>
      <c r="F77" s="123">
        <v>58846</v>
      </c>
      <c r="G77" s="112">
        <f t="shared" si="8"/>
        <v>54</v>
      </c>
      <c r="H77" s="99">
        <f>G77+'13'!H77</f>
        <v>694</v>
      </c>
      <c r="I77" s="154"/>
      <c r="J77" s="175">
        <f>H77/DAY(B2)</f>
        <v>49.571428571428569</v>
      </c>
      <c r="K77" s="69"/>
      <c r="L77" s="66"/>
      <c r="N77" s="87"/>
      <c r="O77" s="71"/>
    </row>
    <row r="78" spans="1:981" ht="27.75" customHeight="1">
      <c r="A78" s="899" t="s">
        <v>224</v>
      </c>
      <c r="B78" s="900"/>
      <c r="C78" s="901"/>
      <c r="D78" s="151" t="s">
        <v>139</v>
      </c>
      <c r="E78" s="123">
        <v>9564</v>
      </c>
      <c r="F78" s="123">
        <v>9564</v>
      </c>
      <c r="G78" s="112">
        <f t="shared" si="8"/>
        <v>0</v>
      </c>
      <c r="H78" s="99">
        <f>G78+'13'!H78</f>
        <v>-1</v>
      </c>
      <c r="I78" s="118"/>
      <c r="J78" s="175">
        <f>H78/DAY(B2)</f>
        <v>-7.1428571428571425E-2</v>
      </c>
      <c r="K78" s="69"/>
      <c r="L78" s="66"/>
      <c r="N78" s="87"/>
      <c r="O78" s="71"/>
    </row>
    <row r="79" spans="1:981" s="57" customFormat="1" ht="27.75" customHeight="1">
      <c r="A79" s="899" t="s">
        <v>225</v>
      </c>
      <c r="B79" s="900"/>
      <c r="C79" s="901"/>
      <c r="D79" s="151"/>
      <c r="E79" s="95">
        <f>'13'!F79</f>
        <v>0</v>
      </c>
      <c r="F79" s="117"/>
      <c r="G79" s="112">
        <f>G15-SUM(G74:G78)</f>
        <v>733</v>
      </c>
      <c r="H79" s="99">
        <f>G79+'13'!H79</f>
        <v>-981221.15799999994</v>
      </c>
      <c r="I79" s="118"/>
      <c r="J79" s="175">
        <f>H79/DAY(B2)</f>
        <v>-70087.225571428571</v>
      </c>
      <c r="K79" s="59"/>
      <c r="L79" s="58"/>
      <c r="N79" s="87"/>
      <c r="O79" s="71"/>
    </row>
    <row r="80" spans="1:981" s="57" customFormat="1" ht="27.75" customHeight="1">
      <c r="A80" s="911" t="s">
        <v>329</v>
      </c>
      <c r="B80" s="912"/>
      <c r="C80" s="913"/>
      <c r="D80" s="151"/>
      <c r="E80" s="117"/>
      <c r="F80" s="117"/>
      <c r="G80" s="112">
        <f>SUM(G74:G79)</f>
        <v>1190</v>
      </c>
      <c r="H80" s="99"/>
      <c r="I80" s="118"/>
      <c r="J80" s="175"/>
      <c r="K80" s="59"/>
      <c r="L80" s="58"/>
      <c r="N80" s="87"/>
      <c r="O80" s="71"/>
    </row>
    <row r="81" spans="1:15" ht="27.75" customHeight="1">
      <c r="A81" s="915" t="s">
        <v>226</v>
      </c>
      <c r="B81" s="916"/>
      <c r="C81" s="917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'13'!F82</f>
        <v>0</v>
      </c>
      <c r="F82" s="122">
        <v>0</v>
      </c>
      <c r="G82" s="112">
        <f t="shared" ref="G82:G92" si="9">F82-E82</f>
        <v>0</v>
      </c>
      <c r="H82" s="99">
        <f>G82+'13'!H82</f>
        <v>0</v>
      </c>
      <c r="I82" s="545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'13'!F83</f>
        <v>0</v>
      </c>
      <c r="F83" s="122">
        <v>0</v>
      </c>
      <c r="G83" s="112">
        <f t="shared" si="9"/>
        <v>0</v>
      </c>
      <c r="H83" s="99">
        <f>G83+'13'!H83</f>
        <v>0</v>
      </c>
      <c r="I83" s="545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'13'!F84</f>
        <v>43546</v>
      </c>
      <c r="F84" s="164">
        <v>43546</v>
      </c>
      <c r="G84" s="112">
        <f t="shared" si="9"/>
        <v>0</v>
      </c>
      <c r="H84" s="99">
        <f>G84+'13'!H84</f>
        <v>0</v>
      </c>
      <c r="I84" s="545"/>
      <c r="J84" s="175">
        <f>H84/DAY(B2)</f>
        <v>0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'13'!F85</f>
        <v>6203</v>
      </c>
      <c r="F85" s="164">
        <v>6203</v>
      </c>
      <c r="G85" s="112">
        <f t="shared" si="9"/>
        <v>0</v>
      </c>
      <c r="H85" s="99">
        <f>G85+'13'!H85</f>
        <v>270.55000000000018</v>
      </c>
      <c r="I85" s="545"/>
      <c r="J85" s="175">
        <f>H85/DAY(B2)</f>
        <v>19.325000000000014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'13'!F86</f>
        <v>46834</v>
      </c>
      <c r="F86" s="164">
        <v>46834.080000000002</v>
      </c>
      <c r="G86" s="112">
        <f t="shared" si="9"/>
        <v>8.000000000174623E-2</v>
      </c>
      <c r="H86" s="99">
        <f>G86+'13'!H86</f>
        <v>8.000000000174623E-2</v>
      </c>
      <c r="I86" s="545"/>
      <c r="J86" s="175">
        <f>H86/DAY(B2)</f>
        <v>5.7142857144104452E-3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'13'!F87</f>
        <v>37072</v>
      </c>
      <c r="F87" s="164">
        <v>37096</v>
      </c>
      <c r="G87" s="112">
        <f t="shared" si="9"/>
        <v>24</v>
      </c>
      <c r="H87" s="99">
        <f>G87+'13'!H87</f>
        <v>68</v>
      </c>
      <c r="I87" s="545">
        <f>G84+G85+G86+G87</f>
        <v>24.080000000001746</v>
      </c>
      <c r="J87" s="175">
        <f>H87/DAY(B2)</f>
        <v>4.8571428571428568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'13'!F88</f>
        <v>24638</v>
      </c>
      <c r="F88" s="164">
        <v>24642</v>
      </c>
      <c r="G88" s="112">
        <f t="shared" si="9"/>
        <v>4</v>
      </c>
      <c r="H88" s="99">
        <f>G88+'13'!H88</f>
        <v>38.400000000001455</v>
      </c>
      <c r="I88" s="545"/>
      <c r="J88" s="175">
        <f>H88/DAY(B2)</f>
        <v>2.7428571428572468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'13'!F89</f>
        <v>28888</v>
      </c>
      <c r="F89" s="164">
        <v>28898</v>
      </c>
      <c r="G89" s="112">
        <f t="shared" si="9"/>
        <v>10</v>
      </c>
      <c r="H89" s="99">
        <f>G89+'13'!H89</f>
        <v>149.61000000000058</v>
      </c>
      <c r="I89" s="545">
        <f>G88+G89</f>
        <v>14</v>
      </c>
      <c r="J89" s="175">
        <f>H89/DAY(B2)</f>
        <v>10.686428571428612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'13'!F90</f>
        <v>74335</v>
      </c>
      <c r="F90" s="164">
        <v>74343</v>
      </c>
      <c r="G90" s="112">
        <f t="shared" si="9"/>
        <v>8</v>
      </c>
      <c r="H90" s="99">
        <f>G90+'13'!H90</f>
        <v>139.82000000000698</v>
      </c>
      <c r="I90" s="545">
        <f>G90</f>
        <v>8</v>
      </c>
      <c r="J90" s="175">
        <f>H90/DAY(B2)</f>
        <v>9.9871428571433558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'13'!F91</f>
        <v>5618</v>
      </c>
      <c r="F91" s="122">
        <v>5618</v>
      </c>
      <c r="G91" s="112">
        <f t="shared" si="9"/>
        <v>0</v>
      </c>
      <c r="H91" s="99">
        <f>G91+'13'!H91</f>
        <v>-0.21000000000003638</v>
      </c>
      <c r="I91" s="546"/>
      <c r="J91" s="175">
        <f>H91/DAY(B2)</f>
        <v>-1.5000000000002598E-2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'13'!F92</f>
        <v>7225.69</v>
      </c>
      <c r="F92" s="122">
        <v>7237.35</v>
      </c>
      <c r="G92" s="112">
        <f t="shared" si="9"/>
        <v>11.660000000000764</v>
      </c>
      <c r="H92" s="99">
        <f>G92+'13'!H92</f>
        <v>157.66000000000076</v>
      </c>
      <c r="I92" s="547">
        <f>G91+G92</f>
        <v>11.660000000000764</v>
      </c>
      <c r="J92" s="175">
        <f>H92/DAY(B2)</f>
        <v>11.261428571428626</v>
      </c>
      <c r="O92" s="71"/>
    </row>
    <row r="93" spans="1:15" ht="27.75" customHeight="1">
      <c r="A93" s="905" t="s">
        <v>239</v>
      </c>
      <c r="B93" s="906"/>
      <c r="C93" s="90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5910.7699999999604</v>
      </c>
      <c r="H94" s="99">
        <f>G94+'13'!H94</f>
        <v>77296.629999999946</v>
      </c>
      <c r="I94" s="118"/>
      <c r="J94" s="175">
        <f>H94/DAY(B2)</f>
        <v>5521.1878571428533</v>
      </c>
      <c r="K94" s="69"/>
      <c r="L94" s="66"/>
      <c r="O94" s="71"/>
    </row>
    <row r="95" spans="1:15" ht="27.75" customHeight="1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0.2923518646750401</v>
      </c>
      <c r="H95" s="99">
        <f>G95+'13'!H95</f>
        <v>3.6925921022563997</v>
      </c>
      <c r="I95" s="167"/>
      <c r="J95" s="175">
        <f>H95/DAY(B2)</f>
        <v>0.2637565787326</v>
      </c>
      <c r="K95" s="69"/>
      <c r="L95" s="66"/>
      <c r="O95" s="71"/>
    </row>
    <row r="96" spans="1:15" ht="27.75" customHeight="1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2290.109999999986</v>
      </c>
      <c r="H96" s="99">
        <f>G96+'13'!H96</f>
        <v>57276.429999999993</v>
      </c>
      <c r="I96" s="118"/>
      <c r="J96" s="175">
        <f>H96/DAY(B2)</f>
        <v>4091.173571428571</v>
      </c>
      <c r="K96" s="69"/>
      <c r="L96" s="66"/>
      <c r="O96" s="71"/>
    </row>
    <row r="97" spans="1:15" ht="27.75" customHeight="1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0.1132708477594216</v>
      </c>
      <c r="H97" s="99">
        <f>G97+'13'!H97</f>
        <v>2.731272739190822</v>
      </c>
      <c r="I97" s="167"/>
      <c r="J97" s="175">
        <f>H97/DAY(B2)</f>
        <v>0.19509090994220157</v>
      </c>
      <c r="K97" s="69"/>
      <c r="L97" s="66"/>
      <c r="O97" s="71"/>
    </row>
    <row r="98" spans="1:15" ht="27.75" customHeight="1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2750.2199999999721</v>
      </c>
      <c r="H98" s="99">
        <f>G98+'13'!H98</f>
        <v>39337.189999999944</v>
      </c>
      <c r="I98" s="168"/>
      <c r="J98" s="175">
        <f>H98/DAY(B2)</f>
        <v>2809.7992857142817</v>
      </c>
      <c r="K98" s="69"/>
      <c r="L98" s="66"/>
      <c r="O98" s="71"/>
    </row>
    <row r="99" spans="1:15" ht="27.75" customHeight="1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0.13602829162132615</v>
      </c>
      <c r="H99" s="99">
        <f>G99+'13'!H99</f>
        <v>1.8790759798651664</v>
      </c>
      <c r="I99" s="168"/>
      <c r="J99" s="175">
        <f>H99/DAY(B2)</f>
        <v>0.13421971284751189</v>
      </c>
      <c r="O99" s="71"/>
    </row>
    <row r="100" spans="1:15" ht="27.75" customHeight="1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2392.9899999999907</v>
      </c>
      <c r="H100" s="99">
        <f>G100+'13'!H100</f>
        <v>32946.640000000014</v>
      </c>
      <c r="I100" s="118"/>
      <c r="J100" s="175">
        <f>H100/DAY(B2)</f>
        <v>2353.3314285714296</v>
      </c>
      <c r="K100" s="70"/>
      <c r="O100" s="71"/>
    </row>
    <row r="101" spans="1:15" ht="27.75" customHeight="1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0.11835938272826148</v>
      </c>
      <c r="H101" s="99">
        <f>G101+'13'!H101</f>
        <v>1.5710268456959349</v>
      </c>
      <c r="I101" s="168"/>
      <c r="J101" s="175">
        <f>H101/DAY(B2)</f>
        <v>0.11221620326399535</v>
      </c>
      <c r="O101" s="71"/>
    </row>
    <row r="102" spans="1:15" ht="27.75" customHeight="1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2071.5799999999581</v>
      </c>
      <c r="H102" s="99">
        <f>G102+'13'!H102</f>
        <v>32082.679999999935</v>
      </c>
      <c r="I102" s="168"/>
      <c r="J102" s="175">
        <f>H102/DAY(B2)</f>
        <v>2291.6199999999953</v>
      </c>
      <c r="O102" s="71"/>
    </row>
    <row r="103" spans="1:15" ht="27.75" customHeight="1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0.10246216242951618</v>
      </c>
      <c r="H103" s="99">
        <f>G103+'13'!H103</f>
        <v>1.5299241005263433</v>
      </c>
      <c r="I103" s="118"/>
      <c r="J103" s="175">
        <f>H103/DAY(B2)</f>
        <v>0.10928029289473881</v>
      </c>
      <c r="O103" s="71"/>
    </row>
    <row r="104" spans="1:15" ht="27.75" customHeight="1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1401.9099999999744</v>
      </c>
      <c r="H104" s="99">
        <f>G104+'13'!H104</f>
        <v>20678.039999999979</v>
      </c>
      <c r="I104" s="118"/>
      <c r="J104" s="175">
        <f>H104/DAY(B2)</f>
        <v>1477.0028571428556</v>
      </c>
      <c r="O104" s="71"/>
    </row>
    <row r="105" spans="1:15" ht="27.75" customHeight="1" thickBot="1">
      <c r="A105" s="895" t="s">
        <v>251</v>
      </c>
      <c r="B105" s="896"/>
      <c r="C105" s="897"/>
      <c r="D105" s="231" t="s">
        <v>23</v>
      </c>
      <c r="E105" s="185"/>
      <c r="F105" s="185"/>
      <c r="G105" s="186">
        <f>G104/G7</f>
        <v>6.9339697299434885E-2</v>
      </c>
      <c r="H105" s="99">
        <f>G105+'13'!H105</f>
        <v>0.98769437709348107</v>
      </c>
      <c r="I105" s="187"/>
      <c r="J105" s="188">
        <f>H105/DAY(B2)</f>
        <v>7.0549598363820076E-2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>
      <c r="A108" s="891" t="s">
        <v>324</v>
      </c>
      <c r="B108" s="891"/>
      <c r="C108" s="891"/>
      <c r="D108" s="891"/>
      <c r="E108" s="891"/>
      <c r="F108" s="891"/>
      <c r="G108" s="891"/>
      <c r="H108" s="891"/>
      <c r="I108" s="891"/>
      <c r="J108" s="891"/>
    </row>
    <row r="109" spans="1:15" ht="27.75" customHeight="1">
      <c r="A109" s="918"/>
      <c r="B109" s="918"/>
    </row>
    <row r="110" spans="1:15" ht="27.75" customHeight="1">
      <c r="A110" s="892" t="s">
        <v>165</v>
      </c>
      <c r="B110" s="893"/>
      <c r="C110" s="893"/>
      <c r="D110" s="893"/>
      <c r="E110" s="893"/>
      <c r="F110" s="893"/>
      <c r="G110" s="893"/>
      <c r="H110" s="893"/>
      <c r="I110" s="893"/>
      <c r="J110" s="894"/>
    </row>
    <row r="111" spans="1:15" ht="27.75" customHeight="1">
      <c r="A111" s="885"/>
      <c r="B111" s="886"/>
      <c r="C111" s="887"/>
      <c r="D111" s="165"/>
      <c r="E111" s="165"/>
      <c r="F111" s="165"/>
      <c r="G111" s="165"/>
      <c r="H111" s="156"/>
      <c r="I111" s="165"/>
      <c r="J111" s="327"/>
    </row>
    <row r="112" spans="1:15" ht="27.75" customHeight="1">
      <c r="A112" s="881" t="s">
        <v>252</v>
      </c>
      <c r="B112" s="882"/>
      <c r="C112" s="883"/>
      <c r="D112" s="146" t="s">
        <v>183</v>
      </c>
      <c r="E112" s="95">
        <f>'13'!F112</f>
        <v>18297.244999999999</v>
      </c>
      <c r="F112" s="237">
        <v>18357.900000000001</v>
      </c>
      <c r="G112" s="112">
        <f t="shared" ref="G112:G123" si="10">F112-E112</f>
        <v>60.655000000002474</v>
      </c>
      <c r="H112" s="99">
        <f>G112+'13'!H112</f>
        <v>846.60000000000218</v>
      </c>
      <c r="I112" s="165"/>
      <c r="J112" s="328">
        <f>H112/DAY(B2)</f>
        <v>60.471428571428724</v>
      </c>
    </row>
    <row r="113" spans="1:18" ht="27.75" customHeight="1">
      <c r="A113" s="881" t="s">
        <v>253</v>
      </c>
      <c r="B113" s="882"/>
      <c r="C113" s="883"/>
      <c r="D113" s="146" t="s">
        <v>183</v>
      </c>
      <c r="E113" s="95">
        <f>'13'!F113</f>
        <v>38933</v>
      </c>
      <c r="F113" s="237">
        <v>39080</v>
      </c>
      <c r="G113" s="112">
        <f t="shared" si="10"/>
        <v>147</v>
      </c>
      <c r="H113" s="99">
        <f>G113+'13'!H113</f>
        <v>2001</v>
      </c>
      <c r="I113" s="165"/>
      <c r="J113" s="328">
        <f>H113/DAY(B2)</f>
        <v>142.92857142857142</v>
      </c>
    </row>
    <row r="114" spans="1:18" ht="27.75" customHeight="1">
      <c r="A114" s="881" t="s">
        <v>254</v>
      </c>
      <c r="B114" s="882"/>
      <c r="C114" s="883"/>
      <c r="D114" s="146" t="s">
        <v>183</v>
      </c>
      <c r="E114" s="95">
        <f>'13'!F114</f>
        <v>57151</v>
      </c>
      <c r="F114" s="237">
        <v>57379</v>
      </c>
      <c r="G114" s="112">
        <f t="shared" si="10"/>
        <v>228</v>
      </c>
      <c r="H114" s="99">
        <f>G114+'13'!H114</f>
        <v>3111.2200000000012</v>
      </c>
      <c r="I114" s="165"/>
      <c r="J114" s="328">
        <f>H114/DAY(B2)</f>
        <v>222.23000000000008</v>
      </c>
    </row>
    <row r="115" spans="1:18" ht="27.75" customHeight="1">
      <c r="A115" s="881" t="s">
        <v>255</v>
      </c>
      <c r="B115" s="882"/>
      <c r="C115" s="883"/>
      <c r="D115" s="146" t="s">
        <v>183</v>
      </c>
      <c r="E115" s="95">
        <f>'13'!F115</f>
        <v>36903</v>
      </c>
      <c r="F115" s="237">
        <v>37058</v>
      </c>
      <c r="G115" s="112">
        <f t="shared" si="10"/>
        <v>155</v>
      </c>
      <c r="H115" s="99">
        <f>G115+'13'!H115</f>
        <v>2091.0899999999965</v>
      </c>
      <c r="I115" s="165"/>
      <c r="J115" s="328">
        <f>H115/DAY(B2)</f>
        <v>149.36357142857119</v>
      </c>
    </row>
    <row r="116" spans="1:18" ht="27.75" customHeight="1">
      <c r="A116" s="888" t="s">
        <v>96</v>
      </c>
      <c r="B116" s="889"/>
      <c r="C116" s="890"/>
      <c r="D116" s="146" t="s">
        <v>183</v>
      </c>
      <c r="E116" s="95">
        <f>'13'!F116</f>
        <v>139980</v>
      </c>
      <c r="F116" s="237">
        <v>140454</v>
      </c>
      <c r="G116" s="112">
        <f t="shared" si="10"/>
        <v>474</v>
      </c>
      <c r="H116" s="99">
        <f>G116+'13'!H116</f>
        <v>5965.609999999986</v>
      </c>
      <c r="I116" s="165"/>
      <c r="J116" s="328">
        <f>H116/DAY(B2)</f>
        <v>426.11499999999899</v>
      </c>
      <c r="Q116" s="881"/>
      <c r="R116" s="883"/>
    </row>
    <row r="117" spans="1:18" ht="27.75" customHeight="1">
      <c r="A117" s="888" t="s">
        <v>184</v>
      </c>
      <c r="B117" s="889"/>
      <c r="C117" s="890"/>
      <c r="D117" s="146" t="s">
        <v>183</v>
      </c>
      <c r="E117" s="95">
        <f>'13'!F117</f>
        <v>87330</v>
      </c>
      <c r="F117" s="237">
        <v>87635.32</v>
      </c>
      <c r="G117" s="112">
        <f t="shared" si="10"/>
        <v>305.32000000000698</v>
      </c>
      <c r="H117" s="99">
        <f>G117+'13'!H117</f>
        <v>4925.320000000007</v>
      </c>
      <c r="I117" s="165"/>
      <c r="J117" s="328">
        <f>H117/DAY(B2)</f>
        <v>351.80857142857195</v>
      </c>
      <c r="Q117" s="881"/>
      <c r="R117" s="883"/>
    </row>
    <row r="118" spans="1:18" ht="27.75" customHeight="1">
      <c r="A118" s="880" t="s">
        <v>97</v>
      </c>
      <c r="B118" s="880"/>
      <c r="C118" s="880"/>
      <c r="D118" s="151" t="s">
        <v>183</v>
      </c>
      <c r="E118" s="95">
        <f>'13'!F118</f>
        <v>166102</v>
      </c>
      <c r="F118" s="237">
        <v>167076</v>
      </c>
      <c r="G118" s="112">
        <f t="shared" si="10"/>
        <v>974</v>
      </c>
      <c r="H118" s="99">
        <f>G118+'13'!H118</f>
        <v>8938.8500000000058</v>
      </c>
      <c r="I118" s="165"/>
      <c r="J118" s="328">
        <f>H118/DAY(B2)</f>
        <v>638.4892857142861</v>
      </c>
      <c r="Q118" s="881"/>
      <c r="R118" s="883"/>
    </row>
    <row r="119" spans="1:18" ht="27.75" customHeight="1">
      <c r="A119" s="880" t="s">
        <v>98</v>
      </c>
      <c r="B119" s="880"/>
      <c r="C119" s="880"/>
      <c r="D119" s="151" t="s">
        <v>183</v>
      </c>
      <c r="E119" s="95">
        <f>'13'!F119</f>
        <v>44411</v>
      </c>
      <c r="F119" s="237">
        <v>44448</v>
      </c>
      <c r="G119" s="112">
        <f t="shared" si="10"/>
        <v>37</v>
      </c>
      <c r="H119" s="99">
        <f>G119+'13'!H119</f>
        <v>508.82499999999709</v>
      </c>
      <c r="I119" s="165"/>
      <c r="J119" s="328">
        <f>H119/DAY(B2)</f>
        <v>36.344642857142652</v>
      </c>
    </row>
    <row r="120" spans="1:18" ht="27.75" customHeight="1">
      <c r="A120" s="880" t="s">
        <v>99</v>
      </c>
      <c r="B120" s="880"/>
      <c r="C120" s="880"/>
      <c r="D120" s="151" t="s">
        <v>183</v>
      </c>
      <c r="E120" s="95">
        <f>'13'!F120</f>
        <v>113565</v>
      </c>
      <c r="F120" s="237">
        <v>113985</v>
      </c>
      <c r="G120" s="112">
        <f t="shared" si="10"/>
        <v>420</v>
      </c>
      <c r="H120" s="99">
        <f>G120+'13'!H120</f>
        <v>5547.8600000000006</v>
      </c>
      <c r="I120" s="165"/>
      <c r="J120" s="328">
        <f>H120/DAY(B2)</f>
        <v>396.27571428571434</v>
      </c>
    </row>
    <row r="121" spans="1:18" ht="27.75" customHeight="1">
      <c r="A121" s="880" t="s">
        <v>100</v>
      </c>
      <c r="B121" s="880"/>
      <c r="C121" s="880"/>
      <c r="D121" s="151" t="s">
        <v>183</v>
      </c>
      <c r="E121" s="95">
        <f>'13'!F121</f>
        <v>126899</v>
      </c>
      <c r="F121" s="237">
        <v>127333</v>
      </c>
      <c r="G121" s="112">
        <f t="shared" si="10"/>
        <v>434</v>
      </c>
      <c r="H121" s="99">
        <f>G121+'13'!H121</f>
        <v>6110.1100000000006</v>
      </c>
      <c r="I121" s="165"/>
      <c r="J121" s="328">
        <f>H121/DAY(B2)</f>
        <v>436.43642857142862</v>
      </c>
    </row>
    <row r="122" spans="1:18" ht="27.75" customHeight="1">
      <c r="A122" s="880" t="s">
        <v>101</v>
      </c>
      <c r="B122" s="880"/>
      <c r="C122" s="880"/>
      <c r="D122" s="151" t="s">
        <v>183</v>
      </c>
      <c r="E122" s="95">
        <f>'13'!F122</f>
        <v>85302</v>
      </c>
      <c r="F122" s="237">
        <v>85632</v>
      </c>
      <c r="G122" s="112">
        <f t="shared" si="10"/>
        <v>330</v>
      </c>
      <c r="H122" s="99">
        <f>G122+'13'!H122</f>
        <v>4357.6300000000047</v>
      </c>
      <c r="I122" s="165"/>
      <c r="J122" s="328">
        <f>H122/DAY(B2)</f>
        <v>311.25928571428602</v>
      </c>
    </row>
    <row r="123" spans="1:18" ht="27.75" customHeight="1">
      <c r="A123" s="880" t="s">
        <v>102</v>
      </c>
      <c r="B123" s="880"/>
      <c r="C123" s="880"/>
      <c r="D123" s="151" t="s">
        <v>183</v>
      </c>
      <c r="E123" s="95">
        <f>'13'!F123</f>
        <v>81882</v>
      </c>
      <c r="F123" s="237">
        <v>82012</v>
      </c>
      <c r="G123" s="112">
        <f t="shared" si="10"/>
        <v>130</v>
      </c>
      <c r="H123" s="99">
        <f>G123+'13'!H123</f>
        <v>4063</v>
      </c>
      <c r="I123" s="165"/>
      <c r="J123" s="328">
        <f>H123/DAY(B2)</f>
        <v>290.21428571428572</v>
      </c>
    </row>
    <row r="124" spans="1:18" ht="27.75" customHeight="1">
      <c r="A124" s="885"/>
      <c r="B124" s="886"/>
      <c r="C124" s="887"/>
      <c r="D124" s="165"/>
      <c r="E124" s="165"/>
      <c r="F124" s="165"/>
      <c r="G124" s="327"/>
      <c r="H124" s="156"/>
      <c r="I124" s="165"/>
      <c r="J124" s="327"/>
    </row>
    <row r="125" spans="1:18" ht="27.75" customHeight="1">
      <c r="A125" s="787" t="s">
        <v>196</v>
      </c>
      <c r="B125" s="788"/>
      <c r="C125" s="245"/>
      <c r="D125" s="307"/>
      <c r="E125" s="308"/>
      <c r="F125" s="308"/>
      <c r="G125" s="309">
        <f>SUM(G112:G124)</f>
        <v>3694.9750000000095</v>
      </c>
      <c r="H125" s="156"/>
      <c r="I125" s="327">
        <f>G125-(G39+G53)</f>
        <v>944.7550000000374</v>
      </c>
      <c r="J125" s="327"/>
    </row>
    <row r="126" spans="1:18" ht="27.75" customHeight="1">
      <c r="A126" s="884" t="s">
        <v>317</v>
      </c>
      <c r="B126" s="884"/>
      <c r="C126" s="884"/>
      <c r="D126" s="884"/>
      <c r="E126" s="884"/>
      <c r="F126" s="884"/>
      <c r="G126" s="884"/>
      <c r="H126" s="884"/>
      <c r="I126" s="884"/>
      <c r="J126" s="884"/>
    </row>
    <row r="127" spans="1:18" ht="27.75" customHeight="1">
      <c r="A127" s="870"/>
      <c r="B127" s="870"/>
      <c r="C127" s="245"/>
      <c r="D127" s="307"/>
      <c r="E127" s="308"/>
      <c r="F127" s="308"/>
      <c r="G127" s="309"/>
      <c r="H127" s="99">
        <f>G127+'13'!H127</f>
        <v>0</v>
      </c>
      <c r="I127" s="165"/>
      <c r="J127" s="328">
        <f>H127/DAY(B2)</f>
        <v>0</v>
      </c>
    </row>
    <row r="128" spans="1:18" ht="27.75" customHeight="1">
      <c r="A128" s="881" t="s">
        <v>318</v>
      </c>
      <c r="B128" s="882"/>
      <c r="C128" s="883"/>
      <c r="D128" s="151" t="s">
        <v>183</v>
      </c>
      <c r="E128" s="95">
        <f>'13'!F128</f>
        <v>198403.17</v>
      </c>
      <c r="F128" s="165">
        <v>198899</v>
      </c>
      <c r="G128" s="112">
        <f t="shared" ref="G128:G134" si="11">F128-E128</f>
        <v>495.82999999998719</v>
      </c>
      <c r="H128" s="99">
        <f>G128+'13'!H128</f>
        <v>7013.3699999999953</v>
      </c>
      <c r="I128" s="165"/>
      <c r="J128" s="328">
        <f>H128/DAY(B2)</f>
        <v>500.95499999999964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'13'!F129</f>
        <v>103674.21</v>
      </c>
      <c r="F129" s="165">
        <v>103814</v>
      </c>
      <c r="G129" s="112">
        <f t="shared" si="11"/>
        <v>139.7899999999936</v>
      </c>
      <c r="H129" s="99">
        <f>G129+'13'!H129</f>
        <v>2537</v>
      </c>
      <c r="I129" s="165"/>
      <c r="J129" s="328">
        <f>H129/DAY(B2)</f>
        <v>181.21428571428572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'13'!F130</f>
        <v>275794</v>
      </c>
      <c r="F130" s="165">
        <v>276657.65000000002</v>
      </c>
      <c r="G130" s="112">
        <f t="shared" si="11"/>
        <v>863.65000000002328</v>
      </c>
      <c r="H130" s="99">
        <f>G130+'13'!H130</f>
        <v>7842.6500000000233</v>
      </c>
      <c r="I130" s="165"/>
      <c r="J130" s="328">
        <f>H130/DAY(B2)</f>
        <v>560.18928571428739</v>
      </c>
      <c r="N130" s="240"/>
      <c r="O130" s="241"/>
    </row>
    <row r="131" spans="1:15" ht="27.75" customHeight="1">
      <c r="A131" s="881" t="s">
        <v>321</v>
      </c>
      <c r="B131" s="882"/>
      <c r="C131" s="883"/>
      <c r="D131" s="151" t="s">
        <v>183</v>
      </c>
      <c r="E131" s="95">
        <f>'13'!F131</f>
        <v>81882</v>
      </c>
      <c r="F131" s="165">
        <v>82054.179999999993</v>
      </c>
      <c r="G131" s="112">
        <f t="shared" si="11"/>
        <v>172.17999999999302</v>
      </c>
      <c r="H131" s="99">
        <f>G131+'13'!H131</f>
        <v>2503.5499999999884</v>
      </c>
      <c r="I131" s="165"/>
      <c r="J131" s="328">
        <f>H131/DAY(B2)</f>
        <v>178.82499999999916</v>
      </c>
      <c r="N131" s="240"/>
      <c r="O131" s="241"/>
    </row>
    <row r="132" spans="1:15" ht="27.75" customHeight="1">
      <c r="A132" s="881" t="s">
        <v>322</v>
      </c>
      <c r="B132" s="882"/>
      <c r="C132" s="883"/>
      <c r="D132" s="151" t="s">
        <v>183</v>
      </c>
      <c r="E132" s="95">
        <f>'13'!F132</f>
        <v>148274</v>
      </c>
      <c r="F132" s="165">
        <v>148274</v>
      </c>
      <c r="G132" s="112">
        <f t="shared" si="11"/>
        <v>0</v>
      </c>
      <c r="H132" s="99">
        <f>G132+'13'!H132</f>
        <v>0</v>
      </c>
      <c r="I132" s="165"/>
      <c r="J132" s="328">
        <f>H132/DAY(B2)</f>
        <v>0</v>
      </c>
    </row>
    <row r="133" spans="1:15" ht="27.75" customHeight="1">
      <c r="A133" s="881" t="s">
        <v>341</v>
      </c>
      <c r="B133" s="882"/>
      <c r="C133" s="883"/>
      <c r="D133" s="151" t="s">
        <v>183</v>
      </c>
      <c r="E133" s="95">
        <f>'13'!F133</f>
        <v>288548.17</v>
      </c>
      <c r="F133" s="165">
        <v>288548.17</v>
      </c>
      <c r="G133" s="112">
        <f t="shared" si="11"/>
        <v>0</v>
      </c>
      <c r="H133" s="99">
        <f>G133+'13'!H133</f>
        <v>-644499.83000000007</v>
      </c>
      <c r="I133" s="165"/>
      <c r="J133" s="328">
        <f>H133/DAY(B2)</f>
        <v>-46035.702142857146</v>
      </c>
    </row>
    <row r="134" spans="1:15" ht="27.75" customHeight="1">
      <c r="A134" s="881" t="s">
        <v>340</v>
      </c>
      <c r="B134" s="882"/>
      <c r="C134" s="883"/>
      <c r="D134" s="151" t="s">
        <v>183</v>
      </c>
      <c r="E134" s="95">
        <f>'13'!F134</f>
        <v>89514.15</v>
      </c>
      <c r="F134" s="165">
        <v>89647</v>
      </c>
      <c r="G134" s="112">
        <f t="shared" si="11"/>
        <v>132.85000000000582</v>
      </c>
      <c r="H134" s="99">
        <f>G134+'13'!H134</f>
        <v>3695</v>
      </c>
      <c r="I134" s="165"/>
      <c r="J134" s="328">
        <f>H134/DAY(B2)</f>
        <v>263.92857142857144</v>
      </c>
    </row>
    <row r="135" spans="1:15" ht="27.75" customHeight="1">
      <c r="A135" s="787" t="s">
        <v>196</v>
      </c>
      <c r="B135" s="788"/>
      <c r="C135" s="331"/>
      <c r="D135" s="151"/>
      <c r="E135" s="95"/>
      <c r="F135" s="165"/>
      <c r="G135" s="112">
        <f>SUM(G128:G134)</f>
        <v>1804.3000000000029</v>
      </c>
      <c r="H135" s="119">
        <f>H128+H134</f>
        <v>10708.369999999995</v>
      </c>
      <c r="I135" s="327">
        <f>G135-(G35+G49)</f>
        <v>-1461.4799999999668</v>
      </c>
      <c r="J135" s="328">
        <f>H135/DAY(B2)</f>
        <v>764.88357142857114</v>
      </c>
    </row>
    <row r="136" spans="1:15" ht="27.75" customHeight="1">
      <c r="A136" s="869" t="s">
        <v>325</v>
      </c>
      <c r="B136" s="869"/>
      <c r="C136" s="869"/>
      <c r="D136" s="869"/>
      <c r="E136" s="869"/>
      <c r="F136" s="869"/>
      <c r="G136" s="869"/>
      <c r="H136" s="869"/>
      <c r="I136" s="869"/>
      <c r="J136" s="869"/>
    </row>
    <row r="137" spans="1:15" ht="27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>
      <c r="A138" s="880" t="s">
        <v>185</v>
      </c>
      <c r="B138" s="880"/>
      <c r="C138" s="880"/>
      <c r="D138" s="151" t="s">
        <v>183</v>
      </c>
      <c r="E138" s="95">
        <f>'13'!F138</f>
        <v>910968</v>
      </c>
      <c r="F138" s="147">
        <v>911052</v>
      </c>
      <c r="G138" s="112">
        <f t="shared" ref="G138:G152" si="12">F138-E138</f>
        <v>84</v>
      </c>
      <c r="H138" s="99">
        <f>G138+'13'!H138</f>
        <v>1573</v>
      </c>
      <c r="I138" s="118"/>
      <c r="J138" s="328">
        <f>H138/DAY(B2)</f>
        <v>112.35714285714286</v>
      </c>
    </row>
    <row r="139" spans="1:15" ht="27.75" customHeight="1">
      <c r="A139" s="880" t="s">
        <v>186</v>
      </c>
      <c r="B139" s="880"/>
      <c r="C139" s="880"/>
      <c r="D139" s="151" t="s">
        <v>183</v>
      </c>
      <c r="E139" s="95">
        <f>'13'!F139</f>
        <v>934457</v>
      </c>
      <c r="F139" s="148">
        <v>934595</v>
      </c>
      <c r="G139" s="112">
        <f t="shared" si="12"/>
        <v>138</v>
      </c>
      <c r="H139" s="99">
        <f>G139+'13'!H139</f>
        <v>2235</v>
      </c>
      <c r="I139" s="118"/>
      <c r="J139" s="328">
        <f>H139/DAY(B2)</f>
        <v>159.64285714285714</v>
      </c>
    </row>
    <row r="140" spans="1:15" ht="27.75" customHeight="1">
      <c r="A140" s="880" t="s">
        <v>187</v>
      </c>
      <c r="B140" s="880"/>
      <c r="C140" s="880"/>
      <c r="D140" s="151" t="s">
        <v>183</v>
      </c>
      <c r="E140" s="95">
        <f>'13'!F140</f>
        <v>4320</v>
      </c>
      <c r="F140" s="149">
        <v>4348.97</v>
      </c>
      <c r="G140" s="112">
        <f t="shared" si="12"/>
        <v>28.970000000000255</v>
      </c>
      <c r="H140" s="99">
        <f>G140+'13'!H140</f>
        <v>315.45900000000029</v>
      </c>
      <c r="I140" s="118"/>
      <c r="J140" s="328">
        <f>H140/DAY(B2)</f>
        <v>22.532785714285733</v>
      </c>
    </row>
    <row r="141" spans="1:15" ht="27.75" customHeight="1">
      <c r="A141" s="863" t="s">
        <v>188</v>
      </c>
      <c r="B141" s="863"/>
      <c r="C141" s="863"/>
      <c r="D141" s="151" t="s">
        <v>183</v>
      </c>
      <c r="E141" s="95">
        <f>'13'!F141</f>
        <v>127072</v>
      </c>
      <c r="F141" s="149">
        <v>127383</v>
      </c>
      <c r="G141" s="112">
        <f t="shared" si="12"/>
        <v>311</v>
      </c>
      <c r="H141" s="99">
        <f>G141+'13'!H141</f>
        <v>2785</v>
      </c>
      <c r="I141" s="118"/>
      <c r="J141" s="328">
        <f>H141/DAY(B2)</f>
        <v>198.92857142857142</v>
      </c>
    </row>
    <row r="142" spans="1:15" ht="27.75" customHeight="1">
      <c r="A142" s="863" t="s">
        <v>189</v>
      </c>
      <c r="B142" s="863"/>
      <c r="C142" s="863"/>
      <c r="D142" s="151" t="s">
        <v>183</v>
      </c>
      <c r="E142" s="95">
        <f>'13'!F142</f>
        <v>51746.55</v>
      </c>
      <c r="F142" s="148">
        <v>51826.99</v>
      </c>
      <c r="G142" s="112">
        <f t="shared" si="12"/>
        <v>80.439999999995052</v>
      </c>
      <c r="H142" s="99">
        <f>G142+'13'!H142</f>
        <v>1261.4399999999951</v>
      </c>
      <c r="I142" s="140"/>
      <c r="J142" s="328">
        <f>H142/DAY(B2)</f>
        <v>90.102857142856791</v>
      </c>
    </row>
    <row r="143" spans="1:15" ht="27.75" customHeight="1">
      <c r="A143" s="880" t="s">
        <v>91</v>
      </c>
      <c r="B143" s="880"/>
      <c r="C143" s="880"/>
      <c r="D143" s="151" t="s">
        <v>183</v>
      </c>
      <c r="E143" s="95">
        <f>'13'!F143</f>
        <v>13788</v>
      </c>
      <c r="F143" s="149">
        <v>13817</v>
      </c>
      <c r="G143" s="112">
        <f t="shared" si="12"/>
        <v>29</v>
      </c>
      <c r="H143" s="99">
        <f>G143+'13'!H143</f>
        <v>430</v>
      </c>
      <c r="I143" s="140"/>
      <c r="J143" s="328">
        <f>H143/DAY(B2)</f>
        <v>30.714285714285715</v>
      </c>
    </row>
    <row r="144" spans="1:15" ht="27.75" customHeight="1">
      <c r="A144" s="863" t="s">
        <v>90</v>
      </c>
      <c r="B144" s="863"/>
      <c r="C144" s="863"/>
      <c r="D144" s="151" t="s">
        <v>183</v>
      </c>
      <c r="E144" s="95">
        <f>'13'!F144</f>
        <v>958618</v>
      </c>
      <c r="F144" s="149">
        <v>958856</v>
      </c>
      <c r="G144" s="112">
        <f t="shared" si="12"/>
        <v>238</v>
      </c>
      <c r="H144" s="99">
        <f>G144+'13'!H144</f>
        <v>3386</v>
      </c>
      <c r="I144" s="140"/>
      <c r="J144" s="328">
        <f>H144/DAY(B2)</f>
        <v>241.85714285714286</v>
      </c>
    </row>
    <row r="145" spans="1:10" ht="27.75" customHeight="1">
      <c r="A145" s="880" t="s">
        <v>190</v>
      </c>
      <c r="B145" s="880"/>
      <c r="C145" s="880"/>
      <c r="D145" s="152" t="s">
        <v>183</v>
      </c>
      <c r="E145" s="95">
        <f>'13'!F145</f>
        <v>747226</v>
      </c>
      <c r="F145" s="149">
        <v>747235</v>
      </c>
      <c r="G145" s="112">
        <f t="shared" si="12"/>
        <v>9</v>
      </c>
      <c r="H145" s="99">
        <f>G145+'13'!H145</f>
        <v>2054</v>
      </c>
      <c r="I145" s="140"/>
      <c r="J145" s="328">
        <f>H145/DAY(B2)</f>
        <v>146.71428571428572</v>
      </c>
    </row>
    <row r="146" spans="1:10" ht="27.75" customHeight="1">
      <c r="A146" s="914" t="s">
        <v>191</v>
      </c>
      <c r="B146" s="900"/>
      <c r="C146" s="901"/>
      <c r="D146" s="152" t="s">
        <v>183</v>
      </c>
      <c r="E146" s="95">
        <f>'13'!F146</f>
        <v>788339</v>
      </c>
      <c r="F146" s="148">
        <v>788393</v>
      </c>
      <c r="G146" s="112">
        <f t="shared" si="12"/>
        <v>54</v>
      </c>
      <c r="H146" s="99">
        <f>G146+'13'!H146</f>
        <v>535</v>
      </c>
      <c r="I146" s="140"/>
      <c r="J146" s="328">
        <f>H146/DAY(B2)</f>
        <v>38.214285714285715</v>
      </c>
    </row>
    <row r="147" spans="1:10" ht="27.75" customHeight="1">
      <c r="A147" s="863" t="s">
        <v>192</v>
      </c>
      <c r="B147" s="863"/>
      <c r="C147" s="863"/>
      <c r="D147" s="152" t="s">
        <v>183</v>
      </c>
      <c r="E147" s="95">
        <f>'13'!F147</f>
        <v>765091.76</v>
      </c>
      <c r="F147" s="148">
        <v>765445</v>
      </c>
      <c r="G147" s="112">
        <f t="shared" si="12"/>
        <v>353.23999999999069</v>
      </c>
      <c r="H147" s="99">
        <f>G147+'13'!H147</f>
        <v>5307</v>
      </c>
      <c r="I147" s="140"/>
      <c r="J147" s="328">
        <f>H147/DAY(B2)</f>
        <v>379.07142857142856</v>
      </c>
    </row>
    <row r="148" spans="1:10" ht="27.75" customHeight="1">
      <c r="A148" s="864" t="s">
        <v>193</v>
      </c>
      <c r="B148" s="865"/>
      <c r="C148" s="866"/>
      <c r="D148" s="123" t="s">
        <v>130</v>
      </c>
      <c r="E148" s="95">
        <f>'13'!F148</f>
        <v>800663.28</v>
      </c>
      <c r="F148" s="150">
        <v>800944.08</v>
      </c>
      <c r="G148" s="112">
        <f t="shared" si="12"/>
        <v>280.79999999993015</v>
      </c>
      <c r="H148" s="99">
        <f>G148+'13'!H148</f>
        <v>4532</v>
      </c>
      <c r="I148" s="124"/>
      <c r="J148" s="328">
        <f>H148/DAY(B2)</f>
        <v>323.71428571428572</v>
      </c>
    </row>
    <row r="149" spans="1:10" ht="27.75" customHeight="1">
      <c r="A149" s="864" t="s">
        <v>336</v>
      </c>
      <c r="B149" s="865"/>
      <c r="C149" s="866"/>
      <c r="D149" s="227" t="s">
        <v>130</v>
      </c>
      <c r="E149" s="95">
        <f>'13'!F149</f>
        <v>207177</v>
      </c>
      <c r="F149" s="227">
        <v>207597</v>
      </c>
      <c r="G149" s="112">
        <f t="shared" si="12"/>
        <v>420</v>
      </c>
      <c r="H149" s="99">
        <f>G149+'13'!H149</f>
        <v>6305.7300000000105</v>
      </c>
      <c r="I149" s="119"/>
      <c r="J149" s="328">
        <f>H149/DAY(B2)</f>
        <v>450.40928571428645</v>
      </c>
    </row>
    <row r="150" spans="1:10" ht="27.75" customHeight="1">
      <c r="A150" s="864" t="s">
        <v>337</v>
      </c>
      <c r="B150" s="865"/>
      <c r="C150" s="866"/>
      <c r="D150" s="117" t="s">
        <v>130</v>
      </c>
      <c r="E150" s="95">
        <f>'13'!F150</f>
        <v>90323</v>
      </c>
      <c r="F150" s="233">
        <v>90789</v>
      </c>
      <c r="G150" s="112">
        <f t="shared" si="12"/>
        <v>466</v>
      </c>
      <c r="H150" s="99">
        <f>G150+'13'!H150</f>
        <v>5575</v>
      </c>
      <c r="I150" s="119"/>
      <c r="J150" s="328">
        <f>H150/DAY(B2)</f>
        <v>398.21428571428572</v>
      </c>
    </row>
    <row r="151" spans="1:10" ht="27.75" customHeight="1">
      <c r="A151" s="864" t="s">
        <v>338</v>
      </c>
      <c r="B151" s="865"/>
      <c r="C151" s="866"/>
      <c r="D151" s="117" t="s">
        <v>130</v>
      </c>
      <c r="E151" s="95">
        <f>'13'!F151</f>
        <v>170665</v>
      </c>
      <c r="F151" s="233">
        <v>170987</v>
      </c>
      <c r="G151" s="112">
        <f t="shared" si="12"/>
        <v>322</v>
      </c>
      <c r="H151" s="99">
        <f>G151+'13'!H151</f>
        <v>4257</v>
      </c>
      <c r="I151" s="119"/>
      <c r="J151" s="328">
        <f>H151/DAY(B2)</f>
        <v>304.07142857142856</v>
      </c>
    </row>
    <row r="152" spans="1:10" ht="27.75" customHeight="1">
      <c r="A152" s="864" t="s">
        <v>339</v>
      </c>
      <c r="B152" s="865"/>
      <c r="C152" s="866"/>
      <c r="D152" s="117" t="s">
        <v>130</v>
      </c>
      <c r="E152" s="95">
        <f>'13'!F152</f>
        <v>44231</v>
      </c>
      <c r="F152" s="233">
        <v>44363</v>
      </c>
      <c r="G152" s="112">
        <f t="shared" si="12"/>
        <v>132</v>
      </c>
      <c r="H152" s="99">
        <f>G152+'13'!H152</f>
        <v>1852</v>
      </c>
      <c r="I152" s="119"/>
      <c r="J152" s="328">
        <f>H152/DAY(B2)</f>
        <v>132.28571428571428</v>
      </c>
    </row>
    <row r="153" spans="1:10" ht="27.75" customHeight="1">
      <c r="A153" s="787" t="s">
        <v>196</v>
      </c>
      <c r="B153" s="788"/>
      <c r="C153" s="365"/>
      <c r="D153" s="358"/>
      <c r="E153" s="360"/>
      <c r="F153" s="361"/>
      <c r="G153" s="362">
        <f>SUM(G138:G152)</f>
        <v>2946.4499999999161</v>
      </c>
      <c r="H153" s="363"/>
      <c r="I153" s="119">
        <f>G153-(G38+G52)</f>
        <v>553.45999999992546</v>
      </c>
      <c r="J153" s="366"/>
    </row>
    <row r="154" spans="1:10" ht="27.75" customHeight="1">
      <c r="A154" s="869"/>
      <c r="B154" s="869"/>
      <c r="C154" s="869"/>
      <c r="D154" s="869"/>
      <c r="E154" s="869"/>
      <c r="F154" s="869"/>
      <c r="G154" s="869"/>
      <c r="H154" s="869"/>
      <c r="I154" s="869"/>
      <c r="J154" s="869"/>
    </row>
    <row r="155" spans="1:10" ht="27.75" customHeight="1">
      <c r="A155" s="863" t="s">
        <v>345</v>
      </c>
      <c r="B155" s="863"/>
      <c r="C155" s="863"/>
      <c r="D155" s="117" t="s">
        <v>130</v>
      </c>
      <c r="E155" s="374">
        <f>'13'!F155</f>
        <v>246419</v>
      </c>
      <c r="F155" s="374">
        <v>247018</v>
      </c>
      <c r="G155" s="112">
        <f t="shared" ref="G155:G158" si="13">F155-E155</f>
        <v>599</v>
      </c>
      <c r="H155" s="99">
        <f>G155+'13'!H155</f>
        <v>7984</v>
      </c>
      <c r="I155" s="364"/>
      <c r="J155" s="328">
        <f>H155/DAY(B2)</f>
        <v>570.28571428571433</v>
      </c>
    </row>
    <row r="156" spans="1:10" ht="27.75" customHeight="1">
      <c r="A156" s="863" t="s">
        <v>347</v>
      </c>
      <c r="B156" s="863"/>
      <c r="C156" s="863"/>
      <c r="D156" s="117" t="s">
        <v>130</v>
      </c>
      <c r="E156" s="374">
        <f>'13'!F156</f>
        <v>30829</v>
      </c>
      <c r="F156" s="155">
        <v>30835</v>
      </c>
      <c r="G156" s="112">
        <f t="shared" si="13"/>
        <v>6</v>
      </c>
      <c r="H156" s="99">
        <f>G156+'13'!H156</f>
        <v>1155.5</v>
      </c>
      <c r="I156" s="165"/>
      <c r="J156" s="328">
        <f>H156/DAY(B2)</f>
        <v>82.535714285714292</v>
      </c>
    </row>
    <row r="157" spans="1:10" ht="27.75" customHeight="1">
      <c r="A157" s="864" t="s">
        <v>360</v>
      </c>
      <c r="B157" s="865"/>
      <c r="C157" s="866"/>
      <c r="D157" s="117" t="s">
        <v>130</v>
      </c>
      <c r="E157" s="374">
        <f>'13'!F157</f>
        <v>37559</v>
      </c>
      <c r="F157" s="155">
        <v>37559</v>
      </c>
      <c r="G157" s="112">
        <f t="shared" si="13"/>
        <v>0</v>
      </c>
      <c r="H157" s="99">
        <f>G157+'13'!H157</f>
        <v>0</v>
      </c>
      <c r="I157" s="165"/>
      <c r="J157" s="328">
        <f>H157/DAY(B2)</f>
        <v>0</v>
      </c>
    </row>
    <row r="158" spans="1:10" ht="27.75" customHeight="1">
      <c r="A158" s="864" t="s">
        <v>361</v>
      </c>
      <c r="B158" s="865"/>
      <c r="C158" s="866"/>
      <c r="D158" s="117" t="s">
        <v>130</v>
      </c>
      <c r="E158" s="374">
        <f>'13'!F158</f>
        <v>1769</v>
      </c>
      <c r="F158" s="155">
        <v>1769</v>
      </c>
      <c r="G158" s="112">
        <f t="shared" si="13"/>
        <v>0</v>
      </c>
      <c r="H158" s="99">
        <f>G158+'13'!H158</f>
        <v>11</v>
      </c>
      <c r="I158" s="165"/>
      <c r="J158" s="328">
        <f>H158/DAY(B2)</f>
        <v>0.7857142857142857</v>
      </c>
    </row>
    <row r="159" spans="1:10" ht="27.75" customHeight="1">
      <c r="A159" s="944"/>
      <c r="B159" s="945"/>
      <c r="C159" s="946"/>
      <c r="D159" s="117"/>
      <c r="E159" s="165"/>
      <c r="F159" s="165"/>
      <c r="G159" s="362">
        <f>SUM(G155:G158)</f>
        <v>605</v>
      </c>
      <c r="H159" s="99"/>
      <c r="I159" s="165"/>
      <c r="J159" s="328"/>
    </row>
    <row r="160" spans="1:10" ht="27.75" customHeight="1">
      <c r="A160" s="869" t="s">
        <v>326</v>
      </c>
      <c r="B160" s="869"/>
      <c r="C160" s="869"/>
      <c r="D160" s="869"/>
      <c r="E160" s="869"/>
      <c r="F160" s="869"/>
      <c r="G160" s="869"/>
      <c r="H160" s="869"/>
      <c r="I160" s="869"/>
      <c r="J160" s="869"/>
    </row>
    <row r="161" spans="1:10" ht="27.75" customHeight="1">
      <c r="A161" s="242" t="s">
        <v>92</v>
      </c>
      <c r="B161" s="243"/>
      <c r="C161" s="243"/>
      <c r="D161" s="244" t="s">
        <v>180</v>
      </c>
      <c r="E161" s="235">
        <f>'13'!F161</f>
        <v>510606.4</v>
      </c>
      <c r="F161" s="235">
        <v>510694.76</v>
      </c>
      <c r="G161" s="238">
        <f t="shared" ref="G161:G165" si="14">F161-E161</f>
        <v>88.35999999998603</v>
      </c>
      <c r="H161" s="99">
        <f>G161+'13'!H161</f>
        <v>2311.4400000000023</v>
      </c>
      <c r="I161" s="236"/>
      <c r="J161" s="239">
        <f>H161/DAY(B2)</f>
        <v>165.10285714285732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235">
        <f>'13'!F162</f>
        <v>1230</v>
      </c>
      <c r="F162" s="235">
        <v>1248</v>
      </c>
      <c r="G162" s="238">
        <f t="shared" si="14"/>
        <v>18</v>
      </c>
      <c r="H162" s="99">
        <f>G162+'13'!H162</f>
        <v>476.4</v>
      </c>
      <c r="I162" s="236"/>
      <c r="J162" s="239">
        <f>H162/DAY(B2)</f>
        <v>34.028571428571425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235">
        <f>'13'!F163</f>
        <v>0</v>
      </c>
      <c r="F163" s="235">
        <v>0</v>
      </c>
      <c r="G163" s="238">
        <f t="shared" si="14"/>
        <v>0</v>
      </c>
      <c r="H163" s="99">
        <f>G163+'13'!H163</f>
        <v>0</v>
      </c>
      <c r="I163" s="236"/>
      <c r="J163" s="239">
        <f>H163/DAY(B2)</f>
        <v>0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235">
        <f>'13'!F164</f>
        <v>7267.3</v>
      </c>
      <c r="F164" s="235">
        <v>7270</v>
      </c>
      <c r="G164" s="238">
        <f t="shared" si="14"/>
        <v>2.6999999999998181</v>
      </c>
      <c r="H164" s="99">
        <f>G164+'13'!H164</f>
        <v>71</v>
      </c>
      <c r="I164" s="236"/>
      <c r="J164" s="239">
        <f>H164/DAY(B2)</f>
        <v>5.0714285714285712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235">
        <f>'13'!F165</f>
        <v>32864.01</v>
      </c>
      <c r="F165" s="235">
        <v>32867.769999999997</v>
      </c>
      <c r="G165" s="238">
        <f t="shared" si="14"/>
        <v>3.7599999999947613</v>
      </c>
      <c r="H165" s="99">
        <f>G165+'13'!H165</f>
        <v>87.681999999993423</v>
      </c>
      <c r="I165" s="236"/>
      <c r="J165" s="239">
        <f>H165/DAY(B2)</f>
        <v>6.2629999999995301</v>
      </c>
    </row>
    <row r="166" spans="1:10" ht="27.75" customHeight="1">
      <c r="A166" s="870"/>
      <c r="B166" s="870"/>
      <c r="C166" s="246"/>
      <c r="D166" s="244" t="s">
        <v>180</v>
      </c>
      <c r="E166" s="95">
        <f>'13'!F166</f>
        <v>0</v>
      </c>
      <c r="F166" s="165"/>
      <c r="G166" s="165"/>
      <c r="H166" s="99">
        <f>G166+'13'!H166</f>
        <v>0</v>
      </c>
      <c r="I166" s="165"/>
      <c r="J166" s="239">
        <f>H166/DAY(B2)</f>
        <v>0</v>
      </c>
    </row>
    <row r="167" spans="1:10" ht="27.75" customHeight="1">
      <c r="A167" s="870"/>
      <c r="B167" s="870"/>
      <c r="C167" s="246"/>
      <c r="D167" s="244" t="s">
        <v>180</v>
      </c>
      <c r="E167" s="95">
        <f>'13'!F167</f>
        <v>0</v>
      </c>
      <c r="F167" s="165"/>
      <c r="G167" s="165"/>
      <c r="H167" s="99">
        <f>G167+'13'!H167</f>
        <v>0</v>
      </c>
      <c r="I167" s="165"/>
      <c r="J167" s="239">
        <f>H167/DAY(B2)</f>
        <v>0</v>
      </c>
    </row>
    <row r="168" spans="1:10" ht="27.75" customHeight="1">
      <c r="A168" s="870"/>
      <c r="B168" s="870"/>
      <c r="C168" s="246"/>
      <c r="D168" s="244" t="s">
        <v>180</v>
      </c>
      <c r="E168" s="95">
        <f>'13'!F168</f>
        <v>0</v>
      </c>
      <c r="F168" s="165"/>
      <c r="G168" s="165"/>
      <c r="H168" s="99">
        <f>G168+'13'!H168</f>
        <v>0</v>
      </c>
      <c r="I168" s="165"/>
      <c r="J168" s="239">
        <f>H168/DAY(B2)</f>
        <v>0</v>
      </c>
    </row>
    <row r="171" spans="1:10" ht="27.75" customHeight="1">
      <c r="A171" s="871" t="s">
        <v>330</v>
      </c>
      <c r="B171" s="872"/>
      <c r="C171" s="872"/>
      <c r="D171" s="872"/>
      <c r="E171" s="872"/>
      <c r="F171" s="872"/>
      <c r="G171" s="872"/>
      <c r="H171" s="872"/>
      <c r="I171" s="872"/>
      <c r="J171" s="873"/>
    </row>
    <row r="172" spans="1:10" ht="27.75" customHeight="1">
      <c r="A172" s="878"/>
      <c r="B172" s="879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>
      <c r="A173" s="789" t="s">
        <v>209</v>
      </c>
      <c r="B173" s="790"/>
      <c r="C173" s="333"/>
      <c r="D173" s="228" t="s">
        <v>142</v>
      </c>
      <c r="E173" s="95">
        <f>'13'!F173</f>
        <v>8630</v>
      </c>
      <c r="F173" s="155">
        <v>8600</v>
      </c>
      <c r="G173" s="155">
        <v>0</v>
      </c>
      <c r="H173" s="99">
        <f>G173+'13'!H173</f>
        <v>18</v>
      </c>
      <c r="I173" s="155"/>
      <c r="J173" s="178">
        <f>H173/DAY(B2)</f>
        <v>1.2857142857142858</v>
      </c>
    </row>
    <row r="174" spans="1:10" ht="27.75" customHeight="1">
      <c r="A174" s="789" t="s">
        <v>75</v>
      </c>
      <c r="B174" s="790"/>
      <c r="C174" s="333"/>
      <c r="D174" s="228" t="s">
        <v>142</v>
      </c>
      <c r="E174" s="95">
        <f>'13'!F174</f>
        <v>43204</v>
      </c>
      <c r="F174" s="157">
        <v>43218</v>
      </c>
      <c r="G174" s="155">
        <f t="shared" ref="G174:G175" si="15">F174-E174</f>
        <v>14</v>
      </c>
      <c r="H174" s="99">
        <f>G174+'13'!H174</f>
        <v>168</v>
      </c>
      <c r="I174" s="155"/>
      <c r="J174" s="178">
        <f>H174/DAY(B2)</f>
        <v>12</v>
      </c>
    </row>
    <row r="175" spans="1:10" ht="27.75" customHeight="1">
      <c r="A175" s="789" t="s">
        <v>76</v>
      </c>
      <c r="B175" s="802"/>
      <c r="C175" s="790"/>
      <c r="D175" s="228" t="s">
        <v>142</v>
      </c>
      <c r="E175" s="95">
        <f>'13'!F175</f>
        <v>26013</v>
      </c>
      <c r="F175" s="155">
        <v>26025</v>
      </c>
      <c r="G175" s="155">
        <f t="shared" si="15"/>
        <v>12</v>
      </c>
      <c r="H175" s="99">
        <f>G175+'13'!H175</f>
        <v>204</v>
      </c>
      <c r="I175" s="155"/>
      <c r="J175" s="178">
        <f>H175/DAY(B2)</f>
        <v>14.571428571428571</v>
      </c>
    </row>
    <row r="176" spans="1:10" ht="27.75" customHeight="1">
      <c r="A176" s="787" t="s">
        <v>196</v>
      </c>
      <c r="B176" s="788"/>
      <c r="C176" s="400"/>
      <c r="D176" s="228" t="s">
        <v>142</v>
      </c>
      <c r="E176" s="95"/>
      <c r="F176" s="155"/>
      <c r="G176" s="155">
        <f>SUM(G173:G175)</f>
        <v>26</v>
      </c>
      <c r="H176" s="99">
        <f>G176+'13'!H176</f>
        <v>390</v>
      </c>
      <c r="I176" s="155"/>
      <c r="J176" s="178">
        <f>H176/DAY(B2)</f>
        <v>27.857142857142858</v>
      </c>
    </row>
    <row r="177" spans="1:10" ht="27.75" customHeight="1">
      <c r="A177" s="789" t="s">
        <v>77</v>
      </c>
      <c r="B177" s="790"/>
      <c r="C177" s="333"/>
      <c r="D177" s="228" t="s">
        <v>142</v>
      </c>
      <c r="E177" s="95"/>
      <c r="F177" s="155"/>
      <c r="G177" s="155"/>
      <c r="H177" s="99">
        <f>G177+'13'!H177</f>
        <v>0</v>
      </c>
      <c r="I177" s="155"/>
      <c r="J177" s="178">
        <f>H177/DAY(B2)</f>
        <v>0</v>
      </c>
    </row>
    <row r="178" spans="1:10" ht="27.75" customHeight="1">
      <c r="A178" s="789" t="s">
        <v>210</v>
      </c>
      <c r="B178" s="790"/>
      <c r="C178" s="333"/>
      <c r="D178" s="228" t="s">
        <v>142</v>
      </c>
      <c r="E178" s="95">
        <f>'13'!F178</f>
        <v>108512</v>
      </c>
      <c r="F178" s="155">
        <v>108617</v>
      </c>
      <c r="G178" s="155">
        <f>F178-E178</f>
        <v>105</v>
      </c>
      <c r="H178" s="99">
        <f>G178+'13'!H178</f>
        <v>1618</v>
      </c>
      <c r="I178" s="155"/>
      <c r="J178" s="178">
        <f>H178/DAY(B2)</f>
        <v>115.57142857142857</v>
      </c>
    </row>
    <row r="179" spans="1:10" ht="27.75" customHeight="1">
      <c r="A179" s="789" t="s">
        <v>211</v>
      </c>
      <c r="B179" s="790"/>
      <c r="C179" s="333"/>
      <c r="D179" s="228" t="s">
        <v>142</v>
      </c>
      <c r="E179" s="95">
        <f>'13'!F179</f>
        <v>37501</v>
      </c>
      <c r="F179" s="155">
        <v>37501</v>
      </c>
      <c r="G179" s="155">
        <f t="shared" ref="G179:G180" si="16">F179-E179</f>
        <v>0</v>
      </c>
      <c r="H179" s="99">
        <f>G179+'13'!H179</f>
        <v>0</v>
      </c>
      <c r="I179" s="155"/>
      <c r="J179" s="178">
        <f>H179/DAY(B2)</f>
        <v>0</v>
      </c>
    </row>
    <row r="180" spans="1:10" ht="27.75" customHeight="1">
      <c r="A180" s="789" t="s">
        <v>212</v>
      </c>
      <c r="B180" s="790"/>
      <c r="C180" s="333"/>
      <c r="D180" s="228" t="s">
        <v>142</v>
      </c>
      <c r="E180" s="95">
        <f>'13'!F180</f>
        <v>7621</v>
      </c>
      <c r="F180" s="155">
        <v>7631</v>
      </c>
      <c r="G180" s="155">
        <f t="shared" si="16"/>
        <v>10</v>
      </c>
      <c r="H180" s="99">
        <f>G180+'13'!H180</f>
        <v>68</v>
      </c>
      <c r="I180" s="155"/>
      <c r="J180" s="178">
        <f>H180/DAY(B2)</f>
        <v>4.8571428571428568</v>
      </c>
    </row>
    <row r="181" spans="1:10" ht="27.75" customHeight="1">
      <c r="A181" s="876" t="s">
        <v>108</v>
      </c>
      <c r="B181" s="877"/>
      <c r="C181" s="400"/>
      <c r="D181" s="228" t="s">
        <v>142</v>
      </c>
      <c r="E181" s="95"/>
      <c r="F181" s="155" t="s">
        <v>207</v>
      </c>
      <c r="G181" s="155">
        <f>SUM(G178:G180)</f>
        <v>115</v>
      </c>
      <c r="H181" s="99">
        <f>G181+'13'!H181</f>
        <v>1686</v>
      </c>
      <c r="I181" s="155"/>
      <c r="J181" s="178">
        <f>H181/DAY(B2)</f>
        <v>120.42857142857143</v>
      </c>
    </row>
    <row r="182" spans="1:10" ht="27.75" customHeight="1">
      <c r="A182" s="789" t="s">
        <v>213</v>
      </c>
      <c r="B182" s="790"/>
      <c r="C182" s="333"/>
      <c r="D182" s="228" t="s">
        <v>142</v>
      </c>
      <c r="E182" s="95"/>
      <c r="F182" s="155"/>
      <c r="G182" s="155"/>
      <c r="H182" s="99">
        <f>G182+'13'!H182</f>
        <v>0</v>
      </c>
      <c r="I182" s="155"/>
      <c r="J182" s="178">
        <f>H182/DAY(B2)</f>
        <v>0</v>
      </c>
    </row>
    <row r="183" spans="1:10" ht="27.75" customHeight="1">
      <c r="A183" s="789" t="s">
        <v>214</v>
      </c>
      <c r="B183" s="790"/>
      <c r="C183" s="334"/>
      <c r="D183" s="228" t="s">
        <v>142</v>
      </c>
      <c r="E183" s="95">
        <f>'13'!F183</f>
        <v>18460</v>
      </c>
      <c r="F183" s="157">
        <v>18464</v>
      </c>
      <c r="G183" s="157">
        <f>F183-E183</f>
        <v>4</v>
      </c>
      <c r="H183" s="99">
        <f>G183+'13'!H183</f>
        <v>86</v>
      </c>
      <c r="I183" s="155"/>
      <c r="J183" s="178">
        <f>H183/DAY(B2)</f>
        <v>6.1428571428571432</v>
      </c>
    </row>
    <row r="184" spans="1:10" ht="27.75" customHeight="1">
      <c r="A184" s="789" t="s">
        <v>215</v>
      </c>
      <c r="B184" s="790"/>
      <c r="C184" s="334"/>
      <c r="D184" s="228" t="s">
        <v>142</v>
      </c>
      <c r="E184" s="95">
        <f>'13'!F184</f>
        <v>13112</v>
      </c>
      <c r="F184" s="157">
        <v>13116</v>
      </c>
      <c r="G184" s="157">
        <f t="shared" ref="G184:G185" si="17">F184-E184</f>
        <v>4</v>
      </c>
      <c r="H184" s="99">
        <f>G184+'13'!H184</f>
        <v>136</v>
      </c>
      <c r="I184" s="155"/>
      <c r="J184" s="178">
        <f>H184/DAY(B2)</f>
        <v>9.7142857142857135</v>
      </c>
    </row>
    <row r="185" spans="1:10" ht="27.75" customHeight="1">
      <c r="A185" s="789" t="s">
        <v>216</v>
      </c>
      <c r="B185" s="790"/>
      <c r="C185" s="334"/>
      <c r="D185" s="228" t="s">
        <v>142</v>
      </c>
      <c r="E185" s="95">
        <f>'13'!F185</f>
        <v>0</v>
      </c>
      <c r="F185" s="157">
        <v>0</v>
      </c>
      <c r="G185" s="157">
        <f t="shared" si="17"/>
        <v>0</v>
      </c>
      <c r="H185" s="99">
        <f>G185+'13'!H185</f>
        <v>0</v>
      </c>
      <c r="I185" s="155"/>
      <c r="J185" s="178">
        <f>H185/DAY(B2)</f>
        <v>0</v>
      </c>
    </row>
    <row r="186" spans="1:10" ht="27.75" customHeight="1">
      <c r="A186" s="787" t="s">
        <v>196</v>
      </c>
      <c r="B186" s="788"/>
      <c r="C186" s="399"/>
      <c r="D186" s="228" t="s">
        <v>142</v>
      </c>
      <c r="E186" s="95"/>
      <c r="F186" s="157"/>
      <c r="G186" s="157">
        <f>SUM(G183:G185)</f>
        <v>8</v>
      </c>
      <c r="H186" s="99">
        <f>G186+'13'!H186</f>
        <v>222</v>
      </c>
      <c r="I186" s="157"/>
      <c r="J186" s="178">
        <f>H186/DAY(B2)</f>
        <v>15.857142857142858</v>
      </c>
    </row>
    <row r="187" spans="1:10" ht="27.75" customHeight="1">
      <c r="A187" s="867" t="s">
        <v>217</v>
      </c>
      <c r="B187" s="868"/>
      <c r="C187" s="333"/>
      <c r="D187" s="230" t="s">
        <v>142</v>
      </c>
      <c r="E187" s="95"/>
      <c r="F187" s="159"/>
      <c r="G187" s="159">
        <f>G62+G19</f>
        <v>59</v>
      </c>
      <c r="H187" s="99">
        <f>G187+'13'!H187</f>
        <v>2088</v>
      </c>
      <c r="I187" s="158"/>
      <c r="J187" s="179">
        <f>H187/DAY(B2)</f>
        <v>149.14285714285714</v>
      </c>
    </row>
    <row r="188" spans="1:10" ht="27.75" customHeight="1">
      <c r="A188" s="867" t="s">
        <v>218</v>
      </c>
      <c r="B188" s="868"/>
      <c r="C188" s="333"/>
      <c r="D188" s="230" t="s">
        <v>142</v>
      </c>
      <c r="E188" s="95"/>
      <c r="F188" s="159"/>
      <c r="G188" s="159">
        <f>G65+G66+G67+G69+G70</f>
        <v>227</v>
      </c>
      <c r="H188" s="99"/>
      <c r="I188" s="158"/>
      <c r="J188" s="404">
        <f>H188/DAY(B2)</f>
        <v>0</v>
      </c>
    </row>
    <row r="189" spans="1:10" ht="27.75" customHeight="1">
      <c r="A189" s="867" t="s">
        <v>219</v>
      </c>
      <c r="B189" s="868"/>
      <c r="C189" s="333"/>
      <c r="D189" s="230" t="s">
        <v>142</v>
      </c>
      <c r="E189" s="95"/>
      <c r="F189" s="157"/>
      <c r="G189" s="157">
        <f>G181</f>
        <v>115</v>
      </c>
      <c r="H189" s="99">
        <f>G189+'13'!H189</f>
        <v>1686</v>
      </c>
      <c r="I189" s="158"/>
      <c r="J189" s="179">
        <f>H189/DAY(B2)</f>
        <v>120.42857142857143</v>
      </c>
    </row>
    <row r="190" spans="1:10" ht="27.75" customHeight="1">
      <c r="A190" s="874"/>
      <c r="B190" s="875"/>
      <c r="C190" s="398"/>
      <c r="D190" s="395"/>
      <c r="E190" s="395" t="s">
        <v>207</v>
      </c>
      <c r="F190" s="395"/>
      <c r="G190" s="395"/>
      <c r="H190" s="396"/>
      <c r="I190" s="395"/>
      <c r="J190" s="397"/>
    </row>
  </sheetData>
  <mergeCells count="115">
    <mergeCell ref="A142:C142"/>
    <mergeCell ref="A75:C75"/>
    <mergeCell ref="A76:C76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72:B72"/>
    <mergeCell ref="A73:C73"/>
    <mergeCell ref="A74:C74"/>
    <mergeCell ref="A113:C113"/>
    <mergeCell ref="A123:C123"/>
    <mergeCell ref="A124:C124"/>
    <mergeCell ref="A128:C128"/>
    <mergeCell ref="A131:C131"/>
    <mergeCell ref="A135:B135"/>
    <mergeCell ref="A79:C79"/>
    <mergeCell ref="A80:C80"/>
    <mergeCell ref="A159:C159"/>
    <mergeCell ref="A144:C144"/>
    <mergeCell ref="A97:C97"/>
    <mergeCell ref="A98:C98"/>
    <mergeCell ref="A99:C99"/>
    <mergeCell ref="A100:C100"/>
    <mergeCell ref="A109:B109"/>
    <mergeCell ref="A125:B125"/>
    <mergeCell ref="A126:J126"/>
    <mergeCell ref="A127:B127"/>
    <mergeCell ref="A114:C114"/>
    <mergeCell ref="A115:C115"/>
    <mergeCell ref="A116:C116"/>
    <mergeCell ref="A119:C119"/>
    <mergeCell ref="A120:C120"/>
    <mergeCell ref="A81:C81"/>
    <mergeCell ref="A155:C155"/>
    <mergeCell ref="A145:C145"/>
    <mergeCell ref="A77:C77"/>
    <mergeCell ref="A102:C102"/>
    <mergeCell ref="A95:C95"/>
    <mergeCell ref="A96:C96"/>
    <mergeCell ref="A93:C93"/>
    <mergeCell ref="A94:C94"/>
    <mergeCell ref="A101:C101"/>
    <mergeCell ref="A111:C111"/>
    <mergeCell ref="A112:C112"/>
    <mergeCell ref="A78:C78"/>
    <mergeCell ref="A146:C146"/>
    <mergeCell ref="A103:C103"/>
    <mergeCell ref="A104:C104"/>
    <mergeCell ref="A105:C105"/>
    <mergeCell ref="A108:J108"/>
    <mergeCell ref="A110:J110"/>
    <mergeCell ref="A190:B190"/>
    <mergeCell ref="A172:B172"/>
    <mergeCell ref="A173:B173"/>
    <mergeCell ref="A174:B174"/>
    <mergeCell ref="A176:B176"/>
    <mergeCell ref="A177:B177"/>
    <mergeCell ref="A184:B184"/>
    <mergeCell ref="A185:B185"/>
    <mergeCell ref="A171:J171"/>
    <mergeCell ref="A183:B183"/>
    <mergeCell ref="A181:B181"/>
    <mergeCell ref="A182:B182"/>
    <mergeCell ref="A180:B180"/>
    <mergeCell ref="A186:B186"/>
    <mergeCell ref="A187:B187"/>
    <mergeCell ref="A188:B188"/>
    <mergeCell ref="A168:B168"/>
    <mergeCell ref="A156:C156"/>
    <mergeCell ref="Q116:R116"/>
    <mergeCell ref="A117:C117"/>
    <mergeCell ref="Q117:R117"/>
    <mergeCell ref="A118:C118"/>
    <mergeCell ref="Q118:R118"/>
    <mergeCell ref="A150:C150"/>
    <mergeCell ref="A151:C151"/>
    <mergeCell ref="A152:C152"/>
    <mergeCell ref="A154:J154"/>
    <mergeCell ref="A153:B153"/>
    <mergeCell ref="A132:C132"/>
    <mergeCell ref="A133:C133"/>
    <mergeCell ref="A134:C134"/>
    <mergeCell ref="A136:J136"/>
    <mergeCell ref="A138:C138"/>
    <mergeCell ref="A139:C139"/>
    <mergeCell ref="A121:C121"/>
    <mergeCell ref="A122:C122"/>
    <mergeCell ref="A148:C148"/>
    <mergeCell ref="A149:C149"/>
    <mergeCell ref="A147:C147"/>
    <mergeCell ref="A143:C143"/>
    <mergeCell ref="A140:C140"/>
    <mergeCell ref="A141:C141"/>
    <mergeCell ref="A157:C157"/>
    <mergeCell ref="A189:B189"/>
    <mergeCell ref="A166:B166"/>
    <mergeCell ref="A167:B167"/>
    <mergeCell ref="A175:C175"/>
    <mergeCell ref="A178:B178"/>
    <mergeCell ref="A179:B179"/>
    <mergeCell ref="A160:J160"/>
    <mergeCell ref="A158:C158"/>
  </mergeCells>
  <pageMargins left="0.23622047244094491" right="0.15748031496062992" top="0.15748031496062992" bottom="0.16" header="0.19685039370078741" footer="0.19685039370078741"/>
  <pageSetup paperSize="5" scale="1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R270"/>
  <sheetViews>
    <sheetView view="pageBreakPreview" topLeftCell="A58" zoomScale="55" zoomScaleSheetLayoutView="55" workbookViewId="0">
      <selection activeCell="E138" sqref="E138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19" t="s">
        <v>115</v>
      </c>
      <c r="B1" s="920"/>
      <c r="C1" s="920"/>
      <c r="D1" s="920"/>
      <c r="E1" s="920"/>
      <c r="F1" s="920"/>
      <c r="G1" s="920"/>
      <c r="H1" s="920"/>
      <c r="I1" s="920"/>
      <c r="J1" s="921"/>
    </row>
    <row r="2" spans="1:15" s="57" customFormat="1" ht="23.25">
      <c r="A2" s="191" t="s">
        <v>373</v>
      </c>
      <c r="B2" s="262">
        <v>44941</v>
      </c>
      <c r="C2" s="348" t="s">
        <v>67</v>
      </c>
      <c r="D2" s="218">
        <v>0.5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25</v>
      </c>
      <c r="E3" s="928" t="s">
        <v>119</v>
      </c>
      <c r="F3" s="929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22" t="s">
        <v>128</v>
      </c>
      <c r="B6" s="923"/>
      <c r="C6" s="92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'14'!F7</f>
        <v>270912</v>
      </c>
      <c r="F7" s="95">
        <v>291173</v>
      </c>
      <c r="G7" s="236">
        <f>F7-E7</f>
        <v>20261</v>
      </c>
      <c r="H7" s="99">
        <f>G7+'14'!H7</f>
        <v>313554</v>
      </c>
      <c r="I7" s="113">
        <f>'1'!I7</f>
        <v>12000</v>
      </c>
      <c r="J7" s="175">
        <f>H7/DAY(B2)</f>
        <v>20903.599999999999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'14'!F8</f>
        <v>456430</v>
      </c>
      <c r="F8" s="114">
        <v>477058.8</v>
      </c>
      <c r="G8" s="519">
        <f>F8-E8</f>
        <v>20628.799999999988</v>
      </c>
      <c r="H8" s="99">
        <f>G8+'14'!H8</f>
        <v>319201.8</v>
      </c>
      <c r="I8" s="116"/>
      <c r="J8" s="175">
        <f>H8/DAY(B2)</f>
        <v>21280.12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'14'!F9</f>
        <v>4628221.5</v>
      </c>
      <c r="F9" s="468">
        <v>4639324.3</v>
      </c>
      <c r="G9" s="112">
        <f>F9-E9</f>
        <v>11102.799999999814</v>
      </c>
      <c r="H9" s="99">
        <f>G9+'14'!H9</f>
        <v>222718.39999999944</v>
      </c>
      <c r="I9" s="124">
        <f>I7-J7</f>
        <v>-8903.5999999999985</v>
      </c>
      <c r="J9" s="175">
        <f>H9/DAY(B2)</f>
        <v>14847.893333333295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'14'!F10</f>
        <v>4145161.5</v>
      </c>
      <c r="F10" s="353">
        <v>4153694.1</v>
      </c>
      <c r="G10" s="112">
        <f>F10-E10</f>
        <v>8532.6000000000931</v>
      </c>
      <c r="H10" s="99">
        <f>G10+'14'!H10</f>
        <v>83657.800000000279</v>
      </c>
      <c r="I10" s="282"/>
      <c r="J10" s="175">
        <f>H10/DAY(B2)</f>
        <v>5577.1866666666856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'14'!F11</f>
        <v>38700</v>
      </c>
      <c r="F11" s="95">
        <v>38700</v>
      </c>
      <c r="G11" s="112">
        <f t="shared" ref="G11:G12" si="0">F11-E11</f>
        <v>0</v>
      </c>
      <c r="H11" s="99">
        <f>G11+'14'!H11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'14'!F12</f>
        <v>40550</v>
      </c>
      <c r="F12" s="117">
        <v>40550</v>
      </c>
      <c r="G12" s="112">
        <f t="shared" si="0"/>
        <v>0</v>
      </c>
      <c r="H12" s="99">
        <f>G12+'14'!H12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19635.399999999907</v>
      </c>
      <c r="H13" s="99">
        <f>G13+'14'!H13</f>
        <v>306376.19999999972</v>
      </c>
      <c r="I13" s="120">
        <f>G7-G13</f>
        <v>625.60000000009313</v>
      </c>
      <c r="J13" s="175">
        <f>H13/DAY(B2)</f>
        <v>20425.07999999998</v>
      </c>
      <c r="K13" s="79"/>
      <c r="L13" s="66"/>
      <c r="N13" s="87"/>
      <c r="O13" s="71"/>
    </row>
    <row r="14" spans="1:15" ht="26.25">
      <c r="A14" s="925" t="s">
        <v>137</v>
      </c>
      <c r="B14" s="926"/>
      <c r="C14" s="92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68">
        <f>'14'!F15</f>
        <v>2269200</v>
      </c>
      <c r="F15" s="468">
        <v>2270211</v>
      </c>
      <c r="G15" s="112">
        <f>(F15-E15)</f>
        <v>1011</v>
      </c>
      <c r="H15" s="99">
        <f>G15+'14'!H15</f>
        <v>16909.641999999993</v>
      </c>
      <c r="I15" s="113">
        <f>'1'!I15</f>
        <v>800</v>
      </c>
      <c r="J15" s="175">
        <f>H15/DAY(B2)</f>
        <v>1127.3094666666661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G16" s="112"/>
      <c r="H16" s="124"/>
      <c r="I16" s="120">
        <f>I15-J15</f>
        <v>-327.30946666666614</v>
      </c>
      <c r="J16" s="176"/>
      <c r="K16" s="79"/>
      <c r="L16" s="66"/>
      <c r="N16" s="87"/>
      <c r="O16" s="71"/>
    </row>
    <row r="17" spans="1:15" ht="26.25">
      <c r="A17" s="925" t="s">
        <v>140</v>
      </c>
      <c r="B17" s="926"/>
      <c r="C17" s="92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02" t="s">
        <v>141</v>
      </c>
      <c r="B18" s="903"/>
      <c r="C18" s="904"/>
      <c r="D18" s="151" t="s">
        <v>142</v>
      </c>
      <c r="E18" s="95">
        <f>'14'!F18</f>
        <v>23</v>
      </c>
      <c r="F18" s="122">
        <v>30</v>
      </c>
      <c r="G18" s="119">
        <f>F18*10</f>
        <v>300</v>
      </c>
      <c r="H18" s="99">
        <f>G18+'14'!H18</f>
        <v>3220</v>
      </c>
      <c r="I18" s="113">
        <f>'1'!I18</f>
        <v>65</v>
      </c>
      <c r="J18" s="175">
        <f>H18/DAY(B2)</f>
        <v>214.66666666666666</v>
      </c>
      <c r="K18" s="79"/>
      <c r="L18" s="66"/>
      <c r="N18" s="87"/>
      <c r="O18" s="71"/>
    </row>
    <row r="19" spans="1:15" ht="25.5">
      <c r="A19" s="902" t="s">
        <v>69</v>
      </c>
      <c r="B19" s="903"/>
      <c r="C19" s="904"/>
      <c r="D19" s="151" t="s">
        <v>142</v>
      </c>
      <c r="E19" s="95">
        <f>'14'!F19</f>
        <v>170363</v>
      </c>
      <c r="F19" s="122">
        <v>170418</v>
      </c>
      <c r="G19" s="112">
        <f t="shared" ref="G19" si="1">F19-E19</f>
        <v>55</v>
      </c>
      <c r="H19" s="99">
        <f>G19+'14'!H19</f>
        <v>858</v>
      </c>
      <c r="I19" s="335"/>
      <c r="J19" s="175">
        <f>H19/DAY(B2)</f>
        <v>57.2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355</v>
      </c>
      <c r="H20" s="99">
        <f>G20+'14'!H20</f>
        <v>4078</v>
      </c>
      <c r="I20" s="336">
        <f>I18-J20</f>
        <v>-206.86666666666667</v>
      </c>
      <c r="J20" s="175">
        <f>H20/DAY(B2)</f>
        <v>271.86666666666667</v>
      </c>
      <c r="K20" s="79"/>
      <c r="L20" s="66"/>
      <c r="N20" s="87"/>
      <c r="O20" s="71"/>
    </row>
    <row r="21" spans="1:15" ht="26.25">
      <c r="A21" s="925" t="s">
        <v>144</v>
      </c>
      <c r="B21" s="926"/>
      <c r="C21" s="92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'14'!F22</f>
        <v>2970</v>
      </c>
      <c r="F22" s="122">
        <v>2970</v>
      </c>
      <c r="G22" s="119">
        <f t="shared" ref="G22" si="2">(F22-E22)</f>
        <v>0</v>
      </c>
      <c r="H22" s="99">
        <f>G22+'14'!H22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'14'!F23</f>
        <v>1960</v>
      </c>
      <c r="F23" s="122">
        <v>1860</v>
      </c>
      <c r="G23" s="119">
        <v>0</v>
      </c>
      <c r="H23" s="99">
        <f>G23+'14'!H23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'14'!F24</f>
        <v>4930</v>
      </c>
      <c r="F24" s="128">
        <v>4970</v>
      </c>
      <c r="G24" s="119">
        <v>0</v>
      </c>
      <c r="H24" s="99">
        <f>G24+'14'!H24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30" t="s">
        <v>149</v>
      </c>
      <c r="B25" s="931"/>
      <c r="C25" s="93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20628.799999999988</v>
      </c>
      <c r="F27" s="136">
        <v>9</v>
      </c>
      <c r="G27" s="137">
        <f>E27*F27</f>
        <v>185659.1999999999</v>
      </c>
      <c r="H27" s="99">
        <f>G27+'14'!H27</f>
        <v>2979023.1999999997</v>
      </c>
      <c r="I27" s="138"/>
      <c r="J27" s="175">
        <f>H27/DAY(B2)</f>
        <v>198601.54666666666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1011</v>
      </c>
      <c r="F28" s="136">
        <v>70</v>
      </c>
      <c r="G28" s="137">
        <f>E28*F28</f>
        <v>70770</v>
      </c>
      <c r="H28" s="99">
        <f>G28+'14'!H28</f>
        <v>1178988.1499999994</v>
      </c>
      <c r="I28" s="140"/>
      <c r="J28" s="175">
        <f>H28/DAY(B2)</f>
        <v>78599.209999999963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G29+'14'!H29</f>
        <v>6900</v>
      </c>
      <c r="I29" s="140"/>
      <c r="J29" s="175">
        <f>H29/DAY(B2)</f>
        <v>460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151</v>
      </c>
      <c r="G30" s="137">
        <f>E30*F30</f>
        <v>8305</v>
      </c>
      <c r="H30" s="99">
        <f>G30+'14'!H30</f>
        <v>129558</v>
      </c>
      <c r="I30" s="140"/>
      <c r="J30" s="175">
        <f>H30/DAY(B2)</f>
        <v>8637.2000000000007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300</v>
      </c>
      <c r="F31" s="136">
        <v>80</v>
      </c>
      <c r="G31" s="137">
        <f>E31*F31</f>
        <v>24000</v>
      </c>
      <c r="H31" s="99">
        <f>G31+'14'!H31</f>
        <v>261600</v>
      </c>
      <c r="I31" s="140"/>
      <c r="J31" s="175">
        <f>H31/DAY(B2)</f>
        <v>17440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288734.1999999999</v>
      </c>
      <c r="H32" s="99">
        <f>G32+'14'!H32</f>
        <v>4556069.3499999996</v>
      </c>
      <c r="I32" s="144"/>
      <c r="J32" s="175">
        <f>H32/DAY(B2)</f>
        <v>303737.95666666667</v>
      </c>
      <c r="K32" s="63"/>
      <c r="L32" s="89"/>
      <c r="N32" s="87"/>
      <c r="O32" s="71"/>
    </row>
    <row r="33" spans="1:15" ht="25.5" customHeight="1">
      <c r="A33" s="933" t="s">
        <v>331</v>
      </c>
      <c r="B33" s="934"/>
      <c r="C33" s="93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'14'!F35</f>
        <v>490739.79</v>
      </c>
      <c r="F35" s="145">
        <v>493932.4</v>
      </c>
      <c r="G35" s="112">
        <f t="shared" ref="G35:G46" si="3">F35-E35</f>
        <v>3192.6100000000442</v>
      </c>
      <c r="H35" s="99">
        <f>G35+'14'!H35</f>
        <v>39414.410000000033</v>
      </c>
      <c r="I35" s="95"/>
      <c r="J35" s="175">
        <f>H35/DAY(B2)</f>
        <v>2627.6273333333356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'14'!F36</f>
        <v>366351.79</v>
      </c>
      <c r="F36" s="145">
        <v>367045.39</v>
      </c>
      <c r="G36" s="112">
        <f t="shared" si="3"/>
        <v>693.60000000003492</v>
      </c>
      <c r="H36" s="99">
        <f>G36+'14'!H36</f>
        <v>12956.489999999991</v>
      </c>
      <c r="I36" s="95"/>
      <c r="J36" s="175">
        <f>H36/DAY(B2)</f>
        <v>863.76599999999939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'14'!F37</f>
        <v>358947.47</v>
      </c>
      <c r="F37" s="145">
        <v>360360.11</v>
      </c>
      <c r="G37" s="112">
        <f t="shared" si="3"/>
        <v>1412.640000000014</v>
      </c>
      <c r="H37" s="99">
        <f>G37+'14'!H37</f>
        <v>22090.239999999991</v>
      </c>
      <c r="I37" s="95"/>
      <c r="J37" s="175">
        <f>H37/DAY(B2)</f>
        <v>1472.6826666666661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'14'!F38</f>
        <v>832623.99</v>
      </c>
      <c r="F38" s="108">
        <v>835116.87</v>
      </c>
      <c r="G38" s="112">
        <f t="shared" si="3"/>
        <v>2492.8800000000047</v>
      </c>
      <c r="H38" s="99">
        <f>G38+'14'!H38</f>
        <v>35439.520000000019</v>
      </c>
      <c r="I38" s="95"/>
      <c r="J38" s="175">
        <f>H38/DAY(B2)</f>
        <v>2362.6346666666677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'14'!F39</f>
        <v>659627.18999999994</v>
      </c>
      <c r="F39" s="145">
        <v>662268.87</v>
      </c>
      <c r="G39" s="112">
        <f t="shared" si="3"/>
        <v>2641.6800000000512</v>
      </c>
      <c r="H39" s="99">
        <f>G39+'14'!H39</f>
        <v>41978.869999999995</v>
      </c>
      <c r="I39" s="95"/>
      <c r="J39" s="175">
        <f>H39/DAY(B2)</f>
        <v>2798.5913333333328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'14'!F40</f>
        <v>214107.97</v>
      </c>
      <c r="F40" s="145">
        <v>214360.87</v>
      </c>
      <c r="G40" s="112">
        <f t="shared" si="3"/>
        <v>252.89999999999418</v>
      </c>
      <c r="H40" s="99">
        <f>G40+'14'!H40</f>
        <v>4674.5199999999895</v>
      </c>
      <c r="I40" s="95"/>
      <c r="J40" s="175">
        <f>H40/DAY(B2)</f>
        <v>311.63466666666596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'14'!F41</f>
        <v>420212.51</v>
      </c>
      <c r="F41" s="145">
        <v>420212.51</v>
      </c>
      <c r="G41" s="112">
        <f t="shared" si="3"/>
        <v>0</v>
      </c>
      <c r="H41" s="99">
        <f>G41+'14'!H41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'14'!F42</f>
        <v>970677</v>
      </c>
      <c r="F42" s="145">
        <v>970677.43</v>
      </c>
      <c r="G42" s="112">
        <f t="shared" si="3"/>
        <v>0.43000000005122274</v>
      </c>
      <c r="H42" s="99">
        <f>G42+'14'!H42</f>
        <v>49722.960000000079</v>
      </c>
      <c r="I42" s="95"/>
      <c r="J42" s="175">
        <f>H42/DAY(B2)</f>
        <v>3314.8640000000055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'14'!F43</f>
        <v>422444</v>
      </c>
      <c r="F43" s="145">
        <v>422444</v>
      </c>
      <c r="G43" s="112">
        <f t="shared" si="3"/>
        <v>0</v>
      </c>
      <c r="H43" s="99">
        <f>G43+'14'!H43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'14'!F44</f>
        <v>0</v>
      </c>
      <c r="F44" s="145">
        <v>0</v>
      </c>
      <c r="G44" s="112">
        <f t="shared" si="3"/>
        <v>0</v>
      </c>
      <c r="H44" s="99">
        <f>G44+'14'!H44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'14'!F45</f>
        <v>0</v>
      </c>
      <c r="F45" s="145">
        <v>0</v>
      </c>
      <c r="G45" s="112">
        <f t="shared" si="3"/>
        <v>0</v>
      </c>
      <c r="H45" s="99">
        <f>G45+'14'!H45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'14'!F46</f>
        <v>0</v>
      </c>
      <c r="F46" s="145">
        <v>0</v>
      </c>
      <c r="G46" s="112">
        <f t="shared" si="3"/>
        <v>0</v>
      </c>
      <c r="H46" s="99">
        <f>G46+'14'!H46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10686.740000000194</v>
      </c>
      <c r="H47" s="99">
        <f>G47+'14'!H47</f>
        <v>206277.0100000001</v>
      </c>
      <c r="I47" s="95"/>
      <c r="J47" s="175">
        <f>H47/DAY(B2)</f>
        <v>13751.800666666673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'14'!F49</f>
        <v>813793.99</v>
      </c>
      <c r="F49" s="145">
        <v>814337.27</v>
      </c>
      <c r="G49" s="112">
        <f t="shared" ref="G49:G58" si="4">F49-E49</f>
        <v>543.28000000002794</v>
      </c>
      <c r="H49" s="99">
        <f>G49+'14'!H49</f>
        <v>7833.1199999999953</v>
      </c>
      <c r="I49" s="95"/>
      <c r="J49" s="175">
        <f>H49/DAY(B2)</f>
        <v>522.20799999999974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'14'!F50</f>
        <v>520972.79</v>
      </c>
      <c r="F50" s="145">
        <v>522216.51</v>
      </c>
      <c r="G50" s="112">
        <f t="shared" si="4"/>
        <v>1243.7200000000303</v>
      </c>
      <c r="H50" s="99">
        <f>G50+'14'!H50</f>
        <v>21063.510000000009</v>
      </c>
      <c r="I50" s="95"/>
      <c r="J50" s="175">
        <f>H50/DAY(B2)</f>
        <v>1404.2340000000006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'14'!F51</f>
        <v>156958.44</v>
      </c>
      <c r="F51" s="145">
        <v>156958.44</v>
      </c>
      <c r="G51" s="112">
        <f t="shared" si="4"/>
        <v>0</v>
      </c>
      <c r="H51" s="99">
        <f>G51+'14'!H51</f>
        <v>0.44000000000232831</v>
      </c>
      <c r="I51" s="95"/>
      <c r="J51" s="175">
        <f>H51/DAY(B2)</f>
        <v>2.9333333333488552E-2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'14'!F52</f>
        <v>10</v>
      </c>
      <c r="F52" s="145">
        <v>9.76</v>
      </c>
      <c r="G52" s="112">
        <f t="shared" si="4"/>
        <v>-0.24000000000000021</v>
      </c>
      <c r="H52" s="99">
        <f>G52+'14'!H52</f>
        <v>-0.24000000000000021</v>
      </c>
      <c r="I52" s="95"/>
      <c r="J52" s="175">
        <f>H52/DAY(B2)</f>
        <v>-1.6000000000000014E-2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'14'!F53</f>
        <v>630355.03</v>
      </c>
      <c r="F53" s="145">
        <v>630355.03</v>
      </c>
      <c r="G53" s="112">
        <f t="shared" si="4"/>
        <v>0</v>
      </c>
      <c r="H53" s="99">
        <f>G53+'14'!H53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'14'!F54</f>
        <v>119399.08</v>
      </c>
      <c r="F54" s="145">
        <v>119649.98</v>
      </c>
      <c r="G54" s="112">
        <f t="shared" si="4"/>
        <v>250.89999999999418</v>
      </c>
      <c r="H54" s="99">
        <f>G54+'14'!H54</f>
        <v>5052.8499999999913</v>
      </c>
      <c r="I54" s="95"/>
      <c r="J54" s="175">
        <f>H54/DAY(B2)</f>
        <v>336.85666666666606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'14'!F55</f>
        <v>576335.63</v>
      </c>
      <c r="F55" s="145">
        <v>576335.63</v>
      </c>
      <c r="G55" s="112">
        <f t="shared" si="4"/>
        <v>0</v>
      </c>
      <c r="H55" s="99">
        <f>G55+'14'!H55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'14'!F56</f>
        <v>342780.11</v>
      </c>
      <c r="F56" s="145">
        <v>345356.39</v>
      </c>
      <c r="G56" s="112">
        <f t="shared" si="4"/>
        <v>2576.2800000000279</v>
      </c>
      <c r="H56" s="99">
        <f>G56+'14'!H56</f>
        <v>10130.179999999993</v>
      </c>
      <c r="I56" s="95"/>
      <c r="J56" s="175">
        <f>H56/DAY(B2)</f>
        <v>675.34533333333286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'14'!F57</f>
        <v>664617.99</v>
      </c>
      <c r="F57" s="145">
        <v>667239.31000000006</v>
      </c>
      <c r="G57" s="112">
        <f t="shared" si="4"/>
        <v>2621.3200000000652</v>
      </c>
      <c r="H57" s="99">
        <f>G57+'14'!H57</f>
        <v>36406.310000000056</v>
      </c>
      <c r="I57" s="95"/>
      <c r="J57" s="175">
        <f>H57/DAY(B2)</f>
        <v>2427.087333333337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'14'!F58</f>
        <v>90135.47</v>
      </c>
      <c r="F58" s="145">
        <v>90395.358999999997</v>
      </c>
      <c r="G58" s="112">
        <f t="shared" si="4"/>
        <v>259.88899999999558</v>
      </c>
      <c r="H58" s="99">
        <f>G58+'14'!H58</f>
        <v>3834.8600000000006</v>
      </c>
      <c r="I58" s="95"/>
      <c r="J58" s="175">
        <f>H58/DAY(B2)</f>
        <v>255.65733333333338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7495.1490000001413</v>
      </c>
      <c r="H59" s="99">
        <f>G59+'14'!H59</f>
        <v>84321.030000000042</v>
      </c>
      <c r="I59" s="95">
        <f>G7-G60</f>
        <v>2079.1109999996625</v>
      </c>
      <c r="J59" s="175">
        <f>H59/DAY(B2)</f>
        <v>5621.4020000000028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18181.889000000338</v>
      </c>
      <c r="H60" s="99">
        <f>G60+'14'!H60</f>
        <v>290598.0400000001</v>
      </c>
      <c r="I60" s="95">
        <f>G13-G60</f>
        <v>1453.5109999995693</v>
      </c>
      <c r="J60" s="175">
        <f>H60/DAY(B2)</f>
        <v>19373.202666666672</v>
      </c>
      <c r="K60" s="79"/>
      <c r="L60" s="66"/>
      <c r="N60" s="87"/>
      <c r="O60" s="71"/>
    </row>
    <row r="61" spans="1:15" s="68" customFormat="1" ht="26.25">
      <c r="A61" s="935" t="s">
        <v>332</v>
      </c>
      <c r="B61" s="936"/>
      <c r="C61" s="93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02" t="s">
        <v>198</v>
      </c>
      <c r="B62" s="903"/>
      <c r="C62" s="904"/>
      <c r="D62" s="151" t="s">
        <v>142</v>
      </c>
      <c r="E62" s="95">
        <f>'14'!F62</f>
        <v>313385</v>
      </c>
      <c r="F62" s="122">
        <v>313528.5</v>
      </c>
      <c r="G62" s="112">
        <f t="shared" ref="G62:G63" si="5">F62-E62</f>
        <v>143.5</v>
      </c>
      <c r="H62" s="99">
        <f>G62+'14'!H62</f>
        <v>1428.5</v>
      </c>
      <c r="I62" s="118"/>
      <c r="J62" s="175">
        <f>H62/DAY(B2)</f>
        <v>95.233333333333334</v>
      </c>
      <c r="K62" s="80"/>
      <c r="L62" s="66"/>
      <c r="N62" s="87"/>
      <c r="O62" s="71"/>
    </row>
    <row r="63" spans="1:15" ht="25.5">
      <c r="A63" s="902" t="s">
        <v>199</v>
      </c>
      <c r="B63" s="903"/>
      <c r="C63" s="904"/>
      <c r="D63" s="151" t="s">
        <v>142</v>
      </c>
      <c r="E63" s="95">
        <f>'14'!F63</f>
        <v>250566</v>
      </c>
      <c r="F63" s="122">
        <v>250670</v>
      </c>
      <c r="G63" s="112">
        <f t="shared" si="5"/>
        <v>104</v>
      </c>
      <c r="H63" s="99">
        <f>G63+'14'!H63</f>
        <v>1635</v>
      </c>
      <c r="I63" s="118"/>
      <c r="J63" s="175">
        <f>H63/DAY(B2)</f>
        <v>109</v>
      </c>
      <c r="K63" s="69"/>
      <c r="L63" s="66"/>
      <c r="N63" s="87"/>
      <c r="O63" s="71"/>
    </row>
    <row r="64" spans="1:15" ht="26.25">
      <c r="A64" s="911" t="s">
        <v>200</v>
      </c>
      <c r="B64" s="912"/>
      <c r="C64" s="913"/>
      <c r="D64" s="151"/>
      <c r="E64" s="95"/>
      <c r="F64" s="122"/>
      <c r="G64" s="112">
        <f>G62+G63</f>
        <v>247.5</v>
      </c>
      <c r="H64" s="99">
        <f>G64+'14'!H64</f>
        <v>3063.5</v>
      </c>
      <c r="I64" s="118"/>
      <c r="J64" s="175">
        <f>H64/DAY(B2)</f>
        <v>204.23333333333332</v>
      </c>
      <c r="K64" s="69"/>
      <c r="L64" s="66"/>
      <c r="N64" s="87"/>
      <c r="O64" s="71"/>
    </row>
    <row r="65" spans="1:15" ht="25.5">
      <c r="A65" s="902" t="s">
        <v>201</v>
      </c>
      <c r="B65" s="903"/>
      <c r="C65" s="904"/>
      <c r="D65" s="151" t="s">
        <v>142</v>
      </c>
      <c r="E65" s="95">
        <f>'14'!F65</f>
        <v>473776</v>
      </c>
      <c r="F65" s="122">
        <v>473897</v>
      </c>
      <c r="G65" s="112">
        <f t="shared" ref="G65:G70" si="6">F65-E65</f>
        <v>121</v>
      </c>
      <c r="H65" s="99">
        <f>G65+'14'!H65</f>
        <v>1867</v>
      </c>
      <c r="I65" s="118"/>
      <c r="J65" s="175">
        <f>H65/DAY(B2)</f>
        <v>124.46666666666667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'14'!F66</f>
        <v>113945</v>
      </c>
      <c r="F66" s="122">
        <v>113987</v>
      </c>
      <c r="G66" s="112">
        <f t="shared" si="6"/>
        <v>42</v>
      </c>
      <c r="H66" s="99">
        <f>G66+'14'!H66</f>
        <v>1265</v>
      </c>
      <c r="I66" s="118"/>
      <c r="J66" s="175">
        <f>H66/DAY(B2)</f>
        <v>84.333333333333329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'14'!F67</f>
        <v>116910</v>
      </c>
      <c r="F67" s="122">
        <v>116917</v>
      </c>
      <c r="G67" s="112">
        <f t="shared" si="6"/>
        <v>7</v>
      </c>
      <c r="H67" s="99">
        <f>G67+'14'!H67</f>
        <v>350</v>
      </c>
      <c r="I67" s="118"/>
      <c r="J67" s="175">
        <f>H67/DAY(B2)</f>
        <v>23.333333333333332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'14'!F68</f>
        <v>169618</v>
      </c>
      <c r="F68" s="122">
        <v>169651</v>
      </c>
      <c r="G68" s="112">
        <f t="shared" si="6"/>
        <v>33</v>
      </c>
      <c r="H68" s="99">
        <f>G68+'14'!H68</f>
        <v>292</v>
      </c>
      <c r="I68" s="118"/>
      <c r="J68" s="175">
        <f>H68/DAY(B2)</f>
        <v>19.466666666666665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'14'!F69</f>
        <v>13030</v>
      </c>
      <c r="F69" s="122">
        <v>13034</v>
      </c>
      <c r="G69" s="112">
        <f t="shared" si="6"/>
        <v>4</v>
      </c>
      <c r="H69" s="99">
        <f>G69+'14'!H69</f>
        <v>68</v>
      </c>
      <c r="I69" s="118"/>
      <c r="J69" s="175">
        <f>H69/DAY(B2)</f>
        <v>4.5333333333333332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'14'!F70</f>
        <v>11136</v>
      </c>
      <c r="F70" s="122">
        <v>11140</v>
      </c>
      <c r="G70" s="112">
        <f t="shared" si="6"/>
        <v>4</v>
      </c>
      <c r="H70" s="99">
        <f>G70+'14'!H70</f>
        <v>124</v>
      </c>
      <c r="I70" s="118"/>
      <c r="J70" s="175">
        <f>H70/DAY(B2)</f>
        <v>8.2666666666666675</v>
      </c>
      <c r="K70" s="69"/>
      <c r="L70" s="66"/>
      <c r="N70" s="87"/>
      <c r="O70" s="71"/>
    </row>
    <row r="71" spans="1:15" ht="26.25">
      <c r="A71" s="911" t="s">
        <v>208</v>
      </c>
      <c r="B71" s="912"/>
      <c r="C71" s="913"/>
      <c r="D71" s="152"/>
      <c r="E71" s="152"/>
      <c r="F71" s="152"/>
      <c r="G71" s="153">
        <f>SUM(G65:G70)</f>
        <v>211</v>
      </c>
      <c r="H71" s="99">
        <f>G71+'14'!H71</f>
        <v>3966</v>
      </c>
      <c r="I71" s="154"/>
      <c r="J71" s="175">
        <f>H71/DAY(B2)</f>
        <v>264.39999999999998</v>
      </c>
      <c r="K71" s="69"/>
      <c r="L71" s="66"/>
      <c r="N71" s="87"/>
      <c r="O71" s="71"/>
    </row>
    <row r="72" spans="1:15" s="88" customFormat="1" ht="25.5">
      <c r="A72" s="898"/>
      <c r="B72" s="88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08" t="s">
        <v>333</v>
      </c>
      <c r="B73" s="909"/>
      <c r="C73" s="910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02" t="s">
        <v>220</v>
      </c>
      <c r="B74" s="903"/>
      <c r="C74" s="904"/>
      <c r="D74" s="151" t="s">
        <v>139</v>
      </c>
      <c r="E74" s="95">
        <f>'14'!F74</f>
        <v>997449</v>
      </c>
      <c r="F74" s="123">
        <v>997562</v>
      </c>
      <c r="G74" s="112">
        <f t="shared" ref="G74:G78" si="7">F74-E74</f>
        <v>113</v>
      </c>
      <c r="H74" s="99">
        <f>G74+'14'!H74</f>
        <v>995047</v>
      </c>
      <c r="I74" s="154"/>
      <c r="J74" s="175">
        <f>H74/DAY(B2)</f>
        <v>66336.46666666666</v>
      </c>
      <c r="K74" s="69"/>
      <c r="L74" s="66"/>
      <c r="N74" s="87"/>
      <c r="O74" s="71"/>
    </row>
    <row r="75" spans="1:15" ht="25.5">
      <c r="A75" s="902" t="s">
        <v>221</v>
      </c>
      <c r="B75" s="903"/>
      <c r="C75" s="904"/>
      <c r="D75" s="151" t="s">
        <v>139</v>
      </c>
      <c r="E75" s="95">
        <f>'14'!F75</f>
        <v>73586.600000000006</v>
      </c>
      <c r="F75" s="123">
        <v>73586.8</v>
      </c>
      <c r="G75" s="112">
        <f t="shared" si="7"/>
        <v>0.19999999999708962</v>
      </c>
      <c r="H75" s="99">
        <f>G75+'14'!H75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899" t="s">
        <v>222</v>
      </c>
      <c r="B76" s="900"/>
      <c r="C76" s="901"/>
      <c r="D76" s="151" t="s">
        <v>139</v>
      </c>
      <c r="E76" s="95">
        <f>'14'!F76</f>
        <v>208870</v>
      </c>
      <c r="F76" s="123">
        <v>208963</v>
      </c>
      <c r="G76" s="112">
        <f t="shared" si="7"/>
        <v>93</v>
      </c>
      <c r="H76" s="99">
        <f>G76+'14'!H76</f>
        <v>1586</v>
      </c>
      <c r="I76" s="154"/>
      <c r="J76" s="175">
        <f>H76/DAY(B2)</f>
        <v>105.73333333333333</v>
      </c>
      <c r="K76" s="69"/>
      <c r="L76" s="66"/>
      <c r="N76" s="87"/>
      <c r="O76" s="71"/>
    </row>
    <row r="77" spans="1:15" ht="25.5">
      <c r="A77" s="899" t="s">
        <v>223</v>
      </c>
      <c r="B77" s="900"/>
      <c r="C77" s="901"/>
      <c r="D77" s="151" t="s">
        <v>139</v>
      </c>
      <c r="E77" s="95">
        <f>'14'!F77</f>
        <v>58846</v>
      </c>
      <c r="F77" s="123">
        <v>58886</v>
      </c>
      <c r="G77" s="112">
        <f t="shared" si="7"/>
        <v>40</v>
      </c>
      <c r="H77" s="99">
        <f>G77+'14'!H77</f>
        <v>734</v>
      </c>
      <c r="I77" s="154"/>
      <c r="J77" s="175">
        <f>H77/DAY(B2)</f>
        <v>48.93333333333333</v>
      </c>
      <c r="K77" s="69"/>
      <c r="L77" s="66"/>
      <c r="N77" s="87"/>
      <c r="O77" s="71"/>
    </row>
    <row r="78" spans="1:15" ht="25.5">
      <c r="A78" s="899" t="s">
        <v>224</v>
      </c>
      <c r="B78" s="900"/>
      <c r="C78" s="901"/>
      <c r="D78" s="151" t="s">
        <v>139</v>
      </c>
      <c r="E78" s="95">
        <f>'14'!F78</f>
        <v>9564</v>
      </c>
      <c r="F78" s="409">
        <v>9564</v>
      </c>
      <c r="G78" s="112">
        <f t="shared" si="7"/>
        <v>0</v>
      </c>
      <c r="H78" s="99">
        <f>G78+'14'!H78</f>
        <v>-1</v>
      </c>
      <c r="I78" s="118"/>
      <c r="J78" s="175">
        <f>H78/DAY(B2)</f>
        <v>-6.6666666666666666E-2</v>
      </c>
      <c r="K78" s="69"/>
      <c r="L78" s="66"/>
      <c r="N78" s="87"/>
      <c r="O78" s="71"/>
    </row>
    <row r="79" spans="1:15" s="57" customFormat="1" ht="25.5">
      <c r="A79" s="899" t="s">
        <v>225</v>
      </c>
      <c r="B79" s="900"/>
      <c r="C79" s="901"/>
      <c r="D79" s="151"/>
      <c r="E79" s="95">
        <f>'14'!F79</f>
        <v>0</v>
      </c>
      <c r="F79" s="123"/>
      <c r="G79" s="112">
        <f>G15-SUM(G74:G78)</f>
        <v>764.80000000000291</v>
      </c>
      <c r="H79" s="99">
        <f>G79+'14'!H79</f>
        <v>-980456.35799999989</v>
      </c>
      <c r="I79" s="118"/>
      <c r="J79" s="175"/>
      <c r="K79" s="59"/>
      <c r="L79" s="58"/>
      <c r="N79" s="87"/>
      <c r="O79" s="71"/>
    </row>
    <row r="80" spans="1:15" s="57" customFormat="1" ht="26.25">
      <c r="A80" s="911" t="s">
        <v>329</v>
      </c>
      <c r="B80" s="912"/>
      <c r="C80" s="913"/>
      <c r="D80" s="151"/>
      <c r="E80" s="117"/>
      <c r="F80" s="117"/>
      <c r="G80" s="112">
        <f>SUM(G74:G79)</f>
        <v>1011</v>
      </c>
      <c r="H80" s="99"/>
      <c r="I80" s="118"/>
      <c r="J80" s="175"/>
      <c r="K80" s="59"/>
      <c r="L80" s="58"/>
      <c r="N80" s="87"/>
      <c r="O80" s="71"/>
    </row>
    <row r="81" spans="1:15" ht="25.5">
      <c r="A81" s="915" t="s">
        <v>226</v>
      </c>
      <c r="B81" s="916"/>
      <c r="C81" s="917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'14'!F82</f>
        <v>0</v>
      </c>
      <c r="F82" s="122">
        <v>0</v>
      </c>
      <c r="G82" s="112">
        <f t="shared" ref="G82:G92" si="8">F82-E82</f>
        <v>0</v>
      </c>
      <c r="H82" s="99">
        <f>G82+'14'!H82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'14'!F83</f>
        <v>0</v>
      </c>
      <c r="F83" s="122">
        <v>0</v>
      </c>
      <c r="G83" s="112">
        <f t="shared" si="8"/>
        <v>0</v>
      </c>
      <c r="H83" s="99">
        <f>G83+'14'!H83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'14'!F84</f>
        <v>43546</v>
      </c>
      <c r="F84" s="164">
        <v>43546</v>
      </c>
      <c r="G84" s="112">
        <f t="shared" si="8"/>
        <v>0</v>
      </c>
      <c r="H84" s="99">
        <f>G84+'14'!H84</f>
        <v>0</v>
      </c>
      <c r="I84" s="545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'14'!F85</f>
        <v>6203</v>
      </c>
      <c r="F85" s="164">
        <v>6203</v>
      </c>
      <c r="G85" s="112">
        <f t="shared" si="8"/>
        <v>0</v>
      </c>
      <c r="H85" s="99">
        <f>G85+'14'!H85</f>
        <v>270.55000000000018</v>
      </c>
      <c r="I85" s="545"/>
      <c r="J85" s="175">
        <f>H85/DAY(B2)</f>
        <v>18.03666666666668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'14'!F86</f>
        <v>46834.080000000002</v>
      </c>
      <c r="F86" s="164">
        <v>46834</v>
      </c>
      <c r="G86" s="112">
        <f t="shared" si="8"/>
        <v>-8.000000000174623E-2</v>
      </c>
      <c r="H86" s="99">
        <f>G86+'14'!H86</f>
        <v>0</v>
      </c>
      <c r="I86" s="545"/>
      <c r="J86" s="175">
        <f>H86/DAY(B2)</f>
        <v>0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'14'!F87</f>
        <v>37096</v>
      </c>
      <c r="F87" s="164">
        <v>37120.449999999997</v>
      </c>
      <c r="G87" s="112">
        <f t="shared" si="8"/>
        <v>24.44999999999709</v>
      </c>
      <c r="H87" s="99">
        <f>G87+'14'!H87</f>
        <v>92.44999999999709</v>
      </c>
      <c r="I87" s="545">
        <f>G84+G85+G86+G87</f>
        <v>24.369999999995343</v>
      </c>
      <c r="J87" s="175">
        <f>H87/DAY(B2)</f>
        <v>6.1633333333331395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'14'!F88</f>
        <v>24642</v>
      </c>
      <c r="F88" s="164">
        <v>24648.39</v>
      </c>
      <c r="G88" s="112">
        <f t="shared" si="8"/>
        <v>6.3899999999994179</v>
      </c>
      <c r="H88" s="99">
        <f>G88+'14'!H88</f>
        <v>44.790000000000873</v>
      </c>
      <c r="I88" s="545"/>
      <c r="J88" s="175">
        <f>H88/DAY(B2)</f>
        <v>2.9860000000000584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'14'!F89</f>
        <v>28898</v>
      </c>
      <c r="F89" s="164">
        <v>28905</v>
      </c>
      <c r="G89" s="112">
        <f t="shared" si="8"/>
        <v>7</v>
      </c>
      <c r="H89" s="99">
        <f>G89+'14'!H89</f>
        <v>156.61000000000058</v>
      </c>
      <c r="I89" s="545">
        <f>G88+G89</f>
        <v>13.389999999999418</v>
      </c>
      <c r="J89" s="175">
        <f>H89/DAY(B2)</f>
        <v>10.440666666666706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'14'!F90</f>
        <v>74343</v>
      </c>
      <c r="F90" s="164">
        <v>74352.41</v>
      </c>
      <c r="G90" s="112">
        <f t="shared" si="8"/>
        <v>9.4100000000034925</v>
      </c>
      <c r="H90" s="99">
        <f>G90+'14'!H90</f>
        <v>149.23000000001048</v>
      </c>
      <c r="I90" s="545">
        <f>G90</f>
        <v>9.4100000000034925</v>
      </c>
      <c r="J90" s="175">
        <f>H90/DAY(B2)</f>
        <v>9.948666666667366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'14'!F91</f>
        <v>5618</v>
      </c>
      <c r="F91" s="122">
        <v>5618</v>
      </c>
      <c r="G91" s="112">
        <f t="shared" si="8"/>
        <v>0</v>
      </c>
      <c r="H91" s="99">
        <f>G91+'14'!H91</f>
        <v>-0.21000000000003638</v>
      </c>
      <c r="I91" s="546"/>
      <c r="J91" s="175">
        <f>H91/DAY(B2)</f>
        <v>-1.4000000000002425E-2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'14'!F92</f>
        <v>7237.35</v>
      </c>
      <c r="F92" s="122">
        <v>7248.26</v>
      </c>
      <c r="G92" s="112">
        <f t="shared" si="8"/>
        <v>10.909999999999854</v>
      </c>
      <c r="H92" s="99">
        <f>G92+'14'!H92</f>
        <v>168.57000000000062</v>
      </c>
      <c r="I92" s="547">
        <f>G91+G92</f>
        <v>10.909999999999854</v>
      </c>
      <c r="J92" s="175">
        <f>H92/DAY(B2)</f>
        <v>11.23800000000004</v>
      </c>
      <c r="O92" s="71"/>
    </row>
    <row r="93" spans="1:15" ht="26.25">
      <c r="A93" s="905" t="s">
        <v>239</v>
      </c>
      <c r="B93" s="906"/>
      <c r="C93" s="90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6357.2100000001374</v>
      </c>
      <c r="H94" s="99">
        <f>G94+'14'!H94</f>
        <v>83653.840000000084</v>
      </c>
      <c r="I94" s="118"/>
      <c r="J94" s="175">
        <f>H94/DAY(B2)</f>
        <v>5576.9226666666718</v>
      </c>
      <c r="K94" s="69"/>
      <c r="L94" s="66"/>
      <c r="O94" s="71"/>
    </row>
    <row r="95" spans="1:15" ht="25.5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0.3137658555846275</v>
      </c>
      <c r="H95" s="99">
        <f>G95+'14'!H95</f>
        <v>4.0063579578410273</v>
      </c>
      <c r="I95" s="167"/>
      <c r="J95" s="175">
        <f>H95/DAY(B2)</f>
        <v>0.26709053052273518</v>
      </c>
      <c r="K95" s="69"/>
      <c r="L95" s="66"/>
      <c r="O95" s="71"/>
    </row>
    <row r="96" spans="1:15" ht="25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2576.7100000000792</v>
      </c>
      <c r="H96" s="99">
        <f>G96+'14'!H96</f>
        <v>59853.140000000072</v>
      </c>
      <c r="I96" s="118"/>
      <c r="J96" s="175">
        <f>H96/DAY(B2)</f>
        <v>3990.2093333333382</v>
      </c>
      <c r="K96" s="69"/>
      <c r="L96" s="66"/>
      <c r="O96" s="71"/>
    </row>
    <row r="97" spans="1:15" ht="25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0.12717585509106555</v>
      </c>
      <c r="H97" s="99">
        <f>G97+'14'!H97</f>
        <v>2.8584485942818878</v>
      </c>
      <c r="I97" s="167"/>
      <c r="J97" s="175">
        <f>H97/DAY(B2)</f>
        <v>0.19056323961879251</v>
      </c>
      <c r="K97" s="69"/>
      <c r="L97" s="66"/>
      <c r="O97" s="71"/>
    </row>
    <row r="98" spans="1:15" ht="25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2641.6800000000512</v>
      </c>
      <c r="H98" s="99">
        <f>G98+'14'!H98</f>
        <v>41978.869999999995</v>
      </c>
      <c r="I98" s="168"/>
      <c r="J98" s="175">
        <f>H98/DAY(B2)</f>
        <v>2798.5913333333328</v>
      </c>
      <c r="K98" s="69"/>
      <c r="L98" s="66"/>
      <c r="O98" s="71"/>
    </row>
    <row r="99" spans="1:15" ht="25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0.1303825082671167</v>
      </c>
      <c r="H99" s="99">
        <f>G99+'14'!H99</f>
        <v>2.009458488132283</v>
      </c>
      <c r="I99" s="168"/>
      <c r="J99" s="175">
        <f>H99/DAY(B2)</f>
        <v>0.13396389920881888</v>
      </c>
      <c r="O99" s="71"/>
    </row>
    <row r="100" spans="1:15" ht="26.2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2492.6400000000049</v>
      </c>
      <c r="H100" s="99">
        <f>G100+'14'!H100</f>
        <v>35439.280000000021</v>
      </c>
      <c r="I100" s="118"/>
      <c r="J100" s="175">
        <f>H100/DAY(B2)</f>
        <v>2362.6186666666681</v>
      </c>
      <c r="K100" s="70"/>
      <c r="O100" s="71"/>
    </row>
    <row r="101" spans="1:15" ht="25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0.12302650412121835</v>
      </c>
      <c r="H101" s="99">
        <f>G101+'14'!H101</f>
        <v>1.6940533498171533</v>
      </c>
      <c r="I101" s="168"/>
      <c r="J101" s="175">
        <f>H101/DAY(B2)</f>
        <v>0.11293688998781022</v>
      </c>
      <c r="O101" s="71"/>
    </row>
    <row r="102" spans="1:15" ht="25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1937.3200000000652</v>
      </c>
      <c r="H102" s="99">
        <f>G102+'14'!H102</f>
        <v>34020</v>
      </c>
      <c r="I102" s="168"/>
      <c r="J102" s="175">
        <f>H102/DAY(B2)</f>
        <v>2268</v>
      </c>
      <c r="O102" s="71"/>
    </row>
    <row r="103" spans="1:15" ht="25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9.5618182715565131E-2</v>
      </c>
      <c r="H103" s="99">
        <f>G103+'14'!H103</f>
        <v>1.6255422832419084</v>
      </c>
      <c r="I103" s="118"/>
      <c r="J103" s="175">
        <f>H103/DAY(B2)</f>
        <v>0.10836948554946056</v>
      </c>
      <c r="O103" s="71"/>
    </row>
    <row r="104" spans="1:15" ht="25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1412.640000000014</v>
      </c>
      <c r="H104" s="99">
        <f>G104+'14'!H104</f>
        <v>22090.679999999993</v>
      </c>
      <c r="I104" s="118"/>
      <c r="J104" s="175">
        <f>H104/DAY(B2)</f>
        <v>1472.7119999999995</v>
      </c>
      <c r="O104" s="71"/>
    </row>
    <row r="105" spans="1:15" ht="26.25" thickBot="1">
      <c r="A105" s="895" t="s">
        <v>251</v>
      </c>
      <c r="B105" s="896"/>
      <c r="C105" s="897"/>
      <c r="D105" s="231" t="s">
        <v>23</v>
      </c>
      <c r="E105" s="185"/>
      <c r="F105" s="185"/>
      <c r="G105" s="186">
        <f>G104/G7</f>
        <v>6.9722126252406785E-2</v>
      </c>
      <c r="H105" s="99">
        <f>G105+'14'!H105</f>
        <v>1.0574165033458878</v>
      </c>
      <c r="I105" s="187"/>
      <c r="J105" s="188">
        <f>H105/DAY(B2)</f>
        <v>7.0494433556392525E-2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891" t="s">
        <v>324</v>
      </c>
      <c r="B108" s="891"/>
      <c r="C108" s="891"/>
      <c r="D108" s="891"/>
      <c r="E108" s="891"/>
      <c r="F108" s="891"/>
      <c r="G108" s="891"/>
      <c r="H108" s="891"/>
      <c r="I108" s="891"/>
      <c r="J108" s="891"/>
    </row>
    <row r="109" spans="1:15" ht="26.25">
      <c r="A109" s="918"/>
      <c r="B109" s="918"/>
    </row>
    <row r="110" spans="1:15" ht="26.25">
      <c r="A110" s="892" t="s">
        <v>165</v>
      </c>
      <c r="B110" s="893"/>
      <c r="C110" s="893"/>
      <c r="D110" s="893"/>
      <c r="E110" s="893"/>
      <c r="F110" s="893"/>
      <c r="G110" s="893"/>
      <c r="H110" s="893"/>
      <c r="I110" s="893"/>
      <c r="J110" s="894"/>
    </row>
    <row r="111" spans="1:15" ht="25.5">
      <c r="A111" s="885"/>
      <c r="B111" s="886"/>
      <c r="C111" s="887"/>
      <c r="D111" s="165"/>
      <c r="E111" s="165"/>
      <c r="F111" s="165"/>
      <c r="G111" s="165"/>
      <c r="H111" s="156"/>
      <c r="I111" s="165"/>
      <c r="J111" s="327"/>
    </row>
    <row r="112" spans="1:15" ht="25.5">
      <c r="A112" s="881" t="s">
        <v>252</v>
      </c>
      <c r="B112" s="882"/>
      <c r="C112" s="883"/>
      <c r="D112" s="146" t="s">
        <v>183</v>
      </c>
      <c r="E112" s="95">
        <f>'14'!F112</f>
        <v>18357.900000000001</v>
      </c>
      <c r="F112" s="237">
        <v>18417</v>
      </c>
      <c r="G112" s="112">
        <f t="shared" ref="G112:G123" si="9">F112-E112</f>
        <v>59.099999999998545</v>
      </c>
      <c r="H112" s="99">
        <f>G112+'14'!H112</f>
        <v>905.70000000000073</v>
      </c>
      <c r="I112" s="165"/>
      <c r="J112" s="328">
        <f>H112/DAY(B2)</f>
        <v>60.380000000000045</v>
      </c>
    </row>
    <row r="113" spans="1:18" ht="29.25" customHeight="1">
      <c r="A113" s="881" t="s">
        <v>253</v>
      </c>
      <c r="B113" s="882"/>
      <c r="C113" s="883"/>
      <c r="D113" s="146" t="s">
        <v>183</v>
      </c>
      <c r="E113" s="95">
        <f>'14'!F113</f>
        <v>39080</v>
      </c>
      <c r="F113" s="237">
        <v>39220</v>
      </c>
      <c r="G113" s="112">
        <f t="shared" si="9"/>
        <v>140</v>
      </c>
      <c r="H113" s="99">
        <f>G113+'14'!H113</f>
        <v>2141</v>
      </c>
      <c r="I113" s="165"/>
      <c r="J113" s="328">
        <f>H113/DAY(B2)</f>
        <v>142.73333333333332</v>
      </c>
    </row>
    <row r="114" spans="1:18" ht="29.25" customHeight="1">
      <c r="A114" s="881" t="s">
        <v>254</v>
      </c>
      <c r="B114" s="882"/>
      <c r="C114" s="883"/>
      <c r="D114" s="146" t="s">
        <v>183</v>
      </c>
      <c r="E114" s="95">
        <f>'14'!F114</f>
        <v>57379</v>
      </c>
      <c r="F114" s="237">
        <v>57599.53</v>
      </c>
      <c r="G114" s="112">
        <f t="shared" si="9"/>
        <v>220.52999999999884</v>
      </c>
      <c r="H114" s="99">
        <f>G114+'14'!H114</f>
        <v>3331.75</v>
      </c>
      <c r="I114" s="165"/>
      <c r="J114" s="328">
        <f>H114/DAY(B2)</f>
        <v>222.11666666666667</v>
      </c>
    </row>
    <row r="115" spans="1:18" ht="29.25" customHeight="1">
      <c r="A115" s="881" t="s">
        <v>255</v>
      </c>
      <c r="B115" s="882"/>
      <c r="C115" s="883"/>
      <c r="D115" s="146" t="s">
        <v>183</v>
      </c>
      <c r="E115" s="95">
        <f>'14'!F115</f>
        <v>37058</v>
      </c>
      <c r="F115" s="237">
        <v>37211.919999999998</v>
      </c>
      <c r="G115" s="112">
        <f t="shared" si="9"/>
        <v>153.91999999999825</v>
      </c>
      <c r="H115" s="99">
        <f>G115+'14'!H115</f>
        <v>2245.0099999999948</v>
      </c>
      <c r="I115" s="165"/>
      <c r="J115" s="328">
        <f>H115/DAY(B2)</f>
        <v>149.66733333333298</v>
      </c>
    </row>
    <row r="116" spans="1:18" ht="29.25" customHeight="1">
      <c r="A116" s="888" t="s">
        <v>96</v>
      </c>
      <c r="B116" s="889"/>
      <c r="C116" s="890"/>
      <c r="D116" s="146" t="s">
        <v>183</v>
      </c>
      <c r="E116" s="95">
        <f>'14'!F116</f>
        <v>140454</v>
      </c>
      <c r="F116" s="416">
        <v>140917.06</v>
      </c>
      <c r="G116" s="112">
        <f t="shared" si="9"/>
        <v>463.05999999999767</v>
      </c>
      <c r="H116" s="99">
        <f>G116+'14'!H116</f>
        <v>6428.6699999999837</v>
      </c>
      <c r="I116" s="165"/>
      <c r="J116" s="328">
        <f>H116/DAY(B2)</f>
        <v>428.57799999999889</v>
      </c>
      <c r="Q116" s="881"/>
      <c r="R116" s="883"/>
    </row>
    <row r="117" spans="1:18" ht="29.25" customHeight="1">
      <c r="A117" s="888" t="s">
        <v>184</v>
      </c>
      <c r="B117" s="889"/>
      <c r="C117" s="890"/>
      <c r="D117" s="146" t="s">
        <v>183</v>
      </c>
      <c r="E117" s="95">
        <f>'14'!F117</f>
        <v>87635.32</v>
      </c>
      <c r="F117" s="237">
        <v>87952.623000000007</v>
      </c>
      <c r="G117" s="112">
        <f t="shared" si="9"/>
        <v>317.30299999999988</v>
      </c>
      <c r="H117" s="99">
        <f>G117+'14'!H117</f>
        <v>5242.6230000000069</v>
      </c>
      <c r="I117" s="165"/>
      <c r="J117" s="328">
        <f>H117/DAY(B2)</f>
        <v>349.50820000000044</v>
      </c>
      <c r="Q117" s="881"/>
      <c r="R117" s="883"/>
    </row>
    <row r="118" spans="1:18" ht="25.5">
      <c r="A118" s="880" t="s">
        <v>97</v>
      </c>
      <c r="B118" s="880"/>
      <c r="C118" s="880"/>
      <c r="D118" s="151" t="s">
        <v>183</v>
      </c>
      <c r="E118" s="95">
        <f>'14'!F118</f>
        <v>167076</v>
      </c>
      <c r="F118" s="237">
        <v>167624.87</v>
      </c>
      <c r="G118" s="112">
        <f t="shared" si="9"/>
        <v>548.86999999999534</v>
      </c>
      <c r="H118" s="99">
        <f>G118+'14'!H118</f>
        <v>9487.7200000000012</v>
      </c>
      <c r="I118" s="165"/>
      <c r="J118" s="328">
        <f>H118/DAY(B2)</f>
        <v>632.5146666666667</v>
      </c>
      <c r="Q118" s="881"/>
      <c r="R118" s="883"/>
    </row>
    <row r="119" spans="1:18" ht="25.5">
      <c r="A119" s="880" t="s">
        <v>98</v>
      </c>
      <c r="B119" s="880"/>
      <c r="C119" s="880"/>
      <c r="D119" s="151" t="s">
        <v>183</v>
      </c>
      <c r="E119" s="95">
        <f>'14'!F119</f>
        <v>44448</v>
      </c>
      <c r="F119" s="237">
        <v>44484</v>
      </c>
      <c r="G119" s="112">
        <f t="shared" si="9"/>
        <v>36</v>
      </c>
      <c r="H119" s="99">
        <f>G119+'14'!H119</f>
        <v>544.82499999999709</v>
      </c>
      <c r="I119" s="165"/>
      <c r="J119" s="328">
        <f>H119/DAY(B2)</f>
        <v>36.321666666666474</v>
      </c>
    </row>
    <row r="120" spans="1:18" ht="25.5">
      <c r="A120" s="880" t="s">
        <v>99</v>
      </c>
      <c r="B120" s="880"/>
      <c r="C120" s="880"/>
      <c r="D120" s="151" t="s">
        <v>183</v>
      </c>
      <c r="E120" s="95">
        <f>'14'!F120</f>
        <v>113985</v>
      </c>
      <c r="F120" s="237">
        <v>114340</v>
      </c>
      <c r="G120" s="112">
        <f t="shared" si="9"/>
        <v>355</v>
      </c>
      <c r="H120" s="99">
        <f>G120+'14'!H120</f>
        <v>5902.8600000000006</v>
      </c>
      <c r="I120" s="165"/>
      <c r="J120" s="328">
        <f>H120/DAY(B2)</f>
        <v>393.52400000000006</v>
      </c>
    </row>
    <row r="121" spans="1:18" ht="25.5">
      <c r="A121" s="880" t="s">
        <v>100</v>
      </c>
      <c r="B121" s="880"/>
      <c r="C121" s="880"/>
      <c r="D121" s="151" t="s">
        <v>183</v>
      </c>
      <c r="E121" s="95">
        <f>'14'!F121</f>
        <v>127333</v>
      </c>
      <c r="F121" s="237">
        <v>127733</v>
      </c>
      <c r="G121" s="112">
        <f t="shared" si="9"/>
        <v>400</v>
      </c>
      <c r="H121" s="99">
        <f>G121+'14'!H121</f>
        <v>6510.1100000000006</v>
      </c>
      <c r="I121" s="165"/>
      <c r="J121" s="328">
        <f>H121/DAY(B2)</f>
        <v>434.00733333333335</v>
      </c>
    </row>
    <row r="122" spans="1:18" ht="25.5">
      <c r="A122" s="880" t="s">
        <v>101</v>
      </c>
      <c r="B122" s="880"/>
      <c r="C122" s="880"/>
      <c r="D122" s="151" t="s">
        <v>183</v>
      </c>
      <c r="E122" s="95">
        <f>'14'!F122</f>
        <v>85632</v>
      </c>
      <c r="F122" s="237">
        <v>85933.85</v>
      </c>
      <c r="G122" s="112">
        <f t="shared" si="9"/>
        <v>301.85000000000582</v>
      </c>
      <c r="H122" s="99">
        <f>G122+'14'!H122</f>
        <v>4659.4800000000105</v>
      </c>
      <c r="I122" s="165"/>
      <c r="J122" s="328">
        <f>H122/DAY(B2)</f>
        <v>310.63200000000069</v>
      </c>
    </row>
    <row r="123" spans="1:18" ht="25.5">
      <c r="A123" s="880" t="s">
        <v>102</v>
      </c>
      <c r="B123" s="880"/>
      <c r="C123" s="880"/>
      <c r="D123" s="151" t="s">
        <v>183</v>
      </c>
      <c r="E123" s="95">
        <f>'14'!F123</f>
        <v>82012</v>
      </c>
      <c r="F123" s="237">
        <v>82650.175000000003</v>
      </c>
      <c r="G123" s="112">
        <f t="shared" si="9"/>
        <v>638.17500000000291</v>
      </c>
      <c r="H123" s="99">
        <f>G123+'14'!H123</f>
        <v>4701.1750000000029</v>
      </c>
      <c r="I123" s="165"/>
      <c r="J123" s="328">
        <f>H123/DAY(B2)</f>
        <v>313.41166666666686</v>
      </c>
    </row>
    <row r="124" spans="1:18" ht="29.25" customHeight="1">
      <c r="A124" s="885"/>
      <c r="B124" s="886"/>
      <c r="C124" s="887"/>
      <c r="D124" s="165"/>
      <c r="E124" s="165"/>
      <c r="F124" s="165"/>
      <c r="G124" s="327"/>
      <c r="H124" s="156"/>
      <c r="I124" s="165"/>
      <c r="J124" s="327"/>
    </row>
    <row r="125" spans="1:18" ht="25.5">
      <c r="A125" s="787" t="s">
        <v>196</v>
      </c>
      <c r="B125" s="788"/>
      <c r="C125" s="245"/>
      <c r="D125" s="307"/>
      <c r="E125" s="308"/>
      <c r="F125" s="308"/>
      <c r="G125" s="309">
        <f>SUM(G112:G124)</f>
        <v>3633.8079999999973</v>
      </c>
      <c r="H125" s="156"/>
      <c r="I125" s="327">
        <f>G125-(G39+G53)</f>
        <v>992.12799999994604</v>
      </c>
      <c r="J125" s="327"/>
    </row>
    <row r="126" spans="1:18" ht="25.5">
      <c r="A126" s="884" t="s">
        <v>317</v>
      </c>
      <c r="B126" s="884"/>
      <c r="C126" s="884"/>
      <c r="D126" s="884"/>
      <c r="E126" s="884"/>
      <c r="F126" s="884"/>
      <c r="G126" s="884"/>
      <c r="H126" s="884"/>
      <c r="I126" s="884"/>
      <c r="J126" s="884"/>
    </row>
    <row r="127" spans="1:18" ht="25.5">
      <c r="A127" s="870"/>
      <c r="B127" s="870"/>
      <c r="C127" s="245"/>
      <c r="D127" s="307"/>
      <c r="E127" s="308"/>
      <c r="F127" s="308"/>
      <c r="G127" s="309"/>
      <c r="H127" s="99">
        <f>G127+'14'!H127</f>
        <v>0</v>
      </c>
      <c r="I127" s="165"/>
      <c r="J127" s="328">
        <f>H127/DAY(B2)</f>
        <v>0</v>
      </c>
    </row>
    <row r="128" spans="1:18" ht="29.25" customHeight="1">
      <c r="A128" s="881" t="s">
        <v>318</v>
      </c>
      <c r="B128" s="882"/>
      <c r="C128" s="883"/>
      <c r="D128" s="151" t="s">
        <v>183</v>
      </c>
      <c r="E128" s="95">
        <f>'14'!F128</f>
        <v>198899</v>
      </c>
      <c r="F128" s="165">
        <v>199397.57</v>
      </c>
      <c r="G128" s="112">
        <f t="shared" ref="G128:G134" si="10">F128-E128</f>
        <v>498.57000000000698</v>
      </c>
      <c r="H128" s="99">
        <f>G128+'14'!H128</f>
        <v>7511.9400000000023</v>
      </c>
      <c r="I128" s="165"/>
      <c r="J128" s="328">
        <f>H128/DAY(B2)</f>
        <v>500.79600000000016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'14'!F129</f>
        <v>103814</v>
      </c>
      <c r="F129" s="165">
        <v>103969.89</v>
      </c>
      <c r="G129" s="112">
        <f t="shared" si="10"/>
        <v>155.88999999999942</v>
      </c>
      <c r="H129" s="99">
        <f>G129+'14'!H129</f>
        <v>2692.8899999999994</v>
      </c>
      <c r="I129" s="165"/>
      <c r="J129" s="328">
        <f>H129/DAY(B2)</f>
        <v>179.52599999999995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'14'!F130</f>
        <v>276657.65000000002</v>
      </c>
      <c r="F130" s="165">
        <v>277374.90999999997</v>
      </c>
      <c r="G130" s="112">
        <f t="shared" si="10"/>
        <v>717.25999999995111</v>
      </c>
      <c r="H130" s="99">
        <f>G130+'14'!H130</f>
        <v>8559.9099999999744</v>
      </c>
      <c r="I130" s="165"/>
      <c r="J130" s="328">
        <f>H130/DAY(B2)</f>
        <v>570.66066666666495</v>
      </c>
      <c r="N130" s="240"/>
      <c r="O130" s="241"/>
    </row>
    <row r="131" spans="1:15" ht="25.5">
      <c r="A131" s="881" t="s">
        <v>321</v>
      </c>
      <c r="B131" s="882"/>
      <c r="C131" s="883"/>
      <c r="D131" s="151" t="s">
        <v>183</v>
      </c>
      <c r="E131" s="95">
        <f>'14'!F131</f>
        <v>82054.179999999993</v>
      </c>
      <c r="F131" s="158">
        <v>82201.422999999995</v>
      </c>
      <c r="G131" s="112">
        <f t="shared" si="10"/>
        <v>147.24300000000221</v>
      </c>
      <c r="H131" s="99">
        <f>G131+'14'!H131</f>
        <v>2650.7929999999906</v>
      </c>
      <c r="I131" s="165"/>
      <c r="J131" s="328">
        <f>H131/DAY(B2)</f>
        <v>176.71953333333269</v>
      </c>
      <c r="N131" s="240"/>
      <c r="O131" s="241"/>
    </row>
    <row r="132" spans="1:15" ht="25.5">
      <c r="A132" s="881" t="s">
        <v>322</v>
      </c>
      <c r="B132" s="882"/>
      <c r="C132" s="883"/>
      <c r="D132" s="151" t="s">
        <v>183</v>
      </c>
      <c r="E132" s="95">
        <f>'14'!F132</f>
        <v>148274</v>
      </c>
      <c r="F132" s="165">
        <v>148274</v>
      </c>
      <c r="G132" s="112">
        <f t="shared" si="10"/>
        <v>0</v>
      </c>
      <c r="H132" s="99">
        <f>G132+'14'!H132</f>
        <v>0</v>
      </c>
      <c r="I132" s="165"/>
      <c r="J132" s="328">
        <f>H132/DAY(B2)</f>
        <v>0</v>
      </c>
    </row>
    <row r="133" spans="1:15" ht="25.5">
      <c r="A133" s="881" t="s">
        <v>359</v>
      </c>
      <c r="B133" s="882"/>
      <c r="C133" s="883"/>
      <c r="D133" s="151" t="s">
        <v>183</v>
      </c>
      <c r="E133" s="95">
        <f>'14'!F133</f>
        <v>288548.17</v>
      </c>
      <c r="F133" s="165">
        <v>288548.17</v>
      </c>
      <c r="G133" s="112">
        <f t="shared" si="10"/>
        <v>0</v>
      </c>
      <c r="H133" s="99">
        <f>G133+'14'!H133</f>
        <v>-644499.83000000007</v>
      </c>
      <c r="I133" s="165"/>
      <c r="J133" s="328">
        <f>H133/DAY(B2)</f>
        <v>-42966.655333333336</v>
      </c>
    </row>
    <row r="134" spans="1:15" s="408" customFormat="1" ht="25.5">
      <c r="A134" s="954" t="s">
        <v>340</v>
      </c>
      <c r="B134" s="955"/>
      <c r="C134" s="956"/>
      <c r="D134" s="233" t="s">
        <v>183</v>
      </c>
      <c r="E134" s="405">
        <f>'14'!F134</f>
        <v>89647</v>
      </c>
      <c r="F134" s="158">
        <v>89911.623000000007</v>
      </c>
      <c r="G134" s="236">
        <f t="shared" si="10"/>
        <v>264.62300000000687</v>
      </c>
      <c r="H134" s="238">
        <f>G134+'14'!H134</f>
        <v>3959.6230000000069</v>
      </c>
      <c r="I134" s="158"/>
      <c r="J134" s="407">
        <f>H134/DAY(B2)</f>
        <v>263.97486666666714</v>
      </c>
    </row>
    <row r="135" spans="1:15" ht="25.5">
      <c r="A135" s="787" t="s">
        <v>196</v>
      </c>
      <c r="B135" s="788"/>
      <c r="C135" s="331"/>
      <c r="D135" s="151"/>
      <c r="E135" s="95"/>
      <c r="F135" s="165"/>
      <c r="G135" s="112">
        <f>SUM(G128:G134)</f>
        <v>1783.5859999999666</v>
      </c>
      <c r="H135" s="99">
        <f>G135+'10'!H135</f>
        <v>-626337.25899999996</v>
      </c>
      <c r="I135" s="327">
        <f>G135-(G35+G49)</f>
        <v>-1952.3040000001056</v>
      </c>
      <c r="J135" s="328"/>
    </row>
    <row r="136" spans="1:15" ht="27.75">
      <c r="A136" s="869" t="s">
        <v>325</v>
      </c>
      <c r="B136" s="869"/>
      <c r="C136" s="869"/>
      <c r="D136" s="869"/>
      <c r="E136" s="869"/>
      <c r="F136" s="869"/>
      <c r="G136" s="869"/>
      <c r="H136" s="869"/>
      <c r="I136" s="869"/>
      <c r="J136" s="869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80" t="s">
        <v>185</v>
      </c>
      <c r="B138" s="880"/>
      <c r="C138" s="880"/>
      <c r="D138" s="151" t="s">
        <v>183</v>
      </c>
      <c r="E138" s="95">
        <v>8480</v>
      </c>
      <c r="F138" s="147">
        <v>8587</v>
      </c>
      <c r="G138" s="112">
        <f t="shared" ref="G138:G152" si="11">F138-E138</f>
        <v>107</v>
      </c>
      <c r="H138" s="99">
        <f>G138+'14'!H138</f>
        <v>1680</v>
      </c>
      <c r="I138" s="118"/>
      <c r="J138" s="328">
        <f>H138/DAY(B2)</f>
        <v>112</v>
      </c>
    </row>
    <row r="139" spans="1:15" ht="25.5">
      <c r="A139" s="880" t="s">
        <v>186</v>
      </c>
      <c r="B139" s="880"/>
      <c r="C139" s="880"/>
      <c r="D139" s="151" t="s">
        <v>183</v>
      </c>
      <c r="E139" s="95">
        <f>'14'!F139</f>
        <v>934595</v>
      </c>
      <c r="F139" s="148">
        <v>934736</v>
      </c>
      <c r="G139" s="112">
        <f t="shared" si="11"/>
        <v>141</v>
      </c>
      <c r="H139" s="99">
        <f>G139+'14'!H139</f>
        <v>2376</v>
      </c>
      <c r="I139" s="118"/>
      <c r="J139" s="328">
        <f>H139/DAY(B2)</f>
        <v>158.4</v>
      </c>
    </row>
    <row r="140" spans="1:15" ht="25.5">
      <c r="A140" s="880" t="s">
        <v>187</v>
      </c>
      <c r="B140" s="880"/>
      <c r="C140" s="880"/>
      <c r="D140" s="151" t="s">
        <v>183</v>
      </c>
      <c r="E140" s="95">
        <f>'14'!F140</f>
        <v>4348.97</v>
      </c>
      <c r="F140" s="149">
        <v>4377.6147000000001</v>
      </c>
      <c r="G140" s="112">
        <f t="shared" si="11"/>
        <v>28.64469999999983</v>
      </c>
      <c r="H140" s="99">
        <f>G140+'14'!H140</f>
        <v>344.10370000000012</v>
      </c>
      <c r="I140" s="118"/>
      <c r="J140" s="328">
        <f>H140/DAY(B2)</f>
        <v>22.940246666666674</v>
      </c>
    </row>
    <row r="141" spans="1:15" ht="25.5">
      <c r="A141" s="863" t="s">
        <v>188</v>
      </c>
      <c r="B141" s="863"/>
      <c r="C141" s="863"/>
      <c r="D141" s="151" t="s">
        <v>183</v>
      </c>
      <c r="E141" s="95">
        <f>'14'!F141</f>
        <v>127383</v>
      </c>
      <c r="F141" s="149">
        <v>127733</v>
      </c>
      <c r="G141" s="112">
        <f t="shared" si="11"/>
        <v>350</v>
      </c>
      <c r="H141" s="99">
        <f>G141+'14'!H141</f>
        <v>3135</v>
      </c>
      <c r="I141" s="118"/>
      <c r="J141" s="328">
        <f>H141/DAY(B2)</f>
        <v>209</v>
      </c>
    </row>
    <row r="142" spans="1:15" ht="25.5">
      <c r="A142" s="863" t="s">
        <v>189</v>
      </c>
      <c r="B142" s="863"/>
      <c r="C142" s="863"/>
      <c r="D142" s="151" t="s">
        <v>183</v>
      </c>
      <c r="E142" s="95">
        <f>'14'!F142</f>
        <v>51826.99</v>
      </c>
      <c r="F142" s="148">
        <v>51910</v>
      </c>
      <c r="G142" s="112">
        <f t="shared" si="11"/>
        <v>83.010000000002037</v>
      </c>
      <c r="H142" s="99">
        <f>G142+'14'!H142</f>
        <v>1344.4499999999971</v>
      </c>
      <c r="I142" s="140"/>
      <c r="J142" s="328">
        <f>H142/DAY(B2)</f>
        <v>89.629999999999811</v>
      </c>
    </row>
    <row r="143" spans="1:15" ht="25.5">
      <c r="A143" s="880" t="s">
        <v>91</v>
      </c>
      <c r="B143" s="880"/>
      <c r="C143" s="880"/>
      <c r="D143" s="151" t="s">
        <v>183</v>
      </c>
      <c r="E143" s="95">
        <f>'14'!F143</f>
        <v>13817</v>
      </c>
      <c r="F143" s="149">
        <v>13847.51</v>
      </c>
      <c r="G143" s="112">
        <f t="shared" si="11"/>
        <v>30.510000000000218</v>
      </c>
      <c r="H143" s="99">
        <f>G143+'14'!H143</f>
        <v>460.51000000000022</v>
      </c>
      <c r="I143" s="140"/>
      <c r="J143" s="328">
        <f>H143/DAY(B2)</f>
        <v>30.700666666666681</v>
      </c>
    </row>
    <row r="144" spans="1:15" ht="25.5">
      <c r="A144" s="863" t="s">
        <v>90</v>
      </c>
      <c r="B144" s="863"/>
      <c r="C144" s="863"/>
      <c r="D144" s="151" t="s">
        <v>183</v>
      </c>
      <c r="E144" s="95">
        <f>'14'!F144</f>
        <v>958856</v>
      </c>
      <c r="F144" s="149">
        <v>959079</v>
      </c>
      <c r="G144" s="112">
        <f t="shared" si="11"/>
        <v>223</v>
      </c>
      <c r="H144" s="99">
        <f>G144+'14'!H144</f>
        <v>3609</v>
      </c>
      <c r="I144" s="140"/>
      <c r="J144" s="328">
        <f>H144/DAY(B2)</f>
        <v>240.6</v>
      </c>
    </row>
    <row r="145" spans="1:10" ht="25.5">
      <c r="A145" s="880" t="s">
        <v>190</v>
      </c>
      <c r="B145" s="880"/>
      <c r="C145" s="880"/>
      <c r="D145" s="152" t="s">
        <v>183</v>
      </c>
      <c r="E145" s="95">
        <f>'14'!F145</f>
        <v>747235</v>
      </c>
      <c r="F145" s="148">
        <v>747627</v>
      </c>
      <c r="G145" s="112">
        <f t="shared" si="11"/>
        <v>392</v>
      </c>
      <c r="H145" s="99">
        <f>G145+'14'!H145</f>
        <v>2446</v>
      </c>
      <c r="I145" s="140"/>
      <c r="J145" s="328">
        <f>H145/DAY(B2)</f>
        <v>163.06666666666666</v>
      </c>
    </row>
    <row r="146" spans="1:10" ht="25.5">
      <c r="A146" s="914" t="s">
        <v>191</v>
      </c>
      <c r="B146" s="900"/>
      <c r="C146" s="901"/>
      <c r="D146" s="152" t="s">
        <v>183</v>
      </c>
      <c r="E146" s="95">
        <f>'14'!F146</f>
        <v>788393</v>
      </c>
      <c r="F146" s="148">
        <v>788424</v>
      </c>
      <c r="G146" s="112">
        <f t="shared" si="11"/>
        <v>31</v>
      </c>
      <c r="H146" s="99">
        <f>G146+'14'!H146</f>
        <v>566</v>
      </c>
      <c r="I146" s="140"/>
      <c r="J146" s="328">
        <f>H146/DAY(B2)</f>
        <v>37.733333333333334</v>
      </c>
    </row>
    <row r="147" spans="1:10" ht="25.5">
      <c r="A147" s="863" t="s">
        <v>192</v>
      </c>
      <c r="B147" s="863"/>
      <c r="C147" s="863"/>
      <c r="D147" s="152" t="s">
        <v>183</v>
      </c>
      <c r="E147" s="95">
        <f>'14'!F147</f>
        <v>765445</v>
      </c>
      <c r="F147" s="148">
        <v>765761.68</v>
      </c>
      <c r="G147" s="112">
        <f t="shared" si="11"/>
        <v>316.68000000005122</v>
      </c>
      <c r="H147" s="99">
        <f>G147+'14'!H147</f>
        <v>5623.6800000000512</v>
      </c>
      <c r="I147" s="140"/>
      <c r="J147" s="328">
        <f>H147/DAY(B2)</f>
        <v>374.91200000000339</v>
      </c>
    </row>
    <row r="148" spans="1:10" ht="25.5">
      <c r="A148" s="864" t="s">
        <v>193</v>
      </c>
      <c r="B148" s="865"/>
      <c r="C148" s="866"/>
      <c r="D148" s="123" t="s">
        <v>130</v>
      </c>
      <c r="E148" s="95">
        <f>'14'!F148</f>
        <v>800944.08</v>
      </c>
      <c r="F148" s="150">
        <v>801221.92</v>
      </c>
      <c r="G148" s="112">
        <f t="shared" si="11"/>
        <v>277.84000000008382</v>
      </c>
      <c r="H148" s="99">
        <f>G148+'14'!H148</f>
        <v>4809.8400000000838</v>
      </c>
      <c r="I148" s="124"/>
      <c r="J148" s="328">
        <f>H148/DAY(B2)</f>
        <v>320.65600000000558</v>
      </c>
    </row>
    <row r="149" spans="1:10" ht="25.5">
      <c r="A149" s="864" t="s">
        <v>336</v>
      </c>
      <c r="B149" s="865"/>
      <c r="C149" s="866"/>
      <c r="D149" s="227" t="s">
        <v>130</v>
      </c>
      <c r="E149" s="95">
        <f>'14'!F149</f>
        <v>207597</v>
      </c>
      <c r="F149" s="415">
        <v>208130.77</v>
      </c>
      <c r="G149" s="112">
        <f t="shared" si="11"/>
        <v>533.76999999998952</v>
      </c>
      <c r="H149" s="99">
        <f>G149+'14'!H149</f>
        <v>6839.5</v>
      </c>
      <c r="I149" s="119"/>
      <c r="J149" s="328">
        <f>H149/DAY(B2)</f>
        <v>455.96666666666664</v>
      </c>
    </row>
    <row r="150" spans="1:10" ht="25.5">
      <c r="A150" s="864" t="s">
        <v>337</v>
      </c>
      <c r="B150" s="865"/>
      <c r="C150" s="866"/>
      <c r="D150" s="117" t="s">
        <v>130</v>
      </c>
      <c r="E150" s="95">
        <f>'14'!F150</f>
        <v>90789</v>
      </c>
      <c r="F150" s="233">
        <v>91158</v>
      </c>
      <c r="G150" s="112">
        <f t="shared" si="11"/>
        <v>369</v>
      </c>
      <c r="H150" s="99">
        <f>G150+'14'!H150</f>
        <v>5944</v>
      </c>
      <c r="I150" s="119"/>
      <c r="J150" s="328">
        <f>H150/DAY(B2)</f>
        <v>396.26666666666665</v>
      </c>
    </row>
    <row r="151" spans="1:10" ht="25.5">
      <c r="A151" s="864" t="s">
        <v>338</v>
      </c>
      <c r="B151" s="865"/>
      <c r="C151" s="866"/>
      <c r="D151" s="117" t="s">
        <v>130</v>
      </c>
      <c r="E151" s="95">
        <f>'14'!F151</f>
        <v>170987</v>
      </c>
      <c r="F151" s="233">
        <v>171252</v>
      </c>
      <c r="G151" s="112">
        <f t="shared" si="11"/>
        <v>265</v>
      </c>
      <c r="H151" s="99">
        <f>G151+'14'!H151</f>
        <v>4522</v>
      </c>
      <c r="I151" s="119"/>
      <c r="J151" s="328">
        <f>H151/DAY(B2)</f>
        <v>301.46666666666664</v>
      </c>
    </row>
    <row r="152" spans="1:10" ht="25.5">
      <c r="A152" s="864" t="s">
        <v>339</v>
      </c>
      <c r="B152" s="865"/>
      <c r="C152" s="866"/>
      <c r="D152" s="117" t="s">
        <v>130</v>
      </c>
      <c r="E152" s="95">
        <f>'14'!F152</f>
        <v>44363</v>
      </c>
      <c r="F152" s="233">
        <v>44493</v>
      </c>
      <c r="G152" s="112">
        <f t="shared" si="11"/>
        <v>130</v>
      </c>
      <c r="H152" s="99">
        <f>G152+'14'!H152</f>
        <v>1982</v>
      </c>
      <c r="I152" s="119"/>
      <c r="J152" s="328">
        <f>H152/DAY(B2)</f>
        <v>132.13333333333333</v>
      </c>
    </row>
    <row r="153" spans="1:10" ht="25.5">
      <c r="A153" s="787" t="s">
        <v>196</v>
      </c>
      <c r="B153" s="788"/>
      <c r="C153" s="365"/>
      <c r="D153" s="358"/>
      <c r="E153" s="360"/>
      <c r="F153" s="361"/>
      <c r="G153" s="362">
        <f>SUM(G138:G152)</f>
        <v>3278.4547000001266</v>
      </c>
      <c r="H153" s="363"/>
      <c r="I153" s="119">
        <f>G153-(G38+G52)</f>
        <v>785.81470000012177</v>
      </c>
      <c r="J153" s="366"/>
    </row>
    <row r="154" spans="1:10" ht="27.75">
      <c r="A154" s="869" t="s">
        <v>344</v>
      </c>
      <c r="B154" s="869"/>
      <c r="C154" s="869"/>
      <c r="D154" s="869"/>
      <c r="E154" s="869"/>
      <c r="F154" s="869"/>
      <c r="G154" s="869"/>
      <c r="H154" s="869"/>
      <c r="I154" s="869"/>
      <c r="J154" s="869"/>
    </row>
    <row r="155" spans="1:10" ht="27.75">
      <c r="A155" s="863" t="s">
        <v>345</v>
      </c>
      <c r="B155" s="863"/>
      <c r="C155" s="863"/>
      <c r="D155" s="117" t="s">
        <v>130</v>
      </c>
      <c r="E155" s="95">
        <f>'14'!F155</f>
        <v>247018</v>
      </c>
      <c r="F155" s="157">
        <v>247518</v>
      </c>
      <c r="G155" s="112">
        <f t="shared" ref="G155:G158" si="12">F155-E155</f>
        <v>500</v>
      </c>
      <c r="H155" s="99">
        <f>G155+'14'!H155</f>
        <v>8484</v>
      </c>
      <c r="I155" s="364"/>
      <c r="J155" s="328">
        <f>H155/DAY(B2)</f>
        <v>565.6</v>
      </c>
    </row>
    <row r="156" spans="1:10" ht="25.5">
      <c r="A156" s="863" t="s">
        <v>347</v>
      </c>
      <c r="B156" s="863"/>
      <c r="C156" s="863"/>
      <c r="D156" s="117" t="s">
        <v>130</v>
      </c>
      <c r="E156" s="95">
        <f>'14'!F156</f>
        <v>30835</v>
      </c>
      <c r="F156" s="157">
        <v>31011.85</v>
      </c>
      <c r="G156" s="112">
        <f t="shared" si="12"/>
        <v>176.84999999999854</v>
      </c>
      <c r="H156" s="99">
        <f>G156+'14'!H156</f>
        <v>1332.3499999999985</v>
      </c>
      <c r="I156" s="165"/>
      <c r="J156" s="328">
        <f>H156/DAY(B2)</f>
        <v>88.823333333333238</v>
      </c>
    </row>
    <row r="157" spans="1:10" ht="25.5">
      <c r="A157" s="864" t="s">
        <v>360</v>
      </c>
      <c r="B157" s="865"/>
      <c r="C157" s="866"/>
      <c r="D157" s="117" t="s">
        <v>130</v>
      </c>
      <c r="E157" s="95">
        <f>'14'!F157</f>
        <v>37559</v>
      </c>
      <c r="F157" s="157">
        <v>37559</v>
      </c>
      <c r="G157" s="112">
        <f t="shared" si="12"/>
        <v>0</v>
      </c>
      <c r="H157" s="99">
        <f>G157+'14'!H157</f>
        <v>0</v>
      </c>
      <c r="I157" s="165"/>
      <c r="J157" s="328">
        <f>H157/DAY(B2)</f>
        <v>0</v>
      </c>
    </row>
    <row r="158" spans="1:10" ht="25.5">
      <c r="A158" s="864" t="s">
        <v>361</v>
      </c>
      <c r="B158" s="865"/>
      <c r="C158" s="866"/>
      <c r="D158" s="117" t="s">
        <v>130</v>
      </c>
      <c r="E158" s="95">
        <f>'14'!F158</f>
        <v>1769</v>
      </c>
      <c r="F158" s="157">
        <v>1769</v>
      </c>
      <c r="G158" s="112">
        <f t="shared" si="12"/>
        <v>0</v>
      </c>
      <c r="H158" s="99">
        <f>G158+'14'!H158</f>
        <v>11</v>
      </c>
      <c r="I158" s="165"/>
      <c r="J158" s="328">
        <f>H158/DAY(B2)</f>
        <v>0.73333333333333328</v>
      </c>
    </row>
    <row r="159" spans="1:10" ht="25.5">
      <c r="A159" s="944"/>
      <c r="B159" s="945"/>
      <c r="C159" s="946"/>
      <c r="D159" s="117"/>
      <c r="E159" s="95"/>
      <c r="F159" s="165"/>
      <c r="G159" s="362">
        <f>SUM(G155:G158)</f>
        <v>676.84999999999854</v>
      </c>
      <c r="H159" s="99"/>
      <c r="I159" s="165"/>
      <c r="J159" s="328"/>
    </row>
    <row r="160" spans="1:10" ht="27.75">
      <c r="A160" s="869" t="s">
        <v>326</v>
      </c>
      <c r="B160" s="869"/>
      <c r="C160" s="869"/>
      <c r="D160" s="869"/>
      <c r="E160" s="869"/>
      <c r="F160" s="869"/>
      <c r="G160" s="869"/>
      <c r="H160" s="869"/>
      <c r="I160" s="869"/>
      <c r="J160" s="869"/>
    </row>
    <row r="161" spans="1:10" ht="26.25">
      <c r="A161" s="242" t="s">
        <v>92</v>
      </c>
      <c r="B161" s="243"/>
      <c r="C161" s="243"/>
      <c r="D161" s="244" t="s">
        <v>180</v>
      </c>
      <c r="E161" s="95">
        <f>'14'!F161</f>
        <v>510694.76</v>
      </c>
      <c r="F161" s="235">
        <v>510750.52</v>
      </c>
      <c r="G161" s="238">
        <f t="shared" ref="G161:G165" si="13">F161-E161</f>
        <v>55.760000000009313</v>
      </c>
      <c r="H161" s="99">
        <f>G161+'14'!H161</f>
        <v>2367.2000000000116</v>
      </c>
      <c r="I161" s="236"/>
      <c r="J161" s="239">
        <f>H161/DAY(B2)</f>
        <v>157.8133333333341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'14'!F162</f>
        <v>1248</v>
      </c>
      <c r="F162" s="235">
        <v>1262</v>
      </c>
      <c r="G162" s="238">
        <f t="shared" si="13"/>
        <v>14</v>
      </c>
      <c r="H162" s="99">
        <f>G162+'14'!H162</f>
        <v>490.4</v>
      </c>
      <c r="I162" s="236"/>
      <c r="J162" s="239">
        <f>H162/DAY(B2)</f>
        <v>32.693333333333335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'14'!F163</f>
        <v>0</v>
      </c>
      <c r="F163" s="235">
        <v>0</v>
      </c>
      <c r="G163" s="238">
        <f t="shared" si="13"/>
        <v>0</v>
      </c>
      <c r="H163" s="99">
        <f>G163+'14'!H163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'14'!F164</f>
        <v>7270</v>
      </c>
      <c r="F164" s="235">
        <v>7271.8</v>
      </c>
      <c r="G164" s="238">
        <f t="shared" si="13"/>
        <v>1.8000000000001819</v>
      </c>
      <c r="H164" s="99">
        <f>G164+'14'!H164</f>
        <v>72.800000000000182</v>
      </c>
      <c r="I164" s="236"/>
      <c r="J164" s="239">
        <f>H164/DAY(B2)</f>
        <v>4.853333333333345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'14'!F165</f>
        <v>32867.769999999997</v>
      </c>
      <c r="F165" s="235">
        <v>32872.6</v>
      </c>
      <c r="G165" s="238">
        <f t="shared" si="13"/>
        <v>4.8300000000017462</v>
      </c>
      <c r="H165" s="99">
        <f>G165+'14'!H165</f>
        <v>92.511999999995169</v>
      </c>
      <c r="I165" s="236"/>
      <c r="J165" s="239">
        <f>H165/DAY(B2)</f>
        <v>6.1674666666663445</v>
      </c>
    </row>
    <row r="166" spans="1:10" ht="26.25">
      <c r="A166" s="870"/>
      <c r="B166" s="870"/>
      <c r="C166" s="246"/>
      <c r="D166" s="244" t="s">
        <v>180</v>
      </c>
      <c r="E166" s="95">
        <f>'14'!F166</f>
        <v>0</v>
      </c>
      <c r="F166" s="165"/>
      <c r="G166" s="165"/>
      <c r="H166" s="99">
        <f>G166+'14'!H166</f>
        <v>0</v>
      </c>
      <c r="I166" s="165"/>
      <c r="J166" s="239">
        <f>H166/DAY(B2)</f>
        <v>0</v>
      </c>
    </row>
    <row r="167" spans="1:10" ht="26.25">
      <c r="A167" s="870"/>
      <c r="B167" s="870"/>
      <c r="C167" s="246"/>
      <c r="D167" s="244" t="s">
        <v>180</v>
      </c>
      <c r="E167" s="95">
        <f>'14'!F167</f>
        <v>0</v>
      </c>
      <c r="F167" s="165"/>
      <c r="G167" s="165"/>
      <c r="H167" s="99">
        <f>G167+'14'!H167</f>
        <v>0</v>
      </c>
      <c r="I167" s="165"/>
      <c r="J167" s="239">
        <f>H167/DAY(B2)</f>
        <v>0</v>
      </c>
    </row>
    <row r="168" spans="1:10" ht="26.25">
      <c r="A168" s="870"/>
      <c r="B168" s="870"/>
      <c r="C168" s="246"/>
      <c r="D168" s="244" t="s">
        <v>180</v>
      </c>
      <c r="E168" s="95">
        <f>'14'!F168</f>
        <v>0</v>
      </c>
      <c r="F168" s="165"/>
      <c r="G168" s="165"/>
      <c r="H168" s="99">
        <f>G168+'14'!H168</f>
        <v>0</v>
      </c>
      <c r="I168" s="165"/>
      <c r="J168" s="239">
        <f>H168/DAY(B2)</f>
        <v>0</v>
      </c>
    </row>
    <row r="169" spans="1:10" ht="26.25"/>
    <row r="170" spans="1:10" ht="21.75" customHeight="1"/>
    <row r="171" spans="1:10" ht="21.75" customHeight="1">
      <c r="A171" s="871" t="s">
        <v>330</v>
      </c>
      <c r="B171" s="872"/>
      <c r="C171" s="872"/>
      <c r="D171" s="872"/>
      <c r="E171" s="872"/>
      <c r="F171" s="872"/>
      <c r="G171" s="872"/>
      <c r="H171" s="872"/>
      <c r="I171" s="872"/>
      <c r="J171" s="873"/>
    </row>
    <row r="172" spans="1:10" ht="21.75" customHeight="1">
      <c r="A172" s="878"/>
      <c r="B172" s="879"/>
      <c r="C172" s="332"/>
      <c r="D172" s="228"/>
      <c r="E172" s="155"/>
      <c r="F172" s="155"/>
      <c r="G172" s="155"/>
      <c r="H172" s="156"/>
      <c r="I172" s="155"/>
      <c r="J172" s="178"/>
    </row>
    <row r="173" spans="1:10" ht="21.75" customHeight="1">
      <c r="A173" s="789" t="s">
        <v>209</v>
      </c>
      <c r="B173" s="790"/>
      <c r="C173" s="333"/>
      <c r="D173" s="228" t="s">
        <v>142</v>
      </c>
      <c r="E173" s="95">
        <f>'14'!F173</f>
        <v>8600</v>
      </c>
      <c r="F173" s="155">
        <v>8600</v>
      </c>
      <c r="G173" s="155">
        <f>F173-E173</f>
        <v>0</v>
      </c>
      <c r="H173" s="99">
        <f>G173+'14'!H173</f>
        <v>18</v>
      </c>
      <c r="I173" s="155"/>
      <c r="J173" s="178">
        <f>H173/DAY(B2)</f>
        <v>1.2</v>
      </c>
    </row>
    <row r="174" spans="1:10" ht="21.75" customHeight="1">
      <c r="A174" s="789" t="s">
        <v>75</v>
      </c>
      <c r="B174" s="790"/>
      <c r="C174" s="333"/>
      <c r="D174" s="228" t="s">
        <v>142</v>
      </c>
      <c r="E174" s="95">
        <f>'14'!F174</f>
        <v>43218</v>
      </c>
      <c r="F174" s="157">
        <v>43225</v>
      </c>
      <c r="G174" s="155">
        <f t="shared" ref="G174:G175" si="14">F174-E174</f>
        <v>7</v>
      </c>
      <c r="H174" s="99">
        <f>G174+'14'!H174</f>
        <v>175</v>
      </c>
      <c r="I174" s="155"/>
      <c r="J174" s="178">
        <f>H174/DAY(B2)</f>
        <v>11.666666666666666</v>
      </c>
    </row>
    <row r="175" spans="1:10" ht="21.75" customHeight="1">
      <c r="A175" s="789" t="s">
        <v>76</v>
      </c>
      <c r="B175" s="802"/>
      <c r="C175" s="790"/>
      <c r="D175" s="228" t="s">
        <v>142</v>
      </c>
      <c r="E175" s="95">
        <f>'14'!F175</f>
        <v>26025</v>
      </c>
      <c r="F175" s="155">
        <v>26030</v>
      </c>
      <c r="G175" s="155">
        <f t="shared" si="14"/>
        <v>5</v>
      </c>
      <c r="H175" s="99">
        <f>G175+'14'!H175</f>
        <v>209</v>
      </c>
      <c r="I175" s="155"/>
      <c r="J175" s="178">
        <f>H175/DAY(B2)</f>
        <v>13.933333333333334</v>
      </c>
    </row>
    <row r="176" spans="1:10" ht="21.75" customHeight="1">
      <c r="A176" s="787" t="s">
        <v>196</v>
      </c>
      <c r="B176" s="788"/>
      <c r="C176" s="333"/>
      <c r="D176" s="228" t="s">
        <v>142</v>
      </c>
      <c r="E176" s="95"/>
      <c r="F176" s="155"/>
      <c r="G176" s="155">
        <f>SUM(G173:G175)</f>
        <v>12</v>
      </c>
      <c r="H176" s="99">
        <f>G176+'14'!H176</f>
        <v>402</v>
      </c>
      <c r="I176" s="155"/>
      <c r="J176" s="178">
        <f>H176/DAY(B2)</f>
        <v>26.8</v>
      </c>
    </row>
    <row r="177" spans="1:10" ht="21.75" customHeight="1">
      <c r="A177" s="789" t="s">
        <v>77</v>
      </c>
      <c r="B177" s="790"/>
      <c r="C177" s="333"/>
      <c r="D177" s="228" t="s">
        <v>142</v>
      </c>
      <c r="E177" s="95"/>
      <c r="F177" s="155"/>
      <c r="G177" s="155"/>
      <c r="H177" s="99">
        <f>G177+'14'!H177</f>
        <v>0</v>
      </c>
      <c r="I177" s="155"/>
      <c r="J177" s="178">
        <f>H177/DAY(B2)</f>
        <v>0</v>
      </c>
    </row>
    <row r="178" spans="1:10" ht="23.25" customHeight="1">
      <c r="A178" s="789" t="s">
        <v>210</v>
      </c>
      <c r="B178" s="790"/>
      <c r="C178" s="333"/>
      <c r="D178" s="228" t="s">
        <v>142</v>
      </c>
      <c r="E178" s="95">
        <f>'14'!F178</f>
        <v>108617</v>
      </c>
      <c r="F178" s="155">
        <v>108681</v>
      </c>
      <c r="G178" s="155">
        <f>F178-E178</f>
        <v>64</v>
      </c>
      <c r="H178" s="99">
        <f>G178+'14'!H178</f>
        <v>1682</v>
      </c>
      <c r="I178" s="155"/>
      <c r="J178" s="178">
        <f>H178/DAY(B2)</f>
        <v>112.13333333333334</v>
      </c>
    </row>
    <row r="179" spans="1:10" ht="24" customHeight="1">
      <c r="A179" s="789" t="s">
        <v>211</v>
      </c>
      <c r="B179" s="790"/>
      <c r="C179" s="333"/>
      <c r="D179" s="228" t="s">
        <v>142</v>
      </c>
      <c r="E179" s="95">
        <f>'14'!F179</f>
        <v>37501</v>
      </c>
      <c r="F179" s="155">
        <v>37501</v>
      </c>
      <c r="G179" s="155">
        <f t="shared" ref="G179:G180" si="15">F179-E179</f>
        <v>0</v>
      </c>
      <c r="H179" s="99">
        <f>G179+'14'!H179</f>
        <v>0</v>
      </c>
      <c r="I179" s="155"/>
      <c r="J179" s="178">
        <f>H179/DAY(B2)</f>
        <v>0</v>
      </c>
    </row>
    <row r="180" spans="1:10" ht="25.5">
      <c r="A180" s="789" t="s">
        <v>212</v>
      </c>
      <c r="B180" s="790"/>
      <c r="C180" s="333"/>
      <c r="D180" s="228" t="s">
        <v>142</v>
      </c>
      <c r="E180" s="95">
        <f>'14'!F180</f>
        <v>7631</v>
      </c>
      <c r="F180" s="155">
        <v>7631</v>
      </c>
      <c r="G180" s="155">
        <f t="shared" si="15"/>
        <v>0</v>
      </c>
      <c r="H180" s="99">
        <f>G180+'14'!H180</f>
        <v>68</v>
      </c>
      <c r="I180" s="155"/>
      <c r="J180" s="178">
        <f>H180/DAY(B2)</f>
        <v>4.5333333333333332</v>
      </c>
    </row>
    <row r="181" spans="1:10" ht="25.5">
      <c r="A181" s="876" t="s">
        <v>108</v>
      </c>
      <c r="B181" s="877"/>
      <c r="C181" s="333"/>
      <c r="D181" s="228" t="s">
        <v>142</v>
      </c>
      <c r="E181" s="95"/>
      <c r="F181" s="155"/>
      <c r="G181" s="155">
        <f>SUM(G178:G180)</f>
        <v>64</v>
      </c>
      <c r="H181" s="99">
        <f>G181+'14'!H181</f>
        <v>1750</v>
      </c>
      <c r="I181" s="155"/>
      <c r="J181" s="178">
        <f>H181/DAY(B2)</f>
        <v>116.66666666666667</v>
      </c>
    </row>
    <row r="182" spans="1:10" ht="25.5">
      <c r="A182" s="789" t="s">
        <v>213</v>
      </c>
      <c r="B182" s="790"/>
      <c r="C182" s="333"/>
      <c r="D182" s="228" t="s">
        <v>142</v>
      </c>
      <c r="E182" s="95"/>
      <c r="F182" s="155"/>
      <c r="G182" s="155"/>
      <c r="H182" s="99">
        <f>G182+'14'!H182</f>
        <v>0</v>
      </c>
      <c r="I182" s="155"/>
      <c r="J182" s="178">
        <f>H182/DAY(B2)</f>
        <v>0</v>
      </c>
    </row>
    <row r="183" spans="1:10" ht="25.5">
      <c r="A183" s="789" t="s">
        <v>214</v>
      </c>
      <c r="B183" s="790"/>
      <c r="C183" s="334"/>
      <c r="D183" s="228" t="s">
        <v>142</v>
      </c>
      <c r="E183" s="95">
        <f>'14'!F183</f>
        <v>18464</v>
      </c>
      <c r="F183" s="157">
        <v>18468</v>
      </c>
      <c r="G183" s="157">
        <f>F183-E183</f>
        <v>4</v>
      </c>
      <c r="H183" s="99">
        <f>G183+'14'!H183</f>
        <v>90</v>
      </c>
      <c r="I183" s="155"/>
      <c r="J183" s="178">
        <f>H183/DAY(B2)</f>
        <v>6</v>
      </c>
    </row>
    <row r="184" spans="1:10" ht="25.5">
      <c r="A184" s="789" t="s">
        <v>215</v>
      </c>
      <c r="B184" s="790"/>
      <c r="C184" s="334"/>
      <c r="D184" s="228" t="s">
        <v>142</v>
      </c>
      <c r="E184" s="95">
        <f>'14'!F184</f>
        <v>13116</v>
      </c>
      <c r="F184" s="157">
        <v>13125</v>
      </c>
      <c r="G184" s="157">
        <f t="shared" ref="G184:G185" si="16">F184-E184</f>
        <v>9</v>
      </c>
      <c r="H184" s="99">
        <f>G184+'14'!H184</f>
        <v>145</v>
      </c>
      <c r="I184" s="155"/>
      <c r="J184" s="178">
        <f>H184/DAY(B2)</f>
        <v>9.6666666666666661</v>
      </c>
    </row>
    <row r="185" spans="1:10" ht="32.25" customHeight="1">
      <c r="A185" s="789" t="s">
        <v>216</v>
      </c>
      <c r="B185" s="790"/>
      <c r="C185" s="334"/>
      <c r="D185" s="228" t="s">
        <v>142</v>
      </c>
      <c r="E185" s="95">
        <f>'14'!F185</f>
        <v>0</v>
      </c>
      <c r="F185" s="157"/>
      <c r="G185" s="157">
        <f t="shared" si="16"/>
        <v>0</v>
      </c>
      <c r="H185" s="99">
        <f>G185+'14'!H185</f>
        <v>0</v>
      </c>
      <c r="I185" s="155"/>
      <c r="J185" s="178">
        <f>H185/DAY(B2)</f>
        <v>0</v>
      </c>
    </row>
    <row r="186" spans="1:10" ht="25.5">
      <c r="A186" s="787" t="s">
        <v>196</v>
      </c>
      <c r="B186" s="788"/>
      <c r="C186" s="334"/>
      <c r="D186" s="228" t="s">
        <v>142</v>
      </c>
      <c r="E186" s="95"/>
      <c r="F186" s="157"/>
      <c r="G186" s="157">
        <f>SUM(G183:G185)</f>
        <v>13</v>
      </c>
      <c r="H186" s="99">
        <f>G186+'14'!H186</f>
        <v>235</v>
      </c>
      <c r="I186" s="157"/>
      <c r="J186" s="178">
        <f>H186/DAY(B2)</f>
        <v>15.666666666666666</v>
      </c>
    </row>
    <row r="187" spans="1:10" ht="25.5">
      <c r="A187" s="867" t="s">
        <v>217</v>
      </c>
      <c r="B187" s="868"/>
      <c r="C187" s="333"/>
      <c r="D187" s="230" t="s">
        <v>142</v>
      </c>
      <c r="E187" s="95"/>
      <c r="F187" s="159"/>
      <c r="G187" s="377">
        <f>G62+G19</f>
        <v>198.5</v>
      </c>
      <c r="H187" s="99">
        <f>G187+'14'!H187</f>
        <v>2286.5</v>
      </c>
      <c r="I187" s="158"/>
      <c r="J187" s="179">
        <f>H187/DAY(B2)</f>
        <v>152.43333333333334</v>
      </c>
    </row>
    <row r="188" spans="1:10" ht="25.5">
      <c r="A188" s="867" t="s">
        <v>218</v>
      </c>
      <c r="B188" s="868"/>
      <c r="C188" s="333"/>
      <c r="D188" s="230" t="s">
        <v>142</v>
      </c>
      <c r="E188" s="95"/>
      <c r="F188" s="159"/>
      <c r="G188" s="377">
        <f>G65+G66+G67+G69+G70</f>
        <v>178</v>
      </c>
      <c r="H188" s="99">
        <f>G188+'14'!H188</f>
        <v>178</v>
      </c>
      <c r="I188" s="158"/>
      <c r="J188" s="179">
        <f>H188/DAY(B2)</f>
        <v>11.866666666666667</v>
      </c>
    </row>
    <row r="189" spans="1:10" ht="27" customHeight="1">
      <c r="A189" s="867" t="s">
        <v>219</v>
      </c>
      <c r="B189" s="868"/>
      <c r="C189" s="333"/>
      <c r="D189" s="230" t="s">
        <v>142</v>
      </c>
      <c r="E189" s="95"/>
      <c r="F189" s="157"/>
      <c r="G189" s="376">
        <f>G181</f>
        <v>64</v>
      </c>
      <c r="H189" s="99">
        <f>G189+'14'!H189</f>
        <v>1750</v>
      </c>
      <c r="I189" s="158"/>
      <c r="J189" s="179">
        <f>H189/DAY(B2)</f>
        <v>116.66666666666667</v>
      </c>
    </row>
    <row r="190" spans="1:10" ht="27" customHeight="1">
      <c r="A190" s="874"/>
      <c r="B190" s="875"/>
      <c r="C190" s="398"/>
      <c r="D190" s="395"/>
      <c r="E190" s="395" t="s">
        <v>207</v>
      </c>
      <c r="F190" s="395"/>
      <c r="G190" s="395"/>
      <c r="H190" s="396"/>
      <c r="I190" s="395"/>
      <c r="J190" s="397"/>
    </row>
    <row r="191" spans="1:10" ht="27" customHeight="1"/>
    <row r="192" spans="1:10" ht="27" customHeight="1"/>
    <row r="193" ht="27" customHeight="1"/>
    <row r="194" ht="27" customHeight="1"/>
    <row r="195" ht="27" customHeight="1"/>
    <row r="196" ht="27" customHeight="1"/>
    <row r="197" ht="27" customHeight="1"/>
    <row r="198" ht="27" customHeight="1"/>
    <row r="199" ht="27" customHeight="1"/>
    <row r="200" ht="27" customHeight="1"/>
    <row r="201" ht="27" customHeight="1"/>
    <row r="202" ht="27" customHeight="1"/>
    <row r="203" ht="27" customHeight="1"/>
    <row r="204" ht="27" customHeight="1"/>
    <row r="205" ht="27" customHeight="1"/>
    <row r="206" ht="27" customHeight="1"/>
    <row r="207" ht="27" customHeight="1"/>
    <row r="208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  <row r="238" ht="27" customHeight="1"/>
    <row r="239" ht="27" customHeight="1"/>
    <row r="240" ht="27" customHeight="1"/>
    <row r="241" ht="27" customHeight="1"/>
    <row r="242" ht="27" customHeight="1"/>
    <row r="243" ht="27" customHeight="1"/>
    <row r="244" ht="27" customHeight="1"/>
    <row r="245" ht="27" customHeight="1"/>
    <row r="246" ht="27" customHeight="1"/>
    <row r="247" ht="27" customHeight="1"/>
    <row r="248" ht="27" customHeight="1"/>
    <row r="249" ht="27" customHeight="1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78:C78"/>
    <mergeCell ref="A114:C114"/>
    <mergeCell ref="A135:B13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02:C102"/>
    <mergeCell ref="A123:C123"/>
    <mergeCell ref="A95:C95"/>
    <mergeCell ref="A96:C96"/>
    <mergeCell ref="A109:B109"/>
    <mergeCell ref="A93:C93"/>
    <mergeCell ref="A94:C94"/>
    <mergeCell ref="A76:C76"/>
    <mergeCell ref="A77:C77"/>
    <mergeCell ref="A79:C79"/>
    <mergeCell ref="A80:C80"/>
    <mergeCell ref="A81:C81"/>
    <mergeCell ref="A115:C115"/>
    <mergeCell ref="A103:C103"/>
    <mergeCell ref="A61:C61"/>
    <mergeCell ref="A62:C62"/>
    <mergeCell ref="A63:C63"/>
    <mergeCell ref="A71:C71"/>
    <mergeCell ref="A72:B72"/>
    <mergeCell ref="A73:C73"/>
    <mergeCell ref="A74:C74"/>
    <mergeCell ref="A75:C75"/>
    <mergeCell ref="A64:C64"/>
    <mergeCell ref="A65:C65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11:C111"/>
    <mergeCell ref="A112:C112"/>
    <mergeCell ref="A113:C113"/>
    <mergeCell ref="A126:J126"/>
    <mergeCell ref="A127:B127"/>
    <mergeCell ref="A128:C128"/>
    <mergeCell ref="A131:C131"/>
    <mergeCell ref="A132:C132"/>
    <mergeCell ref="A122:C122"/>
    <mergeCell ref="A124:C124"/>
    <mergeCell ref="A125:B125"/>
    <mergeCell ref="A157:C157"/>
    <mergeCell ref="Q116:R116"/>
    <mergeCell ref="A117:C117"/>
    <mergeCell ref="Q117:R117"/>
    <mergeCell ref="A118:C118"/>
    <mergeCell ref="Q118:R118"/>
    <mergeCell ref="A119:C119"/>
    <mergeCell ref="A116:C116"/>
    <mergeCell ref="A120:C120"/>
    <mergeCell ref="A121:C121"/>
    <mergeCell ref="A172:B172"/>
    <mergeCell ref="A139:C139"/>
    <mergeCell ref="A140:C140"/>
    <mergeCell ref="A141:C141"/>
    <mergeCell ref="A142:C142"/>
    <mergeCell ref="A160:J160"/>
    <mergeCell ref="A133:C133"/>
    <mergeCell ref="A134:C134"/>
    <mergeCell ref="A136:J136"/>
    <mergeCell ref="A138:C138"/>
    <mergeCell ref="A148:C148"/>
    <mergeCell ref="A149:C149"/>
    <mergeCell ref="A143:C143"/>
    <mergeCell ref="A144:C144"/>
    <mergeCell ref="A145:C145"/>
    <mergeCell ref="A146:C146"/>
    <mergeCell ref="A147:C147"/>
    <mergeCell ref="A150:C150"/>
    <mergeCell ref="A151:C151"/>
    <mergeCell ref="A152:C152"/>
    <mergeCell ref="A154:J154"/>
    <mergeCell ref="A155:C155"/>
    <mergeCell ref="A156:C156"/>
    <mergeCell ref="A153:B153"/>
    <mergeCell ref="A158:C158"/>
    <mergeCell ref="A159:C159"/>
    <mergeCell ref="A186:B186"/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2:B182"/>
    <mergeCell ref="A183:B183"/>
    <mergeCell ref="A181:B181"/>
    <mergeCell ref="A173:B173"/>
    <mergeCell ref="A174:B174"/>
    <mergeCell ref="A175:C175"/>
    <mergeCell ref="A176:B176"/>
    <mergeCell ref="A177:B177"/>
    <mergeCell ref="A166:B166"/>
    <mergeCell ref="A167:B167"/>
    <mergeCell ref="A168:B168"/>
    <mergeCell ref="A171:J171"/>
  </mergeCells>
  <pageMargins left="0.22" right="0.17" top="0.14000000000000001" bottom="0.2" header="0.2" footer="0.2"/>
  <pageSetup paperSize="5" scale="2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  <pageSetUpPr fitToPage="1"/>
  </sheetPr>
  <dimension ref="A1:R270"/>
  <sheetViews>
    <sheetView view="pageBreakPreview" zoomScale="55" zoomScaleNormal="90" zoomScaleSheetLayoutView="55" workbookViewId="0">
      <selection activeCell="F75" sqref="F7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30" style="413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919" t="s">
        <v>115</v>
      </c>
      <c r="B1" s="920"/>
      <c r="C1" s="920"/>
      <c r="D1" s="920"/>
      <c r="E1" s="920"/>
      <c r="F1" s="920"/>
      <c r="G1" s="920"/>
      <c r="H1" s="920"/>
      <c r="I1" s="920"/>
      <c r="J1" s="921"/>
    </row>
    <row r="2" spans="1:16" s="57" customFormat="1" ht="23.25">
      <c r="A2" s="191" t="s">
        <v>355</v>
      </c>
      <c r="B2" s="262">
        <v>44577</v>
      </c>
      <c r="C2" s="348" t="s">
        <v>67</v>
      </c>
      <c r="D2" s="218">
        <v>0.83</v>
      </c>
      <c r="E2" s="100"/>
      <c r="F2" s="348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3.25">
      <c r="A3" s="189"/>
      <c r="B3" s="221"/>
      <c r="C3" s="348" t="s">
        <v>118</v>
      </c>
      <c r="D3" s="219">
        <v>23</v>
      </c>
      <c r="E3" s="928" t="s">
        <v>119</v>
      </c>
      <c r="F3" s="929"/>
      <c r="G3" s="101"/>
      <c r="H3" s="102"/>
      <c r="I3" s="102"/>
      <c r="J3" s="222"/>
      <c r="K3" s="61"/>
      <c r="L3" s="58"/>
    </row>
    <row r="4" spans="1:16" s="57" customFormat="1" ht="23.25">
      <c r="A4" s="192"/>
      <c r="B4" s="223"/>
      <c r="C4" s="348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6" ht="26.25">
      <c r="A5" s="193" t="s">
        <v>121</v>
      </c>
      <c r="B5" s="98"/>
      <c r="C5" s="98"/>
      <c r="D5" s="146" t="s">
        <v>122</v>
      </c>
      <c r="E5" s="106" t="s">
        <v>123</v>
      </c>
      <c r="F5" s="120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6.25">
      <c r="A6" s="922" t="s">
        <v>128</v>
      </c>
      <c r="B6" s="923"/>
      <c r="C6" s="924"/>
      <c r="D6" s="110"/>
      <c r="E6" s="110"/>
      <c r="F6" s="111"/>
      <c r="G6" s="110"/>
      <c r="H6" s="111"/>
      <c r="I6" s="111"/>
      <c r="J6" s="174"/>
      <c r="K6" s="78"/>
      <c r="L6" s="66"/>
    </row>
    <row r="7" spans="1:16" ht="27" thickBot="1">
      <c r="A7" s="194" t="s">
        <v>129</v>
      </c>
      <c r="B7" s="195"/>
      <c r="C7" s="195"/>
      <c r="D7" s="151" t="s">
        <v>130</v>
      </c>
      <c r="E7" s="95">
        <f>'15'!F7</f>
        <v>291173</v>
      </c>
      <c r="F7" s="95">
        <v>312314</v>
      </c>
      <c r="G7" s="112">
        <f>F7-E7</f>
        <v>21141</v>
      </c>
      <c r="H7" s="99">
        <f>G7+'15'!H7</f>
        <v>334695</v>
      </c>
      <c r="I7" s="113">
        <f>'1'!I7</f>
        <v>12000</v>
      </c>
      <c r="J7" s="175">
        <f>H7/DAY(B2)</f>
        <v>20918.4375</v>
      </c>
      <c r="K7" s="172">
        <v>1375467</v>
      </c>
      <c r="L7" s="66"/>
      <c r="N7" s="87"/>
      <c r="O7" s="71"/>
    </row>
    <row r="8" spans="1:16" ht="27" thickBot="1">
      <c r="A8" s="196" t="s">
        <v>131</v>
      </c>
      <c r="B8" s="197"/>
      <c r="C8" s="198"/>
      <c r="D8" s="224" t="s">
        <v>24</v>
      </c>
      <c r="E8" s="95">
        <f>'15'!F8</f>
        <v>477058.8</v>
      </c>
      <c r="F8" s="114">
        <v>498561</v>
      </c>
      <c r="G8" s="115">
        <f>F8-E8</f>
        <v>21502.200000000012</v>
      </c>
      <c r="H8" s="99">
        <f>G8+'15'!H8</f>
        <v>340704</v>
      </c>
      <c r="I8" s="116"/>
      <c r="J8" s="175">
        <f>H8/DAY(B2)</f>
        <v>21294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6.25">
      <c r="A9" s="199" t="s">
        <v>132</v>
      </c>
      <c r="B9" s="200"/>
      <c r="C9" s="200"/>
      <c r="D9" s="151" t="s">
        <v>130</v>
      </c>
      <c r="E9" s="95">
        <f>'15'!F9</f>
        <v>4639324.3</v>
      </c>
      <c r="F9" s="468">
        <v>4651015</v>
      </c>
      <c r="G9" s="112">
        <f>F9-E9</f>
        <v>11690.700000000186</v>
      </c>
      <c r="H9" s="99">
        <f>G9+'15'!H9</f>
        <v>234409.09999999963</v>
      </c>
      <c r="I9" s="124">
        <f>I7-J7</f>
        <v>-8918.4375</v>
      </c>
      <c r="J9" s="175">
        <f>H9/DAY(B2)</f>
        <v>14650.568749999977</v>
      </c>
      <c r="K9" s="79">
        <f>K8-100</f>
        <v>1715817</v>
      </c>
      <c r="L9" s="66"/>
      <c r="N9" s="87"/>
      <c r="O9" s="71"/>
    </row>
    <row r="10" spans="1:16" ht="26.25">
      <c r="A10" s="194" t="s">
        <v>133</v>
      </c>
      <c r="B10" s="195"/>
      <c r="C10" s="195"/>
      <c r="D10" s="151" t="s">
        <v>130</v>
      </c>
      <c r="E10" s="95">
        <f>'15'!F10</f>
        <v>4153694.1</v>
      </c>
      <c r="F10" s="353">
        <v>4162807</v>
      </c>
      <c r="G10" s="112">
        <f t="shared" ref="G10:G12" si="0">F10-E10</f>
        <v>9112.8999999999069</v>
      </c>
      <c r="H10" s="99">
        <f>G10+'15'!H10</f>
        <v>92770.700000000186</v>
      </c>
      <c r="I10" s="282"/>
      <c r="J10" s="175">
        <f>H10/DAY(B2)</f>
        <v>5798.1687500000116</v>
      </c>
      <c r="K10" s="79"/>
      <c r="L10" s="66"/>
      <c r="N10" s="87"/>
      <c r="O10" s="71"/>
    </row>
    <row r="11" spans="1:16" ht="26.25">
      <c r="A11" s="194" t="s">
        <v>134</v>
      </c>
      <c r="B11" s="195"/>
      <c r="C11" s="195"/>
      <c r="D11" s="151" t="s">
        <v>130</v>
      </c>
      <c r="E11" s="95">
        <f>'15'!F11</f>
        <v>38700</v>
      </c>
      <c r="F11" s="95">
        <v>38700</v>
      </c>
      <c r="G11" s="112">
        <f t="shared" si="0"/>
        <v>0</v>
      </c>
      <c r="H11" s="99">
        <f>G11+'15'!H11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6.25">
      <c r="A12" s="194" t="s">
        <v>135</v>
      </c>
      <c r="B12" s="195"/>
      <c r="C12" s="195"/>
      <c r="D12" s="151" t="s">
        <v>130</v>
      </c>
      <c r="E12" s="95">
        <f>'15'!F12</f>
        <v>40550</v>
      </c>
      <c r="F12" s="117">
        <v>40550</v>
      </c>
      <c r="G12" s="112">
        <f t="shared" si="0"/>
        <v>0</v>
      </c>
      <c r="H12" s="99">
        <f>G12+'15'!H12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26.25">
      <c r="A13" s="201" t="s">
        <v>136</v>
      </c>
      <c r="B13" s="202"/>
      <c r="C13" s="202"/>
      <c r="D13" s="151"/>
      <c r="E13" s="95"/>
      <c r="F13" s="95"/>
      <c r="G13" s="119">
        <f>G9+G10+G11+G12</f>
        <v>20803.600000000093</v>
      </c>
      <c r="H13" s="99">
        <f>G13+'15'!H13</f>
        <v>327179.79999999981</v>
      </c>
      <c r="I13" s="120">
        <f>G7-G13</f>
        <v>337.39999999990687</v>
      </c>
      <c r="J13" s="175">
        <f>H13/DAY(B2)</f>
        <v>20448.737499999988</v>
      </c>
      <c r="K13" s="79"/>
      <c r="L13" s="66"/>
      <c r="N13" s="87"/>
      <c r="O13" s="71" t="s">
        <v>382</v>
      </c>
    </row>
    <row r="14" spans="1:16" ht="26.25">
      <c r="A14" s="925" t="s">
        <v>137</v>
      </c>
      <c r="B14" s="926"/>
      <c r="C14" s="92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6.25">
      <c r="A15" s="345" t="s">
        <v>138</v>
      </c>
      <c r="B15" s="205"/>
      <c r="C15" s="205"/>
      <c r="D15" s="151" t="s">
        <v>139</v>
      </c>
      <c r="E15" s="95">
        <f>'15'!F15</f>
        <v>2270211</v>
      </c>
      <c r="F15" s="468">
        <v>2271270</v>
      </c>
      <c r="G15" s="112">
        <f>(F15-E15)</f>
        <v>1059</v>
      </c>
      <c r="H15" s="99">
        <f>G15+'15'!H15</f>
        <v>17968.641999999993</v>
      </c>
      <c r="I15" s="113">
        <f>'1'!I15</f>
        <v>800</v>
      </c>
      <c r="J15" s="175">
        <f>H15/DAY(B2)</f>
        <v>1123.0401249999995</v>
      </c>
      <c r="K15" s="79"/>
      <c r="L15" s="66"/>
      <c r="N15" s="87"/>
      <c r="O15" s="71"/>
      <c r="P15" s="425"/>
    </row>
    <row r="16" spans="1:16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-323.04012499999953</v>
      </c>
      <c r="J16" s="176"/>
      <c r="K16" s="79"/>
      <c r="L16" s="66"/>
      <c r="N16" s="87"/>
      <c r="O16" s="71"/>
    </row>
    <row r="17" spans="1:15" ht="26.25">
      <c r="A17" s="925" t="s">
        <v>140</v>
      </c>
      <c r="B17" s="926"/>
      <c r="C17" s="92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02" t="s">
        <v>141</v>
      </c>
      <c r="B18" s="903"/>
      <c r="C18" s="904"/>
      <c r="D18" s="151" t="s">
        <v>142</v>
      </c>
      <c r="E18" s="95">
        <f>'15'!F18</f>
        <v>30</v>
      </c>
      <c r="F18" s="164">
        <v>22</v>
      </c>
      <c r="G18" s="119">
        <f>F18*10</f>
        <v>220</v>
      </c>
      <c r="H18" s="99">
        <f>G18+'15'!H18</f>
        <v>3440</v>
      </c>
      <c r="I18" s="113">
        <f>'1'!I18</f>
        <v>65</v>
      </c>
      <c r="J18" s="175">
        <f>H18/DAY(B2)</f>
        <v>215</v>
      </c>
      <c r="K18" s="79"/>
      <c r="L18" s="66"/>
      <c r="N18" s="87"/>
      <c r="O18" s="71"/>
    </row>
    <row r="19" spans="1:15" ht="25.5">
      <c r="A19" s="902" t="s">
        <v>69</v>
      </c>
      <c r="B19" s="903"/>
      <c r="C19" s="904"/>
      <c r="D19" s="151" t="s">
        <v>142</v>
      </c>
      <c r="E19" s="95">
        <f>'15'!F19</f>
        <v>170418</v>
      </c>
      <c r="F19" s="164">
        <v>170475</v>
      </c>
      <c r="G19" s="112">
        <v>52</v>
      </c>
      <c r="H19" s="99">
        <f>G19+'15'!H19</f>
        <v>910</v>
      </c>
      <c r="I19" s="335"/>
      <c r="J19" s="175">
        <f>H19/DAY(B2)</f>
        <v>56.875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272</v>
      </c>
      <c r="H20" s="99">
        <f>G20+'15'!H20</f>
        <v>4350</v>
      </c>
      <c r="I20" s="336">
        <f>I18-J20</f>
        <v>-206.875</v>
      </c>
      <c r="J20" s="175">
        <f>H20/DAY(B2)</f>
        <v>271.875</v>
      </c>
      <c r="K20" s="79"/>
      <c r="L20" s="66"/>
      <c r="N20" s="87"/>
      <c r="O20" s="71"/>
    </row>
    <row r="21" spans="1:15" ht="26.25">
      <c r="A21" s="925" t="s">
        <v>144</v>
      </c>
      <c r="B21" s="926"/>
      <c r="C21" s="92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'15'!F22</f>
        <v>2970</v>
      </c>
      <c r="F22" s="122">
        <v>2970</v>
      </c>
      <c r="G22" s="119">
        <f t="shared" ref="G22" si="1">(F22-E22)</f>
        <v>0</v>
      </c>
      <c r="H22" s="99">
        <f>G22+'15'!H22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'15'!F23</f>
        <v>1860</v>
      </c>
      <c r="F23" s="122">
        <v>1860</v>
      </c>
      <c r="G23" s="119">
        <v>0</v>
      </c>
      <c r="H23" s="99">
        <f>G23+'15'!H23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'15'!F24</f>
        <v>4970</v>
      </c>
      <c r="F24" s="128">
        <v>4970</v>
      </c>
      <c r="G24" s="119">
        <v>0</v>
      </c>
      <c r="H24" s="99">
        <f>G24+'15'!H24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30" t="s">
        <v>149</v>
      </c>
      <c r="B25" s="931"/>
      <c r="C25" s="932"/>
      <c r="D25" s="110"/>
      <c r="E25" s="110"/>
      <c r="F25" s="111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21502.200000000012</v>
      </c>
      <c r="F27" s="136">
        <v>10</v>
      </c>
      <c r="G27" s="137">
        <f>E27*F27</f>
        <v>215022.00000000012</v>
      </c>
      <c r="H27" s="99">
        <f>G27+'15'!H27</f>
        <v>3194045.1999999997</v>
      </c>
      <c r="I27" s="138"/>
      <c r="J27" s="175">
        <f>H27/DAY(B2)</f>
        <v>199627.82499999998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1059</v>
      </c>
      <c r="F28" s="136">
        <v>65</v>
      </c>
      <c r="G28" s="137">
        <f>E28*F28</f>
        <v>68835</v>
      </c>
      <c r="H28" s="99">
        <f>G28+'15'!H28</f>
        <v>1247823.1499999994</v>
      </c>
      <c r="I28" s="140"/>
      <c r="J28" s="175">
        <f>H28/DAY(B2)</f>
        <v>77988.946874999965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G29+'15'!H29</f>
        <v>6900</v>
      </c>
      <c r="I29" s="140"/>
      <c r="J29" s="175">
        <f>H29/DAY(B2)</f>
        <v>431.25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151</v>
      </c>
      <c r="G30" s="137">
        <f>E30*F30</f>
        <v>7852</v>
      </c>
      <c r="H30" s="99">
        <f>G30+'15'!H30</f>
        <v>137410</v>
      </c>
      <c r="I30" s="140"/>
      <c r="J30" s="175">
        <f>H30/DAY(B2)</f>
        <v>8588.125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85</v>
      </c>
      <c r="G31" s="137">
        <f>E31*F31</f>
        <v>18700</v>
      </c>
      <c r="H31" s="99">
        <f>G31+'15'!H31</f>
        <v>280300</v>
      </c>
      <c r="I31" s="140"/>
      <c r="J31" s="175">
        <f>H31/DAY(B2)</f>
        <v>17518.75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310409.00000000012</v>
      </c>
      <c r="H32" s="99">
        <f>G32+'15'!H32</f>
        <v>4866478.3499999996</v>
      </c>
      <c r="I32" s="144"/>
      <c r="J32" s="175">
        <f>H32/DAY(B2)</f>
        <v>304154.89687499998</v>
      </c>
      <c r="K32" s="63"/>
      <c r="L32" s="89"/>
      <c r="N32" s="87"/>
      <c r="O32" s="71"/>
    </row>
    <row r="33" spans="1:15" ht="25.5" customHeight="1">
      <c r="A33" s="933" t="s">
        <v>331</v>
      </c>
      <c r="B33" s="934"/>
      <c r="C33" s="934"/>
      <c r="D33" s="337"/>
      <c r="E33" s="337"/>
      <c r="F33" s="410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1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'15'!F35</f>
        <v>493932.4</v>
      </c>
      <c r="F35" s="117">
        <v>495814</v>
      </c>
      <c r="G35" s="112">
        <f t="shared" ref="G35:G46" si="2">F35-E35</f>
        <v>1881.5999999999767</v>
      </c>
      <c r="H35" s="99">
        <f>G35+'15'!H35</f>
        <v>41296.010000000009</v>
      </c>
      <c r="I35" s="95"/>
      <c r="J35" s="175">
        <f>H35/DAY(B2)</f>
        <v>2581.0006250000006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'15'!F36</f>
        <v>367045.39</v>
      </c>
      <c r="F36" s="117">
        <v>367744</v>
      </c>
      <c r="G36" s="112">
        <f t="shared" si="2"/>
        <v>698.60999999998603</v>
      </c>
      <c r="H36" s="99">
        <f>G36+'15'!H36</f>
        <v>13655.099999999977</v>
      </c>
      <c r="I36" s="95"/>
      <c r="J36" s="175">
        <f>H36/DAY(B2)</f>
        <v>853.44374999999854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'15'!F37</f>
        <v>360360.11</v>
      </c>
      <c r="F37" s="117">
        <v>361881</v>
      </c>
      <c r="G37" s="112">
        <f t="shared" si="2"/>
        <v>1520.890000000014</v>
      </c>
      <c r="H37" s="99">
        <f>G37+'15'!H37</f>
        <v>23611.130000000005</v>
      </c>
      <c r="I37" s="95"/>
      <c r="J37" s="175">
        <f>H37/DAY(B2)</f>
        <v>1475.6956250000003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'15'!F38</f>
        <v>835116.87</v>
      </c>
      <c r="F38" s="95">
        <v>837620</v>
      </c>
      <c r="G38" s="112">
        <f t="shared" si="2"/>
        <v>2503.1300000000047</v>
      </c>
      <c r="H38" s="99">
        <f>G38+'15'!H38</f>
        <v>37942.650000000023</v>
      </c>
      <c r="I38" s="95"/>
      <c r="J38" s="175">
        <f>H38/DAY(B2)</f>
        <v>2371.4156250000015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'15'!F39</f>
        <v>662268.87</v>
      </c>
      <c r="F39" s="117">
        <v>665062</v>
      </c>
      <c r="G39" s="112">
        <f t="shared" si="2"/>
        <v>2793.1300000000047</v>
      </c>
      <c r="H39" s="99">
        <f>G39+'15'!H39</f>
        <v>44772</v>
      </c>
      <c r="I39" s="95"/>
      <c r="J39" s="175">
        <f>H39/DAY(B2)</f>
        <v>2798.25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'15'!F40</f>
        <v>214360.87</v>
      </c>
      <c r="F40" s="117">
        <v>214608</v>
      </c>
      <c r="G40" s="112">
        <f t="shared" si="2"/>
        <v>247.13000000000466</v>
      </c>
      <c r="H40" s="99">
        <f>G40+'15'!H40</f>
        <v>4921.6499999999942</v>
      </c>
      <c r="I40" s="95"/>
      <c r="J40" s="175">
        <f>H40/DAY(B2)</f>
        <v>307.60312499999964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'15'!F41</f>
        <v>420212.51</v>
      </c>
      <c r="F41" s="117">
        <v>420212.51</v>
      </c>
      <c r="G41" s="112">
        <f t="shared" si="2"/>
        <v>0</v>
      </c>
      <c r="H41" s="99">
        <f>G41+'15'!H41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'15'!F42</f>
        <v>970677.43</v>
      </c>
      <c r="F42" s="117">
        <v>970677</v>
      </c>
      <c r="G42" s="112">
        <f t="shared" si="2"/>
        <v>-0.43000000005122274</v>
      </c>
      <c r="H42" s="99">
        <f>G42+'15'!H42</f>
        <v>49722.530000000028</v>
      </c>
      <c r="I42" s="95"/>
      <c r="J42" s="175">
        <f>H42/DAY(B2)</f>
        <v>3107.6581250000017</v>
      </c>
      <c r="K42" s="79"/>
      <c r="L42" s="66"/>
      <c r="N42" s="87" t="s">
        <v>376</v>
      </c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'15'!F43</f>
        <v>422444</v>
      </c>
      <c r="F43" s="117">
        <v>422444</v>
      </c>
      <c r="G43" s="112">
        <f t="shared" si="2"/>
        <v>0</v>
      </c>
      <c r="H43" s="99">
        <f>G43+'15'!H43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'15'!F44</f>
        <v>0</v>
      </c>
      <c r="F44" s="117">
        <v>0</v>
      </c>
      <c r="G44" s="112">
        <f t="shared" si="2"/>
        <v>0</v>
      </c>
      <c r="H44" s="99">
        <f>G44+'15'!H44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'15'!F45</f>
        <v>0</v>
      </c>
      <c r="F45" s="117">
        <v>0</v>
      </c>
      <c r="G45" s="112">
        <f t="shared" si="2"/>
        <v>0</v>
      </c>
      <c r="H45" s="99">
        <f>G45+'15'!H45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'15'!F46</f>
        <v>0</v>
      </c>
      <c r="F46" s="117">
        <v>0</v>
      </c>
      <c r="G46" s="112">
        <f t="shared" si="2"/>
        <v>0</v>
      </c>
      <c r="H46" s="99">
        <f>G46+'15'!H46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51"/>
      <c r="G47" s="119">
        <f>G35+G36+G37+G38+G39+G40+G41+G42+G43+G44+G45+G46</f>
        <v>9644.0599999999395</v>
      </c>
      <c r="H47" s="99">
        <f>G47+'15'!H47</f>
        <v>215921.07000000004</v>
      </c>
      <c r="I47" s="95"/>
      <c r="J47" s="175">
        <f>H47/DAY(B2)</f>
        <v>13495.066875000002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1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'15'!F49</f>
        <v>814337.27</v>
      </c>
      <c r="F49" s="117">
        <v>814897</v>
      </c>
      <c r="G49" s="112">
        <f t="shared" ref="G49:G58" si="3">F49-E49</f>
        <v>559.72999999998137</v>
      </c>
      <c r="H49" s="99">
        <f>G49+'15'!H49</f>
        <v>8392.8499999999767</v>
      </c>
      <c r="I49" s="95"/>
      <c r="J49" s="175">
        <f>H49/DAY(B2)</f>
        <v>524.55312499999854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'15'!F50</f>
        <v>522216.51</v>
      </c>
      <c r="F50" s="117">
        <v>523393</v>
      </c>
      <c r="G50" s="112">
        <f t="shared" si="3"/>
        <v>1176.4899999999907</v>
      </c>
      <c r="H50" s="99">
        <f>G50+'15'!H50</f>
        <v>22240</v>
      </c>
      <c r="I50" s="95"/>
      <c r="J50" s="175">
        <f>H50/DAY(B2)</f>
        <v>1390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'15'!F51</f>
        <v>156958.44</v>
      </c>
      <c r="F51" s="117">
        <v>156958</v>
      </c>
      <c r="G51" s="112">
        <f t="shared" si="3"/>
        <v>-0.44000000000232831</v>
      </c>
      <c r="H51" s="99">
        <f>G51+'15'!H51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'15'!F52</f>
        <v>9.76</v>
      </c>
      <c r="F52" s="117">
        <v>9.76</v>
      </c>
      <c r="G52" s="112">
        <f t="shared" si="3"/>
        <v>0</v>
      </c>
      <c r="H52" s="99">
        <f>G52+'15'!H52</f>
        <v>-0.24000000000000021</v>
      </c>
      <c r="I52" s="95"/>
      <c r="J52" s="175">
        <f>H52/DAY(B2)</f>
        <v>-1.5000000000000013E-2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'15'!F53</f>
        <v>630355.03</v>
      </c>
      <c r="F53" s="409">
        <v>630355</v>
      </c>
      <c r="G53" s="236">
        <f t="shared" si="3"/>
        <v>-3.0000000027939677E-2</v>
      </c>
      <c r="H53" s="99">
        <f>G53+'15'!H53</f>
        <v>-3.0000000027939677E-2</v>
      </c>
      <c r="I53" s="95"/>
      <c r="J53" s="175">
        <f>H53/DAY(B2)</f>
        <v>-1.8750000017462298E-3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'15'!F54</f>
        <v>119649.98</v>
      </c>
      <c r="F54" s="409">
        <v>119862</v>
      </c>
      <c r="G54" s="236">
        <f t="shared" si="3"/>
        <v>212.02000000000407</v>
      </c>
      <c r="H54" s="99">
        <f>G54+'15'!H54</f>
        <v>5264.8699999999953</v>
      </c>
      <c r="I54" s="95"/>
      <c r="J54" s="175">
        <f>H54/DAY(B2)</f>
        <v>329.05437499999971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'15'!F55</f>
        <v>576335.63</v>
      </c>
      <c r="F55" s="409">
        <v>576335.63</v>
      </c>
      <c r="G55" s="236">
        <f t="shared" si="3"/>
        <v>0</v>
      </c>
      <c r="H55" s="99">
        <f>G55+'15'!H55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'15'!F56</f>
        <v>345356.39</v>
      </c>
      <c r="F56" s="117">
        <v>348312</v>
      </c>
      <c r="G56" s="112">
        <f t="shared" si="3"/>
        <v>2955.609999999986</v>
      </c>
      <c r="H56" s="99">
        <f>G56+'15'!H56</f>
        <v>13085.789999999979</v>
      </c>
      <c r="I56" s="95"/>
      <c r="J56" s="175">
        <f>H56/DAY(B2)</f>
        <v>817.86187499999869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'15'!F57</f>
        <v>667239.31000000006</v>
      </c>
      <c r="F57" s="409">
        <v>669937</v>
      </c>
      <c r="G57" s="112">
        <f t="shared" si="3"/>
        <v>2697.6899999999441</v>
      </c>
      <c r="H57" s="99">
        <f>G57+'15'!H57</f>
        <v>39104</v>
      </c>
      <c r="I57" s="95"/>
      <c r="J57" s="175">
        <f>H57/DAY(B2)</f>
        <v>2444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'15'!F58</f>
        <v>90395.358999999997</v>
      </c>
      <c r="F58" s="117">
        <v>90652</v>
      </c>
      <c r="G58" s="112">
        <f t="shared" si="3"/>
        <v>256.64100000000326</v>
      </c>
      <c r="H58" s="99">
        <f>G58+'15'!H58</f>
        <v>4091.5010000000038</v>
      </c>
      <c r="I58" s="95"/>
      <c r="J58" s="175">
        <f>H58/DAY(B2)</f>
        <v>255.71881250000024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51"/>
      <c r="G59" s="119">
        <f>G49+G50+G51+G52+G53+G54+G55+G56+G57+G58</f>
        <v>7857.7109999998793</v>
      </c>
      <c r="H59" s="99">
        <f>G59+'15'!H59</f>
        <v>92178.740999999922</v>
      </c>
      <c r="I59" s="95">
        <f>G7-G60</f>
        <v>3639.2290000001813</v>
      </c>
      <c r="J59" s="175">
        <f>H59/DAY(B2)</f>
        <v>5761.1713124999951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51"/>
      <c r="G60" s="119">
        <f>G47+G59</f>
        <v>17501.770999999819</v>
      </c>
      <c r="H60" s="99">
        <f>G60+'15'!H60</f>
        <v>308099.81099999993</v>
      </c>
      <c r="I60" s="95">
        <f>G13-G60</f>
        <v>3301.8290000002744</v>
      </c>
      <c r="J60" s="175">
        <f>H60/DAY(B2)</f>
        <v>19256.238187499996</v>
      </c>
      <c r="K60" s="79"/>
      <c r="L60" s="66"/>
      <c r="N60" s="87"/>
      <c r="O60" s="71"/>
    </row>
    <row r="61" spans="1:15" s="68" customFormat="1" ht="26.25">
      <c r="A61" s="935" t="s">
        <v>332</v>
      </c>
      <c r="B61" s="936"/>
      <c r="C61" s="93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02" t="s">
        <v>198</v>
      </c>
      <c r="B62" s="903"/>
      <c r="C62" s="904"/>
      <c r="D62" s="151" t="s">
        <v>142</v>
      </c>
      <c r="E62" s="95">
        <f>'15'!F62</f>
        <v>313528.5</v>
      </c>
      <c r="F62" s="122">
        <v>313614</v>
      </c>
      <c r="G62" s="112">
        <f t="shared" ref="G62:G63" si="4">F62-E62</f>
        <v>85.5</v>
      </c>
      <c r="H62" s="99">
        <f>G62+'15'!H62</f>
        <v>1514</v>
      </c>
      <c r="I62" s="118"/>
      <c r="J62" s="175">
        <f>H62/DAY(B2)</f>
        <v>94.625</v>
      </c>
      <c r="K62" s="80"/>
      <c r="L62" s="66"/>
      <c r="N62" s="87"/>
      <c r="O62" s="71"/>
    </row>
    <row r="63" spans="1:15" ht="25.5">
      <c r="A63" s="902" t="s">
        <v>199</v>
      </c>
      <c r="B63" s="903"/>
      <c r="C63" s="904"/>
      <c r="D63" s="151" t="s">
        <v>142</v>
      </c>
      <c r="E63" s="95">
        <f>'15'!F63</f>
        <v>250670</v>
      </c>
      <c r="F63" s="122">
        <v>250783</v>
      </c>
      <c r="G63" s="112">
        <f t="shared" si="4"/>
        <v>113</v>
      </c>
      <c r="H63" s="99">
        <f>G63+'15'!H63</f>
        <v>1748</v>
      </c>
      <c r="I63" s="118"/>
      <c r="J63" s="175">
        <f>H63/DAY(B2)</f>
        <v>109.25</v>
      </c>
      <c r="K63" s="69"/>
      <c r="L63" s="66"/>
      <c r="N63" s="87"/>
      <c r="O63" s="71"/>
    </row>
    <row r="64" spans="1:15" ht="26.25">
      <c r="A64" s="911" t="s">
        <v>200</v>
      </c>
      <c r="B64" s="912"/>
      <c r="C64" s="913"/>
      <c r="D64" s="151"/>
      <c r="E64" s="95">
        <v>0</v>
      </c>
      <c r="F64" s="122"/>
      <c r="G64" s="112">
        <f>G62+G63</f>
        <v>198.5</v>
      </c>
      <c r="H64" s="99">
        <f>G64+'15'!H64</f>
        <v>3262</v>
      </c>
      <c r="I64" s="118"/>
      <c r="J64" s="175">
        <f>H64/DAY(B2)</f>
        <v>203.875</v>
      </c>
      <c r="K64" s="69"/>
      <c r="L64" s="66"/>
      <c r="N64" s="87"/>
      <c r="O64" s="71"/>
    </row>
    <row r="65" spans="1:15" ht="25.5">
      <c r="A65" s="902" t="s">
        <v>201</v>
      </c>
      <c r="B65" s="903"/>
      <c r="C65" s="904"/>
      <c r="D65" s="151" t="s">
        <v>142</v>
      </c>
      <c r="E65" s="95">
        <f>'15'!F65</f>
        <v>473897</v>
      </c>
      <c r="F65" s="150">
        <v>474004</v>
      </c>
      <c r="G65" s="112">
        <f t="shared" ref="G65:G70" si="5">F65-E65</f>
        <v>107</v>
      </c>
      <c r="H65" s="99">
        <f>G65+'15'!H65</f>
        <v>1974</v>
      </c>
      <c r="I65" s="118"/>
      <c r="J65" s="175">
        <f>H65/DAY(B2)</f>
        <v>123.375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'15'!F66</f>
        <v>113987</v>
      </c>
      <c r="F66" s="122">
        <v>114005</v>
      </c>
      <c r="G66" s="112">
        <f t="shared" si="5"/>
        <v>18</v>
      </c>
      <c r="H66" s="99">
        <f>G66+'15'!H66</f>
        <v>1283</v>
      </c>
      <c r="I66" s="118"/>
      <c r="J66" s="175">
        <f>H66/DAY(B2)</f>
        <v>80.1875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'15'!F67</f>
        <v>116917</v>
      </c>
      <c r="F67" s="122">
        <v>116933</v>
      </c>
      <c r="G67" s="112">
        <f t="shared" si="5"/>
        <v>16</v>
      </c>
      <c r="H67" s="99">
        <f>G67+'15'!H67</f>
        <v>366</v>
      </c>
      <c r="I67" s="118"/>
      <c r="J67" s="175">
        <f>H67/DAY(B2)</f>
        <v>22.875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'15'!F68</f>
        <v>169651</v>
      </c>
      <c r="F68" s="122">
        <v>169681</v>
      </c>
      <c r="G68" s="112">
        <f t="shared" si="5"/>
        <v>30</v>
      </c>
      <c r="H68" s="99">
        <f>G68+'15'!H68</f>
        <v>322</v>
      </c>
      <c r="I68" s="118"/>
      <c r="J68" s="175">
        <f>H68/DAY(B2)</f>
        <v>20.125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'15'!F69</f>
        <v>13034</v>
      </c>
      <c r="F69" s="122">
        <v>13036</v>
      </c>
      <c r="G69" s="112">
        <f t="shared" si="5"/>
        <v>2</v>
      </c>
      <c r="H69" s="99">
        <f>G69+'15'!H69</f>
        <v>70</v>
      </c>
      <c r="I69" s="118"/>
      <c r="J69" s="175">
        <f>H69/DAY(B2)</f>
        <v>4.375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'15'!F70</f>
        <v>11140</v>
      </c>
      <c r="F70" s="122">
        <v>11146</v>
      </c>
      <c r="G70" s="112">
        <f t="shared" si="5"/>
        <v>6</v>
      </c>
      <c r="H70" s="99">
        <f>G70+'15'!H70</f>
        <v>130</v>
      </c>
      <c r="I70" s="118"/>
      <c r="J70" s="175">
        <f>H70/DAY(B2)</f>
        <v>8.125</v>
      </c>
      <c r="K70" s="69"/>
      <c r="L70" s="66"/>
      <c r="N70" s="87"/>
      <c r="O70" s="71"/>
    </row>
    <row r="71" spans="1:15" ht="26.25">
      <c r="A71" s="911" t="s">
        <v>208</v>
      </c>
      <c r="B71" s="912"/>
      <c r="C71" s="913"/>
      <c r="D71" s="152"/>
      <c r="E71" s="152"/>
      <c r="F71" s="152"/>
      <c r="G71" s="153">
        <f>SUM(G65:G70)</f>
        <v>179</v>
      </c>
      <c r="H71" s="99">
        <f>G71+'15'!H71</f>
        <v>4145</v>
      </c>
      <c r="I71" s="154"/>
      <c r="J71" s="175">
        <f>H71/DAY(B2)</f>
        <v>259.0625</v>
      </c>
      <c r="K71" s="69"/>
      <c r="L71" s="66"/>
      <c r="N71" s="87"/>
      <c r="O71" s="71"/>
    </row>
    <row r="72" spans="1:15" s="88" customFormat="1" ht="25.5">
      <c r="A72" s="898"/>
      <c r="B72" s="883"/>
      <c r="C72" s="347"/>
      <c r="D72" s="180"/>
      <c r="E72" s="180" t="s">
        <v>207</v>
      </c>
      <c r="F72" s="411"/>
      <c r="G72" s="180"/>
      <c r="H72" s="181"/>
      <c r="I72" s="180"/>
      <c r="J72" s="182"/>
      <c r="N72" s="87"/>
      <c r="O72" s="71"/>
    </row>
    <row r="73" spans="1:15" ht="26.25">
      <c r="A73" s="908" t="s">
        <v>333</v>
      </c>
      <c r="B73" s="909"/>
      <c r="C73" s="910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02" t="s">
        <v>220</v>
      </c>
      <c r="B74" s="903"/>
      <c r="C74" s="904"/>
      <c r="D74" s="151" t="s">
        <v>139</v>
      </c>
      <c r="E74" s="95">
        <v>7183</v>
      </c>
      <c r="F74" s="117">
        <v>7539</v>
      </c>
      <c r="G74" s="112">
        <f t="shared" ref="G74:G78" si="6">F74-E74</f>
        <v>356</v>
      </c>
      <c r="H74" s="99">
        <f>G74+'15'!H74</f>
        <v>995403</v>
      </c>
      <c r="I74" s="154"/>
      <c r="J74" s="175">
        <f>H74/DAY(B2)</f>
        <v>62212.6875</v>
      </c>
      <c r="K74" s="69"/>
      <c r="L74" s="66"/>
      <c r="N74" s="87"/>
      <c r="O74" s="71"/>
    </row>
    <row r="75" spans="1:15" ht="25.5">
      <c r="A75" s="902" t="s">
        <v>221</v>
      </c>
      <c r="B75" s="903"/>
      <c r="C75" s="904"/>
      <c r="D75" s="151" t="s">
        <v>139</v>
      </c>
      <c r="E75" s="95">
        <f>'15'!F75</f>
        <v>73586.8</v>
      </c>
      <c r="F75" s="123">
        <v>73586.8</v>
      </c>
      <c r="G75" s="112">
        <f t="shared" si="6"/>
        <v>0</v>
      </c>
      <c r="H75" s="99">
        <f>G75+'15'!H75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899" t="s">
        <v>222</v>
      </c>
      <c r="B76" s="900"/>
      <c r="C76" s="901"/>
      <c r="D76" s="151" t="s">
        <v>139</v>
      </c>
      <c r="E76" s="95">
        <f>'15'!F76</f>
        <v>208963</v>
      </c>
      <c r="F76" s="123">
        <v>209064</v>
      </c>
      <c r="G76" s="112">
        <f t="shared" si="6"/>
        <v>101</v>
      </c>
      <c r="H76" s="99">
        <f>G76+'15'!H76</f>
        <v>1687</v>
      </c>
      <c r="I76" s="154"/>
      <c r="J76" s="175">
        <f>H76/DAY(B2)</f>
        <v>105.4375</v>
      </c>
      <c r="K76" s="69"/>
      <c r="L76" s="66"/>
      <c r="N76" s="87"/>
      <c r="O76" s="71"/>
    </row>
    <row r="77" spans="1:15" ht="25.5">
      <c r="A77" s="899" t="s">
        <v>223</v>
      </c>
      <c r="B77" s="900"/>
      <c r="C77" s="901"/>
      <c r="D77" s="151" t="s">
        <v>139</v>
      </c>
      <c r="E77" s="95">
        <f>'15'!F77</f>
        <v>58886</v>
      </c>
      <c r="F77" s="123">
        <v>58934</v>
      </c>
      <c r="G77" s="112">
        <f t="shared" si="6"/>
        <v>48</v>
      </c>
      <c r="H77" s="99">
        <f>G77+'15'!H77</f>
        <v>782</v>
      </c>
      <c r="I77" s="154"/>
      <c r="J77" s="175">
        <f>H77/DAY(B2)</f>
        <v>48.875</v>
      </c>
      <c r="K77" s="69"/>
      <c r="L77" s="66"/>
      <c r="N77" s="87"/>
      <c r="O77" s="71"/>
    </row>
    <row r="78" spans="1:15" ht="25.5">
      <c r="A78" s="899" t="s">
        <v>224</v>
      </c>
      <c r="B78" s="900"/>
      <c r="C78" s="901"/>
      <c r="D78" s="151" t="s">
        <v>139</v>
      </c>
      <c r="E78" s="95">
        <f>'15'!F78</f>
        <v>9564</v>
      </c>
      <c r="F78" s="123">
        <v>9564</v>
      </c>
      <c r="G78" s="112">
        <f t="shared" si="6"/>
        <v>0</v>
      </c>
      <c r="H78" s="99">
        <f>G78+'15'!H78</f>
        <v>-1</v>
      </c>
      <c r="I78" s="118"/>
      <c r="J78" s="175">
        <f>H78/DAY(B2)</f>
        <v>-6.25E-2</v>
      </c>
      <c r="K78" s="69"/>
      <c r="L78" s="66"/>
      <c r="N78" s="87"/>
      <c r="O78" s="71"/>
    </row>
    <row r="79" spans="1:15" s="57" customFormat="1" ht="25.5">
      <c r="A79" s="899" t="s">
        <v>225</v>
      </c>
      <c r="B79" s="900"/>
      <c r="C79" s="901"/>
      <c r="D79" s="151"/>
      <c r="E79" s="95">
        <f>'15'!F79</f>
        <v>0</v>
      </c>
      <c r="F79" s="123"/>
      <c r="G79" s="112">
        <f>G15-SUM(G74:G78)</f>
        <v>554</v>
      </c>
      <c r="H79" s="99">
        <f>G79+'15'!H79</f>
        <v>-979902.35799999989</v>
      </c>
      <c r="I79" s="118"/>
      <c r="J79" s="175"/>
      <c r="K79" s="59"/>
      <c r="L79" s="58"/>
      <c r="N79" s="87"/>
      <c r="O79" s="71"/>
    </row>
    <row r="80" spans="1:15" s="57" customFormat="1" ht="26.25">
      <c r="A80" s="911" t="s">
        <v>329</v>
      </c>
      <c r="B80" s="912"/>
      <c r="C80" s="913"/>
      <c r="D80" s="151"/>
      <c r="E80" s="117"/>
      <c r="F80" s="117"/>
      <c r="G80" s="112">
        <f>SUM(G74:G79)</f>
        <v>1059</v>
      </c>
      <c r="H80" s="99">
        <f>G80+'15'!H80</f>
        <v>1059</v>
      </c>
      <c r="I80" s="118"/>
      <c r="J80" s="175"/>
      <c r="K80" s="59"/>
      <c r="L80" s="58"/>
      <c r="N80" s="87"/>
      <c r="O80" s="71"/>
    </row>
    <row r="81" spans="1:15" ht="25.5">
      <c r="A81" s="915" t="s">
        <v>226</v>
      </c>
      <c r="B81" s="916"/>
      <c r="C81" s="917"/>
      <c r="D81" s="110"/>
      <c r="E81" s="110"/>
      <c r="F81" s="111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'15'!F82</f>
        <v>0</v>
      </c>
      <c r="F82" s="122">
        <v>0</v>
      </c>
      <c r="G82" s="112">
        <f t="shared" ref="G82:G92" si="7">F82-E82</f>
        <v>0</v>
      </c>
      <c r="H82" s="99">
        <f>G82+'15'!H82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'15'!F83</f>
        <v>0</v>
      </c>
      <c r="F83" s="122">
        <v>0</v>
      </c>
      <c r="G83" s="112">
        <f t="shared" si="7"/>
        <v>0</v>
      </c>
      <c r="H83" s="99">
        <f>G83+'15'!H83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'15'!F84</f>
        <v>43546</v>
      </c>
      <c r="F84" s="164">
        <v>43546</v>
      </c>
      <c r="G84" s="112">
        <f t="shared" si="7"/>
        <v>0</v>
      </c>
      <c r="H84" s="99">
        <f>G84+'15'!H84</f>
        <v>0</v>
      </c>
      <c r="I84" s="545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'15'!F85</f>
        <v>6203</v>
      </c>
      <c r="F85" s="164">
        <v>6203</v>
      </c>
      <c r="G85" s="112">
        <f t="shared" si="7"/>
        <v>0</v>
      </c>
      <c r="H85" s="99">
        <f>G85+'15'!H85</f>
        <v>270.55000000000018</v>
      </c>
      <c r="I85" s="545"/>
      <c r="J85" s="175">
        <f>H85/DAY(B2)</f>
        <v>16.909375000000011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'15'!F86</f>
        <v>46834</v>
      </c>
      <c r="F86" s="164">
        <v>46834</v>
      </c>
      <c r="G86" s="112">
        <f t="shared" si="7"/>
        <v>0</v>
      </c>
      <c r="H86" s="99">
        <f>G86+'15'!H86</f>
        <v>0</v>
      </c>
      <c r="I86" s="545"/>
      <c r="J86" s="175">
        <f>H86/DAY(B2)</f>
        <v>0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'15'!F87</f>
        <v>37120.449999999997</v>
      </c>
      <c r="F87" s="164">
        <v>37144.47</v>
      </c>
      <c r="G87" s="112">
        <f t="shared" si="7"/>
        <v>24.020000000004075</v>
      </c>
      <c r="H87" s="99">
        <f>G87+'15'!H87</f>
        <v>116.47000000000116</v>
      </c>
      <c r="I87" s="545">
        <f>G84+G85+G86+G87</f>
        <v>24.020000000004075</v>
      </c>
      <c r="J87" s="175">
        <f>H87/DAY(B2)</f>
        <v>7.2793750000000728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'15'!F88</f>
        <v>24648.39</v>
      </c>
      <c r="F88" s="164">
        <v>24656</v>
      </c>
      <c r="G88" s="112">
        <f t="shared" si="7"/>
        <v>7.6100000000005821</v>
      </c>
      <c r="H88" s="99">
        <f>G88+'15'!H88</f>
        <v>52.400000000001455</v>
      </c>
      <c r="I88" s="545"/>
      <c r="J88" s="175">
        <f>H88/DAY(B2)</f>
        <v>3.2750000000000909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'15'!F89</f>
        <v>28905</v>
      </c>
      <c r="F89" s="164">
        <v>28906</v>
      </c>
      <c r="G89" s="112">
        <f t="shared" si="7"/>
        <v>1</v>
      </c>
      <c r="H89" s="99">
        <f>G89+'15'!H89</f>
        <v>157.61000000000058</v>
      </c>
      <c r="I89" s="545">
        <f>G88+G89</f>
        <v>8.6100000000005821</v>
      </c>
      <c r="J89" s="175">
        <f>H89/DAY(B2)</f>
        <v>9.8506250000000364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'15'!F90</f>
        <v>74352.41</v>
      </c>
      <c r="F90" s="164">
        <v>74362</v>
      </c>
      <c r="G90" s="112">
        <f t="shared" si="7"/>
        <v>9.5899999999965075</v>
      </c>
      <c r="H90" s="99">
        <f>G90+'15'!H90</f>
        <v>158.82000000000698</v>
      </c>
      <c r="I90" s="545">
        <f>G90</f>
        <v>9.5899999999965075</v>
      </c>
      <c r="J90" s="175">
        <f>H90/DAY(B2)</f>
        <v>9.9262500000004366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'15'!F91</f>
        <v>5618</v>
      </c>
      <c r="F91" s="122">
        <v>5618</v>
      </c>
      <c r="G91" s="112">
        <f t="shared" si="7"/>
        <v>0</v>
      </c>
      <c r="H91" s="99">
        <f>G91+'15'!H91</f>
        <v>-0.21000000000003638</v>
      </c>
      <c r="I91" s="546"/>
      <c r="J91" s="175">
        <f>H91/DAY(B2)</f>
        <v>-1.3125000000002274E-2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'15'!F92</f>
        <v>7248.26</v>
      </c>
      <c r="F92" s="122">
        <v>7261</v>
      </c>
      <c r="G92" s="112">
        <f t="shared" si="7"/>
        <v>12.739999999999782</v>
      </c>
      <c r="H92" s="99">
        <f>G92+'15'!H92</f>
        <v>181.3100000000004</v>
      </c>
      <c r="I92" s="547">
        <f>G91+G92</f>
        <v>12.739999999999782</v>
      </c>
      <c r="J92" s="175">
        <f>H92/DAY(B2)</f>
        <v>11.331875000000025</v>
      </c>
      <c r="O92" s="71"/>
    </row>
    <row r="93" spans="1:15" ht="26.25">
      <c r="A93" s="905" t="s">
        <v>239</v>
      </c>
      <c r="B93" s="906"/>
      <c r="C93" s="90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5139.0199999999022</v>
      </c>
      <c r="H94" s="99">
        <f>G94+'15'!H94</f>
        <v>88792.859999999986</v>
      </c>
      <c r="I94" s="118"/>
      <c r="J94" s="175">
        <f>H94/DAY(B2)</f>
        <v>5549.5537499999991</v>
      </c>
      <c r="K94" s="69"/>
      <c r="L94" s="66"/>
      <c r="O94" s="71"/>
    </row>
    <row r="95" spans="1:15" ht="25.5">
      <c r="A95" s="902" t="s">
        <v>241</v>
      </c>
      <c r="B95" s="903"/>
      <c r="C95" s="904"/>
      <c r="D95" s="151" t="s">
        <v>23</v>
      </c>
      <c r="E95" s="146"/>
      <c r="F95" s="151"/>
      <c r="G95" s="166">
        <f>G94/G7</f>
        <v>0.24308310865143098</v>
      </c>
      <c r="H95" s="99">
        <f>G95+'15'!H95</f>
        <v>4.2494410664924587</v>
      </c>
      <c r="I95" s="167"/>
      <c r="J95" s="175">
        <f>H95/DAY(B2)</f>
        <v>0.26559006665577867</v>
      </c>
      <c r="K95" s="69"/>
      <c r="L95" s="66"/>
      <c r="O95" s="71"/>
    </row>
    <row r="96" spans="1:15" ht="25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2955.1799999999348</v>
      </c>
      <c r="H96" s="99">
        <f>G96+'15'!H96</f>
        <v>62808.320000000007</v>
      </c>
      <c r="I96" s="118"/>
      <c r="J96" s="175">
        <f>H96/DAY(B2)</f>
        <v>3925.5200000000004</v>
      </c>
      <c r="K96" s="69"/>
      <c r="L96" s="66"/>
      <c r="O96" s="71"/>
    </row>
    <row r="97" spans="1:15" ht="25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0.13978430537817202</v>
      </c>
      <c r="H97" s="99">
        <f>G97+'15'!H97</f>
        <v>2.99823289966006</v>
      </c>
      <c r="I97" s="167"/>
      <c r="J97" s="175">
        <f>H97/DAY(B2)</f>
        <v>0.18738955622875375</v>
      </c>
      <c r="K97" s="69"/>
      <c r="L97" s="66"/>
      <c r="O97" s="71"/>
    </row>
    <row r="98" spans="1:15" ht="25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2793.0999999999767</v>
      </c>
      <c r="H98" s="99">
        <f>G98+'15'!H98</f>
        <v>44771.969999999972</v>
      </c>
      <c r="I98" s="168"/>
      <c r="J98" s="175">
        <f>H98/DAY(B2)</f>
        <v>2798.2481249999983</v>
      </c>
      <c r="K98" s="69"/>
      <c r="L98" s="66"/>
      <c r="O98" s="71"/>
    </row>
    <row r="99" spans="1:15" ht="25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0.13211768601295951</v>
      </c>
      <c r="H99" s="99">
        <f>G99+'15'!H99</f>
        <v>2.1415761741452424</v>
      </c>
      <c r="I99" s="168"/>
      <c r="J99" s="175">
        <f>H99/DAY(B2)</f>
        <v>0.13384851088407765</v>
      </c>
      <c r="O99" s="71"/>
    </row>
    <row r="100" spans="1:15" ht="26.2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2503.1300000000047</v>
      </c>
      <c r="H100" s="99">
        <f>G100+'15'!H100</f>
        <v>37942.410000000025</v>
      </c>
      <c r="I100" s="118"/>
      <c r="J100" s="175">
        <f>H100/DAY(B2)</f>
        <v>2371.4006250000016</v>
      </c>
      <c r="K100" s="70"/>
      <c r="O100" s="71"/>
    </row>
    <row r="101" spans="1:15" ht="25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0.11840168393169692</v>
      </c>
      <c r="H101" s="99">
        <f>G101+'15'!H101</f>
        <v>1.8124550337488503</v>
      </c>
      <c r="I101" s="168"/>
      <c r="J101" s="175">
        <f>H101/DAY(B2)</f>
        <v>0.11327843960930314</v>
      </c>
      <c r="O101" s="71"/>
    </row>
    <row r="102" spans="1:15" ht="25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1875.0999999999767</v>
      </c>
      <c r="H102" s="99">
        <f>G102+'15'!H102</f>
        <v>35895.099999999977</v>
      </c>
      <c r="I102" s="168"/>
      <c r="J102" s="175">
        <f>H102/DAY(B2)</f>
        <v>2243.4437499999985</v>
      </c>
      <c r="O102" s="71"/>
    </row>
    <row r="103" spans="1:15" ht="25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8.8694952935054E-2</v>
      </c>
      <c r="H103" s="99">
        <f>G103+'15'!H103</f>
        <v>1.7142372361769624</v>
      </c>
      <c r="I103" s="118"/>
      <c r="J103" s="175">
        <f>H103/DAY(B2)</f>
        <v>0.10713982726106015</v>
      </c>
      <c r="O103" s="71"/>
    </row>
    <row r="104" spans="1:15" ht="25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1520.4500000000116</v>
      </c>
      <c r="H104" s="99">
        <f>G104+'15'!H104</f>
        <v>23611.130000000005</v>
      </c>
      <c r="I104" s="118"/>
      <c r="J104" s="175">
        <f>H104/DAY(B2)</f>
        <v>1475.6956250000003</v>
      </c>
      <c r="O104" s="71"/>
    </row>
    <row r="105" spans="1:15" ht="26.25" thickBot="1">
      <c r="A105" s="895" t="s">
        <v>251</v>
      </c>
      <c r="B105" s="896"/>
      <c r="C105" s="897"/>
      <c r="D105" s="231" t="s">
        <v>23</v>
      </c>
      <c r="E105" s="185"/>
      <c r="F105" s="185"/>
      <c r="G105" s="186">
        <f>G104/G7</f>
        <v>7.1919492928433457E-2</v>
      </c>
      <c r="H105" s="99">
        <f>G105+'15'!H105</f>
        <v>1.1293359962743212</v>
      </c>
      <c r="I105" s="187"/>
      <c r="J105" s="188">
        <f>H105/DAY(B2)</f>
        <v>7.0583499767145078E-2</v>
      </c>
      <c r="O105" s="71"/>
    </row>
    <row r="106" spans="1:15" ht="25.5">
      <c r="A106" s="105"/>
      <c r="B106" s="96"/>
      <c r="C106" s="96"/>
      <c r="D106" s="169"/>
      <c r="E106" s="169"/>
      <c r="F106" s="412"/>
      <c r="G106" s="169"/>
      <c r="H106" s="170"/>
      <c r="I106" s="169"/>
      <c r="J106" s="171"/>
      <c r="O106" s="71"/>
    </row>
    <row r="107" spans="1:15" ht="26.25"/>
    <row r="108" spans="1:15" ht="27.75">
      <c r="A108" s="891" t="s">
        <v>324</v>
      </c>
      <c r="B108" s="891"/>
      <c r="C108" s="891"/>
      <c r="D108" s="891"/>
      <c r="E108" s="891"/>
      <c r="F108" s="891"/>
      <c r="G108" s="891"/>
      <c r="H108" s="891"/>
      <c r="I108" s="891"/>
      <c r="J108" s="891"/>
    </row>
    <row r="109" spans="1:15" ht="26.25">
      <c r="A109" s="918"/>
      <c r="B109" s="918"/>
    </row>
    <row r="110" spans="1:15" ht="26.25">
      <c r="A110" s="892" t="s">
        <v>165</v>
      </c>
      <c r="B110" s="893"/>
      <c r="C110" s="893"/>
      <c r="D110" s="893"/>
      <c r="E110" s="893"/>
      <c r="F110" s="893"/>
      <c r="G110" s="893"/>
      <c r="H110" s="893"/>
      <c r="I110" s="893"/>
      <c r="J110" s="894"/>
    </row>
    <row r="111" spans="1:15" ht="25.5">
      <c r="A111" s="885"/>
      <c r="B111" s="886"/>
      <c r="C111" s="887"/>
      <c r="D111" s="165"/>
      <c r="E111" s="165"/>
      <c r="F111" s="155"/>
      <c r="G111" s="165"/>
      <c r="H111" s="156"/>
      <c r="I111" s="165"/>
      <c r="J111" s="327"/>
    </row>
    <row r="112" spans="1:15" ht="25.5">
      <c r="A112" s="881" t="s">
        <v>252</v>
      </c>
      <c r="B112" s="882"/>
      <c r="C112" s="883"/>
      <c r="D112" s="146" t="s">
        <v>183</v>
      </c>
      <c r="E112" s="95">
        <f>'15'!F112</f>
        <v>18417</v>
      </c>
      <c r="F112" s="237">
        <v>18479</v>
      </c>
      <c r="G112" s="112">
        <f t="shared" ref="G112:G123" si="8">F112-E112</f>
        <v>62</v>
      </c>
      <c r="H112" s="99">
        <f>G112+'15'!H112</f>
        <v>967.70000000000073</v>
      </c>
      <c r="I112" s="165"/>
      <c r="J112" s="328">
        <f>H112/DAY(B2)</f>
        <v>60.481250000000045</v>
      </c>
    </row>
    <row r="113" spans="1:18" ht="29.25" customHeight="1">
      <c r="A113" s="881" t="s">
        <v>253</v>
      </c>
      <c r="B113" s="882"/>
      <c r="C113" s="883"/>
      <c r="D113" s="146" t="s">
        <v>183</v>
      </c>
      <c r="E113" s="95">
        <f>'15'!F113</f>
        <v>39220</v>
      </c>
      <c r="F113" s="237">
        <v>39365</v>
      </c>
      <c r="G113" s="112">
        <f t="shared" si="8"/>
        <v>145</v>
      </c>
      <c r="H113" s="99">
        <f>G113+'15'!H113</f>
        <v>2286</v>
      </c>
      <c r="I113" s="165"/>
      <c r="J113" s="328">
        <f>H113/DAY(B2)</f>
        <v>142.875</v>
      </c>
    </row>
    <row r="114" spans="1:18" ht="29.25" customHeight="1">
      <c r="A114" s="881" t="s">
        <v>254</v>
      </c>
      <c r="B114" s="882"/>
      <c r="C114" s="883"/>
      <c r="D114" s="146" t="s">
        <v>183</v>
      </c>
      <c r="E114" s="95">
        <f>'15'!F114</f>
        <v>57599.53</v>
      </c>
      <c r="F114" s="416">
        <v>57831</v>
      </c>
      <c r="G114" s="112">
        <f t="shared" si="8"/>
        <v>231.47000000000116</v>
      </c>
      <c r="H114" s="99">
        <f>G114+'15'!H114</f>
        <v>3563.2200000000012</v>
      </c>
      <c r="I114" s="165"/>
      <c r="J114" s="328">
        <f>H114/DAY(B2)</f>
        <v>222.70125000000007</v>
      </c>
    </row>
    <row r="115" spans="1:18" ht="29.25" customHeight="1">
      <c r="A115" s="881" t="s">
        <v>255</v>
      </c>
      <c r="B115" s="882"/>
      <c r="C115" s="883"/>
      <c r="D115" s="146" t="s">
        <v>183</v>
      </c>
      <c r="E115" s="95">
        <f>'15'!F115</f>
        <v>37211.919999999998</v>
      </c>
      <c r="F115" s="467">
        <v>37340</v>
      </c>
      <c r="G115" s="236">
        <f t="shared" si="8"/>
        <v>128.08000000000175</v>
      </c>
      <c r="H115" s="99">
        <f>G115+'15'!H115</f>
        <v>2373.0899999999965</v>
      </c>
      <c r="I115" s="165"/>
      <c r="J115" s="328">
        <f>H115/DAY(B2)</f>
        <v>148.31812499999978</v>
      </c>
      <c r="N115" s="469" t="s">
        <v>363</v>
      </c>
    </row>
    <row r="116" spans="1:18" ht="29.25" customHeight="1">
      <c r="A116" s="888" t="s">
        <v>96</v>
      </c>
      <c r="B116" s="889"/>
      <c r="C116" s="890"/>
      <c r="D116" s="146" t="s">
        <v>183</v>
      </c>
      <c r="E116" s="95">
        <f>'15'!F116</f>
        <v>140917.06</v>
      </c>
      <c r="F116" s="237">
        <v>141378</v>
      </c>
      <c r="G116" s="112">
        <f t="shared" si="8"/>
        <v>460.94000000000233</v>
      </c>
      <c r="H116" s="99">
        <f>G116+'15'!H116</f>
        <v>6889.609999999986</v>
      </c>
      <c r="I116" s="165"/>
      <c r="J116" s="328">
        <f>H116/DAY(B2)</f>
        <v>430.60062499999913</v>
      </c>
      <c r="Q116" s="881"/>
      <c r="R116" s="883"/>
    </row>
    <row r="117" spans="1:18" ht="29.25" customHeight="1">
      <c r="A117" s="888" t="s">
        <v>184</v>
      </c>
      <c r="B117" s="889"/>
      <c r="C117" s="890"/>
      <c r="D117" s="146" t="s">
        <v>183</v>
      </c>
      <c r="E117" s="95">
        <f>'15'!F117</f>
        <v>87952.623000000007</v>
      </c>
      <c r="F117" s="237">
        <v>88261</v>
      </c>
      <c r="G117" s="112">
        <f t="shared" si="8"/>
        <v>308.37699999999313</v>
      </c>
      <c r="H117" s="99">
        <f>G117+'15'!H117</f>
        <v>5551</v>
      </c>
      <c r="I117" s="165"/>
      <c r="J117" s="328">
        <f>H117/DAY(B2)</f>
        <v>346.9375</v>
      </c>
      <c r="Q117" s="881"/>
      <c r="R117" s="883"/>
    </row>
    <row r="118" spans="1:18" ht="25.5">
      <c r="A118" s="880" t="s">
        <v>97</v>
      </c>
      <c r="B118" s="880"/>
      <c r="C118" s="880"/>
      <c r="D118" s="151" t="s">
        <v>183</v>
      </c>
      <c r="E118" s="95">
        <f>'15'!F118</f>
        <v>167624.87</v>
      </c>
      <c r="F118" s="237">
        <v>168256</v>
      </c>
      <c r="G118" s="112">
        <f t="shared" si="8"/>
        <v>631.13000000000466</v>
      </c>
      <c r="H118" s="99">
        <f>G118+'15'!H118</f>
        <v>10118.850000000006</v>
      </c>
      <c r="I118" s="165"/>
      <c r="J118" s="328">
        <f>H118/DAY(B2)</f>
        <v>632.42812500000036</v>
      </c>
      <c r="Q118" s="881"/>
      <c r="R118" s="883"/>
    </row>
    <row r="119" spans="1:18" ht="25.5">
      <c r="A119" s="880" t="s">
        <v>98</v>
      </c>
      <c r="B119" s="880"/>
      <c r="C119" s="880"/>
      <c r="D119" s="151" t="s">
        <v>183</v>
      </c>
      <c r="E119" s="95">
        <f>'15'!F119</f>
        <v>44484</v>
      </c>
      <c r="F119" s="467">
        <v>44519</v>
      </c>
      <c r="G119" s="112">
        <f t="shared" si="8"/>
        <v>35</v>
      </c>
      <c r="H119" s="99">
        <f>G119+'15'!H119</f>
        <v>579.82499999999709</v>
      </c>
      <c r="I119" s="165"/>
      <c r="J119" s="328">
        <f>H119/DAY(B2)</f>
        <v>36.239062499999818</v>
      </c>
    </row>
    <row r="120" spans="1:18" ht="25.5">
      <c r="A120" s="880" t="s">
        <v>99</v>
      </c>
      <c r="B120" s="880"/>
      <c r="C120" s="880"/>
      <c r="D120" s="151" t="s">
        <v>183</v>
      </c>
      <c r="E120" s="95">
        <f>'15'!F120</f>
        <v>114340</v>
      </c>
      <c r="F120" s="237">
        <v>114744</v>
      </c>
      <c r="G120" s="112">
        <f t="shared" si="8"/>
        <v>404</v>
      </c>
      <c r="H120" s="99">
        <f>G120+'15'!H120</f>
        <v>6306.8600000000006</v>
      </c>
      <c r="I120" s="165"/>
      <c r="J120" s="328">
        <f>H120/DAY(B2)</f>
        <v>394.17875000000004</v>
      </c>
    </row>
    <row r="121" spans="1:18" ht="25.5">
      <c r="A121" s="880" t="s">
        <v>100</v>
      </c>
      <c r="B121" s="880"/>
      <c r="C121" s="880"/>
      <c r="D121" s="151" t="s">
        <v>183</v>
      </c>
      <c r="E121" s="95">
        <f>'15'!F121</f>
        <v>127733</v>
      </c>
      <c r="F121" s="237">
        <v>128158</v>
      </c>
      <c r="G121" s="112">
        <f t="shared" si="8"/>
        <v>425</v>
      </c>
      <c r="H121" s="99">
        <f>G121+'15'!H121</f>
        <v>6935.1100000000006</v>
      </c>
      <c r="I121" s="165"/>
      <c r="J121" s="328">
        <f>H121/DAY(B2)</f>
        <v>433.44437500000004</v>
      </c>
    </row>
    <row r="122" spans="1:18" ht="25.5">
      <c r="A122" s="880" t="s">
        <v>101</v>
      </c>
      <c r="B122" s="880"/>
      <c r="C122" s="880"/>
      <c r="D122" s="151" t="s">
        <v>183</v>
      </c>
      <c r="E122" s="95">
        <f>'15'!F122</f>
        <v>85933.85</v>
      </c>
      <c r="F122" s="237">
        <v>86247</v>
      </c>
      <c r="G122" s="112">
        <f t="shared" si="8"/>
        <v>313.14999999999418</v>
      </c>
      <c r="H122" s="99">
        <f>G122+'15'!H122</f>
        <v>4972.6300000000047</v>
      </c>
      <c r="I122" s="165"/>
      <c r="J122" s="328">
        <f>H122/DAY(B2)</f>
        <v>310.78937500000029</v>
      </c>
    </row>
    <row r="123" spans="1:18" ht="25.5">
      <c r="A123" s="880" t="s">
        <v>102</v>
      </c>
      <c r="B123" s="880"/>
      <c r="C123" s="880"/>
      <c r="D123" s="151" t="s">
        <v>183</v>
      </c>
      <c r="E123" s="95">
        <f>'15'!F123</f>
        <v>82650.175000000003</v>
      </c>
      <c r="F123" s="237">
        <v>82946</v>
      </c>
      <c r="G123" s="112">
        <f t="shared" si="8"/>
        <v>295.82499999999709</v>
      </c>
      <c r="H123" s="99">
        <f>G123+'15'!H123</f>
        <v>4997</v>
      </c>
      <c r="I123" s="165"/>
      <c r="J123" s="328">
        <f>H123/DAY(B2)</f>
        <v>312.3125</v>
      </c>
    </row>
    <row r="124" spans="1:18" ht="29.25" customHeight="1">
      <c r="A124" s="885"/>
      <c r="B124" s="886"/>
      <c r="C124" s="887"/>
      <c r="D124" s="165"/>
      <c r="E124" s="165"/>
      <c r="F124" s="155"/>
      <c r="G124" s="327"/>
      <c r="H124" s="156"/>
      <c r="I124" s="165"/>
      <c r="J124" s="327"/>
    </row>
    <row r="125" spans="1:18" ht="25.5">
      <c r="A125" s="787" t="s">
        <v>196</v>
      </c>
      <c r="B125" s="788"/>
      <c r="C125" s="245"/>
      <c r="D125" s="307"/>
      <c r="E125" s="308"/>
      <c r="F125" s="308"/>
      <c r="G125" s="309">
        <f>SUM(G112:G124)</f>
        <v>3439.9719999999943</v>
      </c>
      <c r="H125" s="156"/>
      <c r="I125" s="327">
        <f>G125-(G39+G53)</f>
        <v>646.87200000001758</v>
      </c>
      <c r="J125" s="327"/>
    </row>
    <row r="126" spans="1:18" ht="25.5">
      <c r="A126" s="884" t="s">
        <v>317</v>
      </c>
      <c r="B126" s="884"/>
      <c r="C126" s="884"/>
      <c r="D126" s="884"/>
      <c r="E126" s="884"/>
      <c r="F126" s="884"/>
      <c r="G126" s="884"/>
      <c r="H126" s="884"/>
      <c r="I126" s="884"/>
      <c r="J126" s="884"/>
    </row>
    <row r="127" spans="1:18" ht="25.5">
      <c r="A127" s="870"/>
      <c r="B127" s="870"/>
      <c r="C127" s="245"/>
      <c r="D127" s="307"/>
      <c r="E127" s="308"/>
      <c r="F127" s="308"/>
      <c r="G127" s="309"/>
      <c r="H127" s="99">
        <f>G127+'15'!H127</f>
        <v>0</v>
      </c>
      <c r="I127" s="165"/>
      <c r="J127" s="328">
        <f>H127/DAY(B2)</f>
        <v>0</v>
      </c>
    </row>
    <row r="128" spans="1:18" ht="29.25" customHeight="1">
      <c r="A128" s="881" t="s">
        <v>318</v>
      </c>
      <c r="B128" s="882"/>
      <c r="C128" s="883"/>
      <c r="D128" s="151" t="s">
        <v>183</v>
      </c>
      <c r="E128" s="95">
        <f>'15'!F128</f>
        <v>199397.57</v>
      </c>
      <c r="F128" s="155">
        <v>199938</v>
      </c>
      <c r="G128" s="112">
        <f t="shared" ref="G128:G134" si="9">F128-E128</f>
        <v>540.42999999999302</v>
      </c>
      <c r="H128" s="99">
        <f>G128+'15'!H128</f>
        <v>8052.3699999999953</v>
      </c>
      <c r="I128" s="165"/>
      <c r="J128" s="328">
        <f>H128/DAY(B2)</f>
        <v>503.27312499999971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'15'!F129</f>
        <v>103969.89</v>
      </c>
      <c r="F129" s="155">
        <v>104145</v>
      </c>
      <c r="G129" s="112">
        <f t="shared" si="9"/>
        <v>175.11000000000058</v>
      </c>
      <c r="H129" s="99">
        <f>G129+'15'!H129</f>
        <v>2868</v>
      </c>
      <c r="I129" s="165"/>
      <c r="J129" s="328">
        <f>H129/DAY(B2)</f>
        <v>179.25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'15'!F130</f>
        <v>277374.90999999997</v>
      </c>
      <c r="F130" s="157">
        <v>278214</v>
      </c>
      <c r="G130" s="112">
        <f t="shared" si="9"/>
        <v>839.09000000002561</v>
      </c>
      <c r="H130" s="99">
        <f>G130+'15'!H130</f>
        <v>9399</v>
      </c>
      <c r="I130" s="165"/>
      <c r="J130" s="328">
        <f>H130/DAY(B2)</f>
        <v>587.4375</v>
      </c>
      <c r="N130" s="240"/>
      <c r="O130" s="241"/>
    </row>
    <row r="131" spans="1:15" ht="25.5">
      <c r="A131" s="881" t="s">
        <v>321</v>
      </c>
      <c r="B131" s="882"/>
      <c r="C131" s="883"/>
      <c r="D131" s="151" t="s">
        <v>183</v>
      </c>
      <c r="E131" s="95">
        <f>'15'!F131</f>
        <v>82201.422999999995</v>
      </c>
      <c r="F131" s="155">
        <v>82398</v>
      </c>
      <c r="G131" s="112">
        <f t="shared" si="9"/>
        <v>196.57700000000477</v>
      </c>
      <c r="H131" s="99">
        <f>G131+'15'!H131</f>
        <v>2847.3699999999953</v>
      </c>
      <c r="I131" s="165"/>
      <c r="J131" s="328">
        <f>H131/DAY(B2)</f>
        <v>177.96062499999971</v>
      </c>
      <c r="N131" s="240"/>
      <c r="O131" s="241"/>
    </row>
    <row r="132" spans="1:15" ht="25.5">
      <c r="A132" s="881" t="s">
        <v>322</v>
      </c>
      <c r="B132" s="882"/>
      <c r="C132" s="883"/>
      <c r="D132" s="151" t="s">
        <v>183</v>
      </c>
      <c r="E132" s="95">
        <f>'15'!F132</f>
        <v>148274</v>
      </c>
      <c r="F132" s="155">
        <v>148274</v>
      </c>
      <c r="G132" s="112">
        <f t="shared" si="9"/>
        <v>0</v>
      </c>
      <c r="H132" s="99">
        <f>G132+'15'!H132</f>
        <v>0</v>
      </c>
      <c r="I132" s="165"/>
      <c r="J132" s="328">
        <f>H132/DAY(B2)</f>
        <v>0</v>
      </c>
    </row>
    <row r="133" spans="1:15" ht="25.5">
      <c r="A133" s="881" t="s">
        <v>359</v>
      </c>
      <c r="B133" s="882"/>
      <c r="C133" s="883"/>
      <c r="D133" s="151" t="s">
        <v>183</v>
      </c>
      <c r="E133" s="95">
        <f>'15'!F133</f>
        <v>288548.17</v>
      </c>
      <c r="F133" s="157">
        <v>288548</v>
      </c>
      <c r="G133" s="112">
        <f t="shared" si="9"/>
        <v>-0.16999999998370185</v>
      </c>
      <c r="H133" s="99">
        <f>G133+'15'!H133</f>
        <v>-644500</v>
      </c>
      <c r="I133" s="165"/>
      <c r="J133" s="328">
        <f>H133/DAY(B2)</f>
        <v>-40281.25</v>
      </c>
    </row>
    <row r="134" spans="1:15" s="408" customFormat="1" ht="25.5">
      <c r="A134" s="954" t="s">
        <v>340</v>
      </c>
      <c r="B134" s="955"/>
      <c r="C134" s="956"/>
      <c r="D134" s="233" t="s">
        <v>183</v>
      </c>
      <c r="E134" s="405">
        <f>'15'!F134</f>
        <v>89911.623000000007</v>
      </c>
      <c r="F134" s="157">
        <v>90180</v>
      </c>
      <c r="G134" s="236">
        <f t="shared" si="9"/>
        <v>268.37699999999313</v>
      </c>
      <c r="H134" s="238">
        <f>G134+'15'!H134</f>
        <v>4228</v>
      </c>
      <c r="I134" s="158"/>
      <c r="J134" s="407">
        <f>H134/DAY(B2)</f>
        <v>264.25</v>
      </c>
    </row>
    <row r="135" spans="1:15" ht="25.5">
      <c r="A135" s="787" t="s">
        <v>196</v>
      </c>
      <c r="B135" s="788"/>
      <c r="C135" s="331"/>
      <c r="D135" s="151"/>
      <c r="E135" s="95"/>
      <c r="F135" s="155"/>
      <c r="G135" s="112">
        <f>SUM(G128:G134)</f>
        <v>2019.4140000000334</v>
      </c>
      <c r="H135" s="99">
        <f>G135+'10'!H135</f>
        <v>-626101.43099999998</v>
      </c>
      <c r="I135" s="327">
        <f>G135-(G35+G49)</f>
        <v>-421.91599999992468</v>
      </c>
      <c r="J135" s="328"/>
    </row>
    <row r="136" spans="1:15" ht="27.75">
      <c r="A136" s="869" t="s">
        <v>325</v>
      </c>
      <c r="B136" s="869"/>
      <c r="C136" s="869"/>
      <c r="D136" s="869"/>
      <c r="E136" s="869"/>
      <c r="F136" s="869"/>
      <c r="G136" s="869"/>
      <c r="H136" s="869"/>
      <c r="I136" s="869"/>
      <c r="J136" s="869"/>
    </row>
    <row r="137" spans="1:15" ht="26.25">
      <c r="A137" s="245"/>
      <c r="B137" s="246"/>
      <c r="C137" s="246"/>
      <c r="D137" s="165"/>
      <c r="E137" s="165"/>
      <c r="F137" s="155"/>
      <c r="G137" s="165"/>
      <c r="H137" s="156"/>
      <c r="I137" s="165"/>
      <c r="J137" s="327"/>
    </row>
    <row r="138" spans="1:15" s="408" customFormat="1" ht="25.5">
      <c r="A138" s="959" t="s">
        <v>185</v>
      </c>
      <c r="B138" s="959"/>
      <c r="C138" s="959"/>
      <c r="D138" s="233" t="s">
        <v>183</v>
      </c>
      <c r="E138" s="405">
        <f>'15'!F138</f>
        <v>8587</v>
      </c>
      <c r="F138" s="748">
        <v>8737</v>
      </c>
      <c r="G138" s="236">
        <f t="shared" ref="G138:G152" si="10">F138-E138</f>
        <v>150</v>
      </c>
      <c r="H138" s="238">
        <f>G138+'15'!H138</f>
        <v>1830</v>
      </c>
      <c r="I138" s="406"/>
      <c r="J138" s="407">
        <f>H138/DAY(B2)</f>
        <v>114.375</v>
      </c>
    </row>
    <row r="139" spans="1:15" ht="25.5">
      <c r="A139" s="880" t="s">
        <v>186</v>
      </c>
      <c r="B139" s="880"/>
      <c r="C139" s="880"/>
      <c r="D139" s="151" t="s">
        <v>183</v>
      </c>
      <c r="E139" s="120">
        <f>'15'!F139</f>
        <v>934736</v>
      </c>
      <c r="F139" s="147">
        <v>934880</v>
      </c>
      <c r="G139" s="112">
        <f t="shared" si="10"/>
        <v>144</v>
      </c>
      <c r="H139" s="99">
        <f>G139+'15'!H139</f>
        <v>2520</v>
      </c>
      <c r="I139" s="118"/>
      <c r="J139" s="328">
        <f>H139/DAY(B2)</f>
        <v>157.5</v>
      </c>
    </row>
    <row r="140" spans="1:15" ht="25.5">
      <c r="A140" s="880" t="s">
        <v>187</v>
      </c>
      <c r="B140" s="880"/>
      <c r="C140" s="880"/>
      <c r="D140" s="151" t="s">
        <v>183</v>
      </c>
      <c r="E140" s="95">
        <f>'15'!F140</f>
        <v>4377.6147000000001</v>
      </c>
      <c r="F140" s="149">
        <v>4406</v>
      </c>
      <c r="G140" s="112">
        <f t="shared" si="10"/>
        <v>28.385299999999916</v>
      </c>
      <c r="H140" s="99">
        <f>G140+'15'!H140</f>
        <v>372.48900000000003</v>
      </c>
      <c r="I140" s="118"/>
      <c r="J140" s="328">
        <f>H140/DAY(B2)</f>
        <v>23.280562500000002</v>
      </c>
    </row>
    <row r="141" spans="1:15" ht="25.5">
      <c r="A141" s="863" t="s">
        <v>188</v>
      </c>
      <c r="B141" s="863"/>
      <c r="C141" s="863"/>
      <c r="D141" s="151" t="s">
        <v>183</v>
      </c>
      <c r="E141" s="95">
        <f>'15'!F141</f>
        <v>127733</v>
      </c>
      <c r="F141" s="149">
        <v>127807</v>
      </c>
      <c r="G141" s="112">
        <f t="shared" si="10"/>
        <v>74</v>
      </c>
      <c r="H141" s="99">
        <f>G141+'15'!H141</f>
        <v>3209</v>
      </c>
      <c r="I141" s="118"/>
      <c r="J141" s="328">
        <f>H141/DAY(B2)</f>
        <v>200.5625</v>
      </c>
    </row>
    <row r="142" spans="1:15" ht="25.5">
      <c r="A142" s="863" t="s">
        <v>189</v>
      </c>
      <c r="B142" s="863"/>
      <c r="C142" s="863"/>
      <c r="D142" s="151" t="s">
        <v>183</v>
      </c>
      <c r="E142" s="95">
        <f>'15'!F142</f>
        <v>51910</v>
      </c>
      <c r="F142" s="148">
        <v>51996</v>
      </c>
      <c r="G142" s="112">
        <f t="shared" si="10"/>
        <v>86</v>
      </c>
      <c r="H142" s="99">
        <f>G142+'15'!H142</f>
        <v>1430.4499999999971</v>
      </c>
      <c r="I142" s="140"/>
      <c r="J142" s="328">
        <f>H142/DAY(B2)</f>
        <v>89.403124999999818</v>
      </c>
    </row>
    <row r="143" spans="1:15" ht="25.5">
      <c r="A143" s="880" t="s">
        <v>91</v>
      </c>
      <c r="B143" s="880"/>
      <c r="C143" s="880"/>
      <c r="D143" s="151" t="s">
        <v>183</v>
      </c>
      <c r="E143" s="95">
        <f>'15'!F143</f>
        <v>13847.51</v>
      </c>
      <c r="F143" s="149">
        <v>13876</v>
      </c>
      <c r="G143" s="112">
        <f t="shared" si="10"/>
        <v>28.489999999999782</v>
      </c>
      <c r="H143" s="99">
        <f>G143+'15'!H143</f>
        <v>489</v>
      </c>
      <c r="I143" s="140"/>
      <c r="J143" s="328">
        <f>H143/DAY(B2)</f>
        <v>30.5625</v>
      </c>
    </row>
    <row r="144" spans="1:15" ht="25.5">
      <c r="A144" s="863" t="s">
        <v>90</v>
      </c>
      <c r="B144" s="863"/>
      <c r="C144" s="863"/>
      <c r="D144" s="151" t="s">
        <v>183</v>
      </c>
      <c r="E144" s="120">
        <f>'15'!F144</f>
        <v>959079</v>
      </c>
      <c r="F144" s="147">
        <v>959323</v>
      </c>
      <c r="G144" s="112">
        <f t="shared" si="10"/>
        <v>244</v>
      </c>
      <c r="H144" s="99">
        <f>G144+'15'!H144</f>
        <v>3853</v>
      </c>
      <c r="I144" s="140"/>
      <c r="J144" s="328">
        <f>H144/DAY(B2)</f>
        <v>240.8125</v>
      </c>
    </row>
    <row r="145" spans="1:14" ht="25.5">
      <c r="A145" s="880" t="s">
        <v>190</v>
      </c>
      <c r="B145" s="880"/>
      <c r="C145" s="880"/>
      <c r="D145" s="152" t="s">
        <v>183</v>
      </c>
      <c r="E145" s="95">
        <f>'15'!F145</f>
        <v>747627</v>
      </c>
      <c r="F145" s="148">
        <v>747834</v>
      </c>
      <c r="G145" s="112">
        <f t="shared" si="10"/>
        <v>207</v>
      </c>
      <c r="H145" s="99">
        <f>G145+'15'!H145</f>
        <v>2653</v>
      </c>
      <c r="I145" s="140"/>
      <c r="J145" s="328">
        <f>H145/DAY(B2)</f>
        <v>165.8125</v>
      </c>
    </row>
    <row r="146" spans="1:14" ht="25.5">
      <c r="A146" s="914" t="s">
        <v>191</v>
      </c>
      <c r="B146" s="900"/>
      <c r="C146" s="901"/>
      <c r="D146" s="152" t="s">
        <v>183</v>
      </c>
      <c r="E146" s="95">
        <f>'15'!F146</f>
        <v>788424</v>
      </c>
      <c r="F146" s="148">
        <v>788455</v>
      </c>
      <c r="G146" s="112">
        <f t="shared" si="10"/>
        <v>31</v>
      </c>
      <c r="H146" s="99">
        <f>G146+'15'!H146</f>
        <v>597</v>
      </c>
      <c r="I146" s="140"/>
      <c r="J146" s="328">
        <f>H146/DAY(B2)</f>
        <v>37.3125</v>
      </c>
    </row>
    <row r="147" spans="1:14" ht="25.5">
      <c r="A147" s="863" t="s">
        <v>192</v>
      </c>
      <c r="B147" s="863"/>
      <c r="C147" s="863"/>
      <c r="D147" s="152" t="s">
        <v>183</v>
      </c>
      <c r="E147" s="95">
        <f>'15'!F147</f>
        <v>765761.68</v>
      </c>
      <c r="F147" s="148">
        <v>766139</v>
      </c>
      <c r="G147" s="112">
        <f t="shared" si="10"/>
        <v>377.31999999994878</v>
      </c>
      <c r="H147" s="99">
        <f>G147+'15'!H147</f>
        <v>6001</v>
      </c>
      <c r="I147" s="140"/>
      <c r="J147" s="328">
        <f>H147/DAY(B2)</f>
        <v>375.0625</v>
      </c>
    </row>
    <row r="148" spans="1:14" ht="25.5">
      <c r="A148" s="864" t="s">
        <v>193</v>
      </c>
      <c r="B148" s="865"/>
      <c r="C148" s="866"/>
      <c r="D148" s="123" t="s">
        <v>130</v>
      </c>
      <c r="E148" s="95">
        <f>'15'!F148</f>
        <v>801221.92</v>
      </c>
      <c r="F148" s="164">
        <v>801510</v>
      </c>
      <c r="G148" s="112">
        <f t="shared" si="10"/>
        <v>288.07999999995809</v>
      </c>
      <c r="H148" s="99">
        <f>G148+'15'!H148</f>
        <v>5097.9200000000419</v>
      </c>
      <c r="I148" s="124"/>
      <c r="J148" s="328">
        <f>H148/DAY(B2)</f>
        <v>318.62000000000262</v>
      </c>
    </row>
    <row r="149" spans="1:14" ht="25.5">
      <c r="A149" s="864" t="s">
        <v>336</v>
      </c>
      <c r="B149" s="865"/>
      <c r="C149" s="866"/>
      <c r="D149" s="227" t="s">
        <v>130</v>
      </c>
      <c r="E149" s="120">
        <f>'15'!F149</f>
        <v>208130.77</v>
      </c>
      <c r="F149" s="152">
        <v>208559</v>
      </c>
      <c r="G149" s="112">
        <f t="shared" si="10"/>
        <v>428.23000000001048</v>
      </c>
      <c r="H149" s="99">
        <f>G149+'15'!H149</f>
        <v>7267.7300000000105</v>
      </c>
      <c r="I149" s="119"/>
      <c r="J149" s="328">
        <f>H149/DAY(B2)</f>
        <v>454.23312500000065</v>
      </c>
    </row>
    <row r="150" spans="1:14" ht="25.5">
      <c r="A150" s="864" t="s">
        <v>337</v>
      </c>
      <c r="B150" s="865"/>
      <c r="C150" s="866"/>
      <c r="D150" s="117" t="s">
        <v>130</v>
      </c>
      <c r="E150" s="95">
        <f>'15'!F150</f>
        <v>91158</v>
      </c>
      <c r="F150" s="233">
        <v>88761</v>
      </c>
      <c r="G150" s="112">
        <v>230</v>
      </c>
      <c r="H150" s="99">
        <f>G150+'15'!H150</f>
        <v>6174</v>
      </c>
      <c r="I150" s="119"/>
      <c r="J150" s="328">
        <f>H150/DAY(B2)</f>
        <v>385.875</v>
      </c>
      <c r="N150" s="65" t="s">
        <v>375</v>
      </c>
    </row>
    <row r="151" spans="1:14" ht="25.5">
      <c r="A151" s="864" t="s">
        <v>338</v>
      </c>
      <c r="B151" s="865"/>
      <c r="C151" s="866"/>
      <c r="D151" s="117" t="s">
        <v>130</v>
      </c>
      <c r="E151" s="95">
        <f>'15'!F151</f>
        <v>171252</v>
      </c>
      <c r="F151" s="233">
        <v>171591</v>
      </c>
      <c r="G151" s="112">
        <f t="shared" si="10"/>
        <v>339</v>
      </c>
      <c r="H151" s="99">
        <f>G151+'15'!H151</f>
        <v>4861</v>
      </c>
      <c r="I151" s="119"/>
      <c r="J151" s="328">
        <f>H151/DAY(B2)</f>
        <v>303.8125</v>
      </c>
    </row>
    <row r="152" spans="1:14" ht="25.5">
      <c r="A152" s="864" t="s">
        <v>339</v>
      </c>
      <c r="B152" s="865"/>
      <c r="C152" s="866"/>
      <c r="D152" s="117" t="s">
        <v>130</v>
      </c>
      <c r="E152" s="95">
        <f>'15'!F152</f>
        <v>44493</v>
      </c>
      <c r="F152" s="233">
        <v>44624</v>
      </c>
      <c r="G152" s="112">
        <f t="shared" si="10"/>
        <v>131</v>
      </c>
      <c r="H152" s="99">
        <f>G152+'15'!H152</f>
        <v>2113</v>
      </c>
      <c r="I152" s="119"/>
      <c r="J152" s="328">
        <f>H152/DAY(B2)</f>
        <v>132.0625</v>
      </c>
    </row>
    <row r="153" spans="1:14" ht="25.5">
      <c r="A153" s="787" t="s">
        <v>196</v>
      </c>
      <c r="B153" s="788"/>
      <c r="C153" s="365"/>
      <c r="D153" s="358"/>
      <c r="E153" s="360"/>
      <c r="F153" s="361"/>
      <c r="G153" s="362">
        <f>SUM(G138:G152)</f>
        <v>2786.505299999917</v>
      </c>
      <c r="H153" s="363"/>
      <c r="I153" s="119">
        <f>G153-(G38+G52)</f>
        <v>283.37529999991239</v>
      </c>
      <c r="J153" s="366"/>
    </row>
    <row r="154" spans="1:14" ht="27.75">
      <c r="A154" s="869" t="s">
        <v>344</v>
      </c>
      <c r="B154" s="869"/>
      <c r="C154" s="869"/>
      <c r="D154" s="869"/>
      <c r="E154" s="869"/>
      <c r="F154" s="869"/>
      <c r="G154" s="869"/>
      <c r="H154" s="869"/>
      <c r="I154" s="869"/>
      <c r="J154" s="869"/>
    </row>
    <row r="155" spans="1:14" ht="27.75">
      <c r="A155" s="863" t="s">
        <v>345</v>
      </c>
      <c r="B155" s="863"/>
      <c r="C155" s="863"/>
      <c r="D155" s="117" t="s">
        <v>130</v>
      </c>
      <c r="E155" s="405">
        <f>'15'!F155</f>
        <v>247518</v>
      </c>
      <c r="F155" s="557">
        <v>248082</v>
      </c>
      <c r="G155" s="236">
        <f>F155-E155</f>
        <v>564</v>
      </c>
      <c r="H155" s="99">
        <f>G155+'15'!H155</f>
        <v>9048</v>
      </c>
      <c r="I155" s="364"/>
      <c r="J155" s="328">
        <f>H155/DAY(B2)</f>
        <v>565.5</v>
      </c>
    </row>
    <row r="156" spans="1:14" ht="25.5">
      <c r="A156" s="863" t="s">
        <v>347</v>
      </c>
      <c r="B156" s="863"/>
      <c r="C156" s="863"/>
      <c r="D156" s="117" t="s">
        <v>130</v>
      </c>
      <c r="E156" s="405">
        <f>'15'!F156</f>
        <v>31011.85</v>
      </c>
      <c r="F156" s="157">
        <v>31107</v>
      </c>
      <c r="G156" s="236">
        <f t="shared" ref="G156:G158" si="11">F156-E156</f>
        <v>95.150000000001455</v>
      </c>
      <c r="H156" s="99">
        <f>G156+'15'!H156</f>
        <v>1427.5</v>
      </c>
      <c r="I156" s="165"/>
      <c r="J156" s="328">
        <f>H156/DAY(B2)</f>
        <v>89.21875</v>
      </c>
    </row>
    <row r="157" spans="1:14" ht="25.5">
      <c r="A157" s="864" t="s">
        <v>360</v>
      </c>
      <c r="B157" s="865"/>
      <c r="C157" s="866"/>
      <c r="D157" s="117" t="s">
        <v>130</v>
      </c>
      <c r="E157" s="405">
        <f>'15'!F157</f>
        <v>37559</v>
      </c>
      <c r="F157" s="157">
        <v>37559</v>
      </c>
      <c r="G157" s="236">
        <f t="shared" si="11"/>
        <v>0</v>
      </c>
      <c r="H157" s="99">
        <f>G157+'15'!H157</f>
        <v>0</v>
      </c>
      <c r="I157" s="165"/>
      <c r="J157" s="328">
        <f>H157/DAY(B2)</f>
        <v>0</v>
      </c>
    </row>
    <row r="158" spans="1:14" ht="25.5">
      <c r="A158" s="864" t="s">
        <v>361</v>
      </c>
      <c r="B158" s="865"/>
      <c r="C158" s="866"/>
      <c r="D158" s="117" t="s">
        <v>130</v>
      </c>
      <c r="E158" s="405">
        <f>'15'!F158</f>
        <v>1769</v>
      </c>
      <c r="F158" s="157">
        <v>1770</v>
      </c>
      <c r="G158" s="236">
        <f t="shared" si="11"/>
        <v>1</v>
      </c>
      <c r="H158" s="99">
        <f>G158+'15'!H158</f>
        <v>12</v>
      </c>
      <c r="I158" s="165"/>
      <c r="J158" s="328">
        <f>H158/DAY(B2)</f>
        <v>0.75</v>
      </c>
    </row>
    <row r="159" spans="1:14" ht="25.5">
      <c r="A159" s="944"/>
      <c r="B159" s="945"/>
      <c r="C159" s="946"/>
      <c r="D159" s="117"/>
      <c r="E159" s="95"/>
      <c r="F159" s="155"/>
      <c r="G159" s="362">
        <f>SUM(G155:G158)</f>
        <v>660.15000000000146</v>
      </c>
      <c r="H159" s="99">
        <f>G159+'15'!H159</f>
        <v>660.15000000000146</v>
      </c>
      <c r="I159" s="165"/>
      <c r="J159" s="328">
        <f>H159/DAY(B2)</f>
        <v>41.259375000000091</v>
      </c>
    </row>
    <row r="160" spans="1:14" ht="27.75">
      <c r="A160" s="869" t="s">
        <v>326</v>
      </c>
      <c r="B160" s="869"/>
      <c r="C160" s="869"/>
      <c r="D160" s="869"/>
      <c r="E160" s="869"/>
      <c r="F160" s="869"/>
      <c r="G160" s="869"/>
      <c r="H160" s="869"/>
      <c r="I160" s="869"/>
      <c r="J160" s="869"/>
    </row>
    <row r="161" spans="1:14" ht="26.25">
      <c r="A161" s="242" t="s">
        <v>92</v>
      </c>
      <c r="B161" s="243"/>
      <c r="C161" s="243"/>
      <c r="D161" s="244" t="s">
        <v>180</v>
      </c>
      <c r="E161" s="95">
        <f>'15'!F161</f>
        <v>510750.52</v>
      </c>
      <c r="F161" s="235">
        <v>510881</v>
      </c>
      <c r="G161" s="238">
        <f t="shared" ref="G161:G165" si="12">F161-E161</f>
        <v>130.47999999998137</v>
      </c>
      <c r="H161" s="99">
        <f>G161+'15'!H161</f>
        <v>2497.679999999993</v>
      </c>
      <c r="I161" s="236"/>
      <c r="J161" s="239">
        <f>H161/DAY(B2)</f>
        <v>156.10499999999956</v>
      </c>
    </row>
    <row r="162" spans="1:14" ht="26.25">
      <c r="A162" s="242" t="s">
        <v>93</v>
      </c>
      <c r="B162" s="243"/>
      <c r="C162" s="243"/>
      <c r="D162" s="244" t="s">
        <v>180</v>
      </c>
      <c r="E162" s="95">
        <f>'15'!F162</f>
        <v>1262</v>
      </c>
      <c r="F162" s="235">
        <v>1291</v>
      </c>
      <c r="G162" s="238">
        <v>64</v>
      </c>
      <c r="H162" s="99">
        <f>G162+'15'!H162</f>
        <v>554.4</v>
      </c>
      <c r="I162" s="236"/>
      <c r="J162" s="239">
        <f>H162/DAY(B2)</f>
        <v>34.65</v>
      </c>
      <c r="N162" s="65" t="s">
        <v>374</v>
      </c>
    </row>
    <row r="163" spans="1:14" ht="26.25">
      <c r="A163" s="242" t="s">
        <v>197</v>
      </c>
      <c r="B163" s="243"/>
      <c r="C163" s="243"/>
      <c r="D163" s="244" t="s">
        <v>180</v>
      </c>
      <c r="E163" s="95">
        <f>'15'!F163</f>
        <v>0</v>
      </c>
      <c r="F163" s="235">
        <v>0</v>
      </c>
      <c r="G163" s="238">
        <f t="shared" si="12"/>
        <v>0</v>
      </c>
      <c r="H163" s="99">
        <f>G163+'15'!H163</f>
        <v>0</v>
      </c>
      <c r="I163" s="236"/>
      <c r="J163" s="239">
        <f>H163/DAY(B2)</f>
        <v>0</v>
      </c>
    </row>
    <row r="164" spans="1:14" ht="26.25">
      <c r="A164" s="242" t="s">
        <v>197</v>
      </c>
      <c r="B164" s="243"/>
      <c r="C164" s="243"/>
      <c r="D164" s="244" t="s">
        <v>180</v>
      </c>
      <c r="E164" s="95">
        <f>'15'!F164</f>
        <v>7271.8</v>
      </c>
      <c r="F164" s="235">
        <v>7276</v>
      </c>
      <c r="G164" s="238">
        <f t="shared" si="12"/>
        <v>4.1999999999998181</v>
      </c>
      <c r="H164" s="99">
        <f>G164+'15'!H164</f>
        <v>77</v>
      </c>
      <c r="I164" s="236"/>
      <c r="J164" s="239">
        <f>H164/DAY(B2)</f>
        <v>4.8125</v>
      </c>
    </row>
    <row r="165" spans="1:14" ht="26.25">
      <c r="A165" s="242" t="s">
        <v>309</v>
      </c>
      <c r="B165" s="243"/>
      <c r="C165" s="243"/>
      <c r="D165" s="244" t="s">
        <v>180</v>
      </c>
      <c r="E165" s="95">
        <f>'15'!F165</f>
        <v>32872.6</v>
      </c>
      <c r="F165" s="235">
        <v>32879</v>
      </c>
      <c r="G165" s="238">
        <f t="shared" si="12"/>
        <v>6.4000000000014552</v>
      </c>
      <c r="H165" s="99">
        <f>G165+'15'!H165</f>
        <v>98.911999999996624</v>
      </c>
      <c r="I165" s="236"/>
      <c r="J165" s="239">
        <f>H165/DAY(B2)</f>
        <v>6.181999999999789</v>
      </c>
    </row>
    <row r="166" spans="1:14" ht="26.25">
      <c r="A166" s="870"/>
      <c r="B166" s="870"/>
      <c r="C166" s="246"/>
      <c r="D166" s="244" t="s">
        <v>180</v>
      </c>
      <c r="E166" s="95">
        <f>'15'!F166</f>
        <v>0</v>
      </c>
      <c r="F166" s="155"/>
      <c r="G166" s="165"/>
      <c r="H166" s="99">
        <f>G166+'15'!H166</f>
        <v>0</v>
      </c>
      <c r="I166" s="165"/>
      <c r="J166" s="239">
        <f>H166/DAY(B2)</f>
        <v>0</v>
      </c>
    </row>
    <row r="167" spans="1:14" ht="26.25">
      <c r="A167" s="870"/>
      <c r="B167" s="870"/>
      <c r="C167" s="246"/>
      <c r="D167" s="244" t="s">
        <v>180</v>
      </c>
      <c r="E167" s="95">
        <f>'15'!F167</f>
        <v>0</v>
      </c>
      <c r="F167" s="155"/>
      <c r="G167" s="165"/>
      <c r="H167" s="99">
        <f>G167+'15'!H167</f>
        <v>0</v>
      </c>
      <c r="I167" s="165"/>
      <c r="J167" s="239">
        <f>H167/DAY(B2)</f>
        <v>0</v>
      </c>
    </row>
    <row r="168" spans="1:14" ht="26.25">
      <c r="A168" s="870"/>
      <c r="B168" s="870"/>
      <c r="C168" s="246"/>
      <c r="D168" s="244" t="s">
        <v>180</v>
      </c>
      <c r="E168" s="95">
        <f>'15'!F168</f>
        <v>0</v>
      </c>
      <c r="F168" s="155"/>
      <c r="G168" s="165"/>
      <c r="H168" s="99">
        <f>G168+'15'!H168</f>
        <v>0</v>
      </c>
      <c r="I168" s="165"/>
      <c r="J168" s="239">
        <f>H168/DAY(B2)</f>
        <v>0</v>
      </c>
    </row>
    <row r="169" spans="1:14" ht="26.25"/>
    <row r="170" spans="1:14" ht="26.25"/>
    <row r="171" spans="1:14" ht="27.75">
      <c r="A171" s="871" t="s">
        <v>330</v>
      </c>
      <c r="B171" s="872"/>
      <c r="C171" s="872"/>
      <c r="D171" s="872"/>
      <c r="E171" s="872"/>
      <c r="F171" s="872"/>
      <c r="G171" s="872"/>
      <c r="H171" s="872"/>
      <c r="I171" s="872"/>
      <c r="J171" s="873"/>
    </row>
    <row r="172" spans="1:14" ht="25.5">
      <c r="A172" s="878"/>
      <c r="B172" s="879"/>
      <c r="C172" s="332"/>
      <c r="D172" s="228"/>
      <c r="E172" s="155"/>
      <c r="F172" s="155"/>
      <c r="G172" s="155"/>
      <c r="H172" s="156"/>
      <c r="I172" s="155"/>
      <c r="J172" s="178"/>
    </row>
    <row r="173" spans="1:14" ht="25.5">
      <c r="A173" s="789" t="s">
        <v>209</v>
      </c>
      <c r="B173" s="790"/>
      <c r="C173" s="333"/>
      <c r="D173" s="228" t="s">
        <v>142</v>
      </c>
      <c r="E173" s="95">
        <f>'15'!F173</f>
        <v>8600</v>
      </c>
      <c r="F173" s="155">
        <v>8601</v>
      </c>
      <c r="G173" s="155">
        <f>F173-E173</f>
        <v>1</v>
      </c>
      <c r="H173" s="99">
        <f>G173+'15'!H173</f>
        <v>19</v>
      </c>
      <c r="I173" s="155"/>
      <c r="J173" s="178">
        <f>H173/DAY(B2)</f>
        <v>1.1875</v>
      </c>
    </row>
    <row r="174" spans="1:14" ht="25.5">
      <c r="A174" s="789" t="s">
        <v>75</v>
      </c>
      <c r="B174" s="790"/>
      <c r="C174" s="333"/>
      <c r="D174" s="228" t="s">
        <v>142</v>
      </c>
      <c r="E174" s="95">
        <f>'15'!F174</f>
        <v>43225</v>
      </c>
      <c r="F174" s="157">
        <v>43240</v>
      </c>
      <c r="G174" s="155">
        <f t="shared" ref="G174:G175" si="13">F174-E174</f>
        <v>15</v>
      </c>
      <c r="H174" s="99">
        <f>G174+'15'!H174</f>
        <v>190</v>
      </c>
      <c r="I174" s="155"/>
      <c r="J174" s="178">
        <f>H174/DAY(B2)</f>
        <v>11.875</v>
      </c>
    </row>
    <row r="175" spans="1:14" ht="25.5">
      <c r="A175" s="789" t="s">
        <v>76</v>
      </c>
      <c r="B175" s="802"/>
      <c r="C175" s="790"/>
      <c r="D175" s="228" t="s">
        <v>142</v>
      </c>
      <c r="E175" s="95">
        <f>'15'!F175</f>
        <v>26030</v>
      </c>
      <c r="F175" s="155">
        <v>26053</v>
      </c>
      <c r="G175" s="155">
        <f t="shared" si="13"/>
        <v>23</v>
      </c>
      <c r="H175" s="99">
        <f>G175+'15'!H175</f>
        <v>232</v>
      </c>
      <c r="I175" s="155"/>
      <c r="J175" s="178">
        <f>H175/DAY(B2)</f>
        <v>14.5</v>
      </c>
    </row>
    <row r="176" spans="1:14" ht="25.5">
      <c r="A176" s="787" t="s">
        <v>196</v>
      </c>
      <c r="B176" s="788"/>
      <c r="C176" s="333"/>
      <c r="D176" s="228" t="s">
        <v>142</v>
      </c>
      <c r="E176" s="95">
        <f>'15'!F176</f>
        <v>0</v>
      </c>
      <c r="F176" s="155"/>
      <c r="G176" s="155">
        <f>SUM(G173:G175)</f>
        <v>39</v>
      </c>
      <c r="H176" s="99">
        <f>G176+'15'!H176</f>
        <v>441</v>
      </c>
      <c r="I176" s="155"/>
      <c r="J176" s="178">
        <f>H176/DAY(B2)</f>
        <v>27.5625</v>
      </c>
    </row>
    <row r="177" spans="1:11" ht="25.5">
      <c r="A177" s="789" t="s">
        <v>77</v>
      </c>
      <c r="B177" s="790"/>
      <c r="C177" s="333"/>
      <c r="D177" s="228" t="s">
        <v>142</v>
      </c>
      <c r="E177" s="95">
        <f>'15'!F177</f>
        <v>0</v>
      </c>
      <c r="F177" s="155"/>
      <c r="G177" s="155"/>
      <c r="H177" s="99">
        <f>G177+'15'!H177</f>
        <v>0</v>
      </c>
      <c r="I177" s="155"/>
      <c r="J177" s="178">
        <f>H177/DAY(B2)</f>
        <v>0</v>
      </c>
    </row>
    <row r="178" spans="1:11" ht="25.5">
      <c r="A178" s="789" t="s">
        <v>210</v>
      </c>
      <c r="B178" s="790"/>
      <c r="C178" s="333"/>
      <c r="D178" s="228" t="s">
        <v>142</v>
      </c>
      <c r="E178" s="95">
        <f>'15'!F178</f>
        <v>108681</v>
      </c>
      <c r="F178" s="155">
        <v>108822</v>
      </c>
      <c r="G178" s="155">
        <f>F178-E178</f>
        <v>141</v>
      </c>
      <c r="H178" s="99">
        <f>G178+'15'!H178</f>
        <v>1823</v>
      </c>
      <c r="I178" s="155"/>
      <c r="J178" s="178">
        <f>H178/DAY(B2)</f>
        <v>113.9375</v>
      </c>
    </row>
    <row r="179" spans="1:11" ht="25.5">
      <c r="A179" s="789" t="s">
        <v>211</v>
      </c>
      <c r="B179" s="790"/>
      <c r="C179" s="333"/>
      <c r="D179" s="228" t="s">
        <v>142</v>
      </c>
      <c r="E179" s="95">
        <f>'15'!F179</f>
        <v>37501</v>
      </c>
      <c r="F179" s="155">
        <v>37501</v>
      </c>
      <c r="G179" s="155">
        <f t="shared" ref="G179:G180" si="14">F179-E179</f>
        <v>0</v>
      </c>
      <c r="H179" s="99">
        <f>G179+'15'!H179</f>
        <v>0</v>
      </c>
      <c r="I179" s="155"/>
      <c r="J179" s="178">
        <f>H179/DAY(B2)</f>
        <v>0</v>
      </c>
    </row>
    <row r="180" spans="1:11" ht="25.5">
      <c r="A180" s="789" t="s">
        <v>212</v>
      </c>
      <c r="B180" s="790"/>
      <c r="C180" s="333"/>
      <c r="D180" s="228" t="s">
        <v>142</v>
      </c>
      <c r="E180" s="95">
        <f>'15'!F180</f>
        <v>7631</v>
      </c>
      <c r="F180" s="155">
        <v>7640</v>
      </c>
      <c r="G180" s="155">
        <f t="shared" si="14"/>
        <v>9</v>
      </c>
      <c r="H180" s="99">
        <f>G180+'15'!H180</f>
        <v>77</v>
      </c>
      <c r="I180" s="155"/>
      <c r="J180" s="178">
        <f>H180/DAY(B2)</f>
        <v>4.8125</v>
      </c>
    </row>
    <row r="181" spans="1:11" ht="25.5">
      <c r="A181" s="876" t="s">
        <v>108</v>
      </c>
      <c r="B181" s="877"/>
      <c r="C181" s="333"/>
      <c r="D181" s="228" t="s">
        <v>142</v>
      </c>
      <c r="E181" s="95">
        <f>'15'!F181</f>
        <v>0</v>
      </c>
      <c r="F181" s="155"/>
      <c r="G181" s="155">
        <f>SUM(G178:G180)</f>
        <v>150</v>
      </c>
      <c r="H181" s="99">
        <f>G181+'15'!H181</f>
        <v>1900</v>
      </c>
      <c r="I181" s="155"/>
      <c r="J181" s="178">
        <f>H181/DAY(B2)</f>
        <v>118.75</v>
      </c>
    </row>
    <row r="182" spans="1:11" ht="25.5">
      <c r="A182" s="789" t="s">
        <v>213</v>
      </c>
      <c r="B182" s="790"/>
      <c r="C182" s="333"/>
      <c r="D182" s="228" t="s">
        <v>142</v>
      </c>
      <c r="E182" s="95">
        <f>'15'!F182</f>
        <v>0</v>
      </c>
      <c r="F182" s="155"/>
      <c r="G182" s="155"/>
      <c r="H182" s="99">
        <f>G182+'15'!H182</f>
        <v>0</v>
      </c>
      <c r="I182" s="155"/>
      <c r="J182" s="178">
        <f>H182/DAY(B2)</f>
        <v>0</v>
      </c>
    </row>
    <row r="183" spans="1:11" ht="25.5">
      <c r="A183" s="789" t="s">
        <v>214</v>
      </c>
      <c r="B183" s="790"/>
      <c r="C183" s="334"/>
      <c r="D183" s="228" t="s">
        <v>142</v>
      </c>
      <c r="E183" s="95">
        <f>'15'!F183</f>
        <v>18468</v>
      </c>
      <c r="F183" s="157">
        <v>18472</v>
      </c>
      <c r="G183" s="157">
        <f>F183-E183</f>
        <v>4</v>
      </c>
      <c r="H183" s="99">
        <f>G183+'15'!H183</f>
        <v>94</v>
      </c>
      <c r="I183" s="155"/>
      <c r="J183" s="178">
        <f>H183/DAY(B2)</f>
        <v>5.875</v>
      </c>
    </row>
    <row r="184" spans="1:11" ht="25.5">
      <c r="A184" s="789" t="s">
        <v>215</v>
      </c>
      <c r="B184" s="790"/>
      <c r="C184" s="334"/>
      <c r="D184" s="228" t="s">
        <v>142</v>
      </c>
      <c r="E184" s="95">
        <f>'15'!F184</f>
        <v>13125</v>
      </c>
      <c r="F184" s="157">
        <v>13135</v>
      </c>
      <c r="G184" s="157">
        <f t="shared" ref="G184:G185" si="15">F184-E184</f>
        <v>10</v>
      </c>
      <c r="H184" s="99">
        <f>G184+'15'!H184</f>
        <v>155</v>
      </c>
      <c r="I184" s="155"/>
      <c r="J184" s="178">
        <f>H184/DAY(B2)</f>
        <v>9.6875</v>
      </c>
    </row>
    <row r="185" spans="1:11" ht="32.25" customHeight="1">
      <c r="A185" s="789" t="s">
        <v>216</v>
      </c>
      <c r="B185" s="790"/>
      <c r="C185" s="334"/>
      <c r="D185" s="228" t="s">
        <v>142</v>
      </c>
      <c r="E185" s="95">
        <f>'15'!F185</f>
        <v>0</v>
      </c>
      <c r="F185" s="157"/>
      <c r="G185" s="157">
        <f t="shared" si="15"/>
        <v>0</v>
      </c>
      <c r="H185" s="99">
        <f>G185+'15'!H185</f>
        <v>0</v>
      </c>
      <c r="I185" s="155"/>
      <c r="J185" s="178">
        <f>H185/DAY(B2)</f>
        <v>0</v>
      </c>
    </row>
    <row r="186" spans="1:11" ht="25.5">
      <c r="A186" s="787" t="s">
        <v>196</v>
      </c>
      <c r="B186" s="788"/>
      <c r="C186" s="334"/>
      <c r="D186" s="228" t="s">
        <v>142</v>
      </c>
      <c r="E186" s="95">
        <f>'15'!F186</f>
        <v>0</v>
      </c>
      <c r="F186" s="157"/>
      <c r="G186" s="157">
        <f>SUM(G183:G185)</f>
        <v>14</v>
      </c>
      <c r="H186" s="99">
        <f>G186+'15'!H186</f>
        <v>249</v>
      </c>
      <c r="I186" s="157"/>
      <c r="J186" s="178">
        <f>H186/DAY(B2)</f>
        <v>15.5625</v>
      </c>
    </row>
    <row r="187" spans="1:11" ht="25.5">
      <c r="A187" s="867" t="s">
        <v>217</v>
      </c>
      <c r="B187" s="868"/>
      <c r="C187" s="333"/>
      <c r="D187" s="230" t="s">
        <v>142</v>
      </c>
      <c r="E187" s="95">
        <f>'15'!F187</f>
        <v>0</v>
      </c>
      <c r="F187" s="159"/>
      <c r="G187" s="377">
        <f>G62+G19</f>
        <v>137.5</v>
      </c>
      <c r="H187" s="99">
        <f>G187+'15'!H187</f>
        <v>2424</v>
      </c>
      <c r="I187" s="158"/>
      <c r="J187" s="179">
        <f>H187/DAY(B2)</f>
        <v>151.5</v>
      </c>
    </row>
    <row r="188" spans="1:11" ht="25.5">
      <c r="A188" s="867" t="s">
        <v>218</v>
      </c>
      <c r="B188" s="868"/>
      <c r="C188" s="333"/>
      <c r="D188" s="230" t="s">
        <v>142</v>
      </c>
      <c r="E188" s="95">
        <f>'15'!F188</f>
        <v>0</v>
      </c>
      <c r="F188" s="159"/>
      <c r="G188" s="377">
        <f>G65+G66+G67+G69+G70</f>
        <v>149</v>
      </c>
      <c r="H188" s="99">
        <f>G188+'15'!H188</f>
        <v>327</v>
      </c>
      <c r="I188" s="158"/>
      <c r="J188" s="179">
        <f>H188/DAY(B2)</f>
        <v>20.4375</v>
      </c>
    </row>
    <row r="189" spans="1:11" ht="23.25" customHeight="1">
      <c r="A189" s="867" t="s">
        <v>219</v>
      </c>
      <c r="B189" s="868"/>
      <c r="C189" s="333"/>
      <c r="D189" s="230" t="s">
        <v>142</v>
      </c>
      <c r="E189" s="95">
        <f>'15'!F189</f>
        <v>0</v>
      </c>
      <c r="F189" s="157"/>
      <c r="G189" s="376">
        <f>G181</f>
        <v>150</v>
      </c>
      <c r="H189" s="99">
        <f>G189+'15'!H189</f>
        <v>1900</v>
      </c>
      <c r="I189" s="158"/>
      <c r="J189" s="179">
        <f>H189/DAY(B2)</f>
        <v>118.75</v>
      </c>
    </row>
    <row r="190" spans="1:11" ht="23.25" customHeight="1">
      <c r="A190" s="957"/>
      <c r="B190" s="958"/>
      <c r="C190" s="426"/>
      <c r="D190" s="395"/>
      <c r="E190" s="395" t="s">
        <v>207</v>
      </c>
      <c r="F190" s="414"/>
      <c r="G190" s="395"/>
      <c r="H190" s="396"/>
      <c r="I190" s="395"/>
      <c r="J190" s="397"/>
    </row>
    <row r="191" spans="1:11" ht="23.25" customHeight="1">
      <c r="A191" s="245"/>
      <c r="B191" s="246"/>
      <c r="C191" s="246"/>
      <c r="D191" s="165"/>
      <c r="E191" s="165"/>
      <c r="F191" s="155"/>
      <c r="G191" s="165"/>
      <c r="H191" s="238"/>
      <c r="I191" s="99"/>
      <c r="J191" s="236"/>
      <c r="K191" s="239" t="e">
        <f>I191/DAY(C28)</f>
        <v>#DIV/0!</v>
      </c>
    </row>
    <row r="192" spans="1:11" ht="23.25" customHeight="1">
      <c r="G192" s="160" t="s">
        <v>366</v>
      </c>
    </row>
    <row r="193" ht="23.25" customHeight="1"/>
    <row r="194" ht="23.25" customHeight="1"/>
    <row r="195" ht="23.25" customHeight="1"/>
    <row r="196" ht="23.25" customHeight="1"/>
    <row r="197" ht="23.25" customHeight="1"/>
    <row r="198" ht="23.25" customHeight="1"/>
    <row r="199" ht="23.25" customHeight="1"/>
    <row r="200" ht="23.25" customHeight="1"/>
    <row r="201" ht="23.25" customHeight="1"/>
    <row r="202" ht="23.25" customHeight="1"/>
    <row r="203" ht="23.25" customHeight="1"/>
    <row r="204" ht="23.25" customHeight="1"/>
    <row r="205" ht="23.25" customHeight="1"/>
    <row r="206" ht="23.25" customHeight="1"/>
    <row r="207" ht="23.25" customHeight="1"/>
    <row r="208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  <row r="239" ht="23.25" customHeight="1"/>
    <row r="240" ht="23.25" customHeight="1"/>
    <row r="241" ht="23.25" customHeight="1"/>
    <row r="242" ht="23.25" customHeight="1"/>
    <row r="243" ht="23.25" customHeight="1"/>
    <row r="244" ht="23.25" customHeight="1"/>
    <row r="245" ht="23.25" customHeight="1"/>
    <row r="246" ht="23.25" customHeight="1"/>
    <row r="247" ht="23.25" customHeight="1"/>
    <row r="248" ht="23.25" customHeight="1"/>
    <row r="249" ht="23.25" customHeight="1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53:B153"/>
    <mergeCell ref="A135:B135"/>
    <mergeCell ref="A76:C76"/>
    <mergeCell ref="A77:C77"/>
    <mergeCell ref="A79:C79"/>
    <mergeCell ref="A80:C80"/>
    <mergeCell ref="A94:C94"/>
    <mergeCell ref="A19:C19"/>
    <mergeCell ref="A21:C21"/>
    <mergeCell ref="A64:C64"/>
    <mergeCell ref="A65:C65"/>
    <mergeCell ref="A25:C25"/>
    <mergeCell ref="A33:C33"/>
    <mergeCell ref="A78:C78"/>
    <mergeCell ref="A81:C81"/>
    <mergeCell ref="A93:C93"/>
    <mergeCell ref="A147:C147"/>
    <mergeCell ref="A148:C148"/>
    <mergeCell ref="A112:C112"/>
    <mergeCell ref="A113:C113"/>
    <mergeCell ref="A114:C114"/>
    <mergeCell ref="A152:C152"/>
    <mergeCell ref="A103:C103"/>
    <mergeCell ref="A144:C144"/>
    <mergeCell ref="A139:C139"/>
    <mergeCell ref="A140:C140"/>
    <mergeCell ref="A141:C141"/>
    <mergeCell ref="A142:C142"/>
    <mergeCell ref="A149:C149"/>
    <mergeCell ref="A143:C143"/>
    <mergeCell ref="A1:J1"/>
    <mergeCell ref="A6:C6"/>
    <mergeCell ref="A14:C14"/>
    <mergeCell ref="A17:C17"/>
    <mergeCell ref="A18:C18"/>
    <mergeCell ref="E3:F3"/>
    <mergeCell ref="A73:C73"/>
    <mergeCell ref="A74:C74"/>
    <mergeCell ref="A75:C75"/>
    <mergeCell ref="A61:C61"/>
    <mergeCell ref="A62:C62"/>
    <mergeCell ref="A63:C63"/>
    <mergeCell ref="A71:C71"/>
    <mergeCell ref="A72:B72"/>
    <mergeCell ref="A95:C95"/>
    <mergeCell ref="A96:C96"/>
    <mergeCell ref="A99:C99"/>
    <mergeCell ref="A121:C121"/>
    <mergeCell ref="A122:C122"/>
    <mergeCell ref="A124:C124"/>
    <mergeCell ref="A136:J136"/>
    <mergeCell ref="A100:C100"/>
    <mergeCell ref="A101:C101"/>
    <mergeCell ref="A123:C123"/>
    <mergeCell ref="A109:B109"/>
    <mergeCell ref="A97:C97"/>
    <mergeCell ref="A98:C98"/>
    <mergeCell ref="A105:C105"/>
    <mergeCell ref="A108:J108"/>
    <mergeCell ref="A110:J110"/>
    <mergeCell ref="A111:C111"/>
    <mergeCell ref="A119:C119"/>
    <mergeCell ref="A120:C120"/>
    <mergeCell ref="A102:C102"/>
    <mergeCell ref="A115:C115"/>
    <mergeCell ref="A116:C116"/>
    <mergeCell ref="A104:C104"/>
    <mergeCell ref="A171:J171"/>
    <mergeCell ref="A166:B166"/>
    <mergeCell ref="A167:B167"/>
    <mergeCell ref="Q116:R116"/>
    <mergeCell ref="A117:C117"/>
    <mergeCell ref="Q117:R117"/>
    <mergeCell ref="A118:C118"/>
    <mergeCell ref="Q118:R118"/>
    <mergeCell ref="A132:C132"/>
    <mergeCell ref="A133:C133"/>
    <mergeCell ref="A134:C134"/>
    <mergeCell ref="A125:B125"/>
    <mergeCell ref="A126:J126"/>
    <mergeCell ref="A127:B127"/>
    <mergeCell ref="A128:C128"/>
    <mergeCell ref="A131:C131"/>
    <mergeCell ref="A168:B168"/>
    <mergeCell ref="A154:J154"/>
    <mergeCell ref="A155:C155"/>
    <mergeCell ref="A138:C138"/>
    <mergeCell ref="A145:C145"/>
    <mergeCell ref="A146:C146"/>
    <mergeCell ref="A150:C150"/>
    <mergeCell ref="A151:C151"/>
    <mergeCell ref="A157:C157"/>
    <mergeCell ref="A158:C158"/>
    <mergeCell ref="A159:C159"/>
    <mergeCell ref="A156:C156"/>
    <mergeCell ref="A160:J160"/>
    <mergeCell ref="A189:B189"/>
    <mergeCell ref="A190:B190"/>
    <mergeCell ref="A181:B181"/>
    <mergeCell ref="A185:B185"/>
    <mergeCell ref="A186:B186"/>
    <mergeCell ref="A187:B187"/>
    <mergeCell ref="A188:B188"/>
    <mergeCell ref="A172:B172"/>
    <mergeCell ref="A173:B173"/>
    <mergeCell ref="A174:B174"/>
    <mergeCell ref="A176:B176"/>
    <mergeCell ref="A177:B177"/>
    <mergeCell ref="A183:B183"/>
    <mergeCell ref="A184:B184"/>
    <mergeCell ref="A182:B182"/>
    <mergeCell ref="A179:B179"/>
    <mergeCell ref="A180:B180"/>
    <mergeCell ref="A178:B178"/>
    <mergeCell ref="A175:C175"/>
  </mergeCells>
  <pageMargins left="0.22" right="0.17" top="0.14000000000000001" bottom="0.2" header="0.2" footer="0.2"/>
  <pageSetup paperSize="5" scale="2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R191"/>
  <sheetViews>
    <sheetView view="pageBreakPreview" topLeftCell="A154" zoomScale="55" zoomScaleSheetLayoutView="55" zoomScalePageLayoutView="60" workbookViewId="0">
      <selection activeCell="F88" sqref="F88"/>
    </sheetView>
  </sheetViews>
  <sheetFormatPr defaultColWidth="22.33203125" defaultRowHeight="27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493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919" t="s">
        <v>115</v>
      </c>
      <c r="B1" s="920"/>
      <c r="C1" s="920"/>
      <c r="D1" s="920"/>
      <c r="E1" s="920"/>
      <c r="F1" s="920"/>
      <c r="G1" s="920"/>
      <c r="H1" s="920"/>
      <c r="I1" s="920"/>
      <c r="J1" s="921"/>
    </row>
    <row r="2" spans="1:15" s="57" customFormat="1" ht="27.75" customHeight="1">
      <c r="A2" s="191" t="s">
        <v>355</v>
      </c>
      <c r="B2" s="262">
        <v>44578</v>
      </c>
      <c r="C2" s="348" t="s">
        <v>67</v>
      </c>
      <c r="D2" s="218">
        <v>0.91</v>
      </c>
      <c r="E2" s="100"/>
      <c r="F2" s="100"/>
      <c r="G2" s="47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23</v>
      </c>
      <c r="E3" s="928" t="s">
        <v>119</v>
      </c>
      <c r="F3" s="929"/>
      <c r="G3" s="471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0.77</v>
      </c>
      <c r="E4" s="103"/>
      <c r="F4" s="103"/>
      <c r="G4" s="471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72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922" t="s">
        <v>128</v>
      </c>
      <c r="B6" s="923"/>
      <c r="C6" s="924"/>
      <c r="D6" s="110"/>
      <c r="E6" s="110"/>
      <c r="F6" s="110"/>
      <c r="G6" s="473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'16'!F7</f>
        <v>312314</v>
      </c>
      <c r="F7" s="95">
        <v>331822</v>
      </c>
      <c r="G7" s="474">
        <f>F7-E7</f>
        <v>19508</v>
      </c>
      <c r="H7" s="99">
        <f>G7+'16'!H7</f>
        <v>354203</v>
      </c>
      <c r="I7" s="113">
        <f>'1'!I7</f>
        <v>12000</v>
      </c>
      <c r="J7" s="175">
        <f>H7/DAY(B2)</f>
        <v>20835.470588235294</v>
      </c>
      <c r="K7" s="172">
        <v>1375467</v>
      </c>
      <c r="L7" s="66"/>
      <c r="N7" s="87"/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'16'!F8</f>
        <v>498561</v>
      </c>
      <c r="F8" s="114">
        <v>518614</v>
      </c>
      <c r="G8" s="475">
        <f>F8-E8</f>
        <v>20053</v>
      </c>
      <c r="H8" s="99">
        <f>G8+'16'!H8</f>
        <v>360757</v>
      </c>
      <c r="I8" s="116"/>
      <c r="J8" s="175">
        <f>H8/DAY(B2)</f>
        <v>21221</v>
      </c>
      <c r="K8" s="172">
        <v>1715917</v>
      </c>
      <c r="L8" s="76">
        <v>1728480</v>
      </c>
      <c r="M8" s="87">
        <f>L8-K8</f>
        <v>12563</v>
      </c>
      <c r="N8" s="87"/>
      <c r="O8" s="71">
        <f>G7-G8</f>
        <v>-545</v>
      </c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'16'!F9</f>
        <v>4651015</v>
      </c>
      <c r="F9" s="468">
        <v>4662245</v>
      </c>
      <c r="G9" s="474">
        <f>F9-E9</f>
        <v>11230</v>
      </c>
      <c r="H9" s="99">
        <f>G9+'16'!H9</f>
        <v>245639.09999999963</v>
      </c>
      <c r="I9" s="124">
        <f>I7-J7</f>
        <v>-8835.4705882352937</v>
      </c>
      <c r="J9" s="175">
        <f>H9/DAY(B2)</f>
        <v>14449.35882352939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'16'!F10</f>
        <v>4162807</v>
      </c>
      <c r="F10" s="353">
        <v>4170543</v>
      </c>
      <c r="G10" s="474">
        <f t="shared" ref="G10:G12" si="0">F10-E10</f>
        <v>7736</v>
      </c>
      <c r="H10" s="99">
        <f>G10+'16'!H10</f>
        <v>100506.70000000019</v>
      </c>
      <c r="I10" s="282"/>
      <c r="J10" s="175">
        <f>H10/DAY(B2)</f>
        <v>5912.158823529423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'16'!F11</f>
        <v>38700</v>
      </c>
      <c r="F11" s="95">
        <v>38700</v>
      </c>
      <c r="G11" s="474">
        <f t="shared" si="0"/>
        <v>0</v>
      </c>
      <c r="H11" s="99">
        <f>G11+'16'!H11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'16'!F12</f>
        <v>40550</v>
      </c>
      <c r="F12" s="117">
        <v>40550</v>
      </c>
      <c r="G12" s="474">
        <f t="shared" si="0"/>
        <v>0</v>
      </c>
      <c r="H12" s="99">
        <f>G12+'16'!H12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476">
        <f>G9+G10+G11+G12</f>
        <v>18966</v>
      </c>
      <c r="H13" s="99">
        <f>G13+'16'!H13</f>
        <v>346145.79999999981</v>
      </c>
      <c r="I13" s="120">
        <f>G7-G13</f>
        <v>542</v>
      </c>
      <c r="J13" s="175">
        <f>H13/DAY(B2)</f>
        <v>20361.517647058812</v>
      </c>
      <c r="K13" s="79"/>
      <c r="L13" s="66"/>
      <c r="N13" s="87"/>
      <c r="O13" s="71"/>
    </row>
    <row r="14" spans="1:15" ht="27.75" customHeight="1">
      <c r="A14" s="925" t="s">
        <v>137</v>
      </c>
      <c r="B14" s="926"/>
      <c r="C14" s="927"/>
      <c r="D14" s="111"/>
      <c r="E14" s="111"/>
      <c r="F14" s="111"/>
      <c r="G14" s="477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468">
        <f>'16'!F15</f>
        <v>2271270</v>
      </c>
      <c r="F15" s="468">
        <v>2272192</v>
      </c>
      <c r="G15" s="474">
        <f>(F15-E15)</f>
        <v>922</v>
      </c>
      <c r="H15" s="99">
        <f>G15+'16'!H15</f>
        <v>18890.641999999993</v>
      </c>
      <c r="I15" s="113">
        <f>'1'!I15</f>
        <v>800</v>
      </c>
      <c r="J15" s="175">
        <f>H15/DAY(B2)</f>
        <v>1111.2142352941173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474"/>
      <c r="H16" s="124"/>
      <c r="I16" s="120">
        <f>I15-J15</f>
        <v>-311.21423529411732</v>
      </c>
      <c r="J16" s="176"/>
      <c r="K16" s="79"/>
      <c r="L16" s="66"/>
      <c r="N16" s="87"/>
      <c r="O16" s="71"/>
    </row>
    <row r="17" spans="1:15" ht="27.75" customHeight="1">
      <c r="A17" s="925" t="s">
        <v>140</v>
      </c>
      <c r="B17" s="926"/>
      <c r="C17" s="927"/>
      <c r="D17" s="111"/>
      <c r="E17" s="111"/>
      <c r="F17" s="111"/>
      <c r="G17" s="477"/>
      <c r="H17" s="111"/>
      <c r="I17" s="111"/>
      <c r="J17" s="174"/>
      <c r="K17" s="79"/>
      <c r="L17" s="66"/>
      <c r="N17" s="87"/>
      <c r="O17" s="71"/>
    </row>
    <row r="18" spans="1:15" ht="27.75" customHeight="1">
      <c r="A18" s="902" t="s">
        <v>141</v>
      </c>
      <c r="B18" s="903"/>
      <c r="C18" s="904"/>
      <c r="D18" s="151" t="s">
        <v>142</v>
      </c>
      <c r="E18" s="95">
        <f>'16'!F18</f>
        <v>22</v>
      </c>
      <c r="F18" s="122">
        <v>15</v>
      </c>
      <c r="G18" s="476">
        <f>F18*10</f>
        <v>150</v>
      </c>
      <c r="H18" s="99">
        <f>G18+'16'!H18</f>
        <v>3590</v>
      </c>
      <c r="I18" s="113">
        <f>'1'!I18</f>
        <v>65</v>
      </c>
      <c r="J18" s="175">
        <f>H18/DAY(B2)</f>
        <v>211.1764705882353</v>
      </c>
      <c r="K18" s="79"/>
      <c r="L18" s="66"/>
      <c r="N18" s="87"/>
      <c r="O18" s="71"/>
    </row>
    <row r="19" spans="1:15" ht="27.75" customHeight="1">
      <c r="A19" s="902" t="s">
        <v>69</v>
      </c>
      <c r="B19" s="903"/>
      <c r="C19" s="904"/>
      <c r="D19" s="151" t="s">
        <v>142</v>
      </c>
      <c r="E19" s="95">
        <f>'16'!F19</f>
        <v>170475</v>
      </c>
      <c r="F19" s="122">
        <v>170530</v>
      </c>
      <c r="G19" s="474">
        <f t="shared" ref="G19" si="1">F19-E19</f>
        <v>55</v>
      </c>
      <c r="H19" s="99">
        <f>G19+'16'!H19</f>
        <v>965</v>
      </c>
      <c r="I19" s="335"/>
      <c r="J19" s="175">
        <f>H19/DAY(B2)</f>
        <v>56.764705882352942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478">
        <f>G18+G19</f>
        <v>205</v>
      </c>
      <c r="H20" s="99">
        <f>G20+'16'!H20</f>
        <v>4555</v>
      </c>
      <c r="I20" s="336">
        <f>I18-J20</f>
        <v>-202.94117647058823</v>
      </c>
      <c r="J20" s="175">
        <f>H20/DAY(B2)</f>
        <v>267.94117647058823</v>
      </c>
      <c r="K20" s="79"/>
      <c r="L20" s="66"/>
      <c r="N20" s="87"/>
      <c r="O20" s="71"/>
    </row>
    <row r="21" spans="1:15" ht="27.75" customHeight="1">
      <c r="A21" s="925" t="s">
        <v>144</v>
      </c>
      <c r="B21" s="926"/>
      <c r="C21" s="927"/>
      <c r="D21" s="111"/>
      <c r="E21" s="111"/>
      <c r="F21" s="111"/>
      <c r="G21" s="477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'16'!F22</f>
        <v>2970</v>
      </c>
      <c r="F22" s="122">
        <v>2970</v>
      </c>
      <c r="G22" s="476">
        <f t="shared" ref="G22" si="2">(F22-E22)</f>
        <v>0</v>
      </c>
      <c r="H22" s="99">
        <f>G22+'16'!H22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95">
        <f>'16'!F23</f>
        <v>1860</v>
      </c>
      <c r="F23" s="122">
        <v>1860</v>
      </c>
      <c r="G23" s="476">
        <v>0</v>
      </c>
      <c r="H23" s="99">
        <f>G23+'16'!H23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'16'!F24</f>
        <v>4970</v>
      </c>
      <c r="F24" s="128">
        <f>SUM(F22:F23)</f>
        <v>4830</v>
      </c>
      <c r="G24" s="476">
        <v>0</v>
      </c>
      <c r="H24" s="99">
        <f>G24+'16'!H24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930" t="s">
        <v>149</v>
      </c>
      <c r="B25" s="931"/>
      <c r="C25" s="932"/>
      <c r="D25" s="110"/>
      <c r="E25" s="110"/>
      <c r="F25" s="110"/>
      <c r="G25" s="47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480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20053</v>
      </c>
      <c r="F27" s="136">
        <v>10</v>
      </c>
      <c r="G27" s="481">
        <f>E27*F27</f>
        <v>200530</v>
      </c>
      <c r="H27" s="99">
        <f>G27+'16'!H27</f>
        <v>3394575.1999999997</v>
      </c>
      <c r="I27" s="138"/>
      <c r="J27" s="175">
        <f>H27/DAY(B2)</f>
        <v>199680.89411764705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922</v>
      </c>
      <c r="F28" s="136">
        <v>65</v>
      </c>
      <c r="G28" s="481">
        <f>E28*F28</f>
        <v>59930</v>
      </c>
      <c r="H28" s="99">
        <f>G28+'16'!H28</f>
        <v>1307753.1499999994</v>
      </c>
      <c r="I28" s="140"/>
      <c r="J28" s="175">
        <f>H28/DAY(B2)</f>
        <v>76926.655882352905</v>
      </c>
      <c r="K28" s="63"/>
      <c r="L28" s="89"/>
      <c r="N28" s="87"/>
      <c r="O28" s="71"/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81">
        <f>E29*F29</f>
        <v>0</v>
      </c>
      <c r="H29" s="99">
        <f>G29+'16'!H29</f>
        <v>6900</v>
      </c>
      <c r="I29" s="140"/>
      <c r="J29" s="175">
        <f>H29/DAY(B2)</f>
        <v>405.88235294117646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151</v>
      </c>
      <c r="G30" s="481">
        <f>E30*F30</f>
        <v>8305</v>
      </c>
      <c r="H30" s="99">
        <f>G30+'16'!H30</f>
        <v>145715</v>
      </c>
      <c r="I30" s="140"/>
      <c r="J30" s="175">
        <f>H30/DAY(B2)</f>
        <v>8571.4705882352937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150</v>
      </c>
      <c r="F31" s="136">
        <v>85</v>
      </c>
      <c r="G31" s="481">
        <f>E31*F31</f>
        <v>12750</v>
      </c>
      <c r="H31" s="99">
        <f>G31+'16'!H31</f>
        <v>293050</v>
      </c>
      <c r="I31" s="140"/>
      <c r="J31" s="175">
        <f>H31/DAY(B2)</f>
        <v>17238.235294117647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482">
        <f>G27+G28+G29+G30+G31</f>
        <v>281515</v>
      </c>
      <c r="H32" s="99">
        <f>G32+'16'!H32</f>
        <v>5147993.3499999996</v>
      </c>
      <c r="I32" s="144"/>
      <c r="J32" s="175">
        <f>H32/DAY(B2)</f>
        <v>302823.13823529409</v>
      </c>
      <c r="K32" s="63"/>
      <c r="L32" s="89"/>
      <c r="N32" s="87"/>
      <c r="O32" s="71"/>
    </row>
    <row r="33" spans="1:15" ht="27.75" customHeight="1">
      <c r="A33" s="933" t="s">
        <v>331</v>
      </c>
      <c r="B33" s="934"/>
      <c r="C33" s="934"/>
      <c r="D33" s="337"/>
      <c r="E33" s="337"/>
      <c r="F33" s="337"/>
      <c r="G33" s="483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484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'16'!F35</f>
        <v>495814</v>
      </c>
      <c r="F35" s="145">
        <v>498266</v>
      </c>
      <c r="G35" s="474">
        <f t="shared" ref="G35:G46" si="3">F35-E35</f>
        <v>2452</v>
      </c>
      <c r="H35" s="99">
        <f>G35+'16'!H35</f>
        <v>43748.010000000009</v>
      </c>
      <c r="I35" s="95"/>
      <c r="J35" s="175">
        <f>H35/DAY(B2)</f>
        <v>2573.4123529411772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'16'!F36</f>
        <v>367744</v>
      </c>
      <c r="F36" s="145">
        <v>368478</v>
      </c>
      <c r="G36" s="474">
        <f t="shared" si="3"/>
        <v>734</v>
      </c>
      <c r="H36" s="99">
        <f>G36+'16'!H36</f>
        <v>14389.099999999977</v>
      </c>
      <c r="I36" s="95"/>
      <c r="J36" s="175">
        <f>H36/DAY(B2)</f>
        <v>846.41764705882213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'16'!F37</f>
        <v>361881</v>
      </c>
      <c r="F37" s="145">
        <v>363305</v>
      </c>
      <c r="G37" s="474">
        <f t="shared" si="3"/>
        <v>1424</v>
      </c>
      <c r="H37" s="99">
        <f>G37+'16'!H37</f>
        <v>25035.130000000005</v>
      </c>
      <c r="I37" s="95"/>
      <c r="J37" s="175">
        <f>H37/DAY(B2)</f>
        <v>1472.6547058823533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'16'!F38</f>
        <v>837620</v>
      </c>
      <c r="F38" s="108">
        <v>840051</v>
      </c>
      <c r="G38" s="474">
        <f t="shared" si="3"/>
        <v>2431</v>
      </c>
      <c r="H38" s="99">
        <f>G38+'16'!H38</f>
        <v>40373.650000000023</v>
      </c>
      <c r="I38" s="95"/>
      <c r="J38" s="175">
        <f>H38/DAY(B2)</f>
        <v>2374.9205882352953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'16'!F39</f>
        <v>665062</v>
      </c>
      <c r="F39" s="145">
        <v>667821</v>
      </c>
      <c r="G39" s="474">
        <f t="shared" si="3"/>
        <v>2759</v>
      </c>
      <c r="H39" s="99">
        <f>G39+'16'!H39</f>
        <v>47531</v>
      </c>
      <c r="I39" s="95"/>
      <c r="J39" s="175">
        <f>H39/DAY(B2)</f>
        <v>2795.9411764705883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'16'!F40</f>
        <v>214608</v>
      </c>
      <c r="F40" s="422">
        <v>214837</v>
      </c>
      <c r="G40" s="474">
        <f t="shared" si="3"/>
        <v>229</v>
      </c>
      <c r="H40" s="99">
        <f>G40+'16'!H40</f>
        <v>5150.6499999999942</v>
      </c>
      <c r="I40" s="95"/>
      <c r="J40" s="175">
        <f>H40/DAY(B2)</f>
        <v>302.97941176470556</v>
      </c>
      <c r="K40" s="80"/>
      <c r="L40" s="66"/>
      <c r="N40" s="87"/>
      <c r="O40" s="71"/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'16'!F41</f>
        <v>420212.51</v>
      </c>
      <c r="F41" s="145">
        <v>420212.51</v>
      </c>
      <c r="G41" s="474">
        <f t="shared" si="3"/>
        <v>0</v>
      </c>
      <c r="H41" s="99">
        <f>G41+'16'!H41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'16'!F42</f>
        <v>970677</v>
      </c>
      <c r="F42" s="145">
        <v>970677</v>
      </c>
      <c r="G42" s="474">
        <f t="shared" si="3"/>
        <v>0</v>
      </c>
      <c r="H42" s="99">
        <f>G42+'16'!H42</f>
        <v>49722.530000000028</v>
      </c>
      <c r="I42" s="95"/>
      <c r="J42" s="175">
        <f>H42/DAY(B2)</f>
        <v>2924.8547058823547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'16'!F43</f>
        <v>422444</v>
      </c>
      <c r="F43" s="145">
        <v>422444</v>
      </c>
      <c r="G43" s="474">
        <f t="shared" si="3"/>
        <v>0</v>
      </c>
      <c r="H43" s="99">
        <f>G43+'16'!H43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'16'!F44</f>
        <v>0</v>
      </c>
      <c r="F44" s="145">
        <v>0</v>
      </c>
      <c r="G44" s="474">
        <f t="shared" si="3"/>
        <v>0</v>
      </c>
      <c r="H44" s="99">
        <f>G44+'16'!H44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'16'!F45</f>
        <v>0</v>
      </c>
      <c r="F45" s="145">
        <v>0</v>
      </c>
      <c r="G45" s="474">
        <f t="shared" si="3"/>
        <v>0</v>
      </c>
      <c r="H45" s="99">
        <f>G45+'16'!H45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'16'!F46</f>
        <v>0</v>
      </c>
      <c r="F46" s="145">
        <v>0</v>
      </c>
      <c r="G46" s="474">
        <f t="shared" si="3"/>
        <v>0</v>
      </c>
      <c r="H46" s="99">
        <f>G46+'16'!H46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476">
        <f>G35+G36+G37+G38+G39+G40+G41+G42+G43+G44+G45+G46</f>
        <v>10029</v>
      </c>
      <c r="H47" s="99">
        <f>G47+'16'!H47</f>
        <v>225950.07000000004</v>
      </c>
      <c r="I47" s="95"/>
      <c r="J47" s="175">
        <f>H47/DAY(B2)</f>
        <v>13291.180588235296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484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'16'!F49</f>
        <v>814897</v>
      </c>
      <c r="F49" s="145">
        <v>815438</v>
      </c>
      <c r="G49" s="474">
        <f t="shared" ref="G49:G58" si="4">F49-E49</f>
        <v>541</v>
      </c>
      <c r="H49" s="99">
        <f>G49+'16'!H49</f>
        <v>8933.8499999999767</v>
      </c>
      <c r="I49" s="95"/>
      <c r="J49" s="175">
        <f>H49/DAY(B2)</f>
        <v>525.52058823529273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'16'!F50</f>
        <v>523393</v>
      </c>
      <c r="F50" s="145">
        <v>524500</v>
      </c>
      <c r="G50" s="474">
        <f t="shared" si="4"/>
        <v>1107</v>
      </c>
      <c r="H50" s="99">
        <f>G50+'16'!H50</f>
        <v>23347</v>
      </c>
      <c r="I50" s="95"/>
      <c r="J50" s="175">
        <f>H50/DAY(B2)</f>
        <v>1373.3529411764705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'16'!F51</f>
        <v>156958</v>
      </c>
      <c r="F51" s="145">
        <v>156958</v>
      </c>
      <c r="G51" s="474">
        <f t="shared" si="4"/>
        <v>0</v>
      </c>
      <c r="H51" s="99">
        <f>G51+'16'!H51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'16'!F52</f>
        <v>9.76</v>
      </c>
      <c r="F52" s="145">
        <v>9.76</v>
      </c>
      <c r="G52" s="474">
        <f t="shared" si="4"/>
        <v>0</v>
      </c>
      <c r="H52" s="99">
        <f>G52+'16'!H52</f>
        <v>-0.24000000000000021</v>
      </c>
      <c r="I52" s="95"/>
      <c r="J52" s="175">
        <f>H52/DAY(B2)</f>
        <v>-1.4117647058823542E-2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'16'!F53</f>
        <v>630355</v>
      </c>
      <c r="F53" s="145">
        <v>630355</v>
      </c>
      <c r="G53" s="474">
        <f t="shared" si="4"/>
        <v>0</v>
      </c>
      <c r="H53" s="99">
        <f>G53+'16'!H53</f>
        <v>-3.0000000027939677E-2</v>
      </c>
      <c r="I53" s="95"/>
      <c r="J53" s="175">
        <f>H53/DAY(B2)</f>
        <v>-1.7647058839964517E-3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'16'!F54</f>
        <v>119862</v>
      </c>
      <c r="F54" s="145">
        <v>120177</v>
      </c>
      <c r="G54" s="474">
        <f t="shared" si="4"/>
        <v>315</v>
      </c>
      <c r="H54" s="99">
        <f>G54+'16'!H54</f>
        <v>5579.8699999999953</v>
      </c>
      <c r="I54" s="95"/>
      <c r="J54" s="175">
        <f>H54/DAY(B2)</f>
        <v>328.22764705882327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'16'!F55</f>
        <v>576335.63</v>
      </c>
      <c r="F55" s="145">
        <v>576336</v>
      </c>
      <c r="G55" s="474">
        <f t="shared" si="4"/>
        <v>0.36999999999534339</v>
      </c>
      <c r="H55" s="99">
        <f>G55+'16'!H55</f>
        <v>0.36999999999534339</v>
      </c>
      <c r="I55" s="95"/>
      <c r="J55" s="175">
        <f>H55/DAY(B2)</f>
        <v>2.1764705882079023E-2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'16'!F56</f>
        <v>348312</v>
      </c>
      <c r="F56" s="145">
        <v>350459</v>
      </c>
      <c r="G56" s="474">
        <f t="shared" si="4"/>
        <v>2147</v>
      </c>
      <c r="H56" s="99">
        <f>G56+'16'!H56</f>
        <v>15232.789999999979</v>
      </c>
      <c r="I56" s="95"/>
      <c r="J56" s="175">
        <f>H56/DAY(B2)</f>
        <v>896.04647058823411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'16'!F57</f>
        <v>669937</v>
      </c>
      <c r="F57" s="145">
        <v>672579</v>
      </c>
      <c r="G57" s="474">
        <f t="shared" si="4"/>
        <v>2642</v>
      </c>
      <c r="H57" s="99">
        <f>G57+'16'!H57</f>
        <v>41746</v>
      </c>
      <c r="I57" s="95"/>
      <c r="J57" s="175">
        <f>H57/DAY(B2)</f>
        <v>2455.6470588235293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'16'!F58</f>
        <v>90652</v>
      </c>
      <c r="F58" s="422">
        <v>90918</v>
      </c>
      <c r="G58" s="474">
        <f t="shared" si="4"/>
        <v>266</v>
      </c>
      <c r="H58" s="99">
        <f>G58+'16'!H58</f>
        <v>4357.5010000000038</v>
      </c>
      <c r="I58" s="95"/>
      <c r="J58" s="175">
        <f>H58/DAY(B2)</f>
        <v>256.32358823529432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476">
        <f>G49+G50+G51+G52+G53+G54+G55+G56+G57+G58</f>
        <v>7018.3699999999953</v>
      </c>
      <c r="H59" s="99">
        <f>G59+'16'!H59</f>
        <v>99197.110999999917</v>
      </c>
      <c r="I59" s="95">
        <f>G7-G60</f>
        <v>2460.6300000000047</v>
      </c>
      <c r="J59" s="175">
        <f>H59/DAY(B2)</f>
        <v>5835.1241764705837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476">
        <f>G47+G59</f>
        <v>17047.369999999995</v>
      </c>
      <c r="H60" s="99">
        <f>G60+'16'!H60</f>
        <v>325147.18099999992</v>
      </c>
      <c r="I60" s="95">
        <f>G13-G60</f>
        <v>1918.6300000000047</v>
      </c>
      <c r="J60" s="175">
        <f>H60/DAY(B2)</f>
        <v>19126.304764705877</v>
      </c>
      <c r="K60" s="79"/>
      <c r="L60" s="66"/>
      <c r="N60" s="87"/>
      <c r="O60" s="71"/>
    </row>
    <row r="61" spans="1:15" s="68" customFormat="1" ht="27.75" customHeight="1">
      <c r="A61" s="935" t="s">
        <v>332</v>
      </c>
      <c r="B61" s="936"/>
      <c r="C61" s="937"/>
      <c r="D61" s="339"/>
      <c r="E61" s="339"/>
      <c r="F61" s="339"/>
      <c r="G61" s="485"/>
      <c r="H61" s="339"/>
      <c r="I61" s="339"/>
      <c r="J61" s="341"/>
      <c r="K61" s="69"/>
      <c r="L61" s="67"/>
      <c r="N61" s="87"/>
      <c r="O61" s="71"/>
    </row>
    <row r="62" spans="1:15" ht="27.75" customHeight="1">
      <c r="A62" s="902" t="s">
        <v>198</v>
      </c>
      <c r="B62" s="903"/>
      <c r="C62" s="904"/>
      <c r="D62" s="151" t="s">
        <v>142</v>
      </c>
      <c r="E62" s="95">
        <f>'16'!F62</f>
        <v>313614</v>
      </c>
      <c r="F62" s="122">
        <v>313710</v>
      </c>
      <c r="G62" s="474">
        <f t="shared" ref="G62:G63" si="5">F62-E62</f>
        <v>96</v>
      </c>
      <c r="H62" s="99">
        <f>G62+'16'!H62</f>
        <v>1610</v>
      </c>
      <c r="I62" s="118"/>
      <c r="J62" s="175">
        <f>H62/DAY(B2)</f>
        <v>94.705882352941174</v>
      </c>
      <c r="K62" s="80"/>
      <c r="L62" s="66"/>
      <c r="N62" s="87"/>
      <c r="O62" s="71"/>
    </row>
    <row r="63" spans="1:15" ht="27.75" customHeight="1">
      <c r="A63" s="902" t="s">
        <v>199</v>
      </c>
      <c r="B63" s="903"/>
      <c r="C63" s="904"/>
      <c r="D63" s="151" t="s">
        <v>142</v>
      </c>
      <c r="E63" s="95">
        <f>'16'!F63</f>
        <v>250783</v>
      </c>
      <c r="F63" s="122">
        <v>250867</v>
      </c>
      <c r="G63" s="474">
        <f t="shared" si="5"/>
        <v>84</v>
      </c>
      <c r="H63" s="99">
        <f>G63+'16'!H63</f>
        <v>1832</v>
      </c>
      <c r="I63" s="118"/>
      <c r="J63" s="175">
        <f>H63/DAY(B2)</f>
        <v>107.76470588235294</v>
      </c>
      <c r="K63" s="69"/>
      <c r="L63" s="66"/>
      <c r="N63" s="87"/>
      <c r="O63" s="71"/>
    </row>
    <row r="64" spans="1:15" ht="27.75" customHeight="1">
      <c r="A64" s="911" t="s">
        <v>200</v>
      </c>
      <c r="B64" s="912"/>
      <c r="C64" s="913"/>
      <c r="D64" s="151"/>
      <c r="E64" s="95">
        <f>'16'!F64</f>
        <v>0</v>
      </c>
      <c r="F64" s="122"/>
      <c r="G64" s="474">
        <f>G62+G63</f>
        <v>180</v>
      </c>
      <c r="H64" s="99">
        <f>G64+'16'!H64</f>
        <v>3442</v>
      </c>
      <c r="I64" s="118"/>
      <c r="J64" s="175">
        <f>H64/DAY(B2)</f>
        <v>202.47058823529412</v>
      </c>
      <c r="K64" s="69"/>
      <c r="L64" s="66"/>
      <c r="N64" s="87"/>
      <c r="O64" s="71"/>
    </row>
    <row r="65" spans="1:15" ht="27.75" customHeight="1">
      <c r="A65" s="902" t="s">
        <v>201</v>
      </c>
      <c r="B65" s="903"/>
      <c r="C65" s="904"/>
      <c r="D65" s="151" t="s">
        <v>142</v>
      </c>
      <c r="E65" s="95">
        <f>'16'!F65</f>
        <v>474004</v>
      </c>
      <c r="F65" s="122">
        <v>474122</v>
      </c>
      <c r="G65" s="474">
        <f t="shared" ref="G65:G70" si="6">F65-E65</f>
        <v>118</v>
      </c>
      <c r="H65" s="99">
        <f>G65+'16'!H65</f>
        <v>2092</v>
      </c>
      <c r="I65" s="118"/>
      <c r="J65" s="175">
        <f>H65/DAY(B2)</f>
        <v>123.05882352941177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'16'!F66</f>
        <v>114005</v>
      </c>
      <c r="F66" s="122">
        <v>114014</v>
      </c>
      <c r="G66" s="474">
        <f t="shared" si="6"/>
        <v>9</v>
      </c>
      <c r="H66" s="99">
        <f>G66+'16'!H66</f>
        <v>1292</v>
      </c>
      <c r="I66" s="118"/>
      <c r="J66" s="175">
        <f>H66/DAY(B2)</f>
        <v>76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'16'!F67</f>
        <v>116933</v>
      </c>
      <c r="F67" s="122">
        <v>116952</v>
      </c>
      <c r="G67" s="474">
        <f t="shared" si="6"/>
        <v>19</v>
      </c>
      <c r="H67" s="99">
        <f>G67+'16'!H67</f>
        <v>385</v>
      </c>
      <c r="I67" s="118"/>
      <c r="J67" s="175">
        <f>H67/DAY(B2)</f>
        <v>22.647058823529413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'16'!F68</f>
        <v>169681</v>
      </c>
      <c r="F68" s="122">
        <v>169695</v>
      </c>
      <c r="G68" s="474">
        <f t="shared" si="6"/>
        <v>14</v>
      </c>
      <c r="H68" s="99">
        <f>G68+'16'!H68</f>
        <v>336</v>
      </c>
      <c r="I68" s="118"/>
      <c r="J68" s="175">
        <f>H68/DAY(B2)</f>
        <v>19.764705882352942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'16'!F69</f>
        <v>13036</v>
      </c>
      <c r="F69" s="122">
        <v>13038</v>
      </c>
      <c r="G69" s="474">
        <f t="shared" si="6"/>
        <v>2</v>
      </c>
      <c r="H69" s="99">
        <f>G69+'16'!H69</f>
        <v>72</v>
      </c>
      <c r="I69" s="118"/>
      <c r="J69" s="175">
        <f>H69/DAY(B2)</f>
        <v>4.2352941176470589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'16'!F70</f>
        <v>11146</v>
      </c>
      <c r="F70" s="122">
        <v>11151</v>
      </c>
      <c r="G70" s="474">
        <f t="shared" si="6"/>
        <v>5</v>
      </c>
      <c r="H70" s="99">
        <f>G70+'16'!H70</f>
        <v>135</v>
      </c>
      <c r="I70" s="118"/>
      <c r="J70" s="175">
        <f>H70/DAY(B2)</f>
        <v>7.9411764705882355</v>
      </c>
      <c r="K70" s="69"/>
      <c r="L70" s="66"/>
      <c r="N70" s="87"/>
      <c r="O70" s="71"/>
    </row>
    <row r="71" spans="1:15" ht="27.75" customHeight="1">
      <c r="A71" s="911" t="s">
        <v>208</v>
      </c>
      <c r="B71" s="912"/>
      <c r="C71" s="913"/>
      <c r="D71" s="152"/>
      <c r="E71" s="152"/>
      <c r="F71" s="152"/>
      <c r="G71" s="486">
        <f>SUM(G65:G70)</f>
        <v>167</v>
      </c>
      <c r="H71" s="99">
        <f>G71+'16'!H71</f>
        <v>4312</v>
      </c>
      <c r="I71" s="154"/>
      <c r="J71" s="175">
        <f>H71/DAY(B2)</f>
        <v>253.64705882352942</v>
      </c>
      <c r="K71" s="69"/>
      <c r="L71" s="66"/>
      <c r="N71" s="87"/>
      <c r="O71" s="71"/>
    </row>
    <row r="72" spans="1:15" s="88" customFormat="1" ht="27.75" customHeight="1">
      <c r="A72" s="898"/>
      <c r="B72" s="883"/>
      <c r="C72" s="347"/>
      <c r="D72" s="180"/>
      <c r="E72" s="180" t="s">
        <v>207</v>
      </c>
      <c r="F72" s="180"/>
      <c r="G72" s="487"/>
      <c r="H72" s="181"/>
      <c r="I72" s="180"/>
      <c r="J72" s="182"/>
      <c r="N72" s="87"/>
      <c r="O72" s="71"/>
    </row>
    <row r="73" spans="1:15" ht="27.75" customHeight="1">
      <c r="A73" s="908" t="s">
        <v>333</v>
      </c>
      <c r="B73" s="909"/>
      <c r="C73" s="910"/>
      <c r="D73" s="339"/>
      <c r="E73" s="339"/>
      <c r="F73" s="339"/>
      <c r="G73" s="485"/>
      <c r="H73" s="342"/>
      <c r="I73" s="342"/>
      <c r="J73" s="343"/>
      <c r="K73" s="69"/>
      <c r="L73" s="66"/>
      <c r="N73" s="87"/>
      <c r="O73" s="71"/>
    </row>
    <row r="74" spans="1:15" ht="27.75" customHeight="1">
      <c r="A74" s="902" t="s">
        <v>220</v>
      </c>
      <c r="B74" s="903"/>
      <c r="C74" s="904"/>
      <c r="D74" s="151" t="s">
        <v>139</v>
      </c>
      <c r="E74" s="95">
        <f>'16'!F74</f>
        <v>7539</v>
      </c>
      <c r="F74" s="117">
        <v>7839</v>
      </c>
      <c r="G74" s="474">
        <f t="shared" ref="G74:G78" si="7">F74-E74</f>
        <v>300</v>
      </c>
      <c r="H74" s="99">
        <f>G74+'16'!H74</f>
        <v>995703</v>
      </c>
      <c r="I74" s="154"/>
      <c r="J74" s="175">
        <f>H74/DAY(B2)</f>
        <v>58570.76470588235</v>
      </c>
      <c r="K74" s="69"/>
      <c r="L74" s="66"/>
      <c r="N74" s="87"/>
      <c r="O74" s="71"/>
    </row>
    <row r="75" spans="1:15" ht="27.75" customHeight="1">
      <c r="A75" s="902" t="s">
        <v>221</v>
      </c>
      <c r="B75" s="903"/>
      <c r="C75" s="904"/>
      <c r="D75" s="151" t="s">
        <v>139</v>
      </c>
      <c r="E75" s="95">
        <f>'16'!F75</f>
        <v>73586.8</v>
      </c>
      <c r="F75" s="123">
        <v>73586.8</v>
      </c>
      <c r="G75" s="474">
        <f t="shared" si="7"/>
        <v>0</v>
      </c>
      <c r="H75" s="99">
        <f>G75+'16'!H75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>
      <c r="A76" s="899" t="s">
        <v>222</v>
      </c>
      <c r="B76" s="900"/>
      <c r="C76" s="901"/>
      <c r="D76" s="151" t="s">
        <v>139</v>
      </c>
      <c r="E76" s="95">
        <f>'16'!F76</f>
        <v>209064</v>
      </c>
      <c r="F76" s="123">
        <v>209146</v>
      </c>
      <c r="G76" s="474">
        <f t="shared" si="7"/>
        <v>82</v>
      </c>
      <c r="H76" s="99">
        <f>G76+'16'!H76</f>
        <v>1769</v>
      </c>
      <c r="I76" s="154"/>
      <c r="J76" s="175">
        <f>H76/DAY(B2)</f>
        <v>104.05882352941177</v>
      </c>
      <c r="K76" s="69"/>
      <c r="L76" s="66"/>
      <c r="N76" s="87"/>
      <c r="O76" s="71"/>
    </row>
    <row r="77" spans="1:15" ht="27.75" customHeight="1">
      <c r="A77" s="899" t="s">
        <v>223</v>
      </c>
      <c r="B77" s="900"/>
      <c r="C77" s="901"/>
      <c r="D77" s="151" t="s">
        <v>139</v>
      </c>
      <c r="E77" s="95">
        <f>'16'!F77</f>
        <v>58934</v>
      </c>
      <c r="F77" s="409">
        <v>58985</v>
      </c>
      <c r="G77" s="474">
        <f t="shared" si="7"/>
        <v>51</v>
      </c>
      <c r="H77" s="99">
        <f>G77+'16'!H77</f>
        <v>833</v>
      </c>
      <c r="I77" s="154"/>
      <c r="J77" s="175">
        <f>H77/DAY(B2)</f>
        <v>49</v>
      </c>
      <c r="K77" s="69"/>
      <c r="L77" s="66"/>
      <c r="N77" s="87"/>
      <c r="O77" s="71"/>
    </row>
    <row r="78" spans="1:15" ht="27.75" customHeight="1">
      <c r="A78" s="899" t="s">
        <v>224</v>
      </c>
      <c r="B78" s="900"/>
      <c r="C78" s="901"/>
      <c r="D78" s="151" t="s">
        <v>139</v>
      </c>
      <c r="E78" s="95">
        <f>'16'!F78</f>
        <v>9564</v>
      </c>
      <c r="F78" s="123">
        <v>9564</v>
      </c>
      <c r="G78" s="474">
        <f t="shared" si="7"/>
        <v>0</v>
      </c>
      <c r="H78" s="99">
        <f>G78+'16'!H78</f>
        <v>-1</v>
      </c>
      <c r="I78" s="118"/>
      <c r="J78" s="175">
        <f>H78/DAY(B2)</f>
        <v>-5.8823529411764705E-2</v>
      </c>
      <c r="K78" s="69"/>
      <c r="L78" s="66"/>
      <c r="N78" s="87"/>
      <c r="O78" s="71"/>
    </row>
    <row r="79" spans="1:15" s="57" customFormat="1" ht="27.75" customHeight="1">
      <c r="A79" s="899" t="s">
        <v>225</v>
      </c>
      <c r="B79" s="900"/>
      <c r="C79" s="901"/>
      <c r="D79" s="151"/>
      <c r="E79" s="95">
        <f>'16'!F79</f>
        <v>0</v>
      </c>
      <c r="F79" s="123"/>
      <c r="G79" s="474">
        <f>G15-SUM(G74:G78)</f>
        <v>489</v>
      </c>
      <c r="H79" s="99">
        <f>G79+'16'!H79</f>
        <v>-979413.35799999989</v>
      </c>
      <c r="I79" s="118"/>
      <c r="J79" s="175"/>
      <c r="K79" s="59"/>
      <c r="L79" s="58"/>
      <c r="N79" s="87"/>
      <c r="O79" s="71"/>
    </row>
    <row r="80" spans="1:15" s="57" customFormat="1" ht="27.75" customHeight="1">
      <c r="A80" s="911" t="s">
        <v>329</v>
      </c>
      <c r="B80" s="912"/>
      <c r="C80" s="913"/>
      <c r="D80" s="151"/>
      <c r="E80" s="117"/>
      <c r="F80" s="117"/>
      <c r="G80" s="474">
        <f>SUM(G74:G79)</f>
        <v>922</v>
      </c>
      <c r="H80" s="99"/>
      <c r="I80" s="118"/>
      <c r="J80" s="175"/>
      <c r="K80" s="59"/>
      <c r="L80" s="58"/>
      <c r="N80" s="87"/>
      <c r="O80" s="71"/>
    </row>
    <row r="81" spans="1:15" ht="27.75" customHeight="1">
      <c r="A81" s="915" t="s">
        <v>226</v>
      </c>
      <c r="B81" s="916"/>
      <c r="C81" s="917"/>
      <c r="D81" s="110"/>
      <c r="E81" s="110"/>
      <c r="F81" s="110"/>
      <c r="G81" s="488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'16'!F82</f>
        <v>0</v>
      </c>
      <c r="F82" s="122">
        <v>0</v>
      </c>
      <c r="G82" s="474">
        <f t="shared" ref="G82:G92" si="8">F82-E82</f>
        <v>0</v>
      </c>
      <c r="H82" s="99">
        <f>G82+'16'!H82</f>
        <v>0</v>
      </c>
      <c r="I82" s="545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'16'!F83</f>
        <v>0</v>
      </c>
      <c r="F83" s="122">
        <v>0</v>
      </c>
      <c r="G83" s="474">
        <f t="shared" si="8"/>
        <v>0</v>
      </c>
      <c r="H83" s="99">
        <f>G83+'16'!H83</f>
        <v>0</v>
      </c>
      <c r="I83" s="545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'16'!F84</f>
        <v>43546</v>
      </c>
      <c r="F84" s="164">
        <v>43546</v>
      </c>
      <c r="G84" s="474">
        <f t="shared" si="8"/>
        <v>0</v>
      </c>
      <c r="H84" s="99">
        <f>G84+'16'!H84</f>
        <v>0</v>
      </c>
      <c r="I84" s="545"/>
      <c r="J84" s="175">
        <f>H84/DAY(B2)</f>
        <v>0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'16'!F85</f>
        <v>6203</v>
      </c>
      <c r="F85" s="164">
        <v>6203</v>
      </c>
      <c r="G85" s="474">
        <f t="shared" si="8"/>
        <v>0</v>
      </c>
      <c r="H85" s="99">
        <f>G85+'16'!H85</f>
        <v>270.55000000000018</v>
      </c>
      <c r="I85" s="545"/>
      <c r="J85" s="175">
        <f>H85/DAY(B2)</f>
        <v>15.914705882352951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'16'!F86</f>
        <v>46834</v>
      </c>
      <c r="F86" s="164">
        <v>46834</v>
      </c>
      <c r="G86" s="474">
        <f t="shared" si="8"/>
        <v>0</v>
      </c>
      <c r="H86" s="99">
        <f>G86+'16'!H86</f>
        <v>0</v>
      </c>
      <c r="I86" s="545"/>
      <c r="J86" s="175">
        <f>H86/DAY(B2)</f>
        <v>0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'16'!F87</f>
        <v>37144.47</v>
      </c>
      <c r="F87" s="164">
        <v>37168</v>
      </c>
      <c r="G87" s="474">
        <f t="shared" si="8"/>
        <v>23.529999999998836</v>
      </c>
      <c r="H87" s="99">
        <f>G87+'16'!H87</f>
        <v>140</v>
      </c>
      <c r="I87" s="545">
        <f>G84+G85+G86+G87</f>
        <v>23.529999999998836</v>
      </c>
      <c r="J87" s="175">
        <f>H87/DAY(B2)</f>
        <v>8.235294117647058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'16'!F88</f>
        <v>24656</v>
      </c>
      <c r="F88" s="164">
        <v>24666</v>
      </c>
      <c r="G88" s="474">
        <f t="shared" si="8"/>
        <v>10</v>
      </c>
      <c r="H88" s="99">
        <f>G88+'16'!H88</f>
        <v>62.400000000001455</v>
      </c>
      <c r="I88" s="545"/>
      <c r="J88" s="175">
        <f>H88/DAY(B2)</f>
        <v>3.6705882352942032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'16'!F89</f>
        <v>28906</v>
      </c>
      <c r="F89" s="164">
        <v>28908</v>
      </c>
      <c r="G89" s="474">
        <f t="shared" si="8"/>
        <v>2</v>
      </c>
      <c r="H89" s="99">
        <f>G89+'16'!H89</f>
        <v>159.61000000000058</v>
      </c>
      <c r="I89" s="545">
        <f>G88+G89</f>
        <v>12</v>
      </c>
      <c r="J89" s="175">
        <f>H89/DAY(B2)</f>
        <v>9.3888235294117983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'16'!F90</f>
        <v>74362</v>
      </c>
      <c r="F90" s="164">
        <v>74366</v>
      </c>
      <c r="G90" s="474">
        <f t="shared" si="8"/>
        <v>4</v>
      </c>
      <c r="H90" s="99">
        <f>G90+'16'!H90</f>
        <v>162.82000000000698</v>
      </c>
      <c r="I90" s="545">
        <f>G90</f>
        <v>4</v>
      </c>
      <c r="J90" s="175">
        <f>H90/DAY(B2)</f>
        <v>9.5776470588239402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'16'!F91</f>
        <v>5618</v>
      </c>
      <c r="F91" s="122">
        <v>5618</v>
      </c>
      <c r="G91" s="474">
        <f t="shared" si="8"/>
        <v>0</v>
      </c>
      <c r="H91" s="99">
        <f>G91+'16'!H91</f>
        <v>-0.21000000000003638</v>
      </c>
      <c r="I91" s="546"/>
      <c r="J91" s="175">
        <f>H91/DAY(B2)</f>
        <v>-1.2352941176472728E-2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'16'!F92</f>
        <v>7261</v>
      </c>
      <c r="F92" s="122">
        <v>7272</v>
      </c>
      <c r="G92" s="474">
        <f t="shared" si="8"/>
        <v>11</v>
      </c>
      <c r="H92" s="99">
        <f>G92+'16'!H92</f>
        <v>192.3100000000004</v>
      </c>
      <c r="I92" s="547">
        <f>G91+G92</f>
        <v>11</v>
      </c>
      <c r="J92" s="175">
        <f>H92/DAY(B2)</f>
        <v>11.312352941176494</v>
      </c>
      <c r="O92" s="71"/>
    </row>
    <row r="93" spans="1:15" ht="27.75" customHeight="1">
      <c r="A93" s="905" t="s">
        <v>239</v>
      </c>
      <c r="B93" s="906"/>
      <c r="C93" s="907"/>
      <c r="D93" s="111"/>
      <c r="E93" s="111"/>
      <c r="F93" s="111"/>
      <c r="G93" s="477"/>
      <c r="H93" s="121"/>
      <c r="I93" s="121"/>
      <c r="J93" s="183"/>
      <c r="K93" s="69"/>
      <c r="L93" s="66"/>
      <c r="O93" s="71"/>
    </row>
    <row r="94" spans="1:15" ht="27.75" customHeight="1">
      <c r="A94" s="902" t="s">
        <v>240</v>
      </c>
      <c r="B94" s="903"/>
      <c r="C94" s="904"/>
      <c r="D94" s="151" t="s">
        <v>130</v>
      </c>
      <c r="E94" s="151"/>
      <c r="F94" s="151"/>
      <c r="G94" s="489">
        <f>G35+G43+G49+G57</f>
        <v>5635</v>
      </c>
      <c r="H94" s="99">
        <f>G94+'16'!H94</f>
        <v>94427.859999999986</v>
      </c>
      <c r="I94" s="118"/>
      <c r="J94" s="175">
        <f>H94/DAY(B2)</f>
        <v>5554.579999999999</v>
      </c>
      <c r="K94" s="69"/>
      <c r="L94" s="66"/>
      <c r="O94" s="71"/>
    </row>
    <row r="95" spans="1:15" ht="27.75" customHeight="1">
      <c r="A95" s="902" t="s">
        <v>241</v>
      </c>
      <c r="B95" s="903"/>
      <c r="C95" s="904"/>
      <c r="D95" s="151" t="s">
        <v>23</v>
      </c>
      <c r="E95" s="146"/>
      <c r="F95" s="146"/>
      <c r="G95" s="490">
        <f>G94/G7</f>
        <v>0.28885585400861186</v>
      </c>
      <c r="H95" s="99">
        <f>G95+'16'!H95</f>
        <v>4.5382969205010708</v>
      </c>
      <c r="I95" s="167"/>
      <c r="J95" s="175">
        <f>H95/DAY(B2)</f>
        <v>0.26695864238241596</v>
      </c>
      <c r="K95" s="69"/>
      <c r="L95" s="66"/>
      <c r="O95" s="71"/>
    </row>
    <row r="96" spans="1:15" ht="27.75" customHeight="1">
      <c r="A96" s="902" t="s">
        <v>242</v>
      </c>
      <c r="B96" s="903"/>
      <c r="C96" s="904"/>
      <c r="D96" s="151" t="s">
        <v>130</v>
      </c>
      <c r="E96" s="95"/>
      <c r="F96" s="95"/>
      <c r="G96" s="489">
        <f>G41+G42+G55+G56</f>
        <v>2147.3699999999953</v>
      </c>
      <c r="H96" s="99">
        <f>G96+'16'!H96</f>
        <v>64955.69</v>
      </c>
      <c r="I96" s="118"/>
      <c r="J96" s="175">
        <f>H96/DAY(B2)</f>
        <v>3820.9229411764709</v>
      </c>
      <c r="K96" s="69"/>
      <c r="L96" s="66"/>
      <c r="O96" s="71"/>
    </row>
    <row r="97" spans="1:15" ht="27.75" customHeight="1">
      <c r="A97" s="902" t="s">
        <v>243</v>
      </c>
      <c r="B97" s="903"/>
      <c r="C97" s="904"/>
      <c r="D97" s="151" t="s">
        <v>23</v>
      </c>
      <c r="E97" s="95"/>
      <c r="F97" s="95"/>
      <c r="G97" s="490">
        <f>G96/G7</f>
        <v>0.11007637892146788</v>
      </c>
      <c r="H97" s="99">
        <f>G97+'16'!H97</f>
        <v>3.1083092785815278</v>
      </c>
      <c r="I97" s="167"/>
      <c r="J97" s="175">
        <f>H97/DAY(B2)</f>
        <v>0.18284172226950163</v>
      </c>
      <c r="K97" s="69"/>
      <c r="L97" s="66"/>
      <c r="O97" s="71"/>
    </row>
    <row r="98" spans="1:15" ht="27.75" customHeight="1">
      <c r="A98" s="902" t="s">
        <v>244</v>
      </c>
      <c r="B98" s="903"/>
      <c r="C98" s="904"/>
      <c r="D98" s="151" t="s">
        <v>130</v>
      </c>
      <c r="E98" s="95"/>
      <c r="F98" s="95"/>
      <c r="G98" s="489">
        <f>G39+G53</f>
        <v>2759</v>
      </c>
      <c r="H98" s="99">
        <f>G98+'16'!H98</f>
        <v>47530.969999999972</v>
      </c>
      <c r="I98" s="168"/>
      <c r="J98" s="175">
        <f>H98/DAY(B2)</f>
        <v>2795.9394117647043</v>
      </c>
      <c r="K98" s="69"/>
      <c r="L98" s="66"/>
      <c r="O98" s="71"/>
    </row>
    <row r="99" spans="1:15" ht="27.75" customHeight="1">
      <c r="A99" s="902" t="s">
        <v>245</v>
      </c>
      <c r="B99" s="903"/>
      <c r="C99" s="904"/>
      <c r="D99" s="151" t="s">
        <v>23</v>
      </c>
      <c r="E99" s="95"/>
      <c r="F99" s="95"/>
      <c r="G99" s="490">
        <f>G98/G7</f>
        <v>0.14142915726881281</v>
      </c>
      <c r="H99" s="99">
        <f>G99+'16'!H99</f>
        <v>2.283005331414055</v>
      </c>
      <c r="I99" s="168"/>
      <c r="J99" s="175">
        <f>H99/DAY(B2)</f>
        <v>0.13429443125965029</v>
      </c>
      <c r="O99" s="71"/>
    </row>
    <row r="100" spans="1:15" ht="27.75" customHeight="1">
      <c r="A100" s="902" t="s">
        <v>246</v>
      </c>
      <c r="B100" s="903"/>
      <c r="C100" s="904"/>
      <c r="D100" s="151" t="s">
        <v>180</v>
      </c>
      <c r="E100" s="95"/>
      <c r="F100" s="95"/>
      <c r="G100" s="489">
        <f>G38+G52</f>
        <v>2431</v>
      </c>
      <c r="H100" s="99">
        <f>G100+'16'!H100</f>
        <v>40373.410000000025</v>
      </c>
      <c r="I100" s="118"/>
      <c r="J100" s="175">
        <f>H100/DAY(B2)</f>
        <v>2374.906470588237</v>
      </c>
      <c r="K100" s="70"/>
      <c r="O100" s="71"/>
    </row>
    <row r="101" spans="1:15" ht="27.75" customHeight="1">
      <c r="A101" s="902" t="s">
        <v>247</v>
      </c>
      <c r="B101" s="903"/>
      <c r="C101" s="904"/>
      <c r="D101" s="151" t="s">
        <v>23</v>
      </c>
      <c r="E101" s="95"/>
      <c r="F101" s="95"/>
      <c r="G101" s="490">
        <f>G100/G7</f>
        <v>0.12461554234160345</v>
      </c>
      <c r="H101" s="99">
        <f>G101+'16'!H101</f>
        <v>1.9370705760904539</v>
      </c>
      <c r="I101" s="168"/>
      <c r="J101" s="175">
        <f>H101/DAY(B2)</f>
        <v>0.11394532800532081</v>
      </c>
      <c r="O101" s="71"/>
    </row>
    <row r="102" spans="1:15" ht="27.75" customHeight="1">
      <c r="A102" s="902" t="s">
        <v>248</v>
      </c>
      <c r="B102" s="903"/>
      <c r="C102" s="904"/>
      <c r="D102" s="151" t="s">
        <v>180</v>
      </c>
      <c r="E102" s="95"/>
      <c r="F102" s="95"/>
      <c r="G102" s="489">
        <f>G36+G50</f>
        <v>1841</v>
      </c>
      <c r="H102" s="99">
        <f>G102+'16'!H102</f>
        <v>37736.099999999977</v>
      </c>
      <c r="I102" s="168"/>
      <c r="J102" s="175">
        <f>H102/DAY(B2)</f>
        <v>2219.770588235293</v>
      </c>
      <c r="O102" s="71"/>
    </row>
    <row r="103" spans="1:15" ht="27.75" customHeight="1">
      <c r="A103" s="902" t="s">
        <v>249</v>
      </c>
      <c r="B103" s="903"/>
      <c r="C103" s="904"/>
      <c r="D103" s="151" t="s">
        <v>23</v>
      </c>
      <c r="E103" s="95"/>
      <c r="F103" s="95"/>
      <c r="G103" s="490">
        <f>G102/G7</f>
        <v>9.4371539881074426E-2</v>
      </c>
      <c r="H103" s="99">
        <f>G103+'16'!H103</f>
        <v>1.8086087760580369</v>
      </c>
      <c r="I103" s="118"/>
      <c r="J103" s="175">
        <f>H103/DAY(B2)</f>
        <v>0.1063887515328257</v>
      </c>
      <c r="O103" s="71"/>
    </row>
    <row r="104" spans="1:15" ht="27.75" customHeight="1">
      <c r="A104" s="902" t="s">
        <v>250</v>
      </c>
      <c r="B104" s="903"/>
      <c r="C104" s="904"/>
      <c r="D104" s="151" t="s">
        <v>180</v>
      </c>
      <c r="E104" s="95"/>
      <c r="F104" s="95"/>
      <c r="G104" s="489">
        <f>G37+G51</f>
        <v>1424</v>
      </c>
      <c r="H104" s="99">
        <f>G104+'16'!H104</f>
        <v>25035.130000000005</v>
      </c>
      <c r="I104" s="118"/>
      <c r="J104" s="175">
        <f>H104/DAY(B2)</f>
        <v>1472.6547058823533</v>
      </c>
      <c r="O104" s="71"/>
    </row>
    <row r="105" spans="1:15" ht="27.75" customHeight="1" thickBot="1">
      <c r="A105" s="895" t="s">
        <v>251</v>
      </c>
      <c r="B105" s="896"/>
      <c r="C105" s="897"/>
      <c r="D105" s="231" t="s">
        <v>23</v>
      </c>
      <c r="E105" s="185"/>
      <c r="F105" s="185"/>
      <c r="G105" s="491">
        <f>G104/G7</f>
        <v>7.2995694074225959E-2</v>
      </c>
      <c r="H105" s="99">
        <f>G105+'16'!H105</f>
        <v>1.2023316903485473</v>
      </c>
      <c r="I105" s="187"/>
      <c r="J105" s="188">
        <f>H105/DAY(B2)</f>
        <v>7.0725393549914542E-2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492"/>
      <c r="H106" s="170"/>
      <c r="I106" s="169"/>
      <c r="J106" s="171"/>
      <c r="O106" s="71"/>
    </row>
    <row r="108" spans="1:15" ht="27.75" customHeight="1">
      <c r="A108" s="891" t="s">
        <v>324</v>
      </c>
      <c r="B108" s="891"/>
      <c r="C108" s="891"/>
      <c r="D108" s="891"/>
      <c r="E108" s="891"/>
      <c r="F108" s="891"/>
      <c r="G108" s="891"/>
      <c r="H108" s="891"/>
      <c r="I108" s="891"/>
      <c r="J108" s="891"/>
    </row>
    <row r="109" spans="1:15" ht="27.75" customHeight="1">
      <c r="A109" s="918"/>
      <c r="B109" s="918"/>
    </row>
    <row r="110" spans="1:15" ht="27.75" customHeight="1">
      <c r="A110" s="892" t="s">
        <v>165</v>
      </c>
      <c r="B110" s="893"/>
      <c r="C110" s="893"/>
      <c r="D110" s="893"/>
      <c r="E110" s="893"/>
      <c r="F110" s="893"/>
      <c r="G110" s="893"/>
      <c r="H110" s="893"/>
      <c r="I110" s="893"/>
      <c r="J110" s="894"/>
    </row>
    <row r="111" spans="1:15" ht="27.75" customHeight="1">
      <c r="A111" s="885"/>
      <c r="B111" s="886"/>
      <c r="C111" s="887"/>
      <c r="D111" s="165"/>
      <c r="E111" s="165"/>
      <c r="F111" s="165"/>
      <c r="G111" s="494"/>
      <c r="H111" s="156"/>
      <c r="I111" s="165"/>
      <c r="J111" s="327"/>
    </row>
    <row r="112" spans="1:15" ht="27.75" customHeight="1">
      <c r="A112" s="881" t="s">
        <v>252</v>
      </c>
      <c r="B112" s="882"/>
      <c r="C112" s="883"/>
      <c r="D112" s="146" t="s">
        <v>183</v>
      </c>
      <c r="E112" s="95">
        <f>'16'!F112</f>
        <v>18479</v>
      </c>
      <c r="F112" s="237">
        <v>18540</v>
      </c>
      <c r="G112" s="474">
        <f t="shared" ref="G112:G123" si="9">F112-E112</f>
        <v>61</v>
      </c>
      <c r="H112" s="99">
        <f>G112+'16'!H112</f>
        <v>1028.7000000000007</v>
      </c>
      <c r="I112" s="165"/>
      <c r="J112" s="328">
        <f>H112/DAY(B2)</f>
        <v>60.511764705882399</v>
      </c>
    </row>
    <row r="113" spans="1:18" ht="27.75" customHeight="1">
      <c r="A113" s="881" t="s">
        <v>253</v>
      </c>
      <c r="B113" s="882"/>
      <c r="C113" s="883"/>
      <c r="D113" s="146" t="s">
        <v>183</v>
      </c>
      <c r="E113" s="95">
        <f>'16'!F113</f>
        <v>39365</v>
      </c>
      <c r="F113" s="237">
        <v>39510</v>
      </c>
      <c r="G113" s="474">
        <f t="shared" si="9"/>
        <v>145</v>
      </c>
      <c r="H113" s="99">
        <f>G113+'16'!H113</f>
        <v>2431</v>
      </c>
      <c r="I113" s="165"/>
      <c r="J113" s="328">
        <f>H113/DAY(B2)</f>
        <v>143</v>
      </c>
    </row>
    <row r="114" spans="1:18" ht="27.75" customHeight="1">
      <c r="A114" s="881" t="s">
        <v>254</v>
      </c>
      <c r="B114" s="882"/>
      <c r="C114" s="883"/>
      <c r="D114" s="146" t="s">
        <v>183</v>
      </c>
      <c r="E114" s="95">
        <f>'16'!F114</f>
        <v>57831</v>
      </c>
      <c r="F114" s="416">
        <v>58062</v>
      </c>
      <c r="G114" s="474">
        <f t="shared" si="9"/>
        <v>231</v>
      </c>
      <c r="H114" s="99">
        <f>G114+'16'!H114</f>
        <v>3794.2200000000012</v>
      </c>
      <c r="I114" s="165"/>
      <c r="J114" s="328">
        <f>H114/DAY(B2)</f>
        <v>223.18941176470594</v>
      </c>
    </row>
    <row r="115" spans="1:18" ht="27.75" customHeight="1">
      <c r="A115" s="881" t="s">
        <v>255</v>
      </c>
      <c r="B115" s="882"/>
      <c r="C115" s="883"/>
      <c r="D115" s="146" t="s">
        <v>183</v>
      </c>
      <c r="E115" s="95">
        <f>'16'!F115</f>
        <v>37340</v>
      </c>
      <c r="F115" s="237">
        <v>37470</v>
      </c>
      <c r="G115" s="474">
        <f t="shared" si="9"/>
        <v>130</v>
      </c>
      <c r="H115" s="99">
        <f>G115+'16'!H115</f>
        <v>2503.0899999999965</v>
      </c>
      <c r="I115" s="165"/>
      <c r="J115" s="328">
        <f>H115/DAY(B2)</f>
        <v>147.2405882352939</v>
      </c>
    </row>
    <row r="116" spans="1:18" ht="27.75" customHeight="1">
      <c r="A116" s="888" t="s">
        <v>96</v>
      </c>
      <c r="B116" s="889"/>
      <c r="C116" s="890"/>
      <c r="D116" s="146" t="s">
        <v>183</v>
      </c>
      <c r="E116" s="95">
        <f>'16'!F116</f>
        <v>141378</v>
      </c>
      <c r="F116" s="237">
        <v>141924</v>
      </c>
      <c r="G116" s="474">
        <f t="shared" si="9"/>
        <v>546</v>
      </c>
      <c r="H116" s="99">
        <f>G116+'16'!H116</f>
        <v>7435.609999999986</v>
      </c>
      <c r="I116" s="165"/>
      <c r="J116" s="328">
        <f>H116/DAY(B2)</f>
        <v>437.38882352941096</v>
      </c>
      <c r="Q116" s="881"/>
      <c r="R116" s="883"/>
    </row>
    <row r="117" spans="1:18" ht="27.75" customHeight="1">
      <c r="A117" s="888" t="s">
        <v>184</v>
      </c>
      <c r="B117" s="889"/>
      <c r="C117" s="890"/>
      <c r="D117" s="146" t="s">
        <v>183</v>
      </c>
      <c r="E117" s="95">
        <f>'16'!F117</f>
        <v>88261</v>
      </c>
      <c r="F117" s="237">
        <v>88488</v>
      </c>
      <c r="G117" s="474">
        <f t="shared" si="9"/>
        <v>227</v>
      </c>
      <c r="H117" s="99">
        <f>G117+'16'!H117</f>
        <v>5778</v>
      </c>
      <c r="I117" s="165"/>
      <c r="J117" s="328">
        <f>H117/DAY(B2)</f>
        <v>339.88235294117646</v>
      </c>
      <c r="Q117" s="881"/>
      <c r="R117" s="883"/>
    </row>
    <row r="118" spans="1:18" ht="27.75" customHeight="1">
      <c r="A118" s="880" t="s">
        <v>97</v>
      </c>
      <c r="B118" s="880"/>
      <c r="C118" s="880"/>
      <c r="D118" s="151" t="s">
        <v>183</v>
      </c>
      <c r="E118" s="95">
        <f>'16'!F118</f>
        <v>168256</v>
      </c>
      <c r="F118" s="237">
        <v>168889</v>
      </c>
      <c r="G118" s="474">
        <f t="shared" si="9"/>
        <v>633</v>
      </c>
      <c r="H118" s="99">
        <f>G118+'16'!H118</f>
        <v>10751.850000000006</v>
      </c>
      <c r="I118" s="165"/>
      <c r="J118" s="328">
        <f>H118/DAY(B2)</f>
        <v>632.46176470588273</v>
      </c>
      <c r="Q118" s="881"/>
      <c r="R118" s="883"/>
    </row>
    <row r="119" spans="1:18" ht="27.75" customHeight="1">
      <c r="A119" s="880" t="s">
        <v>98</v>
      </c>
      <c r="B119" s="880"/>
      <c r="C119" s="880"/>
      <c r="D119" s="151" t="s">
        <v>183</v>
      </c>
      <c r="E119" s="95">
        <f>'16'!F119</f>
        <v>44519</v>
      </c>
      <c r="F119" s="237">
        <v>44551</v>
      </c>
      <c r="G119" s="474">
        <f t="shared" si="9"/>
        <v>32</v>
      </c>
      <c r="H119" s="99">
        <f>G119+'16'!H119</f>
        <v>611.82499999999709</v>
      </c>
      <c r="I119" s="165"/>
      <c r="J119" s="328">
        <f>H119/DAY(B2)</f>
        <v>35.989705882352773</v>
      </c>
    </row>
    <row r="120" spans="1:18" ht="27.75" customHeight="1">
      <c r="A120" s="880" t="s">
        <v>99</v>
      </c>
      <c r="B120" s="880"/>
      <c r="C120" s="880"/>
      <c r="D120" s="151" t="s">
        <v>183</v>
      </c>
      <c r="E120" s="95">
        <f>'16'!F120</f>
        <v>114744</v>
      </c>
      <c r="F120" s="237">
        <v>115128</v>
      </c>
      <c r="G120" s="474">
        <f t="shared" si="9"/>
        <v>384</v>
      </c>
      <c r="H120" s="99">
        <f>G120+'16'!H120</f>
        <v>6690.8600000000006</v>
      </c>
      <c r="I120" s="165"/>
      <c r="J120" s="328">
        <f>H120/DAY(B2)</f>
        <v>393.58000000000004</v>
      </c>
    </row>
    <row r="121" spans="1:18" ht="27.75" customHeight="1">
      <c r="A121" s="880" t="s">
        <v>100</v>
      </c>
      <c r="B121" s="880"/>
      <c r="C121" s="880"/>
      <c r="D121" s="151" t="s">
        <v>183</v>
      </c>
      <c r="E121" s="95">
        <f>'16'!F121</f>
        <v>128158</v>
      </c>
      <c r="F121" s="237">
        <v>128584</v>
      </c>
      <c r="G121" s="474">
        <f t="shared" si="9"/>
        <v>426</v>
      </c>
      <c r="H121" s="99">
        <f>G121+'16'!H121</f>
        <v>7361.1100000000006</v>
      </c>
      <c r="I121" s="165"/>
      <c r="J121" s="328">
        <f>H121/DAY(B2)</f>
        <v>433.00647058823535</v>
      </c>
    </row>
    <row r="122" spans="1:18" ht="27.75" customHeight="1">
      <c r="A122" s="880" t="s">
        <v>101</v>
      </c>
      <c r="B122" s="880"/>
      <c r="C122" s="880"/>
      <c r="D122" s="151" t="s">
        <v>183</v>
      </c>
      <c r="E122" s="95">
        <f>'16'!F122</f>
        <v>86247</v>
      </c>
      <c r="F122" s="237">
        <v>86552</v>
      </c>
      <c r="G122" s="474">
        <f t="shared" si="9"/>
        <v>305</v>
      </c>
      <c r="H122" s="99">
        <f>G122+'16'!H122</f>
        <v>5277.6300000000047</v>
      </c>
      <c r="I122" s="165"/>
      <c r="J122" s="328">
        <f>H122/DAY(B2)</f>
        <v>310.44882352941204</v>
      </c>
    </row>
    <row r="123" spans="1:18" ht="27.75" customHeight="1">
      <c r="A123" s="880" t="s">
        <v>102</v>
      </c>
      <c r="B123" s="880"/>
      <c r="C123" s="880"/>
      <c r="D123" s="151" t="s">
        <v>183</v>
      </c>
      <c r="E123" s="95">
        <f>'16'!F123</f>
        <v>82946</v>
      </c>
      <c r="F123" s="237">
        <v>83245</v>
      </c>
      <c r="G123" s="474">
        <f t="shared" si="9"/>
        <v>299</v>
      </c>
      <c r="H123" s="99">
        <f>G123+'16'!H123</f>
        <v>5296</v>
      </c>
      <c r="I123" s="165"/>
      <c r="J123" s="328">
        <f>H123/DAY(B2)</f>
        <v>311.52941176470586</v>
      </c>
    </row>
    <row r="124" spans="1:18" ht="27.75" customHeight="1">
      <c r="A124" s="885"/>
      <c r="B124" s="886"/>
      <c r="C124" s="887"/>
      <c r="D124" s="165"/>
      <c r="E124" s="95">
        <f>'16'!F124</f>
        <v>0</v>
      </c>
      <c r="F124" s="165"/>
      <c r="G124" s="494"/>
      <c r="H124" s="99">
        <f>G124+'16'!H124</f>
        <v>0</v>
      </c>
      <c r="I124" s="165"/>
      <c r="J124" s="327"/>
    </row>
    <row r="125" spans="1:18" ht="27.75" customHeight="1">
      <c r="A125" s="787" t="s">
        <v>196</v>
      </c>
      <c r="B125" s="788"/>
      <c r="C125" s="245"/>
      <c r="D125" s="307"/>
      <c r="E125" s="308"/>
      <c r="F125" s="308"/>
      <c r="G125" s="495">
        <f>SUM(G112:G124)</f>
        <v>3419</v>
      </c>
      <c r="H125" s="156"/>
      <c r="I125" s="327">
        <f>G125-(G39+G53)</f>
        <v>660</v>
      </c>
      <c r="J125" s="327"/>
    </row>
    <row r="126" spans="1:18" ht="27.75" customHeight="1">
      <c r="A126" s="884" t="s">
        <v>317</v>
      </c>
      <c r="B126" s="884"/>
      <c r="C126" s="884"/>
      <c r="D126" s="884"/>
      <c r="E126" s="884"/>
      <c r="F126" s="884"/>
      <c r="G126" s="884"/>
      <c r="H126" s="884"/>
      <c r="I126" s="884"/>
      <c r="J126" s="884"/>
    </row>
    <row r="127" spans="1:18" ht="27.75" customHeight="1">
      <c r="A127" s="870"/>
      <c r="B127" s="870"/>
      <c r="C127" s="245"/>
      <c r="D127" s="307"/>
      <c r="E127" s="308"/>
      <c r="F127" s="308"/>
      <c r="G127" s="495"/>
      <c r="H127" s="99">
        <f>G127+'16'!H127</f>
        <v>0</v>
      </c>
      <c r="I127" s="165"/>
      <c r="J127" s="328">
        <f>H127/DAY(B2)</f>
        <v>0</v>
      </c>
    </row>
    <row r="128" spans="1:18" ht="27.75" customHeight="1">
      <c r="A128" s="881" t="s">
        <v>318</v>
      </c>
      <c r="B128" s="882"/>
      <c r="C128" s="883"/>
      <c r="D128" s="151" t="s">
        <v>183</v>
      </c>
      <c r="E128" s="95">
        <f>'16'!F128</f>
        <v>199938</v>
      </c>
      <c r="F128" s="165">
        <v>200449</v>
      </c>
      <c r="G128" s="474">
        <f t="shared" ref="G128:G133" si="10">F128-E128</f>
        <v>511</v>
      </c>
      <c r="H128" s="99">
        <f>G128+'16'!H128</f>
        <v>8563.3699999999953</v>
      </c>
      <c r="I128" s="165"/>
      <c r="J128" s="328">
        <f>H128/DAY(B2)</f>
        <v>503.72764705882327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'16'!F129</f>
        <v>104145</v>
      </c>
      <c r="F129" s="165">
        <v>104303</v>
      </c>
      <c r="G129" s="474">
        <f t="shared" si="10"/>
        <v>158</v>
      </c>
      <c r="H129" s="99">
        <f>G129+'16'!H129</f>
        <v>3026</v>
      </c>
      <c r="I129" s="165"/>
      <c r="J129" s="328">
        <f>H129/DAY(B2)</f>
        <v>178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'16'!F130</f>
        <v>278214</v>
      </c>
      <c r="F130" s="165">
        <v>278746</v>
      </c>
      <c r="G130" s="474">
        <f t="shared" si="10"/>
        <v>532</v>
      </c>
      <c r="H130" s="99">
        <f>G130+'16'!H130</f>
        <v>9931</v>
      </c>
      <c r="I130" s="165"/>
      <c r="J130" s="328">
        <f>H130/DAY(B2)</f>
        <v>584.17647058823525</v>
      </c>
      <c r="N130" s="240"/>
      <c r="O130" s="241"/>
    </row>
    <row r="131" spans="1:15" ht="27.75" customHeight="1">
      <c r="A131" s="881" t="s">
        <v>321</v>
      </c>
      <c r="B131" s="882"/>
      <c r="C131" s="883"/>
      <c r="D131" s="151" t="s">
        <v>183</v>
      </c>
      <c r="E131" s="95">
        <f>'16'!F131</f>
        <v>82398</v>
      </c>
      <c r="F131" s="165">
        <v>82578</v>
      </c>
      <c r="G131" s="474">
        <f t="shared" si="10"/>
        <v>180</v>
      </c>
      <c r="H131" s="99">
        <f>G131+'16'!H131</f>
        <v>3027.3699999999953</v>
      </c>
      <c r="I131" s="165"/>
      <c r="J131" s="328">
        <f>H131/DAY(B2)</f>
        <v>178.08058823529385</v>
      </c>
      <c r="N131" s="240"/>
      <c r="O131" s="241"/>
    </row>
    <row r="132" spans="1:15" ht="27.75" customHeight="1">
      <c r="A132" s="881" t="s">
        <v>322</v>
      </c>
      <c r="B132" s="882"/>
      <c r="C132" s="883"/>
      <c r="D132" s="151" t="s">
        <v>183</v>
      </c>
      <c r="E132" s="95">
        <f>'16'!F132</f>
        <v>148274</v>
      </c>
      <c r="F132" s="165">
        <v>148274</v>
      </c>
      <c r="G132" s="474">
        <f t="shared" si="10"/>
        <v>0</v>
      </c>
      <c r="H132" s="99">
        <f>G132+'16'!H132</f>
        <v>0</v>
      </c>
      <c r="I132" s="165"/>
      <c r="J132" s="328">
        <f>H132/DAY(B2)</f>
        <v>0</v>
      </c>
    </row>
    <row r="133" spans="1:15" ht="27.75" customHeight="1">
      <c r="A133" s="881" t="s">
        <v>359</v>
      </c>
      <c r="B133" s="882"/>
      <c r="C133" s="883"/>
      <c r="D133" s="151" t="s">
        <v>183</v>
      </c>
      <c r="E133" s="95">
        <f>'16'!F133</f>
        <v>288548</v>
      </c>
      <c r="F133" s="165">
        <v>288548</v>
      </c>
      <c r="G133" s="474">
        <f t="shared" si="10"/>
        <v>0</v>
      </c>
      <c r="H133" s="99">
        <f>G133+'16'!H133</f>
        <v>-644500</v>
      </c>
      <c r="I133" s="165"/>
      <c r="J133" s="328">
        <f>H133/DAY(B2)</f>
        <v>-37911.76470588235</v>
      </c>
    </row>
    <row r="134" spans="1:15" ht="27.75" customHeight="1">
      <c r="A134" s="881" t="s">
        <v>340</v>
      </c>
      <c r="B134" s="882"/>
      <c r="C134" s="883"/>
      <c r="D134" s="151" t="s">
        <v>183</v>
      </c>
      <c r="E134" s="95">
        <f>'16'!F134</f>
        <v>90180</v>
      </c>
      <c r="F134" s="165">
        <v>90443</v>
      </c>
      <c r="G134" s="474">
        <f>F134-E134</f>
        <v>263</v>
      </c>
      <c r="H134" s="99">
        <f>G134+'16'!H134</f>
        <v>4491</v>
      </c>
      <c r="I134" s="165"/>
      <c r="J134" s="328">
        <f>H134/DAY(B2)</f>
        <v>264.1764705882353</v>
      </c>
    </row>
    <row r="135" spans="1:15" ht="27.75" customHeight="1">
      <c r="A135" s="787" t="s">
        <v>196</v>
      </c>
      <c r="B135" s="788"/>
      <c r="C135" s="331"/>
      <c r="D135" s="151"/>
      <c r="E135" s="95"/>
      <c r="F135" s="165"/>
      <c r="G135" s="474">
        <f>SUM(G128:G134)</f>
        <v>1644</v>
      </c>
      <c r="H135" s="99">
        <f>G135+'10'!H135</f>
        <v>-626476.84499999997</v>
      </c>
      <c r="I135" s="327">
        <f>G135-(G35+G49)</f>
        <v>-1349</v>
      </c>
      <c r="J135" s="328"/>
    </row>
    <row r="136" spans="1:15" ht="27.75" customHeight="1">
      <c r="A136" s="869" t="s">
        <v>325</v>
      </c>
      <c r="B136" s="869"/>
      <c r="C136" s="869"/>
      <c r="D136" s="869"/>
      <c r="E136" s="869"/>
      <c r="F136" s="869"/>
      <c r="G136" s="869"/>
      <c r="H136" s="869"/>
      <c r="I136" s="869"/>
      <c r="J136" s="869"/>
    </row>
    <row r="137" spans="1:15" ht="27.75" customHeight="1">
      <c r="A137" s="245"/>
      <c r="B137" s="246"/>
      <c r="C137" s="246"/>
      <c r="D137" s="165"/>
      <c r="E137" s="165"/>
      <c r="F137" s="165"/>
      <c r="G137" s="494"/>
      <c r="H137" s="156"/>
      <c r="I137" s="165"/>
      <c r="J137" s="327"/>
    </row>
    <row r="138" spans="1:15" ht="27.75" customHeight="1">
      <c r="A138" s="959" t="s">
        <v>185</v>
      </c>
      <c r="B138" s="959"/>
      <c r="C138" s="959"/>
      <c r="D138" s="233" t="s">
        <v>183</v>
      </c>
      <c r="E138" s="405">
        <v>911270</v>
      </c>
      <c r="F138" s="148">
        <v>911376</v>
      </c>
      <c r="G138" s="548">
        <f t="shared" ref="G138:G152" si="11">F138-E138</f>
        <v>106</v>
      </c>
      <c r="H138" s="238">
        <f>G138+'16'!H138</f>
        <v>1936</v>
      </c>
      <c r="I138" s="406"/>
      <c r="J138" s="407">
        <f>H138/DAY(B2)</f>
        <v>113.88235294117646</v>
      </c>
    </row>
    <row r="139" spans="1:15" ht="27.75" customHeight="1">
      <c r="A139" s="959" t="s">
        <v>186</v>
      </c>
      <c r="B139" s="959"/>
      <c r="C139" s="959"/>
      <c r="D139" s="233" t="s">
        <v>183</v>
      </c>
      <c r="E139" s="405">
        <f>'16'!F139</f>
        <v>934880</v>
      </c>
      <c r="F139" s="148">
        <v>935039</v>
      </c>
      <c r="G139" s="548">
        <f t="shared" si="11"/>
        <v>159</v>
      </c>
      <c r="H139" s="238">
        <f>G139+'16'!H139</f>
        <v>2679</v>
      </c>
      <c r="I139" s="406"/>
      <c r="J139" s="407">
        <f>H139/DAY(B2)</f>
        <v>157.58823529411765</v>
      </c>
    </row>
    <row r="140" spans="1:15" ht="27.75" customHeight="1">
      <c r="A140" s="959" t="s">
        <v>187</v>
      </c>
      <c r="B140" s="959"/>
      <c r="C140" s="959"/>
      <c r="D140" s="233" t="s">
        <v>183</v>
      </c>
      <c r="E140" s="405">
        <f>'16'!F140</f>
        <v>4406</v>
      </c>
      <c r="F140" s="148">
        <v>4435</v>
      </c>
      <c r="G140" s="548">
        <f t="shared" si="11"/>
        <v>29</v>
      </c>
      <c r="H140" s="238">
        <f>G140+'16'!H140</f>
        <v>401.48900000000003</v>
      </c>
      <c r="I140" s="406"/>
      <c r="J140" s="407">
        <f>H140/DAY(B2)</f>
        <v>23.617000000000001</v>
      </c>
    </row>
    <row r="141" spans="1:15" ht="27.75" customHeight="1">
      <c r="A141" s="960" t="s">
        <v>188</v>
      </c>
      <c r="B141" s="960"/>
      <c r="C141" s="960"/>
      <c r="D141" s="233" t="s">
        <v>183</v>
      </c>
      <c r="E141" s="405">
        <f>'16'!F141</f>
        <v>127807</v>
      </c>
      <c r="F141" s="148">
        <v>128032</v>
      </c>
      <c r="G141" s="548">
        <f t="shared" si="11"/>
        <v>225</v>
      </c>
      <c r="H141" s="238">
        <f>G141+'16'!H141</f>
        <v>3434</v>
      </c>
      <c r="I141" s="406"/>
      <c r="J141" s="407">
        <f>H141/DAY(B2)</f>
        <v>202</v>
      </c>
    </row>
    <row r="142" spans="1:15" ht="27.75" customHeight="1">
      <c r="A142" s="960" t="s">
        <v>189</v>
      </c>
      <c r="B142" s="960"/>
      <c r="C142" s="960"/>
      <c r="D142" s="233" t="s">
        <v>183</v>
      </c>
      <c r="E142" s="405">
        <f>'16'!F142</f>
        <v>51996</v>
      </c>
      <c r="F142" s="148">
        <v>52083</v>
      </c>
      <c r="G142" s="548">
        <f t="shared" si="11"/>
        <v>87</v>
      </c>
      <c r="H142" s="238">
        <f>G142+'16'!H142</f>
        <v>1517.4499999999971</v>
      </c>
      <c r="I142" s="536"/>
      <c r="J142" s="407">
        <f>H142/DAY(B2)</f>
        <v>89.261764705882186</v>
      </c>
    </row>
    <row r="143" spans="1:15" ht="27.75" customHeight="1">
      <c r="A143" s="959" t="s">
        <v>91</v>
      </c>
      <c r="B143" s="959"/>
      <c r="C143" s="959"/>
      <c r="D143" s="233" t="s">
        <v>183</v>
      </c>
      <c r="E143" s="405">
        <f>'16'!F143</f>
        <v>13876</v>
      </c>
      <c r="F143" s="148">
        <v>13901</v>
      </c>
      <c r="G143" s="548">
        <f t="shared" si="11"/>
        <v>25</v>
      </c>
      <c r="H143" s="238">
        <f>G143+'16'!H143</f>
        <v>514</v>
      </c>
      <c r="I143" s="536"/>
      <c r="J143" s="407">
        <f>H143/DAY(B2)</f>
        <v>30.235294117647058</v>
      </c>
    </row>
    <row r="144" spans="1:15" ht="27.75" customHeight="1">
      <c r="A144" s="960" t="s">
        <v>90</v>
      </c>
      <c r="B144" s="960"/>
      <c r="C144" s="960"/>
      <c r="D144" s="233" t="s">
        <v>183</v>
      </c>
      <c r="E144" s="405">
        <f>'16'!F144</f>
        <v>959323</v>
      </c>
      <c r="F144" s="148">
        <v>959577</v>
      </c>
      <c r="G144" s="548">
        <f t="shared" si="11"/>
        <v>254</v>
      </c>
      <c r="H144" s="238">
        <f>G144+'16'!H144</f>
        <v>4107</v>
      </c>
      <c r="I144" s="536"/>
      <c r="J144" s="407">
        <f>H144/DAY(B2)</f>
        <v>241.58823529411765</v>
      </c>
    </row>
    <row r="145" spans="1:10" ht="27.75" customHeight="1">
      <c r="A145" s="959" t="s">
        <v>190</v>
      </c>
      <c r="B145" s="959"/>
      <c r="C145" s="959"/>
      <c r="D145" s="233" t="s">
        <v>183</v>
      </c>
      <c r="E145" s="405">
        <f>'16'!F145</f>
        <v>747834</v>
      </c>
      <c r="F145" s="148">
        <v>748004</v>
      </c>
      <c r="G145" s="548">
        <f t="shared" si="11"/>
        <v>170</v>
      </c>
      <c r="H145" s="238">
        <f>G145+'16'!H145</f>
        <v>2823</v>
      </c>
      <c r="I145" s="536"/>
      <c r="J145" s="407">
        <f>H145/DAY(B2)</f>
        <v>166.05882352941177</v>
      </c>
    </row>
    <row r="146" spans="1:10" ht="27.75" customHeight="1">
      <c r="A146" s="964" t="s">
        <v>191</v>
      </c>
      <c r="B146" s="965"/>
      <c r="C146" s="966"/>
      <c r="D146" s="233" t="s">
        <v>183</v>
      </c>
      <c r="E146" s="405">
        <f>'16'!F146</f>
        <v>788455</v>
      </c>
      <c r="F146" s="148">
        <v>788481</v>
      </c>
      <c r="G146" s="548">
        <f t="shared" si="11"/>
        <v>26</v>
      </c>
      <c r="H146" s="238">
        <f>G146+'16'!H146</f>
        <v>623</v>
      </c>
      <c r="I146" s="536"/>
      <c r="J146" s="407">
        <f>H146/DAY(B2)</f>
        <v>36.647058823529413</v>
      </c>
    </row>
    <row r="147" spans="1:10" ht="27.75" customHeight="1">
      <c r="A147" s="960" t="s">
        <v>192</v>
      </c>
      <c r="B147" s="960"/>
      <c r="C147" s="960"/>
      <c r="D147" s="233" t="s">
        <v>183</v>
      </c>
      <c r="E147" s="405">
        <f>'16'!F147</f>
        <v>766139</v>
      </c>
      <c r="F147" s="148">
        <v>766474</v>
      </c>
      <c r="G147" s="548">
        <f t="shared" si="11"/>
        <v>335</v>
      </c>
      <c r="H147" s="238">
        <f>G147+'16'!H147</f>
        <v>6336</v>
      </c>
      <c r="I147" s="536"/>
      <c r="J147" s="407">
        <f>H147/DAY(B2)</f>
        <v>372.70588235294116</v>
      </c>
    </row>
    <row r="148" spans="1:10" ht="27.75" customHeight="1">
      <c r="A148" s="961" t="s">
        <v>193</v>
      </c>
      <c r="B148" s="962"/>
      <c r="C148" s="963"/>
      <c r="D148" s="409" t="s">
        <v>130</v>
      </c>
      <c r="E148" s="405">
        <f>'16'!F148</f>
        <v>801510</v>
      </c>
      <c r="F148" s="164">
        <v>801774</v>
      </c>
      <c r="G148" s="548">
        <f t="shared" si="11"/>
        <v>264</v>
      </c>
      <c r="H148" s="238">
        <f>G148+'16'!H148</f>
        <v>5361.9200000000419</v>
      </c>
      <c r="I148" s="238"/>
      <c r="J148" s="407">
        <f>H148/DAY(B2)</f>
        <v>315.40705882353188</v>
      </c>
    </row>
    <row r="149" spans="1:10" ht="27.75" customHeight="1">
      <c r="A149" s="961" t="s">
        <v>336</v>
      </c>
      <c r="B149" s="962"/>
      <c r="C149" s="963"/>
      <c r="D149" s="415" t="s">
        <v>130</v>
      </c>
      <c r="E149" s="405">
        <f>'16'!F149</f>
        <v>208559</v>
      </c>
      <c r="F149" s="415">
        <v>208988</v>
      </c>
      <c r="G149" s="548">
        <f t="shared" si="11"/>
        <v>429</v>
      </c>
      <c r="H149" s="238">
        <f>G149+'16'!H149</f>
        <v>7696.7300000000105</v>
      </c>
      <c r="I149" s="236"/>
      <c r="J149" s="407">
        <f>H149/DAY(B2)</f>
        <v>452.74882352941239</v>
      </c>
    </row>
    <row r="150" spans="1:10" ht="27.75" customHeight="1">
      <c r="A150" s="961" t="s">
        <v>337</v>
      </c>
      <c r="B150" s="962"/>
      <c r="C150" s="963"/>
      <c r="D150" s="409" t="s">
        <v>130</v>
      </c>
      <c r="E150" s="405">
        <f>'16'!F150</f>
        <v>88761</v>
      </c>
      <c r="F150" s="233">
        <v>88999</v>
      </c>
      <c r="G150" s="548">
        <f t="shared" si="11"/>
        <v>238</v>
      </c>
      <c r="H150" s="238">
        <f>G150+'16'!H150</f>
        <v>6412</v>
      </c>
      <c r="I150" s="236"/>
      <c r="J150" s="407">
        <f>H150/DAY(B2)</f>
        <v>377.1764705882353</v>
      </c>
    </row>
    <row r="151" spans="1:10" ht="27.75" customHeight="1">
      <c r="A151" s="961" t="s">
        <v>338</v>
      </c>
      <c r="B151" s="962"/>
      <c r="C151" s="963"/>
      <c r="D151" s="409" t="s">
        <v>130</v>
      </c>
      <c r="E151" s="405">
        <f>'16'!F151</f>
        <v>171591</v>
      </c>
      <c r="F151" s="233">
        <v>171874</v>
      </c>
      <c r="G151" s="548">
        <f t="shared" si="11"/>
        <v>283</v>
      </c>
      <c r="H151" s="238">
        <f>G151+'16'!H151</f>
        <v>5144</v>
      </c>
      <c r="I151" s="236"/>
      <c r="J151" s="407">
        <f>H151/DAY(B2)</f>
        <v>302.58823529411762</v>
      </c>
    </row>
    <row r="152" spans="1:10" ht="27.75" customHeight="1">
      <c r="A152" s="961" t="s">
        <v>339</v>
      </c>
      <c r="B152" s="962"/>
      <c r="C152" s="963"/>
      <c r="D152" s="409" t="s">
        <v>130</v>
      </c>
      <c r="E152" s="405">
        <f>'16'!F152</f>
        <v>44624</v>
      </c>
      <c r="F152" s="233">
        <v>44755</v>
      </c>
      <c r="G152" s="548">
        <f t="shared" si="11"/>
        <v>131</v>
      </c>
      <c r="H152" s="238">
        <f>G152+'16'!H152</f>
        <v>2244</v>
      </c>
      <c r="I152" s="236"/>
      <c r="J152" s="407">
        <f>H152/DAY(B2)</f>
        <v>132</v>
      </c>
    </row>
    <row r="153" spans="1:10" ht="27.75" customHeight="1">
      <c r="A153" s="968" t="s">
        <v>196</v>
      </c>
      <c r="B153" s="969"/>
      <c r="C153" s="537"/>
      <c r="D153" s="538"/>
      <c r="E153" s="539"/>
      <c r="F153" s="361"/>
      <c r="G153" s="549">
        <f>SUM(G138:G152)</f>
        <v>2761</v>
      </c>
      <c r="H153" s="540"/>
      <c r="I153" s="236">
        <f>G153-(G38+G52)</f>
        <v>330</v>
      </c>
      <c r="J153" s="541"/>
    </row>
    <row r="154" spans="1:10" ht="27.75" customHeight="1">
      <c r="A154" s="967" t="s">
        <v>344</v>
      </c>
      <c r="B154" s="967"/>
      <c r="C154" s="967"/>
      <c r="D154" s="967"/>
      <c r="E154" s="967"/>
      <c r="F154" s="967"/>
      <c r="G154" s="967"/>
      <c r="H154" s="967"/>
      <c r="I154" s="967"/>
      <c r="J154" s="967"/>
    </row>
    <row r="155" spans="1:10" ht="27.75" customHeight="1">
      <c r="A155" s="960" t="s">
        <v>345</v>
      </c>
      <c r="B155" s="960"/>
      <c r="C155" s="960"/>
      <c r="D155" s="409" t="s">
        <v>130</v>
      </c>
      <c r="E155" s="405">
        <f>'16'!F155</f>
        <v>248082</v>
      </c>
      <c r="F155" s="557">
        <v>248623</v>
      </c>
      <c r="G155" s="548">
        <f t="shared" ref="G155:G156" si="12">F155-E155</f>
        <v>541</v>
      </c>
      <c r="H155" s="238">
        <f>G155+'16'!H155</f>
        <v>9589</v>
      </c>
      <c r="I155" s="542"/>
      <c r="J155" s="407">
        <f>H155/DAY(B2)</f>
        <v>564.05882352941171</v>
      </c>
    </row>
    <row r="156" spans="1:10" ht="27.75" customHeight="1">
      <c r="A156" s="960" t="s">
        <v>347</v>
      </c>
      <c r="B156" s="960"/>
      <c r="C156" s="960"/>
      <c r="D156" s="409" t="s">
        <v>130</v>
      </c>
      <c r="E156" s="405">
        <f>'16'!F156</f>
        <v>31107</v>
      </c>
      <c r="F156" s="558">
        <v>31203</v>
      </c>
      <c r="G156" s="548">
        <f t="shared" si="12"/>
        <v>96</v>
      </c>
      <c r="H156" s="238">
        <f>G156+'16'!H156</f>
        <v>1523.5</v>
      </c>
      <c r="I156" s="158"/>
      <c r="J156" s="407">
        <f>H156/DAY(B2)</f>
        <v>89.617647058823536</v>
      </c>
    </row>
    <row r="157" spans="1:10" ht="27.75" customHeight="1">
      <c r="A157" s="961" t="s">
        <v>360</v>
      </c>
      <c r="B157" s="962"/>
      <c r="C157" s="963"/>
      <c r="D157" s="409" t="s">
        <v>130</v>
      </c>
      <c r="E157" s="405">
        <f>'16'!F157</f>
        <v>37559</v>
      </c>
      <c r="F157" s="157">
        <v>37559</v>
      </c>
      <c r="G157" s="548">
        <f>F157-E157</f>
        <v>0</v>
      </c>
      <c r="H157" s="238">
        <f>G157+'16'!H157</f>
        <v>0</v>
      </c>
      <c r="I157" s="158"/>
      <c r="J157" s="407">
        <f>H157/DAY(B2)</f>
        <v>0</v>
      </c>
    </row>
    <row r="158" spans="1:10" ht="27.75" customHeight="1">
      <c r="A158" s="961" t="s">
        <v>361</v>
      </c>
      <c r="B158" s="962"/>
      <c r="C158" s="963"/>
      <c r="D158" s="409" t="s">
        <v>130</v>
      </c>
      <c r="E158" s="405">
        <f>'16'!F158</f>
        <v>1770</v>
      </c>
      <c r="F158" s="158">
        <v>1770</v>
      </c>
      <c r="G158" s="548">
        <f>F158-E158</f>
        <v>0</v>
      </c>
      <c r="H158" s="238">
        <f>G158+'16'!H158</f>
        <v>12</v>
      </c>
      <c r="I158" s="158"/>
      <c r="J158" s="407">
        <f>H158/DAY(B2)</f>
        <v>0.70588235294117652</v>
      </c>
    </row>
    <row r="159" spans="1:10" ht="27.75" customHeight="1">
      <c r="A159" s="970"/>
      <c r="B159" s="971"/>
      <c r="C159" s="972"/>
      <c r="D159" s="409"/>
      <c r="E159" s="405"/>
      <c r="F159" s="158"/>
      <c r="G159" s="548"/>
      <c r="H159" s="238"/>
      <c r="I159" s="158"/>
      <c r="J159" s="407"/>
    </row>
    <row r="160" spans="1:10" ht="27.75" customHeight="1">
      <c r="A160" s="967" t="s">
        <v>326</v>
      </c>
      <c r="B160" s="967"/>
      <c r="C160" s="967"/>
      <c r="D160" s="967"/>
      <c r="E160" s="967"/>
      <c r="F160" s="967"/>
      <c r="G160" s="967"/>
      <c r="H160" s="967"/>
      <c r="I160" s="967"/>
      <c r="J160" s="967"/>
    </row>
    <row r="161" spans="1:10" ht="27.75" customHeight="1">
      <c r="A161" s="242" t="s">
        <v>92</v>
      </c>
      <c r="B161" s="243"/>
      <c r="C161" s="243"/>
      <c r="D161" s="244" t="s">
        <v>180</v>
      </c>
      <c r="E161" s="405">
        <f>'16'!F161</f>
        <v>510881</v>
      </c>
      <c r="F161" s="235">
        <v>511040</v>
      </c>
      <c r="G161" s="497">
        <f t="shared" ref="G161:G165" si="13">F161-E161</f>
        <v>159</v>
      </c>
      <c r="H161" s="238">
        <f>G161+'16'!H161</f>
        <v>2656.679999999993</v>
      </c>
      <c r="I161" s="236"/>
      <c r="J161" s="239">
        <f>H161/DAY(B2)</f>
        <v>156.27529411764664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95">
        <f>'16'!F162</f>
        <v>1291</v>
      </c>
      <c r="F162" s="235">
        <v>1323</v>
      </c>
      <c r="G162" s="497">
        <f t="shared" si="13"/>
        <v>32</v>
      </c>
      <c r="H162" s="99">
        <f>G162+'16'!H162</f>
        <v>586.4</v>
      </c>
      <c r="I162" s="236"/>
      <c r="J162" s="239">
        <f>H162/DAY(B2)</f>
        <v>34.494117647058822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95">
        <f>'16'!F163</f>
        <v>0</v>
      </c>
      <c r="F163" s="235">
        <v>0</v>
      </c>
      <c r="G163" s="497">
        <f t="shared" si="13"/>
        <v>0</v>
      </c>
      <c r="H163" s="99">
        <f>G163+'16'!H163</f>
        <v>0</v>
      </c>
      <c r="I163" s="236"/>
      <c r="J163" s="239">
        <f>H163/DAY(B2)</f>
        <v>0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95">
        <f>'16'!F164</f>
        <v>7276</v>
      </c>
      <c r="F164" s="235">
        <v>7286</v>
      </c>
      <c r="G164" s="497">
        <f t="shared" si="13"/>
        <v>10</v>
      </c>
      <c r="H164" s="99">
        <f>G164+'16'!H164</f>
        <v>87</v>
      </c>
      <c r="I164" s="236"/>
      <c r="J164" s="239">
        <f>H164/DAY(B2)</f>
        <v>5.117647058823529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95">
        <f>'16'!F165</f>
        <v>32879</v>
      </c>
      <c r="F165" s="235">
        <v>32885</v>
      </c>
      <c r="G165" s="497">
        <f t="shared" si="13"/>
        <v>6</v>
      </c>
      <c r="H165" s="99">
        <f>G165+'16'!H165</f>
        <v>104.91199999999662</v>
      </c>
      <c r="I165" s="236"/>
      <c r="J165" s="239">
        <f>H165/DAY(B2)</f>
        <v>6.1712941176468599</v>
      </c>
    </row>
    <row r="166" spans="1:10" ht="27.75" customHeight="1">
      <c r="A166" s="870"/>
      <c r="B166" s="870"/>
      <c r="C166" s="246"/>
      <c r="D166" s="244"/>
      <c r="E166" s="95"/>
      <c r="F166" s="165"/>
      <c r="G166" s="494"/>
      <c r="H166" s="99"/>
      <c r="I166" s="165"/>
      <c r="J166" s="239"/>
    </row>
    <row r="167" spans="1:10" ht="27.75" customHeight="1">
      <c r="A167" s="870"/>
      <c r="B167" s="870"/>
      <c r="C167" s="246"/>
      <c r="D167" s="244"/>
      <c r="E167" s="95"/>
      <c r="F167" s="165"/>
      <c r="G167" s="494"/>
      <c r="H167" s="99"/>
      <c r="I167" s="165"/>
      <c r="J167" s="239"/>
    </row>
    <row r="168" spans="1:10" ht="27.75" customHeight="1">
      <c r="A168" s="870"/>
      <c r="B168" s="870"/>
      <c r="C168" s="246"/>
      <c r="D168" s="244"/>
      <c r="E168" s="95"/>
      <c r="F168" s="165"/>
      <c r="G168" s="494"/>
      <c r="H168" s="99"/>
      <c r="I168" s="165"/>
      <c r="J168" s="239"/>
    </row>
    <row r="171" spans="1:10" ht="27.75" customHeight="1">
      <c r="A171" s="871" t="s">
        <v>330</v>
      </c>
      <c r="B171" s="872"/>
      <c r="C171" s="872"/>
      <c r="D171" s="872"/>
      <c r="E171" s="872"/>
      <c r="F171" s="872"/>
      <c r="G171" s="872"/>
      <c r="H171" s="872"/>
      <c r="I171" s="872"/>
      <c r="J171" s="873"/>
    </row>
    <row r="172" spans="1:10" ht="27.75" customHeight="1">
      <c r="A172" s="878"/>
      <c r="B172" s="879"/>
      <c r="C172" s="332"/>
      <c r="D172" s="228"/>
      <c r="E172" s="155"/>
      <c r="F172" s="155"/>
      <c r="G172" s="498"/>
      <c r="H172" s="156"/>
      <c r="I172" s="155"/>
      <c r="J172" s="178"/>
    </row>
    <row r="173" spans="1:10" ht="27.75" customHeight="1">
      <c r="A173" s="789" t="s">
        <v>209</v>
      </c>
      <c r="B173" s="790"/>
      <c r="C173" s="333"/>
      <c r="D173" s="228" t="s">
        <v>142</v>
      </c>
      <c r="E173" s="95">
        <f>'16'!F173</f>
        <v>8601</v>
      </c>
      <c r="F173" s="157">
        <v>8601</v>
      </c>
      <c r="G173" s="498">
        <f>F173-E173</f>
        <v>0</v>
      </c>
      <c r="H173" s="99">
        <f>G173+'16'!H173</f>
        <v>19</v>
      </c>
      <c r="I173" s="155"/>
      <c r="J173" s="178">
        <f>H173/DAY(B2)</f>
        <v>1.1176470588235294</v>
      </c>
    </row>
    <row r="174" spans="1:10" ht="27.75" customHeight="1">
      <c r="A174" s="789" t="s">
        <v>75</v>
      </c>
      <c r="B174" s="790"/>
      <c r="C174" s="333"/>
      <c r="D174" s="228" t="s">
        <v>142</v>
      </c>
      <c r="E174" s="95">
        <f>'16'!F174</f>
        <v>43240</v>
      </c>
      <c r="F174" s="157">
        <v>43250</v>
      </c>
      <c r="G174" s="498">
        <f t="shared" ref="G174:G175" si="14">F174-E174</f>
        <v>10</v>
      </c>
      <c r="H174" s="99">
        <f>G174+'16'!H174</f>
        <v>200</v>
      </c>
      <c r="I174" s="155"/>
      <c r="J174" s="178">
        <f>H174/DAY(B2)</f>
        <v>11.764705882352942</v>
      </c>
    </row>
    <row r="175" spans="1:10" ht="27.75" customHeight="1">
      <c r="A175" s="789" t="s">
        <v>76</v>
      </c>
      <c r="B175" s="802"/>
      <c r="C175" s="790"/>
      <c r="D175" s="228" t="s">
        <v>142</v>
      </c>
      <c r="E175" s="95">
        <f>'16'!F175</f>
        <v>26053</v>
      </c>
      <c r="F175" s="155">
        <v>26068</v>
      </c>
      <c r="G175" s="498">
        <f t="shared" si="14"/>
        <v>15</v>
      </c>
      <c r="H175" s="99">
        <f>G175+'16'!H175</f>
        <v>247</v>
      </c>
      <c r="I175" s="155"/>
      <c r="J175" s="178">
        <f>H175/DAY(B2)</f>
        <v>14.529411764705882</v>
      </c>
    </row>
    <row r="176" spans="1:10" ht="27.75" customHeight="1">
      <c r="A176" s="787" t="s">
        <v>196</v>
      </c>
      <c r="B176" s="788"/>
      <c r="C176" s="333"/>
      <c r="D176" s="228" t="s">
        <v>142</v>
      </c>
      <c r="E176" s="95"/>
      <c r="F176" s="155"/>
      <c r="G176" s="498">
        <f>SUM(G173:G175)</f>
        <v>25</v>
      </c>
      <c r="H176" s="99">
        <f>G176+'16'!H176</f>
        <v>466</v>
      </c>
      <c r="I176" s="155"/>
      <c r="J176" s="178">
        <f>H176/DAY(B2)</f>
        <v>27.411764705882351</v>
      </c>
    </row>
    <row r="177" spans="1:11" ht="27.75" customHeight="1">
      <c r="A177" s="789" t="s">
        <v>77</v>
      </c>
      <c r="B177" s="790"/>
      <c r="C177" s="333"/>
      <c r="D177" s="228" t="s">
        <v>142</v>
      </c>
      <c r="E177" s="95"/>
      <c r="F177" s="155"/>
      <c r="G177" s="498"/>
      <c r="H177" s="99">
        <f>G177+'16'!H177</f>
        <v>0</v>
      </c>
      <c r="I177" s="155"/>
      <c r="J177" s="178">
        <f>H177/DAY(B2)</f>
        <v>0</v>
      </c>
    </row>
    <row r="178" spans="1:11" ht="27.75" customHeight="1">
      <c r="A178" s="789" t="s">
        <v>210</v>
      </c>
      <c r="B178" s="790"/>
      <c r="C178" s="333"/>
      <c r="D178" s="228" t="s">
        <v>142</v>
      </c>
      <c r="E178" s="95">
        <f>'16'!F178</f>
        <v>108822</v>
      </c>
      <c r="F178" s="155">
        <v>108927</v>
      </c>
      <c r="G178" s="498">
        <f>F178-E178</f>
        <v>105</v>
      </c>
      <c r="H178" s="99">
        <f>G178+'16'!H178</f>
        <v>1928</v>
      </c>
      <c r="I178" s="155"/>
      <c r="J178" s="178">
        <f>H178/DAY(B2)</f>
        <v>113.41176470588235</v>
      </c>
    </row>
    <row r="179" spans="1:11" ht="27.75" customHeight="1">
      <c r="A179" s="789" t="s">
        <v>211</v>
      </c>
      <c r="B179" s="790"/>
      <c r="C179" s="333"/>
      <c r="D179" s="228" t="s">
        <v>142</v>
      </c>
      <c r="E179" s="95">
        <f>'16'!F179</f>
        <v>37501</v>
      </c>
      <c r="F179" s="155">
        <v>37501</v>
      </c>
      <c r="G179" s="498">
        <f t="shared" ref="G179:G180" si="15">F179-E179</f>
        <v>0</v>
      </c>
      <c r="H179" s="99">
        <f>G179+'16'!H179</f>
        <v>0</v>
      </c>
      <c r="I179" s="155"/>
      <c r="J179" s="178">
        <f>H179/DAY(B2)</f>
        <v>0</v>
      </c>
    </row>
    <row r="180" spans="1:11" ht="27.75" customHeight="1">
      <c r="A180" s="789" t="s">
        <v>212</v>
      </c>
      <c r="B180" s="790"/>
      <c r="C180" s="333"/>
      <c r="D180" s="228" t="s">
        <v>142</v>
      </c>
      <c r="E180" s="95">
        <f>'16'!F180</f>
        <v>7640</v>
      </c>
      <c r="F180" s="155">
        <v>7640</v>
      </c>
      <c r="G180" s="498">
        <f t="shared" si="15"/>
        <v>0</v>
      </c>
      <c r="H180" s="99">
        <f>G180+'16'!H180</f>
        <v>77</v>
      </c>
      <c r="I180" s="155"/>
      <c r="J180" s="178">
        <f>H180/DAY(B2)</f>
        <v>4.5294117647058822</v>
      </c>
    </row>
    <row r="181" spans="1:11" ht="27.75" customHeight="1">
      <c r="A181" s="876" t="s">
        <v>108</v>
      </c>
      <c r="B181" s="877"/>
      <c r="C181" s="333"/>
      <c r="D181" s="228" t="s">
        <v>142</v>
      </c>
      <c r="E181" s="95"/>
      <c r="F181" s="155"/>
      <c r="G181" s="498">
        <f>SUM(G178:G180)</f>
        <v>105</v>
      </c>
      <c r="H181" s="99">
        <f>G181+'16'!H181</f>
        <v>2005</v>
      </c>
      <c r="I181" s="155"/>
      <c r="J181" s="178">
        <f>H181/DAY(B2)</f>
        <v>117.94117647058823</v>
      </c>
    </row>
    <row r="182" spans="1:11" ht="27.75" customHeight="1">
      <c r="A182" s="789" t="s">
        <v>213</v>
      </c>
      <c r="B182" s="790"/>
      <c r="C182" s="333"/>
      <c r="D182" s="228" t="s">
        <v>142</v>
      </c>
      <c r="E182" s="95"/>
      <c r="F182" s="155"/>
      <c r="G182" s="498"/>
      <c r="H182" s="99">
        <f>G182+'16'!H182</f>
        <v>0</v>
      </c>
      <c r="I182" s="155"/>
      <c r="J182" s="178">
        <f>H182/DAY(B2)</f>
        <v>0</v>
      </c>
    </row>
    <row r="183" spans="1:11" ht="27.75" customHeight="1">
      <c r="A183" s="789" t="s">
        <v>214</v>
      </c>
      <c r="B183" s="790"/>
      <c r="C183" s="334"/>
      <c r="D183" s="228" t="s">
        <v>142</v>
      </c>
      <c r="E183" s="95">
        <f>'16'!F183</f>
        <v>18472</v>
      </c>
      <c r="F183" s="157">
        <v>18475</v>
      </c>
      <c r="G183" s="499">
        <f>F183-E183</f>
        <v>3</v>
      </c>
      <c r="H183" s="99">
        <f>G183+'16'!H183</f>
        <v>97</v>
      </c>
      <c r="I183" s="155"/>
      <c r="J183" s="178">
        <f>H183/DAY(B2)</f>
        <v>5.7058823529411766</v>
      </c>
    </row>
    <row r="184" spans="1:11" ht="27.75" customHeight="1">
      <c r="A184" s="789" t="s">
        <v>215</v>
      </c>
      <c r="B184" s="790"/>
      <c r="C184" s="334"/>
      <c r="D184" s="228" t="s">
        <v>142</v>
      </c>
      <c r="E184" s="95">
        <f>'16'!F184</f>
        <v>13135</v>
      </c>
      <c r="F184" s="157">
        <v>13140</v>
      </c>
      <c r="G184" s="499">
        <f t="shared" ref="G184:G185" si="16">F184-E184</f>
        <v>5</v>
      </c>
      <c r="H184" s="99">
        <f>G184+'16'!H184</f>
        <v>160</v>
      </c>
      <c r="I184" s="155"/>
      <c r="J184" s="178">
        <f>H184/DAY(B2)</f>
        <v>9.4117647058823533</v>
      </c>
    </row>
    <row r="185" spans="1:11" ht="27.75" customHeight="1">
      <c r="A185" s="789" t="s">
        <v>216</v>
      </c>
      <c r="B185" s="790"/>
      <c r="C185" s="334"/>
      <c r="D185" s="228" t="s">
        <v>142</v>
      </c>
      <c r="E185" s="95">
        <f>'16'!F185</f>
        <v>0</v>
      </c>
      <c r="F185" s="157"/>
      <c r="G185" s="499">
        <f t="shared" si="16"/>
        <v>0</v>
      </c>
      <c r="H185" s="99">
        <f>G185+'16'!H185</f>
        <v>0</v>
      </c>
      <c r="I185" s="155"/>
      <c r="J185" s="178">
        <f>H185/DAY(B2)</f>
        <v>0</v>
      </c>
    </row>
    <row r="186" spans="1:11" ht="27.75" customHeight="1">
      <c r="A186" s="787" t="s">
        <v>196</v>
      </c>
      <c r="B186" s="788"/>
      <c r="C186" s="334"/>
      <c r="D186" s="228" t="s">
        <v>142</v>
      </c>
      <c r="E186" s="95"/>
      <c r="F186" s="157"/>
      <c r="G186" s="499">
        <f>SUM(G183:G185)</f>
        <v>8</v>
      </c>
      <c r="H186" s="99">
        <f>G186+'16'!H186</f>
        <v>257</v>
      </c>
      <c r="I186" s="157"/>
      <c r="J186" s="178">
        <f>H186/DAY(B2)</f>
        <v>15.117647058823529</v>
      </c>
    </row>
    <row r="187" spans="1:11" ht="27.75" customHeight="1">
      <c r="A187" s="867" t="s">
        <v>217</v>
      </c>
      <c r="B187" s="868"/>
      <c r="C187" s="333"/>
      <c r="D187" s="228" t="s">
        <v>142</v>
      </c>
      <c r="E187" s="95"/>
      <c r="F187" s="159"/>
      <c r="G187" s="500">
        <f>G62+G19</f>
        <v>151</v>
      </c>
      <c r="H187" s="99">
        <f>G187+'16'!H187</f>
        <v>2575</v>
      </c>
      <c r="I187" s="158"/>
      <c r="J187" s="179">
        <f>H187/DAY(B2)</f>
        <v>151.47058823529412</v>
      </c>
    </row>
    <row r="188" spans="1:11" ht="27.75" customHeight="1">
      <c r="A188" s="867" t="s">
        <v>218</v>
      </c>
      <c r="B188" s="868"/>
      <c r="C188" s="333"/>
      <c r="D188" s="230" t="s">
        <v>142</v>
      </c>
      <c r="E188" s="95"/>
      <c r="F188" s="159"/>
      <c r="G188" s="500">
        <f>G65+G66+G67+G69+G70</f>
        <v>153</v>
      </c>
      <c r="H188" s="99">
        <f>G188+'16'!H188</f>
        <v>480</v>
      </c>
      <c r="I188" s="158"/>
      <c r="J188" s="179">
        <f>H188/DAY(B2)</f>
        <v>28.235294117647058</v>
      </c>
    </row>
    <row r="189" spans="1:11" ht="27.75" customHeight="1">
      <c r="A189" s="867" t="s">
        <v>219</v>
      </c>
      <c r="B189" s="868"/>
      <c r="C189" s="333"/>
      <c r="D189" s="230" t="s">
        <v>142</v>
      </c>
      <c r="E189" s="95"/>
      <c r="F189" s="157"/>
      <c r="G189" s="500">
        <f>G181</f>
        <v>105</v>
      </c>
      <c r="H189" s="99">
        <f>G189+'16'!H189</f>
        <v>2005</v>
      </c>
      <c r="I189" s="158"/>
      <c r="J189" s="179">
        <f>H189/DAY(B2)</f>
        <v>117.94117647058823</v>
      </c>
    </row>
    <row r="190" spans="1:11" ht="27.75" customHeight="1">
      <c r="A190" s="874"/>
      <c r="B190" s="875"/>
      <c r="C190" s="398"/>
      <c r="D190" s="395"/>
      <c r="E190" s="395"/>
      <c r="F190" s="395"/>
      <c r="G190" s="550"/>
      <c r="H190" s="396"/>
      <c r="I190" s="395"/>
      <c r="J190" s="397"/>
    </row>
    <row r="191" spans="1:11" ht="23.25" customHeight="1">
      <c r="A191" s="245"/>
      <c r="B191" s="246"/>
      <c r="C191" s="246"/>
      <c r="D191" s="165"/>
      <c r="E191" s="165"/>
      <c r="F191" s="155"/>
      <c r="G191" s="494"/>
      <c r="H191" s="238"/>
      <c r="I191" s="99"/>
      <c r="J191" s="236"/>
      <c r="K191" s="239" t="e">
        <f>I191/DAY(C28)</f>
        <v>#DIV/0!</v>
      </c>
    </row>
  </sheetData>
  <mergeCells count="115"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2:B182"/>
    <mergeCell ref="A183:B183"/>
    <mergeCell ref="A184:B184"/>
    <mergeCell ref="A180:B180"/>
    <mergeCell ref="A181:B181"/>
    <mergeCell ref="A175:C175"/>
    <mergeCell ref="A177:B177"/>
    <mergeCell ref="A178:B178"/>
    <mergeCell ref="A179:B179"/>
  </mergeCells>
  <pageMargins left="0.22" right="0.17" top="0.14000000000000001" bottom="0.2" header="0.2" footer="0.2"/>
  <pageSetup paperSize="5" scale="1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3" tint="0.79998168889431442"/>
    <pageSetUpPr fitToPage="1"/>
  </sheetPr>
  <dimension ref="A1:R190"/>
  <sheetViews>
    <sheetView view="pageBreakPreview" topLeftCell="A169" zoomScale="55" zoomScaleNormal="68" zoomScaleSheetLayoutView="55" workbookViewId="0">
      <selection activeCell="H74" sqref="H74"/>
    </sheetView>
  </sheetViews>
  <sheetFormatPr defaultColWidth="22.33203125" defaultRowHeight="27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45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919" t="s">
        <v>115</v>
      </c>
      <c r="B1" s="920"/>
      <c r="C1" s="920"/>
      <c r="D1" s="920"/>
      <c r="E1" s="920"/>
      <c r="F1" s="920"/>
      <c r="G1" s="920"/>
      <c r="H1" s="920"/>
      <c r="I1" s="920"/>
      <c r="J1" s="921"/>
    </row>
    <row r="2" spans="1:15" s="57" customFormat="1" ht="27.75" customHeight="1">
      <c r="A2" s="191" t="s">
        <v>355</v>
      </c>
      <c r="B2" s="262">
        <v>44944</v>
      </c>
      <c r="C2" s="348" t="s">
        <v>67</v>
      </c>
      <c r="D2" s="218">
        <v>0.82</v>
      </c>
      <c r="E2" s="100"/>
      <c r="F2" s="100"/>
      <c r="G2" s="427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22</v>
      </c>
      <c r="E3" s="928" t="s">
        <v>119</v>
      </c>
      <c r="F3" s="929"/>
      <c r="G3" s="428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0.78</v>
      </c>
      <c r="E4" s="103"/>
      <c r="F4" s="103"/>
      <c r="G4" s="428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29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922" t="s">
        <v>128</v>
      </c>
      <c r="B6" s="923"/>
      <c r="C6" s="924"/>
      <c r="D6" s="110"/>
      <c r="E6" s="110"/>
      <c r="F6" s="110"/>
      <c r="G6" s="430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'17'!F7</f>
        <v>331822</v>
      </c>
      <c r="F7" s="95">
        <v>351837</v>
      </c>
      <c r="G7" s="431">
        <f>F7-E7</f>
        <v>20015</v>
      </c>
      <c r="H7" s="99">
        <f>G7+'17'!H7</f>
        <v>374218</v>
      </c>
      <c r="I7" s="113">
        <f>'1'!I7</f>
        <v>12000</v>
      </c>
      <c r="J7" s="175">
        <f>H7/DAY(B2)</f>
        <v>20789.888888888891</v>
      </c>
      <c r="K7" s="172">
        <v>1375467</v>
      </c>
      <c r="L7" s="66"/>
      <c r="N7" s="87"/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'17'!F8</f>
        <v>518614</v>
      </c>
      <c r="F8" s="114">
        <v>539066</v>
      </c>
      <c r="G8" s="432">
        <f>F8-E8</f>
        <v>20452</v>
      </c>
      <c r="H8" s="99">
        <f>G8+'17'!H8</f>
        <v>381209</v>
      </c>
      <c r="I8" s="116"/>
      <c r="J8" s="175">
        <f>H8/DAY(B2)</f>
        <v>21178.277777777777</v>
      </c>
      <c r="K8" s="172">
        <v>1715917</v>
      </c>
      <c r="L8" s="76">
        <v>1728480</v>
      </c>
      <c r="M8" s="87">
        <f>L8-K8</f>
        <v>12563</v>
      </c>
      <c r="N8" s="87">
        <f>G8-64</f>
        <v>20388</v>
      </c>
      <c r="O8" s="71">
        <f>G7-N8</f>
        <v>-373</v>
      </c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'17'!F9</f>
        <v>4662245</v>
      </c>
      <c r="F9" s="468">
        <v>4673475</v>
      </c>
      <c r="G9" s="431">
        <f>F9-E9</f>
        <v>11230</v>
      </c>
      <c r="H9" s="99">
        <f>G9+'17'!H9</f>
        <v>256869.09999999963</v>
      </c>
      <c r="I9" s="124">
        <f>I7-J7</f>
        <v>-8789.8888888888905</v>
      </c>
      <c r="J9" s="175">
        <f>H9/DAY(B2)</f>
        <v>14270.505555555535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'17'!F10</f>
        <v>4170543</v>
      </c>
      <c r="F10" s="353">
        <v>4178798</v>
      </c>
      <c r="G10" s="431">
        <f>F10-E10</f>
        <v>8255</v>
      </c>
      <c r="H10" s="99">
        <f>G10+'17'!H10</f>
        <v>108761.70000000019</v>
      </c>
      <c r="I10" s="282"/>
      <c r="J10" s="175">
        <f>H10/DAY(B2)</f>
        <v>6042.3166666666766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'17'!F11</f>
        <v>38700</v>
      </c>
      <c r="F11" s="95">
        <v>38700</v>
      </c>
      <c r="G11" s="431">
        <f t="shared" ref="G11:G12" si="0">F11-E11</f>
        <v>0</v>
      </c>
      <c r="H11" s="99">
        <f>G11+'17'!H11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'17'!F12</f>
        <v>40550</v>
      </c>
      <c r="F12" s="117">
        <v>40550</v>
      </c>
      <c r="G12" s="431">
        <f t="shared" si="0"/>
        <v>0</v>
      </c>
      <c r="H12" s="99">
        <f>G12+'17'!H12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433">
        <f>G9+G10+G11+G12</f>
        <v>19485</v>
      </c>
      <c r="H13" s="99">
        <f>G13+'17'!H13</f>
        <v>365630.79999999981</v>
      </c>
      <c r="I13" s="120">
        <f>G7-G13</f>
        <v>530</v>
      </c>
      <c r="J13" s="175">
        <f>H13/DAY(B2)</f>
        <v>20312.82222222221</v>
      </c>
      <c r="K13" s="79"/>
      <c r="L13" s="66"/>
      <c r="N13" s="87"/>
      <c r="O13" s="71"/>
    </row>
    <row r="14" spans="1:15" ht="27.75" customHeight="1">
      <c r="A14" s="925" t="s">
        <v>137</v>
      </c>
      <c r="B14" s="926"/>
      <c r="C14" s="927"/>
      <c r="D14" s="111"/>
      <c r="E14" s="111"/>
      <c r="F14" s="111"/>
      <c r="G14" s="434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468">
        <f>'17'!F15</f>
        <v>2272192</v>
      </c>
      <c r="F15" s="468">
        <v>2273298</v>
      </c>
      <c r="G15" s="431">
        <f>(F15-E15)</f>
        <v>1106</v>
      </c>
      <c r="H15" s="99">
        <f>G15+'17'!H15</f>
        <v>19996.641999999993</v>
      </c>
      <c r="I15" s="113">
        <f>'1'!I15</f>
        <v>800</v>
      </c>
      <c r="J15" s="175">
        <f>H15/DAY(B2)</f>
        <v>1110.9245555555551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431"/>
      <c r="H16" s="124"/>
      <c r="I16" s="120">
        <f>I15-J15</f>
        <v>-310.92455555555512</v>
      </c>
      <c r="J16" s="176"/>
      <c r="K16" s="79"/>
      <c r="L16" s="66"/>
      <c r="N16" s="87"/>
      <c r="O16" s="71"/>
    </row>
    <row r="17" spans="1:15" ht="27.75" customHeight="1">
      <c r="A17" s="925" t="s">
        <v>140</v>
      </c>
      <c r="B17" s="926"/>
      <c r="C17" s="927"/>
      <c r="D17" s="111"/>
      <c r="E17" s="111"/>
      <c r="F17" s="111"/>
      <c r="G17" s="434"/>
      <c r="H17" s="111"/>
      <c r="I17" s="111"/>
      <c r="J17" s="174"/>
      <c r="K17" s="79"/>
      <c r="L17" s="66"/>
      <c r="N17" s="87"/>
      <c r="O17" s="71"/>
    </row>
    <row r="18" spans="1:15" ht="27.75" customHeight="1">
      <c r="A18" s="902" t="s">
        <v>141</v>
      </c>
      <c r="B18" s="903"/>
      <c r="C18" s="904"/>
      <c r="D18" s="151" t="s">
        <v>142</v>
      </c>
      <c r="E18" s="95">
        <f>'17'!F18</f>
        <v>15</v>
      </c>
      <c r="F18" s="164">
        <v>23</v>
      </c>
      <c r="G18" s="433">
        <f>F18*10</f>
        <v>230</v>
      </c>
      <c r="H18" s="99">
        <f>G18+'17'!H18</f>
        <v>3820</v>
      </c>
      <c r="I18" s="113">
        <f>'1'!I18</f>
        <v>65</v>
      </c>
      <c r="J18" s="175">
        <f>H18/DAY(B2)</f>
        <v>212.22222222222223</v>
      </c>
      <c r="K18" s="79"/>
      <c r="L18" s="66"/>
      <c r="N18" s="87"/>
      <c r="O18" s="71"/>
    </row>
    <row r="19" spans="1:15" ht="27.75" customHeight="1">
      <c r="A19" s="902" t="s">
        <v>69</v>
      </c>
      <c r="B19" s="903"/>
      <c r="C19" s="904"/>
      <c r="D19" s="151" t="s">
        <v>142</v>
      </c>
      <c r="E19" s="95">
        <f>'17'!F19</f>
        <v>170530</v>
      </c>
      <c r="F19" s="122">
        <v>170584</v>
      </c>
      <c r="G19" s="431">
        <f t="shared" ref="G19" si="1">F19-E19</f>
        <v>54</v>
      </c>
      <c r="H19" s="99">
        <f>G19+'17'!H19</f>
        <v>1019</v>
      </c>
      <c r="I19" s="335"/>
      <c r="J19" s="175">
        <f>H19/DAY(B2)</f>
        <v>56.611111111111114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435">
        <f>G18+G19</f>
        <v>284</v>
      </c>
      <c r="H20" s="99">
        <f>G20+'17'!H20</f>
        <v>4839</v>
      </c>
      <c r="I20" s="336">
        <f>I18-J20</f>
        <v>-203.83333333333331</v>
      </c>
      <c r="J20" s="175">
        <f>H20/DAY(B2)</f>
        <v>268.83333333333331</v>
      </c>
      <c r="K20" s="79"/>
      <c r="L20" s="66"/>
      <c r="N20" s="87"/>
      <c r="O20" s="71"/>
    </row>
    <row r="21" spans="1:15" ht="27.75" customHeight="1">
      <c r="A21" s="925" t="s">
        <v>144</v>
      </c>
      <c r="B21" s="926"/>
      <c r="C21" s="927"/>
      <c r="D21" s="111"/>
      <c r="E21" s="111"/>
      <c r="F21" s="111"/>
      <c r="G21" s="434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'17'!F22</f>
        <v>2970</v>
      </c>
      <c r="F22" s="122">
        <v>2970</v>
      </c>
      <c r="G22" s="433">
        <f>(F22-E22)</f>
        <v>0</v>
      </c>
      <c r="H22" s="99">
        <f>G22+'17'!H22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405">
        <f>'17'!F23</f>
        <v>1860</v>
      </c>
      <c r="F23" s="122">
        <v>1860</v>
      </c>
      <c r="G23" s="520">
        <f>-(F23-E23)</f>
        <v>0</v>
      </c>
      <c r="H23" s="99">
        <f>G23+'17'!H23</f>
        <v>0</v>
      </c>
      <c r="I23" s="118"/>
      <c r="J23" s="175">
        <f>H23/DAY(B2)</f>
        <v>0</v>
      </c>
      <c r="K23" s="79"/>
      <c r="L23" s="66"/>
      <c r="N23" s="521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SUM(E22:E23)</f>
        <v>4830</v>
      </c>
      <c r="F24" s="128">
        <f>SUM(F22:F23)</f>
        <v>4830</v>
      </c>
      <c r="G24" s="433">
        <f>SUM(G22:G23)</f>
        <v>0</v>
      </c>
      <c r="H24" s="99">
        <f>G24+'17'!H24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930" t="s">
        <v>149</v>
      </c>
      <c r="B25" s="931"/>
      <c r="C25" s="932"/>
      <c r="D25" s="110"/>
      <c r="E25" s="110"/>
      <c r="F25" s="110"/>
      <c r="G25" s="436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437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20452</v>
      </c>
      <c r="F27" s="136">
        <v>10</v>
      </c>
      <c r="G27" s="438">
        <f>E27*F27</f>
        <v>204520</v>
      </c>
      <c r="H27" s="99">
        <f>G27+'17'!H27</f>
        <v>3599095.1999999997</v>
      </c>
      <c r="I27" s="138"/>
      <c r="J27" s="175">
        <f>H27/DAY(B2)</f>
        <v>199949.73333333331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1106</v>
      </c>
      <c r="F28" s="136">
        <v>65</v>
      </c>
      <c r="G28" s="438">
        <f>E28*F28</f>
        <v>71890</v>
      </c>
      <c r="H28" s="99">
        <f>G28+'17'!H28</f>
        <v>1379643.1499999994</v>
      </c>
      <c r="I28" s="140"/>
      <c r="J28" s="175">
        <f>H28/DAY(B2)</f>
        <v>76646.841666666631</v>
      </c>
      <c r="K28" s="63"/>
      <c r="L28" s="89"/>
      <c r="N28" s="87"/>
      <c r="O28" s="71"/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38">
        <f>E29*F29</f>
        <v>0</v>
      </c>
      <c r="H29" s="99">
        <f>G29+'17'!H29</f>
        <v>6900</v>
      </c>
      <c r="I29" s="140"/>
      <c r="J29" s="175">
        <f>H29/DAY(B2)</f>
        <v>383.33333333333331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151</v>
      </c>
      <c r="G30" s="438">
        <f>E30*F30</f>
        <v>8154</v>
      </c>
      <c r="H30" s="99">
        <f>G30+'17'!H30</f>
        <v>153869</v>
      </c>
      <c r="I30" s="140"/>
      <c r="J30" s="175">
        <f>H30/DAY(B2)</f>
        <v>8548.2777777777774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230</v>
      </c>
      <c r="F31" s="136">
        <v>85</v>
      </c>
      <c r="G31" s="438">
        <f>E31*F31</f>
        <v>19550</v>
      </c>
      <c r="H31" s="99">
        <f>G31+'17'!H31</f>
        <v>312600</v>
      </c>
      <c r="I31" s="140"/>
      <c r="J31" s="175">
        <f>H31/DAY(B2)</f>
        <v>17366.666666666668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439">
        <f>G27+G28+G29+G30+G31</f>
        <v>304114</v>
      </c>
      <c r="H32" s="99">
        <f>G32+'17'!H32</f>
        <v>5452107.3499999996</v>
      </c>
      <c r="I32" s="144"/>
      <c r="J32" s="175">
        <f>H32/DAY(B2)</f>
        <v>302894.85277777776</v>
      </c>
      <c r="K32" s="63"/>
      <c r="L32" s="89"/>
      <c r="N32" s="87"/>
      <c r="O32" s="71"/>
    </row>
    <row r="33" spans="1:15" ht="27.75" customHeight="1">
      <c r="A33" s="933" t="s">
        <v>331</v>
      </c>
      <c r="B33" s="934"/>
      <c r="C33" s="934"/>
      <c r="D33" s="337"/>
      <c r="E33" s="337"/>
      <c r="F33" s="337"/>
      <c r="G33" s="440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441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'17'!F35</f>
        <v>498266</v>
      </c>
      <c r="F35" s="145">
        <v>500697</v>
      </c>
      <c r="G35" s="431">
        <f t="shared" ref="G35:G46" si="2">F35-E35</f>
        <v>2431</v>
      </c>
      <c r="H35" s="99">
        <f>G35+'17'!H35</f>
        <v>46179.010000000009</v>
      </c>
      <c r="I35" s="95"/>
      <c r="J35" s="175">
        <f>H35/DAY(B2)</f>
        <v>2565.5005555555563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'17'!F36</f>
        <v>368478</v>
      </c>
      <c r="F36" s="145">
        <v>369164</v>
      </c>
      <c r="G36" s="431">
        <f t="shared" si="2"/>
        <v>686</v>
      </c>
      <c r="H36" s="99">
        <f>G36+'17'!H36</f>
        <v>15075.099999999977</v>
      </c>
      <c r="I36" s="95"/>
      <c r="J36" s="175">
        <f>H36/DAY(B2)</f>
        <v>837.50555555555422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'17'!F37</f>
        <v>363305</v>
      </c>
      <c r="F37" s="145">
        <v>364705</v>
      </c>
      <c r="G37" s="431">
        <f t="shared" si="2"/>
        <v>1400</v>
      </c>
      <c r="H37" s="99">
        <f>G37+'17'!H37</f>
        <v>26435.130000000005</v>
      </c>
      <c r="I37" s="95"/>
      <c r="J37" s="175">
        <f>H37/DAY(B2)</f>
        <v>1468.6183333333336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'17'!F38</f>
        <v>840051</v>
      </c>
      <c r="F38" s="108">
        <v>842601</v>
      </c>
      <c r="G38" s="431">
        <f t="shared" si="2"/>
        <v>2550</v>
      </c>
      <c r="H38" s="99">
        <f>G38+'17'!H38</f>
        <v>42923.650000000023</v>
      </c>
      <c r="I38" s="95"/>
      <c r="J38" s="175">
        <f>H38/DAY(B2)</f>
        <v>2384.6472222222237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'17'!F39</f>
        <v>667821</v>
      </c>
      <c r="F39" s="145">
        <v>670546</v>
      </c>
      <c r="G39" s="431">
        <f t="shared" si="2"/>
        <v>2725</v>
      </c>
      <c r="H39" s="99">
        <f>G39+'17'!H39</f>
        <v>50256</v>
      </c>
      <c r="I39" s="95"/>
      <c r="J39" s="175">
        <f>H39/DAY(B2)</f>
        <v>2792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'17'!F40</f>
        <v>214837</v>
      </c>
      <c r="F40" s="422">
        <v>215048</v>
      </c>
      <c r="G40" s="520">
        <f t="shared" si="2"/>
        <v>211</v>
      </c>
      <c r="H40" s="99">
        <f>G40+'17'!H40</f>
        <v>5361.6499999999942</v>
      </c>
      <c r="I40" s="95"/>
      <c r="J40" s="175">
        <f>H40/DAY(B2)</f>
        <v>297.86944444444413</v>
      </c>
      <c r="K40" s="80"/>
      <c r="L40" s="66"/>
      <c r="N40" s="87">
        <v>7285</v>
      </c>
      <c r="O40" s="71" t="s">
        <v>364</v>
      </c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'17'!F41</f>
        <v>420212.51</v>
      </c>
      <c r="F41" s="145">
        <v>420212.51</v>
      </c>
      <c r="G41" s="431">
        <f t="shared" si="2"/>
        <v>0</v>
      </c>
      <c r="H41" s="99">
        <f>G41+'17'!H41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'17'!F42</f>
        <v>970677</v>
      </c>
      <c r="F42" s="145">
        <v>970677</v>
      </c>
      <c r="G42" s="431">
        <f t="shared" si="2"/>
        <v>0</v>
      </c>
      <c r="H42" s="99">
        <f>G42+'17'!H42</f>
        <v>49722.530000000028</v>
      </c>
      <c r="I42" s="95"/>
      <c r="J42" s="175">
        <f>H42/DAY(B2)</f>
        <v>2762.3627777777792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'17'!F43</f>
        <v>422444</v>
      </c>
      <c r="F43" s="145">
        <v>422444</v>
      </c>
      <c r="G43" s="431">
        <f t="shared" si="2"/>
        <v>0</v>
      </c>
      <c r="H43" s="99">
        <f>G43+'17'!H43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'17'!F44</f>
        <v>0</v>
      </c>
      <c r="F44" s="145">
        <v>0</v>
      </c>
      <c r="G44" s="431">
        <f t="shared" si="2"/>
        <v>0</v>
      </c>
      <c r="H44" s="99">
        <f>G44+'17'!H44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'17'!F45</f>
        <v>0</v>
      </c>
      <c r="F45" s="145">
        <v>0</v>
      </c>
      <c r="G45" s="431">
        <f t="shared" si="2"/>
        <v>0</v>
      </c>
      <c r="H45" s="99">
        <f>G45+'17'!H45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'17'!F46</f>
        <v>0</v>
      </c>
      <c r="F46" s="145">
        <v>0</v>
      </c>
      <c r="G46" s="431">
        <f t="shared" si="2"/>
        <v>0</v>
      </c>
      <c r="H46" s="99">
        <f>G46+'17'!H46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433">
        <f>G35+G36+G37+G38+G39+G40+G41+G42+G43+G44+G45+G46</f>
        <v>10003</v>
      </c>
      <c r="H47" s="99">
        <f>G47+'17'!H47</f>
        <v>235953.07000000004</v>
      </c>
      <c r="I47" s="95"/>
      <c r="J47" s="175">
        <f>H47/DAY(B2)</f>
        <v>13108.50388888889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441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'17'!F49</f>
        <v>815438</v>
      </c>
      <c r="F49" s="145">
        <v>815998</v>
      </c>
      <c r="G49" s="431">
        <f t="shared" ref="G49:G58" si="3">F49-E49</f>
        <v>560</v>
      </c>
      <c r="H49" s="99">
        <f>G49+'17'!H49</f>
        <v>9493.8499999999767</v>
      </c>
      <c r="I49" s="95"/>
      <c r="J49" s="175">
        <f>H49/DAY(B2)</f>
        <v>527.43611111110977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'17'!F50</f>
        <v>524500</v>
      </c>
      <c r="F50" s="145">
        <v>525607</v>
      </c>
      <c r="G50" s="431">
        <f t="shared" si="3"/>
        <v>1107</v>
      </c>
      <c r="H50" s="99">
        <f>G50+'17'!H50</f>
        <v>24454</v>
      </c>
      <c r="I50" s="95"/>
      <c r="J50" s="175">
        <f>H50/DAY(B2)</f>
        <v>1358.5555555555557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'17'!F51</f>
        <v>156958</v>
      </c>
      <c r="F51" s="145">
        <v>156958</v>
      </c>
      <c r="G51" s="431">
        <f t="shared" si="3"/>
        <v>0</v>
      </c>
      <c r="H51" s="99">
        <f>G51+'17'!H51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'17'!F52</f>
        <v>9.76</v>
      </c>
      <c r="F52" s="145">
        <v>9.76</v>
      </c>
      <c r="G52" s="431">
        <f t="shared" si="3"/>
        <v>0</v>
      </c>
      <c r="H52" s="99">
        <f>G52+'17'!H52</f>
        <v>-0.24000000000000021</v>
      </c>
      <c r="I52" s="95"/>
      <c r="J52" s="175">
        <f>H52/DAY(B2)</f>
        <v>-1.3333333333333345E-2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'17'!F53</f>
        <v>630355</v>
      </c>
      <c r="F53" s="145">
        <v>630355</v>
      </c>
      <c r="G53" s="431">
        <f t="shared" si="3"/>
        <v>0</v>
      </c>
      <c r="H53" s="99">
        <f>G53+'17'!H53</f>
        <v>-3.0000000027939677E-2</v>
      </c>
      <c r="I53" s="95"/>
      <c r="J53" s="175">
        <f>H53/DAY(B2)</f>
        <v>-1.6666666682188709E-3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'17'!F54</f>
        <v>120177</v>
      </c>
      <c r="F54" s="145">
        <v>120435</v>
      </c>
      <c r="G54" s="431">
        <f t="shared" si="3"/>
        <v>258</v>
      </c>
      <c r="H54" s="99">
        <f>G54+'17'!H54</f>
        <v>5837.8699999999953</v>
      </c>
      <c r="I54" s="95"/>
      <c r="J54" s="175">
        <f>H54/DAY(B2)</f>
        <v>324.32611111111083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'17'!F55</f>
        <v>576336</v>
      </c>
      <c r="F55" s="145">
        <v>576336</v>
      </c>
      <c r="G55" s="431">
        <f t="shared" si="3"/>
        <v>0</v>
      </c>
      <c r="H55" s="99">
        <f>G55+'17'!H55</f>
        <v>0.36999999999534339</v>
      </c>
      <c r="I55" s="95"/>
      <c r="J55" s="175">
        <f>H55/DAY(B2)</f>
        <v>2.0555555555296853E-2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'17'!F56</f>
        <v>350459</v>
      </c>
      <c r="F56" s="145">
        <v>352951</v>
      </c>
      <c r="G56" s="431">
        <f t="shared" si="3"/>
        <v>2492</v>
      </c>
      <c r="H56" s="99">
        <f>G56+'17'!H56</f>
        <v>17724.789999999979</v>
      </c>
      <c r="I56" s="95"/>
      <c r="J56" s="175">
        <f>H56/DAY(B2)</f>
        <v>984.71055555555438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'17'!F57</f>
        <v>672579</v>
      </c>
      <c r="F57" s="145">
        <v>675214</v>
      </c>
      <c r="G57" s="431">
        <f t="shared" si="3"/>
        <v>2635</v>
      </c>
      <c r="H57" s="99">
        <f>G57+'17'!H57</f>
        <v>44381</v>
      </c>
      <c r="I57" s="95"/>
      <c r="J57" s="175">
        <f>H57/DAY(B2)</f>
        <v>2465.6111111111113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'17'!F58</f>
        <v>90918</v>
      </c>
      <c r="F58" s="422">
        <v>91165</v>
      </c>
      <c r="G58" s="431">
        <f t="shared" si="3"/>
        <v>247</v>
      </c>
      <c r="H58" s="99">
        <f>G58+'17'!H58</f>
        <v>4604.5010000000038</v>
      </c>
      <c r="I58" s="95"/>
      <c r="J58" s="175">
        <f>H58/DAY(B2)</f>
        <v>255.80561111111132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433">
        <f>G49+G50+G51+G52+G53+G54+G55+G56+G57+G58</f>
        <v>7299</v>
      </c>
      <c r="H59" s="99">
        <f>G59+'17'!H59</f>
        <v>106496.11099999992</v>
      </c>
      <c r="I59" s="95">
        <f>G7-G60</f>
        <v>2713</v>
      </c>
      <c r="J59" s="175">
        <f>H59/DAY(B2)</f>
        <v>5916.4506111111068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433">
        <f>G47+G59</f>
        <v>17302</v>
      </c>
      <c r="H60" s="99">
        <f>G60+'17'!H60</f>
        <v>342449.18099999992</v>
      </c>
      <c r="I60" s="95">
        <f>G13-G60</f>
        <v>2183</v>
      </c>
      <c r="J60" s="175">
        <f>H60/DAY(B2)</f>
        <v>19024.954499999996</v>
      </c>
      <c r="K60" s="79"/>
      <c r="L60" s="66"/>
      <c r="N60" s="87"/>
      <c r="O60" s="71"/>
    </row>
    <row r="61" spans="1:15" s="68" customFormat="1" ht="27.75" customHeight="1">
      <c r="A61" s="935" t="s">
        <v>332</v>
      </c>
      <c r="B61" s="936"/>
      <c r="C61" s="937"/>
      <c r="D61" s="339"/>
      <c r="E61" s="339"/>
      <c r="F61" s="339"/>
      <c r="G61" s="442"/>
      <c r="H61" s="339"/>
      <c r="I61" s="339"/>
      <c r="J61" s="341"/>
      <c r="K61" s="69"/>
      <c r="L61" s="67"/>
      <c r="N61" s="87"/>
      <c r="O61" s="71"/>
    </row>
    <row r="62" spans="1:15" ht="27.75" customHeight="1">
      <c r="A62" s="902" t="s">
        <v>198</v>
      </c>
      <c r="B62" s="903"/>
      <c r="C62" s="904"/>
      <c r="D62" s="151" t="s">
        <v>142</v>
      </c>
      <c r="E62" s="95">
        <f>'17'!F62</f>
        <v>313710</v>
      </c>
      <c r="F62" s="164">
        <v>313816</v>
      </c>
      <c r="G62" s="431">
        <f t="shared" ref="G62:G63" si="4">F62-E62</f>
        <v>106</v>
      </c>
      <c r="H62" s="99">
        <f>G62+'17'!H62</f>
        <v>1716</v>
      </c>
      <c r="I62" s="118"/>
      <c r="J62" s="175">
        <f>H62/DAY(B2)</f>
        <v>95.333333333333329</v>
      </c>
      <c r="K62" s="80"/>
      <c r="L62" s="66"/>
      <c r="N62" s="87"/>
      <c r="O62" s="71"/>
    </row>
    <row r="63" spans="1:15" ht="27.75" customHeight="1">
      <c r="A63" s="902" t="s">
        <v>199</v>
      </c>
      <c r="B63" s="903"/>
      <c r="C63" s="904"/>
      <c r="D63" s="151" t="s">
        <v>142</v>
      </c>
      <c r="E63" s="95">
        <f>'17'!F63</f>
        <v>250867</v>
      </c>
      <c r="F63" s="122">
        <v>250948</v>
      </c>
      <c r="G63" s="431">
        <f t="shared" si="4"/>
        <v>81</v>
      </c>
      <c r="H63" s="99">
        <f>G63+'17'!H63</f>
        <v>1913</v>
      </c>
      <c r="I63" s="118"/>
      <c r="J63" s="175">
        <f>H63/DAY(B2)</f>
        <v>106.27777777777777</v>
      </c>
      <c r="K63" s="69"/>
      <c r="L63" s="66"/>
      <c r="N63" s="87"/>
      <c r="O63" s="71"/>
    </row>
    <row r="64" spans="1:15" ht="27.75" customHeight="1">
      <c r="A64" s="911" t="s">
        <v>200</v>
      </c>
      <c r="B64" s="912"/>
      <c r="C64" s="913"/>
      <c r="D64" s="151"/>
      <c r="E64" s="95">
        <f>'17'!F64</f>
        <v>0</v>
      </c>
      <c r="F64" s="122"/>
      <c r="G64" s="431">
        <f>G62+G63</f>
        <v>187</v>
      </c>
      <c r="H64" s="99">
        <f>G64+'17'!H64</f>
        <v>3629</v>
      </c>
      <c r="I64" s="118"/>
      <c r="J64" s="175">
        <f>H64/DAY(B2)</f>
        <v>201.61111111111111</v>
      </c>
      <c r="K64" s="69"/>
      <c r="L64" s="66"/>
      <c r="N64" s="87"/>
      <c r="O64" s="71"/>
    </row>
    <row r="65" spans="1:15" ht="27.75" customHeight="1">
      <c r="A65" s="902" t="s">
        <v>201</v>
      </c>
      <c r="B65" s="903"/>
      <c r="C65" s="904"/>
      <c r="D65" s="151" t="s">
        <v>142</v>
      </c>
      <c r="E65" s="95">
        <f>'17'!F65</f>
        <v>474122</v>
      </c>
      <c r="F65" s="122">
        <v>474249</v>
      </c>
      <c r="G65" s="431">
        <f t="shared" ref="G65:G70" si="5">F65-E65</f>
        <v>127</v>
      </c>
      <c r="H65" s="99">
        <f>G65+'17'!H65</f>
        <v>2219</v>
      </c>
      <c r="I65" s="118"/>
      <c r="J65" s="175">
        <f>H65/DAY(B2)</f>
        <v>123.27777777777777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'17'!F66</f>
        <v>114014</v>
      </c>
      <c r="F66" s="122">
        <v>114021</v>
      </c>
      <c r="G66" s="431">
        <f t="shared" si="5"/>
        <v>7</v>
      </c>
      <c r="H66" s="99">
        <f>G66+'17'!H66</f>
        <v>1299</v>
      </c>
      <c r="I66" s="118"/>
      <c r="J66" s="175">
        <f>H66/DAY(B2)</f>
        <v>72.166666666666671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'17'!F67</f>
        <v>116952</v>
      </c>
      <c r="F67" s="122">
        <v>116977</v>
      </c>
      <c r="G67" s="431">
        <f t="shared" si="5"/>
        <v>25</v>
      </c>
      <c r="H67" s="99">
        <f>G67+'17'!H67</f>
        <v>410</v>
      </c>
      <c r="I67" s="118"/>
      <c r="J67" s="175">
        <f>H67/DAY(B2)</f>
        <v>22.777777777777779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'17'!F68</f>
        <v>169695</v>
      </c>
      <c r="F68" s="122">
        <v>169707</v>
      </c>
      <c r="G68" s="431">
        <f t="shared" si="5"/>
        <v>12</v>
      </c>
      <c r="H68" s="99">
        <f>G68+'17'!H68</f>
        <v>348</v>
      </c>
      <c r="I68" s="118"/>
      <c r="J68" s="175">
        <f>H68/DAY(B2)</f>
        <v>19.333333333333332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'17'!F69</f>
        <v>13038</v>
      </c>
      <c r="F69" s="122">
        <v>13040</v>
      </c>
      <c r="G69" s="431">
        <f t="shared" si="5"/>
        <v>2</v>
      </c>
      <c r="H69" s="99">
        <f>G69+'17'!H69</f>
        <v>74</v>
      </c>
      <c r="I69" s="118"/>
      <c r="J69" s="175">
        <f>H69/DAY(B2)</f>
        <v>4.1111111111111107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'17'!F70</f>
        <v>11151</v>
      </c>
      <c r="F70" s="122">
        <v>11165</v>
      </c>
      <c r="G70" s="431">
        <f t="shared" si="5"/>
        <v>14</v>
      </c>
      <c r="H70" s="99">
        <f>G70+'17'!H70</f>
        <v>149</v>
      </c>
      <c r="I70" s="118"/>
      <c r="J70" s="175">
        <f>H70/DAY(B2)</f>
        <v>8.2777777777777786</v>
      </c>
      <c r="K70" s="69"/>
      <c r="L70" s="66"/>
      <c r="N70" s="87"/>
      <c r="O70" s="71"/>
    </row>
    <row r="71" spans="1:15" ht="27.75" customHeight="1">
      <c r="A71" s="911" t="s">
        <v>208</v>
      </c>
      <c r="B71" s="912"/>
      <c r="C71" s="913"/>
      <c r="D71" s="152"/>
      <c r="E71" s="152"/>
      <c r="F71" s="152"/>
      <c r="G71" s="443">
        <f>SUM(G65:G70)</f>
        <v>187</v>
      </c>
      <c r="H71" s="99">
        <f>G71+'17'!H71</f>
        <v>4499</v>
      </c>
      <c r="I71" s="154"/>
      <c r="J71" s="175">
        <f>H71/DAY(B2)</f>
        <v>249.94444444444446</v>
      </c>
      <c r="K71" s="69"/>
      <c r="L71" s="66"/>
      <c r="N71" s="87"/>
      <c r="O71" s="71"/>
    </row>
    <row r="72" spans="1:15" s="88" customFormat="1" ht="27.75" customHeight="1">
      <c r="A72" s="898"/>
      <c r="B72" s="883"/>
      <c r="C72" s="347"/>
      <c r="D72" s="180"/>
      <c r="E72" s="180" t="s">
        <v>207</v>
      </c>
      <c r="F72" s="180"/>
      <c r="G72" s="444"/>
      <c r="H72" s="181"/>
      <c r="I72" s="180"/>
      <c r="J72" s="182"/>
      <c r="N72" s="87"/>
      <c r="O72" s="71"/>
    </row>
    <row r="73" spans="1:15" ht="27.75" customHeight="1">
      <c r="A73" s="908" t="s">
        <v>333</v>
      </c>
      <c r="B73" s="909"/>
      <c r="C73" s="910"/>
      <c r="D73" s="339"/>
      <c r="E73" s="339"/>
      <c r="F73" s="339"/>
      <c r="G73" s="442"/>
      <c r="H73" s="342"/>
      <c r="I73" s="342"/>
      <c r="J73" s="343"/>
      <c r="K73" s="69"/>
      <c r="L73" s="66"/>
      <c r="N73" s="87"/>
      <c r="O73" s="71"/>
    </row>
    <row r="74" spans="1:15" ht="27.75" customHeight="1">
      <c r="A74" s="902" t="s">
        <v>220</v>
      </c>
      <c r="B74" s="903"/>
      <c r="C74" s="904"/>
      <c r="D74" s="151" t="s">
        <v>139</v>
      </c>
      <c r="E74" s="95">
        <f>'17'!F74</f>
        <v>7839</v>
      </c>
      <c r="F74" s="123">
        <v>8122</v>
      </c>
      <c r="G74" s="431">
        <f>F74-E74</f>
        <v>283</v>
      </c>
      <c r="H74" s="99">
        <f>G74+'17'!H74</f>
        <v>995986</v>
      </c>
      <c r="I74" s="154"/>
      <c r="J74" s="175">
        <f>H74/DAY(B2)</f>
        <v>55332.555555555555</v>
      </c>
      <c r="K74" s="69"/>
      <c r="L74" s="66"/>
      <c r="N74" s="87"/>
      <c r="O74" s="71"/>
    </row>
    <row r="75" spans="1:15" ht="27.75" customHeight="1">
      <c r="A75" s="902" t="s">
        <v>221</v>
      </c>
      <c r="B75" s="903"/>
      <c r="C75" s="904"/>
      <c r="D75" s="151" t="s">
        <v>139</v>
      </c>
      <c r="E75" s="95">
        <f>'17'!F75</f>
        <v>73586.8</v>
      </c>
      <c r="F75" s="409">
        <v>73586.8</v>
      </c>
      <c r="G75" s="431">
        <f t="shared" ref="G75:G78" si="6">F75-E75</f>
        <v>0</v>
      </c>
      <c r="H75" s="99">
        <f>G75+'17'!H75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>
      <c r="A76" s="899" t="s">
        <v>222</v>
      </c>
      <c r="B76" s="900"/>
      <c r="C76" s="901"/>
      <c r="D76" s="151" t="s">
        <v>139</v>
      </c>
      <c r="E76" s="95">
        <f>'17'!F76</f>
        <v>209146</v>
      </c>
      <c r="F76" s="123">
        <v>209263</v>
      </c>
      <c r="G76" s="431">
        <f>F76-E76</f>
        <v>117</v>
      </c>
      <c r="H76" s="99">
        <f>G76+'17'!H76</f>
        <v>1886</v>
      </c>
      <c r="I76" s="154"/>
      <c r="J76" s="175">
        <f>H76/DAY(B2)</f>
        <v>104.77777777777777</v>
      </c>
      <c r="K76" s="69"/>
      <c r="L76" s="66"/>
      <c r="N76" s="87"/>
      <c r="O76" s="71"/>
    </row>
    <row r="77" spans="1:15" ht="27.75" customHeight="1">
      <c r="A77" s="899" t="s">
        <v>223</v>
      </c>
      <c r="B77" s="900"/>
      <c r="C77" s="901"/>
      <c r="D77" s="151" t="s">
        <v>139</v>
      </c>
      <c r="E77" s="95">
        <f>'17'!F77</f>
        <v>58985</v>
      </c>
      <c r="F77" s="123">
        <v>59038</v>
      </c>
      <c r="G77" s="431">
        <f t="shared" si="6"/>
        <v>53</v>
      </c>
      <c r="H77" s="99">
        <f>G77+'17'!H77</f>
        <v>886</v>
      </c>
      <c r="I77" s="154"/>
      <c r="J77" s="175">
        <f>H77/DAY(B2)</f>
        <v>49.222222222222221</v>
      </c>
      <c r="K77" s="69"/>
      <c r="L77" s="66"/>
      <c r="N77" s="87"/>
      <c r="O77" s="71"/>
    </row>
    <row r="78" spans="1:15" ht="27.75" customHeight="1">
      <c r="A78" s="899" t="s">
        <v>224</v>
      </c>
      <c r="B78" s="900"/>
      <c r="C78" s="901"/>
      <c r="D78" s="151" t="s">
        <v>139</v>
      </c>
      <c r="E78" s="95">
        <f>'17'!F78</f>
        <v>9564</v>
      </c>
      <c r="F78" s="123">
        <v>9564</v>
      </c>
      <c r="G78" s="431">
        <f t="shared" si="6"/>
        <v>0</v>
      </c>
      <c r="H78" s="99">
        <f>G78+'17'!H78</f>
        <v>-1</v>
      </c>
      <c r="I78" s="118"/>
      <c r="J78" s="175">
        <f>H78/DAY(B2)</f>
        <v>-5.5555555555555552E-2</v>
      </c>
      <c r="K78" s="69"/>
      <c r="L78" s="66"/>
      <c r="N78" s="87"/>
      <c r="O78" s="71"/>
    </row>
    <row r="79" spans="1:15" s="57" customFormat="1" ht="27.75" customHeight="1">
      <c r="A79" s="899" t="s">
        <v>225</v>
      </c>
      <c r="B79" s="900"/>
      <c r="C79" s="901"/>
      <c r="D79" s="151"/>
      <c r="E79" s="95">
        <f>'17'!F79</f>
        <v>0</v>
      </c>
      <c r="F79" s="123">
        <v>0</v>
      </c>
      <c r="G79" s="431">
        <f>G15-SUM(G74:G78)</f>
        <v>653</v>
      </c>
      <c r="H79" s="99">
        <f>G79+'17'!H79</f>
        <v>-978760.35799999989</v>
      </c>
      <c r="I79" s="118"/>
      <c r="J79" s="175"/>
      <c r="K79" s="59"/>
      <c r="L79" s="58"/>
      <c r="N79" s="87"/>
      <c r="O79" s="71"/>
    </row>
    <row r="80" spans="1:15" s="57" customFormat="1" ht="27.75" customHeight="1">
      <c r="A80" s="911" t="s">
        <v>329</v>
      </c>
      <c r="B80" s="912"/>
      <c r="C80" s="913"/>
      <c r="D80" s="151"/>
      <c r="E80" s="117"/>
      <c r="F80" s="117"/>
      <c r="G80" s="431">
        <f>SUM(G74:G79)</f>
        <v>1106</v>
      </c>
      <c r="H80" s="99">
        <f>G80+'17'!H80</f>
        <v>1106</v>
      </c>
      <c r="I80" s="118"/>
      <c r="J80" s="175"/>
      <c r="K80" s="59"/>
      <c r="L80" s="58"/>
      <c r="N80" s="87"/>
      <c r="O80" s="71"/>
    </row>
    <row r="81" spans="1:15" ht="27.75" customHeight="1">
      <c r="A81" s="915" t="s">
        <v>226</v>
      </c>
      <c r="B81" s="916"/>
      <c r="C81" s="917"/>
      <c r="D81" s="110"/>
      <c r="E81" s="110"/>
      <c r="F81" s="110"/>
      <c r="G81" s="445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'17'!F82</f>
        <v>0</v>
      </c>
      <c r="F82" s="122">
        <v>0</v>
      </c>
      <c r="G82" s="431">
        <f t="shared" ref="G82:G92" si="7">F82-E82</f>
        <v>0</v>
      </c>
      <c r="H82" s="99">
        <f>G82+'17'!H82</f>
        <v>0</v>
      </c>
      <c r="I82" s="545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'17'!F83</f>
        <v>0</v>
      </c>
      <c r="F83" s="122">
        <v>0</v>
      </c>
      <c r="G83" s="431">
        <f t="shared" si="7"/>
        <v>0</v>
      </c>
      <c r="H83" s="99">
        <f>G83+'17'!H83</f>
        <v>0</v>
      </c>
      <c r="I83" s="545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'17'!F84</f>
        <v>43546</v>
      </c>
      <c r="F84" s="164">
        <v>43546</v>
      </c>
      <c r="G84" s="431">
        <f>F84-E84</f>
        <v>0</v>
      </c>
      <c r="H84" s="99">
        <f>G84+'17'!H84</f>
        <v>0</v>
      </c>
      <c r="I84" s="545"/>
      <c r="J84" s="175">
        <f>H84/DAY(B2)</f>
        <v>0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'17'!F85</f>
        <v>6203</v>
      </c>
      <c r="F85" s="164">
        <v>6203</v>
      </c>
      <c r="G85" s="431">
        <f t="shared" si="7"/>
        <v>0</v>
      </c>
      <c r="H85" s="99">
        <f>G85+'17'!H85</f>
        <v>270.55000000000018</v>
      </c>
      <c r="I85" s="545"/>
      <c r="J85" s="175">
        <f>H85/DAY(B2)</f>
        <v>15.030555555555566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'17'!F86</f>
        <v>46834</v>
      </c>
      <c r="F86" s="164">
        <v>46834</v>
      </c>
      <c r="G86" s="431">
        <f t="shared" si="7"/>
        <v>0</v>
      </c>
      <c r="H86" s="99">
        <f>G86+'17'!H86</f>
        <v>0</v>
      </c>
      <c r="I86" s="545"/>
      <c r="J86" s="175">
        <f>H86/DAY(B2)</f>
        <v>0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'17'!F87</f>
        <v>37168</v>
      </c>
      <c r="F87" s="164">
        <v>37192.449999999997</v>
      </c>
      <c r="G87" s="431">
        <f t="shared" si="7"/>
        <v>24.44999999999709</v>
      </c>
      <c r="H87" s="99">
        <f>G87+'17'!H87</f>
        <v>164.44999999999709</v>
      </c>
      <c r="I87" s="545">
        <f>G84+G85+G86+G87</f>
        <v>24.44999999999709</v>
      </c>
      <c r="J87" s="175">
        <f>H87/DAY(B2)</f>
        <v>9.1361111111109494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'17'!F88</f>
        <v>24666</v>
      </c>
      <c r="F88" s="164">
        <v>24674</v>
      </c>
      <c r="G88" s="431">
        <f t="shared" si="7"/>
        <v>8</v>
      </c>
      <c r="H88" s="99">
        <f>G88+'17'!H88</f>
        <v>70.400000000001455</v>
      </c>
      <c r="I88" s="545"/>
      <c r="J88" s="175">
        <f>H88/DAY(B2)</f>
        <v>3.9111111111111918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'17'!F89</f>
        <v>28908</v>
      </c>
      <c r="F89" s="164">
        <v>28918.49</v>
      </c>
      <c r="G89" s="431">
        <f t="shared" si="7"/>
        <v>10.490000000001601</v>
      </c>
      <c r="H89" s="99">
        <f>G89+'17'!H89</f>
        <v>170.10000000000218</v>
      </c>
      <c r="I89" s="545">
        <f>G88+G89</f>
        <v>18.490000000001601</v>
      </c>
      <c r="J89" s="175">
        <f>H89/DAY(B2)</f>
        <v>9.4500000000001219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'17'!F90</f>
        <v>74366</v>
      </c>
      <c r="F90" s="164">
        <v>74366</v>
      </c>
      <c r="G90" s="431">
        <f t="shared" si="7"/>
        <v>0</v>
      </c>
      <c r="H90" s="99">
        <f>G90+'17'!H90</f>
        <v>162.82000000000698</v>
      </c>
      <c r="I90" s="545">
        <f>G90</f>
        <v>0</v>
      </c>
      <c r="J90" s="175">
        <f>H90/DAY(B2)</f>
        <v>9.0455555555559428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'17'!F91</f>
        <v>5618</v>
      </c>
      <c r="F91" s="164">
        <v>5618</v>
      </c>
      <c r="G91" s="431">
        <f t="shared" si="7"/>
        <v>0</v>
      </c>
      <c r="H91" s="99">
        <f>G91+'17'!H91</f>
        <v>-0.21000000000003638</v>
      </c>
      <c r="I91" s="546"/>
      <c r="J91" s="175">
        <f>H91/DAY(B2)</f>
        <v>-1.1666666666668688E-2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'17'!F92</f>
        <v>7272</v>
      </c>
      <c r="F92" s="164">
        <v>7282</v>
      </c>
      <c r="G92" s="431">
        <f t="shared" si="7"/>
        <v>10</v>
      </c>
      <c r="H92" s="99">
        <f>G92+'17'!H92</f>
        <v>202.3100000000004</v>
      </c>
      <c r="I92" s="547">
        <f>G91+G92</f>
        <v>10</v>
      </c>
      <c r="J92" s="175">
        <f>H92/DAY(B2)</f>
        <v>11.239444444444466</v>
      </c>
      <c r="O92" s="71"/>
    </row>
    <row r="93" spans="1:15" ht="27.75" customHeight="1">
      <c r="A93" s="905" t="s">
        <v>239</v>
      </c>
      <c r="B93" s="906"/>
      <c r="C93" s="907"/>
      <c r="D93" s="111"/>
      <c r="E93" s="111"/>
      <c r="F93" s="111"/>
      <c r="G93" s="434"/>
      <c r="H93" s="121"/>
      <c r="I93" s="121"/>
      <c r="J93" s="183"/>
      <c r="K93" s="69"/>
      <c r="L93" s="66"/>
      <c r="O93" s="71"/>
    </row>
    <row r="94" spans="1:15" ht="27.75" customHeight="1">
      <c r="A94" s="902" t="s">
        <v>240</v>
      </c>
      <c r="B94" s="903"/>
      <c r="C94" s="904"/>
      <c r="D94" s="151" t="s">
        <v>130</v>
      </c>
      <c r="E94" s="151"/>
      <c r="F94" s="151"/>
      <c r="G94" s="446">
        <f>G35+G43+G49+G57</f>
        <v>5626</v>
      </c>
      <c r="H94" s="99">
        <f>G94+'17'!H94</f>
        <v>100053.85999999999</v>
      </c>
      <c r="I94" s="118"/>
      <c r="J94" s="175">
        <f>H94/DAY(B2)</f>
        <v>5558.5477777777769</v>
      </c>
      <c r="K94" s="69"/>
      <c r="L94" s="66"/>
      <c r="O94" s="71"/>
    </row>
    <row r="95" spans="1:15" ht="27.75" customHeight="1">
      <c r="A95" s="902" t="s">
        <v>241</v>
      </c>
      <c r="B95" s="903"/>
      <c r="C95" s="904"/>
      <c r="D95" s="151" t="s">
        <v>23</v>
      </c>
      <c r="E95" s="146"/>
      <c r="F95" s="146"/>
      <c r="G95" s="447">
        <f>G94/G7</f>
        <v>0.28108918311266551</v>
      </c>
      <c r="H95" s="99">
        <f>G95+'17'!H95</f>
        <v>4.819386103613736</v>
      </c>
      <c r="I95" s="167"/>
      <c r="J95" s="175">
        <f>H95/DAY(B2)</f>
        <v>0.26774367242298536</v>
      </c>
      <c r="K95" s="69"/>
      <c r="L95" s="66"/>
      <c r="O95" s="71"/>
    </row>
    <row r="96" spans="1:15" ht="27.75" customHeight="1">
      <c r="A96" s="902" t="s">
        <v>242</v>
      </c>
      <c r="B96" s="903"/>
      <c r="C96" s="904"/>
      <c r="D96" s="151" t="s">
        <v>130</v>
      </c>
      <c r="E96" s="95"/>
      <c r="F96" s="95"/>
      <c r="G96" s="446">
        <f>G41+G42+G55+G56</f>
        <v>2492</v>
      </c>
      <c r="H96" s="99">
        <f>G96+'17'!H96</f>
        <v>67447.69</v>
      </c>
      <c r="I96" s="118"/>
      <c r="J96" s="175">
        <f>H96/DAY(B2)</f>
        <v>3747.0938888888891</v>
      </c>
      <c r="K96" s="69"/>
      <c r="L96" s="66"/>
      <c r="O96" s="71"/>
    </row>
    <row r="97" spans="1:15" ht="27.75" customHeight="1">
      <c r="A97" s="902" t="s">
        <v>243</v>
      </c>
      <c r="B97" s="903"/>
      <c r="C97" s="904"/>
      <c r="D97" s="151" t="s">
        <v>23</v>
      </c>
      <c r="E97" s="95"/>
      <c r="F97" s="95"/>
      <c r="G97" s="447">
        <f>G96/G7</f>
        <v>0.12450662003497377</v>
      </c>
      <c r="H97" s="99">
        <f>G97+'17'!H97</f>
        <v>3.2328158986165016</v>
      </c>
      <c r="I97" s="167"/>
      <c r="J97" s="175">
        <f>H97/DAY(B2)</f>
        <v>0.1796008832564723</v>
      </c>
      <c r="K97" s="69"/>
      <c r="L97" s="66"/>
      <c r="O97" s="71"/>
    </row>
    <row r="98" spans="1:15" ht="27.75" customHeight="1">
      <c r="A98" s="902" t="s">
        <v>244</v>
      </c>
      <c r="B98" s="903"/>
      <c r="C98" s="904"/>
      <c r="D98" s="151" t="s">
        <v>130</v>
      </c>
      <c r="E98" s="95"/>
      <c r="F98" s="95"/>
      <c r="G98" s="446">
        <f>G39+G53</f>
        <v>2725</v>
      </c>
      <c r="H98" s="99">
        <f>G98+'17'!H98</f>
        <v>50255.969999999972</v>
      </c>
      <c r="I98" s="168"/>
      <c r="J98" s="175">
        <f>H98/DAY(B2)</f>
        <v>2791.9983333333316</v>
      </c>
      <c r="K98" s="69"/>
      <c r="L98" s="66"/>
      <c r="O98" s="71"/>
    </row>
    <row r="99" spans="1:15" ht="27.75" customHeight="1">
      <c r="A99" s="902" t="s">
        <v>245</v>
      </c>
      <c r="B99" s="903"/>
      <c r="C99" s="904"/>
      <c r="D99" s="151" t="s">
        <v>23</v>
      </c>
      <c r="E99" s="95"/>
      <c r="F99" s="95"/>
      <c r="G99" s="447">
        <f>G98/G7</f>
        <v>0.13614788908318762</v>
      </c>
      <c r="H99" s="99">
        <f>G99+'17'!H99</f>
        <v>2.4191532204972428</v>
      </c>
      <c r="I99" s="168"/>
      <c r="J99" s="175">
        <f>H99/DAY(B2)</f>
        <v>0.13439740113873572</v>
      </c>
      <c r="O99" s="71"/>
    </row>
    <row r="100" spans="1:15" ht="27.75" customHeight="1">
      <c r="A100" s="902" t="s">
        <v>246</v>
      </c>
      <c r="B100" s="903"/>
      <c r="C100" s="904"/>
      <c r="D100" s="151" t="s">
        <v>180</v>
      </c>
      <c r="E100" s="95"/>
      <c r="F100" s="95"/>
      <c r="G100" s="446">
        <f>G38+G52</f>
        <v>2550</v>
      </c>
      <c r="H100" s="99">
        <f>G100+'17'!H100</f>
        <v>42923.410000000025</v>
      </c>
      <c r="I100" s="118"/>
      <c r="J100" s="175">
        <f>H100/DAY(B2)</f>
        <v>2384.6338888888904</v>
      </c>
      <c r="K100" s="70"/>
      <c r="O100" s="71"/>
    </row>
    <row r="101" spans="1:15" ht="27.75" customHeight="1">
      <c r="A101" s="902" t="s">
        <v>247</v>
      </c>
      <c r="B101" s="903"/>
      <c r="C101" s="904"/>
      <c r="D101" s="151" t="s">
        <v>23</v>
      </c>
      <c r="E101" s="95"/>
      <c r="F101" s="95"/>
      <c r="G101" s="447">
        <f>G100/G7</f>
        <v>0.12740444666500125</v>
      </c>
      <c r="H101" s="99">
        <f>G101+'17'!H101</f>
        <v>2.0644750227554551</v>
      </c>
      <c r="I101" s="168"/>
      <c r="J101" s="175">
        <f>H101/DAY(B2)</f>
        <v>0.11469305681974751</v>
      </c>
      <c r="O101" s="71"/>
    </row>
    <row r="102" spans="1:15" ht="27.75" customHeight="1">
      <c r="A102" s="902" t="s">
        <v>248</v>
      </c>
      <c r="B102" s="903"/>
      <c r="C102" s="904"/>
      <c r="D102" s="151" t="s">
        <v>180</v>
      </c>
      <c r="E102" s="95"/>
      <c r="F102" s="95"/>
      <c r="G102" s="446">
        <f>G36+G50</f>
        <v>1793</v>
      </c>
      <c r="H102" s="99">
        <f>G102+'17'!H102</f>
        <v>39529.099999999977</v>
      </c>
      <c r="I102" s="168"/>
      <c r="J102" s="175">
        <f>H102/DAY(B2)</f>
        <v>2196.0611111111098</v>
      </c>
      <c r="O102" s="71"/>
    </row>
    <row r="103" spans="1:15" ht="27.75" customHeight="1">
      <c r="A103" s="902" t="s">
        <v>249</v>
      </c>
      <c r="B103" s="903"/>
      <c r="C103" s="904"/>
      <c r="D103" s="151" t="s">
        <v>23</v>
      </c>
      <c r="E103" s="95"/>
      <c r="F103" s="95"/>
      <c r="G103" s="447">
        <f>G102/G7</f>
        <v>8.958281289033225E-2</v>
      </c>
      <c r="H103" s="99">
        <f>G103+'17'!H103</f>
        <v>1.8981915889483691</v>
      </c>
      <c r="I103" s="118"/>
      <c r="J103" s="175">
        <f>H103/DAY(B2)</f>
        <v>0.1054550882749094</v>
      </c>
      <c r="O103" s="71"/>
    </row>
    <row r="104" spans="1:15" ht="27.75" customHeight="1">
      <c r="A104" s="902" t="s">
        <v>250</v>
      </c>
      <c r="B104" s="903"/>
      <c r="C104" s="904"/>
      <c r="D104" s="151" t="s">
        <v>180</v>
      </c>
      <c r="E104" s="95"/>
      <c r="F104" s="95"/>
      <c r="G104" s="446">
        <f>G37+G51</f>
        <v>1400</v>
      </c>
      <c r="H104" s="99">
        <f>G104+'17'!H104</f>
        <v>26435.130000000005</v>
      </c>
      <c r="I104" s="118"/>
      <c r="J104" s="175">
        <f>H104/DAY(B2)</f>
        <v>1468.6183333333336</v>
      </c>
      <c r="O104" s="71"/>
    </row>
    <row r="105" spans="1:15" ht="27.75" customHeight="1" thickBot="1">
      <c r="A105" s="895" t="s">
        <v>251</v>
      </c>
      <c r="B105" s="896"/>
      <c r="C105" s="897"/>
      <c r="D105" s="231" t="s">
        <v>23</v>
      </c>
      <c r="E105" s="185"/>
      <c r="F105" s="185"/>
      <c r="G105" s="448">
        <f>G104/G7</f>
        <v>6.9947539345490875E-2</v>
      </c>
      <c r="H105" s="99">
        <f>G105+'17'!H105</f>
        <v>1.2722792296940382</v>
      </c>
      <c r="I105" s="187"/>
      <c r="J105" s="188">
        <f>H105/DAY(B2)</f>
        <v>7.0682179427446562E-2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449"/>
      <c r="H106" s="170"/>
      <c r="I106" s="169"/>
      <c r="J106" s="171"/>
      <c r="O106" s="71"/>
    </row>
    <row r="108" spans="1:15" ht="27.75" customHeight="1">
      <c r="A108" s="891" t="s">
        <v>324</v>
      </c>
      <c r="B108" s="891"/>
      <c r="C108" s="891"/>
      <c r="D108" s="891"/>
      <c r="E108" s="891"/>
      <c r="F108" s="891"/>
      <c r="G108" s="891"/>
      <c r="H108" s="891"/>
      <c r="I108" s="891"/>
      <c r="J108" s="891"/>
    </row>
    <row r="109" spans="1:15" ht="27.75" customHeight="1">
      <c r="A109" s="918"/>
      <c r="B109" s="918"/>
    </row>
    <row r="110" spans="1:15" ht="27.75" customHeight="1">
      <c r="A110" s="892" t="s">
        <v>165</v>
      </c>
      <c r="B110" s="893"/>
      <c r="C110" s="893"/>
      <c r="D110" s="893"/>
      <c r="E110" s="893"/>
      <c r="F110" s="893"/>
      <c r="G110" s="893"/>
      <c r="H110" s="893"/>
      <c r="I110" s="893"/>
      <c r="J110" s="894"/>
    </row>
    <row r="111" spans="1:15" ht="27.75" customHeight="1">
      <c r="A111" s="885"/>
      <c r="B111" s="886"/>
      <c r="C111" s="887"/>
      <c r="D111" s="165"/>
      <c r="E111" s="165"/>
      <c r="F111" s="165"/>
      <c r="G111" s="451"/>
      <c r="H111" s="156"/>
      <c r="I111" s="165"/>
      <c r="J111" s="327"/>
    </row>
    <row r="112" spans="1:15" ht="27.75" customHeight="1">
      <c r="A112" s="881" t="s">
        <v>252</v>
      </c>
      <c r="B112" s="882"/>
      <c r="C112" s="883"/>
      <c r="D112" s="146" t="s">
        <v>183</v>
      </c>
      <c r="E112" s="95">
        <f>'17'!F112</f>
        <v>18540</v>
      </c>
      <c r="F112" s="237">
        <v>18601</v>
      </c>
      <c r="G112" s="431">
        <f t="shared" ref="G112:G123" si="8">F112-E112</f>
        <v>61</v>
      </c>
      <c r="H112" s="99">
        <f>G112+'17'!H112</f>
        <v>1089.7000000000007</v>
      </c>
      <c r="I112" s="165"/>
      <c r="J112" s="328">
        <f>H112/DAY(B2)</f>
        <v>60.538888888888927</v>
      </c>
    </row>
    <row r="113" spans="1:18" ht="27.75" customHeight="1">
      <c r="A113" s="881" t="s">
        <v>253</v>
      </c>
      <c r="B113" s="882"/>
      <c r="C113" s="883"/>
      <c r="D113" s="146" t="s">
        <v>183</v>
      </c>
      <c r="E113" s="95">
        <f>'17'!F113</f>
        <v>39510</v>
      </c>
      <c r="F113" s="237">
        <v>39658</v>
      </c>
      <c r="G113" s="431">
        <f t="shared" si="8"/>
        <v>148</v>
      </c>
      <c r="H113" s="99">
        <f>G113+'17'!H113</f>
        <v>2579</v>
      </c>
      <c r="I113" s="165"/>
      <c r="J113" s="328">
        <f>H113/DAY(B2)</f>
        <v>143.27777777777777</v>
      </c>
    </row>
    <row r="114" spans="1:18" ht="27.75" customHeight="1">
      <c r="A114" s="881" t="s">
        <v>254</v>
      </c>
      <c r="B114" s="882"/>
      <c r="C114" s="883"/>
      <c r="D114" s="146" t="s">
        <v>183</v>
      </c>
      <c r="E114" s="95">
        <f>'17'!F114</f>
        <v>58062</v>
      </c>
      <c r="F114" s="237">
        <v>58293</v>
      </c>
      <c r="G114" s="431">
        <f t="shared" si="8"/>
        <v>231</v>
      </c>
      <c r="H114" s="99">
        <f>G114+'17'!H114</f>
        <v>4025.2200000000012</v>
      </c>
      <c r="I114" s="165"/>
      <c r="J114" s="328">
        <f>H114/DAY(B2)</f>
        <v>223.62333333333339</v>
      </c>
    </row>
    <row r="115" spans="1:18" ht="27.75" customHeight="1">
      <c r="A115" s="881" t="s">
        <v>255</v>
      </c>
      <c r="B115" s="882"/>
      <c r="C115" s="883"/>
      <c r="D115" s="146" t="s">
        <v>183</v>
      </c>
      <c r="E115" s="95">
        <f>'17'!F115</f>
        <v>37470</v>
      </c>
      <c r="F115" s="237">
        <v>37620</v>
      </c>
      <c r="G115" s="431">
        <f t="shared" si="8"/>
        <v>150</v>
      </c>
      <c r="H115" s="99">
        <f>G115+'17'!H115</f>
        <v>2653.0899999999965</v>
      </c>
      <c r="I115" s="165"/>
      <c r="J115" s="328">
        <f>H115/DAY(B2)</f>
        <v>147.39388888888868</v>
      </c>
    </row>
    <row r="116" spans="1:18" ht="27.75" customHeight="1">
      <c r="A116" s="888" t="s">
        <v>96</v>
      </c>
      <c r="B116" s="889"/>
      <c r="C116" s="890"/>
      <c r="D116" s="146" t="s">
        <v>183</v>
      </c>
      <c r="E116" s="95">
        <f>'17'!F116</f>
        <v>141924</v>
      </c>
      <c r="F116" s="237">
        <v>142391</v>
      </c>
      <c r="G116" s="431">
        <f t="shared" si="8"/>
        <v>467</v>
      </c>
      <c r="H116" s="99">
        <f>G116+'17'!H116</f>
        <v>7902.609999999986</v>
      </c>
      <c r="I116" s="165"/>
      <c r="J116" s="328">
        <f>H116/DAY(B2)</f>
        <v>439.0338888888881</v>
      </c>
      <c r="Q116" s="881" t="s">
        <v>311</v>
      </c>
      <c r="R116" s="883"/>
    </row>
    <row r="117" spans="1:18" ht="27.75" customHeight="1">
      <c r="A117" s="888" t="s">
        <v>184</v>
      </c>
      <c r="B117" s="889"/>
      <c r="C117" s="890"/>
      <c r="D117" s="146" t="s">
        <v>183</v>
      </c>
      <c r="E117" s="95">
        <f>'17'!F117</f>
        <v>88488</v>
      </c>
      <c r="F117" s="237">
        <v>88723</v>
      </c>
      <c r="G117" s="431">
        <f t="shared" si="8"/>
        <v>235</v>
      </c>
      <c r="H117" s="99">
        <f>G117+'17'!H117</f>
        <v>6013</v>
      </c>
      <c r="I117" s="165"/>
      <c r="J117" s="328">
        <f>H117/DAY(B2)</f>
        <v>334.05555555555554</v>
      </c>
      <c r="Q117" s="881" t="s">
        <v>312</v>
      </c>
      <c r="R117" s="883"/>
    </row>
    <row r="118" spans="1:18" ht="27.75" customHeight="1">
      <c r="A118" s="880" t="s">
        <v>97</v>
      </c>
      <c r="B118" s="880"/>
      <c r="C118" s="880"/>
      <c r="D118" s="151" t="s">
        <v>183</v>
      </c>
      <c r="E118" s="95">
        <f>'17'!F118</f>
        <v>168889</v>
      </c>
      <c r="F118" s="237">
        <v>169499</v>
      </c>
      <c r="G118" s="431">
        <f t="shared" si="8"/>
        <v>610</v>
      </c>
      <c r="H118" s="99">
        <f>G118+'17'!H118</f>
        <v>11361.850000000006</v>
      </c>
      <c r="I118" s="165"/>
      <c r="J118" s="328">
        <f>H118/DAY(B2)</f>
        <v>631.21388888888919</v>
      </c>
      <c r="Q118" s="881" t="s">
        <v>311</v>
      </c>
      <c r="R118" s="883"/>
    </row>
    <row r="119" spans="1:18" ht="27.75" customHeight="1">
      <c r="A119" s="880" t="s">
        <v>98</v>
      </c>
      <c r="B119" s="880"/>
      <c r="C119" s="880"/>
      <c r="D119" s="151" t="s">
        <v>183</v>
      </c>
      <c r="E119" s="95">
        <f>'17'!F119</f>
        <v>44551</v>
      </c>
      <c r="F119" s="237">
        <v>44588</v>
      </c>
      <c r="G119" s="431">
        <f t="shared" si="8"/>
        <v>37</v>
      </c>
      <c r="H119" s="99">
        <f>G119+'17'!H119</f>
        <v>648.82499999999709</v>
      </c>
      <c r="I119" s="165"/>
      <c r="J119" s="328">
        <f>H119/DAY(B2)</f>
        <v>36.045833333333171</v>
      </c>
    </row>
    <row r="120" spans="1:18" ht="27.75" customHeight="1">
      <c r="A120" s="880" t="s">
        <v>99</v>
      </c>
      <c r="B120" s="880"/>
      <c r="C120" s="880"/>
      <c r="D120" s="151" t="s">
        <v>183</v>
      </c>
      <c r="E120" s="95">
        <f>'17'!F120</f>
        <v>115128</v>
      </c>
      <c r="F120" s="237">
        <v>115507</v>
      </c>
      <c r="G120" s="431">
        <f t="shared" si="8"/>
        <v>379</v>
      </c>
      <c r="H120" s="99">
        <f>G120+'17'!H120</f>
        <v>7069.8600000000006</v>
      </c>
      <c r="I120" s="165"/>
      <c r="J120" s="328">
        <f>H120/DAY(B2)</f>
        <v>392.77000000000004</v>
      </c>
    </row>
    <row r="121" spans="1:18" ht="27.75" customHeight="1">
      <c r="A121" s="880" t="s">
        <v>100</v>
      </c>
      <c r="B121" s="880"/>
      <c r="C121" s="880"/>
      <c r="D121" s="151" t="s">
        <v>183</v>
      </c>
      <c r="E121" s="95">
        <f>'17'!F121</f>
        <v>128584</v>
      </c>
      <c r="F121" s="237">
        <v>129033</v>
      </c>
      <c r="G121" s="431">
        <f t="shared" si="8"/>
        <v>449</v>
      </c>
      <c r="H121" s="99">
        <f>G121+'17'!H121</f>
        <v>7810.1100000000006</v>
      </c>
      <c r="I121" s="165"/>
      <c r="J121" s="328">
        <f>H121/DAY(B2)</f>
        <v>433.89500000000004</v>
      </c>
    </row>
    <row r="122" spans="1:18" ht="27.75" customHeight="1">
      <c r="A122" s="880" t="s">
        <v>101</v>
      </c>
      <c r="B122" s="880"/>
      <c r="C122" s="880"/>
      <c r="D122" s="151" t="s">
        <v>183</v>
      </c>
      <c r="E122" s="95">
        <f>'17'!F122</f>
        <v>86552</v>
      </c>
      <c r="F122" s="237">
        <v>86841</v>
      </c>
      <c r="G122" s="431">
        <f t="shared" si="8"/>
        <v>289</v>
      </c>
      <c r="H122" s="99">
        <f>G122+'17'!H122</f>
        <v>5566.6300000000047</v>
      </c>
      <c r="I122" s="165"/>
      <c r="J122" s="328">
        <f>H122/DAY(B2)</f>
        <v>309.25722222222248</v>
      </c>
    </row>
    <row r="123" spans="1:18" ht="27.75" customHeight="1">
      <c r="A123" s="880" t="s">
        <v>102</v>
      </c>
      <c r="B123" s="880"/>
      <c r="C123" s="880"/>
      <c r="D123" s="151" t="s">
        <v>183</v>
      </c>
      <c r="E123" s="95">
        <f>'17'!F123</f>
        <v>83245</v>
      </c>
      <c r="F123" s="237">
        <v>83552</v>
      </c>
      <c r="G123" s="431">
        <f t="shared" si="8"/>
        <v>307</v>
      </c>
      <c r="H123" s="99">
        <f>G123+'17'!H123</f>
        <v>5603</v>
      </c>
      <c r="I123" s="165"/>
      <c r="J123" s="328">
        <f>H123/DAY(B2)</f>
        <v>311.27777777777777</v>
      </c>
    </row>
    <row r="124" spans="1:18" ht="27.75" customHeight="1">
      <c r="A124" s="885"/>
      <c r="B124" s="886"/>
      <c r="C124" s="887"/>
      <c r="D124" s="165"/>
      <c r="E124" s="95">
        <f>'17'!F124</f>
        <v>0</v>
      </c>
      <c r="F124" s="165"/>
      <c r="G124" s="451"/>
      <c r="H124" s="99">
        <f>G124+'17'!H124</f>
        <v>0</v>
      </c>
      <c r="I124" s="165"/>
      <c r="J124" s="327"/>
    </row>
    <row r="125" spans="1:18" ht="27.75" customHeight="1">
      <c r="A125" s="787" t="s">
        <v>196</v>
      </c>
      <c r="B125" s="788"/>
      <c r="C125" s="245"/>
      <c r="D125" s="307"/>
      <c r="E125" s="308"/>
      <c r="F125" s="308"/>
      <c r="G125" s="452">
        <f>SUM(G112:G124)</f>
        <v>3363</v>
      </c>
      <c r="H125" s="156"/>
      <c r="I125" s="327">
        <f>G125-(G39+G53)</f>
        <v>638</v>
      </c>
      <c r="J125" s="327"/>
    </row>
    <row r="126" spans="1:18" ht="27.75" customHeight="1">
      <c r="A126" s="884" t="s">
        <v>317</v>
      </c>
      <c r="B126" s="884"/>
      <c r="C126" s="884"/>
      <c r="D126" s="884"/>
      <c r="E126" s="884"/>
      <c r="F126" s="884"/>
      <c r="G126" s="884"/>
      <c r="H126" s="884"/>
      <c r="I126" s="884"/>
      <c r="J126" s="884"/>
    </row>
    <row r="127" spans="1:18" ht="27.75" customHeight="1">
      <c r="A127" s="870"/>
      <c r="B127" s="870"/>
      <c r="C127" s="245"/>
      <c r="D127" s="307"/>
      <c r="E127" s="308"/>
      <c r="F127" s="308"/>
      <c r="G127" s="452"/>
      <c r="H127" s="99">
        <f>G127+'17'!H127</f>
        <v>0</v>
      </c>
      <c r="I127" s="165"/>
      <c r="J127" s="328">
        <f>H127/DAY(B2)</f>
        <v>0</v>
      </c>
    </row>
    <row r="128" spans="1:18" ht="27.75" customHeight="1">
      <c r="A128" s="881" t="s">
        <v>318</v>
      </c>
      <c r="B128" s="882"/>
      <c r="C128" s="883"/>
      <c r="D128" s="151" t="s">
        <v>183</v>
      </c>
      <c r="E128" s="95">
        <f>'17'!F128</f>
        <v>200449</v>
      </c>
      <c r="F128" s="165">
        <v>200945</v>
      </c>
      <c r="G128" s="431">
        <f t="shared" ref="G128:G134" si="9">F128-E128</f>
        <v>496</v>
      </c>
      <c r="H128" s="99">
        <f>G128+'17'!H128</f>
        <v>9059.3699999999953</v>
      </c>
      <c r="I128" s="165"/>
      <c r="J128" s="328">
        <f>H128/DAY(B2)</f>
        <v>503.29833333333306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'17'!F129</f>
        <v>104303</v>
      </c>
      <c r="F129" s="165">
        <v>104477</v>
      </c>
      <c r="G129" s="431">
        <f t="shared" si="9"/>
        <v>174</v>
      </c>
      <c r="H129" s="99">
        <f>G129+'17'!H129</f>
        <v>3200</v>
      </c>
      <c r="I129" s="165"/>
      <c r="J129" s="328">
        <f>H129/DAY(B2)</f>
        <v>177.77777777777777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'17'!F130</f>
        <v>278746</v>
      </c>
      <c r="F130" s="165">
        <v>279423</v>
      </c>
      <c r="G130" s="431">
        <f t="shared" si="9"/>
        <v>677</v>
      </c>
      <c r="H130" s="99">
        <f>G130+'17'!H130</f>
        <v>10608</v>
      </c>
      <c r="I130" s="165"/>
      <c r="J130" s="328">
        <f>H130/DAY(B2)</f>
        <v>589.33333333333337</v>
      </c>
      <c r="N130" s="240"/>
      <c r="O130" s="241"/>
    </row>
    <row r="131" spans="1:15" ht="27.75" customHeight="1">
      <c r="A131" s="881" t="s">
        <v>321</v>
      </c>
      <c r="B131" s="882"/>
      <c r="C131" s="883"/>
      <c r="D131" s="151" t="s">
        <v>183</v>
      </c>
      <c r="E131" s="95">
        <f>'17'!F131</f>
        <v>82578</v>
      </c>
      <c r="F131" s="158">
        <v>82747</v>
      </c>
      <c r="G131" s="431">
        <f t="shared" si="9"/>
        <v>169</v>
      </c>
      <c r="H131" s="99">
        <f>G131+'17'!H131</f>
        <v>3196.3699999999953</v>
      </c>
      <c r="I131" s="165"/>
      <c r="J131" s="328">
        <f>H131/DAY(B2)</f>
        <v>177.57611111111086</v>
      </c>
      <c r="N131" s="240"/>
      <c r="O131" s="241"/>
    </row>
    <row r="132" spans="1:15" ht="27.75" customHeight="1">
      <c r="A132" s="881" t="s">
        <v>322</v>
      </c>
      <c r="B132" s="882"/>
      <c r="C132" s="883"/>
      <c r="D132" s="151" t="s">
        <v>183</v>
      </c>
      <c r="E132" s="95">
        <f>'17'!F132</f>
        <v>148274</v>
      </c>
      <c r="F132" s="158">
        <v>148274</v>
      </c>
      <c r="G132" s="431">
        <f t="shared" si="9"/>
        <v>0</v>
      </c>
      <c r="H132" s="99">
        <f>G132+'17'!H132</f>
        <v>0</v>
      </c>
      <c r="I132" s="165"/>
      <c r="J132" s="328">
        <f>H132/DAY(B2)</f>
        <v>0</v>
      </c>
    </row>
    <row r="133" spans="1:15" ht="27.75" customHeight="1">
      <c r="A133" s="881" t="s">
        <v>359</v>
      </c>
      <c r="B133" s="882"/>
      <c r="C133" s="883"/>
      <c r="D133" s="151" t="s">
        <v>183</v>
      </c>
      <c r="E133" s="95">
        <f>'17'!F133</f>
        <v>288548</v>
      </c>
      <c r="F133" s="158">
        <v>288548</v>
      </c>
      <c r="G133" s="431">
        <f t="shared" si="9"/>
        <v>0</v>
      </c>
      <c r="H133" s="99">
        <f>G133+'17'!H133</f>
        <v>-644500</v>
      </c>
      <c r="I133" s="165"/>
      <c r="J133" s="328">
        <f>H133/DAY(B2)</f>
        <v>-35805.555555555555</v>
      </c>
    </row>
    <row r="134" spans="1:15" ht="27.75" customHeight="1">
      <c r="A134" s="881" t="s">
        <v>340</v>
      </c>
      <c r="B134" s="882"/>
      <c r="C134" s="883"/>
      <c r="D134" s="151" t="s">
        <v>183</v>
      </c>
      <c r="E134" s="95">
        <f>'17'!F134</f>
        <v>90443</v>
      </c>
      <c r="F134" s="158">
        <v>90672</v>
      </c>
      <c r="G134" s="431">
        <f t="shared" si="9"/>
        <v>229</v>
      </c>
      <c r="H134" s="99">
        <f>G134+'17'!H134</f>
        <v>4720</v>
      </c>
      <c r="I134" s="165"/>
      <c r="J134" s="328">
        <f>H134/DAY(B2)</f>
        <v>262.22222222222223</v>
      </c>
    </row>
    <row r="135" spans="1:15" ht="27.75" customHeight="1">
      <c r="A135" s="787" t="s">
        <v>196</v>
      </c>
      <c r="B135" s="788"/>
      <c r="C135" s="331"/>
      <c r="D135" s="151"/>
      <c r="E135" s="95"/>
      <c r="F135" s="165"/>
      <c r="G135" s="431">
        <f>SUM(G128:G134)</f>
        <v>1745</v>
      </c>
      <c r="H135" s="99">
        <f>G135+'10'!H135</f>
        <v>-626375.84499999997</v>
      </c>
      <c r="I135" s="327">
        <f>G135-(G35+G49)</f>
        <v>-1246</v>
      </c>
      <c r="J135" s="328"/>
    </row>
    <row r="136" spans="1:15" ht="27.75" customHeight="1">
      <c r="A136" s="869" t="s">
        <v>325</v>
      </c>
      <c r="B136" s="869"/>
      <c r="C136" s="869"/>
      <c r="D136" s="869"/>
      <c r="E136" s="869"/>
      <c r="F136" s="869"/>
      <c r="G136" s="869"/>
      <c r="H136" s="869"/>
      <c r="I136" s="869"/>
      <c r="J136" s="869"/>
    </row>
    <row r="137" spans="1:15" ht="27.75" customHeight="1">
      <c r="A137" s="245"/>
      <c r="B137" s="246"/>
      <c r="C137" s="246"/>
      <c r="D137" s="165"/>
      <c r="E137" s="165"/>
      <c r="F137" s="165"/>
      <c r="G137" s="451"/>
      <c r="H137" s="156"/>
      <c r="I137" s="165"/>
      <c r="J137" s="327"/>
    </row>
    <row r="138" spans="1:15" ht="27.75" customHeight="1">
      <c r="A138" s="880" t="s">
        <v>185</v>
      </c>
      <c r="B138" s="880"/>
      <c r="C138" s="880"/>
      <c r="D138" s="151" t="s">
        <v>183</v>
      </c>
      <c r="E138" s="95">
        <f>'17'!F138</f>
        <v>911376</v>
      </c>
      <c r="F138" s="147">
        <v>911487</v>
      </c>
      <c r="G138" s="431">
        <f t="shared" ref="G138:G152" si="10">F138-E138</f>
        <v>111</v>
      </c>
      <c r="H138" s="99">
        <f>G138+'17'!H138</f>
        <v>2047</v>
      </c>
      <c r="I138" s="118"/>
      <c r="J138" s="328">
        <f>H138/DAY(B2)</f>
        <v>113.72222222222223</v>
      </c>
    </row>
    <row r="139" spans="1:15" ht="27.75" customHeight="1">
      <c r="A139" s="880" t="s">
        <v>186</v>
      </c>
      <c r="B139" s="880"/>
      <c r="C139" s="880"/>
      <c r="D139" s="151" t="s">
        <v>183</v>
      </c>
      <c r="E139" s="95">
        <f>'17'!F139</f>
        <v>935039</v>
      </c>
      <c r="F139" s="148">
        <v>935186</v>
      </c>
      <c r="G139" s="431">
        <f t="shared" si="10"/>
        <v>147</v>
      </c>
      <c r="H139" s="99">
        <f>G139+'17'!H139</f>
        <v>2826</v>
      </c>
      <c r="I139" s="118"/>
      <c r="J139" s="328">
        <f>H139/DAY(B2)</f>
        <v>157</v>
      </c>
    </row>
    <row r="140" spans="1:15" ht="27.75" customHeight="1">
      <c r="A140" s="880" t="s">
        <v>187</v>
      </c>
      <c r="B140" s="880"/>
      <c r="C140" s="880"/>
      <c r="D140" s="151" t="s">
        <v>183</v>
      </c>
      <c r="E140" s="95">
        <f>'17'!F140</f>
        <v>4435</v>
      </c>
      <c r="F140" s="149">
        <v>4463</v>
      </c>
      <c r="G140" s="431">
        <f t="shared" si="10"/>
        <v>28</v>
      </c>
      <c r="H140" s="99">
        <f>G140+'17'!H140</f>
        <v>429.48900000000003</v>
      </c>
      <c r="I140" s="118"/>
      <c r="J140" s="328">
        <f>H140/DAY(B2)</f>
        <v>23.860500000000002</v>
      </c>
    </row>
    <row r="141" spans="1:15" ht="27.75" customHeight="1">
      <c r="A141" s="863" t="s">
        <v>188</v>
      </c>
      <c r="B141" s="863"/>
      <c r="C141" s="863"/>
      <c r="D141" s="151" t="s">
        <v>183</v>
      </c>
      <c r="E141" s="95">
        <f>'17'!F141</f>
        <v>128032</v>
      </c>
      <c r="F141" s="149">
        <v>128277</v>
      </c>
      <c r="G141" s="431">
        <f t="shared" si="10"/>
        <v>245</v>
      </c>
      <c r="H141" s="99">
        <f>G141+'17'!H141</f>
        <v>3679</v>
      </c>
      <c r="I141" s="118"/>
      <c r="J141" s="328">
        <f>H141/DAY(B2)</f>
        <v>204.38888888888889</v>
      </c>
    </row>
    <row r="142" spans="1:15" ht="27.75" customHeight="1">
      <c r="A142" s="863" t="s">
        <v>189</v>
      </c>
      <c r="B142" s="863"/>
      <c r="C142" s="863"/>
      <c r="D142" s="151" t="s">
        <v>183</v>
      </c>
      <c r="E142" s="95">
        <f>'17'!F142</f>
        <v>52083</v>
      </c>
      <c r="F142" s="148">
        <v>52163</v>
      </c>
      <c r="G142" s="431">
        <f t="shared" si="10"/>
        <v>80</v>
      </c>
      <c r="H142" s="99">
        <f>G142+'17'!H142</f>
        <v>1597.4499999999971</v>
      </c>
      <c r="I142" s="140"/>
      <c r="J142" s="328">
        <f>H142/DAY(B2)</f>
        <v>88.747222222222064</v>
      </c>
    </row>
    <row r="143" spans="1:15" ht="27.75" customHeight="1">
      <c r="A143" s="880" t="s">
        <v>91</v>
      </c>
      <c r="B143" s="880"/>
      <c r="C143" s="880"/>
      <c r="D143" s="151" t="s">
        <v>183</v>
      </c>
      <c r="E143" s="95">
        <f>'17'!F143</f>
        <v>13901</v>
      </c>
      <c r="F143" s="149">
        <v>13931</v>
      </c>
      <c r="G143" s="431">
        <f t="shared" si="10"/>
        <v>30</v>
      </c>
      <c r="H143" s="99">
        <f>G143+'17'!H143</f>
        <v>544</v>
      </c>
      <c r="I143" s="140"/>
      <c r="J143" s="328">
        <f>H143/DAY(B2)</f>
        <v>30.222222222222221</v>
      </c>
    </row>
    <row r="144" spans="1:15" ht="27.75" customHeight="1">
      <c r="A144" s="863" t="s">
        <v>90</v>
      </c>
      <c r="B144" s="863"/>
      <c r="C144" s="863"/>
      <c r="D144" s="151" t="s">
        <v>183</v>
      </c>
      <c r="E144" s="95">
        <f>'17'!F144</f>
        <v>959577</v>
      </c>
      <c r="F144" s="148">
        <v>959825</v>
      </c>
      <c r="G144" s="431">
        <f t="shared" si="10"/>
        <v>248</v>
      </c>
      <c r="H144" s="99">
        <f>G144+'17'!H144</f>
        <v>4355</v>
      </c>
      <c r="I144" s="140"/>
      <c r="J144" s="328">
        <f>H144/DAY(B2)</f>
        <v>241.94444444444446</v>
      </c>
    </row>
    <row r="145" spans="1:10" ht="27.75" customHeight="1">
      <c r="A145" s="880" t="s">
        <v>190</v>
      </c>
      <c r="B145" s="880"/>
      <c r="C145" s="880"/>
      <c r="D145" s="152" t="s">
        <v>183</v>
      </c>
      <c r="E145" s="95">
        <f>'17'!F145</f>
        <v>748004</v>
      </c>
      <c r="F145" s="149">
        <v>748039</v>
      </c>
      <c r="G145" s="431">
        <f t="shared" si="10"/>
        <v>35</v>
      </c>
      <c r="H145" s="99">
        <f>G145+'17'!H145</f>
        <v>2858</v>
      </c>
      <c r="I145" s="140"/>
      <c r="J145" s="328">
        <f>H145/DAY(B2)</f>
        <v>158.77777777777777</v>
      </c>
    </row>
    <row r="146" spans="1:10" ht="27.75" customHeight="1">
      <c r="A146" s="914" t="s">
        <v>191</v>
      </c>
      <c r="B146" s="900"/>
      <c r="C146" s="901"/>
      <c r="D146" s="152" t="s">
        <v>183</v>
      </c>
      <c r="E146" s="95">
        <f>'17'!F146</f>
        <v>788481</v>
      </c>
      <c r="F146" s="148">
        <v>788516</v>
      </c>
      <c r="G146" s="431">
        <f t="shared" si="10"/>
        <v>35</v>
      </c>
      <c r="H146" s="99">
        <f>G146+'17'!H146</f>
        <v>658</v>
      </c>
      <c r="I146" s="140"/>
      <c r="J146" s="328">
        <f>H146/DAY(B2)</f>
        <v>36.555555555555557</v>
      </c>
    </row>
    <row r="147" spans="1:10" ht="27.75" customHeight="1">
      <c r="A147" s="863" t="s">
        <v>192</v>
      </c>
      <c r="B147" s="863"/>
      <c r="C147" s="863"/>
      <c r="D147" s="152" t="s">
        <v>183</v>
      </c>
      <c r="E147" s="95">
        <f>'17'!F147</f>
        <v>766474</v>
      </c>
      <c r="F147" s="148">
        <v>766837</v>
      </c>
      <c r="G147" s="431">
        <f t="shared" si="10"/>
        <v>363</v>
      </c>
      <c r="H147" s="99">
        <f>G147+'17'!H147</f>
        <v>6699</v>
      </c>
      <c r="I147" s="140"/>
      <c r="J147" s="328">
        <f>H147/DAY(B2)</f>
        <v>372.16666666666669</v>
      </c>
    </row>
    <row r="148" spans="1:10" ht="27.75" customHeight="1">
      <c r="A148" s="864" t="s">
        <v>193</v>
      </c>
      <c r="B148" s="865"/>
      <c r="C148" s="866"/>
      <c r="D148" s="123" t="s">
        <v>130</v>
      </c>
      <c r="E148" s="95">
        <f>'17'!F148</f>
        <v>801774</v>
      </c>
      <c r="F148" s="150">
        <v>802079</v>
      </c>
      <c r="G148" s="431">
        <f t="shared" si="10"/>
        <v>305</v>
      </c>
      <c r="H148" s="99">
        <f>G148+'17'!H148</f>
        <v>5666.9200000000419</v>
      </c>
      <c r="I148" s="124"/>
      <c r="J148" s="328">
        <f>H148/DAY(B2)</f>
        <v>314.82888888889124</v>
      </c>
    </row>
    <row r="149" spans="1:10" ht="27.75" customHeight="1">
      <c r="A149" s="864" t="s">
        <v>336</v>
      </c>
      <c r="B149" s="865"/>
      <c r="C149" s="866"/>
      <c r="D149" s="227" t="s">
        <v>130</v>
      </c>
      <c r="E149" s="95">
        <f>'17'!F149</f>
        <v>208988</v>
      </c>
      <c r="F149" s="415">
        <v>209470</v>
      </c>
      <c r="G149" s="431">
        <f t="shared" si="10"/>
        <v>482</v>
      </c>
      <c r="H149" s="99">
        <f>G149+'17'!H149</f>
        <v>8178.7300000000105</v>
      </c>
      <c r="I149" s="119"/>
      <c r="J149" s="328">
        <f>H149/DAY(B2)</f>
        <v>454.3738888888895</v>
      </c>
    </row>
    <row r="150" spans="1:10" ht="27.75" customHeight="1">
      <c r="A150" s="864" t="s">
        <v>337</v>
      </c>
      <c r="B150" s="865"/>
      <c r="C150" s="866"/>
      <c r="D150" s="117" t="s">
        <v>130</v>
      </c>
      <c r="E150" s="95">
        <f>'17'!F150</f>
        <v>88999</v>
      </c>
      <c r="F150" s="233">
        <v>89247</v>
      </c>
      <c r="G150" s="431">
        <f t="shared" si="10"/>
        <v>248</v>
      </c>
      <c r="H150" s="99">
        <f>G150+'17'!H150</f>
        <v>6660</v>
      </c>
      <c r="I150" s="119"/>
      <c r="J150" s="328">
        <f>H150/DAY(B2)</f>
        <v>370</v>
      </c>
    </row>
    <row r="151" spans="1:10" ht="27.75" customHeight="1">
      <c r="A151" s="864" t="s">
        <v>338</v>
      </c>
      <c r="B151" s="865"/>
      <c r="C151" s="866"/>
      <c r="D151" s="117" t="s">
        <v>130</v>
      </c>
      <c r="E151" s="95">
        <f>'17'!F151</f>
        <v>171874</v>
      </c>
      <c r="F151" s="233">
        <v>172174</v>
      </c>
      <c r="G151" s="431">
        <f t="shared" si="10"/>
        <v>300</v>
      </c>
      <c r="H151" s="99">
        <f>G151+'17'!H151</f>
        <v>5444</v>
      </c>
      <c r="I151" s="119"/>
      <c r="J151" s="328">
        <f>H151/DAY(B2)</f>
        <v>302.44444444444446</v>
      </c>
    </row>
    <row r="152" spans="1:10" ht="27.75" customHeight="1">
      <c r="A152" s="864" t="s">
        <v>339</v>
      </c>
      <c r="B152" s="865"/>
      <c r="C152" s="866"/>
      <c r="D152" s="117" t="s">
        <v>130</v>
      </c>
      <c r="E152" s="95">
        <f>'17'!F152</f>
        <v>44755</v>
      </c>
      <c r="F152" s="233">
        <v>44890</v>
      </c>
      <c r="G152" s="431">
        <f t="shared" si="10"/>
        <v>135</v>
      </c>
      <c r="H152" s="99">
        <f>G152+'17'!H152</f>
        <v>2379</v>
      </c>
      <c r="I152" s="119"/>
      <c r="J152" s="328">
        <f>H152/DAY(B2)</f>
        <v>132.16666666666666</v>
      </c>
    </row>
    <row r="153" spans="1:10" ht="27.75" customHeight="1">
      <c r="A153" s="787" t="s">
        <v>196</v>
      </c>
      <c r="B153" s="788"/>
      <c r="C153" s="365"/>
      <c r="D153" s="358"/>
      <c r="E153" s="360"/>
      <c r="F153" s="361"/>
      <c r="G153" s="453">
        <f>SUM(G138:G152)</f>
        <v>2792</v>
      </c>
      <c r="H153" s="363"/>
      <c r="I153" s="119">
        <f>G153-(G38+G52)</f>
        <v>242</v>
      </c>
      <c r="J153" s="366"/>
    </row>
    <row r="154" spans="1:10" ht="27.75" customHeight="1">
      <c r="A154" s="869" t="s">
        <v>344</v>
      </c>
      <c r="B154" s="869"/>
      <c r="C154" s="869"/>
      <c r="D154" s="869"/>
      <c r="E154" s="869"/>
      <c r="F154" s="869"/>
      <c r="G154" s="869"/>
      <c r="H154" s="869"/>
      <c r="I154" s="869"/>
      <c r="J154" s="869"/>
    </row>
    <row r="155" spans="1:10" ht="27.75" customHeight="1">
      <c r="A155" s="863" t="s">
        <v>345</v>
      </c>
      <c r="B155" s="863"/>
      <c r="C155" s="863"/>
      <c r="D155" s="117" t="s">
        <v>130</v>
      </c>
      <c r="E155" s="95">
        <f>'17'!F155</f>
        <v>248623</v>
      </c>
      <c r="F155" s="388">
        <v>249182</v>
      </c>
      <c r="G155" s="431">
        <f t="shared" ref="G155:G157" si="11">F155-E155</f>
        <v>559</v>
      </c>
      <c r="H155" s="99">
        <f>G155+'17'!H155</f>
        <v>10148</v>
      </c>
      <c r="I155" s="364"/>
      <c r="J155" s="328">
        <f>H155/DAY(B2)</f>
        <v>563.77777777777783</v>
      </c>
    </row>
    <row r="156" spans="1:10" ht="27.75" customHeight="1">
      <c r="A156" s="863" t="s">
        <v>347</v>
      </c>
      <c r="B156" s="863"/>
      <c r="C156" s="863"/>
      <c r="D156" s="117" t="s">
        <v>130</v>
      </c>
      <c r="E156" s="95">
        <f>'17'!F156</f>
        <v>31203</v>
      </c>
      <c r="F156" s="155">
        <v>31300</v>
      </c>
      <c r="G156" s="431">
        <f t="shared" si="11"/>
        <v>97</v>
      </c>
      <c r="H156" s="99">
        <f>G156+'17'!H156</f>
        <v>1620.5</v>
      </c>
      <c r="I156" s="165"/>
      <c r="J156" s="328">
        <f>H156/DAY(B2)</f>
        <v>90.027777777777771</v>
      </c>
    </row>
    <row r="157" spans="1:10" ht="27.75" customHeight="1">
      <c r="A157" s="864" t="s">
        <v>360</v>
      </c>
      <c r="B157" s="865"/>
      <c r="C157" s="866"/>
      <c r="D157" s="117" t="s">
        <v>130</v>
      </c>
      <c r="E157" s="95">
        <f>'17'!F157</f>
        <v>37559</v>
      </c>
      <c r="F157" s="155">
        <v>37559</v>
      </c>
      <c r="G157" s="431">
        <f t="shared" si="11"/>
        <v>0</v>
      </c>
      <c r="H157" s="99">
        <f>G157+'17'!H157</f>
        <v>0</v>
      </c>
      <c r="I157" s="165"/>
      <c r="J157" s="328">
        <f>H157/DAY(B2)</f>
        <v>0</v>
      </c>
    </row>
    <row r="158" spans="1:10" ht="27.75" customHeight="1">
      <c r="A158" s="864" t="s">
        <v>361</v>
      </c>
      <c r="B158" s="865"/>
      <c r="C158" s="866"/>
      <c r="D158" s="117" t="s">
        <v>130</v>
      </c>
      <c r="E158" s="95">
        <f>'17'!F158</f>
        <v>1770</v>
      </c>
      <c r="F158" s="155">
        <v>1771</v>
      </c>
      <c r="G158" s="431">
        <f t="shared" ref="G158" si="12">F158-E158</f>
        <v>1</v>
      </c>
      <c r="H158" s="99">
        <f>G158+'17'!H158</f>
        <v>13</v>
      </c>
      <c r="I158" s="165"/>
      <c r="J158" s="328">
        <f>H158/DAY(B2)</f>
        <v>0.72222222222222221</v>
      </c>
    </row>
    <row r="159" spans="1:10" ht="27.75" customHeight="1">
      <c r="A159" s="944"/>
      <c r="B159" s="945"/>
      <c r="C159" s="946"/>
      <c r="D159" s="117"/>
      <c r="E159" s="95"/>
      <c r="F159" s="165"/>
      <c r="G159" s="431"/>
      <c r="H159" s="99"/>
      <c r="I159" s="165"/>
      <c r="J159" s="328"/>
    </row>
    <row r="160" spans="1:10" ht="27.75" customHeight="1">
      <c r="A160" s="869" t="s">
        <v>326</v>
      </c>
      <c r="B160" s="869"/>
      <c r="C160" s="869"/>
      <c r="D160" s="869"/>
      <c r="E160" s="869"/>
      <c r="F160" s="869"/>
      <c r="G160" s="869"/>
      <c r="H160" s="869"/>
      <c r="I160" s="869"/>
      <c r="J160" s="869"/>
    </row>
    <row r="161" spans="1:10" ht="27.75" customHeight="1">
      <c r="A161" s="242" t="s">
        <v>92</v>
      </c>
      <c r="B161" s="243"/>
      <c r="C161" s="243"/>
      <c r="D161" s="244" t="s">
        <v>180</v>
      </c>
      <c r="E161" s="95">
        <f>'17'!F161</f>
        <v>511040</v>
      </c>
      <c r="F161" s="235">
        <v>511181</v>
      </c>
      <c r="G161" s="454">
        <f t="shared" ref="G161:G165" si="13">F161-E161</f>
        <v>141</v>
      </c>
      <c r="H161" s="99">
        <f>G161+'17'!H161</f>
        <v>2797.679999999993</v>
      </c>
      <c r="I161" s="236"/>
      <c r="J161" s="239">
        <f>H161/DAY(B2)</f>
        <v>155.42666666666628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95">
        <f>'17'!F162</f>
        <v>1323</v>
      </c>
      <c r="F162" s="235">
        <v>1365</v>
      </c>
      <c r="G162" s="454">
        <f t="shared" si="13"/>
        <v>42</v>
      </c>
      <c r="H162" s="99">
        <f>G162+'17'!H162</f>
        <v>628.4</v>
      </c>
      <c r="I162" s="236"/>
      <c r="J162" s="239">
        <f>H162/DAY(B2)</f>
        <v>34.911111111111111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95">
        <f>'17'!F163</f>
        <v>0</v>
      </c>
      <c r="F163" s="235">
        <v>0</v>
      </c>
      <c r="G163" s="454">
        <f t="shared" si="13"/>
        <v>0</v>
      </c>
      <c r="H163" s="99">
        <f>G163+'17'!H163</f>
        <v>0</v>
      </c>
      <c r="I163" s="236"/>
      <c r="J163" s="239">
        <f>H163/DAY(B2)</f>
        <v>0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95">
        <f>'17'!F164</f>
        <v>7286</v>
      </c>
      <c r="F164" s="235">
        <v>7297</v>
      </c>
      <c r="G164" s="454">
        <f t="shared" si="13"/>
        <v>11</v>
      </c>
      <c r="H164" s="99">
        <f>G164+'17'!H164</f>
        <v>98</v>
      </c>
      <c r="I164" s="236"/>
      <c r="J164" s="239">
        <f>H164/DAY(B2)</f>
        <v>5.4444444444444446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95">
        <f>'17'!F165</f>
        <v>32885</v>
      </c>
      <c r="F165" s="235">
        <v>32892</v>
      </c>
      <c r="G165" s="454">
        <f t="shared" si="13"/>
        <v>7</v>
      </c>
      <c r="H165" s="99">
        <f>G165+'17'!H165</f>
        <v>111.91199999999662</v>
      </c>
      <c r="I165" s="236"/>
      <c r="J165" s="239">
        <f>H165/DAY(B2)</f>
        <v>6.217333333333146</v>
      </c>
    </row>
    <row r="166" spans="1:10" ht="27.75" customHeight="1">
      <c r="A166" s="870"/>
      <c r="B166" s="870"/>
      <c r="C166" s="246"/>
      <c r="D166" s="244" t="s">
        <v>180</v>
      </c>
      <c r="E166" s="95">
        <f>'17'!F166</f>
        <v>0</v>
      </c>
      <c r="F166" s="165"/>
      <c r="G166" s="451"/>
      <c r="H166" s="99">
        <f>G166+'17'!H166</f>
        <v>0</v>
      </c>
      <c r="I166" s="165"/>
      <c r="J166" s="239">
        <f>H166/DAY(B2)</f>
        <v>0</v>
      </c>
    </row>
    <row r="167" spans="1:10" ht="27.75" customHeight="1">
      <c r="A167" s="870"/>
      <c r="B167" s="870"/>
      <c r="C167" s="246"/>
      <c r="D167" s="244" t="s">
        <v>180</v>
      </c>
      <c r="E167" s="95">
        <f>'17'!F167</f>
        <v>0</v>
      </c>
      <c r="F167" s="165"/>
      <c r="G167" s="451"/>
      <c r="H167" s="99">
        <f>G167+'17'!H167</f>
        <v>0</v>
      </c>
      <c r="I167" s="165"/>
      <c r="J167" s="239">
        <f>H167/DAY(B2)</f>
        <v>0</v>
      </c>
    </row>
    <row r="168" spans="1:10" ht="27.75" customHeight="1">
      <c r="A168" s="870"/>
      <c r="B168" s="870"/>
      <c r="C168" s="246"/>
      <c r="D168" s="244" t="s">
        <v>180</v>
      </c>
      <c r="E168" s="95">
        <f>'17'!F168</f>
        <v>0</v>
      </c>
      <c r="F168" s="165"/>
      <c r="G168" s="451"/>
      <c r="H168" s="99">
        <f>G168+'17'!H168</f>
        <v>0</v>
      </c>
      <c r="I168" s="165"/>
      <c r="J168" s="239">
        <f>H168/DAY(B2)</f>
        <v>0</v>
      </c>
    </row>
    <row r="171" spans="1:10" ht="27.75" customHeight="1">
      <c r="A171" s="871" t="s">
        <v>330</v>
      </c>
      <c r="B171" s="872"/>
      <c r="C171" s="872"/>
      <c r="D171" s="872"/>
      <c r="E171" s="872"/>
      <c r="F171" s="872"/>
      <c r="G171" s="872"/>
      <c r="H171" s="872"/>
      <c r="I171" s="872"/>
      <c r="J171" s="873"/>
    </row>
    <row r="172" spans="1:10" ht="27.75" customHeight="1">
      <c r="A172" s="878"/>
      <c r="B172" s="879"/>
      <c r="C172" s="332"/>
      <c r="D172" s="228"/>
      <c r="E172" s="155"/>
      <c r="F172" s="155"/>
      <c r="G172" s="455"/>
      <c r="H172" s="156"/>
      <c r="I172" s="155"/>
      <c r="J172" s="178"/>
    </row>
    <row r="173" spans="1:10" ht="27.75" customHeight="1">
      <c r="A173" s="789" t="s">
        <v>209</v>
      </c>
      <c r="B173" s="790"/>
      <c r="C173" s="333"/>
      <c r="D173" s="228" t="s">
        <v>142</v>
      </c>
      <c r="E173" s="95">
        <f>'17'!F173</f>
        <v>8601</v>
      </c>
      <c r="F173" s="155">
        <v>8602</v>
      </c>
      <c r="G173" s="455">
        <f>F173-E173</f>
        <v>1</v>
      </c>
      <c r="H173" s="99">
        <f>G173+'17'!H173</f>
        <v>20</v>
      </c>
      <c r="I173" s="155"/>
      <c r="J173" s="178">
        <f>H173/DAY(B2)</f>
        <v>1.1111111111111112</v>
      </c>
    </row>
    <row r="174" spans="1:10" ht="27.75" customHeight="1">
      <c r="A174" s="789" t="s">
        <v>75</v>
      </c>
      <c r="B174" s="790"/>
      <c r="C174" s="333"/>
      <c r="D174" s="228" t="s">
        <v>142</v>
      </c>
      <c r="E174" s="95">
        <f>'17'!F174</f>
        <v>43250</v>
      </c>
      <c r="F174" s="157">
        <v>43260</v>
      </c>
      <c r="G174" s="455">
        <f t="shared" ref="G174:G175" si="14">F174-E174</f>
        <v>10</v>
      </c>
      <c r="H174" s="99">
        <f>G174+'17'!H174</f>
        <v>210</v>
      </c>
      <c r="I174" s="155"/>
      <c r="J174" s="178">
        <f>H174/DAY(B2)</f>
        <v>11.666666666666666</v>
      </c>
    </row>
    <row r="175" spans="1:10" ht="27.75" customHeight="1">
      <c r="A175" s="789" t="s">
        <v>76</v>
      </c>
      <c r="B175" s="802"/>
      <c r="C175" s="790"/>
      <c r="D175" s="228" t="s">
        <v>142</v>
      </c>
      <c r="E175" s="95">
        <f>'17'!F175</f>
        <v>26068</v>
      </c>
      <c r="F175" s="155">
        <v>26083</v>
      </c>
      <c r="G175" s="455">
        <f t="shared" si="14"/>
        <v>15</v>
      </c>
      <c r="H175" s="99">
        <f>G175+'17'!H175</f>
        <v>262</v>
      </c>
      <c r="I175" s="155"/>
      <c r="J175" s="178">
        <f>H175/DAY(B2)</f>
        <v>14.555555555555555</v>
      </c>
    </row>
    <row r="176" spans="1:10" ht="27.75" customHeight="1">
      <c r="A176" s="787" t="s">
        <v>196</v>
      </c>
      <c r="B176" s="788"/>
      <c r="C176" s="400"/>
      <c r="D176" s="228" t="s">
        <v>142</v>
      </c>
      <c r="E176" s="95"/>
      <c r="F176" s="155"/>
      <c r="G176" s="455">
        <f>SUM(G173:G175)</f>
        <v>26</v>
      </c>
      <c r="H176" s="99">
        <f>G176+'17'!H176</f>
        <v>492</v>
      </c>
      <c r="I176" s="155"/>
      <c r="J176" s="178">
        <f>H176/DAY(B2)</f>
        <v>27.333333333333332</v>
      </c>
    </row>
    <row r="177" spans="1:11" ht="27.75" customHeight="1">
      <c r="A177" s="789" t="s">
        <v>77</v>
      </c>
      <c r="B177" s="790"/>
      <c r="C177" s="333"/>
      <c r="D177" s="228" t="s">
        <v>142</v>
      </c>
      <c r="E177" s="95"/>
      <c r="F177" s="155"/>
      <c r="G177" s="455"/>
      <c r="H177" s="99">
        <f>G177+'17'!H177</f>
        <v>0</v>
      </c>
      <c r="I177" s="155"/>
      <c r="J177" s="178">
        <f>H177/DAY(B2)</f>
        <v>0</v>
      </c>
    </row>
    <row r="178" spans="1:11" ht="27.75" customHeight="1">
      <c r="A178" s="789" t="s">
        <v>210</v>
      </c>
      <c r="B178" s="790"/>
      <c r="C178" s="333"/>
      <c r="D178" s="228" t="s">
        <v>142</v>
      </c>
      <c r="E178" s="95">
        <f>'17'!F178</f>
        <v>108927</v>
      </c>
      <c r="F178" s="155">
        <v>109032</v>
      </c>
      <c r="G178" s="455">
        <f>F178-E178</f>
        <v>105</v>
      </c>
      <c r="H178" s="99">
        <f>G178+'17'!H178</f>
        <v>2033</v>
      </c>
      <c r="I178" s="155"/>
      <c r="J178" s="178">
        <f>H178/DAY(B2)</f>
        <v>112.94444444444444</v>
      </c>
    </row>
    <row r="179" spans="1:11" ht="27.75" customHeight="1">
      <c r="A179" s="789" t="s">
        <v>211</v>
      </c>
      <c r="B179" s="790"/>
      <c r="C179" s="333"/>
      <c r="D179" s="228" t="s">
        <v>142</v>
      </c>
      <c r="E179" s="95">
        <f>'17'!F179</f>
        <v>37501</v>
      </c>
      <c r="F179" s="155">
        <v>37501</v>
      </c>
      <c r="G179" s="455">
        <f t="shared" ref="G179:G180" si="15">F179-E179</f>
        <v>0</v>
      </c>
      <c r="H179" s="99">
        <f>G179+'17'!H179</f>
        <v>0</v>
      </c>
      <c r="I179" s="155"/>
      <c r="J179" s="178">
        <f>H179/DAY(B2)</f>
        <v>0</v>
      </c>
    </row>
    <row r="180" spans="1:11" ht="27.75" customHeight="1">
      <c r="A180" s="789" t="s">
        <v>212</v>
      </c>
      <c r="B180" s="790"/>
      <c r="C180" s="333"/>
      <c r="D180" s="228" t="s">
        <v>142</v>
      </c>
      <c r="E180" s="95">
        <f>'17'!F180</f>
        <v>7640</v>
      </c>
      <c r="F180" s="155">
        <v>7651</v>
      </c>
      <c r="G180" s="455">
        <f t="shared" si="15"/>
        <v>11</v>
      </c>
      <c r="H180" s="99">
        <f>G180+'17'!H180</f>
        <v>88</v>
      </c>
      <c r="I180" s="155"/>
      <c r="J180" s="178">
        <f>H180/DAY(B2)</f>
        <v>4.8888888888888893</v>
      </c>
    </row>
    <row r="181" spans="1:11" ht="27.75" customHeight="1">
      <c r="A181" s="876" t="s">
        <v>108</v>
      </c>
      <c r="B181" s="877"/>
      <c r="C181" s="400"/>
      <c r="D181" s="228" t="s">
        <v>142</v>
      </c>
      <c r="E181" s="95"/>
      <c r="F181" s="155"/>
      <c r="G181" s="455">
        <f>SUM(G178:G180)</f>
        <v>116</v>
      </c>
      <c r="H181" s="99">
        <f>G181+'17'!H181</f>
        <v>2121</v>
      </c>
      <c r="I181" s="155"/>
      <c r="J181" s="178">
        <f>H181/DAY(B2)</f>
        <v>117.83333333333333</v>
      </c>
    </row>
    <row r="182" spans="1:11" ht="27.75" customHeight="1">
      <c r="A182" s="789" t="s">
        <v>213</v>
      </c>
      <c r="B182" s="790"/>
      <c r="C182" s="333"/>
      <c r="D182" s="228" t="s">
        <v>142</v>
      </c>
      <c r="E182" s="95"/>
      <c r="F182" s="155"/>
      <c r="G182" s="455"/>
      <c r="H182" s="99">
        <f>G182+'17'!H182</f>
        <v>0</v>
      </c>
      <c r="I182" s="155"/>
      <c r="J182" s="178">
        <f>H182/DAY(B2)</f>
        <v>0</v>
      </c>
    </row>
    <row r="183" spans="1:11" ht="27.75" customHeight="1">
      <c r="A183" s="789" t="s">
        <v>214</v>
      </c>
      <c r="B183" s="790"/>
      <c r="C183" s="334"/>
      <c r="D183" s="228" t="s">
        <v>142</v>
      </c>
      <c r="E183" s="95">
        <f>'17'!F183</f>
        <v>18475</v>
      </c>
      <c r="F183" s="157">
        <v>18478</v>
      </c>
      <c r="G183" s="456">
        <f>F183-E183</f>
        <v>3</v>
      </c>
      <c r="H183" s="99">
        <f>G183+'17'!H183</f>
        <v>100</v>
      </c>
      <c r="I183" s="155"/>
      <c r="J183" s="178">
        <f>H183/DAY(B2)</f>
        <v>5.5555555555555554</v>
      </c>
    </row>
    <row r="184" spans="1:11" ht="27.75" customHeight="1">
      <c r="A184" s="789" t="s">
        <v>215</v>
      </c>
      <c r="B184" s="790"/>
      <c r="C184" s="334"/>
      <c r="D184" s="228" t="s">
        <v>142</v>
      </c>
      <c r="E184" s="95">
        <f>'17'!F184</f>
        <v>13140</v>
      </c>
      <c r="F184" s="157">
        <v>13154</v>
      </c>
      <c r="G184" s="456">
        <f t="shared" ref="G184:G185" si="16">F184-E184</f>
        <v>14</v>
      </c>
      <c r="H184" s="99">
        <f>G184+'17'!H184</f>
        <v>174</v>
      </c>
      <c r="I184" s="155"/>
      <c r="J184" s="178">
        <f>H184/DAY(B2)</f>
        <v>9.6666666666666661</v>
      </c>
    </row>
    <row r="185" spans="1:11" ht="27.75" customHeight="1">
      <c r="A185" s="789" t="s">
        <v>216</v>
      </c>
      <c r="B185" s="790"/>
      <c r="C185" s="334"/>
      <c r="D185" s="228" t="s">
        <v>142</v>
      </c>
      <c r="E185" s="95">
        <f>'17'!F185</f>
        <v>0</v>
      </c>
      <c r="F185" s="157"/>
      <c r="G185" s="456">
        <f t="shared" si="16"/>
        <v>0</v>
      </c>
      <c r="H185" s="99">
        <f>G185+'17'!H185</f>
        <v>0</v>
      </c>
      <c r="I185" s="155"/>
      <c r="J185" s="178">
        <f>H185/DAY(B2)</f>
        <v>0</v>
      </c>
    </row>
    <row r="186" spans="1:11" ht="27.75" customHeight="1">
      <c r="A186" s="787" t="s">
        <v>196</v>
      </c>
      <c r="B186" s="788"/>
      <c r="C186" s="399"/>
      <c r="D186" s="228" t="s">
        <v>142</v>
      </c>
      <c r="E186" s="95"/>
      <c r="F186" s="157"/>
      <c r="G186" s="456">
        <f>SUM(G183:G185)</f>
        <v>17</v>
      </c>
      <c r="H186" s="99">
        <f>G186+'17'!H186</f>
        <v>274</v>
      </c>
      <c r="I186" s="157"/>
      <c r="J186" s="178">
        <f>H186/DAY(B2)</f>
        <v>15.222222222222221</v>
      </c>
    </row>
    <row r="187" spans="1:11" ht="27.75" customHeight="1">
      <c r="A187" s="867" t="s">
        <v>217</v>
      </c>
      <c r="B187" s="868"/>
      <c r="C187" s="333"/>
      <c r="D187" s="230" t="s">
        <v>142</v>
      </c>
      <c r="E187" s="95"/>
      <c r="F187" s="159"/>
      <c r="G187" s="457">
        <f>G62+G19</f>
        <v>160</v>
      </c>
      <c r="H187" s="99">
        <f>G187+'17'!H187</f>
        <v>2735</v>
      </c>
      <c r="I187" s="158"/>
      <c r="J187" s="179">
        <f>H187/DAY(B2)</f>
        <v>151.94444444444446</v>
      </c>
    </row>
    <row r="188" spans="1:11" ht="27.75" customHeight="1">
      <c r="A188" s="867" t="s">
        <v>218</v>
      </c>
      <c r="B188" s="868"/>
      <c r="C188" s="333"/>
      <c r="D188" s="230" t="s">
        <v>142</v>
      </c>
      <c r="E188" s="95"/>
      <c r="F188" s="159"/>
      <c r="G188" s="457">
        <f>G65+G66+G67+G69+G70</f>
        <v>175</v>
      </c>
      <c r="H188" s="99">
        <f>G188+'17'!H188</f>
        <v>655</v>
      </c>
      <c r="I188" s="158"/>
      <c r="J188" s="179">
        <f>H188/DAY(B2)</f>
        <v>36.388888888888886</v>
      </c>
    </row>
    <row r="189" spans="1:11" ht="27.75" customHeight="1">
      <c r="A189" s="867" t="s">
        <v>219</v>
      </c>
      <c r="B189" s="868"/>
      <c r="C189" s="333"/>
      <c r="D189" s="230" t="s">
        <v>142</v>
      </c>
      <c r="E189" s="95"/>
      <c r="F189" s="157"/>
      <c r="G189" s="457">
        <f>G181</f>
        <v>116</v>
      </c>
      <c r="H189" s="99">
        <f>G189+'17'!H189</f>
        <v>2121</v>
      </c>
      <c r="I189" s="158"/>
      <c r="J189" s="179">
        <f>H189/DAY(B2)</f>
        <v>117.83333333333333</v>
      </c>
    </row>
    <row r="190" spans="1:11" ht="23.25" customHeight="1">
      <c r="A190" s="245"/>
      <c r="B190" s="246"/>
      <c r="C190" s="246"/>
      <c r="D190" s="165"/>
      <c r="E190" s="165"/>
      <c r="F190" s="155"/>
      <c r="G190" s="451"/>
      <c r="H190" s="238"/>
      <c r="I190" s="99"/>
      <c r="J190" s="236"/>
      <c r="K190" s="239" t="e">
        <f>I190/DAY(C27)</f>
        <v>#DIV/0!</v>
      </c>
    </row>
  </sheetData>
  <mergeCells count="114"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09:B109"/>
    <mergeCell ref="A110:J110"/>
    <mergeCell ref="A111:C111"/>
    <mergeCell ref="A112:C112"/>
    <mergeCell ref="A113:C113"/>
    <mergeCell ref="A102:C102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00:C100"/>
    <mergeCell ref="A79:C79"/>
    <mergeCell ref="A80:C80"/>
    <mergeCell ref="A81:C81"/>
    <mergeCell ref="A95:C95"/>
    <mergeCell ref="A96:C96"/>
    <mergeCell ref="A93:C93"/>
    <mergeCell ref="A94:C94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19:C119"/>
    <mergeCell ref="A120:C120"/>
    <mergeCell ref="A121:C121"/>
    <mergeCell ref="A122:C122"/>
    <mergeCell ref="A123:C123"/>
    <mergeCell ref="A116:C116"/>
    <mergeCell ref="A136:J136"/>
    <mergeCell ref="A138:C138"/>
    <mergeCell ref="A139:C139"/>
    <mergeCell ref="A140:C140"/>
    <mergeCell ref="A141:C141"/>
    <mergeCell ref="A131:C131"/>
    <mergeCell ref="A132:C132"/>
    <mergeCell ref="A133:C133"/>
    <mergeCell ref="A134:C134"/>
    <mergeCell ref="A135:B135"/>
    <mergeCell ref="A142:C142"/>
    <mergeCell ref="A160:J160"/>
    <mergeCell ref="A166:B166"/>
    <mergeCell ref="A167:B167"/>
    <mergeCell ref="A168:B168"/>
    <mergeCell ref="A175:C175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71:J171"/>
    <mergeCell ref="A172:B172"/>
    <mergeCell ref="A173:B173"/>
    <mergeCell ref="A174:B174"/>
    <mergeCell ref="A176:B176"/>
    <mergeCell ref="A188:B188"/>
    <mergeCell ref="A189:B189"/>
    <mergeCell ref="A182:B182"/>
    <mergeCell ref="A183:B183"/>
    <mergeCell ref="A185:B185"/>
    <mergeCell ref="A186:B186"/>
    <mergeCell ref="A187:B187"/>
    <mergeCell ref="A177:B177"/>
    <mergeCell ref="A178:B178"/>
    <mergeCell ref="A179:B179"/>
    <mergeCell ref="A180:B180"/>
    <mergeCell ref="A181:B181"/>
    <mergeCell ref="A184:B184"/>
  </mergeCells>
  <pageMargins left="0.22" right="0.17" top="0.14000000000000001" bottom="0.2" header="0.2" footer="0.2"/>
  <pageSetup paperSize="5" scale="1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R270"/>
  <sheetViews>
    <sheetView view="pageBreakPreview" zoomScale="55" zoomScaleNormal="40" zoomScaleSheetLayoutView="55" zoomScalePageLayoutView="60" workbookViewId="0">
      <selection activeCell="H74" sqref="H74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493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19" t="s">
        <v>115</v>
      </c>
      <c r="B1" s="920"/>
      <c r="C1" s="920"/>
      <c r="D1" s="920"/>
      <c r="E1" s="920"/>
      <c r="F1" s="920"/>
      <c r="G1" s="920"/>
      <c r="H1" s="920"/>
      <c r="I1" s="920"/>
      <c r="J1" s="921"/>
    </row>
    <row r="2" spans="1:15" s="57" customFormat="1" ht="23.25">
      <c r="A2" s="191" t="s">
        <v>349</v>
      </c>
      <c r="B2" s="262">
        <v>44914</v>
      </c>
      <c r="C2" s="348" t="s">
        <v>67</v>
      </c>
      <c r="D2" s="218">
        <v>0.82</v>
      </c>
      <c r="E2" s="100"/>
      <c r="F2" s="100"/>
      <c r="G2" s="47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29</v>
      </c>
      <c r="E3" s="928" t="s">
        <v>119</v>
      </c>
      <c r="F3" s="929"/>
      <c r="G3" s="47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471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72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22" t="s">
        <v>128</v>
      </c>
      <c r="B6" s="923"/>
      <c r="C6" s="924"/>
      <c r="D6" s="110"/>
      <c r="E6" s="110"/>
      <c r="F6" s="110"/>
      <c r="G6" s="473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'18 '!F7</f>
        <v>351837</v>
      </c>
      <c r="F7" s="95">
        <v>373057</v>
      </c>
      <c r="G7" s="474">
        <f>F7-E7</f>
        <v>21220</v>
      </c>
      <c r="H7" s="99">
        <f>G7+'18 '!H7</f>
        <v>395438</v>
      </c>
      <c r="I7" s="113">
        <f>'1'!I7</f>
        <v>12000</v>
      </c>
      <c r="J7" s="175">
        <f>H7/DAY(B2)</f>
        <v>20812.526315789473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'18 '!F8</f>
        <v>539066</v>
      </c>
      <c r="F8" s="114">
        <v>560722</v>
      </c>
      <c r="G8" s="475">
        <f>F8-E8</f>
        <v>21656</v>
      </c>
      <c r="H8" s="99">
        <f>G8+'18 '!H8</f>
        <v>402865</v>
      </c>
      <c r="I8" s="116"/>
      <c r="J8" s="175">
        <f>H8/DAY(B2)</f>
        <v>21203.42105263158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'18 '!F9</f>
        <v>4673475</v>
      </c>
      <c r="F9" s="468">
        <v>4684953.9000000004</v>
      </c>
      <c r="G9" s="474">
        <f>F9-E9</f>
        <v>11478.900000000373</v>
      </c>
      <c r="H9" s="99">
        <f>G9+'18 '!H9</f>
        <v>268348</v>
      </c>
      <c r="I9" s="124">
        <f>I7-J7</f>
        <v>-8812.5263157894733</v>
      </c>
      <c r="J9" s="175">
        <f>H9/DAY(B2)</f>
        <v>14123.578947368422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'18 '!F10</f>
        <v>4178798</v>
      </c>
      <c r="F10" s="353">
        <v>4188007.1</v>
      </c>
      <c r="G10" s="474">
        <f t="shared" ref="G10:G12" si="0">F10-E10</f>
        <v>9209.1000000000931</v>
      </c>
      <c r="H10" s="99">
        <f>G10+'18 '!H10</f>
        <v>117970.80000000028</v>
      </c>
      <c r="I10" s="282"/>
      <c r="J10" s="175">
        <f>H10/DAY(B2)</f>
        <v>6208.9894736842252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'18 '!F11</f>
        <v>38700</v>
      </c>
      <c r="F11" s="95">
        <v>38700</v>
      </c>
      <c r="G11" s="474">
        <f t="shared" si="0"/>
        <v>0</v>
      </c>
      <c r="H11" s="99">
        <f>G11+'18 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'18 '!F12</f>
        <v>40550</v>
      </c>
      <c r="F12" s="117">
        <v>40550</v>
      </c>
      <c r="G12" s="474">
        <f t="shared" si="0"/>
        <v>0</v>
      </c>
      <c r="H12" s="99">
        <f>G12+'18 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476">
        <f>G9+G10+G11+G12</f>
        <v>20688.000000000466</v>
      </c>
      <c r="H13" s="99">
        <f>G13+'18 '!H13</f>
        <v>386318.80000000028</v>
      </c>
      <c r="I13" s="120">
        <f>G7-G13</f>
        <v>531.99999999953434</v>
      </c>
      <c r="J13" s="175">
        <f>H13/DAY(B2)</f>
        <v>20332.568421052645</v>
      </c>
      <c r="K13" s="79"/>
      <c r="L13" s="66"/>
      <c r="N13" s="87"/>
      <c r="O13" s="71"/>
    </row>
    <row r="14" spans="1:15" ht="26.25">
      <c r="A14" s="925" t="s">
        <v>137</v>
      </c>
      <c r="B14" s="926"/>
      <c r="C14" s="927"/>
      <c r="D14" s="111"/>
      <c r="E14" s="111"/>
      <c r="F14" s="111"/>
      <c r="G14" s="477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68">
        <f>'18 '!F15</f>
        <v>2273298</v>
      </c>
      <c r="F15" s="468">
        <v>2274469.7999999998</v>
      </c>
      <c r="G15" s="474">
        <f>(F15-E15)</f>
        <v>1171.7999999998137</v>
      </c>
      <c r="H15" s="99">
        <f>G15+'18 '!H15</f>
        <v>21168.441999999806</v>
      </c>
      <c r="I15" s="113">
        <f>'1'!I15</f>
        <v>800</v>
      </c>
      <c r="J15" s="175">
        <f>H15/DAY(B2)</f>
        <v>1114.1285263157793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474" t="s">
        <v>207</v>
      </c>
      <c r="H16" s="124"/>
      <c r="I16" s="120">
        <f>I15-J15</f>
        <v>-314.12852631577925</v>
      </c>
      <c r="J16" s="176"/>
      <c r="K16" s="79"/>
      <c r="L16" s="66"/>
      <c r="N16" s="87"/>
      <c r="O16" s="71"/>
    </row>
    <row r="17" spans="1:15" ht="26.25">
      <c r="A17" s="925" t="s">
        <v>140</v>
      </c>
      <c r="B17" s="926"/>
      <c r="C17" s="927"/>
      <c r="D17" s="111"/>
      <c r="E17" s="111"/>
      <c r="F17" s="111"/>
      <c r="G17" s="477"/>
      <c r="H17" s="111"/>
      <c r="I17" s="111"/>
      <c r="J17" s="174"/>
      <c r="K17" s="79"/>
      <c r="L17" s="66"/>
      <c r="N17" s="87"/>
      <c r="O17" s="71"/>
    </row>
    <row r="18" spans="1:15" ht="25.5">
      <c r="A18" s="902" t="s">
        <v>141</v>
      </c>
      <c r="B18" s="903"/>
      <c r="C18" s="904"/>
      <c r="D18" s="151" t="s">
        <v>142</v>
      </c>
      <c r="E18" s="95">
        <f>'18 '!F18</f>
        <v>23</v>
      </c>
      <c r="F18" s="122">
        <v>17</v>
      </c>
      <c r="G18" s="476">
        <f>F18*10</f>
        <v>170</v>
      </c>
      <c r="H18" s="99">
        <f>G18+'18 '!H18</f>
        <v>3990</v>
      </c>
      <c r="I18" s="113">
        <f>'1'!I18</f>
        <v>65</v>
      </c>
      <c r="J18" s="175">
        <f>H18/DAY(B2)</f>
        <v>210</v>
      </c>
      <c r="K18" s="79"/>
      <c r="L18" s="66"/>
      <c r="N18" s="87"/>
      <c r="O18" s="71"/>
    </row>
    <row r="19" spans="1:15" ht="25.5">
      <c r="A19" s="902" t="s">
        <v>69</v>
      </c>
      <c r="B19" s="903"/>
      <c r="C19" s="904"/>
      <c r="D19" s="151" t="s">
        <v>142</v>
      </c>
      <c r="E19" s="95">
        <f>'18 '!F19</f>
        <v>170584</v>
      </c>
      <c r="F19" s="750">
        <v>170645</v>
      </c>
      <c r="G19" s="474">
        <f t="shared" ref="G19" si="1">F19-E19</f>
        <v>61</v>
      </c>
      <c r="H19" s="99">
        <f>G19+'18 '!H19</f>
        <v>1080</v>
      </c>
      <c r="I19" s="335"/>
      <c r="J19" s="175">
        <f>H19/DAY(B2)</f>
        <v>56.842105263157897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478">
        <f>G18+G19</f>
        <v>231</v>
      </c>
      <c r="H20" s="99">
        <f>G20+'18 '!H20</f>
        <v>5070</v>
      </c>
      <c r="I20" s="336">
        <f>I18-J20</f>
        <v>-201.84210526315792</v>
      </c>
      <c r="J20" s="175">
        <f>H20/DAY(B2)</f>
        <v>266.84210526315792</v>
      </c>
      <c r="K20" s="79"/>
      <c r="L20" s="66"/>
      <c r="N20" s="87"/>
      <c r="O20" s="71"/>
    </row>
    <row r="21" spans="1:15" ht="26.25">
      <c r="A21" s="925" t="s">
        <v>144</v>
      </c>
      <c r="B21" s="926"/>
      <c r="C21" s="927"/>
      <c r="D21" s="111"/>
      <c r="E21" s="111"/>
      <c r="F21" s="111"/>
      <c r="G21" s="477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'18 '!F22</f>
        <v>2970</v>
      </c>
      <c r="F22" s="122">
        <v>2970</v>
      </c>
      <c r="G22" s="476">
        <f t="shared" ref="G22" si="2">(F22-E22)</f>
        <v>0</v>
      </c>
      <c r="H22" s="99">
        <f>G22+'18 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'18 '!F23</f>
        <v>1860</v>
      </c>
      <c r="F23" s="122">
        <v>1860</v>
      </c>
      <c r="G23" s="476">
        <v>0</v>
      </c>
      <c r="H23" s="99">
        <f>G23+'18 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'18 '!F24</f>
        <v>4830</v>
      </c>
      <c r="F24" s="128">
        <f>SUM(F22:F23)</f>
        <v>4830</v>
      </c>
      <c r="G24" s="476">
        <v>0</v>
      </c>
      <c r="H24" s="99">
        <f>G24+'18 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30" t="s">
        <v>149</v>
      </c>
      <c r="B25" s="931"/>
      <c r="C25" s="932"/>
      <c r="D25" s="110"/>
      <c r="E25" s="110"/>
      <c r="F25" s="110"/>
      <c r="G25" s="47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480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21656</v>
      </c>
      <c r="F27" s="136">
        <v>9</v>
      </c>
      <c r="G27" s="481">
        <f>E27*F27</f>
        <v>194904</v>
      </c>
      <c r="H27" s="99">
        <f>G27+'18 '!H27</f>
        <v>3793999.1999999997</v>
      </c>
      <c r="I27" s="138"/>
      <c r="J27" s="175">
        <f>H27/DAY(B2)</f>
        <v>199684.16842105263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1171.7999999998137</v>
      </c>
      <c r="F28" s="136">
        <v>70</v>
      </c>
      <c r="G28" s="481">
        <f>E28*F28</f>
        <v>82025.999999986961</v>
      </c>
      <c r="H28" s="99">
        <f>G28+'18 '!H28</f>
        <v>1461669.1499999864</v>
      </c>
      <c r="I28" s="140"/>
      <c r="J28" s="175">
        <f>H28/DAY(B2)</f>
        <v>76929.955263157186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81">
        <f>E29*F29</f>
        <v>0</v>
      </c>
      <c r="H29" s="99">
        <f>G29+'18 '!H29</f>
        <v>6900</v>
      </c>
      <c r="I29" s="140"/>
      <c r="J29" s="175">
        <f>H29/DAY(B2)</f>
        <v>363.15789473684208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61</v>
      </c>
      <c r="F30" s="136">
        <v>151</v>
      </c>
      <c r="G30" s="481">
        <f>E30*F30</f>
        <v>9211</v>
      </c>
      <c r="H30" s="99">
        <f>G30+'18 '!H30</f>
        <v>163080</v>
      </c>
      <c r="I30" s="140"/>
      <c r="J30" s="175">
        <f>H30/DAY(B2)</f>
        <v>8583.1578947368416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170</v>
      </c>
      <c r="F31" s="136">
        <v>80</v>
      </c>
      <c r="G31" s="481">
        <f>E31*F31</f>
        <v>13600</v>
      </c>
      <c r="H31" s="99">
        <f>G31+'18 '!H31</f>
        <v>326200</v>
      </c>
      <c r="I31" s="140"/>
      <c r="J31" s="175">
        <f>H31/DAY(B2)</f>
        <v>17168.42105263158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482">
        <f>G27+G28+G29+G30+G31</f>
        <v>299740.99999998696</v>
      </c>
      <c r="H32" s="99">
        <f>G32+'18 '!H32</f>
        <v>5751848.3499999866</v>
      </c>
      <c r="I32" s="144"/>
      <c r="J32" s="175">
        <f>H32/DAY(B2)</f>
        <v>302728.86052631511</v>
      </c>
      <c r="K32" s="63"/>
      <c r="L32" s="89"/>
      <c r="N32" s="87"/>
      <c r="O32" s="71"/>
    </row>
    <row r="33" spans="1:15" ht="25.5" customHeight="1">
      <c r="A33" s="933" t="s">
        <v>331</v>
      </c>
      <c r="B33" s="934"/>
      <c r="C33" s="934"/>
      <c r="D33" s="337"/>
      <c r="E33" s="337"/>
      <c r="F33" s="337"/>
      <c r="G33" s="483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484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'18 '!F35</f>
        <v>500697</v>
      </c>
      <c r="F35" s="145">
        <v>502934.27</v>
      </c>
      <c r="G35" s="474">
        <f t="shared" ref="G35:G46" si="3">F35-E35</f>
        <v>2237.2700000000186</v>
      </c>
      <c r="H35" s="99">
        <f>G35+'18 '!H35</f>
        <v>48416.280000000028</v>
      </c>
      <c r="I35" s="95"/>
      <c r="J35" s="175">
        <f>H35/DAY(B2)</f>
        <v>2548.2252631578963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'18 '!F36</f>
        <v>369164</v>
      </c>
      <c r="F36" s="145">
        <v>370157.19</v>
      </c>
      <c r="G36" s="474">
        <f t="shared" si="3"/>
        <v>993.19000000000233</v>
      </c>
      <c r="H36" s="99">
        <f>G36+'18 '!H36</f>
        <v>16068.289999999979</v>
      </c>
      <c r="I36" s="95"/>
      <c r="J36" s="175">
        <f>H36/DAY(B2)</f>
        <v>845.69947368420947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'18 '!F37</f>
        <v>364705</v>
      </c>
      <c r="F37" s="145">
        <v>366189.57</v>
      </c>
      <c r="G37" s="474">
        <f t="shared" si="3"/>
        <v>1484.570000000007</v>
      </c>
      <c r="H37" s="99">
        <f>G37+'18 '!H37</f>
        <v>27919.700000000012</v>
      </c>
      <c r="I37" s="95"/>
      <c r="J37" s="175">
        <f>H37/DAY(B2)</f>
        <v>1469.4578947368427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'18 '!F38</f>
        <v>842601</v>
      </c>
      <c r="F38" s="108">
        <v>845183.67</v>
      </c>
      <c r="G38" s="474">
        <f t="shared" si="3"/>
        <v>2582.6700000000419</v>
      </c>
      <c r="H38" s="99">
        <f>G38+'18 '!H38</f>
        <v>45506.320000000065</v>
      </c>
      <c r="I38" s="95"/>
      <c r="J38" s="175">
        <f>H38/DAY(B2)</f>
        <v>2395.0694736842138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'18 '!F39</f>
        <v>670546</v>
      </c>
      <c r="F39" s="145">
        <v>673300.63</v>
      </c>
      <c r="G39" s="474">
        <f t="shared" si="3"/>
        <v>2754.6300000000047</v>
      </c>
      <c r="H39" s="99">
        <f>G39+'18 '!H39</f>
        <v>53010.630000000005</v>
      </c>
      <c r="I39" s="95"/>
      <c r="J39" s="175">
        <f>H39/DAY(B2)</f>
        <v>2790.0331578947371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'18 '!F40</f>
        <v>215048</v>
      </c>
      <c r="F40" s="418">
        <v>215253.87</v>
      </c>
      <c r="G40" s="474">
        <f t="shared" si="3"/>
        <v>205.86999999999534</v>
      </c>
      <c r="H40" s="99">
        <f>G40+'18 '!H40</f>
        <v>5567.5199999999895</v>
      </c>
      <c r="I40" s="95"/>
      <c r="J40" s="175">
        <f>H40/DAY(B2)</f>
        <v>293.02736842105207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'18 '!F41</f>
        <v>420212.51</v>
      </c>
      <c r="F41" s="145">
        <v>420215.51</v>
      </c>
      <c r="G41" s="474">
        <f t="shared" si="3"/>
        <v>3</v>
      </c>
      <c r="H41" s="99">
        <f>G41+'18 '!H41</f>
        <v>3</v>
      </c>
      <c r="I41" s="95"/>
      <c r="J41" s="175">
        <f>H41/DAY(B2)</f>
        <v>0.15789473684210525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'18 '!F42</f>
        <v>970677</v>
      </c>
      <c r="F42" s="145">
        <v>970677.43</v>
      </c>
      <c r="G42" s="474">
        <f t="shared" si="3"/>
        <v>0.43000000005122274</v>
      </c>
      <c r="H42" s="99">
        <f>G42+'18 '!H42</f>
        <v>49722.960000000079</v>
      </c>
      <c r="I42" s="95"/>
      <c r="J42" s="175">
        <f>H42/DAY(B2)</f>
        <v>2616.9978947368463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'18 '!F43</f>
        <v>422444</v>
      </c>
      <c r="F43" s="145">
        <v>422444</v>
      </c>
      <c r="G43" s="474">
        <f t="shared" si="3"/>
        <v>0</v>
      </c>
      <c r="H43" s="99">
        <f>G43+'18 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'18 '!F44</f>
        <v>0</v>
      </c>
      <c r="F44" s="145">
        <v>0</v>
      </c>
      <c r="G44" s="474">
        <f t="shared" si="3"/>
        <v>0</v>
      </c>
      <c r="H44" s="99">
        <f>G44+'18 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'18 '!F45</f>
        <v>0</v>
      </c>
      <c r="F45" s="145">
        <v>0</v>
      </c>
      <c r="G45" s="474">
        <f t="shared" si="3"/>
        <v>0</v>
      </c>
      <c r="H45" s="99">
        <f>G45+'18 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'18 '!F46</f>
        <v>0</v>
      </c>
      <c r="F46" s="145">
        <v>0</v>
      </c>
      <c r="G46" s="474">
        <f t="shared" si="3"/>
        <v>0</v>
      </c>
      <c r="H46" s="99">
        <f>G46+'18 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476">
        <f>G35+G36+G37+G38+G39+G40+G41+G42+G43+G44+G45+G46</f>
        <v>10261.630000000121</v>
      </c>
      <c r="H47" s="99">
        <f>G47+'18 '!H47</f>
        <v>246214.70000000016</v>
      </c>
      <c r="I47" s="95"/>
      <c r="J47" s="175">
        <f>H47/DAY(B2)</f>
        <v>12958.66842105264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484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'18 '!F49</f>
        <v>815998</v>
      </c>
      <c r="F49" s="145">
        <v>816569.19</v>
      </c>
      <c r="G49" s="474">
        <f t="shared" ref="G49:G58" si="4">F49-E49</f>
        <v>571.18999999994412</v>
      </c>
      <c r="H49" s="99">
        <f>G49+'18 '!H49</f>
        <v>10065.039999999921</v>
      </c>
      <c r="I49" s="95"/>
      <c r="J49" s="175">
        <f>H49/DAY(B2)</f>
        <v>529.73894736841692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'18 '!F50</f>
        <v>525607</v>
      </c>
      <c r="F50" s="145">
        <v>527300.80000000005</v>
      </c>
      <c r="G50" s="474">
        <f t="shared" si="4"/>
        <v>1693.8000000000466</v>
      </c>
      <c r="H50" s="99">
        <f>G50+'18 '!H50</f>
        <v>26147.800000000047</v>
      </c>
      <c r="I50" s="95"/>
      <c r="J50" s="175">
        <f>H50/DAY(B2)</f>
        <v>1376.2000000000025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'18 '!F51</f>
        <v>156958</v>
      </c>
      <c r="F51" s="145">
        <v>156958.44</v>
      </c>
      <c r="G51" s="474">
        <f t="shared" si="4"/>
        <v>0.44000000000232831</v>
      </c>
      <c r="H51" s="99">
        <f>G51+'18 '!H51</f>
        <v>0.44000000000232831</v>
      </c>
      <c r="I51" s="95"/>
      <c r="J51" s="175">
        <f>H51/DAY(B2)</f>
        <v>2.3157894736964647E-2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'18 '!F52</f>
        <v>9.76</v>
      </c>
      <c r="F52" s="145">
        <v>9.76</v>
      </c>
      <c r="G52" s="474">
        <f t="shared" si="4"/>
        <v>0</v>
      </c>
      <c r="H52" s="99">
        <f>G52+'18 '!H52</f>
        <v>-0.24000000000000021</v>
      </c>
      <c r="I52" s="95"/>
      <c r="J52" s="175">
        <f>H52/DAY(B2)</f>
        <v>-1.2631578947368433E-2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'18 '!F53</f>
        <v>630355</v>
      </c>
      <c r="F53" s="145">
        <v>630355.03</v>
      </c>
      <c r="G53" s="474">
        <f t="shared" si="4"/>
        <v>3.0000000027939677E-2</v>
      </c>
      <c r="H53" s="99">
        <f>G53+'18 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'18 '!F54</f>
        <v>120435</v>
      </c>
      <c r="F54" s="145">
        <v>120679.75</v>
      </c>
      <c r="G54" s="474">
        <f t="shared" si="4"/>
        <v>244.75</v>
      </c>
      <c r="H54" s="99">
        <f>G54+'18 '!H54</f>
        <v>6082.6199999999953</v>
      </c>
      <c r="I54" s="95"/>
      <c r="J54" s="175">
        <f>H54/DAY(B2)</f>
        <v>320.13789473684187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'18 '!F55</f>
        <v>576336</v>
      </c>
      <c r="F55" s="145">
        <v>576336</v>
      </c>
      <c r="G55" s="474">
        <f t="shared" si="4"/>
        <v>0</v>
      </c>
      <c r="H55" s="99">
        <f>G55+'18 '!H55</f>
        <v>0.36999999999534339</v>
      </c>
      <c r="I55" s="95"/>
      <c r="J55" s="175">
        <f>H55/DAY(B2)</f>
        <v>1.9473684210281231E-2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'18 '!F56</f>
        <v>352951</v>
      </c>
      <c r="F56" s="145">
        <v>355651.01</v>
      </c>
      <c r="G56" s="474">
        <f t="shared" si="4"/>
        <v>2700.0100000000093</v>
      </c>
      <c r="H56" s="99">
        <f>G56+'18 '!H56</f>
        <v>20424.799999999988</v>
      </c>
      <c r="I56" s="95"/>
      <c r="J56" s="175">
        <f>H56/DAY(B2)</f>
        <v>1074.98947368421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'18 '!F57</f>
        <v>675214</v>
      </c>
      <c r="F57" s="145">
        <v>677798</v>
      </c>
      <c r="G57" s="474">
        <f t="shared" si="4"/>
        <v>2584</v>
      </c>
      <c r="H57" s="99">
        <f>G57+'18 '!H57</f>
        <v>46965</v>
      </c>
      <c r="I57" s="95"/>
      <c r="J57" s="175">
        <f>H57/DAY(B2)</f>
        <v>2471.8421052631579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'18 '!F58</f>
        <v>91165</v>
      </c>
      <c r="F58" s="145">
        <v>91430.28</v>
      </c>
      <c r="G58" s="474">
        <f t="shared" si="4"/>
        <v>265.27999999999884</v>
      </c>
      <c r="H58" s="99">
        <f>G58+'18 '!H58</f>
        <v>4869.7810000000027</v>
      </c>
      <c r="I58" s="95"/>
      <c r="J58" s="175">
        <f>H58/DAY(B2)</f>
        <v>256.30426315789487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476">
        <f>G49+G50+G51+G52+G53+G54+G55+G56+G57+G58</f>
        <v>8059.5000000000291</v>
      </c>
      <c r="H59" s="99">
        <f>G59+'18 '!H59</f>
        <v>114555.61099999995</v>
      </c>
      <c r="I59" s="95">
        <f>G7-G60</f>
        <v>2898.8699999998498</v>
      </c>
      <c r="J59" s="175">
        <f>H59/DAY(B2)</f>
        <v>6029.2426842105233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476">
        <f>G47+G59</f>
        <v>18321.13000000015</v>
      </c>
      <c r="H60" s="99">
        <f>G60+'18 '!H60</f>
        <v>360770.3110000001</v>
      </c>
      <c r="I60" s="95">
        <f>G13-G60</f>
        <v>2366.8700000003155</v>
      </c>
      <c r="J60" s="175">
        <f>H60/DAY(B2)</f>
        <v>18987.911105263163</v>
      </c>
      <c r="K60" s="79"/>
      <c r="L60" s="66"/>
      <c r="N60" s="87"/>
      <c r="O60" s="71"/>
    </row>
    <row r="61" spans="1:15" s="68" customFormat="1" ht="26.25">
      <c r="A61" s="935" t="s">
        <v>332</v>
      </c>
      <c r="B61" s="936"/>
      <c r="C61" s="937"/>
      <c r="D61" s="339"/>
      <c r="E61" s="339"/>
      <c r="F61" s="339"/>
      <c r="G61" s="485"/>
      <c r="H61" s="339"/>
      <c r="I61" s="339"/>
      <c r="J61" s="341"/>
      <c r="K61" s="69"/>
      <c r="L61" s="67"/>
      <c r="N61" s="87"/>
      <c r="O61" s="71"/>
    </row>
    <row r="62" spans="1:15" ht="25.5">
      <c r="A62" s="902" t="s">
        <v>198</v>
      </c>
      <c r="B62" s="903"/>
      <c r="C62" s="904"/>
      <c r="D62" s="151" t="s">
        <v>142</v>
      </c>
      <c r="E62" s="95">
        <f>'18 '!F62</f>
        <v>313816</v>
      </c>
      <c r="F62" s="122">
        <v>313922</v>
      </c>
      <c r="G62" s="474">
        <f t="shared" ref="G62:G63" si="5">F62-E62</f>
        <v>106</v>
      </c>
      <c r="H62" s="99">
        <f>G62+'18 '!H62</f>
        <v>1822</v>
      </c>
      <c r="I62" s="118"/>
      <c r="J62" s="175">
        <f>H62/DAY(B2)</f>
        <v>95.89473684210526</v>
      </c>
      <c r="K62" s="80"/>
      <c r="L62" s="66"/>
      <c r="N62" s="87"/>
      <c r="O62" s="71"/>
    </row>
    <row r="63" spans="1:15" ht="25.5">
      <c r="A63" s="902" t="s">
        <v>199</v>
      </c>
      <c r="B63" s="903"/>
      <c r="C63" s="904"/>
      <c r="D63" s="151" t="s">
        <v>142</v>
      </c>
      <c r="E63" s="95">
        <f>'18 '!F63</f>
        <v>250948</v>
      </c>
      <c r="F63" s="122">
        <v>251053</v>
      </c>
      <c r="G63" s="474">
        <f t="shared" si="5"/>
        <v>105</v>
      </c>
      <c r="H63" s="99">
        <f>G63+'18 '!H63</f>
        <v>2018</v>
      </c>
      <c r="I63" s="118"/>
      <c r="J63" s="175">
        <f>H63/DAY(B2)</f>
        <v>106.21052631578948</v>
      </c>
      <c r="K63" s="69"/>
      <c r="L63" s="66"/>
      <c r="N63" s="87"/>
      <c r="O63" s="71"/>
    </row>
    <row r="64" spans="1:15" ht="26.25">
      <c r="A64" s="911" t="s">
        <v>200</v>
      </c>
      <c r="B64" s="912"/>
      <c r="C64" s="913"/>
      <c r="D64" s="151"/>
      <c r="E64" s="95">
        <f>'18 '!F64</f>
        <v>0</v>
      </c>
      <c r="F64" s="122"/>
      <c r="G64" s="474">
        <f>G62+G63</f>
        <v>211</v>
      </c>
      <c r="H64" s="99">
        <f>G64+'18 '!H64</f>
        <v>3840</v>
      </c>
      <c r="I64" s="118"/>
      <c r="J64" s="175">
        <f>H64/DAY(B2)</f>
        <v>202.10526315789474</v>
      </c>
      <c r="K64" s="69"/>
      <c r="L64" s="66"/>
      <c r="N64" s="87"/>
      <c r="O64" s="71"/>
    </row>
    <row r="65" spans="1:15" ht="25.5">
      <c r="A65" s="902" t="s">
        <v>201</v>
      </c>
      <c r="B65" s="903"/>
      <c r="C65" s="904"/>
      <c r="D65" s="151" t="s">
        <v>142</v>
      </c>
      <c r="E65" s="95">
        <f>'18 '!F65</f>
        <v>474249</v>
      </c>
      <c r="F65" s="122">
        <v>474375</v>
      </c>
      <c r="G65" s="474">
        <f t="shared" ref="G65:G70" si="6">F65-E65</f>
        <v>126</v>
      </c>
      <c r="H65" s="99">
        <f>G65+'18 '!H65</f>
        <v>2345</v>
      </c>
      <c r="I65" s="118"/>
      <c r="J65" s="175">
        <f>H65/DAY(B2)</f>
        <v>123.42105263157895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'18 '!F66</f>
        <v>114021</v>
      </c>
      <c r="F66" s="122">
        <v>114029</v>
      </c>
      <c r="G66" s="474">
        <f t="shared" si="6"/>
        <v>8</v>
      </c>
      <c r="H66" s="99">
        <f>G66+'18 '!H66</f>
        <v>1307</v>
      </c>
      <c r="I66" s="118"/>
      <c r="J66" s="175">
        <f>H66/DAY(B2)</f>
        <v>68.78947368421052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'18 '!F67</f>
        <v>116977</v>
      </c>
      <c r="F67" s="122">
        <v>117003</v>
      </c>
      <c r="G67" s="474">
        <f t="shared" si="6"/>
        <v>26</v>
      </c>
      <c r="H67" s="99">
        <f>G67+'18 '!H67</f>
        <v>436</v>
      </c>
      <c r="I67" s="118"/>
      <c r="J67" s="175">
        <f>H67/DAY(B2)</f>
        <v>22.94736842105263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'18 '!F68</f>
        <v>169707</v>
      </c>
      <c r="F68" s="122">
        <v>169741</v>
      </c>
      <c r="G68" s="474">
        <f t="shared" si="6"/>
        <v>34</v>
      </c>
      <c r="H68" s="99">
        <f>G68+'18 '!H68</f>
        <v>382</v>
      </c>
      <c r="I68" s="118"/>
      <c r="J68" s="175">
        <f>H68/DAY(B2)</f>
        <v>20.105263157894736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'18 '!F69</f>
        <v>13040</v>
      </c>
      <c r="F69" s="122">
        <v>13048</v>
      </c>
      <c r="G69" s="474">
        <f t="shared" si="6"/>
        <v>8</v>
      </c>
      <c r="H69" s="99">
        <f>G69+'18 '!H69</f>
        <v>82</v>
      </c>
      <c r="I69" s="118"/>
      <c r="J69" s="175">
        <f>H69/DAY(B2)</f>
        <v>4.3157894736842106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'18 '!F70</f>
        <v>11165</v>
      </c>
      <c r="F70" s="122">
        <v>11172</v>
      </c>
      <c r="G70" s="474">
        <f t="shared" si="6"/>
        <v>7</v>
      </c>
      <c r="H70" s="99">
        <f>G70+'18 '!H70</f>
        <v>156</v>
      </c>
      <c r="I70" s="118"/>
      <c r="J70" s="175">
        <f>H70/DAY(B2)</f>
        <v>8.2105263157894743</v>
      </c>
      <c r="K70" s="69"/>
      <c r="L70" s="66"/>
      <c r="N70" s="87"/>
      <c r="O70" s="71"/>
    </row>
    <row r="71" spans="1:15" ht="26.25">
      <c r="A71" s="911" t="s">
        <v>208</v>
      </c>
      <c r="B71" s="912"/>
      <c r="C71" s="913"/>
      <c r="D71" s="152"/>
      <c r="E71" s="95">
        <f>'18 '!F71</f>
        <v>0</v>
      </c>
      <c r="F71" s="152"/>
      <c r="G71" s="486">
        <f>SUM(G65:G70)</f>
        <v>209</v>
      </c>
      <c r="H71" s="99">
        <f>G71+'18 '!H71</f>
        <v>4708</v>
      </c>
      <c r="I71" s="154"/>
      <c r="J71" s="175">
        <f>H71/DAY(B2)</f>
        <v>247.78947368421052</v>
      </c>
      <c r="K71" s="69"/>
      <c r="L71" s="66"/>
      <c r="N71" s="87"/>
      <c r="O71" s="71"/>
    </row>
    <row r="72" spans="1:15" s="88" customFormat="1" ht="25.5">
      <c r="A72" s="898"/>
      <c r="B72" s="883"/>
      <c r="C72" s="347"/>
      <c r="D72" s="180"/>
      <c r="E72" s="180" t="s">
        <v>207</v>
      </c>
      <c r="F72" s="180"/>
      <c r="G72" s="487"/>
      <c r="H72" s="181"/>
      <c r="I72" s="180"/>
      <c r="J72" s="182"/>
      <c r="N72" s="87"/>
      <c r="O72" s="71"/>
    </row>
    <row r="73" spans="1:15" ht="26.25">
      <c r="A73" s="908" t="s">
        <v>333</v>
      </c>
      <c r="B73" s="909"/>
      <c r="C73" s="910"/>
      <c r="D73" s="339"/>
      <c r="E73" s="339"/>
      <c r="F73" s="339"/>
      <c r="G73" s="485"/>
      <c r="H73" s="342"/>
      <c r="I73" s="342"/>
      <c r="J73" s="343"/>
      <c r="K73" s="69"/>
      <c r="L73" s="66"/>
      <c r="N73" s="87"/>
      <c r="O73" s="71"/>
    </row>
    <row r="74" spans="1:15" ht="25.5">
      <c r="A74" s="902" t="s">
        <v>220</v>
      </c>
      <c r="B74" s="903"/>
      <c r="C74" s="904"/>
      <c r="D74" s="151" t="s">
        <v>139</v>
      </c>
      <c r="E74" s="95">
        <f>'18 '!F74</f>
        <v>8122</v>
      </c>
      <c r="F74" s="117">
        <v>8457</v>
      </c>
      <c r="G74" s="474">
        <f t="shared" ref="G74:G78" si="7">F74-E74</f>
        <v>335</v>
      </c>
      <c r="H74" s="99">
        <f>G74+'18 '!H74</f>
        <v>996321</v>
      </c>
      <c r="I74" s="154"/>
      <c r="J74" s="175">
        <f>H74/DAY(B2)</f>
        <v>52437.947368421053</v>
      </c>
      <c r="K74" s="69"/>
      <c r="L74" s="66"/>
      <c r="N74" s="87"/>
      <c r="O74" s="71"/>
    </row>
    <row r="75" spans="1:15" ht="25.5">
      <c r="A75" s="902" t="s">
        <v>221</v>
      </c>
      <c r="B75" s="903"/>
      <c r="C75" s="904"/>
      <c r="D75" s="151" t="s">
        <v>139</v>
      </c>
      <c r="E75" s="95">
        <f>'18 '!F75</f>
        <v>73586.8</v>
      </c>
      <c r="F75" s="123">
        <v>73586.8</v>
      </c>
      <c r="G75" s="474">
        <f t="shared" si="7"/>
        <v>0</v>
      </c>
      <c r="H75" s="99">
        <f>G75+'18 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899" t="s">
        <v>222</v>
      </c>
      <c r="B76" s="900"/>
      <c r="C76" s="901"/>
      <c r="D76" s="151" t="s">
        <v>139</v>
      </c>
      <c r="E76" s="95">
        <f>'18 '!F76</f>
        <v>209263</v>
      </c>
      <c r="F76" s="123">
        <v>209365.5</v>
      </c>
      <c r="G76" s="474">
        <f t="shared" si="7"/>
        <v>102.5</v>
      </c>
      <c r="H76" s="99">
        <f>G76+'18 '!H76</f>
        <v>1988.5</v>
      </c>
      <c r="I76" s="154"/>
      <c r="J76" s="175">
        <f>H76/DAY(B2)</f>
        <v>104.65789473684211</v>
      </c>
      <c r="K76" s="69"/>
      <c r="L76" s="66"/>
      <c r="N76" s="87"/>
      <c r="O76" s="71"/>
    </row>
    <row r="77" spans="1:15" ht="25.5">
      <c r="A77" s="899" t="s">
        <v>223</v>
      </c>
      <c r="B77" s="900"/>
      <c r="C77" s="901"/>
      <c r="D77" s="151" t="s">
        <v>139</v>
      </c>
      <c r="E77" s="95">
        <f>'18 '!F77</f>
        <v>59038</v>
      </c>
      <c r="F77" s="123">
        <v>59090</v>
      </c>
      <c r="G77" s="474">
        <f t="shared" si="7"/>
        <v>52</v>
      </c>
      <c r="H77" s="99">
        <f>G77+'18 '!H77</f>
        <v>938</v>
      </c>
      <c r="I77" s="154"/>
      <c r="J77" s="175">
        <f>H77/DAY(B2)</f>
        <v>49.368421052631582</v>
      </c>
      <c r="K77" s="69"/>
      <c r="L77" s="66"/>
      <c r="N77" s="87"/>
      <c r="O77" s="71"/>
    </row>
    <row r="78" spans="1:15" ht="25.5">
      <c r="A78" s="899" t="s">
        <v>224</v>
      </c>
      <c r="B78" s="900"/>
      <c r="C78" s="901"/>
      <c r="D78" s="151" t="s">
        <v>139</v>
      </c>
      <c r="E78" s="95">
        <f>'18 '!F78</f>
        <v>9564</v>
      </c>
      <c r="F78" s="123">
        <v>9564</v>
      </c>
      <c r="G78" s="474">
        <f t="shared" si="7"/>
        <v>0</v>
      </c>
      <c r="H78" s="99">
        <f>G78+'18 '!H78</f>
        <v>-1</v>
      </c>
      <c r="I78" s="118"/>
      <c r="J78" s="175">
        <f>H78/DAY(B2)</f>
        <v>-5.2631578947368418E-2</v>
      </c>
      <c r="K78" s="69"/>
      <c r="L78" s="66"/>
      <c r="N78" s="87"/>
      <c r="O78" s="71"/>
    </row>
    <row r="79" spans="1:15" s="57" customFormat="1" ht="25.5">
      <c r="A79" s="899" t="s">
        <v>225</v>
      </c>
      <c r="B79" s="900"/>
      <c r="C79" s="901"/>
      <c r="D79" s="151"/>
      <c r="E79" s="95">
        <f>'18 '!F79</f>
        <v>0</v>
      </c>
      <c r="F79" s="123"/>
      <c r="G79" s="474">
        <f>G15-SUM(G74:G78)</f>
        <v>682.29999999981374</v>
      </c>
      <c r="H79" s="99">
        <f>G79+'18 '!H79</f>
        <v>-978078.05800000008</v>
      </c>
      <c r="I79" s="118"/>
      <c r="J79" s="175"/>
      <c r="K79" s="59"/>
      <c r="L79" s="58"/>
      <c r="N79" s="87"/>
      <c r="O79" s="71"/>
    </row>
    <row r="80" spans="1:15" s="57" customFormat="1" ht="26.25">
      <c r="A80" s="911" t="s">
        <v>329</v>
      </c>
      <c r="B80" s="912"/>
      <c r="C80" s="913"/>
      <c r="D80" s="151"/>
      <c r="E80" s="117"/>
      <c r="F80" s="117"/>
      <c r="G80" s="474">
        <f>SUM(G74:G79)</f>
        <v>1171.7999999998137</v>
      </c>
      <c r="H80" s="99"/>
      <c r="I80" s="118"/>
      <c r="J80" s="175"/>
      <c r="K80" s="59"/>
      <c r="L80" s="58"/>
      <c r="N80" s="87"/>
      <c r="O80" s="71"/>
    </row>
    <row r="81" spans="1:15" ht="25.5">
      <c r="A81" s="915" t="s">
        <v>226</v>
      </c>
      <c r="B81" s="916"/>
      <c r="C81" s="917"/>
      <c r="D81" s="110"/>
      <c r="E81" s="110"/>
      <c r="F81" s="110"/>
      <c r="G81" s="488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'18 '!F82</f>
        <v>0</v>
      </c>
      <c r="F82" s="122">
        <v>0</v>
      </c>
      <c r="G82" s="474">
        <f t="shared" ref="G82:G92" si="8">F82-E82</f>
        <v>0</v>
      </c>
      <c r="H82" s="99">
        <f>G82+'18 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'18 '!F83</f>
        <v>0</v>
      </c>
      <c r="F83" s="122">
        <v>0</v>
      </c>
      <c r="G83" s="474">
        <f t="shared" si="8"/>
        <v>0</v>
      </c>
      <c r="H83" s="99">
        <f>G83+'18 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'18 '!F84</f>
        <v>43546</v>
      </c>
      <c r="F84" s="164">
        <v>43546</v>
      </c>
      <c r="G84" s="474">
        <f t="shared" si="8"/>
        <v>0</v>
      </c>
      <c r="H84" s="99">
        <f>G84+'18 '!H84</f>
        <v>0</v>
      </c>
      <c r="I84" s="545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'18 '!F85</f>
        <v>6203</v>
      </c>
      <c r="F85" s="164">
        <v>6203</v>
      </c>
      <c r="G85" s="474">
        <f t="shared" si="8"/>
        <v>0</v>
      </c>
      <c r="H85" s="99">
        <f>G85+'18 '!H85</f>
        <v>270.55000000000018</v>
      </c>
      <c r="I85" s="545"/>
      <c r="J85" s="175">
        <f>H85/DAY(B2)</f>
        <v>14.239473684210536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'18 '!F86</f>
        <v>46834</v>
      </c>
      <c r="F86" s="164">
        <v>46834</v>
      </c>
      <c r="G86" s="474">
        <f t="shared" si="8"/>
        <v>0</v>
      </c>
      <c r="H86" s="99">
        <f>G86+'18 '!H86</f>
        <v>0</v>
      </c>
      <c r="I86" s="545"/>
      <c r="J86" s="175">
        <f>H86/DAY(B2)</f>
        <v>0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'18 '!F87</f>
        <v>37192.449999999997</v>
      </c>
      <c r="F87" s="164">
        <v>37216</v>
      </c>
      <c r="G87" s="474">
        <f t="shared" si="8"/>
        <v>23.55000000000291</v>
      </c>
      <c r="H87" s="99">
        <f>G87+'18 '!H87</f>
        <v>188</v>
      </c>
      <c r="I87" s="545">
        <f>G84+G85+G86+G87</f>
        <v>23.55000000000291</v>
      </c>
      <c r="J87" s="175">
        <f>H87/DAY(B2)</f>
        <v>9.8947368421052637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'18 '!F88</f>
        <v>24674</v>
      </c>
      <c r="F88" s="164">
        <v>24682.14</v>
      </c>
      <c r="G88" s="474">
        <f t="shared" si="8"/>
        <v>8.1399999999994179</v>
      </c>
      <c r="H88" s="99">
        <f>G88+'18 '!H88</f>
        <v>78.540000000000873</v>
      </c>
      <c r="I88" s="545"/>
      <c r="J88" s="175">
        <f>H88/DAY(B2)</f>
        <v>4.1336842105263614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'18 '!F89</f>
        <v>28918.49</v>
      </c>
      <c r="F89" s="164">
        <v>28928.38</v>
      </c>
      <c r="G89" s="474">
        <f t="shared" si="8"/>
        <v>9.8899999999994179</v>
      </c>
      <c r="H89" s="99">
        <f>G89+'18 '!H89</f>
        <v>179.9900000000016</v>
      </c>
      <c r="I89" s="545">
        <f>G88+G89</f>
        <v>18.029999999998836</v>
      </c>
      <c r="J89" s="175">
        <f>H89/DAY(B2)</f>
        <v>9.4731578947369268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'18 '!F90</f>
        <v>74366</v>
      </c>
      <c r="F90" s="164">
        <v>74365.81</v>
      </c>
      <c r="G90" s="474">
        <f t="shared" si="8"/>
        <v>-0.19000000000232831</v>
      </c>
      <c r="H90" s="99">
        <f>G90+'18 '!H90</f>
        <v>162.63000000000466</v>
      </c>
      <c r="I90" s="545">
        <f>G90</f>
        <v>-0.19000000000232831</v>
      </c>
      <c r="J90" s="175">
        <f>H90/DAY(B2)</f>
        <v>8.5594736842107721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'18 '!F91</f>
        <v>5618</v>
      </c>
      <c r="F91" s="122">
        <v>5618</v>
      </c>
      <c r="G91" s="474">
        <f t="shared" si="8"/>
        <v>0</v>
      </c>
      <c r="H91" s="99">
        <f>G91+'18 '!H91</f>
        <v>-0.21000000000003638</v>
      </c>
      <c r="I91" s="546"/>
      <c r="J91" s="175">
        <f>H91/DAY(B2)</f>
        <v>-1.1052631578949283E-2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'18 '!F92</f>
        <v>7282</v>
      </c>
      <c r="F92" s="122">
        <v>7294.47</v>
      </c>
      <c r="G92" s="474">
        <f t="shared" si="8"/>
        <v>12.470000000000255</v>
      </c>
      <c r="H92" s="99">
        <f>G92+'18 '!H92</f>
        <v>214.78000000000065</v>
      </c>
      <c r="I92" s="547">
        <f>G91+G92</f>
        <v>12.470000000000255</v>
      </c>
      <c r="J92" s="175">
        <f>H92/DAY(B2)</f>
        <v>11.304210526315824</v>
      </c>
      <c r="O92" s="71"/>
    </row>
    <row r="93" spans="1:15" ht="26.25">
      <c r="A93" s="905" t="s">
        <v>239</v>
      </c>
      <c r="B93" s="906"/>
      <c r="C93" s="907"/>
      <c r="D93" s="111"/>
      <c r="E93" s="111"/>
      <c r="F93" s="111"/>
      <c r="G93" s="477"/>
      <c r="H93" s="121"/>
      <c r="I93" s="121"/>
      <c r="J93" s="183"/>
      <c r="K93" s="69"/>
      <c r="L93" s="66"/>
      <c r="O93" s="71"/>
    </row>
    <row r="94" spans="1:15" ht="25.5">
      <c r="A94" s="902" t="s">
        <v>240</v>
      </c>
      <c r="B94" s="903"/>
      <c r="C94" s="904"/>
      <c r="D94" s="151" t="s">
        <v>130</v>
      </c>
      <c r="E94" s="151"/>
      <c r="F94" s="151"/>
      <c r="G94" s="489">
        <f>G35+G43+G49+G57</f>
        <v>5392.4599999999627</v>
      </c>
      <c r="H94" s="99">
        <f>G94+'18 '!H94</f>
        <v>105446.31999999995</v>
      </c>
      <c r="I94" s="118"/>
      <c r="J94" s="175">
        <f>H94/DAY(B2)</f>
        <v>5549.8063157894712</v>
      </c>
      <c r="K94" s="69"/>
      <c r="L94" s="66"/>
      <c r="O94" s="71"/>
    </row>
    <row r="95" spans="1:15" ht="25.5">
      <c r="A95" s="902" t="s">
        <v>241</v>
      </c>
      <c r="B95" s="903"/>
      <c r="C95" s="904"/>
      <c r="D95" s="151" t="s">
        <v>23</v>
      </c>
      <c r="E95" s="146"/>
      <c r="F95" s="146"/>
      <c r="G95" s="490">
        <f>G94/G7</f>
        <v>0.25412158341187385</v>
      </c>
      <c r="H95" s="99">
        <f>G95+'18 '!H95</f>
        <v>5.0735076870256099</v>
      </c>
      <c r="I95" s="167"/>
      <c r="J95" s="175">
        <f>H95/DAY(B2)</f>
        <v>0.26702672036976893</v>
      </c>
      <c r="K95" s="69"/>
      <c r="L95" s="66"/>
      <c r="O95" s="71"/>
    </row>
    <row r="96" spans="1:15" ht="25.5">
      <c r="A96" s="902" t="s">
        <v>242</v>
      </c>
      <c r="B96" s="903"/>
      <c r="C96" s="904"/>
      <c r="D96" s="151" t="s">
        <v>130</v>
      </c>
      <c r="E96" s="95"/>
      <c r="F96" s="95"/>
      <c r="G96" s="489">
        <f>G41+G42+G55+G56</f>
        <v>2703.4400000000605</v>
      </c>
      <c r="H96" s="99">
        <f>G96+'18 '!H96</f>
        <v>70151.130000000063</v>
      </c>
      <c r="I96" s="118"/>
      <c r="J96" s="175">
        <f>H96/DAY(B2)</f>
        <v>3692.1647368421086</v>
      </c>
      <c r="K96" s="69"/>
      <c r="L96" s="66"/>
      <c r="O96" s="71"/>
    </row>
    <row r="97" spans="1:15" ht="25.5">
      <c r="A97" s="902" t="s">
        <v>243</v>
      </c>
      <c r="B97" s="903"/>
      <c r="C97" s="904"/>
      <c r="D97" s="151" t="s">
        <v>23</v>
      </c>
      <c r="E97" s="95"/>
      <c r="F97" s="95"/>
      <c r="G97" s="490">
        <f>G96/G7</f>
        <v>0.12740056550424414</v>
      </c>
      <c r="H97" s="99">
        <f>G97+'18 '!H97</f>
        <v>3.3602164641207457</v>
      </c>
      <c r="I97" s="167"/>
      <c r="J97" s="175">
        <f>H97/DAY(B2)</f>
        <v>0.17685349811161818</v>
      </c>
      <c r="K97" s="69"/>
      <c r="L97" s="66"/>
      <c r="O97" s="71"/>
    </row>
    <row r="98" spans="1:15" ht="25.5">
      <c r="A98" s="902" t="s">
        <v>244</v>
      </c>
      <c r="B98" s="903"/>
      <c r="C98" s="904"/>
      <c r="D98" s="151" t="s">
        <v>130</v>
      </c>
      <c r="E98" s="95"/>
      <c r="F98" s="95"/>
      <c r="G98" s="489">
        <f>G39+G53</f>
        <v>2754.6600000000326</v>
      </c>
      <c r="H98" s="99">
        <f>G98+'18 '!H98</f>
        <v>53010.630000000005</v>
      </c>
      <c r="I98" s="168"/>
      <c r="J98" s="175">
        <f>H98/DAY(B2)</f>
        <v>2790.0331578947371</v>
      </c>
      <c r="K98" s="69"/>
      <c r="L98" s="66"/>
      <c r="O98" s="71"/>
    </row>
    <row r="99" spans="1:15" ht="25.5">
      <c r="A99" s="902" t="s">
        <v>245</v>
      </c>
      <c r="B99" s="903"/>
      <c r="C99" s="904"/>
      <c r="D99" s="151" t="s">
        <v>23</v>
      </c>
      <c r="E99" s="95"/>
      <c r="F99" s="95"/>
      <c r="G99" s="490">
        <f>G98/G7</f>
        <v>0.12981432610744734</v>
      </c>
      <c r="H99" s="99">
        <f>G99+'18 '!H99</f>
        <v>2.5489675466046902</v>
      </c>
      <c r="I99" s="168"/>
      <c r="J99" s="175">
        <f>H99/DAY(B2)</f>
        <v>0.13415618666340476</v>
      </c>
      <c r="O99" s="71"/>
    </row>
    <row r="100" spans="1:15" ht="26.25">
      <c r="A100" s="902" t="s">
        <v>246</v>
      </c>
      <c r="B100" s="903"/>
      <c r="C100" s="904"/>
      <c r="D100" s="151" t="s">
        <v>180</v>
      </c>
      <c r="E100" s="95"/>
      <c r="F100" s="95"/>
      <c r="G100" s="489">
        <f>G38+G52</f>
        <v>2582.6700000000419</v>
      </c>
      <c r="H100" s="99">
        <f>G100+'18 '!H100</f>
        <v>45506.080000000067</v>
      </c>
      <c r="I100" s="118"/>
      <c r="J100" s="175">
        <f>H100/DAY(B2)</f>
        <v>2395.0568421052667</v>
      </c>
      <c r="K100" s="70"/>
      <c r="O100" s="71"/>
    </row>
    <row r="101" spans="1:15" ht="25.5">
      <c r="A101" s="902" t="s">
        <v>247</v>
      </c>
      <c r="B101" s="903"/>
      <c r="C101" s="904"/>
      <c r="D101" s="151" t="s">
        <v>23</v>
      </c>
      <c r="E101" s="95"/>
      <c r="F101" s="95"/>
      <c r="G101" s="490">
        <f>G100/G7</f>
        <v>0.12170923656927625</v>
      </c>
      <c r="H101" s="99">
        <f>G101+'18 '!H101</f>
        <v>2.1861842593247314</v>
      </c>
      <c r="I101" s="168"/>
      <c r="J101" s="175">
        <f>H101/DAY(B2)</f>
        <v>0.11506232943814376</v>
      </c>
      <c r="O101" s="71"/>
    </row>
    <row r="102" spans="1:15" ht="25.5">
      <c r="A102" s="902" t="s">
        <v>248</v>
      </c>
      <c r="B102" s="903"/>
      <c r="C102" s="904"/>
      <c r="D102" s="151" t="s">
        <v>180</v>
      </c>
      <c r="E102" s="95"/>
      <c r="F102" s="95"/>
      <c r="G102" s="489">
        <f>G36+G50</f>
        <v>2686.9900000000489</v>
      </c>
      <c r="H102" s="99">
        <f>G102+'18 '!H102</f>
        <v>42216.090000000026</v>
      </c>
      <c r="I102" s="168"/>
      <c r="J102" s="175">
        <f>H102/DAY(B2)</f>
        <v>2221.8994736842119</v>
      </c>
      <c r="O102" s="71"/>
    </row>
    <row r="103" spans="1:15" ht="25.5">
      <c r="A103" s="902" t="s">
        <v>249</v>
      </c>
      <c r="B103" s="903"/>
      <c r="C103" s="904"/>
      <c r="D103" s="151" t="s">
        <v>23</v>
      </c>
      <c r="E103" s="95"/>
      <c r="F103" s="95"/>
      <c r="G103" s="490">
        <f>G102/G7</f>
        <v>0.1266253534401531</v>
      </c>
      <c r="H103" s="99">
        <f>G103+'18 '!H103</f>
        <v>2.0248169423885223</v>
      </c>
      <c r="I103" s="118"/>
      <c r="J103" s="175">
        <f>H103/DAY(B2)</f>
        <v>0.10656931275729065</v>
      </c>
      <c r="O103" s="71"/>
    </row>
    <row r="104" spans="1:15" ht="25.5">
      <c r="A104" s="902" t="s">
        <v>250</v>
      </c>
      <c r="B104" s="903"/>
      <c r="C104" s="904"/>
      <c r="D104" s="151" t="s">
        <v>180</v>
      </c>
      <c r="E104" s="95"/>
      <c r="F104" s="95"/>
      <c r="G104" s="489">
        <f>G37+G51</f>
        <v>1485.0100000000093</v>
      </c>
      <c r="H104" s="99">
        <f>G104+'18 '!H104</f>
        <v>27920.140000000014</v>
      </c>
      <c r="I104" s="118"/>
      <c r="J104" s="175">
        <f>H104/DAY(B2)</f>
        <v>1469.4810526315796</v>
      </c>
      <c r="O104" s="71"/>
    </row>
    <row r="105" spans="1:15" ht="26.25" thickBot="1">
      <c r="A105" s="895" t="s">
        <v>251</v>
      </c>
      <c r="B105" s="896"/>
      <c r="C105" s="897"/>
      <c r="D105" s="231" t="s">
        <v>23</v>
      </c>
      <c r="E105" s="185"/>
      <c r="F105" s="185"/>
      <c r="G105" s="491">
        <f>G104/G7</f>
        <v>6.9981621112158776E-2</v>
      </c>
      <c r="H105" s="99">
        <f>G105+'18 '!H105</f>
        <v>1.3422608508061971</v>
      </c>
      <c r="I105" s="187"/>
      <c r="J105" s="188">
        <f>H105/DAY(B2)</f>
        <v>7.0645307937168264E-2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492"/>
      <c r="H106" s="170"/>
      <c r="I106" s="169"/>
      <c r="J106" s="171"/>
      <c r="O106" s="71"/>
    </row>
    <row r="107" spans="1:15" ht="26.25"/>
    <row r="108" spans="1:15" ht="27.75">
      <c r="A108" s="891" t="s">
        <v>324</v>
      </c>
      <c r="B108" s="891"/>
      <c r="C108" s="891"/>
      <c r="D108" s="891"/>
      <c r="E108" s="891"/>
      <c r="F108" s="891"/>
      <c r="G108" s="891"/>
      <c r="H108" s="891"/>
      <c r="I108" s="891"/>
      <c r="J108" s="891"/>
    </row>
    <row r="109" spans="1:15" ht="26.25">
      <c r="A109" s="918"/>
      <c r="B109" s="918"/>
    </row>
    <row r="110" spans="1:15" ht="26.25">
      <c r="A110" s="892" t="s">
        <v>165</v>
      </c>
      <c r="B110" s="893"/>
      <c r="C110" s="893"/>
      <c r="D110" s="893"/>
      <c r="E110" s="893"/>
      <c r="F110" s="893"/>
      <c r="G110" s="893"/>
      <c r="H110" s="893"/>
      <c r="I110" s="893"/>
      <c r="J110" s="894"/>
    </row>
    <row r="111" spans="1:15" ht="25.5">
      <c r="A111" s="885"/>
      <c r="B111" s="886"/>
      <c r="C111" s="887"/>
      <c r="D111" s="165"/>
      <c r="E111" s="165"/>
      <c r="F111" s="165"/>
      <c r="G111" s="494"/>
      <c r="H111" s="156"/>
      <c r="I111" s="165"/>
      <c r="J111" s="327"/>
    </row>
    <row r="112" spans="1:15" ht="25.5">
      <c r="A112" s="881" t="s">
        <v>252</v>
      </c>
      <c r="B112" s="882"/>
      <c r="C112" s="883"/>
      <c r="D112" s="146" t="s">
        <v>183</v>
      </c>
      <c r="E112" s="95">
        <f>'18 '!F112</f>
        <v>18601</v>
      </c>
      <c r="F112" s="237">
        <v>18662.22</v>
      </c>
      <c r="G112" s="474">
        <f t="shared" ref="G112:G123" si="9">F112-E112</f>
        <v>61.220000000001164</v>
      </c>
      <c r="H112" s="99">
        <f>G112+'18 '!H112</f>
        <v>1150.9200000000019</v>
      </c>
      <c r="I112" s="165"/>
      <c r="J112" s="328">
        <f>H112/DAY(B2)</f>
        <v>60.574736842105359</v>
      </c>
    </row>
    <row r="113" spans="1:18" ht="29.25" customHeight="1">
      <c r="A113" s="881" t="s">
        <v>253</v>
      </c>
      <c r="B113" s="882"/>
      <c r="C113" s="883"/>
      <c r="D113" s="146" t="s">
        <v>183</v>
      </c>
      <c r="E113" s="95">
        <f>'18 '!F113</f>
        <v>39658</v>
      </c>
      <c r="F113" s="237">
        <v>39802.6</v>
      </c>
      <c r="G113" s="474">
        <f t="shared" si="9"/>
        <v>144.59999999999854</v>
      </c>
      <c r="H113" s="99">
        <f>G113+'18 '!H113</f>
        <v>2723.5999999999985</v>
      </c>
      <c r="I113" s="165"/>
      <c r="J113" s="328">
        <f>H113/DAY(B2)</f>
        <v>143.34736842105255</v>
      </c>
    </row>
    <row r="114" spans="1:18" ht="29.25" customHeight="1">
      <c r="A114" s="881" t="s">
        <v>254</v>
      </c>
      <c r="B114" s="882"/>
      <c r="C114" s="883"/>
      <c r="D114" s="146" t="s">
        <v>183</v>
      </c>
      <c r="E114" s="95">
        <f>'18 '!F114</f>
        <v>58293</v>
      </c>
      <c r="F114" s="237">
        <v>58524.7</v>
      </c>
      <c r="G114" s="474">
        <f t="shared" si="9"/>
        <v>231.69999999999709</v>
      </c>
      <c r="H114" s="99">
        <f>G114+'18 '!H114</f>
        <v>4256.9199999999983</v>
      </c>
      <c r="I114" s="165"/>
      <c r="J114" s="328">
        <f>H114/DAY(B2)</f>
        <v>224.04842105263148</v>
      </c>
    </row>
    <row r="115" spans="1:18" ht="29.25" customHeight="1">
      <c r="A115" s="881" t="s">
        <v>255</v>
      </c>
      <c r="B115" s="882"/>
      <c r="C115" s="883"/>
      <c r="D115" s="146" t="s">
        <v>183</v>
      </c>
      <c r="E115" s="95">
        <f>'18 '!F115</f>
        <v>37620</v>
      </c>
      <c r="F115" s="237">
        <v>37775.800000000003</v>
      </c>
      <c r="G115" s="474">
        <f t="shared" si="9"/>
        <v>155.80000000000291</v>
      </c>
      <c r="H115" s="99">
        <f>G115+'18 '!H115</f>
        <v>2808.8899999999994</v>
      </c>
      <c r="I115" s="165"/>
      <c r="J115" s="328">
        <f>H115/DAY(B2)</f>
        <v>147.83631578947364</v>
      </c>
    </row>
    <row r="116" spans="1:18" ht="29.25" customHeight="1">
      <c r="A116" s="888" t="s">
        <v>96</v>
      </c>
      <c r="B116" s="889"/>
      <c r="C116" s="890"/>
      <c r="D116" s="146" t="s">
        <v>183</v>
      </c>
      <c r="E116" s="95">
        <f>'18 '!F116</f>
        <v>142391</v>
      </c>
      <c r="F116" s="237">
        <v>142844.67000000001</v>
      </c>
      <c r="G116" s="474">
        <f t="shared" si="9"/>
        <v>453.67000000001281</v>
      </c>
      <c r="H116" s="99">
        <f>G116+'18 '!H116</f>
        <v>8356.2799999999988</v>
      </c>
      <c r="I116" s="165"/>
      <c r="J116" s="328">
        <f>H116/DAY(B2)</f>
        <v>439.80421052631573</v>
      </c>
      <c r="Q116" s="881"/>
      <c r="R116" s="883"/>
    </row>
    <row r="117" spans="1:18" ht="29.25" customHeight="1">
      <c r="A117" s="888" t="s">
        <v>184</v>
      </c>
      <c r="B117" s="889"/>
      <c r="C117" s="890"/>
      <c r="D117" s="146" t="s">
        <v>183</v>
      </c>
      <c r="E117" s="95">
        <f>'18 '!F117</f>
        <v>88723</v>
      </c>
      <c r="F117" s="237">
        <v>88947.9</v>
      </c>
      <c r="G117" s="474">
        <f t="shared" si="9"/>
        <v>224.89999999999418</v>
      </c>
      <c r="H117" s="99">
        <f>G117+'18 '!H117</f>
        <v>6237.8999999999942</v>
      </c>
      <c r="I117" s="165"/>
      <c r="J117" s="328">
        <f>H117/DAY(B2)</f>
        <v>328.31052631578916</v>
      </c>
      <c r="Q117" s="881"/>
      <c r="R117" s="883"/>
    </row>
    <row r="118" spans="1:18" ht="25.5">
      <c r="A118" s="880" t="s">
        <v>97</v>
      </c>
      <c r="B118" s="880"/>
      <c r="C118" s="880"/>
      <c r="D118" s="151" t="s">
        <v>183</v>
      </c>
      <c r="E118" s="95">
        <f>'18 '!F118</f>
        <v>169499</v>
      </c>
      <c r="F118" s="237">
        <v>170113.25</v>
      </c>
      <c r="G118" s="474">
        <f t="shared" si="9"/>
        <v>614.25</v>
      </c>
      <c r="H118" s="99">
        <f>G118+'18 '!H118</f>
        <v>11976.100000000006</v>
      </c>
      <c r="I118" s="165"/>
      <c r="J118" s="328">
        <f>H118/DAY(B2)</f>
        <v>630.32105263157928</v>
      </c>
      <c r="Q118" s="881"/>
      <c r="R118" s="883"/>
    </row>
    <row r="119" spans="1:18" ht="25.5">
      <c r="A119" s="880" t="s">
        <v>98</v>
      </c>
      <c r="B119" s="880"/>
      <c r="C119" s="880"/>
      <c r="D119" s="151" t="s">
        <v>183</v>
      </c>
      <c r="E119" s="95">
        <f>'18 '!F119</f>
        <v>44588</v>
      </c>
      <c r="F119" s="237">
        <v>44636</v>
      </c>
      <c r="G119" s="474">
        <f t="shared" si="9"/>
        <v>48</v>
      </c>
      <c r="H119" s="99">
        <f>G119+'18 '!H119</f>
        <v>696.82499999999709</v>
      </c>
      <c r="I119" s="165"/>
      <c r="J119" s="328">
        <f>H119/DAY(B2)</f>
        <v>36.674999999999848</v>
      </c>
    </row>
    <row r="120" spans="1:18" ht="25.5">
      <c r="A120" s="880" t="s">
        <v>99</v>
      </c>
      <c r="B120" s="880"/>
      <c r="C120" s="880"/>
      <c r="D120" s="151" t="s">
        <v>183</v>
      </c>
      <c r="E120" s="95">
        <f>'18 '!F120</f>
        <v>115507</v>
      </c>
      <c r="F120" s="237">
        <v>115893</v>
      </c>
      <c r="G120" s="474">
        <f t="shared" si="9"/>
        <v>386</v>
      </c>
      <c r="H120" s="99">
        <f>G120+'18 '!H120</f>
        <v>7455.8600000000006</v>
      </c>
      <c r="I120" s="165"/>
      <c r="J120" s="328">
        <f>H120/DAY(B2)</f>
        <v>392.41368421052636</v>
      </c>
    </row>
    <row r="121" spans="1:18" ht="25.5">
      <c r="A121" s="880" t="s">
        <v>100</v>
      </c>
      <c r="B121" s="880"/>
      <c r="C121" s="880"/>
      <c r="D121" s="151" t="s">
        <v>183</v>
      </c>
      <c r="E121" s="95">
        <f>'18 '!F121</f>
        <v>129033</v>
      </c>
      <c r="F121" s="237">
        <v>129474</v>
      </c>
      <c r="G121" s="474">
        <f t="shared" si="9"/>
        <v>441</v>
      </c>
      <c r="H121" s="99">
        <f>G121+'18 '!H121</f>
        <v>8251.11</v>
      </c>
      <c r="I121" s="165"/>
      <c r="J121" s="328">
        <f>H121/DAY(B2)</f>
        <v>434.2689473684211</v>
      </c>
    </row>
    <row r="122" spans="1:18" ht="25.5">
      <c r="A122" s="880" t="s">
        <v>101</v>
      </c>
      <c r="B122" s="880"/>
      <c r="C122" s="880"/>
      <c r="D122" s="151" t="s">
        <v>183</v>
      </c>
      <c r="E122" s="95">
        <f>'18 '!F122</f>
        <v>86841</v>
      </c>
      <c r="F122" s="237">
        <v>87147.88</v>
      </c>
      <c r="G122" s="474">
        <f t="shared" si="9"/>
        <v>306.88000000000466</v>
      </c>
      <c r="H122" s="99">
        <f>G122+'18 '!H122</f>
        <v>5873.5100000000093</v>
      </c>
      <c r="I122" s="165"/>
      <c r="J122" s="328">
        <f>H122/DAY(B2)</f>
        <v>309.13210526315839</v>
      </c>
    </row>
    <row r="123" spans="1:18" ht="25.5">
      <c r="A123" s="880" t="s">
        <v>102</v>
      </c>
      <c r="B123" s="880"/>
      <c r="C123" s="880"/>
      <c r="D123" s="151" t="s">
        <v>183</v>
      </c>
      <c r="E123" s="95">
        <f>'18 '!F123</f>
        <v>83552</v>
      </c>
      <c r="F123" s="237">
        <v>83851.16</v>
      </c>
      <c r="G123" s="474">
        <f t="shared" si="9"/>
        <v>299.16000000000349</v>
      </c>
      <c r="H123" s="99">
        <f>G123+'18 '!H123</f>
        <v>5902.1600000000035</v>
      </c>
      <c r="I123" s="165"/>
      <c r="J123" s="328">
        <f>H123/DAY(B2)</f>
        <v>310.64000000000016</v>
      </c>
    </row>
    <row r="124" spans="1:18" ht="29.25" customHeight="1">
      <c r="A124" s="885"/>
      <c r="B124" s="886"/>
      <c r="C124" s="887"/>
      <c r="D124" s="165"/>
      <c r="E124" s="95">
        <f>'18 '!F124</f>
        <v>0</v>
      </c>
      <c r="F124" s="165"/>
      <c r="G124" s="494"/>
      <c r="H124" s="156"/>
      <c r="I124" s="165"/>
      <c r="J124" s="327"/>
    </row>
    <row r="125" spans="1:18" ht="25.5">
      <c r="A125" s="787" t="s">
        <v>196</v>
      </c>
      <c r="B125" s="788"/>
      <c r="C125" s="245"/>
      <c r="D125" s="307"/>
      <c r="E125" s="308"/>
      <c r="F125" s="308"/>
      <c r="G125" s="495">
        <f>SUM(G112:G124)</f>
        <v>3367.1800000000148</v>
      </c>
      <c r="H125" s="156"/>
      <c r="I125" s="327">
        <f>G125-(G39+G53)</f>
        <v>612.51999999998225</v>
      </c>
      <c r="J125" s="327"/>
    </row>
    <row r="126" spans="1:18" ht="25.5">
      <c r="A126" s="884" t="s">
        <v>317</v>
      </c>
      <c r="B126" s="884"/>
      <c r="C126" s="884"/>
      <c r="D126" s="884"/>
      <c r="E126" s="884"/>
      <c r="F126" s="884"/>
      <c r="G126" s="884"/>
      <c r="H126" s="884"/>
      <c r="I126" s="884"/>
      <c r="J126" s="884"/>
    </row>
    <row r="127" spans="1:18" ht="25.5">
      <c r="A127" s="870"/>
      <c r="B127" s="870"/>
      <c r="C127" s="245"/>
      <c r="D127" s="307"/>
      <c r="E127" s="308"/>
      <c r="F127" s="308"/>
      <c r="G127" s="495"/>
      <c r="H127" s="99">
        <f>G127+'18 '!H127</f>
        <v>0</v>
      </c>
      <c r="I127" s="165"/>
      <c r="J127" s="328">
        <f>H127/DAY(B2)</f>
        <v>0</v>
      </c>
    </row>
    <row r="128" spans="1:18" ht="29.25" customHeight="1">
      <c r="A128" s="881" t="s">
        <v>318</v>
      </c>
      <c r="B128" s="882"/>
      <c r="C128" s="883"/>
      <c r="D128" s="151" t="s">
        <v>183</v>
      </c>
      <c r="E128" s="95">
        <f>'18 '!F128</f>
        <v>200945</v>
      </c>
      <c r="F128" s="165">
        <v>201438.44</v>
      </c>
      <c r="G128" s="474">
        <f t="shared" ref="G128:G134" si="10">F128-E128</f>
        <v>493.44000000000233</v>
      </c>
      <c r="H128" s="99">
        <f>G128+'18 '!H128</f>
        <v>9552.8099999999977</v>
      </c>
      <c r="I128" s="165"/>
      <c r="J128" s="328">
        <f>H128/DAY(B2)</f>
        <v>502.77947368421042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'18 '!F129</f>
        <v>104477</v>
      </c>
      <c r="F129" s="165">
        <v>104680.66</v>
      </c>
      <c r="G129" s="474">
        <f t="shared" si="10"/>
        <v>203.66000000000349</v>
      </c>
      <c r="H129" s="99">
        <f>G129+'18 '!H129</f>
        <v>3403.6600000000035</v>
      </c>
      <c r="I129" s="165"/>
      <c r="J129" s="328">
        <f>H129/DAY(B2)</f>
        <v>179.14000000000019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'18 '!F130</f>
        <v>279423</v>
      </c>
      <c r="F130" s="158">
        <v>280036</v>
      </c>
      <c r="G130" s="474">
        <f t="shared" si="10"/>
        <v>613</v>
      </c>
      <c r="H130" s="99">
        <f>G130+'18 '!H130</f>
        <v>11221</v>
      </c>
      <c r="I130" s="165"/>
      <c r="J130" s="328">
        <f>H130/DAY(B2)</f>
        <v>590.57894736842104</v>
      </c>
      <c r="N130" s="240"/>
      <c r="O130" s="241"/>
    </row>
    <row r="131" spans="1:15" ht="25.5">
      <c r="A131" s="881" t="s">
        <v>321</v>
      </c>
      <c r="B131" s="882"/>
      <c r="C131" s="883"/>
      <c r="D131" s="151" t="s">
        <v>183</v>
      </c>
      <c r="E131" s="95">
        <f>'18 '!F131</f>
        <v>82747</v>
      </c>
      <c r="F131" s="165">
        <v>82922.17</v>
      </c>
      <c r="G131" s="474">
        <f t="shared" si="10"/>
        <v>175.16999999999825</v>
      </c>
      <c r="H131" s="99">
        <f>G131+'18 '!H131</f>
        <v>3371.5399999999936</v>
      </c>
      <c r="I131" s="165"/>
      <c r="J131" s="328">
        <f>H131/DAY(B2)</f>
        <v>177.44947368421018</v>
      </c>
      <c r="N131" s="240"/>
      <c r="O131" s="241"/>
    </row>
    <row r="132" spans="1:15" ht="25.5">
      <c r="A132" s="881" t="s">
        <v>322</v>
      </c>
      <c r="B132" s="882"/>
      <c r="C132" s="883"/>
      <c r="D132" s="151" t="s">
        <v>183</v>
      </c>
      <c r="E132" s="95">
        <f>'18 '!F132</f>
        <v>148274</v>
      </c>
      <c r="F132" s="165">
        <v>148274</v>
      </c>
      <c r="G132" s="474">
        <f t="shared" si="10"/>
        <v>0</v>
      </c>
      <c r="H132" s="99">
        <f>G132+'18 '!H132</f>
        <v>0</v>
      </c>
      <c r="I132" s="165"/>
      <c r="J132" s="328">
        <f>H132/DAY(B2)</f>
        <v>0</v>
      </c>
    </row>
    <row r="133" spans="1:15" ht="25.5">
      <c r="A133" s="881" t="s">
        <v>359</v>
      </c>
      <c r="B133" s="882"/>
      <c r="C133" s="883"/>
      <c r="D133" s="151" t="s">
        <v>183</v>
      </c>
      <c r="E133" s="95">
        <f>'18 '!F133</f>
        <v>288548</v>
      </c>
      <c r="F133" s="165">
        <v>288548</v>
      </c>
      <c r="G133" s="474">
        <f t="shared" si="10"/>
        <v>0</v>
      </c>
      <c r="H133" s="99">
        <f>G133+'18 '!H133</f>
        <v>-644500</v>
      </c>
      <c r="I133" s="165"/>
      <c r="J133" s="328">
        <f>H133/DAY(B2)</f>
        <v>-33921.052631578947</v>
      </c>
    </row>
    <row r="134" spans="1:15" ht="25.5">
      <c r="A134" s="881" t="s">
        <v>340</v>
      </c>
      <c r="B134" s="882"/>
      <c r="C134" s="883"/>
      <c r="D134" s="151" t="s">
        <v>183</v>
      </c>
      <c r="E134" s="95">
        <f>'18 '!F134</f>
        <v>90672</v>
      </c>
      <c r="F134" s="165">
        <v>90851.64</v>
      </c>
      <c r="G134" s="474">
        <f t="shared" si="10"/>
        <v>179.63999999999942</v>
      </c>
      <c r="H134" s="99">
        <f>G134+'18 '!H134</f>
        <v>4899.6399999999994</v>
      </c>
      <c r="I134" s="165"/>
      <c r="J134" s="328">
        <f>H134/DAY(B2)</f>
        <v>257.87578947368416</v>
      </c>
    </row>
    <row r="135" spans="1:15" ht="25.5">
      <c r="A135" s="787" t="s">
        <v>196</v>
      </c>
      <c r="B135" s="788"/>
      <c r="C135" s="331"/>
      <c r="D135" s="151"/>
      <c r="E135" s="95"/>
      <c r="F135" s="165"/>
      <c r="G135" s="474">
        <f>SUM(G128:G134)</f>
        <v>1664.9100000000035</v>
      </c>
      <c r="H135" s="99">
        <f>G135+'10'!H135</f>
        <v>-626455.93499999994</v>
      </c>
      <c r="I135" s="327">
        <f>G135-(G35+G49)</f>
        <v>-1143.5499999999593</v>
      </c>
      <c r="J135" s="328"/>
    </row>
    <row r="136" spans="1:15" ht="27.75">
      <c r="A136" s="869" t="s">
        <v>325</v>
      </c>
      <c r="B136" s="869"/>
      <c r="C136" s="869"/>
      <c r="D136" s="869"/>
      <c r="E136" s="869"/>
      <c r="F136" s="869"/>
      <c r="G136" s="869"/>
      <c r="H136" s="869"/>
      <c r="I136" s="869"/>
      <c r="J136" s="869"/>
    </row>
    <row r="137" spans="1:15" ht="26.25">
      <c r="A137" s="245"/>
      <c r="B137" s="246"/>
      <c r="C137" s="246"/>
      <c r="D137" s="165"/>
      <c r="E137" s="165"/>
      <c r="F137" s="165"/>
      <c r="G137" s="494"/>
      <c r="H137" s="156"/>
      <c r="I137" s="165"/>
      <c r="J137" s="327"/>
    </row>
    <row r="138" spans="1:15" ht="25.5">
      <c r="A138" s="880" t="s">
        <v>185</v>
      </c>
      <c r="B138" s="880"/>
      <c r="C138" s="880"/>
      <c r="D138" s="151" t="s">
        <v>183</v>
      </c>
      <c r="E138" s="95">
        <f>'18 '!F138</f>
        <v>911487</v>
      </c>
      <c r="F138" s="759">
        <v>911599</v>
      </c>
      <c r="G138" s="474">
        <f t="shared" ref="G138:G152" si="11">F138-E138</f>
        <v>112</v>
      </c>
      <c r="H138" s="99">
        <f>G138+'18 '!H138</f>
        <v>2159</v>
      </c>
      <c r="I138" s="118"/>
      <c r="J138" s="328">
        <f>H138/DAY(B2)</f>
        <v>113.63157894736842</v>
      </c>
    </row>
    <row r="139" spans="1:15" ht="25.5">
      <c r="A139" s="880" t="s">
        <v>186</v>
      </c>
      <c r="B139" s="880"/>
      <c r="C139" s="880"/>
      <c r="D139" s="151" t="s">
        <v>183</v>
      </c>
      <c r="E139" s="95">
        <f>'18 '!F139</f>
        <v>935186</v>
      </c>
      <c r="F139" s="748">
        <v>935331</v>
      </c>
      <c r="G139" s="474">
        <f t="shared" si="11"/>
        <v>145</v>
      </c>
      <c r="H139" s="99">
        <f>G139+'18 '!H139</f>
        <v>2971</v>
      </c>
      <c r="I139" s="118"/>
      <c r="J139" s="328">
        <f>H139/DAY(B2)</f>
        <v>156.36842105263159</v>
      </c>
    </row>
    <row r="140" spans="1:15" ht="25.5">
      <c r="A140" s="880" t="s">
        <v>187</v>
      </c>
      <c r="B140" s="880"/>
      <c r="C140" s="880"/>
      <c r="D140" s="151" t="s">
        <v>183</v>
      </c>
      <c r="E140" s="95">
        <f>'18 '!F140</f>
        <v>4463</v>
      </c>
      <c r="F140" s="149">
        <v>4486.37</v>
      </c>
      <c r="G140" s="474">
        <f t="shared" si="11"/>
        <v>23.369999999999891</v>
      </c>
      <c r="H140" s="99">
        <f>G140+'18 '!H140</f>
        <v>452.85899999999992</v>
      </c>
      <c r="I140" s="118"/>
      <c r="J140" s="328">
        <f>H140/DAY(B2)</f>
        <v>23.834684210526312</v>
      </c>
    </row>
    <row r="141" spans="1:15" ht="25.5">
      <c r="A141" s="863" t="s">
        <v>188</v>
      </c>
      <c r="B141" s="863"/>
      <c r="C141" s="863"/>
      <c r="D141" s="151" t="s">
        <v>183</v>
      </c>
      <c r="E141" s="95">
        <f>'18 '!F141</f>
        <v>128277</v>
      </c>
      <c r="F141" s="149">
        <v>128524.8</v>
      </c>
      <c r="G141" s="474">
        <f t="shared" si="11"/>
        <v>247.80000000000291</v>
      </c>
      <c r="H141" s="99">
        <f>G141+'18 '!H141</f>
        <v>3926.8000000000029</v>
      </c>
      <c r="I141" s="118"/>
      <c r="J141" s="328">
        <f>H141/DAY(B2)</f>
        <v>206.67368421052646</v>
      </c>
    </row>
    <row r="142" spans="1:15" ht="25.5">
      <c r="A142" s="863" t="s">
        <v>189</v>
      </c>
      <c r="B142" s="863"/>
      <c r="C142" s="863"/>
      <c r="D142" s="151" t="s">
        <v>183</v>
      </c>
      <c r="E142" s="95">
        <f>'18 '!F142</f>
        <v>52163</v>
      </c>
      <c r="F142" s="148">
        <v>52250.2</v>
      </c>
      <c r="G142" s="474">
        <f t="shared" si="11"/>
        <v>87.19999999999709</v>
      </c>
      <c r="H142" s="99">
        <f>G142+'18 '!H142</f>
        <v>1684.6499999999942</v>
      </c>
      <c r="I142" s="140"/>
      <c r="J142" s="328">
        <f>H142/DAY(B2)</f>
        <v>88.665789473683901</v>
      </c>
    </row>
    <row r="143" spans="1:15" ht="25.5">
      <c r="A143" s="880" t="s">
        <v>91</v>
      </c>
      <c r="B143" s="880"/>
      <c r="C143" s="880"/>
      <c r="D143" s="151" t="s">
        <v>183</v>
      </c>
      <c r="E143" s="95">
        <f>'18 '!F143</f>
        <v>13931</v>
      </c>
      <c r="F143" s="149">
        <v>13966.46</v>
      </c>
      <c r="G143" s="474">
        <f t="shared" si="11"/>
        <v>35.459999999999127</v>
      </c>
      <c r="H143" s="99">
        <f>G143+'18 '!H143</f>
        <v>579.45999999999913</v>
      </c>
      <c r="I143" s="140"/>
      <c r="J143" s="328">
        <f>H143/DAY(B2)</f>
        <v>30.49789473684206</v>
      </c>
    </row>
    <row r="144" spans="1:15" ht="25.5">
      <c r="A144" s="863" t="s">
        <v>90</v>
      </c>
      <c r="B144" s="863"/>
      <c r="C144" s="863"/>
      <c r="D144" s="151" t="s">
        <v>183</v>
      </c>
      <c r="E144" s="95">
        <f>'18 '!F144</f>
        <v>959825</v>
      </c>
      <c r="F144" s="149">
        <v>960094</v>
      </c>
      <c r="G144" s="474">
        <f t="shared" si="11"/>
        <v>269</v>
      </c>
      <c r="H144" s="99">
        <f>G144+'18 '!H144</f>
        <v>4624</v>
      </c>
      <c r="I144" s="140"/>
      <c r="J144" s="328">
        <f>H144/DAY(B2)</f>
        <v>243.36842105263159</v>
      </c>
    </row>
    <row r="145" spans="1:10" ht="25.5">
      <c r="A145" s="880" t="s">
        <v>190</v>
      </c>
      <c r="B145" s="880"/>
      <c r="C145" s="880"/>
      <c r="D145" s="152" t="s">
        <v>183</v>
      </c>
      <c r="E145" s="95">
        <f>'18 '!F145</f>
        <v>748039</v>
      </c>
      <c r="F145" s="149">
        <v>748428</v>
      </c>
      <c r="G145" s="474">
        <f t="shared" si="11"/>
        <v>389</v>
      </c>
      <c r="H145" s="99">
        <f>G145+'18 '!H145</f>
        <v>3247</v>
      </c>
      <c r="I145" s="140"/>
      <c r="J145" s="328">
        <f>H145/DAY(B2)</f>
        <v>170.89473684210526</v>
      </c>
    </row>
    <row r="146" spans="1:10" ht="25.5">
      <c r="A146" s="914" t="s">
        <v>191</v>
      </c>
      <c r="B146" s="900"/>
      <c r="C146" s="901"/>
      <c r="D146" s="152" t="s">
        <v>183</v>
      </c>
      <c r="E146" s="95">
        <f>'18 '!F146</f>
        <v>788516</v>
      </c>
      <c r="F146" s="148">
        <v>788561</v>
      </c>
      <c r="G146" s="474">
        <f t="shared" si="11"/>
        <v>45</v>
      </c>
      <c r="H146" s="99">
        <f>G146+'18 '!H146</f>
        <v>703</v>
      </c>
      <c r="I146" s="140"/>
      <c r="J146" s="328">
        <f>H146/DAY(B2)</f>
        <v>37</v>
      </c>
    </row>
    <row r="147" spans="1:10" ht="25.5">
      <c r="A147" s="863" t="s">
        <v>192</v>
      </c>
      <c r="B147" s="863"/>
      <c r="C147" s="863"/>
      <c r="D147" s="152" t="s">
        <v>183</v>
      </c>
      <c r="E147" s="95">
        <f>'18 '!F147</f>
        <v>766837</v>
      </c>
      <c r="F147" s="148">
        <v>767208.64</v>
      </c>
      <c r="G147" s="474">
        <f t="shared" si="11"/>
        <v>371.64000000001397</v>
      </c>
      <c r="H147" s="99">
        <f>G147+'18 '!H147</f>
        <v>7070.640000000014</v>
      </c>
      <c r="I147" s="140"/>
      <c r="J147" s="328">
        <f>H147/DAY(B2)</f>
        <v>372.13894736842178</v>
      </c>
    </row>
    <row r="148" spans="1:10" ht="25.5">
      <c r="A148" s="864" t="s">
        <v>193</v>
      </c>
      <c r="B148" s="865"/>
      <c r="C148" s="866"/>
      <c r="D148" s="123" t="s">
        <v>130</v>
      </c>
      <c r="E148" s="95">
        <f>'18 '!F148</f>
        <v>802079</v>
      </c>
      <c r="F148" s="164">
        <v>802422.96</v>
      </c>
      <c r="G148" s="474">
        <f t="shared" si="11"/>
        <v>343.95999999996275</v>
      </c>
      <c r="H148" s="99">
        <f>G148+'18 '!H148</f>
        <v>6010.8800000000047</v>
      </c>
      <c r="I148" s="124"/>
      <c r="J148" s="328">
        <f>H148/DAY(B2)</f>
        <v>316.36210526315813</v>
      </c>
    </row>
    <row r="149" spans="1:10" ht="25.5">
      <c r="A149" s="864" t="s">
        <v>336</v>
      </c>
      <c r="B149" s="865"/>
      <c r="C149" s="866"/>
      <c r="D149" s="227" t="s">
        <v>130</v>
      </c>
      <c r="E149" s="95">
        <f>'18 '!F149</f>
        <v>209470</v>
      </c>
      <c r="F149" s="415">
        <v>209938.1</v>
      </c>
      <c r="G149" s="474">
        <f t="shared" si="11"/>
        <v>468.10000000000582</v>
      </c>
      <c r="H149" s="99">
        <f>G149+'18 '!H149</f>
        <v>8646.8300000000163</v>
      </c>
      <c r="I149" s="119"/>
      <c r="J149" s="328">
        <f>H149/DAY(B2)</f>
        <v>455.09631578947454</v>
      </c>
    </row>
    <row r="150" spans="1:10" ht="25.5">
      <c r="A150" s="864" t="s">
        <v>337</v>
      </c>
      <c r="B150" s="865"/>
      <c r="C150" s="866"/>
      <c r="D150" s="117" t="s">
        <v>130</v>
      </c>
      <c r="E150" s="95">
        <f>'18 '!F150</f>
        <v>89247</v>
      </c>
      <c r="F150" s="233">
        <v>89497</v>
      </c>
      <c r="G150" s="474">
        <f t="shared" si="11"/>
        <v>250</v>
      </c>
      <c r="H150" s="99">
        <f>G150+'18 '!H150</f>
        <v>6910</v>
      </c>
      <c r="I150" s="119"/>
      <c r="J150" s="328">
        <f>H150/DAY(B2)</f>
        <v>363.68421052631578</v>
      </c>
    </row>
    <row r="151" spans="1:10" ht="25.5">
      <c r="A151" s="864" t="s">
        <v>338</v>
      </c>
      <c r="B151" s="865"/>
      <c r="C151" s="866"/>
      <c r="D151" s="117" t="s">
        <v>130</v>
      </c>
      <c r="E151" s="95">
        <f>'18 '!F151</f>
        <v>172174</v>
      </c>
      <c r="F151" s="233">
        <v>172471</v>
      </c>
      <c r="G151" s="474">
        <f t="shared" si="11"/>
        <v>297</v>
      </c>
      <c r="H151" s="99">
        <f>G151+'18 '!H151</f>
        <v>5741</v>
      </c>
      <c r="I151" s="119"/>
      <c r="J151" s="328">
        <f>H151/DAY(B2)</f>
        <v>302.15789473684208</v>
      </c>
    </row>
    <row r="152" spans="1:10" ht="25.5">
      <c r="A152" s="864" t="s">
        <v>339</v>
      </c>
      <c r="B152" s="865"/>
      <c r="C152" s="866"/>
      <c r="D152" s="117" t="s">
        <v>130</v>
      </c>
      <c r="E152" s="95">
        <f>'18 '!F152</f>
        <v>44890</v>
      </c>
      <c r="F152" s="233">
        <v>45023.77</v>
      </c>
      <c r="G152" s="474">
        <f t="shared" si="11"/>
        <v>133.7699999999968</v>
      </c>
      <c r="H152" s="99">
        <f>G152+'18 '!H152</f>
        <v>2512.7699999999968</v>
      </c>
      <c r="I152" s="119"/>
      <c r="J152" s="328">
        <f>H152/DAY(B2)</f>
        <v>132.25105263157877</v>
      </c>
    </row>
    <row r="153" spans="1:10" ht="25.5">
      <c r="A153" s="787" t="s">
        <v>196</v>
      </c>
      <c r="B153" s="788"/>
      <c r="C153" s="365"/>
      <c r="D153" s="358"/>
      <c r="E153" s="360"/>
      <c r="F153" s="361"/>
      <c r="G153" s="496">
        <f>SUM(G138:G152)</f>
        <v>3218.2999999999784</v>
      </c>
      <c r="H153" s="363"/>
      <c r="I153" s="119">
        <f>G153-(G38+G52)</f>
        <v>635.62999999993644</v>
      </c>
      <c r="J153" s="366"/>
    </row>
    <row r="154" spans="1:10" ht="27.75">
      <c r="A154" s="869" t="s">
        <v>207</v>
      </c>
      <c r="B154" s="869"/>
      <c r="C154" s="869"/>
      <c r="D154" s="869"/>
      <c r="E154" s="869"/>
      <c r="F154" s="869"/>
      <c r="G154" s="869"/>
      <c r="H154" s="869"/>
      <c r="I154" s="869"/>
      <c r="J154" s="869"/>
    </row>
    <row r="155" spans="1:10" ht="27.75">
      <c r="A155" s="863" t="s">
        <v>345</v>
      </c>
      <c r="B155" s="863"/>
      <c r="C155" s="863"/>
      <c r="D155" s="117" t="s">
        <v>130</v>
      </c>
      <c r="E155" s="95">
        <f>'18 '!F155</f>
        <v>249182</v>
      </c>
      <c r="F155" s="157">
        <v>249722</v>
      </c>
      <c r="G155" s="474">
        <f t="shared" ref="G155:G158" si="12">F155-E155</f>
        <v>540</v>
      </c>
      <c r="H155" s="99">
        <f>G155+'18 '!H155</f>
        <v>10688</v>
      </c>
      <c r="I155" s="364"/>
      <c r="J155" s="328">
        <f>H155/DAY(B2)</f>
        <v>562.52631578947364</v>
      </c>
    </row>
    <row r="156" spans="1:10" ht="25.5">
      <c r="A156" s="863" t="s">
        <v>347</v>
      </c>
      <c r="B156" s="863"/>
      <c r="C156" s="863"/>
      <c r="D156" s="117" t="s">
        <v>130</v>
      </c>
      <c r="E156" s="95">
        <f>'18 '!F156</f>
        <v>31300</v>
      </c>
      <c r="F156" s="157">
        <v>31385</v>
      </c>
      <c r="G156" s="474">
        <f t="shared" si="12"/>
        <v>85</v>
      </c>
      <c r="H156" s="99">
        <f>G156+'18 '!H156</f>
        <v>1705.5</v>
      </c>
      <c r="I156" s="165"/>
      <c r="J156" s="328">
        <f>H156/DAY(B2)</f>
        <v>89.763157894736835</v>
      </c>
    </row>
    <row r="157" spans="1:10" ht="25.5">
      <c r="A157" s="864" t="s">
        <v>360</v>
      </c>
      <c r="B157" s="865"/>
      <c r="C157" s="866"/>
      <c r="D157" s="117" t="s">
        <v>130</v>
      </c>
      <c r="E157" s="95">
        <f>'18 '!F157</f>
        <v>37559</v>
      </c>
      <c r="F157" s="374">
        <v>37559</v>
      </c>
      <c r="G157" s="474">
        <f t="shared" si="12"/>
        <v>0</v>
      </c>
      <c r="H157" s="99"/>
      <c r="I157" s="165"/>
      <c r="J157" s="328"/>
    </row>
    <row r="158" spans="1:10" ht="25.5">
      <c r="A158" s="864" t="s">
        <v>361</v>
      </c>
      <c r="B158" s="865"/>
      <c r="C158" s="866"/>
      <c r="D158" s="117" t="s">
        <v>130</v>
      </c>
      <c r="E158" s="95">
        <f>'18 '!F158</f>
        <v>1771</v>
      </c>
      <c r="F158" s="374">
        <v>1772.7</v>
      </c>
      <c r="G158" s="474">
        <f t="shared" si="12"/>
        <v>1.7000000000000455</v>
      </c>
      <c r="H158" s="99"/>
      <c r="I158" s="165"/>
      <c r="J158" s="328"/>
    </row>
    <row r="159" spans="1:10" ht="25.5">
      <c r="A159" s="944"/>
      <c r="B159" s="945"/>
      <c r="C159" s="946"/>
      <c r="D159" s="117"/>
      <c r="E159" s="95"/>
      <c r="F159" s="165"/>
      <c r="G159" s="474"/>
      <c r="H159" s="99"/>
      <c r="I159" s="165"/>
      <c r="J159" s="328"/>
    </row>
    <row r="160" spans="1:10" ht="27.75">
      <c r="A160" s="869" t="s">
        <v>326</v>
      </c>
      <c r="B160" s="869"/>
      <c r="C160" s="869"/>
      <c r="D160" s="869"/>
      <c r="E160" s="869"/>
      <c r="F160" s="869"/>
      <c r="G160" s="869"/>
      <c r="H160" s="869"/>
      <c r="I160" s="869"/>
      <c r="J160" s="869"/>
    </row>
    <row r="161" spans="1:10" ht="26.25">
      <c r="A161" s="242" t="s">
        <v>92</v>
      </c>
      <c r="B161" s="243"/>
      <c r="C161" s="243"/>
      <c r="D161" s="244" t="s">
        <v>180</v>
      </c>
      <c r="E161" s="95">
        <f>'18 '!F161</f>
        <v>511181</v>
      </c>
      <c r="F161" s="235">
        <v>511318</v>
      </c>
      <c r="G161" s="497">
        <f t="shared" ref="G161:G165" si="13">F161-E161</f>
        <v>137</v>
      </c>
      <c r="H161" s="99">
        <f>G161+'18 '!H161</f>
        <v>2934.679999999993</v>
      </c>
      <c r="I161" s="236"/>
      <c r="J161" s="239">
        <f>H161/DAY(B2)</f>
        <v>154.45684210526278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'18 '!F162</f>
        <v>1365</v>
      </c>
      <c r="F162" s="235">
        <v>1408</v>
      </c>
      <c r="G162" s="497">
        <f t="shared" si="13"/>
        <v>43</v>
      </c>
      <c r="H162" s="99">
        <f>G162+'18 '!H162</f>
        <v>671.4</v>
      </c>
      <c r="I162" s="236"/>
      <c r="J162" s="239">
        <f>H162/DAY(B2)</f>
        <v>35.336842105263159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'18 '!F163</f>
        <v>0</v>
      </c>
      <c r="F163" s="235">
        <v>0</v>
      </c>
      <c r="G163" s="497">
        <f t="shared" si="13"/>
        <v>0</v>
      </c>
      <c r="H163" s="99">
        <f>G163+'18 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'18 '!F164</f>
        <v>7297</v>
      </c>
      <c r="F164" s="235">
        <v>7301</v>
      </c>
      <c r="G164" s="497">
        <f t="shared" si="13"/>
        <v>4</v>
      </c>
      <c r="H164" s="99">
        <f>G164+'18 '!H164</f>
        <v>102</v>
      </c>
      <c r="I164" s="236"/>
      <c r="J164" s="239">
        <f>H164/DAY(B2)</f>
        <v>5.3684210526315788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'18 '!F165</f>
        <v>32892</v>
      </c>
      <c r="F165" s="235">
        <v>32900</v>
      </c>
      <c r="G165" s="497">
        <f t="shared" si="13"/>
        <v>8</v>
      </c>
      <c r="H165" s="99">
        <f>G165+'18 '!H165</f>
        <v>119.91199999999662</v>
      </c>
      <c r="I165" s="236"/>
      <c r="J165" s="239">
        <f>H165/DAY(B2)</f>
        <v>6.311157894736664</v>
      </c>
    </row>
    <row r="166" spans="1:10" ht="26.25">
      <c r="A166" s="870"/>
      <c r="B166" s="870"/>
      <c r="C166" s="246"/>
      <c r="D166" s="244"/>
      <c r="E166" s="95"/>
      <c r="F166" s="165"/>
      <c r="G166" s="494"/>
      <c r="H166" s="99"/>
      <c r="I166" s="165"/>
      <c r="J166" s="239"/>
    </row>
    <row r="167" spans="1:10" ht="26.25">
      <c r="A167" s="870"/>
      <c r="B167" s="870"/>
      <c r="C167" s="246"/>
      <c r="D167" s="244"/>
      <c r="E167" s="95"/>
      <c r="F167" s="165"/>
      <c r="G167" s="494"/>
      <c r="H167" s="99"/>
      <c r="I167" s="165"/>
      <c r="J167" s="239"/>
    </row>
    <row r="168" spans="1:10" ht="26.25">
      <c r="A168" s="870"/>
      <c r="B168" s="870"/>
      <c r="C168" s="246"/>
      <c r="D168" s="244"/>
      <c r="E168" s="95"/>
      <c r="F168" s="165"/>
      <c r="G168" s="494"/>
      <c r="H168" s="99"/>
      <c r="I168" s="165"/>
      <c r="J168" s="239"/>
    </row>
    <row r="169" spans="1:10" ht="26.25"/>
    <row r="170" spans="1:10" ht="26.25"/>
    <row r="171" spans="1:10" ht="27.75">
      <c r="A171" s="871" t="s">
        <v>330</v>
      </c>
      <c r="B171" s="872"/>
      <c r="C171" s="872"/>
      <c r="D171" s="872"/>
      <c r="E171" s="872"/>
      <c r="F171" s="872"/>
      <c r="G171" s="872"/>
      <c r="H171" s="872"/>
      <c r="I171" s="872"/>
      <c r="J171" s="873"/>
    </row>
    <row r="172" spans="1:10" ht="25.5">
      <c r="A172" s="878"/>
      <c r="B172" s="879"/>
      <c r="C172" s="332"/>
      <c r="D172" s="228"/>
      <c r="E172" s="155"/>
      <c r="F172" s="155"/>
      <c r="G172" s="498"/>
      <c r="H172" s="156"/>
      <c r="I172" s="155"/>
      <c r="J172" s="178"/>
    </row>
    <row r="173" spans="1:10" ht="25.5">
      <c r="A173" s="789" t="s">
        <v>209</v>
      </c>
      <c r="B173" s="790"/>
      <c r="C173" s="333"/>
      <c r="D173" s="228" t="s">
        <v>142</v>
      </c>
      <c r="E173" s="95">
        <f>'18 '!F173</f>
        <v>8602</v>
      </c>
      <c r="F173" s="157">
        <v>8604</v>
      </c>
      <c r="G173" s="498">
        <f>F173-E173</f>
        <v>2</v>
      </c>
      <c r="H173" s="99">
        <f>G173+'18 '!H173</f>
        <v>22</v>
      </c>
      <c r="I173" s="155"/>
      <c r="J173" s="178">
        <f>H173/DAY(B2)</f>
        <v>1.1578947368421053</v>
      </c>
    </row>
    <row r="174" spans="1:10" ht="25.5">
      <c r="A174" s="789" t="s">
        <v>75</v>
      </c>
      <c r="B174" s="790"/>
      <c r="C174" s="333"/>
      <c r="D174" s="228" t="s">
        <v>142</v>
      </c>
      <c r="E174" s="95">
        <f>'18 '!F174</f>
        <v>43260</v>
      </c>
      <c r="F174" s="157">
        <v>43273</v>
      </c>
      <c r="G174" s="498">
        <f t="shared" ref="G174:G175" si="14">F174-E174</f>
        <v>13</v>
      </c>
      <c r="H174" s="99">
        <f>G174+'18 '!H174</f>
        <v>223</v>
      </c>
      <c r="I174" s="155"/>
      <c r="J174" s="178">
        <f>H174/DAY(B2)</f>
        <v>11.736842105263158</v>
      </c>
    </row>
    <row r="175" spans="1:10" ht="25.5">
      <c r="A175" s="789" t="s">
        <v>76</v>
      </c>
      <c r="B175" s="802"/>
      <c r="C175" s="790"/>
      <c r="D175" s="228" t="s">
        <v>142</v>
      </c>
      <c r="E175" s="95">
        <f>'18 '!F175</f>
        <v>26083</v>
      </c>
      <c r="F175" s="157">
        <v>26102</v>
      </c>
      <c r="G175" s="498">
        <f t="shared" si="14"/>
        <v>19</v>
      </c>
      <c r="H175" s="99">
        <f>G175+'18 '!H175</f>
        <v>281</v>
      </c>
      <c r="I175" s="155"/>
      <c r="J175" s="178">
        <f>H175/DAY(B2)</f>
        <v>14.789473684210526</v>
      </c>
    </row>
    <row r="176" spans="1:10" ht="25.5">
      <c r="A176" s="787" t="s">
        <v>196</v>
      </c>
      <c r="B176" s="788"/>
      <c r="C176" s="400"/>
      <c r="D176" s="228" t="s">
        <v>142</v>
      </c>
      <c r="E176" s="95"/>
      <c r="F176" s="155"/>
      <c r="G176" s="498">
        <f>SUM(G173:G175)</f>
        <v>34</v>
      </c>
      <c r="H176" s="99">
        <f>G176+'18 '!H176</f>
        <v>526</v>
      </c>
      <c r="I176" s="155"/>
      <c r="J176" s="178">
        <f>H176/DAY(B2)</f>
        <v>27.684210526315791</v>
      </c>
    </row>
    <row r="177" spans="1:11" ht="25.5">
      <c r="A177" s="789" t="s">
        <v>77</v>
      </c>
      <c r="B177" s="790"/>
      <c r="C177" s="333"/>
      <c r="D177" s="228" t="s">
        <v>142</v>
      </c>
      <c r="E177" s="95"/>
      <c r="F177" s="155"/>
      <c r="G177" s="498"/>
      <c r="H177" s="99">
        <f>G177+'18 '!H177</f>
        <v>0</v>
      </c>
      <c r="I177" s="155"/>
      <c r="J177" s="178">
        <f>H177/DAY(B2)</f>
        <v>0</v>
      </c>
    </row>
    <row r="178" spans="1:11" ht="25.5">
      <c r="A178" s="789" t="s">
        <v>210</v>
      </c>
      <c r="B178" s="790"/>
      <c r="C178" s="333"/>
      <c r="D178" s="228" t="s">
        <v>142</v>
      </c>
      <c r="E178" s="95">
        <f>'18 '!F178</f>
        <v>109032</v>
      </c>
      <c r="F178" s="155">
        <v>109130</v>
      </c>
      <c r="G178" s="498">
        <f>F178-E178</f>
        <v>98</v>
      </c>
      <c r="H178" s="99">
        <f>G178+'18 '!H178</f>
        <v>2131</v>
      </c>
      <c r="I178" s="155"/>
      <c r="J178" s="178">
        <f>H178/DAY(B2)</f>
        <v>112.15789473684211</v>
      </c>
    </row>
    <row r="179" spans="1:11" ht="25.5">
      <c r="A179" s="789" t="s">
        <v>211</v>
      </c>
      <c r="B179" s="790"/>
      <c r="C179" s="333"/>
      <c r="D179" s="228" t="s">
        <v>142</v>
      </c>
      <c r="E179" s="95">
        <f>'18 '!F179</f>
        <v>37501</v>
      </c>
      <c r="F179" s="155">
        <v>37501</v>
      </c>
      <c r="G179" s="498">
        <f t="shared" ref="G179:G180" si="15">F179-E179</f>
        <v>0</v>
      </c>
      <c r="H179" s="99">
        <f>G179+'18 '!H179</f>
        <v>0</v>
      </c>
      <c r="I179" s="155"/>
      <c r="J179" s="178">
        <f>H179/DAY(B2)</f>
        <v>0</v>
      </c>
    </row>
    <row r="180" spans="1:11" ht="25.5">
      <c r="A180" s="789" t="s">
        <v>212</v>
      </c>
      <c r="B180" s="790"/>
      <c r="C180" s="333"/>
      <c r="D180" s="228" t="s">
        <v>142</v>
      </c>
      <c r="E180" s="95">
        <f>'18 '!F180</f>
        <v>7651</v>
      </c>
      <c r="F180" s="155">
        <v>7651</v>
      </c>
      <c r="G180" s="498">
        <f t="shared" si="15"/>
        <v>0</v>
      </c>
      <c r="H180" s="99">
        <f>G180+'18 '!H180</f>
        <v>88</v>
      </c>
      <c r="I180" s="155"/>
      <c r="J180" s="178">
        <f>H180/DAY(B2)</f>
        <v>4.6315789473684212</v>
      </c>
    </row>
    <row r="181" spans="1:11" ht="25.5">
      <c r="A181" s="876" t="s">
        <v>108</v>
      </c>
      <c r="B181" s="877"/>
      <c r="C181" s="400"/>
      <c r="D181" s="228" t="s">
        <v>142</v>
      </c>
      <c r="E181" s="95"/>
      <c r="F181" s="155"/>
      <c r="G181" s="498">
        <f>SUM(G178:G180)</f>
        <v>98</v>
      </c>
      <c r="H181" s="99">
        <f>G181+'18 '!H181</f>
        <v>2219</v>
      </c>
      <c r="I181" s="155"/>
      <c r="J181" s="178">
        <f>H181/DAY(B2)</f>
        <v>116.78947368421052</v>
      </c>
    </row>
    <row r="182" spans="1:11" ht="25.5">
      <c r="A182" s="789" t="s">
        <v>213</v>
      </c>
      <c r="B182" s="790"/>
      <c r="C182" s="333"/>
      <c r="D182" s="228" t="s">
        <v>142</v>
      </c>
      <c r="E182" s="95"/>
      <c r="F182" s="155"/>
      <c r="G182" s="498"/>
      <c r="H182" s="99">
        <f>G182+'18 '!H182</f>
        <v>0</v>
      </c>
      <c r="I182" s="155"/>
      <c r="J182" s="178">
        <f>H182/DAY(B2)</f>
        <v>0</v>
      </c>
    </row>
    <row r="183" spans="1:11" ht="25.5">
      <c r="A183" s="789" t="s">
        <v>214</v>
      </c>
      <c r="B183" s="790"/>
      <c r="C183" s="334"/>
      <c r="D183" s="228" t="s">
        <v>142</v>
      </c>
      <c r="E183" s="95">
        <f>'18 '!F183</f>
        <v>18478</v>
      </c>
      <c r="F183" s="157">
        <v>18489</v>
      </c>
      <c r="G183" s="499">
        <f>F183-E183</f>
        <v>11</v>
      </c>
      <c r="H183" s="99">
        <f>G183+'18 '!H183</f>
        <v>111</v>
      </c>
      <c r="I183" s="155"/>
      <c r="J183" s="178">
        <f>H183/DAY(B2)</f>
        <v>5.8421052631578947</v>
      </c>
    </row>
    <row r="184" spans="1:11" ht="25.5">
      <c r="A184" s="789" t="s">
        <v>215</v>
      </c>
      <c r="B184" s="790"/>
      <c r="C184" s="334"/>
      <c r="D184" s="228" t="s">
        <v>142</v>
      </c>
      <c r="E184" s="95">
        <f>'18 '!F184</f>
        <v>13154</v>
      </c>
      <c r="F184" s="157">
        <v>13162</v>
      </c>
      <c r="G184" s="499">
        <f t="shared" ref="G184:G185" si="16">F184-E184</f>
        <v>8</v>
      </c>
      <c r="H184" s="99">
        <f>G184+'18 '!H184</f>
        <v>182</v>
      </c>
      <c r="I184" s="155"/>
      <c r="J184" s="178">
        <f>H184/DAY(B2)</f>
        <v>9.5789473684210531</v>
      </c>
    </row>
    <row r="185" spans="1:11" ht="30.75" customHeight="1">
      <c r="A185" s="789" t="s">
        <v>216</v>
      </c>
      <c r="B185" s="790"/>
      <c r="C185" s="334"/>
      <c r="D185" s="228" t="s">
        <v>142</v>
      </c>
      <c r="E185" s="95">
        <f>'18 '!F185</f>
        <v>0</v>
      </c>
      <c r="F185" s="157"/>
      <c r="G185" s="499">
        <f t="shared" si="16"/>
        <v>0</v>
      </c>
      <c r="H185" s="99">
        <f>G185+'18 '!H185</f>
        <v>0</v>
      </c>
      <c r="I185" s="155"/>
      <c r="J185" s="178">
        <f>H185/DAY(B2)</f>
        <v>0</v>
      </c>
    </row>
    <row r="186" spans="1:11" ht="25.5">
      <c r="A186" s="787" t="s">
        <v>196</v>
      </c>
      <c r="B186" s="788"/>
      <c r="C186" s="399"/>
      <c r="D186" s="228" t="s">
        <v>142</v>
      </c>
      <c r="E186" s="95"/>
      <c r="F186" s="157"/>
      <c r="G186" s="499">
        <f>SUM(G183:G185)</f>
        <v>19</v>
      </c>
      <c r="H186" s="99">
        <f>G186+'18 '!H186</f>
        <v>293</v>
      </c>
      <c r="I186" s="157"/>
      <c r="J186" s="178">
        <f>H186/DAY(B2)</f>
        <v>15.421052631578947</v>
      </c>
    </row>
    <row r="187" spans="1:11" ht="25.5">
      <c r="A187" s="867" t="s">
        <v>217</v>
      </c>
      <c r="B187" s="868"/>
      <c r="C187" s="333"/>
      <c r="D187" s="230" t="s">
        <v>142</v>
      </c>
      <c r="E187" s="95"/>
      <c r="F187" s="159"/>
      <c r="G187" s="500">
        <f>G62+G19</f>
        <v>167</v>
      </c>
      <c r="H187" s="99">
        <f>G187+'18 '!H187</f>
        <v>2902</v>
      </c>
      <c r="I187" s="158"/>
      <c r="J187" s="179">
        <f>H187/DAY(B2)</f>
        <v>152.73684210526315</v>
      </c>
    </row>
    <row r="188" spans="1:11" ht="25.5">
      <c r="A188" s="867" t="s">
        <v>218</v>
      </c>
      <c r="B188" s="868"/>
      <c r="C188" s="333"/>
      <c r="D188" s="230" t="s">
        <v>142</v>
      </c>
      <c r="E188" s="95"/>
      <c r="F188" s="159"/>
      <c r="G188" s="500">
        <f>G65+G66+G67+G69+G70</f>
        <v>175</v>
      </c>
      <c r="H188" s="99">
        <f>G188+'18 '!H188</f>
        <v>830</v>
      </c>
      <c r="I188" s="158"/>
      <c r="J188" s="179">
        <f>H188/DAY(B2)</f>
        <v>43.684210526315788</v>
      </c>
    </row>
    <row r="189" spans="1:11" ht="25.5">
      <c r="A189" s="867" t="s">
        <v>219</v>
      </c>
      <c r="B189" s="868"/>
      <c r="C189" s="333"/>
      <c r="D189" s="230" t="s">
        <v>142</v>
      </c>
      <c r="E189" s="95"/>
      <c r="F189" s="157"/>
      <c r="G189" s="500">
        <f>G181</f>
        <v>98</v>
      </c>
      <c r="H189" s="99">
        <f>G189+'30'!H238</f>
        <v>98</v>
      </c>
      <c r="I189" s="158"/>
      <c r="J189" s="179">
        <f>H189/DAY(B2)</f>
        <v>5.1578947368421053</v>
      </c>
    </row>
    <row r="190" spans="1:11" ht="23.25" customHeight="1">
      <c r="A190" s="245"/>
      <c r="B190" s="246"/>
      <c r="C190" s="246"/>
      <c r="D190" s="165"/>
      <c r="E190" s="165"/>
      <c r="F190" s="455"/>
      <c r="G190" s="494"/>
      <c r="H190" s="238"/>
      <c r="I190" s="99"/>
      <c r="J190" s="236"/>
      <c r="K190" s="239" t="e">
        <f>I190/DAY(C27)</f>
        <v>#DIV/0!</v>
      </c>
    </row>
    <row r="191" spans="1:11" ht="26.25"/>
    <row r="192" spans="1:11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4"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7:B127"/>
    <mergeCell ref="A128:C128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16:C116"/>
    <mergeCell ref="A119:C119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08:J108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24:C124"/>
    <mergeCell ref="A125:B125"/>
    <mergeCell ref="A126:J126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</mergeCells>
  <pageMargins left="0.22" right="0.17" top="0.14000000000000001" bottom="0.2" header="0.2" footer="0.2"/>
  <pageSetup paperSize="5" scale="2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R1701"/>
  <sheetViews>
    <sheetView view="pageBreakPreview" topLeftCell="A4" zoomScale="55" zoomScaleSheetLayoutView="55" zoomScalePageLayoutView="78" workbookViewId="0">
      <selection activeCell="G129" sqref="G129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3.88671875" style="160" customWidth="1"/>
    <col min="7" max="7" width="28.88671875" style="160" customWidth="1"/>
    <col min="8" max="8" width="29" style="161" customWidth="1"/>
    <col min="9" max="9" width="21.332031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19" t="s">
        <v>115</v>
      </c>
      <c r="B1" s="920"/>
      <c r="C1" s="920"/>
      <c r="D1" s="920"/>
      <c r="E1" s="920"/>
      <c r="F1" s="920"/>
      <c r="G1" s="920"/>
      <c r="H1" s="920"/>
      <c r="I1" s="920"/>
      <c r="J1" s="921"/>
    </row>
    <row r="2" spans="1:15" s="57" customFormat="1" ht="23.25">
      <c r="A2" s="191" t="s">
        <v>355</v>
      </c>
      <c r="B2" s="262">
        <v>44946</v>
      </c>
      <c r="C2" s="348" t="s">
        <v>67</v>
      </c>
      <c r="D2" s="218">
        <v>0.87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23</v>
      </c>
      <c r="E3" s="928" t="s">
        <v>119</v>
      </c>
      <c r="F3" s="929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22" t="s">
        <v>128</v>
      </c>
      <c r="B6" s="923"/>
      <c r="C6" s="92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'19'!F7</f>
        <v>373057</v>
      </c>
      <c r="F7" s="95">
        <v>394084</v>
      </c>
      <c r="G7" s="112">
        <f>F7-E7</f>
        <v>21027</v>
      </c>
      <c r="H7" s="99">
        <f>G7+'19'!H7</f>
        <v>416465</v>
      </c>
      <c r="I7" s="113">
        <v>24000</v>
      </c>
      <c r="J7" s="175">
        <f>H7/DAY(B2)</f>
        <v>20823.25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'19'!F8</f>
        <v>560722</v>
      </c>
      <c r="F8" s="114">
        <v>582133</v>
      </c>
      <c r="G8" s="115">
        <f>F8-E8</f>
        <v>21411</v>
      </c>
      <c r="H8" s="99">
        <f>G8+'19'!H8</f>
        <v>424276</v>
      </c>
      <c r="I8" s="116"/>
      <c r="J8" s="175">
        <f>H8/DAY(B2)</f>
        <v>21213.8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'19'!F9</f>
        <v>4684953.9000000004</v>
      </c>
      <c r="F9" s="468">
        <v>4696409</v>
      </c>
      <c r="G9" s="112">
        <f>F9-E9</f>
        <v>11455.099999999627</v>
      </c>
      <c r="H9" s="99">
        <f>G9+'19'!H9</f>
        <v>279803.09999999963</v>
      </c>
      <c r="I9" s="124">
        <f>I7-J7</f>
        <v>3176.75</v>
      </c>
      <c r="J9" s="175">
        <f>H9/DAY(B2)</f>
        <v>13990.154999999981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'19'!F10</f>
        <v>4188007.1</v>
      </c>
      <c r="F10" s="353">
        <v>4196981</v>
      </c>
      <c r="G10" s="112">
        <f t="shared" ref="G10:G12" si="0">F10-E10</f>
        <v>8973.8999999999069</v>
      </c>
      <c r="H10" s="99">
        <f>G10+'19'!H10</f>
        <v>126944.70000000019</v>
      </c>
      <c r="I10" s="282"/>
      <c r="J10" s="175">
        <f>H10/DAY(B2)</f>
        <v>6347.2350000000097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'19'!F11</f>
        <v>38700</v>
      </c>
      <c r="F11" s="95">
        <v>38700</v>
      </c>
      <c r="G11" s="112">
        <f t="shared" si="0"/>
        <v>0</v>
      </c>
      <c r="H11" s="99">
        <f>G11+'19'!H11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'19'!F12</f>
        <v>40550</v>
      </c>
      <c r="F12" s="117">
        <v>40550</v>
      </c>
      <c r="G12" s="112">
        <f t="shared" si="0"/>
        <v>0</v>
      </c>
      <c r="H12" s="99">
        <f>G12+'19'!H12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20428.999999999534</v>
      </c>
      <c r="H13" s="99">
        <f>G13+'19'!H13</f>
        <v>406747.79999999981</v>
      </c>
      <c r="I13" s="120">
        <f>G7-G13</f>
        <v>598.00000000046566</v>
      </c>
      <c r="J13" s="175">
        <f>H13/DAY(B2)</f>
        <v>20337.389999999992</v>
      </c>
      <c r="K13" s="79"/>
      <c r="L13" s="66"/>
      <c r="N13" s="87"/>
      <c r="O13" s="71"/>
    </row>
    <row r="14" spans="1:15" ht="26.25">
      <c r="A14" s="925" t="s">
        <v>137</v>
      </c>
      <c r="B14" s="926"/>
      <c r="C14" s="92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68">
        <f>'19'!F15</f>
        <v>2274469.7999999998</v>
      </c>
      <c r="F15" s="468">
        <v>2275664</v>
      </c>
      <c r="G15" s="112">
        <f>(F15-E15)</f>
        <v>1194.2000000001863</v>
      </c>
      <c r="H15" s="99">
        <f>G15+'19'!H15</f>
        <v>22362.641999999993</v>
      </c>
      <c r="I15" s="113">
        <f>'1'!I15</f>
        <v>800</v>
      </c>
      <c r="J15" s="175">
        <f>H15/DAY(B2)</f>
        <v>1118.1320999999996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-318.13209999999958</v>
      </c>
      <c r="J16" s="176"/>
      <c r="K16" s="79"/>
      <c r="L16" s="66"/>
      <c r="N16" s="87"/>
      <c r="O16" s="71"/>
    </row>
    <row r="17" spans="1:15" ht="26.25">
      <c r="A17" s="925" t="s">
        <v>140</v>
      </c>
      <c r="B17" s="926"/>
      <c r="C17" s="92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02" t="s">
        <v>141</v>
      </c>
      <c r="B18" s="903"/>
      <c r="C18" s="904"/>
      <c r="D18" s="151" t="s">
        <v>142</v>
      </c>
      <c r="E18" s="95">
        <f>'19'!F18</f>
        <v>17</v>
      </c>
      <c r="F18" s="122">
        <v>22</v>
      </c>
      <c r="G18" s="119">
        <f>F18*10</f>
        <v>220</v>
      </c>
      <c r="H18" s="99">
        <f>G18+'19'!H18</f>
        <v>4210</v>
      </c>
      <c r="I18" s="113">
        <f>'1'!I18</f>
        <v>65</v>
      </c>
      <c r="J18" s="175">
        <f>H18/DAY(B2)</f>
        <v>210.5</v>
      </c>
      <c r="K18" s="79"/>
      <c r="L18" s="66"/>
      <c r="N18" s="87"/>
      <c r="O18" s="71"/>
    </row>
    <row r="19" spans="1:15" ht="25.5">
      <c r="A19" s="902" t="s">
        <v>69</v>
      </c>
      <c r="B19" s="903"/>
      <c r="C19" s="904"/>
      <c r="D19" s="151" t="s">
        <v>142</v>
      </c>
      <c r="E19" s="95">
        <f>'19'!F19</f>
        <v>170645</v>
      </c>
      <c r="F19" s="543">
        <v>170701</v>
      </c>
      <c r="G19" s="112">
        <f t="shared" ref="G19" si="1">F19-E19</f>
        <v>56</v>
      </c>
      <c r="H19" s="99">
        <f>G19+'19'!H19</f>
        <v>1136</v>
      </c>
      <c r="I19" s="335"/>
      <c r="J19" s="175">
        <f>H19/DAY(B2)</f>
        <v>56.8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276</v>
      </c>
      <c r="H20" s="99">
        <f>G20+'19'!H20</f>
        <v>5346</v>
      </c>
      <c r="I20" s="336">
        <f>I18-J20</f>
        <v>-202.3</v>
      </c>
      <c r="J20" s="175">
        <f>H20/DAY(B2)</f>
        <v>267.3</v>
      </c>
      <c r="K20" s="79"/>
      <c r="L20" s="66"/>
      <c r="N20" s="87"/>
      <c r="O20" s="71"/>
    </row>
    <row r="21" spans="1:15" ht="26.25">
      <c r="A21" s="925" t="s">
        <v>144</v>
      </c>
      <c r="B21" s="926"/>
      <c r="C21" s="92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'19'!F22</f>
        <v>2970</v>
      </c>
      <c r="F22" s="122">
        <v>2970</v>
      </c>
      <c r="G22" s="119">
        <f t="shared" ref="G22" si="2">(F22-E22)</f>
        <v>0</v>
      </c>
      <c r="H22" s="99">
        <f>G22+'19'!H22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'19'!F23</f>
        <v>1860</v>
      </c>
      <c r="F23" s="122">
        <v>1860</v>
      </c>
      <c r="G23" s="119">
        <v>0</v>
      </c>
      <c r="H23" s="99">
        <f>G23+'19'!H23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'19'!F24</f>
        <v>4830</v>
      </c>
      <c r="F24" s="128">
        <f>SUM(F22:F23)</f>
        <v>4830</v>
      </c>
      <c r="G24" s="119">
        <v>0</v>
      </c>
      <c r="H24" s="99">
        <f>G24+'19'!H24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30" t="s">
        <v>149</v>
      </c>
      <c r="B25" s="931"/>
      <c r="C25" s="93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21411</v>
      </c>
      <c r="F27" s="136">
        <v>10</v>
      </c>
      <c r="G27" s="137">
        <f>E27*F27</f>
        <v>214110</v>
      </c>
      <c r="H27" s="99">
        <f>G27+'19'!H27</f>
        <v>4008109.1999999997</v>
      </c>
      <c r="I27" s="138"/>
      <c r="J27" s="175">
        <f>H27/DAY(B2)</f>
        <v>200405.46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1194.2000000001863</v>
      </c>
      <c r="F28" s="136">
        <v>65</v>
      </c>
      <c r="G28" s="137">
        <f>E28*F28</f>
        <v>77623.000000012107</v>
      </c>
      <c r="H28" s="99">
        <f>G28+'19'!H28</f>
        <v>1539292.1499999985</v>
      </c>
      <c r="I28" s="140"/>
      <c r="J28" s="175">
        <f>H28/DAY(B2)</f>
        <v>76964.607499999925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G29+'19'!H29</f>
        <v>6900</v>
      </c>
      <c r="I29" s="140"/>
      <c r="J29" s="175">
        <f>H29/DAY(B2)</f>
        <v>345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151</v>
      </c>
      <c r="G30" s="137">
        <f>E30*F30</f>
        <v>8456</v>
      </c>
      <c r="H30" s="99">
        <f>G30+'19'!H30</f>
        <v>171536</v>
      </c>
      <c r="I30" s="140"/>
      <c r="J30" s="175">
        <f>H30/DAY(B2)</f>
        <v>8576.7999999999993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85</v>
      </c>
      <c r="G31" s="137">
        <f>E31*F31</f>
        <v>18700</v>
      </c>
      <c r="H31" s="99">
        <f>G31+'19'!H31</f>
        <v>344900</v>
      </c>
      <c r="I31" s="140"/>
      <c r="J31" s="175">
        <f>H31/DAY(B2)</f>
        <v>17245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318889.00000001211</v>
      </c>
      <c r="H32" s="99">
        <f>G32+'19'!H32</f>
        <v>6070737.3499999987</v>
      </c>
      <c r="I32" s="144"/>
      <c r="J32" s="175">
        <f>H32/DAY(B2)</f>
        <v>303536.86749999993</v>
      </c>
      <c r="K32" s="63"/>
      <c r="L32" s="89"/>
      <c r="N32" s="87"/>
      <c r="O32" s="71"/>
    </row>
    <row r="33" spans="1:15" ht="25.5" customHeight="1">
      <c r="A33" s="933" t="s">
        <v>331</v>
      </c>
      <c r="B33" s="934"/>
      <c r="C33" s="93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'19'!F35</f>
        <v>502934.27</v>
      </c>
      <c r="F35" s="145">
        <v>505186</v>
      </c>
      <c r="G35" s="112">
        <f t="shared" ref="G35:G46" si="3">F35-E35</f>
        <v>2251.7299999999814</v>
      </c>
      <c r="H35" s="99">
        <f>G35+'19'!H35</f>
        <v>50668.010000000009</v>
      </c>
      <c r="I35" s="95"/>
      <c r="J35" s="175">
        <f>H35/DAY(B2)</f>
        <v>2533.4005000000006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'19'!F36</f>
        <v>370157.19</v>
      </c>
      <c r="F36" s="145">
        <v>371011</v>
      </c>
      <c r="G36" s="112">
        <f t="shared" si="3"/>
        <v>853.80999999999767</v>
      </c>
      <c r="H36" s="99">
        <f>G36+'19'!H36</f>
        <v>16922.099999999977</v>
      </c>
      <c r="I36" s="95"/>
      <c r="J36" s="175">
        <f>H36/DAY(B2)</f>
        <v>846.10499999999888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'19'!F37</f>
        <v>366189.57</v>
      </c>
      <c r="F37" s="418">
        <v>367650</v>
      </c>
      <c r="G37" s="112">
        <f t="shared" si="3"/>
        <v>1460.429999999993</v>
      </c>
      <c r="H37" s="99">
        <f>G37+'19'!H37</f>
        <v>29380.130000000005</v>
      </c>
      <c r="I37" s="95"/>
      <c r="J37" s="175">
        <f>H37/DAY(B2)</f>
        <v>1469.0065000000002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'19'!F38</f>
        <v>845183.67</v>
      </c>
      <c r="F38" s="106">
        <v>847803</v>
      </c>
      <c r="G38" s="112">
        <f t="shared" si="3"/>
        <v>2619.3299999999581</v>
      </c>
      <c r="H38" s="99">
        <f>G38+'19'!H38</f>
        <v>48125.650000000023</v>
      </c>
      <c r="I38" s="95"/>
      <c r="J38" s="175">
        <f>H38/DAY(B2)</f>
        <v>2406.2825000000012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'19'!F39</f>
        <v>673300.63</v>
      </c>
      <c r="F39" s="418">
        <v>676067</v>
      </c>
      <c r="G39" s="112">
        <f t="shared" si="3"/>
        <v>2766.3699999999953</v>
      </c>
      <c r="H39" s="99">
        <f>G39+'19'!H39</f>
        <v>55777</v>
      </c>
      <c r="I39" s="95"/>
      <c r="J39" s="175">
        <f>H39/DAY(B2)</f>
        <v>2788.85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'19'!F40</f>
        <v>215253.87</v>
      </c>
      <c r="F40" s="145">
        <v>215463</v>
      </c>
      <c r="G40" s="112">
        <f t="shared" si="3"/>
        <v>209.13000000000466</v>
      </c>
      <c r="H40" s="99">
        <f>G40+'19'!H40</f>
        <v>5776.6499999999942</v>
      </c>
      <c r="I40" s="95"/>
      <c r="J40" s="175">
        <f>H40/DAY(B2)</f>
        <v>288.8324999999997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'19'!F41</f>
        <v>420215.51</v>
      </c>
      <c r="F41" s="145">
        <v>420215.51</v>
      </c>
      <c r="G41" s="112">
        <f t="shared" si="3"/>
        <v>0</v>
      </c>
      <c r="H41" s="99">
        <f>G41+'19'!H41</f>
        <v>3</v>
      </c>
      <c r="I41" s="95"/>
      <c r="J41" s="175">
        <f>H41/DAY(B2)</f>
        <v>0.15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'19'!F42</f>
        <v>970677.43</v>
      </c>
      <c r="F42" s="145">
        <v>970677</v>
      </c>
      <c r="G42" s="112">
        <f t="shared" si="3"/>
        <v>-0.43000000005122274</v>
      </c>
      <c r="H42" s="99">
        <f>G42+'19'!H42</f>
        <v>49722.530000000028</v>
      </c>
      <c r="I42" s="95"/>
      <c r="J42" s="175">
        <f>H42/DAY(B2)</f>
        <v>2486.1265000000012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'19'!F43</f>
        <v>422444</v>
      </c>
      <c r="F43" s="145">
        <v>422444</v>
      </c>
      <c r="G43" s="112">
        <f t="shared" si="3"/>
        <v>0</v>
      </c>
      <c r="H43" s="99">
        <f>G43+'19'!H43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'19'!F44</f>
        <v>0</v>
      </c>
      <c r="F44" s="145">
        <v>0</v>
      </c>
      <c r="G44" s="112">
        <f t="shared" si="3"/>
        <v>0</v>
      </c>
      <c r="H44" s="99">
        <f>G44+'19'!H44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'19'!F45</f>
        <v>0</v>
      </c>
      <c r="F45" s="145">
        <v>0</v>
      </c>
      <c r="G45" s="112">
        <f t="shared" si="3"/>
        <v>0</v>
      </c>
      <c r="H45" s="99">
        <f>G45+'19'!H45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'19'!F46</f>
        <v>0</v>
      </c>
      <c r="F46" s="145">
        <v>0</v>
      </c>
      <c r="G46" s="112">
        <f t="shared" si="3"/>
        <v>0</v>
      </c>
      <c r="H46" s="99">
        <f>G46+'19'!H46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10160.369999999879</v>
      </c>
      <c r="H47" s="99">
        <f>G47+'19'!H47</f>
        <v>256375.07000000004</v>
      </c>
      <c r="I47" s="95"/>
      <c r="J47" s="175">
        <f>H47/DAY(B2)</f>
        <v>12818.753500000003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'19'!F49</f>
        <v>816569.19</v>
      </c>
      <c r="F49" s="145">
        <v>817104</v>
      </c>
      <c r="G49" s="112">
        <f t="shared" ref="G49:G58" si="4">F49-E49</f>
        <v>534.81000000005588</v>
      </c>
      <c r="H49" s="99">
        <f>G49+'19'!H49</f>
        <v>10599.849999999977</v>
      </c>
      <c r="I49" s="95"/>
      <c r="J49" s="175">
        <f>H49/DAY(B2)</f>
        <v>529.99249999999881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'19'!F50</f>
        <v>527300.80000000005</v>
      </c>
      <c r="F50" s="145">
        <v>528791</v>
      </c>
      <c r="G50" s="112">
        <f t="shared" si="4"/>
        <v>1490.1999999999534</v>
      </c>
      <c r="H50" s="99">
        <f>G50+'19'!H50</f>
        <v>27638</v>
      </c>
      <c r="I50" s="95"/>
      <c r="J50" s="175">
        <f>H50/DAY(B2)</f>
        <v>1381.9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'19'!F51</f>
        <v>156958.44</v>
      </c>
      <c r="F51" s="145">
        <v>156958</v>
      </c>
      <c r="G51" s="112">
        <f t="shared" si="4"/>
        <v>-0.44000000000232831</v>
      </c>
      <c r="H51" s="99">
        <f>G51+'19'!H51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'19'!F52</f>
        <v>9.76</v>
      </c>
      <c r="F52" s="145">
        <v>9.76</v>
      </c>
      <c r="G52" s="112">
        <f t="shared" si="4"/>
        <v>0</v>
      </c>
      <c r="H52" s="99">
        <f>G52+'19'!H52</f>
        <v>-0.24000000000000021</v>
      </c>
      <c r="I52" s="95"/>
      <c r="J52" s="175">
        <f>H52/DAY(B2)</f>
        <v>-1.2000000000000011E-2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'19'!F53</f>
        <v>630355.03</v>
      </c>
      <c r="F53" s="145">
        <v>630355</v>
      </c>
      <c r="G53" s="112">
        <f t="shared" si="4"/>
        <v>-3.0000000027939677E-2</v>
      </c>
      <c r="H53" s="99">
        <f>G53+'19'!H53</f>
        <v>-3.0000000027939677E-2</v>
      </c>
      <c r="I53" s="95"/>
      <c r="J53" s="175">
        <f>H53/DAY(B2)</f>
        <v>-1.5000000013969839E-3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'19'!F54</f>
        <v>120679.75</v>
      </c>
      <c r="F54" s="145">
        <v>120891</v>
      </c>
      <c r="G54" s="112">
        <f t="shared" si="4"/>
        <v>211.25</v>
      </c>
      <c r="H54" s="99">
        <f>G54+'19'!H54</f>
        <v>6293.8699999999953</v>
      </c>
      <c r="I54" s="95"/>
      <c r="J54" s="175">
        <f>H54/DAY(B2)</f>
        <v>314.69349999999974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'19'!F55</f>
        <v>576336</v>
      </c>
      <c r="F55" s="145">
        <v>576335.63</v>
      </c>
      <c r="G55" s="112">
        <f t="shared" si="4"/>
        <v>-0.36999999999534339</v>
      </c>
      <c r="H55" s="99">
        <f>G55+'19'!H55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'19'!F56</f>
        <v>355651.01</v>
      </c>
      <c r="F56" s="145">
        <v>358377</v>
      </c>
      <c r="G56" s="112">
        <f t="shared" si="4"/>
        <v>2725.9899999999907</v>
      </c>
      <c r="H56" s="99">
        <f>G56+'19'!H56</f>
        <v>23150.789999999979</v>
      </c>
      <c r="I56" s="95"/>
      <c r="J56" s="175">
        <f>H56/DAY(B2)</f>
        <v>1157.539499999999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'19'!F57</f>
        <v>677798</v>
      </c>
      <c r="F57" s="145">
        <v>680477</v>
      </c>
      <c r="G57" s="112">
        <f t="shared" si="4"/>
        <v>2679</v>
      </c>
      <c r="H57" s="99">
        <f>G57+'19'!H57</f>
        <v>49644</v>
      </c>
      <c r="I57" s="95"/>
      <c r="J57" s="175">
        <f>H57/DAY(B2)</f>
        <v>2482.1999999999998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'19'!F58</f>
        <v>91430.28</v>
      </c>
      <c r="F58" s="145">
        <v>91690</v>
      </c>
      <c r="G58" s="112">
        <f t="shared" si="4"/>
        <v>259.72000000000116</v>
      </c>
      <c r="H58" s="99">
        <f>G58+'19'!H58</f>
        <v>5129.5010000000038</v>
      </c>
      <c r="I58" s="95"/>
      <c r="J58" s="175">
        <f>H58/DAY(B2)</f>
        <v>256.47505000000018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7900.1299999999756</v>
      </c>
      <c r="H59" s="99">
        <f>G59+'19'!H59</f>
        <v>122455.74099999992</v>
      </c>
      <c r="I59" s="95">
        <f>G7-G60</f>
        <v>2966.5000000001455</v>
      </c>
      <c r="J59" s="175">
        <f>H59/DAY(B2)</f>
        <v>6122.7870499999963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18060.499999999854</v>
      </c>
      <c r="H60" s="99">
        <f>G60+'19'!H60</f>
        <v>378830.81099999999</v>
      </c>
      <c r="I60" s="95">
        <f>G13-G60</f>
        <v>2368.4999999996799</v>
      </c>
      <c r="J60" s="175">
        <f>H60/DAY(B2)</f>
        <v>18941.540549999998</v>
      </c>
      <c r="K60" s="79"/>
      <c r="L60" s="66"/>
      <c r="N60" s="87"/>
      <c r="O60" s="71"/>
    </row>
    <row r="61" spans="1:15" s="68" customFormat="1" ht="26.25">
      <c r="A61" s="935" t="s">
        <v>332</v>
      </c>
      <c r="B61" s="936"/>
      <c r="C61" s="93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02" t="s">
        <v>198</v>
      </c>
      <c r="B62" s="903"/>
      <c r="C62" s="904"/>
      <c r="D62" s="151" t="s">
        <v>142</v>
      </c>
      <c r="E62" s="95">
        <f>'19'!F62</f>
        <v>313922</v>
      </c>
      <c r="F62" s="122">
        <v>314043</v>
      </c>
      <c r="G62" s="112">
        <f t="shared" ref="G62:G63" si="5">F62-E62</f>
        <v>121</v>
      </c>
      <c r="H62" s="99">
        <f>G62+'19'!H62</f>
        <v>1943</v>
      </c>
      <c r="I62" s="118"/>
      <c r="J62" s="175">
        <f>H62/DAY(B2)</f>
        <v>97.15</v>
      </c>
      <c r="K62" s="80"/>
      <c r="L62" s="66"/>
      <c r="N62" s="87"/>
      <c r="O62" s="71"/>
    </row>
    <row r="63" spans="1:15" ht="25.5">
      <c r="A63" s="902" t="s">
        <v>199</v>
      </c>
      <c r="B63" s="903"/>
      <c r="C63" s="904"/>
      <c r="D63" s="151" t="s">
        <v>142</v>
      </c>
      <c r="E63" s="95">
        <f>'19'!F63</f>
        <v>251053</v>
      </c>
      <c r="F63" s="122">
        <v>251147</v>
      </c>
      <c r="G63" s="112">
        <f t="shared" si="5"/>
        <v>94</v>
      </c>
      <c r="H63" s="99">
        <f>G63+'19'!H63</f>
        <v>2112</v>
      </c>
      <c r="I63" s="118"/>
      <c r="J63" s="175">
        <f>H63/DAY(B2)</f>
        <v>105.6</v>
      </c>
      <c r="K63" s="69"/>
      <c r="L63" s="66"/>
      <c r="N63" s="87"/>
      <c r="O63" s="71"/>
    </row>
    <row r="64" spans="1:15" ht="26.25">
      <c r="A64" s="911" t="s">
        <v>200</v>
      </c>
      <c r="B64" s="912"/>
      <c r="C64" s="913"/>
      <c r="D64" s="151"/>
      <c r="E64" s="95">
        <f>'19'!F64</f>
        <v>0</v>
      </c>
      <c r="F64" s="122"/>
      <c r="G64" s="112">
        <f>G62+G63</f>
        <v>215</v>
      </c>
      <c r="H64" s="99">
        <f>G64+'19'!H64</f>
        <v>4055</v>
      </c>
      <c r="I64" s="118"/>
      <c r="J64" s="175">
        <f>H64/DAY(B2)</f>
        <v>202.75</v>
      </c>
      <c r="K64" s="69"/>
      <c r="L64" s="66"/>
      <c r="N64" s="87"/>
      <c r="O64" s="71"/>
    </row>
    <row r="65" spans="1:15" ht="25.5">
      <c r="A65" s="902" t="s">
        <v>201</v>
      </c>
      <c r="B65" s="903"/>
      <c r="C65" s="904"/>
      <c r="D65" s="151" t="s">
        <v>142</v>
      </c>
      <c r="E65" s="95">
        <f>'19'!F65</f>
        <v>474375</v>
      </c>
      <c r="F65" s="122">
        <v>474514</v>
      </c>
      <c r="G65" s="112">
        <f t="shared" ref="G65:G70" si="6">F65-E65</f>
        <v>139</v>
      </c>
      <c r="H65" s="99">
        <f>G65+'19'!H65</f>
        <v>2484</v>
      </c>
      <c r="I65" s="118"/>
      <c r="J65" s="175">
        <f>H65/DAY(B2)</f>
        <v>124.2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'19'!F66</f>
        <v>114029</v>
      </c>
      <c r="F66" s="122">
        <v>114045</v>
      </c>
      <c r="G66" s="112">
        <f t="shared" si="6"/>
        <v>16</v>
      </c>
      <c r="H66" s="99">
        <f>G66+'19'!H66</f>
        <v>1323</v>
      </c>
      <c r="I66" s="118"/>
      <c r="J66" s="175">
        <f>H66/DAY(B2)</f>
        <v>66.150000000000006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'19'!F67</f>
        <v>117003</v>
      </c>
      <c r="F67" s="122">
        <v>117027</v>
      </c>
      <c r="G67" s="112">
        <f t="shared" si="6"/>
        <v>24</v>
      </c>
      <c r="H67" s="99">
        <f>G67+'19'!H67</f>
        <v>460</v>
      </c>
      <c r="I67" s="118"/>
      <c r="J67" s="175">
        <f>H67/DAY(B2)</f>
        <v>23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'19'!F68</f>
        <v>169741</v>
      </c>
      <c r="F68" s="122">
        <v>169761</v>
      </c>
      <c r="G68" s="112">
        <f t="shared" si="6"/>
        <v>20</v>
      </c>
      <c r="H68" s="99">
        <f>G68+'19'!H68</f>
        <v>402</v>
      </c>
      <c r="I68" s="118"/>
      <c r="J68" s="175">
        <f>H68/DAY(B2)</f>
        <v>20.100000000000001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'19'!F69</f>
        <v>13048</v>
      </c>
      <c r="F69" s="122">
        <v>13054</v>
      </c>
      <c r="G69" s="112">
        <f t="shared" si="6"/>
        <v>6</v>
      </c>
      <c r="H69" s="99">
        <f>G69+'19'!H69</f>
        <v>88</v>
      </c>
      <c r="I69" s="118"/>
      <c r="J69" s="175">
        <f>H69/DAY(B2)</f>
        <v>4.4000000000000004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'19'!F70</f>
        <v>11172</v>
      </c>
      <c r="F70" s="122">
        <v>11179</v>
      </c>
      <c r="G70" s="112">
        <f t="shared" si="6"/>
        <v>7</v>
      </c>
      <c r="H70" s="99">
        <f>G70+'19'!H70</f>
        <v>163</v>
      </c>
      <c r="I70" s="118"/>
      <c r="J70" s="175">
        <f>H70/DAY(B2)</f>
        <v>8.15</v>
      </c>
      <c r="K70" s="69"/>
      <c r="L70" s="66"/>
      <c r="N70" s="87"/>
      <c r="O70" s="71"/>
    </row>
    <row r="71" spans="1:15" ht="26.25">
      <c r="A71" s="911" t="s">
        <v>208</v>
      </c>
      <c r="B71" s="912"/>
      <c r="C71" s="913"/>
      <c r="D71" s="152"/>
      <c r="E71" s="152"/>
      <c r="F71" s="152"/>
      <c r="G71" s="153">
        <f>SUM(G65:G70)</f>
        <v>212</v>
      </c>
      <c r="H71" s="99">
        <f>G71+'19'!H71</f>
        <v>4920</v>
      </c>
      <c r="I71" s="154"/>
      <c r="J71" s="175">
        <f>H71/DAY(B2)</f>
        <v>246</v>
      </c>
      <c r="K71" s="69"/>
      <c r="L71" s="66"/>
      <c r="N71" s="87"/>
      <c r="O71" s="71"/>
    </row>
    <row r="72" spans="1:15" s="88" customFormat="1" ht="25.5">
      <c r="A72" s="898"/>
      <c r="B72" s="88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08" t="s">
        <v>333</v>
      </c>
      <c r="B73" s="909"/>
      <c r="C73" s="910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02" t="s">
        <v>220</v>
      </c>
      <c r="B74" s="903"/>
      <c r="C74" s="904"/>
      <c r="D74" s="151" t="s">
        <v>139</v>
      </c>
      <c r="E74" s="95">
        <f>'19'!F74</f>
        <v>8457</v>
      </c>
      <c r="F74" s="117">
        <v>8786</v>
      </c>
      <c r="G74" s="112">
        <f t="shared" ref="G74:G78" si="7">F74-E74</f>
        <v>329</v>
      </c>
      <c r="H74" s="99">
        <f>G74+'19'!H74</f>
        <v>996650</v>
      </c>
      <c r="I74" s="154"/>
      <c r="J74" s="175">
        <f>H74/DAY(B2)</f>
        <v>49832.5</v>
      </c>
      <c r="K74" s="69"/>
      <c r="L74" s="66"/>
      <c r="N74" s="87"/>
      <c r="O74" s="71"/>
    </row>
    <row r="75" spans="1:15" ht="25.5">
      <c r="A75" s="902" t="s">
        <v>221</v>
      </c>
      <c r="B75" s="903"/>
      <c r="C75" s="904"/>
      <c r="D75" s="151" t="s">
        <v>139</v>
      </c>
      <c r="E75" s="95">
        <f>'19'!F75</f>
        <v>73586.8</v>
      </c>
      <c r="F75" s="123">
        <v>73586.8</v>
      </c>
      <c r="G75" s="112">
        <f t="shared" si="7"/>
        <v>0</v>
      </c>
      <c r="H75" s="99">
        <f>G75+'19'!H75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899" t="s">
        <v>222</v>
      </c>
      <c r="B76" s="900"/>
      <c r="C76" s="901"/>
      <c r="D76" s="151" t="s">
        <v>139</v>
      </c>
      <c r="E76" s="95">
        <f>'19'!F76</f>
        <v>209365.5</v>
      </c>
      <c r="F76" s="123">
        <v>209474</v>
      </c>
      <c r="G76" s="112">
        <f t="shared" si="7"/>
        <v>108.5</v>
      </c>
      <c r="H76" s="99">
        <f>G76+'19'!H76</f>
        <v>2097</v>
      </c>
      <c r="I76" s="154"/>
      <c r="J76" s="175">
        <f>H76/DAY(B2)</f>
        <v>104.85</v>
      </c>
      <c r="K76" s="69"/>
      <c r="L76" s="66"/>
      <c r="N76" s="87"/>
      <c r="O76" s="71"/>
    </row>
    <row r="77" spans="1:15" ht="25.5">
      <c r="A77" s="899" t="s">
        <v>223</v>
      </c>
      <c r="B77" s="900"/>
      <c r="C77" s="901"/>
      <c r="D77" s="151" t="s">
        <v>139</v>
      </c>
      <c r="E77" s="95">
        <f>'19'!F77</f>
        <v>59090</v>
      </c>
      <c r="F77" s="123">
        <v>59149</v>
      </c>
      <c r="G77" s="112">
        <f t="shared" si="7"/>
        <v>59</v>
      </c>
      <c r="H77" s="99">
        <f>G77+'19'!H77</f>
        <v>997</v>
      </c>
      <c r="I77" s="154"/>
      <c r="J77" s="175">
        <f>H77/DAY(B2)</f>
        <v>49.85</v>
      </c>
      <c r="K77" s="69"/>
      <c r="L77" s="66"/>
      <c r="N77" s="87"/>
      <c r="O77" s="71"/>
    </row>
    <row r="78" spans="1:15" ht="25.5">
      <c r="A78" s="899" t="s">
        <v>224</v>
      </c>
      <c r="B78" s="900"/>
      <c r="C78" s="901"/>
      <c r="D78" s="151" t="s">
        <v>139</v>
      </c>
      <c r="E78" s="95">
        <f>'19'!F78</f>
        <v>9564</v>
      </c>
      <c r="F78" s="123">
        <v>9564</v>
      </c>
      <c r="G78" s="112">
        <f t="shared" si="7"/>
        <v>0</v>
      </c>
      <c r="H78" s="99">
        <f>G78+'19'!H78</f>
        <v>-1</v>
      </c>
      <c r="I78" s="118"/>
      <c r="J78" s="175">
        <f>H78/DAY(B2)</f>
        <v>-0.05</v>
      </c>
      <c r="K78" s="69"/>
      <c r="L78" s="66"/>
      <c r="N78" s="87"/>
      <c r="O78" s="71"/>
    </row>
    <row r="79" spans="1:15" s="57" customFormat="1" ht="25.5">
      <c r="A79" s="899" t="s">
        <v>225</v>
      </c>
      <c r="B79" s="900"/>
      <c r="C79" s="901"/>
      <c r="D79" s="151"/>
      <c r="E79" s="95">
        <f>'19'!F79</f>
        <v>0</v>
      </c>
      <c r="F79" s="117"/>
      <c r="G79" s="112">
        <f>G15-SUM(G74:G78)</f>
        <v>697.70000000018626</v>
      </c>
      <c r="H79" s="99">
        <f>G79+'19'!H79</f>
        <v>-977380.35799999989</v>
      </c>
      <c r="I79" s="118"/>
      <c r="J79" s="175"/>
      <c r="K79" s="59"/>
      <c r="L79" s="58"/>
      <c r="N79" s="87"/>
      <c r="O79" s="71"/>
    </row>
    <row r="80" spans="1:15" s="57" customFormat="1" ht="26.25">
      <c r="A80" s="975" t="s">
        <v>329</v>
      </c>
      <c r="B80" s="976"/>
      <c r="C80" s="977"/>
      <c r="D80" s="151"/>
      <c r="E80" s="117"/>
      <c r="F80" s="117"/>
      <c r="G80" s="112">
        <f>SUM(G74:G79)</f>
        <v>1194.2000000001863</v>
      </c>
      <c r="H80" s="99"/>
      <c r="I80" s="118"/>
      <c r="J80" s="175"/>
      <c r="K80" s="59"/>
      <c r="L80" s="58"/>
      <c r="N80" s="87"/>
      <c r="O80" s="71"/>
    </row>
    <row r="81" spans="1:15" ht="25.5">
      <c r="A81" s="915" t="s">
        <v>226</v>
      </c>
      <c r="B81" s="916"/>
      <c r="C81" s="917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'19'!F82</f>
        <v>0</v>
      </c>
      <c r="F82" s="122">
        <v>0</v>
      </c>
      <c r="G82" s="112">
        <f t="shared" ref="G82:G92" si="8">F82-E82</f>
        <v>0</v>
      </c>
      <c r="H82" s="99">
        <f>G82+'19'!H82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'19'!F83</f>
        <v>0</v>
      </c>
      <c r="F83" s="122">
        <v>0</v>
      </c>
      <c r="G83" s="112">
        <f t="shared" si="8"/>
        <v>0</v>
      </c>
      <c r="H83" s="99">
        <f>G83+'19'!H83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v>43540.35</v>
      </c>
      <c r="F84" s="164">
        <v>43540.35</v>
      </c>
      <c r="G84" s="112">
        <f t="shared" si="8"/>
        <v>0</v>
      </c>
      <c r="H84" s="99">
        <f>G84+'19'!H84</f>
        <v>0</v>
      </c>
      <c r="I84" s="545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'19'!F85</f>
        <v>6203</v>
      </c>
      <c r="F85" s="164">
        <v>6203</v>
      </c>
      <c r="G85" s="112">
        <f t="shared" si="8"/>
        <v>0</v>
      </c>
      <c r="H85" s="99">
        <f>G85+'19'!H85</f>
        <v>270.55000000000018</v>
      </c>
      <c r="I85" s="545"/>
      <c r="J85" s="175">
        <f>H85/DAY(B2)</f>
        <v>13.527500000000009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'19'!F86</f>
        <v>46834</v>
      </c>
      <c r="F86" s="164">
        <v>46834</v>
      </c>
      <c r="G86" s="112">
        <f t="shared" si="8"/>
        <v>0</v>
      </c>
      <c r="H86" s="99">
        <f>G86+'19'!H86</f>
        <v>0</v>
      </c>
      <c r="I86" s="545"/>
      <c r="J86" s="175">
        <f>H86/DAY(B2)</f>
        <v>0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'19'!F87</f>
        <v>37216</v>
      </c>
      <c r="F87" s="164">
        <v>37240</v>
      </c>
      <c r="G87" s="112">
        <f t="shared" si="8"/>
        <v>24</v>
      </c>
      <c r="H87" s="99">
        <f>G87+'19'!H87</f>
        <v>212</v>
      </c>
      <c r="I87" s="545">
        <f>G84+G85+G86+G87</f>
        <v>24</v>
      </c>
      <c r="J87" s="175">
        <f>H87/DAY(B2)</f>
        <v>10.6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'19'!F88</f>
        <v>24682.14</v>
      </c>
      <c r="F88" s="164">
        <v>24690</v>
      </c>
      <c r="G88" s="112">
        <f t="shared" si="8"/>
        <v>7.8600000000005821</v>
      </c>
      <c r="H88" s="99">
        <f>G88+'19'!H88</f>
        <v>86.400000000001455</v>
      </c>
      <c r="I88" s="545"/>
      <c r="J88" s="175">
        <f>H88/DAY(B2)</f>
        <v>4.3200000000000731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'19'!F89</f>
        <v>28928.38</v>
      </c>
      <c r="F89" s="164">
        <v>28940</v>
      </c>
      <c r="G89" s="112">
        <f t="shared" si="8"/>
        <v>11.619999999998981</v>
      </c>
      <c r="H89" s="99">
        <f>G89+'19'!H89</f>
        <v>191.61000000000058</v>
      </c>
      <c r="I89" s="545">
        <f>G88+G89</f>
        <v>19.479999999999563</v>
      </c>
      <c r="J89" s="175">
        <f>H89/DAY(B2)</f>
        <v>9.5805000000000291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'19'!F90</f>
        <v>74365.81</v>
      </c>
      <c r="F90" s="164">
        <v>74366</v>
      </c>
      <c r="G90" s="112">
        <f t="shared" si="8"/>
        <v>0.19000000000232831</v>
      </c>
      <c r="H90" s="99">
        <f>G90+'19'!H90</f>
        <v>162.82000000000698</v>
      </c>
      <c r="I90" s="545">
        <f>G90</f>
        <v>0.19000000000232831</v>
      </c>
      <c r="J90" s="175">
        <f>H90/DAY(B2)</f>
        <v>8.14100000000035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'19'!F91</f>
        <v>5618</v>
      </c>
      <c r="F91" s="122">
        <v>5618</v>
      </c>
      <c r="G91" s="112">
        <f t="shared" si="8"/>
        <v>0</v>
      </c>
      <c r="H91" s="99">
        <f>G91+'19'!H91</f>
        <v>-0.21000000000003638</v>
      </c>
      <c r="I91" s="546"/>
      <c r="J91" s="175">
        <f>H91/DAY(B2)</f>
        <v>-1.0500000000001819E-2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'19'!F92</f>
        <v>7294.47</v>
      </c>
      <c r="F92" s="122">
        <v>7306</v>
      </c>
      <c r="G92" s="112">
        <f t="shared" si="8"/>
        <v>11.529999999999745</v>
      </c>
      <c r="H92" s="99">
        <f>G92+'19'!H92</f>
        <v>226.3100000000004</v>
      </c>
      <c r="I92" s="547">
        <f>G91+G92</f>
        <v>11.529999999999745</v>
      </c>
      <c r="J92" s="175">
        <f>H92/DAY(B2)</f>
        <v>11.31550000000002</v>
      </c>
      <c r="O92" s="71"/>
    </row>
    <row r="93" spans="1:15" ht="26.25">
      <c r="A93" s="905" t="s">
        <v>239</v>
      </c>
      <c r="B93" s="906"/>
      <c r="C93" s="90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5465.5400000000373</v>
      </c>
      <c r="H94" s="99">
        <f>G94+'19'!H94</f>
        <v>110911.85999999999</v>
      </c>
      <c r="I94" s="118"/>
      <c r="J94" s="175">
        <f>H94/DAY(B2)</f>
        <v>5545.5929999999989</v>
      </c>
      <c r="K94" s="69"/>
      <c r="L94" s="66"/>
      <c r="O94" s="71"/>
    </row>
    <row r="95" spans="1:15" ht="25.5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0.25992961430541861</v>
      </c>
      <c r="H95" s="99">
        <f>G95+'19'!H95</f>
        <v>5.3334373013310286</v>
      </c>
      <c r="I95" s="167"/>
      <c r="J95" s="175">
        <f>H95/DAY(B2)</f>
        <v>0.26667186506655144</v>
      </c>
      <c r="K95" s="69"/>
      <c r="L95" s="66"/>
      <c r="O95" s="71"/>
    </row>
    <row r="96" spans="1:15" ht="25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2725.1899999999441</v>
      </c>
      <c r="H96" s="99">
        <f>G96+'19'!H96</f>
        <v>72876.320000000007</v>
      </c>
      <c r="I96" s="118"/>
      <c r="J96" s="175">
        <f>H96/DAY(B2)</f>
        <v>3643.8160000000003</v>
      </c>
      <c r="K96" s="69"/>
      <c r="L96" s="66"/>
      <c r="O96" s="71"/>
    </row>
    <row r="97" spans="1:15" ht="25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0.12960431825747581</v>
      </c>
      <c r="H97" s="99">
        <f>G97+'19'!H97</f>
        <v>3.4898207823782217</v>
      </c>
      <c r="I97" s="167"/>
      <c r="J97" s="175">
        <f>H97/DAY(B2)</f>
        <v>0.17449103911891109</v>
      </c>
      <c r="K97" s="69"/>
      <c r="L97" s="66"/>
      <c r="O97" s="71"/>
    </row>
    <row r="98" spans="1:15" ht="25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2766.3399999999674</v>
      </c>
      <c r="H98" s="99">
        <f>G98+'19'!H98</f>
        <v>55776.969999999972</v>
      </c>
      <c r="I98" s="168"/>
      <c r="J98" s="175">
        <f>H98/DAY(B2)</f>
        <v>2788.8484999999987</v>
      </c>
      <c r="K98" s="69"/>
      <c r="L98" s="66"/>
      <c r="O98" s="71"/>
    </row>
    <row r="99" spans="1:15" ht="25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0.13156132591429912</v>
      </c>
      <c r="H99" s="99">
        <f>G99+'19'!H99</f>
        <v>2.6805288725189893</v>
      </c>
      <c r="I99" s="168"/>
      <c r="J99" s="175">
        <f>H99/DAY(B2)</f>
        <v>0.13402644362594945</v>
      </c>
      <c r="O99" s="71"/>
    </row>
    <row r="100" spans="1:15" ht="26.2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2619.3299999999581</v>
      </c>
      <c r="H100" s="99">
        <f>G100+'19'!H100</f>
        <v>48125.410000000025</v>
      </c>
      <c r="I100" s="118"/>
      <c r="J100" s="175">
        <f>H100/DAY(B2)</f>
        <v>2406.2705000000014</v>
      </c>
      <c r="K100" s="70"/>
      <c r="O100" s="71"/>
    </row>
    <row r="101" spans="1:15" ht="25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0.12456983877871108</v>
      </c>
      <c r="H101" s="99">
        <f>G101+'19'!H101</f>
        <v>2.3107540981034425</v>
      </c>
      <c r="I101" s="168"/>
      <c r="J101" s="175">
        <f>H101/DAY(B2)</f>
        <v>0.11553770490517212</v>
      </c>
      <c r="O101" s="71"/>
    </row>
    <row r="102" spans="1:15" ht="25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2344.0099999999511</v>
      </c>
      <c r="H102" s="99">
        <f>G102+'19'!H102</f>
        <v>44560.099999999977</v>
      </c>
      <c r="I102" s="168"/>
      <c r="J102" s="175">
        <f>H102/DAY(B2)</f>
        <v>2228.0049999999987</v>
      </c>
      <c r="O102" s="71"/>
    </row>
    <row r="103" spans="1:15" ht="25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0.11147619727017412</v>
      </c>
      <c r="H103" s="99">
        <f>G103+'19'!H103</f>
        <v>2.1362931396586964</v>
      </c>
      <c r="I103" s="118"/>
      <c r="J103" s="175">
        <f>H103/DAY(B2)</f>
        <v>0.10681465698293482</v>
      </c>
      <c r="O103" s="71"/>
    </row>
    <row r="104" spans="1:15" ht="25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1459.9899999999907</v>
      </c>
      <c r="H104" s="99">
        <f>G104+'19'!H104</f>
        <v>29380.130000000005</v>
      </c>
      <c r="I104" s="118"/>
      <c r="J104" s="175">
        <f>H104/DAY(B2)</f>
        <v>1469.0065000000002</v>
      </c>
      <c r="O104" s="71"/>
    </row>
    <row r="105" spans="1:15" ht="26.25" thickBot="1">
      <c r="A105" s="895" t="s">
        <v>251</v>
      </c>
      <c r="B105" s="896"/>
      <c r="C105" s="897"/>
      <c r="D105" s="231" t="s">
        <v>23</v>
      </c>
      <c r="E105" s="185"/>
      <c r="F105" s="185"/>
      <c r="G105" s="186">
        <f>G104/G7</f>
        <v>6.9434060969229591E-2</v>
      </c>
      <c r="H105" s="99">
        <f>G105+'19'!H105</f>
        <v>1.4116949117754267</v>
      </c>
      <c r="I105" s="187"/>
      <c r="J105" s="188">
        <f>H105/DAY(B2)</f>
        <v>7.0584745588771342E-2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891" t="s">
        <v>324</v>
      </c>
      <c r="B108" s="891"/>
      <c r="C108" s="891"/>
      <c r="D108" s="891"/>
      <c r="E108" s="891"/>
      <c r="F108" s="891"/>
      <c r="G108" s="891"/>
      <c r="H108" s="891"/>
      <c r="I108" s="891"/>
      <c r="J108" s="891"/>
    </row>
    <row r="109" spans="1:15" ht="26.25">
      <c r="A109" s="918"/>
      <c r="B109" s="918"/>
    </row>
    <row r="110" spans="1:15" ht="26.25">
      <c r="A110" s="892" t="s">
        <v>165</v>
      </c>
      <c r="B110" s="893"/>
      <c r="C110" s="893"/>
      <c r="D110" s="893"/>
      <c r="E110" s="893"/>
      <c r="F110" s="893"/>
      <c r="G110" s="893"/>
      <c r="H110" s="893"/>
      <c r="I110" s="893"/>
      <c r="J110" s="894"/>
    </row>
    <row r="111" spans="1:15" ht="25.5">
      <c r="A111" s="885"/>
      <c r="B111" s="886"/>
      <c r="C111" s="887"/>
      <c r="D111" s="165"/>
      <c r="E111" s="165"/>
      <c r="F111" s="165"/>
      <c r="G111" s="165"/>
      <c r="H111" s="156"/>
      <c r="I111" s="165"/>
      <c r="J111" s="327"/>
    </row>
    <row r="112" spans="1:15" ht="25.5">
      <c r="A112" s="881" t="s">
        <v>252</v>
      </c>
      <c r="B112" s="882"/>
      <c r="C112" s="883"/>
      <c r="D112" s="146" t="s">
        <v>183</v>
      </c>
      <c r="E112" s="95">
        <f>'19'!F112</f>
        <v>18662.22</v>
      </c>
      <c r="F112" s="237">
        <v>18723</v>
      </c>
      <c r="G112" s="112">
        <f t="shared" ref="G112:G123" si="9">F112-E112</f>
        <v>60.779999999998836</v>
      </c>
      <c r="H112" s="99">
        <f>G112+'19'!H112</f>
        <v>1211.7000000000007</v>
      </c>
      <c r="I112" s="165"/>
      <c r="J112" s="328">
        <f>H112/DAY(B2)</f>
        <v>60.585000000000036</v>
      </c>
    </row>
    <row r="113" spans="1:18" ht="29.25" customHeight="1">
      <c r="A113" s="881" t="s">
        <v>253</v>
      </c>
      <c r="B113" s="882"/>
      <c r="C113" s="883"/>
      <c r="D113" s="146" t="s">
        <v>183</v>
      </c>
      <c r="E113" s="95">
        <f>'19'!F113</f>
        <v>39802.6</v>
      </c>
      <c r="F113" s="237">
        <v>39944</v>
      </c>
      <c r="G113" s="112">
        <f t="shared" si="9"/>
        <v>141.40000000000146</v>
      </c>
      <c r="H113" s="99">
        <f>G113+'19'!H113</f>
        <v>2865</v>
      </c>
      <c r="I113" s="165"/>
      <c r="J113" s="328">
        <f>H113/DAY(B2)</f>
        <v>143.25</v>
      </c>
    </row>
    <row r="114" spans="1:18" ht="29.25" customHeight="1">
      <c r="A114" s="881" t="s">
        <v>254</v>
      </c>
      <c r="B114" s="882"/>
      <c r="C114" s="883"/>
      <c r="D114" s="146" t="s">
        <v>183</v>
      </c>
      <c r="E114" s="95">
        <f>'19'!F114</f>
        <v>58524.7</v>
      </c>
      <c r="F114" s="237">
        <v>58751</v>
      </c>
      <c r="G114" s="112">
        <f t="shared" si="9"/>
        <v>226.30000000000291</v>
      </c>
      <c r="H114" s="99">
        <f>G114+'19'!H114</f>
        <v>4483.2200000000012</v>
      </c>
      <c r="I114" s="165"/>
      <c r="J114" s="328">
        <f>H114/DAY(B2)</f>
        <v>224.16100000000006</v>
      </c>
    </row>
    <row r="115" spans="1:18" ht="29.25" customHeight="1">
      <c r="A115" s="881" t="s">
        <v>255</v>
      </c>
      <c r="B115" s="882"/>
      <c r="C115" s="883"/>
      <c r="D115" s="146" t="s">
        <v>183</v>
      </c>
      <c r="E115" s="95">
        <f>'19'!F115</f>
        <v>37775.800000000003</v>
      </c>
      <c r="F115" s="237">
        <v>37922</v>
      </c>
      <c r="G115" s="112">
        <f t="shared" si="9"/>
        <v>146.19999999999709</v>
      </c>
      <c r="H115" s="99">
        <f>G115+'19'!H115</f>
        <v>2955.0899999999965</v>
      </c>
      <c r="I115" s="165"/>
      <c r="J115" s="328">
        <f>H115/DAY(B2)</f>
        <v>147.75449999999984</v>
      </c>
    </row>
    <row r="116" spans="1:18" ht="29.25" customHeight="1">
      <c r="A116" s="888" t="s">
        <v>96</v>
      </c>
      <c r="B116" s="889"/>
      <c r="C116" s="890"/>
      <c r="D116" s="146" t="s">
        <v>183</v>
      </c>
      <c r="E116" s="95">
        <f>'19'!F116</f>
        <v>142844.67000000001</v>
      </c>
      <c r="F116" s="237">
        <v>143324</v>
      </c>
      <c r="G116" s="112">
        <f t="shared" si="9"/>
        <v>479.32999999998719</v>
      </c>
      <c r="H116" s="99">
        <f>G116+'19'!H116</f>
        <v>8835.609999999986</v>
      </c>
      <c r="I116" s="165"/>
      <c r="J116" s="328">
        <f>H116/DAY(B2)</f>
        <v>441.78049999999928</v>
      </c>
      <c r="Q116" s="881"/>
      <c r="R116" s="883"/>
    </row>
    <row r="117" spans="1:18" ht="29.25" customHeight="1">
      <c r="A117" s="888" t="s">
        <v>184</v>
      </c>
      <c r="B117" s="889"/>
      <c r="C117" s="890"/>
      <c r="D117" s="146" t="s">
        <v>183</v>
      </c>
      <c r="E117" s="95">
        <f>'19'!F117</f>
        <v>88947.9</v>
      </c>
      <c r="F117" s="237">
        <v>89158</v>
      </c>
      <c r="G117" s="112">
        <f t="shared" si="9"/>
        <v>210.10000000000582</v>
      </c>
      <c r="H117" s="99">
        <f>G117+'19'!H117</f>
        <v>6448</v>
      </c>
      <c r="I117" s="165"/>
      <c r="J117" s="328">
        <f>H117/DAY(B2)</f>
        <v>322.39999999999998</v>
      </c>
      <c r="Q117" s="881"/>
      <c r="R117" s="883"/>
    </row>
    <row r="118" spans="1:18" ht="25.5">
      <c r="A118" s="880" t="s">
        <v>97</v>
      </c>
      <c r="B118" s="880"/>
      <c r="C118" s="880"/>
      <c r="D118" s="151" t="s">
        <v>183</v>
      </c>
      <c r="E118" s="95">
        <f>'19'!F118</f>
        <v>170113.25</v>
      </c>
      <c r="F118" s="237">
        <v>170714</v>
      </c>
      <c r="G118" s="112">
        <f t="shared" si="9"/>
        <v>600.75</v>
      </c>
      <c r="H118" s="99">
        <f>G118+'19'!H118</f>
        <v>12576.850000000006</v>
      </c>
      <c r="I118" s="165"/>
      <c r="J118" s="328">
        <f>H118/DAY(B2)</f>
        <v>628.84250000000031</v>
      </c>
      <c r="Q118" s="881"/>
      <c r="R118" s="883"/>
    </row>
    <row r="119" spans="1:18" ht="25.5">
      <c r="A119" s="880" t="s">
        <v>98</v>
      </c>
      <c r="B119" s="880"/>
      <c r="C119" s="880"/>
      <c r="D119" s="151" t="s">
        <v>183</v>
      </c>
      <c r="E119" s="95">
        <f>'19'!F119</f>
        <v>44636</v>
      </c>
      <c r="F119" s="237">
        <v>44690</v>
      </c>
      <c r="G119" s="112">
        <f t="shared" si="9"/>
        <v>54</v>
      </c>
      <c r="H119" s="99">
        <f>G119+'19'!H119</f>
        <v>750.82499999999709</v>
      </c>
      <c r="I119" s="165"/>
      <c r="J119" s="328">
        <f>H119/DAY(B2)</f>
        <v>37.541249999999856</v>
      </c>
    </row>
    <row r="120" spans="1:18" ht="25.5">
      <c r="A120" s="880" t="s">
        <v>99</v>
      </c>
      <c r="B120" s="880"/>
      <c r="C120" s="880"/>
      <c r="D120" s="151" t="s">
        <v>183</v>
      </c>
      <c r="E120" s="95">
        <f>'19'!F120</f>
        <v>115893</v>
      </c>
      <c r="F120" s="237">
        <v>116269</v>
      </c>
      <c r="G120" s="112">
        <f t="shared" si="9"/>
        <v>376</v>
      </c>
      <c r="H120" s="99">
        <f>G120+'19'!H120</f>
        <v>7831.8600000000006</v>
      </c>
      <c r="I120" s="165"/>
      <c r="J120" s="328">
        <f>H120/DAY(B2)</f>
        <v>391.59300000000002</v>
      </c>
    </row>
    <row r="121" spans="1:18" ht="25.5">
      <c r="A121" s="880" t="s">
        <v>100</v>
      </c>
      <c r="B121" s="880"/>
      <c r="C121" s="880"/>
      <c r="D121" s="151" t="s">
        <v>183</v>
      </c>
      <c r="E121" s="95">
        <f>'19'!F121</f>
        <v>129474</v>
      </c>
      <c r="F121" s="237">
        <v>129932</v>
      </c>
      <c r="G121" s="112">
        <f t="shared" si="9"/>
        <v>458</v>
      </c>
      <c r="H121" s="99">
        <f>G121+'19'!H121</f>
        <v>8709.11</v>
      </c>
      <c r="I121" s="165"/>
      <c r="J121" s="328">
        <f>H121/DAY(B2)</f>
        <v>435.45550000000003</v>
      </c>
    </row>
    <row r="122" spans="1:18" ht="25.5">
      <c r="A122" s="880" t="s">
        <v>101</v>
      </c>
      <c r="B122" s="880"/>
      <c r="C122" s="880"/>
      <c r="D122" s="151" t="s">
        <v>183</v>
      </c>
      <c r="E122" s="95">
        <f>'19'!F122</f>
        <v>87147.88</v>
      </c>
      <c r="F122" s="237">
        <v>87484</v>
      </c>
      <c r="G122" s="112">
        <f t="shared" si="9"/>
        <v>336.11999999999534</v>
      </c>
      <c r="H122" s="99">
        <f>G122+'19'!H122</f>
        <v>6209.6300000000047</v>
      </c>
      <c r="I122" s="165"/>
      <c r="J122" s="328">
        <f>H122/DAY(B2)</f>
        <v>310.48150000000021</v>
      </c>
    </row>
    <row r="123" spans="1:18" ht="25.5">
      <c r="A123" s="880" t="s">
        <v>102</v>
      </c>
      <c r="B123" s="880"/>
      <c r="C123" s="880"/>
      <c r="D123" s="151" t="s">
        <v>183</v>
      </c>
      <c r="E123" s="95">
        <f>'19'!F123</f>
        <v>83851.16</v>
      </c>
      <c r="F123" s="237">
        <v>84160</v>
      </c>
      <c r="G123" s="112">
        <f t="shared" si="9"/>
        <v>308.83999999999651</v>
      </c>
      <c r="H123" s="99">
        <f>G123+'19'!H123</f>
        <v>6211</v>
      </c>
      <c r="I123" s="165"/>
      <c r="J123" s="328">
        <f>H123/DAY(B2)</f>
        <v>310.55</v>
      </c>
    </row>
    <row r="124" spans="1:18" ht="29.25" customHeight="1">
      <c r="A124" s="885"/>
      <c r="B124" s="886"/>
      <c r="C124" s="887"/>
      <c r="D124" s="165"/>
      <c r="E124" s="95">
        <f>'19'!F124</f>
        <v>0</v>
      </c>
      <c r="F124" s="165"/>
      <c r="G124" s="327"/>
      <c r="H124" s="99">
        <f>G124+'19'!H124</f>
        <v>0</v>
      </c>
      <c r="I124" s="165"/>
      <c r="J124" s="327"/>
    </row>
    <row r="125" spans="1:18" ht="25.5">
      <c r="A125" s="952" t="s">
        <v>108</v>
      </c>
      <c r="B125" s="952"/>
      <c r="C125" s="245"/>
      <c r="D125" s="307"/>
      <c r="E125" s="308"/>
      <c r="F125" s="308"/>
      <c r="G125" s="309">
        <f>SUM(G112:G124)</f>
        <v>3397.8199999999852</v>
      </c>
      <c r="H125" s="156"/>
      <c r="I125" s="327">
        <f>G125-(G39+G53)</f>
        <v>631.48000000001775</v>
      </c>
      <c r="J125" s="327"/>
    </row>
    <row r="126" spans="1:18" ht="25.5">
      <c r="A126" s="884" t="s">
        <v>317</v>
      </c>
      <c r="B126" s="884"/>
      <c r="C126" s="884"/>
      <c r="D126" s="884"/>
      <c r="E126" s="884"/>
      <c r="F126" s="884"/>
      <c r="G126" s="884"/>
      <c r="H126" s="884"/>
      <c r="I126" s="884"/>
      <c r="J126" s="884"/>
    </row>
    <row r="127" spans="1:18" ht="25.5">
      <c r="A127" s="870"/>
      <c r="B127" s="870"/>
      <c r="C127" s="245"/>
      <c r="D127" s="307"/>
      <c r="E127" s="308"/>
      <c r="F127" s="308"/>
      <c r="G127" s="309"/>
      <c r="H127" s="99">
        <f>G127+'19'!H127</f>
        <v>0</v>
      </c>
      <c r="I127" s="165"/>
      <c r="J127" s="328">
        <f>H127/DAY(B2)</f>
        <v>0</v>
      </c>
    </row>
    <row r="128" spans="1:18" ht="29.25" customHeight="1">
      <c r="A128" s="881" t="s">
        <v>318</v>
      </c>
      <c r="B128" s="882"/>
      <c r="C128" s="883"/>
      <c r="D128" s="151" t="s">
        <v>183</v>
      </c>
      <c r="E128" s="95">
        <f>'19'!F128</f>
        <v>201438.44</v>
      </c>
      <c r="F128" s="165">
        <v>201926</v>
      </c>
      <c r="G128" s="112">
        <f t="shared" ref="G128:G134" si="10">F128-E128</f>
        <v>487.55999999999767</v>
      </c>
      <c r="H128" s="99">
        <f>G128+'19'!H128</f>
        <v>10040.369999999995</v>
      </c>
      <c r="I128" s="165"/>
      <c r="J128" s="328">
        <f>H128/DAY(B2)</f>
        <v>502.01849999999979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'19'!F129</f>
        <v>104680.66</v>
      </c>
      <c r="F129" s="165">
        <v>104855</v>
      </c>
      <c r="G129" s="112">
        <f t="shared" si="10"/>
        <v>174.33999999999651</v>
      </c>
      <c r="H129" s="99">
        <f>G129+'19'!H129</f>
        <v>3578</v>
      </c>
      <c r="I129" s="165"/>
      <c r="J129" s="328">
        <f>H129/DAY(B2)</f>
        <v>178.9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'19'!F130</f>
        <v>280036</v>
      </c>
      <c r="F130" s="165">
        <v>280636</v>
      </c>
      <c r="G130" s="112">
        <f t="shared" si="10"/>
        <v>600</v>
      </c>
      <c r="H130" s="99">
        <f>G130+'19'!H130</f>
        <v>11821</v>
      </c>
      <c r="I130" s="165"/>
      <c r="J130" s="328">
        <f>H130/DAY(B2)</f>
        <v>591.04999999999995</v>
      </c>
      <c r="N130" s="240"/>
      <c r="O130" s="241"/>
    </row>
    <row r="131" spans="1:15" ht="25.5">
      <c r="A131" s="881" t="s">
        <v>321</v>
      </c>
      <c r="B131" s="882"/>
      <c r="C131" s="883"/>
      <c r="D131" s="151" t="s">
        <v>183</v>
      </c>
      <c r="E131" s="95">
        <f>'19'!F131</f>
        <v>82922.17</v>
      </c>
      <c r="F131" s="165">
        <v>83105</v>
      </c>
      <c r="G131" s="112">
        <f t="shared" si="10"/>
        <v>182.83000000000175</v>
      </c>
      <c r="H131" s="99">
        <f>G131+'19'!H131</f>
        <v>3554.3699999999953</v>
      </c>
      <c r="I131" s="165"/>
      <c r="J131" s="328">
        <f>H131/DAY(B2)</f>
        <v>177.71849999999978</v>
      </c>
      <c r="N131" s="240"/>
      <c r="O131" s="241"/>
    </row>
    <row r="132" spans="1:15" ht="25.5">
      <c r="A132" s="881" t="s">
        <v>322</v>
      </c>
      <c r="B132" s="882"/>
      <c r="C132" s="883"/>
      <c r="D132" s="151" t="s">
        <v>183</v>
      </c>
      <c r="E132" s="95">
        <f>'19'!F132</f>
        <v>148274</v>
      </c>
      <c r="F132" s="165">
        <v>148274</v>
      </c>
      <c r="G132" s="112">
        <f t="shared" si="10"/>
        <v>0</v>
      </c>
      <c r="H132" s="99">
        <f>G132+'19'!H132</f>
        <v>0</v>
      </c>
      <c r="I132" s="165"/>
      <c r="J132" s="328">
        <f>H132/DAY(B2)</f>
        <v>0</v>
      </c>
    </row>
    <row r="133" spans="1:15" ht="25.5">
      <c r="A133" s="881" t="s">
        <v>359</v>
      </c>
      <c r="B133" s="882"/>
      <c r="C133" s="883"/>
      <c r="D133" s="151" t="s">
        <v>183</v>
      </c>
      <c r="E133" s="95">
        <f>'19'!F133</f>
        <v>288548</v>
      </c>
      <c r="F133" s="165">
        <v>288548</v>
      </c>
      <c r="G133" s="112">
        <f t="shared" si="10"/>
        <v>0</v>
      </c>
      <c r="H133" s="99">
        <f>G133+'19'!H133</f>
        <v>-644500</v>
      </c>
      <c r="I133" s="165"/>
      <c r="J133" s="328">
        <f>H133/DAY(B2)</f>
        <v>-32225</v>
      </c>
    </row>
    <row r="134" spans="1:15" ht="25.5">
      <c r="A134" s="881" t="s">
        <v>340</v>
      </c>
      <c r="B134" s="882"/>
      <c r="C134" s="883"/>
      <c r="D134" s="151" t="s">
        <v>183</v>
      </c>
      <c r="E134" s="95">
        <f>'19'!F134</f>
        <v>90851.64</v>
      </c>
      <c r="F134" s="464">
        <v>91026</v>
      </c>
      <c r="G134" s="112">
        <f t="shared" si="10"/>
        <v>174.36000000000058</v>
      </c>
      <c r="H134" s="99">
        <f>G134+'19'!H134</f>
        <v>5074</v>
      </c>
      <c r="I134" s="165"/>
      <c r="J134" s="328">
        <f>H134/DAY(B2)</f>
        <v>253.7</v>
      </c>
    </row>
    <row r="135" spans="1:15" ht="25.5">
      <c r="A135" s="973" t="s">
        <v>108</v>
      </c>
      <c r="B135" s="974"/>
      <c r="C135" s="877"/>
      <c r="D135" s="151"/>
      <c r="E135" s="95"/>
      <c r="F135" s="165"/>
      <c r="G135" s="112">
        <f>SUM(G128:G134)</f>
        <v>1619.0899999999965</v>
      </c>
      <c r="H135" s="99"/>
      <c r="I135" s="327">
        <f>G135-(G35+G49)</f>
        <v>-1167.4500000000407</v>
      </c>
      <c r="J135" s="328"/>
    </row>
    <row r="136" spans="1:15" ht="27.75">
      <c r="A136" s="869" t="s">
        <v>325</v>
      </c>
      <c r="B136" s="869"/>
      <c r="C136" s="869"/>
      <c r="D136" s="869"/>
      <c r="E136" s="869"/>
      <c r="F136" s="869"/>
      <c r="G136" s="869"/>
      <c r="H136" s="869"/>
      <c r="I136" s="869"/>
      <c r="J136" s="869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80" t="s">
        <v>185</v>
      </c>
      <c r="B138" s="880"/>
      <c r="C138" s="880"/>
      <c r="D138" s="151" t="s">
        <v>183</v>
      </c>
      <c r="E138" s="95">
        <f>'19'!F138</f>
        <v>911599</v>
      </c>
      <c r="F138" s="147">
        <v>911708</v>
      </c>
      <c r="G138" s="112">
        <f t="shared" ref="G138:G152" si="11">F138-E138</f>
        <v>109</v>
      </c>
      <c r="H138" s="99">
        <f>G138+'19'!H138</f>
        <v>2268</v>
      </c>
      <c r="I138" s="118"/>
      <c r="J138" s="328">
        <f>H138/DAY(B2)</f>
        <v>113.4</v>
      </c>
    </row>
    <row r="139" spans="1:15" ht="25.5">
      <c r="A139" s="880" t="s">
        <v>186</v>
      </c>
      <c r="B139" s="880"/>
      <c r="C139" s="880"/>
      <c r="D139" s="151" t="s">
        <v>183</v>
      </c>
      <c r="E139" s="95">
        <f>'19'!F139</f>
        <v>935331</v>
      </c>
      <c r="F139" s="148">
        <v>935538</v>
      </c>
      <c r="G139" s="112">
        <f t="shared" si="11"/>
        <v>207</v>
      </c>
      <c r="H139" s="99">
        <f>G139+'19'!H139</f>
        <v>3178</v>
      </c>
      <c r="I139" s="118"/>
      <c r="J139" s="328">
        <f>H139/DAY(B2)</f>
        <v>158.9</v>
      </c>
    </row>
    <row r="140" spans="1:15" ht="25.5">
      <c r="A140" s="880" t="s">
        <v>187</v>
      </c>
      <c r="B140" s="880"/>
      <c r="C140" s="880"/>
      <c r="D140" s="151" t="s">
        <v>183</v>
      </c>
      <c r="E140" s="95">
        <f>'19'!F140</f>
        <v>4486.37</v>
      </c>
      <c r="F140" s="149">
        <v>4503</v>
      </c>
      <c r="G140" s="112">
        <f>F140-E140</f>
        <v>16.630000000000109</v>
      </c>
      <c r="H140" s="99">
        <f>G140+'19'!H140</f>
        <v>469.48900000000003</v>
      </c>
      <c r="I140" s="118"/>
      <c r="J140" s="328">
        <f>H140/DAY(B2)</f>
        <v>23.474450000000001</v>
      </c>
    </row>
    <row r="141" spans="1:15" ht="25.5">
      <c r="A141" s="863" t="s">
        <v>188</v>
      </c>
      <c r="B141" s="863"/>
      <c r="C141" s="863"/>
      <c r="D141" s="151" t="s">
        <v>183</v>
      </c>
      <c r="E141" s="95">
        <f>'19'!F141</f>
        <v>128524.8</v>
      </c>
      <c r="F141" s="149">
        <v>128773</v>
      </c>
      <c r="G141" s="112">
        <f t="shared" si="11"/>
        <v>248.19999999999709</v>
      </c>
      <c r="H141" s="99">
        <f>G141+'19'!H141</f>
        <v>4175</v>
      </c>
      <c r="I141" s="118"/>
      <c r="J141" s="328">
        <f>H141/DAY(B2)</f>
        <v>208.75</v>
      </c>
    </row>
    <row r="142" spans="1:15" ht="25.5">
      <c r="A142" s="863" t="s">
        <v>189</v>
      </c>
      <c r="B142" s="863"/>
      <c r="C142" s="863"/>
      <c r="D142" s="151" t="s">
        <v>183</v>
      </c>
      <c r="E142" s="95">
        <f>'19'!F142</f>
        <v>52250.2</v>
      </c>
      <c r="F142" s="148">
        <v>52325</v>
      </c>
      <c r="G142" s="112">
        <f t="shared" si="11"/>
        <v>74.80000000000291</v>
      </c>
      <c r="H142" s="99">
        <f>G142+'19'!H142</f>
        <v>1759.4499999999971</v>
      </c>
      <c r="I142" s="140"/>
      <c r="J142" s="328">
        <f>H142/DAY(B2)</f>
        <v>87.972499999999854</v>
      </c>
    </row>
    <row r="143" spans="1:15" ht="25.5">
      <c r="A143" s="880" t="s">
        <v>91</v>
      </c>
      <c r="B143" s="880"/>
      <c r="C143" s="880"/>
      <c r="D143" s="151" t="s">
        <v>183</v>
      </c>
      <c r="E143" s="95">
        <f>'19'!F143</f>
        <v>13966.46</v>
      </c>
      <c r="F143" s="149">
        <v>14003</v>
      </c>
      <c r="G143" s="112">
        <f t="shared" si="11"/>
        <v>36.540000000000873</v>
      </c>
      <c r="H143" s="99">
        <f>G143+'19'!H143</f>
        <v>616</v>
      </c>
      <c r="I143" s="140"/>
      <c r="J143" s="328">
        <f>H143/DAY(B2)</f>
        <v>30.8</v>
      </c>
    </row>
    <row r="144" spans="1:15" ht="25.5">
      <c r="A144" s="863" t="s">
        <v>90</v>
      </c>
      <c r="B144" s="863"/>
      <c r="C144" s="863"/>
      <c r="D144" s="151" t="s">
        <v>183</v>
      </c>
      <c r="E144" s="95">
        <f>'19'!F144</f>
        <v>960094</v>
      </c>
      <c r="F144" s="149">
        <v>960322</v>
      </c>
      <c r="G144" s="112">
        <f t="shared" si="11"/>
        <v>228</v>
      </c>
      <c r="H144" s="99">
        <f>G144+'19'!H144</f>
        <v>4852</v>
      </c>
      <c r="I144" s="140"/>
      <c r="J144" s="328">
        <f>H144/DAY(B2)</f>
        <v>242.6</v>
      </c>
    </row>
    <row r="145" spans="1:10" ht="25.5">
      <c r="A145" s="880" t="s">
        <v>190</v>
      </c>
      <c r="B145" s="880"/>
      <c r="C145" s="880"/>
      <c r="D145" s="152" t="s">
        <v>183</v>
      </c>
      <c r="E145" s="95">
        <f>'19'!F145</f>
        <v>748428</v>
      </c>
      <c r="F145" s="149">
        <v>748620</v>
      </c>
      <c r="G145" s="112">
        <f t="shared" si="11"/>
        <v>192</v>
      </c>
      <c r="H145" s="99">
        <f>G145+'19'!H145</f>
        <v>3439</v>
      </c>
      <c r="I145" s="140"/>
      <c r="J145" s="328">
        <f>H145/DAY(B2)</f>
        <v>171.95</v>
      </c>
    </row>
    <row r="146" spans="1:10" ht="25.5">
      <c r="A146" s="914" t="s">
        <v>191</v>
      </c>
      <c r="B146" s="900"/>
      <c r="C146" s="901"/>
      <c r="D146" s="152" t="s">
        <v>183</v>
      </c>
      <c r="E146" s="95">
        <f>'19'!F146</f>
        <v>788561</v>
      </c>
      <c r="F146" s="148">
        <v>788610</v>
      </c>
      <c r="G146" s="112">
        <f t="shared" si="11"/>
        <v>49</v>
      </c>
      <c r="H146" s="99">
        <f>G146+'19'!H146</f>
        <v>752</v>
      </c>
      <c r="I146" s="140"/>
      <c r="J146" s="328">
        <f>H146/DAY(B2)</f>
        <v>37.6</v>
      </c>
    </row>
    <row r="147" spans="1:10" ht="25.5">
      <c r="A147" s="863" t="s">
        <v>192</v>
      </c>
      <c r="B147" s="863"/>
      <c r="C147" s="863"/>
      <c r="D147" s="152" t="s">
        <v>183</v>
      </c>
      <c r="E147" s="95">
        <f>'19'!F147</f>
        <v>767208.64</v>
      </c>
      <c r="F147" s="148">
        <v>767585</v>
      </c>
      <c r="G147" s="112">
        <f t="shared" si="11"/>
        <v>376.35999999998603</v>
      </c>
      <c r="H147" s="99">
        <f>G147+'19'!H147</f>
        <v>7447</v>
      </c>
      <c r="I147" s="140"/>
      <c r="J147" s="328">
        <f>H147/DAY(B2)</f>
        <v>372.35</v>
      </c>
    </row>
    <row r="148" spans="1:10" ht="25.5">
      <c r="A148" s="864" t="s">
        <v>193</v>
      </c>
      <c r="B148" s="865"/>
      <c r="C148" s="866"/>
      <c r="D148" s="123" t="s">
        <v>130</v>
      </c>
      <c r="E148" s="95">
        <f>'19'!F148</f>
        <v>802422.96</v>
      </c>
      <c r="F148" s="150">
        <v>802776</v>
      </c>
      <c r="G148" s="112">
        <f t="shared" si="11"/>
        <v>353.04000000003725</v>
      </c>
      <c r="H148" s="99">
        <f>G148+'19'!H148</f>
        <v>6363.9200000000419</v>
      </c>
      <c r="I148" s="124"/>
      <c r="J148" s="328">
        <f>H148/DAY(B2)</f>
        <v>318.19600000000207</v>
      </c>
    </row>
    <row r="149" spans="1:10" ht="25.5">
      <c r="A149" s="864" t="s">
        <v>336</v>
      </c>
      <c r="B149" s="865"/>
      <c r="C149" s="866"/>
      <c r="D149" s="227" t="s">
        <v>130</v>
      </c>
      <c r="E149" s="95">
        <f>'19'!F149</f>
        <v>209938.1</v>
      </c>
      <c r="F149" s="146">
        <v>210429</v>
      </c>
      <c r="G149" s="112">
        <f t="shared" si="11"/>
        <v>490.89999999999418</v>
      </c>
      <c r="H149" s="99">
        <f>G149+'19'!H149</f>
        <v>9137.7300000000105</v>
      </c>
      <c r="I149" s="119"/>
      <c r="J149" s="328">
        <f>H149/DAY(B2)</f>
        <v>456.88650000000052</v>
      </c>
    </row>
    <row r="150" spans="1:10" ht="25.5">
      <c r="A150" s="864" t="s">
        <v>337</v>
      </c>
      <c r="B150" s="865"/>
      <c r="C150" s="866"/>
      <c r="D150" s="117" t="s">
        <v>130</v>
      </c>
      <c r="E150" s="95">
        <f>'19'!F150</f>
        <v>89497</v>
      </c>
      <c r="F150" s="233">
        <v>89717</v>
      </c>
      <c r="G150" s="112">
        <f t="shared" si="11"/>
        <v>220</v>
      </c>
      <c r="H150" s="99">
        <f>G150+'19'!H150</f>
        <v>7130</v>
      </c>
      <c r="I150" s="119"/>
      <c r="J150" s="328">
        <f>H150/DAY(B2)</f>
        <v>356.5</v>
      </c>
    </row>
    <row r="151" spans="1:10" ht="25.5">
      <c r="A151" s="864" t="s">
        <v>338</v>
      </c>
      <c r="B151" s="865"/>
      <c r="C151" s="866"/>
      <c r="D151" s="117" t="s">
        <v>130</v>
      </c>
      <c r="E151" s="95">
        <f>'19'!F151</f>
        <v>172471</v>
      </c>
      <c r="F151" s="233">
        <v>172749</v>
      </c>
      <c r="G151" s="112">
        <f t="shared" si="11"/>
        <v>278</v>
      </c>
      <c r="H151" s="99">
        <f>G151+'19'!H151</f>
        <v>6019</v>
      </c>
      <c r="I151" s="119"/>
      <c r="J151" s="328">
        <f>H151/DAY(B2)</f>
        <v>300.95</v>
      </c>
    </row>
    <row r="152" spans="1:10" ht="25.5">
      <c r="A152" s="864" t="s">
        <v>339</v>
      </c>
      <c r="B152" s="865"/>
      <c r="C152" s="866"/>
      <c r="D152" s="117" t="s">
        <v>130</v>
      </c>
      <c r="E152" s="95">
        <f>'19'!F152</f>
        <v>45023.77</v>
      </c>
      <c r="F152" s="233">
        <v>45154</v>
      </c>
      <c r="G152" s="112">
        <f t="shared" si="11"/>
        <v>130.2300000000032</v>
      </c>
      <c r="H152" s="99">
        <f>G152+'19'!H152</f>
        <v>2643</v>
      </c>
      <c r="I152" s="119"/>
      <c r="J152" s="328">
        <f>H152/DAY(B2)</f>
        <v>132.15</v>
      </c>
    </row>
    <row r="153" spans="1:10" ht="25.5">
      <c r="A153" s="458" t="s">
        <v>108</v>
      </c>
      <c r="B153" s="365"/>
      <c r="C153" s="365"/>
      <c r="D153" s="117"/>
      <c r="E153" s="95"/>
      <c r="F153" s="233"/>
      <c r="G153" s="112">
        <f>SUM(G138:G152)</f>
        <v>3009.7000000000216</v>
      </c>
      <c r="H153" s="99"/>
      <c r="I153" s="119">
        <f>G153-(G38+G52)</f>
        <v>390.37000000006356</v>
      </c>
      <c r="J153" s="328"/>
    </row>
    <row r="154" spans="1:10" ht="27.75">
      <c r="A154" s="869" t="s">
        <v>344</v>
      </c>
      <c r="B154" s="869"/>
      <c r="C154" s="869"/>
      <c r="D154" s="869"/>
      <c r="E154" s="869"/>
      <c r="F154" s="869"/>
      <c r="G154" s="869"/>
      <c r="H154" s="869"/>
      <c r="I154" s="869"/>
      <c r="J154" s="869"/>
    </row>
    <row r="155" spans="1:10" ht="27.75">
      <c r="A155" s="863" t="s">
        <v>345</v>
      </c>
      <c r="B155" s="863"/>
      <c r="C155" s="863"/>
      <c r="D155" s="117" t="s">
        <v>130</v>
      </c>
      <c r="E155" s="95">
        <f>'19'!F155</f>
        <v>249722</v>
      </c>
      <c r="F155" s="374">
        <v>250308</v>
      </c>
      <c r="G155" s="112">
        <f t="shared" ref="G155:G158" si="12">F155-E155</f>
        <v>586</v>
      </c>
      <c r="H155" s="99">
        <f>G155+'19'!H155</f>
        <v>11274</v>
      </c>
      <c r="I155" s="364"/>
      <c r="J155" s="328">
        <f>H155/DAY(B2)</f>
        <v>563.70000000000005</v>
      </c>
    </row>
    <row r="156" spans="1:10" ht="25.5">
      <c r="A156" s="863" t="s">
        <v>347</v>
      </c>
      <c r="B156" s="863"/>
      <c r="C156" s="863"/>
      <c r="D156" s="117" t="s">
        <v>130</v>
      </c>
      <c r="E156" s="95">
        <f>'19'!F156</f>
        <v>31385</v>
      </c>
      <c r="F156" s="155">
        <v>31493</v>
      </c>
      <c r="G156" s="112">
        <f t="shared" si="12"/>
        <v>108</v>
      </c>
      <c r="H156" s="99">
        <f>G156+'19'!H156</f>
        <v>1813.5</v>
      </c>
      <c r="I156" s="165"/>
      <c r="J156" s="328">
        <f>H156/DAY(B2)</f>
        <v>90.674999999999997</v>
      </c>
    </row>
    <row r="157" spans="1:10" ht="25.5">
      <c r="A157" s="864" t="s">
        <v>360</v>
      </c>
      <c r="B157" s="865"/>
      <c r="C157" s="866"/>
      <c r="D157" s="117" t="s">
        <v>130</v>
      </c>
      <c r="E157" s="95">
        <f>'19'!F157</f>
        <v>37559</v>
      </c>
      <c r="F157" s="155">
        <v>37559</v>
      </c>
      <c r="G157" s="112">
        <f t="shared" si="12"/>
        <v>0</v>
      </c>
      <c r="H157" s="99">
        <f>G157+'19'!H157</f>
        <v>0</v>
      </c>
      <c r="I157" s="165"/>
      <c r="J157" s="328">
        <f>H157/DAY(B2)</f>
        <v>0</v>
      </c>
    </row>
    <row r="158" spans="1:10" ht="25.5">
      <c r="A158" s="864" t="s">
        <v>361</v>
      </c>
      <c r="B158" s="865"/>
      <c r="C158" s="866"/>
      <c r="D158" s="117" t="s">
        <v>130</v>
      </c>
      <c r="E158" s="95">
        <f>'19'!F158</f>
        <v>1772.7</v>
      </c>
      <c r="F158" s="155">
        <v>1773</v>
      </c>
      <c r="G158" s="112">
        <f t="shared" si="12"/>
        <v>0.29999999999995453</v>
      </c>
      <c r="H158" s="99">
        <f>G158+'19'!H158</f>
        <v>0.29999999999995453</v>
      </c>
      <c r="I158" s="165"/>
      <c r="J158" s="328">
        <f>H158/DAY(B2)</f>
        <v>1.4999999999997727E-2</v>
      </c>
    </row>
    <row r="159" spans="1:10" ht="25.5">
      <c r="A159" s="944"/>
      <c r="B159" s="945"/>
      <c r="C159" s="946"/>
      <c r="D159" s="117"/>
      <c r="E159" s="95"/>
      <c r="F159" s="155"/>
      <c r="G159" s="112"/>
      <c r="H159" s="99"/>
      <c r="I159" s="165"/>
      <c r="J159" s="328"/>
    </row>
    <row r="160" spans="1:10" ht="27.75">
      <c r="A160" s="869" t="s">
        <v>326</v>
      </c>
      <c r="B160" s="869"/>
      <c r="C160" s="869"/>
      <c r="D160" s="869"/>
      <c r="E160" s="869"/>
      <c r="F160" s="869"/>
      <c r="G160" s="869"/>
      <c r="H160" s="869"/>
      <c r="I160" s="869"/>
      <c r="J160" s="869"/>
    </row>
    <row r="161" spans="1:10" ht="26.25">
      <c r="A161" s="242" t="s">
        <v>92</v>
      </c>
      <c r="B161" s="243"/>
      <c r="C161" s="243"/>
      <c r="D161" s="244" t="s">
        <v>180</v>
      </c>
      <c r="E161" s="95">
        <f>'19'!F161</f>
        <v>511318</v>
      </c>
      <c r="F161" s="235">
        <v>511457</v>
      </c>
      <c r="G161" s="238">
        <f t="shared" ref="G161:G166" si="13">F161-E161</f>
        <v>139</v>
      </c>
      <c r="H161" s="99">
        <f>G161+'19'!H161</f>
        <v>3073.679999999993</v>
      </c>
      <c r="I161" s="236"/>
      <c r="J161" s="239">
        <f>H161/DAY(B2)</f>
        <v>153.68399999999966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'19'!F162</f>
        <v>1408</v>
      </c>
      <c r="F162" s="235">
        <v>1454</v>
      </c>
      <c r="G162" s="238">
        <f t="shared" si="13"/>
        <v>46</v>
      </c>
      <c r="H162" s="99">
        <f>G162+'19'!H162</f>
        <v>717.4</v>
      </c>
      <c r="I162" s="236"/>
      <c r="J162" s="239">
        <f>H162/DAY(B2)</f>
        <v>35.869999999999997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'19'!F163</f>
        <v>0</v>
      </c>
      <c r="F163" s="235">
        <v>0</v>
      </c>
      <c r="G163" s="238">
        <f t="shared" si="13"/>
        <v>0</v>
      </c>
      <c r="H163" s="99">
        <f>G163+'19'!H163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'19'!F164</f>
        <v>7301</v>
      </c>
      <c r="F164" s="235">
        <v>7306</v>
      </c>
      <c r="G164" s="238">
        <f t="shared" si="13"/>
        <v>5</v>
      </c>
      <c r="H164" s="99">
        <f>G164+'19'!H164</f>
        <v>107</v>
      </c>
      <c r="I164" s="236"/>
      <c r="J164" s="239">
        <f>H164/DAY(B2)</f>
        <v>5.35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'19'!F165</f>
        <v>32900</v>
      </c>
      <c r="F165" s="235">
        <v>32907</v>
      </c>
      <c r="G165" s="238">
        <f t="shared" si="13"/>
        <v>7</v>
      </c>
      <c r="H165" s="99">
        <f>G165+'19'!H165</f>
        <v>126.91199999999662</v>
      </c>
      <c r="I165" s="236"/>
      <c r="J165" s="239">
        <f>H165/DAY(B2)</f>
        <v>6.3455999999998314</v>
      </c>
    </row>
    <row r="166" spans="1:10" ht="26.25">
      <c r="A166" s="870"/>
      <c r="B166" s="870"/>
      <c r="C166" s="246"/>
      <c r="D166" s="244" t="s">
        <v>180</v>
      </c>
      <c r="E166" s="95">
        <f>'19'!F166</f>
        <v>0</v>
      </c>
      <c r="F166" s="165"/>
      <c r="G166" s="165">
        <f t="shared" si="13"/>
        <v>0</v>
      </c>
      <c r="H166" s="99">
        <f>G166+'19'!H166</f>
        <v>0</v>
      </c>
      <c r="I166" s="165"/>
      <c r="J166" s="239">
        <f>H166/DAY(B2)</f>
        <v>0</v>
      </c>
    </row>
    <row r="167" spans="1:10" ht="26.25">
      <c r="A167" s="870"/>
      <c r="B167" s="870"/>
      <c r="C167" s="246"/>
      <c r="D167" s="244" t="s">
        <v>180</v>
      </c>
      <c r="E167" s="95">
        <f>'19'!F167</f>
        <v>0</v>
      </c>
      <c r="F167" s="165"/>
      <c r="G167" s="165"/>
      <c r="H167" s="99">
        <f>G167+'19'!H167</f>
        <v>0</v>
      </c>
      <c r="I167" s="165"/>
      <c r="J167" s="239">
        <f>H167/DAY(B2)</f>
        <v>0</v>
      </c>
    </row>
    <row r="168" spans="1:10" ht="26.25">
      <c r="A168" s="870"/>
      <c r="B168" s="870"/>
      <c r="C168" s="246"/>
      <c r="D168" s="244" t="s">
        <v>180</v>
      </c>
      <c r="E168" s="95">
        <f>'19'!F168</f>
        <v>0</v>
      </c>
      <c r="F168" s="165"/>
      <c r="G168" s="165"/>
      <c r="H168" s="99">
        <f>G168+'19'!H168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71" t="s">
        <v>330</v>
      </c>
      <c r="B171" s="872"/>
      <c r="C171" s="872"/>
      <c r="D171" s="872"/>
      <c r="E171" s="872"/>
      <c r="F171" s="872"/>
      <c r="G171" s="872"/>
      <c r="H171" s="872"/>
      <c r="I171" s="872"/>
      <c r="J171" s="873"/>
    </row>
    <row r="172" spans="1:10" ht="25.5">
      <c r="A172" s="878"/>
      <c r="B172" s="879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789" t="s">
        <v>209</v>
      </c>
      <c r="B173" s="790"/>
      <c r="C173" s="333"/>
      <c r="D173" s="228" t="s">
        <v>142</v>
      </c>
      <c r="E173" s="95">
        <f>'19'!F173</f>
        <v>8604</v>
      </c>
      <c r="F173" s="155">
        <v>8605</v>
      </c>
      <c r="G173" s="155">
        <f>F173-E173</f>
        <v>1</v>
      </c>
      <c r="H173" s="99">
        <f>G173+'19'!H173</f>
        <v>23</v>
      </c>
      <c r="I173" s="155"/>
      <c r="J173" s="178">
        <f>H173/DAY(B2)</f>
        <v>1.1499999999999999</v>
      </c>
    </row>
    <row r="174" spans="1:10" ht="25.5">
      <c r="A174" s="789" t="s">
        <v>75</v>
      </c>
      <c r="B174" s="790"/>
      <c r="C174" s="333"/>
      <c r="D174" s="228" t="s">
        <v>142</v>
      </c>
      <c r="E174" s="95">
        <f>'19'!F174</f>
        <v>43273</v>
      </c>
      <c r="F174" s="157">
        <v>43285</v>
      </c>
      <c r="G174" s="155">
        <f t="shared" ref="G174:G175" si="14">F174-E174</f>
        <v>12</v>
      </c>
      <c r="H174" s="99">
        <f>G174+'19'!H174</f>
        <v>235</v>
      </c>
      <c r="I174" s="155"/>
      <c r="J174" s="178">
        <f>H174/DAY(B2)</f>
        <v>11.75</v>
      </c>
    </row>
    <row r="175" spans="1:10" ht="25.5">
      <c r="A175" s="789" t="s">
        <v>76</v>
      </c>
      <c r="B175" s="802"/>
      <c r="C175" s="790"/>
      <c r="D175" s="228" t="s">
        <v>142</v>
      </c>
      <c r="E175" s="95">
        <f>'19'!F175</f>
        <v>26102</v>
      </c>
      <c r="F175" s="155">
        <v>26119</v>
      </c>
      <c r="G175" s="155">
        <f t="shared" si="14"/>
        <v>17</v>
      </c>
      <c r="H175" s="99">
        <f>G175+'19'!H175</f>
        <v>298</v>
      </c>
      <c r="I175" s="155"/>
      <c r="J175" s="178">
        <f>H175/DAY(B2)</f>
        <v>14.9</v>
      </c>
    </row>
    <row r="176" spans="1:10" ht="25.5">
      <c r="A176" s="787" t="s">
        <v>196</v>
      </c>
      <c r="B176" s="788"/>
      <c r="C176" s="400"/>
      <c r="D176" s="228" t="s">
        <v>142</v>
      </c>
      <c r="E176" s="95"/>
      <c r="F176" s="155"/>
      <c r="G176" s="155">
        <f>SUM(G173:G175)</f>
        <v>30</v>
      </c>
      <c r="H176" s="99">
        <f>G176+'19'!H176</f>
        <v>556</v>
      </c>
      <c r="I176" s="155"/>
      <c r="J176" s="178">
        <f>H176/DAY(B2)</f>
        <v>27.8</v>
      </c>
    </row>
    <row r="177" spans="1:10" ht="25.5">
      <c r="A177" s="789" t="s">
        <v>77</v>
      </c>
      <c r="B177" s="790"/>
      <c r="C177" s="333"/>
      <c r="D177" s="228" t="s">
        <v>142</v>
      </c>
      <c r="E177" s="95"/>
      <c r="F177" s="155"/>
      <c r="G177" s="155"/>
      <c r="H177" s="99">
        <f>G177+'19'!H177</f>
        <v>0</v>
      </c>
      <c r="I177" s="155"/>
      <c r="J177" s="178">
        <f>H177/DAY(B2)</f>
        <v>0</v>
      </c>
    </row>
    <row r="178" spans="1:10" ht="25.5">
      <c r="A178" s="789" t="s">
        <v>210</v>
      </c>
      <c r="B178" s="790"/>
      <c r="C178" s="333"/>
      <c r="D178" s="228" t="s">
        <v>142</v>
      </c>
      <c r="E178" s="95">
        <f>'19'!F178</f>
        <v>109130</v>
      </c>
      <c r="F178" s="155">
        <v>109207</v>
      </c>
      <c r="G178" s="155">
        <f>F178-E178</f>
        <v>77</v>
      </c>
      <c r="H178" s="99">
        <f>G178+'19'!H178</f>
        <v>2208</v>
      </c>
      <c r="I178" s="155"/>
      <c r="J178" s="178">
        <f>H178/DAY(B2)</f>
        <v>110.4</v>
      </c>
    </row>
    <row r="179" spans="1:10" ht="25.5">
      <c r="A179" s="789" t="s">
        <v>211</v>
      </c>
      <c r="B179" s="790"/>
      <c r="C179" s="333"/>
      <c r="D179" s="228" t="s">
        <v>142</v>
      </c>
      <c r="E179" s="95">
        <f>'19'!F179</f>
        <v>37501</v>
      </c>
      <c r="F179" s="155">
        <v>37501</v>
      </c>
      <c r="G179" s="155">
        <f t="shared" ref="G179:G180" si="15">F179-E179</f>
        <v>0</v>
      </c>
      <c r="H179" s="99">
        <f>G179+'19'!H179</f>
        <v>0</v>
      </c>
      <c r="I179" s="155"/>
      <c r="J179" s="178">
        <f>H179/DAY(B2)</f>
        <v>0</v>
      </c>
    </row>
    <row r="180" spans="1:10" ht="25.5">
      <c r="A180" s="789" t="s">
        <v>212</v>
      </c>
      <c r="B180" s="790"/>
      <c r="C180" s="333"/>
      <c r="D180" s="228" t="s">
        <v>142</v>
      </c>
      <c r="E180" s="95">
        <f>'19'!F180</f>
        <v>7651</v>
      </c>
      <c r="F180" s="155">
        <v>7651</v>
      </c>
      <c r="G180" s="155">
        <f t="shared" si="15"/>
        <v>0</v>
      </c>
      <c r="H180" s="99">
        <f>G180+'19'!H180</f>
        <v>88</v>
      </c>
      <c r="I180" s="155"/>
      <c r="J180" s="178">
        <f>H180/DAY(B2)</f>
        <v>4.4000000000000004</v>
      </c>
    </row>
    <row r="181" spans="1:10" ht="24.75" customHeight="1">
      <c r="A181" s="876" t="s">
        <v>108</v>
      </c>
      <c r="B181" s="877"/>
      <c r="C181" s="400"/>
      <c r="D181" s="228" t="s">
        <v>142</v>
      </c>
      <c r="E181" s="95"/>
      <c r="F181" s="155"/>
      <c r="G181" s="155">
        <f>SUM(G178:G180)</f>
        <v>77</v>
      </c>
      <c r="H181" s="99">
        <f>G181+'19'!H181</f>
        <v>2296</v>
      </c>
      <c r="I181" s="155"/>
      <c r="J181" s="178">
        <f>H181/DAY(B2)</f>
        <v>114.8</v>
      </c>
    </row>
    <row r="182" spans="1:10" ht="24.75" customHeight="1">
      <c r="A182" s="789" t="s">
        <v>213</v>
      </c>
      <c r="B182" s="790"/>
      <c r="C182" s="333"/>
      <c r="D182" s="228" t="s">
        <v>142</v>
      </c>
      <c r="E182" s="95"/>
      <c r="F182" s="155"/>
      <c r="G182" s="155"/>
      <c r="H182" s="99">
        <f>G182+'19'!H182</f>
        <v>0</v>
      </c>
      <c r="I182" s="155"/>
      <c r="J182" s="178">
        <f>H182/DAY(B2)</f>
        <v>0</v>
      </c>
    </row>
    <row r="183" spans="1:10" ht="24.75" customHeight="1">
      <c r="A183" s="789" t="s">
        <v>214</v>
      </c>
      <c r="B183" s="790"/>
      <c r="C183" s="334"/>
      <c r="D183" s="228" t="s">
        <v>142</v>
      </c>
      <c r="E183" s="95">
        <f>'19'!F183</f>
        <v>18489</v>
      </c>
      <c r="F183" s="157">
        <v>18496</v>
      </c>
      <c r="G183" s="157">
        <f>F183-E183</f>
        <v>7</v>
      </c>
      <c r="H183" s="99">
        <f>G183+'19'!H183</f>
        <v>118</v>
      </c>
      <c r="I183" s="155"/>
      <c r="J183" s="178">
        <f>H183/DAY(B2)</f>
        <v>5.9</v>
      </c>
    </row>
    <row r="184" spans="1:10" ht="24.75" customHeight="1">
      <c r="A184" s="789" t="s">
        <v>215</v>
      </c>
      <c r="B184" s="790"/>
      <c r="C184" s="334"/>
      <c r="D184" s="228" t="s">
        <v>142</v>
      </c>
      <c r="E184" s="95">
        <f>'19'!F184</f>
        <v>13162</v>
      </c>
      <c r="F184" s="157">
        <v>13169</v>
      </c>
      <c r="G184" s="157">
        <f t="shared" ref="G184" si="16">F184-E184</f>
        <v>7</v>
      </c>
      <c r="H184" s="99">
        <f>G184+'19'!H184</f>
        <v>189</v>
      </c>
      <c r="I184" s="155"/>
      <c r="J184" s="178">
        <f>H184/DAY(B2)</f>
        <v>9.4499999999999993</v>
      </c>
    </row>
    <row r="185" spans="1:10" ht="24.75" customHeight="1">
      <c r="A185" s="789" t="s">
        <v>216</v>
      </c>
      <c r="B185" s="790"/>
      <c r="C185" s="334"/>
      <c r="D185" s="228" t="s">
        <v>142</v>
      </c>
      <c r="E185" s="95">
        <f>'19'!F185</f>
        <v>0</v>
      </c>
      <c r="F185" s="157" t="s">
        <v>366</v>
      </c>
      <c r="G185" s="157">
        <v>0</v>
      </c>
      <c r="H185" s="99">
        <f>G185+'19'!H185</f>
        <v>0</v>
      </c>
      <c r="I185" s="155"/>
      <c r="J185" s="178">
        <f>H185/DAY(B2)</f>
        <v>0</v>
      </c>
    </row>
    <row r="186" spans="1:10" ht="25.5">
      <c r="A186" s="787" t="s">
        <v>196</v>
      </c>
      <c r="B186" s="788"/>
      <c r="C186" s="399"/>
      <c r="D186" s="228" t="s">
        <v>142</v>
      </c>
      <c r="E186" s="95"/>
      <c r="F186" s="157"/>
      <c r="G186" s="157">
        <f>SUM(G183:G185)</f>
        <v>14</v>
      </c>
      <c r="H186" s="99">
        <f>G186+'19'!H186</f>
        <v>307</v>
      </c>
      <c r="I186" s="157"/>
      <c r="J186" s="178">
        <f>H186/DAY(B2)</f>
        <v>15.35</v>
      </c>
    </row>
    <row r="187" spans="1:10" ht="25.5">
      <c r="A187" s="867" t="s">
        <v>217</v>
      </c>
      <c r="B187" s="868"/>
      <c r="C187" s="333"/>
      <c r="D187" s="230" t="s">
        <v>142</v>
      </c>
      <c r="E187" s="95"/>
      <c r="F187" s="159"/>
      <c r="G187" s="377">
        <f>G62+G19</f>
        <v>177</v>
      </c>
      <c r="H187" s="99">
        <f>G187+'19'!H187</f>
        <v>3079</v>
      </c>
      <c r="I187" s="158"/>
      <c r="J187" s="179">
        <f>H187/DAY(B2)</f>
        <v>153.94999999999999</v>
      </c>
    </row>
    <row r="188" spans="1:10" ht="25.5">
      <c r="A188" s="867" t="s">
        <v>218</v>
      </c>
      <c r="B188" s="868"/>
      <c r="C188" s="333"/>
      <c r="D188" s="230" t="s">
        <v>142</v>
      </c>
      <c r="E188" s="95"/>
      <c r="F188" s="159"/>
      <c r="G188" s="377">
        <f>G65+G66+G67+G69+G70</f>
        <v>192</v>
      </c>
      <c r="H188" s="99">
        <f>G188+'19'!H188</f>
        <v>1022</v>
      </c>
      <c r="I188" s="158"/>
      <c r="J188" s="179">
        <f>H188/DAY(B2)</f>
        <v>51.1</v>
      </c>
    </row>
    <row r="189" spans="1:10" ht="25.5">
      <c r="A189" s="867" t="s">
        <v>219</v>
      </c>
      <c r="B189" s="868"/>
      <c r="C189" s="333"/>
      <c r="D189" s="230" t="s">
        <v>142</v>
      </c>
      <c r="E189" s="95"/>
      <c r="F189" s="157"/>
      <c r="G189" s="376">
        <f>G181</f>
        <v>77</v>
      </c>
      <c r="H189" s="99">
        <f>G189+'19'!H189</f>
        <v>175</v>
      </c>
      <c r="I189" s="158"/>
      <c r="J189" s="179">
        <f>H189/DAY(B2)</f>
        <v>8.75</v>
      </c>
    </row>
    <row r="190" spans="1:10" ht="25.5">
      <c r="A190" s="874"/>
      <c r="B190" s="875"/>
      <c r="C190" s="398"/>
      <c r="D190" s="395"/>
      <c r="E190" s="395" t="s">
        <v>207</v>
      </c>
      <c r="F190" s="395"/>
      <c r="G190" s="395"/>
      <c r="H190" s="396"/>
      <c r="I190" s="395"/>
      <c r="J190" s="397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4">
    <mergeCell ref="A94:C94"/>
    <mergeCell ref="A95:C95"/>
    <mergeCell ref="A96:C96"/>
    <mergeCell ref="A102:C102"/>
    <mergeCell ref="A123:C123"/>
    <mergeCell ref="A109:B109"/>
    <mergeCell ref="A33:C33"/>
    <mergeCell ref="A64:C64"/>
    <mergeCell ref="A65:C65"/>
    <mergeCell ref="A73:C73"/>
    <mergeCell ref="A74:C74"/>
    <mergeCell ref="A81:C81"/>
    <mergeCell ref="A93:C93"/>
    <mergeCell ref="A75:C75"/>
    <mergeCell ref="A76:C76"/>
    <mergeCell ref="A77:C77"/>
    <mergeCell ref="A79:C79"/>
    <mergeCell ref="A80:C80"/>
    <mergeCell ref="A78:C78"/>
    <mergeCell ref="A61:C61"/>
    <mergeCell ref="A62:C62"/>
    <mergeCell ref="A63:C63"/>
    <mergeCell ref="A71:C71"/>
    <mergeCell ref="A72:B7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128:C128"/>
    <mergeCell ref="A142:C142"/>
    <mergeCell ref="A103:C103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6:C116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8:C148"/>
    <mergeCell ref="A143:C143"/>
    <mergeCell ref="A150:C150"/>
    <mergeCell ref="A151:C151"/>
    <mergeCell ref="A152:C152"/>
    <mergeCell ref="A154:J154"/>
    <mergeCell ref="A155:C155"/>
    <mergeCell ref="A156:C156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</mergeCells>
  <pageMargins left="0.22" right="0.17" top="0.14000000000000001" bottom="0.2" header="0.2" footer="0.2"/>
  <pageSetup paperSize="5" scale="2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R1701"/>
  <sheetViews>
    <sheetView view="pageBreakPreview" topLeftCell="A61" zoomScale="60" zoomScaleNormal="60" zoomScalePageLayoutView="20" workbookViewId="0">
      <selection activeCell="G74" sqref="G74:G79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.5546875" style="161" customWidth="1"/>
    <col min="9" max="9" width="19.332031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19" t="s">
        <v>115</v>
      </c>
      <c r="B1" s="920"/>
      <c r="C1" s="920"/>
      <c r="D1" s="920"/>
      <c r="E1" s="920"/>
      <c r="F1" s="920"/>
      <c r="G1" s="920"/>
      <c r="H1" s="920"/>
      <c r="I1" s="920"/>
      <c r="J1" s="921"/>
    </row>
    <row r="2" spans="1:15" s="57" customFormat="1" ht="23.25">
      <c r="A2" s="191" t="s">
        <v>355</v>
      </c>
      <c r="B2" s="262">
        <v>44947</v>
      </c>
      <c r="C2" s="348" t="s">
        <v>67</v>
      </c>
      <c r="D2" s="218">
        <v>0.95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23</v>
      </c>
      <c r="E3" s="928" t="s">
        <v>119</v>
      </c>
      <c r="F3" s="929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22" t="s">
        <v>128</v>
      </c>
      <c r="B6" s="923"/>
      <c r="C6" s="92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'20'!F7</f>
        <v>394084</v>
      </c>
      <c r="F7" s="95">
        <v>414519</v>
      </c>
      <c r="G7" s="112">
        <f>F7-E7</f>
        <v>20435</v>
      </c>
      <c r="H7" s="99">
        <f>G7+'20'!H7</f>
        <v>436900</v>
      </c>
      <c r="I7" s="113">
        <f>'1'!I7</f>
        <v>12000</v>
      </c>
      <c r="J7" s="175">
        <f>H7/DAY(B2)</f>
        <v>20804.761904761905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'20'!F8</f>
        <v>582133</v>
      </c>
      <c r="F8" s="114">
        <v>602954</v>
      </c>
      <c r="G8" s="115">
        <f>F8-E8</f>
        <v>20821</v>
      </c>
      <c r="H8" s="99">
        <f>G8+'20'!H8</f>
        <v>445097</v>
      </c>
      <c r="I8" s="116"/>
      <c r="J8" s="175">
        <f>H8/DAY(B2)</f>
        <v>21195.095238095237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'20'!F9</f>
        <v>4696409</v>
      </c>
      <c r="F9" s="468">
        <v>4707902</v>
      </c>
      <c r="G9" s="112">
        <f>F9-E9</f>
        <v>11493</v>
      </c>
      <c r="H9" s="99">
        <f>G9+'20'!H9</f>
        <v>291296.09999999963</v>
      </c>
      <c r="I9" s="124">
        <f>I7-J7</f>
        <v>-8804.7619047619046</v>
      </c>
      <c r="J9" s="175">
        <f>H9/DAY(B2)</f>
        <v>13871.242857142839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'20'!F10</f>
        <v>4196981</v>
      </c>
      <c r="F10" s="353">
        <v>4205376</v>
      </c>
      <c r="G10" s="112">
        <f t="shared" ref="G10:G12" si="0">F10-E10</f>
        <v>8395</v>
      </c>
      <c r="H10" s="99">
        <f>G10+'20'!H10</f>
        <v>135339.70000000019</v>
      </c>
      <c r="I10" s="282"/>
      <c r="J10" s="175">
        <f>H10/DAY(B2)</f>
        <v>6444.7476190476282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'20'!F11</f>
        <v>38700</v>
      </c>
      <c r="F11" s="95">
        <v>38700</v>
      </c>
      <c r="G11" s="112">
        <f t="shared" si="0"/>
        <v>0</v>
      </c>
      <c r="H11" s="99">
        <f>G11+'20'!H11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'20'!F12</f>
        <v>40550</v>
      </c>
      <c r="F12" s="117">
        <v>40550</v>
      </c>
      <c r="G12" s="112">
        <f t="shared" si="0"/>
        <v>0</v>
      </c>
      <c r="H12" s="99">
        <f>G12+'20'!H12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19888</v>
      </c>
      <c r="H13" s="99">
        <f>G13+'20'!H13</f>
        <v>426635.79999999981</v>
      </c>
      <c r="I13" s="120">
        <f>G7-G13</f>
        <v>547</v>
      </c>
      <c r="J13" s="175">
        <f>H13/DAY(B2)</f>
        <v>20315.990476190469</v>
      </c>
      <c r="K13" s="79"/>
      <c r="L13" s="66"/>
      <c r="N13" s="87"/>
      <c r="O13" s="71"/>
    </row>
    <row r="14" spans="1:15" ht="26.25">
      <c r="A14" s="925" t="s">
        <v>137</v>
      </c>
      <c r="B14" s="926"/>
      <c r="C14" s="92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'20'!F15</f>
        <v>2275664</v>
      </c>
      <c r="F15" s="468">
        <v>2276884</v>
      </c>
      <c r="G15" s="112">
        <f>(F15-E15)</f>
        <v>1220</v>
      </c>
      <c r="H15" s="99">
        <f>G15+'20'!H15</f>
        <v>23582.641999999993</v>
      </c>
      <c r="I15" s="113">
        <f>'1'!I15</f>
        <v>800</v>
      </c>
      <c r="J15" s="175">
        <f>H15/DAY(B2)</f>
        <v>1122.9829523809519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-322.98295238095193</v>
      </c>
      <c r="J16" s="176"/>
      <c r="K16" s="79"/>
      <c r="L16" s="66"/>
      <c r="N16" s="87"/>
      <c r="O16" s="71"/>
    </row>
    <row r="17" spans="1:15" ht="26.25">
      <c r="A17" s="925" t="s">
        <v>140</v>
      </c>
      <c r="B17" s="926"/>
      <c r="C17" s="92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02" t="s">
        <v>141</v>
      </c>
      <c r="B18" s="903"/>
      <c r="C18" s="904"/>
      <c r="D18" s="151" t="s">
        <v>142</v>
      </c>
      <c r="E18" s="95">
        <f>'20'!F18</f>
        <v>22</v>
      </c>
      <c r="F18" s="122">
        <v>20</v>
      </c>
      <c r="G18" s="119">
        <f>F18*10</f>
        <v>200</v>
      </c>
      <c r="H18" s="99">
        <f>G18+'20'!H18</f>
        <v>4410</v>
      </c>
      <c r="I18" s="113">
        <f>'1'!I18</f>
        <v>65</v>
      </c>
      <c r="J18" s="175">
        <f>H18/DAY(B2)</f>
        <v>210</v>
      </c>
      <c r="K18" s="79"/>
      <c r="L18" s="66"/>
      <c r="N18" s="87"/>
      <c r="O18" s="71"/>
    </row>
    <row r="19" spans="1:15" ht="25.5">
      <c r="A19" s="902" t="s">
        <v>69</v>
      </c>
      <c r="B19" s="903"/>
      <c r="C19" s="904"/>
      <c r="D19" s="151" t="s">
        <v>142</v>
      </c>
      <c r="E19" s="95">
        <f>'20'!F19</f>
        <v>170701</v>
      </c>
      <c r="F19" s="122">
        <v>170762</v>
      </c>
      <c r="G19" s="112">
        <f t="shared" ref="G19" si="1">F19-E19</f>
        <v>61</v>
      </c>
      <c r="H19" s="99">
        <f>G19+'20'!H19</f>
        <v>1197</v>
      </c>
      <c r="I19" s="335"/>
      <c r="J19" s="175">
        <f>H19/DAY(B2)</f>
        <v>57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261</v>
      </c>
      <c r="H20" s="99">
        <f>G20+'20'!H20</f>
        <v>5607</v>
      </c>
      <c r="I20" s="336">
        <f>I18-J20</f>
        <v>-202</v>
      </c>
      <c r="J20" s="175">
        <f>H20/DAY(B2)</f>
        <v>267</v>
      </c>
      <c r="K20" s="79"/>
      <c r="L20" s="66"/>
      <c r="N20" s="87"/>
      <c r="O20" s="71"/>
    </row>
    <row r="21" spans="1:15" ht="26.25">
      <c r="A21" s="925" t="s">
        <v>144</v>
      </c>
      <c r="B21" s="926"/>
      <c r="C21" s="92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'20'!F22</f>
        <v>2970</v>
      </c>
      <c r="F22" s="122">
        <v>2970</v>
      </c>
      <c r="G22" s="119">
        <f>F22-E22</f>
        <v>0</v>
      </c>
      <c r="H22" s="99">
        <f>G22+'20'!H22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'20'!F23</f>
        <v>1860</v>
      </c>
      <c r="F23" s="122">
        <v>1860</v>
      </c>
      <c r="G23" s="119">
        <f>F23-E23</f>
        <v>0</v>
      </c>
      <c r="H23" s="99">
        <f>G23+'20'!H23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'20'!F24</f>
        <v>4830</v>
      </c>
      <c r="F24" s="128">
        <f>SUM(F22:F23)</f>
        <v>4830</v>
      </c>
      <c r="G24" s="119">
        <f>SUM(G22:G23)</f>
        <v>0</v>
      </c>
      <c r="H24" s="99">
        <f>G24+'20'!H24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30" t="s">
        <v>149</v>
      </c>
      <c r="B25" s="931"/>
      <c r="C25" s="93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20821</v>
      </c>
      <c r="F27" s="136">
        <v>10</v>
      </c>
      <c r="G27" s="137">
        <f>E27*F27</f>
        <v>208210</v>
      </c>
      <c r="H27" s="99">
        <f>G27+'20'!H27</f>
        <v>4216319.1999999993</v>
      </c>
      <c r="I27" s="138"/>
      <c r="J27" s="175">
        <f>H27/DAY(B2)</f>
        <v>200777.10476190472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1220</v>
      </c>
      <c r="F28" s="136">
        <v>65</v>
      </c>
      <c r="G28" s="137">
        <f>E28*F28</f>
        <v>79300</v>
      </c>
      <c r="H28" s="99">
        <f>G28+'20'!H28</f>
        <v>1618592.1499999985</v>
      </c>
      <c r="I28" s="140"/>
      <c r="J28" s="175">
        <f>H28/DAY(B2)</f>
        <v>77075.816666666593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v>0</v>
      </c>
      <c r="F29" s="136">
        <v>69</v>
      </c>
      <c r="G29" s="137">
        <f>E29*F29</f>
        <v>0</v>
      </c>
      <c r="H29" s="99">
        <f>G29+'20'!H29</f>
        <v>6900</v>
      </c>
      <c r="I29" s="140"/>
      <c r="J29" s="175">
        <f>H29/DAY(B2)</f>
        <v>328.57142857142856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61</v>
      </c>
      <c r="F30" s="136">
        <v>151</v>
      </c>
      <c r="G30" s="137">
        <f>E30*F30</f>
        <v>9211</v>
      </c>
      <c r="H30" s="99">
        <f>G30+'20'!H30</f>
        <v>180747</v>
      </c>
      <c r="I30" s="140"/>
      <c r="J30" s="175">
        <f>H30/DAY(B2)</f>
        <v>8607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85</v>
      </c>
      <c r="G31" s="137">
        <f>E31*F31</f>
        <v>17000</v>
      </c>
      <c r="H31" s="99">
        <f>G31+'20'!H31</f>
        <v>361900</v>
      </c>
      <c r="I31" s="140"/>
      <c r="J31" s="175">
        <f>H31/DAY(B2)</f>
        <v>17233.333333333332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313721</v>
      </c>
      <c r="H32" s="99">
        <f>G32+'20'!H32</f>
        <v>6384458.3499999987</v>
      </c>
      <c r="I32" s="144"/>
      <c r="J32" s="175">
        <f>H32/DAY(B2)</f>
        <v>304021.82619047613</v>
      </c>
      <c r="K32" s="63"/>
      <c r="L32" s="89"/>
      <c r="N32" s="87"/>
      <c r="O32" s="71"/>
    </row>
    <row r="33" spans="1:15" ht="25.5" customHeight="1">
      <c r="A33" s="933" t="s">
        <v>331</v>
      </c>
      <c r="B33" s="934"/>
      <c r="C33" s="93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'20'!F35</f>
        <v>505186</v>
      </c>
      <c r="F35" s="145">
        <v>507448</v>
      </c>
      <c r="G35" s="112">
        <f t="shared" ref="G35:G46" si="2">F35-E35</f>
        <v>2262</v>
      </c>
      <c r="H35" s="99">
        <f>G35+'20'!H35</f>
        <v>52930.010000000009</v>
      </c>
      <c r="I35" s="95"/>
      <c r="J35" s="175">
        <f>H35/DAY(B2)</f>
        <v>2520.4766666666669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'20'!F36</f>
        <v>371011</v>
      </c>
      <c r="F36" s="145">
        <v>371955</v>
      </c>
      <c r="G36" s="112">
        <f t="shared" si="2"/>
        <v>944</v>
      </c>
      <c r="H36" s="99">
        <f>G36+'20'!H36</f>
        <v>17866.099999999977</v>
      </c>
      <c r="I36" s="95"/>
      <c r="J36" s="175">
        <f>H36/DAY(B2)</f>
        <v>850.76666666666551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'20'!F37</f>
        <v>367650</v>
      </c>
      <c r="F37" s="418">
        <v>369057</v>
      </c>
      <c r="G37" s="112">
        <f t="shared" si="2"/>
        <v>1407</v>
      </c>
      <c r="H37" s="99">
        <f>G37+'20'!H37</f>
        <v>30787.130000000005</v>
      </c>
      <c r="I37" s="95"/>
      <c r="J37" s="175">
        <f>H37/DAY(B2)</f>
        <v>1466.0538095238098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'20'!F38</f>
        <v>847803</v>
      </c>
      <c r="F38" s="108">
        <v>850467</v>
      </c>
      <c r="G38" s="112">
        <f t="shared" si="2"/>
        <v>2664</v>
      </c>
      <c r="H38" s="99">
        <f>G38+'20'!H38</f>
        <v>50789.650000000023</v>
      </c>
      <c r="I38" s="95"/>
      <c r="J38" s="175">
        <f>H38/DAY(B2)</f>
        <v>2418.5547619047629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'20'!F39</f>
        <v>676067</v>
      </c>
      <c r="F39" s="418">
        <v>678807</v>
      </c>
      <c r="G39" s="112">
        <f t="shared" si="2"/>
        <v>2740</v>
      </c>
      <c r="H39" s="99">
        <f>G39+'20'!H39</f>
        <v>58517</v>
      </c>
      <c r="I39" s="95"/>
      <c r="J39" s="175">
        <f>H39/DAY(B2)</f>
        <v>2786.5238095238096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'20'!F40</f>
        <v>215463</v>
      </c>
      <c r="F40" s="145">
        <v>215673</v>
      </c>
      <c r="G40" s="112">
        <f t="shared" si="2"/>
        <v>210</v>
      </c>
      <c r="H40" s="99">
        <f>G40+'20'!H40</f>
        <v>5986.6499999999942</v>
      </c>
      <c r="I40" s="95"/>
      <c r="J40" s="175">
        <f>H40/DAY(B2)</f>
        <v>285.07857142857114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'20'!F41</f>
        <v>420215.51</v>
      </c>
      <c r="F41" s="145">
        <v>420216</v>
      </c>
      <c r="G41" s="112">
        <f t="shared" si="2"/>
        <v>0.48999999999068677</v>
      </c>
      <c r="H41" s="99">
        <f>G41+'20'!H41</f>
        <v>3.4899999999906868</v>
      </c>
      <c r="I41" s="95"/>
      <c r="J41" s="175">
        <f>H41/DAY(B2)</f>
        <v>0.16619047619003272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'20'!F42</f>
        <v>970677</v>
      </c>
      <c r="F42" s="145">
        <v>970677</v>
      </c>
      <c r="G42" s="112">
        <f t="shared" si="2"/>
        <v>0</v>
      </c>
      <c r="H42" s="99">
        <f>G42+'20'!H42</f>
        <v>49722.530000000028</v>
      </c>
      <c r="I42" s="95"/>
      <c r="J42" s="175">
        <f>H42/DAY(B2)</f>
        <v>2367.7395238095251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'20'!F43</f>
        <v>422444</v>
      </c>
      <c r="F43" s="145">
        <v>422444</v>
      </c>
      <c r="G43" s="112">
        <f t="shared" si="2"/>
        <v>0</v>
      </c>
      <c r="H43" s="99">
        <f>G43+'20'!H43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'20'!F44</f>
        <v>0</v>
      </c>
      <c r="F44" s="145">
        <v>0</v>
      </c>
      <c r="G44" s="112">
        <f t="shared" si="2"/>
        <v>0</v>
      </c>
      <c r="H44" s="99">
        <f>G44+'20'!H44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'20'!F45</f>
        <v>0</v>
      </c>
      <c r="F45" s="145">
        <v>0</v>
      </c>
      <c r="G45" s="112">
        <f t="shared" si="2"/>
        <v>0</v>
      </c>
      <c r="H45" s="99">
        <f>G45+'20'!H45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'20'!F46</f>
        <v>0</v>
      </c>
      <c r="F46" s="145">
        <v>0</v>
      </c>
      <c r="G46" s="112">
        <f t="shared" si="2"/>
        <v>0</v>
      </c>
      <c r="H46" s="99">
        <f>G46+'20'!H46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10227.489999999991</v>
      </c>
      <c r="H47" s="99">
        <f>G47+'20'!H47</f>
        <v>266602.56000000006</v>
      </c>
      <c r="I47" s="95"/>
      <c r="J47" s="175">
        <f>H47/DAY(B2)</f>
        <v>12695.360000000002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'20'!F49</f>
        <v>817104</v>
      </c>
      <c r="F49" s="145">
        <v>817637</v>
      </c>
      <c r="G49" s="112">
        <f t="shared" ref="G49:G58" si="3">F49-E49</f>
        <v>533</v>
      </c>
      <c r="H49" s="99">
        <f>G49+'20'!H49</f>
        <v>11132.849999999977</v>
      </c>
      <c r="I49" s="95"/>
      <c r="J49" s="175">
        <f>H49/DAY(B2)</f>
        <v>530.13571428571322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'20'!F50</f>
        <v>528791</v>
      </c>
      <c r="F50" s="145">
        <v>529950</v>
      </c>
      <c r="G50" s="112">
        <f t="shared" si="3"/>
        <v>1159</v>
      </c>
      <c r="H50" s="99">
        <f>G50+'20'!H50</f>
        <v>28797</v>
      </c>
      <c r="I50" s="95"/>
      <c r="J50" s="175">
        <f>H50/DAY(B2)</f>
        <v>1371.2857142857142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'20'!F51</f>
        <v>156958</v>
      </c>
      <c r="F51" s="145">
        <v>156958</v>
      </c>
      <c r="G51" s="112">
        <f t="shared" si="3"/>
        <v>0</v>
      </c>
      <c r="H51" s="99">
        <f>G51+'20'!H51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'20'!F52</f>
        <v>9.76</v>
      </c>
      <c r="F52" s="145">
        <v>9.76</v>
      </c>
      <c r="G52" s="112">
        <f t="shared" si="3"/>
        <v>0</v>
      </c>
      <c r="H52" s="99">
        <f>G52+'20'!H52</f>
        <v>-0.24000000000000021</v>
      </c>
      <c r="I52" s="95"/>
      <c r="J52" s="175">
        <f>H52/DAY(B2)</f>
        <v>-1.1428571428571439E-2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'20'!F53</f>
        <v>630355</v>
      </c>
      <c r="F53" s="145">
        <v>630355</v>
      </c>
      <c r="G53" s="112">
        <f t="shared" si="3"/>
        <v>0</v>
      </c>
      <c r="H53" s="99">
        <f>G53+'20'!H53</f>
        <v>-3.0000000027939677E-2</v>
      </c>
      <c r="I53" s="95"/>
      <c r="J53" s="175">
        <f>H53/DAY(B2)</f>
        <v>-1.4285714299018895E-3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'20'!F54</f>
        <v>120891</v>
      </c>
      <c r="F54" s="145">
        <v>121104</v>
      </c>
      <c r="G54" s="112">
        <f t="shared" si="3"/>
        <v>213</v>
      </c>
      <c r="H54" s="99">
        <f>G54+'20'!H54</f>
        <v>6506.8699999999953</v>
      </c>
      <c r="I54" s="95"/>
      <c r="J54" s="175">
        <f>H54/DAY(B2)</f>
        <v>309.85095238095215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'20'!F55</f>
        <v>576335.63</v>
      </c>
      <c r="F55" s="145">
        <v>576336</v>
      </c>
      <c r="G55" s="112">
        <f t="shared" si="3"/>
        <v>0.36999999999534339</v>
      </c>
      <c r="H55" s="99">
        <f>G55+'20'!H55</f>
        <v>0.36999999999534339</v>
      </c>
      <c r="I55" s="95"/>
      <c r="J55" s="175">
        <f>H55/DAY(B2)</f>
        <v>1.7619047618825875E-2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'20'!F56</f>
        <v>358377</v>
      </c>
      <c r="F56" s="418">
        <v>360921</v>
      </c>
      <c r="G56" s="112">
        <f t="shared" si="3"/>
        <v>2544</v>
      </c>
      <c r="H56" s="99">
        <f>G56+'20'!H56</f>
        <v>25694.789999999979</v>
      </c>
      <c r="I56" s="95"/>
      <c r="J56" s="175">
        <f>H56/DAY(B2)</f>
        <v>1223.5614285714275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'20'!F57</f>
        <v>680477</v>
      </c>
      <c r="F57" s="145">
        <v>683114</v>
      </c>
      <c r="G57" s="112">
        <f t="shared" si="3"/>
        <v>2637</v>
      </c>
      <c r="H57" s="99">
        <f>G57+'20'!H57</f>
        <v>52281</v>
      </c>
      <c r="I57" s="95"/>
      <c r="J57" s="175">
        <f>H57/DAY(B2)</f>
        <v>2489.5714285714284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'20'!F58</f>
        <v>91690</v>
      </c>
      <c r="F58" s="145">
        <v>91958</v>
      </c>
      <c r="G58" s="112">
        <f t="shared" si="3"/>
        <v>268</v>
      </c>
      <c r="H58" s="99">
        <f>G58+'20'!H58</f>
        <v>5397.5010000000038</v>
      </c>
      <c r="I58" s="95"/>
      <c r="J58" s="175">
        <f>H58/DAY(B2)</f>
        <v>257.02385714285731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7354.3699999999953</v>
      </c>
      <c r="H59" s="99">
        <f>G59+'20'!H59</f>
        <v>129810.11099999992</v>
      </c>
      <c r="I59" s="95">
        <f>G7-G60</f>
        <v>2853.140000000014</v>
      </c>
      <c r="J59" s="175">
        <f>H59/DAY(B2)</f>
        <v>6181.4338571428534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17581.859999999986</v>
      </c>
      <c r="H60" s="99">
        <f>G60+'20'!H60</f>
        <v>396412.67099999997</v>
      </c>
      <c r="I60" s="95">
        <f>G13-G60</f>
        <v>2306.140000000014</v>
      </c>
      <c r="J60" s="175">
        <f>H60/DAY(B2)</f>
        <v>18876.793857142857</v>
      </c>
      <c r="K60" s="79"/>
      <c r="L60" s="66"/>
      <c r="N60" s="87"/>
      <c r="O60" s="71"/>
    </row>
    <row r="61" spans="1:15" s="68" customFormat="1" ht="26.25">
      <c r="A61" s="935" t="s">
        <v>332</v>
      </c>
      <c r="B61" s="936"/>
      <c r="C61" s="93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02" t="s">
        <v>198</v>
      </c>
      <c r="B62" s="903"/>
      <c r="C62" s="904"/>
      <c r="D62" s="151" t="s">
        <v>142</v>
      </c>
      <c r="E62" s="95">
        <f>'20'!F62</f>
        <v>314043</v>
      </c>
      <c r="F62" s="122">
        <v>314211</v>
      </c>
      <c r="G62" s="112">
        <f t="shared" ref="G62:G63" si="4">F62-E62</f>
        <v>168</v>
      </c>
      <c r="H62" s="99">
        <f>G62+'20'!H62</f>
        <v>2111</v>
      </c>
      <c r="I62" s="118"/>
      <c r="J62" s="175">
        <f>H62/DAY(B2)</f>
        <v>100.52380952380952</v>
      </c>
      <c r="K62" s="80"/>
      <c r="L62" s="66"/>
      <c r="N62" s="87"/>
      <c r="O62" s="71"/>
    </row>
    <row r="63" spans="1:15" ht="25.5">
      <c r="A63" s="902" t="s">
        <v>199</v>
      </c>
      <c r="B63" s="903"/>
      <c r="C63" s="904"/>
      <c r="D63" s="151" t="s">
        <v>142</v>
      </c>
      <c r="E63" s="95">
        <f>'20'!F63</f>
        <v>251147</v>
      </c>
      <c r="F63" s="150">
        <v>251258</v>
      </c>
      <c r="G63" s="112">
        <f t="shared" si="4"/>
        <v>111</v>
      </c>
      <c r="H63" s="99">
        <f>G63+'20'!H63</f>
        <v>2223</v>
      </c>
      <c r="I63" s="118"/>
      <c r="J63" s="175">
        <f>H63/DAY(B2)</f>
        <v>105.85714285714286</v>
      </c>
      <c r="K63" s="69"/>
      <c r="L63" s="66"/>
      <c r="N63" s="87"/>
      <c r="O63" s="71"/>
    </row>
    <row r="64" spans="1:15" ht="26.25">
      <c r="A64" s="911" t="s">
        <v>200</v>
      </c>
      <c r="B64" s="912"/>
      <c r="C64" s="913"/>
      <c r="D64" s="151"/>
      <c r="E64" s="95">
        <f>'20'!F64</f>
        <v>0</v>
      </c>
      <c r="F64" s="122"/>
      <c r="G64" s="112">
        <f>G62+G63</f>
        <v>279</v>
      </c>
      <c r="H64" s="99">
        <f>G64+'20'!H64</f>
        <v>4334</v>
      </c>
      <c r="I64" s="118"/>
      <c r="J64" s="175">
        <f>H64/DAY(B2)</f>
        <v>206.38095238095238</v>
      </c>
      <c r="K64" s="69"/>
      <c r="L64" s="66"/>
      <c r="N64" s="87"/>
      <c r="O64" s="71"/>
    </row>
    <row r="65" spans="1:15" ht="25.5">
      <c r="A65" s="902" t="s">
        <v>201</v>
      </c>
      <c r="B65" s="903"/>
      <c r="C65" s="904"/>
      <c r="D65" s="151" t="s">
        <v>142</v>
      </c>
      <c r="E65" s="95">
        <f>'20'!F65</f>
        <v>474514</v>
      </c>
      <c r="F65" s="122">
        <v>474663</v>
      </c>
      <c r="G65" s="112">
        <f t="shared" ref="G65:G70" si="5">F65-E65</f>
        <v>149</v>
      </c>
      <c r="H65" s="99">
        <f>G65+'20'!H65</f>
        <v>2633</v>
      </c>
      <c r="I65" s="118"/>
      <c r="J65" s="175">
        <f>H65/DAY(B2)</f>
        <v>125.38095238095238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'20'!F66</f>
        <v>114045</v>
      </c>
      <c r="F66" s="122">
        <v>114058</v>
      </c>
      <c r="G66" s="112">
        <f t="shared" si="5"/>
        <v>13</v>
      </c>
      <c r="H66" s="99">
        <f>G66+'20'!H66</f>
        <v>1336</v>
      </c>
      <c r="I66" s="118"/>
      <c r="J66" s="175">
        <f>H66/DAY(B2)</f>
        <v>63.61904761904762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'20'!F67</f>
        <v>117027</v>
      </c>
      <c r="F67" s="122">
        <v>117051</v>
      </c>
      <c r="G67" s="112">
        <f t="shared" si="5"/>
        <v>24</v>
      </c>
      <c r="H67" s="99">
        <f>G67+'20'!H67</f>
        <v>484</v>
      </c>
      <c r="I67" s="118"/>
      <c r="J67" s="175">
        <f>H67/DAY(B2)</f>
        <v>23.047619047619047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'20'!F68</f>
        <v>169761</v>
      </c>
      <c r="F68" s="122">
        <v>169771</v>
      </c>
      <c r="G68" s="112">
        <f t="shared" si="5"/>
        <v>10</v>
      </c>
      <c r="H68" s="99">
        <f>G68+'20'!H68</f>
        <v>412</v>
      </c>
      <c r="I68" s="118"/>
      <c r="J68" s="175">
        <f>H68/DAY(B2)</f>
        <v>19.61904761904762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'20'!F69</f>
        <v>13054</v>
      </c>
      <c r="F69" s="122">
        <v>13058</v>
      </c>
      <c r="G69" s="112">
        <f t="shared" si="5"/>
        <v>4</v>
      </c>
      <c r="H69" s="99">
        <f>G69+'20'!H69</f>
        <v>92</v>
      </c>
      <c r="I69" s="118"/>
      <c r="J69" s="175">
        <f>H69/DAY(B2)</f>
        <v>4.3809523809523814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'20'!F70</f>
        <v>11179</v>
      </c>
      <c r="F70" s="122">
        <v>11187</v>
      </c>
      <c r="G70" s="112">
        <f t="shared" si="5"/>
        <v>8</v>
      </c>
      <c r="H70" s="99">
        <f>G70+'20'!H70</f>
        <v>171</v>
      </c>
      <c r="I70" s="118"/>
      <c r="J70" s="175">
        <f>H70/DAY(B2)</f>
        <v>8.1428571428571423</v>
      </c>
      <c r="K70" s="69"/>
      <c r="L70" s="66"/>
      <c r="N70" s="87"/>
      <c r="O70" s="71"/>
    </row>
    <row r="71" spans="1:15" ht="26.25">
      <c r="A71" s="911" t="s">
        <v>208</v>
      </c>
      <c r="B71" s="912"/>
      <c r="C71" s="913"/>
      <c r="D71" s="152"/>
      <c r="E71" s="152"/>
      <c r="F71" s="152"/>
      <c r="G71" s="153">
        <f>SUM(G65:G70)</f>
        <v>208</v>
      </c>
      <c r="H71" s="99">
        <f>G71+'20'!H71</f>
        <v>5128</v>
      </c>
      <c r="I71" s="154"/>
      <c r="J71" s="175">
        <f>H71/DAY(B2)</f>
        <v>244.1904761904762</v>
      </c>
      <c r="K71" s="69"/>
      <c r="L71" s="66"/>
      <c r="N71" s="87"/>
      <c r="O71" s="71"/>
    </row>
    <row r="72" spans="1:15" s="88" customFormat="1" ht="25.5">
      <c r="A72" s="898"/>
      <c r="B72" s="88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08" t="s">
        <v>333</v>
      </c>
      <c r="B73" s="909"/>
      <c r="C73" s="910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02" t="s">
        <v>220</v>
      </c>
      <c r="B74" s="903"/>
      <c r="C74" s="904"/>
      <c r="D74" s="151" t="s">
        <v>139</v>
      </c>
      <c r="E74" s="95">
        <f>'20'!F74</f>
        <v>8786</v>
      </c>
      <c r="F74" s="123">
        <v>9110</v>
      </c>
      <c r="G74" s="112">
        <f t="shared" ref="G74:G78" si="6">F74-E74</f>
        <v>324</v>
      </c>
      <c r="H74" s="99">
        <v>2921</v>
      </c>
      <c r="I74" s="154"/>
      <c r="J74" s="175">
        <f>H74/DAY(B2)</f>
        <v>139.0952380952381</v>
      </c>
      <c r="K74" s="69"/>
      <c r="L74" s="66"/>
      <c r="N74" s="87"/>
      <c r="O74" s="71"/>
    </row>
    <row r="75" spans="1:15" ht="25.5">
      <c r="A75" s="902" t="s">
        <v>221</v>
      </c>
      <c r="B75" s="903"/>
      <c r="C75" s="904"/>
      <c r="D75" s="151" t="s">
        <v>139</v>
      </c>
      <c r="E75" s="95">
        <f>'20'!F75</f>
        <v>73586.8</v>
      </c>
      <c r="F75" s="123">
        <v>73586.8</v>
      </c>
      <c r="G75" s="112">
        <f t="shared" si="6"/>
        <v>0</v>
      </c>
      <c r="H75" s="99">
        <f>G75+'20'!H75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899" t="s">
        <v>222</v>
      </c>
      <c r="B76" s="900"/>
      <c r="C76" s="901"/>
      <c r="D76" s="151" t="s">
        <v>139</v>
      </c>
      <c r="E76" s="95">
        <f>'20'!F76</f>
        <v>209474</v>
      </c>
      <c r="F76" s="123">
        <v>209576</v>
      </c>
      <c r="G76" s="112">
        <f t="shared" si="6"/>
        <v>102</v>
      </c>
      <c r="H76" s="99">
        <f>G76+'20'!H76</f>
        <v>2199</v>
      </c>
      <c r="I76" s="154"/>
      <c r="J76" s="175">
        <f>H76/DAY(B2)</f>
        <v>104.71428571428571</v>
      </c>
      <c r="K76" s="69"/>
      <c r="L76" s="66"/>
      <c r="N76" s="87"/>
      <c r="O76" s="71"/>
    </row>
    <row r="77" spans="1:15" ht="25.5">
      <c r="A77" s="899" t="s">
        <v>223</v>
      </c>
      <c r="B77" s="900"/>
      <c r="C77" s="901"/>
      <c r="D77" s="151" t="s">
        <v>139</v>
      </c>
      <c r="E77" s="95">
        <f>'20'!F77</f>
        <v>59149</v>
      </c>
      <c r="F77" s="123">
        <v>59214</v>
      </c>
      <c r="G77" s="112">
        <f t="shared" si="6"/>
        <v>65</v>
      </c>
      <c r="H77" s="99">
        <f>G77+'20'!H77</f>
        <v>1062</v>
      </c>
      <c r="I77" s="154"/>
      <c r="J77" s="175">
        <f>H77/DAY(B2)</f>
        <v>50.571428571428569</v>
      </c>
      <c r="K77" s="69"/>
      <c r="L77" s="66"/>
      <c r="N77" s="87"/>
      <c r="O77" s="71"/>
    </row>
    <row r="78" spans="1:15" ht="25.5">
      <c r="A78" s="899" t="s">
        <v>224</v>
      </c>
      <c r="B78" s="900"/>
      <c r="C78" s="901"/>
      <c r="D78" s="151" t="s">
        <v>139</v>
      </c>
      <c r="E78" s="95">
        <f>'20'!F78</f>
        <v>9564</v>
      </c>
      <c r="F78" s="123">
        <v>9564</v>
      </c>
      <c r="G78" s="112">
        <f t="shared" si="6"/>
        <v>0</v>
      </c>
      <c r="H78" s="99">
        <f>G78+'20'!H78</f>
        <v>-1</v>
      </c>
      <c r="I78" s="118"/>
      <c r="J78" s="175">
        <f>H78/DAY(B2)</f>
        <v>-4.7619047619047616E-2</v>
      </c>
      <c r="K78" s="69"/>
      <c r="L78" s="66"/>
      <c r="N78" s="87"/>
      <c r="O78" s="71"/>
    </row>
    <row r="79" spans="1:15" s="57" customFormat="1" ht="25.5">
      <c r="A79" s="899" t="s">
        <v>225</v>
      </c>
      <c r="B79" s="900"/>
      <c r="C79" s="901"/>
      <c r="D79" s="151"/>
      <c r="E79" s="95">
        <f>'20'!F79</f>
        <v>0</v>
      </c>
      <c r="F79" s="123"/>
      <c r="G79" s="112">
        <f>G15-SUM(G74:G78)</f>
        <v>729</v>
      </c>
      <c r="H79" s="99">
        <f>G79+'20'!H79</f>
        <v>-976651.35799999989</v>
      </c>
      <c r="I79" s="118"/>
      <c r="J79" s="175"/>
      <c r="K79" s="59"/>
      <c r="L79" s="58"/>
      <c r="N79" s="87"/>
      <c r="O79" s="71"/>
    </row>
    <row r="80" spans="1:15" s="57" customFormat="1" ht="26.25">
      <c r="A80" s="911" t="s">
        <v>329</v>
      </c>
      <c r="B80" s="912"/>
      <c r="C80" s="913"/>
      <c r="D80" s="151"/>
      <c r="E80" s="117"/>
      <c r="F80" s="117"/>
      <c r="G80" s="112">
        <f>SUM(G74:G79)</f>
        <v>1220</v>
      </c>
      <c r="H80" s="99"/>
      <c r="I80" s="118"/>
      <c r="J80" s="175"/>
      <c r="K80" s="59"/>
      <c r="L80" s="58"/>
      <c r="N80" s="87"/>
      <c r="O80" s="71"/>
    </row>
    <row r="81" spans="1:15" ht="25.5">
      <c r="A81" s="915" t="s">
        <v>226</v>
      </c>
      <c r="B81" s="916"/>
      <c r="C81" s="917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'20'!F82</f>
        <v>0</v>
      </c>
      <c r="F82" s="122">
        <v>0</v>
      </c>
      <c r="G82" s="112">
        <f t="shared" ref="G82:G92" si="7">F82-E82</f>
        <v>0</v>
      </c>
      <c r="H82" s="99">
        <f>G82+'20'!H82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'20'!F83</f>
        <v>0</v>
      </c>
      <c r="F83" s="122">
        <v>0</v>
      </c>
      <c r="G83" s="112">
        <f t="shared" si="7"/>
        <v>0</v>
      </c>
      <c r="H83" s="99">
        <f>G83+'20'!H83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'20'!F84</f>
        <v>43540.35</v>
      </c>
      <c r="F84" s="164">
        <v>43540</v>
      </c>
      <c r="G84" s="112">
        <f t="shared" si="7"/>
        <v>-0.34999999999854481</v>
      </c>
      <c r="H84" s="99">
        <f>G84+'20'!H84</f>
        <v>-0.34999999999854481</v>
      </c>
      <c r="I84" s="545"/>
      <c r="J84" s="175">
        <f>H84/DAY(B2)</f>
        <v>-1.6666666666597371E-2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'20'!F85</f>
        <v>6203</v>
      </c>
      <c r="F85" s="164">
        <v>6203</v>
      </c>
      <c r="G85" s="112">
        <f t="shared" si="7"/>
        <v>0</v>
      </c>
      <c r="H85" s="99">
        <f>G85+'20'!H85</f>
        <v>270.55000000000018</v>
      </c>
      <c r="I85" s="545"/>
      <c r="J85" s="175">
        <f>H85/DAY(B2)</f>
        <v>12.883333333333342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'20'!F86</f>
        <v>46834</v>
      </c>
      <c r="F86" s="164">
        <v>46834</v>
      </c>
      <c r="G86" s="112">
        <f t="shared" si="7"/>
        <v>0</v>
      </c>
      <c r="H86" s="99">
        <f>G86+'20'!H86</f>
        <v>0</v>
      </c>
      <c r="I86" s="545"/>
      <c r="J86" s="175">
        <f>H86/DAY(B2)</f>
        <v>0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'20'!F87</f>
        <v>37240</v>
      </c>
      <c r="F87" s="164">
        <v>37264</v>
      </c>
      <c r="G87" s="112">
        <f t="shared" si="7"/>
        <v>24</v>
      </c>
      <c r="H87" s="99">
        <f>G87+'20'!H87</f>
        <v>236</v>
      </c>
      <c r="I87" s="545">
        <f>G84+G85+G86+G87</f>
        <v>23.650000000001455</v>
      </c>
      <c r="J87" s="175">
        <f>H87/DAY(B2)</f>
        <v>11.238095238095237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'20'!F88</f>
        <v>24690</v>
      </c>
      <c r="F88" s="164">
        <v>24696</v>
      </c>
      <c r="G88" s="112">
        <f t="shared" si="7"/>
        <v>6</v>
      </c>
      <c r="H88" s="99">
        <f>G88+'20'!H88</f>
        <v>92.400000000001455</v>
      </c>
      <c r="I88" s="545"/>
      <c r="J88" s="175">
        <f>H88/DAY(B2)</f>
        <v>4.4000000000000696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'20'!F89</f>
        <v>28940</v>
      </c>
      <c r="F89" s="164">
        <v>28949.599999999999</v>
      </c>
      <c r="G89" s="112">
        <f t="shared" si="7"/>
        <v>9.5999999999985448</v>
      </c>
      <c r="H89" s="99">
        <f>G89+'20'!H89</f>
        <v>201.20999999999913</v>
      </c>
      <c r="I89" s="545">
        <f>G88+G89</f>
        <v>15.599999999998545</v>
      </c>
      <c r="J89" s="175">
        <f>H89/DAY(B2)</f>
        <v>9.5814285714285301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'20'!F90</f>
        <v>74366</v>
      </c>
      <c r="F90" s="164">
        <v>74374</v>
      </c>
      <c r="G90" s="112">
        <f t="shared" si="7"/>
        <v>8</v>
      </c>
      <c r="H90" s="99">
        <f>G90+'20'!H90</f>
        <v>170.82000000000698</v>
      </c>
      <c r="I90" s="545">
        <f>G90</f>
        <v>8</v>
      </c>
      <c r="J90" s="175">
        <f>H90/DAY(B2)</f>
        <v>8.1342857142860474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'20'!F91</f>
        <v>5618</v>
      </c>
      <c r="F91" s="122">
        <v>5618</v>
      </c>
      <c r="G91" s="112">
        <f t="shared" si="7"/>
        <v>0</v>
      </c>
      <c r="H91" s="99">
        <f>G91+'20'!H91</f>
        <v>-0.21000000000003638</v>
      </c>
      <c r="I91" s="546"/>
      <c r="J91" s="175">
        <f>H91/DAY(B2)</f>
        <v>-1.0000000000001733E-2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'20'!F92</f>
        <v>7306</v>
      </c>
      <c r="F92" s="122">
        <v>7318</v>
      </c>
      <c r="G92" s="112">
        <f t="shared" si="7"/>
        <v>12</v>
      </c>
      <c r="H92" s="99">
        <f>G92+'20'!H92</f>
        <v>238.3100000000004</v>
      </c>
      <c r="I92" s="547">
        <f>G91+G92</f>
        <v>12</v>
      </c>
      <c r="J92" s="175">
        <f>H92/DAY(B2)</f>
        <v>11.348095238095258</v>
      </c>
      <c r="O92" s="71"/>
    </row>
    <row r="93" spans="1:15" ht="26.25">
      <c r="A93" s="905" t="s">
        <v>239</v>
      </c>
      <c r="B93" s="906"/>
      <c r="C93" s="90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5432</v>
      </c>
      <c r="H94" s="99">
        <f>G94+'20'!H94</f>
        <v>116343.85999999999</v>
      </c>
      <c r="I94" s="118"/>
      <c r="J94" s="175">
        <f>H94/DAY(B2)</f>
        <v>5540.183809523809</v>
      </c>
      <c r="K94" s="69"/>
      <c r="L94" s="66"/>
      <c r="O94" s="71"/>
    </row>
    <row r="95" spans="1:15" ht="25.5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0.26581844873990701</v>
      </c>
      <c r="H95" s="99">
        <f>G95+'20'!H95</f>
        <v>5.5992557500709355</v>
      </c>
      <c r="I95" s="167"/>
      <c r="J95" s="175">
        <f>H95/DAY(B2)</f>
        <v>0.26663122619385404</v>
      </c>
      <c r="K95" s="69"/>
      <c r="L95" s="66"/>
      <c r="O95" s="71"/>
    </row>
    <row r="96" spans="1:15" ht="25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2544.859999999986</v>
      </c>
      <c r="H96" s="99">
        <f>G96+'20'!H96</f>
        <v>75421.179999999993</v>
      </c>
      <c r="I96" s="118"/>
      <c r="J96" s="175">
        <f>H96/DAY(B2)</f>
        <v>3591.4847619047614</v>
      </c>
      <c r="K96" s="69"/>
      <c r="L96" s="66"/>
      <c r="O96" s="71"/>
    </row>
    <row r="97" spans="1:15" ht="25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0.1245343772938579</v>
      </c>
      <c r="H97" s="99">
        <f>G97+'20'!H97</f>
        <v>3.6143551596720798</v>
      </c>
      <c r="I97" s="167"/>
      <c r="J97" s="175">
        <f>H97/DAY(B2)</f>
        <v>0.17211215046057524</v>
      </c>
      <c r="K97" s="69"/>
      <c r="L97" s="66"/>
      <c r="O97" s="71"/>
    </row>
    <row r="98" spans="1:15" ht="25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2740</v>
      </c>
      <c r="H98" s="99">
        <f>G98+'20'!H98</f>
        <v>58516.969999999972</v>
      </c>
      <c r="I98" s="168"/>
      <c r="J98" s="175">
        <f>H98/DAY(B2)</f>
        <v>2786.5223809523795</v>
      </c>
      <c r="K98" s="69"/>
      <c r="L98" s="66"/>
      <c r="O98" s="71"/>
    </row>
    <row r="99" spans="1:15" ht="25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0.13408367996085149</v>
      </c>
      <c r="H99" s="99">
        <f>G99+'20'!H99</f>
        <v>2.8146125524798409</v>
      </c>
      <c r="I99" s="168"/>
      <c r="J99" s="175">
        <f>H99/DAY(B2)</f>
        <v>0.1340291691657067</v>
      </c>
      <c r="O99" s="71"/>
    </row>
    <row r="100" spans="1:15" ht="26.2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2664</v>
      </c>
      <c r="H100" s="99">
        <f>G100+'20'!H100</f>
        <v>50789.410000000025</v>
      </c>
      <c r="I100" s="118"/>
      <c r="J100" s="175">
        <f>H100/DAY(B2)</f>
        <v>2418.5433333333344</v>
      </c>
      <c r="K100" s="70"/>
      <c r="O100" s="71"/>
    </row>
    <row r="101" spans="1:15" ht="25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0.13036457058967457</v>
      </c>
      <c r="H101" s="99">
        <f>G101+'20'!H101</f>
        <v>2.4411186686931172</v>
      </c>
      <c r="I101" s="168"/>
      <c r="J101" s="175">
        <f>H101/DAY(B2)</f>
        <v>0.11624374612824367</v>
      </c>
      <c r="O101" s="71"/>
    </row>
    <row r="102" spans="1:15" ht="25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2103</v>
      </c>
      <c r="H102" s="99">
        <f>G102+'20'!H102</f>
        <v>46663.099999999977</v>
      </c>
      <c r="I102" s="168"/>
      <c r="J102" s="175">
        <f>H102/DAY(B2)</f>
        <v>2222.0523809523797</v>
      </c>
      <c r="O102" s="71"/>
    </row>
    <row r="103" spans="1:15" ht="25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0.10291167115243455</v>
      </c>
      <c r="H103" s="99">
        <f>G103+'20'!H103</f>
        <v>2.2392048108111311</v>
      </c>
      <c r="I103" s="118"/>
      <c r="J103" s="175">
        <f>H103/DAY(B2)</f>
        <v>0.10662880051481577</v>
      </c>
      <c r="O103" s="71"/>
    </row>
    <row r="104" spans="1:15" ht="25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1407</v>
      </c>
      <c r="H104" s="99">
        <f>G104+'20'!H104</f>
        <v>30787.130000000005</v>
      </c>
      <c r="I104" s="118"/>
      <c r="J104" s="175">
        <f>H104/DAY(B2)</f>
        <v>1466.0538095238098</v>
      </c>
      <c r="O104" s="71"/>
    </row>
    <row r="105" spans="1:15" ht="26.25" thickBot="1">
      <c r="A105" s="895" t="s">
        <v>251</v>
      </c>
      <c r="B105" s="896"/>
      <c r="C105" s="897"/>
      <c r="D105" s="231" t="s">
        <v>23</v>
      </c>
      <c r="E105" s="185"/>
      <c r="F105" s="185"/>
      <c r="G105" s="186">
        <f>G104/G7</f>
        <v>6.8852459016393447E-2</v>
      </c>
      <c r="H105" s="99">
        <f>G105+'20'!H105</f>
        <v>1.4805473707918202</v>
      </c>
      <c r="I105" s="187"/>
      <c r="J105" s="188">
        <f>H105/DAY(B2)</f>
        <v>7.0502255751991441E-2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891" t="s">
        <v>324</v>
      </c>
      <c r="B108" s="891"/>
      <c r="C108" s="891"/>
      <c r="D108" s="891"/>
      <c r="E108" s="891"/>
      <c r="F108" s="891"/>
      <c r="G108" s="891"/>
      <c r="H108" s="891"/>
      <c r="I108" s="891"/>
      <c r="J108" s="891"/>
    </row>
    <row r="109" spans="1:15" ht="26.25">
      <c r="A109" s="918"/>
      <c r="B109" s="918"/>
    </row>
    <row r="110" spans="1:15" ht="26.25">
      <c r="A110" s="892" t="s">
        <v>165</v>
      </c>
      <c r="B110" s="893"/>
      <c r="C110" s="893"/>
      <c r="D110" s="893"/>
      <c r="E110" s="893"/>
      <c r="F110" s="893"/>
      <c r="G110" s="893"/>
      <c r="H110" s="893"/>
      <c r="I110" s="893"/>
      <c r="J110" s="894"/>
    </row>
    <row r="111" spans="1:15" ht="25.5">
      <c r="A111" s="885"/>
      <c r="B111" s="886"/>
      <c r="C111" s="887"/>
      <c r="D111" s="165"/>
      <c r="E111" s="165"/>
      <c r="F111" s="165"/>
      <c r="G111" s="165"/>
      <c r="H111" s="156"/>
      <c r="I111" s="165"/>
      <c r="J111" s="327"/>
    </row>
    <row r="112" spans="1:15" ht="25.5">
      <c r="A112" s="881" t="s">
        <v>252</v>
      </c>
      <c r="B112" s="882"/>
      <c r="C112" s="883"/>
      <c r="D112" s="146" t="s">
        <v>183</v>
      </c>
      <c r="E112" s="95">
        <f>'20'!F112</f>
        <v>18723</v>
      </c>
      <c r="F112" s="237">
        <v>18783</v>
      </c>
      <c r="G112" s="112">
        <f t="shared" ref="G112:G123" si="8">F112-E112</f>
        <v>60</v>
      </c>
      <c r="H112" s="99">
        <f>G112+'20'!H112</f>
        <v>1271.7000000000007</v>
      </c>
      <c r="I112" s="165"/>
      <c r="J112" s="328">
        <f>H112/DAY(B2)</f>
        <v>60.557142857142892</v>
      </c>
    </row>
    <row r="113" spans="1:18" ht="29.25" customHeight="1">
      <c r="A113" s="881" t="s">
        <v>253</v>
      </c>
      <c r="B113" s="882"/>
      <c r="C113" s="883"/>
      <c r="D113" s="146" t="s">
        <v>183</v>
      </c>
      <c r="E113" s="95">
        <f>'20'!F113</f>
        <v>39944</v>
      </c>
      <c r="F113" s="467">
        <v>40086</v>
      </c>
      <c r="G113" s="112">
        <f t="shared" si="8"/>
        <v>142</v>
      </c>
      <c r="H113" s="99">
        <f>G113+'20'!H113</f>
        <v>3007</v>
      </c>
      <c r="I113" s="165"/>
      <c r="J113" s="328">
        <f>H113/DAY(B2)</f>
        <v>143.1904761904762</v>
      </c>
    </row>
    <row r="114" spans="1:18" ht="29.25" customHeight="1">
      <c r="A114" s="881" t="s">
        <v>254</v>
      </c>
      <c r="B114" s="882"/>
      <c r="C114" s="883"/>
      <c r="D114" s="146" t="s">
        <v>183</v>
      </c>
      <c r="E114" s="95">
        <f>'20'!F114</f>
        <v>58751</v>
      </c>
      <c r="F114" s="237">
        <v>58978</v>
      </c>
      <c r="G114" s="112">
        <f t="shared" si="8"/>
        <v>227</v>
      </c>
      <c r="H114" s="99">
        <f>G114+'20'!H114</f>
        <v>4710.2200000000012</v>
      </c>
      <c r="I114" s="165"/>
      <c r="J114" s="328">
        <f>H114/DAY(B2)</f>
        <v>224.29619047619053</v>
      </c>
    </row>
    <row r="115" spans="1:18" ht="29.25" customHeight="1">
      <c r="A115" s="881" t="s">
        <v>255</v>
      </c>
      <c r="B115" s="882"/>
      <c r="C115" s="883"/>
      <c r="D115" s="146" t="s">
        <v>183</v>
      </c>
      <c r="E115" s="95">
        <f>'20'!F115</f>
        <v>37922</v>
      </c>
      <c r="F115" s="237">
        <v>38052</v>
      </c>
      <c r="G115" s="112">
        <f t="shared" si="8"/>
        <v>130</v>
      </c>
      <c r="H115" s="99">
        <f>G115+'20'!H115</f>
        <v>3085.0899999999965</v>
      </c>
      <c r="I115" s="165"/>
      <c r="J115" s="328">
        <f>H115/DAY(B2)</f>
        <v>146.90904761904744</v>
      </c>
    </row>
    <row r="116" spans="1:18" ht="29.25" customHeight="1">
      <c r="A116" s="888" t="s">
        <v>96</v>
      </c>
      <c r="B116" s="889"/>
      <c r="C116" s="890"/>
      <c r="D116" s="146" t="s">
        <v>183</v>
      </c>
      <c r="E116" s="95">
        <f>'20'!F116</f>
        <v>143324</v>
      </c>
      <c r="F116" s="237">
        <v>143784</v>
      </c>
      <c r="G116" s="112">
        <f t="shared" si="8"/>
        <v>460</v>
      </c>
      <c r="H116" s="99">
        <f>G116+'20'!H116</f>
        <v>9295.609999999986</v>
      </c>
      <c r="I116" s="165"/>
      <c r="J116" s="328">
        <f>H116/DAY(B2)</f>
        <v>442.64809523809458</v>
      </c>
      <c r="Q116" s="881" t="s">
        <v>311</v>
      </c>
      <c r="R116" s="883"/>
    </row>
    <row r="117" spans="1:18" ht="29.25" customHeight="1">
      <c r="A117" s="888" t="s">
        <v>184</v>
      </c>
      <c r="B117" s="889"/>
      <c r="C117" s="890"/>
      <c r="D117" s="146" t="s">
        <v>183</v>
      </c>
      <c r="E117" s="95">
        <f>'20'!F117</f>
        <v>89158</v>
      </c>
      <c r="F117" s="237">
        <v>89383</v>
      </c>
      <c r="G117" s="112">
        <f t="shared" si="8"/>
        <v>225</v>
      </c>
      <c r="H117" s="99">
        <f>G117+'20'!H117</f>
        <v>6673</v>
      </c>
      <c r="I117" s="165"/>
      <c r="J117" s="328">
        <f>H117/DAY(B2)</f>
        <v>317.76190476190476</v>
      </c>
      <c r="Q117" s="881" t="s">
        <v>312</v>
      </c>
      <c r="R117" s="883"/>
    </row>
    <row r="118" spans="1:18" ht="25.5">
      <c r="A118" s="880" t="s">
        <v>97</v>
      </c>
      <c r="B118" s="880"/>
      <c r="C118" s="880"/>
      <c r="D118" s="151" t="s">
        <v>183</v>
      </c>
      <c r="E118" s="95">
        <f>'20'!F118</f>
        <v>170714</v>
      </c>
      <c r="F118" s="237">
        <v>171310</v>
      </c>
      <c r="G118" s="112">
        <f t="shared" si="8"/>
        <v>596</v>
      </c>
      <c r="H118" s="99">
        <f>G118+'20'!H118</f>
        <v>13172.850000000006</v>
      </c>
      <c r="I118" s="165"/>
      <c r="J118" s="328">
        <f>H118/DAY(B2)</f>
        <v>627.27857142857169</v>
      </c>
      <c r="Q118" s="881" t="s">
        <v>311</v>
      </c>
      <c r="R118" s="883"/>
    </row>
    <row r="119" spans="1:18" ht="25.5">
      <c r="A119" s="880" t="s">
        <v>98</v>
      </c>
      <c r="B119" s="880"/>
      <c r="C119" s="880"/>
      <c r="D119" s="151" t="s">
        <v>183</v>
      </c>
      <c r="E119" s="95">
        <f>'20'!F119</f>
        <v>44690</v>
      </c>
      <c r="F119" s="237">
        <v>44739</v>
      </c>
      <c r="G119" s="112">
        <f t="shared" si="8"/>
        <v>49</v>
      </c>
      <c r="H119" s="99">
        <f>G119+'20'!H119</f>
        <v>799.82499999999709</v>
      </c>
      <c r="I119" s="165"/>
      <c r="J119" s="328">
        <f>H119/DAY(B2)</f>
        <v>38.08690476190462</v>
      </c>
    </row>
    <row r="120" spans="1:18" ht="25.5">
      <c r="A120" s="880" t="s">
        <v>99</v>
      </c>
      <c r="B120" s="880"/>
      <c r="C120" s="880"/>
      <c r="D120" s="151" t="s">
        <v>183</v>
      </c>
      <c r="E120" s="95">
        <f>'20'!F120</f>
        <v>116269</v>
      </c>
      <c r="F120" s="467">
        <v>116677</v>
      </c>
      <c r="G120" s="112">
        <f t="shared" si="8"/>
        <v>408</v>
      </c>
      <c r="H120" s="99">
        <f>G120+'20'!H120</f>
        <v>8239.86</v>
      </c>
      <c r="I120" s="165"/>
      <c r="J120" s="328">
        <f>H120/DAY(B2)</f>
        <v>392.37428571428575</v>
      </c>
    </row>
    <row r="121" spans="1:18" ht="25.5">
      <c r="A121" s="880" t="s">
        <v>100</v>
      </c>
      <c r="B121" s="880"/>
      <c r="C121" s="880"/>
      <c r="D121" s="151" t="s">
        <v>183</v>
      </c>
      <c r="E121" s="95">
        <f>'20'!F121</f>
        <v>129932</v>
      </c>
      <c r="F121" s="237">
        <v>130383</v>
      </c>
      <c r="G121" s="112">
        <f t="shared" si="8"/>
        <v>451</v>
      </c>
      <c r="H121" s="99">
        <f>G121+'20'!H121</f>
        <v>9160.11</v>
      </c>
      <c r="I121" s="165"/>
      <c r="J121" s="328">
        <f>H121/DAY(B2)</f>
        <v>436.1957142857143</v>
      </c>
    </row>
    <row r="122" spans="1:18" ht="25.5">
      <c r="A122" s="880" t="s">
        <v>101</v>
      </c>
      <c r="B122" s="880"/>
      <c r="C122" s="880"/>
      <c r="D122" s="151" t="s">
        <v>183</v>
      </c>
      <c r="E122" s="95">
        <f>'20'!F122</f>
        <v>87484</v>
      </c>
      <c r="F122" s="237">
        <v>87827</v>
      </c>
      <c r="G122" s="112">
        <f t="shared" si="8"/>
        <v>343</v>
      </c>
      <c r="H122" s="99">
        <f>G122+'20'!H122</f>
        <v>6552.6300000000047</v>
      </c>
      <c r="I122" s="165"/>
      <c r="J122" s="328">
        <f>H122/DAY(B2)</f>
        <v>312.0300000000002</v>
      </c>
    </row>
    <row r="123" spans="1:18" ht="25.5">
      <c r="A123" s="880" t="s">
        <v>102</v>
      </c>
      <c r="B123" s="880"/>
      <c r="C123" s="880"/>
      <c r="D123" s="151" t="s">
        <v>183</v>
      </c>
      <c r="E123" s="95">
        <f>'20'!F123</f>
        <v>84160</v>
      </c>
      <c r="F123" s="237">
        <v>84462</v>
      </c>
      <c r="G123" s="112">
        <f t="shared" si="8"/>
        <v>302</v>
      </c>
      <c r="H123" s="99">
        <f>G123+'20'!H123</f>
        <v>6513</v>
      </c>
      <c r="I123" s="165"/>
      <c r="J123" s="328">
        <f>H123/DAY(B2)</f>
        <v>310.14285714285717</v>
      </c>
    </row>
    <row r="124" spans="1:18" ht="29.25" customHeight="1">
      <c r="A124" s="885"/>
      <c r="B124" s="886"/>
      <c r="C124" s="887"/>
      <c r="D124" s="165"/>
      <c r="E124" s="165"/>
      <c r="F124" s="165"/>
      <c r="G124" s="327"/>
      <c r="H124" s="99">
        <f>G124+'20'!H124</f>
        <v>0</v>
      </c>
      <c r="I124" s="165"/>
      <c r="J124" s="327"/>
    </row>
    <row r="125" spans="1:18" ht="25.5">
      <c r="A125" s="787" t="s">
        <v>196</v>
      </c>
      <c r="B125" s="788"/>
      <c r="C125" s="245"/>
      <c r="D125" s="307"/>
      <c r="E125" s="308"/>
      <c r="F125" s="308"/>
      <c r="G125" s="309">
        <f>SUM(G112:G124)</f>
        <v>3393</v>
      </c>
      <c r="H125" s="156"/>
      <c r="I125" s="327">
        <f>G125-(G39+G53)</f>
        <v>653</v>
      </c>
      <c r="J125" s="327"/>
    </row>
    <row r="126" spans="1:18" ht="25.5">
      <c r="A126" s="884" t="s">
        <v>317</v>
      </c>
      <c r="B126" s="884"/>
      <c r="C126" s="884"/>
      <c r="D126" s="884"/>
      <c r="E126" s="884"/>
      <c r="F126" s="884"/>
      <c r="G126" s="884"/>
      <c r="H126" s="884"/>
      <c r="I126" s="884"/>
      <c r="J126" s="884"/>
    </row>
    <row r="127" spans="1:18" ht="25.5">
      <c r="A127" s="870"/>
      <c r="B127" s="870"/>
      <c r="C127" s="245"/>
      <c r="D127" s="307"/>
      <c r="E127" s="308"/>
      <c r="F127" s="308"/>
      <c r="G127" s="309"/>
      <c r="H127" s="99">
        <f>G127+'20'!H127</f>
        <v>0</v>
      </c>
      <c r="I127" s="165"/>
      <c r="J127" s="328">
        <f>H127/DAY(B2)</f>
        <v>0</v>
      </c>
    </row>
    <row r="128" spans="1:18" ht="29.25" customHeight="1">
      <c r="A128" s="881" t="s">
        <v>318</v>
      </c>
      <c r="B128" s="882"/>
      <c r="C128" s="883"/>
      <c r="D128" s="151" t="s">
        <v>183</v>
      </c>
      <c r="E128" s="95">
        <f>'20'!F128</f>
        <v>201926</v>
      </c>
      <c r="F128" s="165">
        <v>202403</v>
      </c>
      <c r="G128" s="112">
        <f t="shared" ref="G128:G134" si="9">F128-E128</f>
        <v>477</v>
      </c>
      <c r="H128" s="99">
        <f>G128+'20'!H128</f>
        <v>10517.369999999995</v>
      </c>
      <c r="I128" s="165"/>
      <c r="J128" s="328">
        <f>H128/DAY(B2)</f>
        <v>500.82714285714263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'20'!F129</f>
        <v>104855</v>
      </c>
      <c r="F129" s="165">
        <v>105028</v>
      </c>
      <c r="G129" s="112">
        <f t="shared" si="9"/>
        <v>173</v>
      </c>
      <c r="H129" s="99">
        <f>G129+'20'!H129</f>
        <v>3751</v>
      </c>
      <c r="I129" s="165"/>
      <c r="J129" s="328">
        <f>H129/DAY(B2)</f>
        <v>178.61904761904762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'20'!F130</f>
        <v>280636</v>
      </c>
      <c r="F130" s="464">
        <v>281248</v>
      </c>
      <c r="G130" s="112">
        <f t="shared" si="9"/>
        <v>612</v>
      </c>
      <c r="H130" s="99">
        <f>G130+'20'!H130</f>
        <v>12433</v>
      </c>
      <c r="I130" s="165"/>
      <c r="J130" s="328">
        <f>H130/DAY(B2)</f>
        <v>592.04761904761904</v>
      </c>
      <c r="N130" s="240"/>
      <c r="O130" s="241"/>
    </row>
    <row r="131" spans="1:15" ht="25.5">
      <c r="A131" s="881" t="s">
        <v>321</v>
      </c>
      <c r="B131" s="882"/>
      <c r="C131" s="883"/>
      <c r="D131" s="151" t="s">
        <v>183</v>
      </c>
      <c r="E131" s="95">
        <f>'20'!F131</f>
        <v>83105</v>
      </c>
      <c r="F131" s="165">
        <v>83273</v>
      </c>
      <c r="G131" s="112">
        <f t="shared" si="9"/>
        <v>168</v>
      </c>
      <c r="H131" s="99">
        <f>G131+'20'!H131</f>
        <v>3722.3699999999953</v>
      </c>
      <c r="I131" s="165"/>
      <c r="J131" s="328">
        <f>H131/DAY(B2)</f>
        <v>177.25571428571408</v>
      </c>
      <c r="N131" s="240"/>
      <c r="O131" s="241"/>
    </row>
    <row r="132" spans="1:15" ht="25.5">
      <c r="A132" s="881" t="s">
        <v>322</v>
      </c>
      <c r="B132" s="882"/>
      <c r="C132" s="883"/>
      <c r="D132" s="151" t="s">
        <v>183</v>
      </c>
      <c r="E132" s="95">
        <v>64225</v>
      </c>
      <c r="F132" s="165">
        <v>64518</v>
      </c>
      <c r="G132" s="112">
        <f t="shared" si="9"/>
        <v>293</v>
      </c>
      <c r="H132" s="99">
        <f>G132+'20'!H132</f>
        <v>293</v>
      </c>
      <c r="I132" s="165"/>
      <c r="J132" s="328">
        <f>H132/DAY(B2)</f>
        <v>13.952380952380953</v>
      </c>
    </row>
    <row r="133" spans="1:15" ht="25.5">
      <c r="A133" s="881" t="s">
        <v>359</v>
      </c>
      <c r="B133" s="882"/>
      <c r="C133" s="883"/>
      <c r="D133" s="151" t="s">
        <v>183</v>
      </c>
      <c r="E133" s="95">
        <f>'20'!F133</f>
        <v>288548</v>
      </c>
      <c r="F133" s="165">
        <v>288548</v>
      </c>
      <c r="G133" s="112">
        <f t="shared" si="9"/>
        <v>0</v>
      </c>
      <c r="H133" s="99">
        <f>G133+'20'!H133</f>
        <v>-644500</v>
      </c>
      <c r="I133" s="165"/>
      <c r="J133" s="328">
        <f>H133/DAY(B2)</f>
        <v>-30690.476190476191</v>
      </c>
    </row>
    <row r="134" spans="1:15" ht="25.5">
      <c r="A134" s="881" t="s">
        <v>340</v>
      </c>
      <c r="B134" s="882"/>
      <c r="C134" s="883"/>
      <c r="D134" s="151" t="s">
        <v>183</v>
      </c>
      <c r="E134" s="95">
        <f>'20'!F134</f>
        <v>91026</v>
      </c>
      <c r="F134" s="165">
        <v>91205</v>
      </c>
      <c r="G134" s="112">
        <f t="shared" si="9"/>
        <v>179</v>
      </c>
      <c r="H134" s="99">
        <f>G134+'20'!H134</f>
        <v>5253</v>
      </c>
      <c r="I134" s="165"/>
      <c r="J134" s="328">
        <f>H134/DAY(B2)</f>
        <v>250.14285714285714</v>
      </c>
    </row>
    <row r="135" spans="1:15" ht="25.5">
      <c r="A135" s="787" t="s">
        <v>196</v>
      </c>
      <c r="B135" s="788"/>
      <c r="C135" s="331"/>
      <c r="D135" s="151"/>
      <c r="E135" s="95"/>
      <c r="F135" s="165"/>
      <c r="G135" s="112">
        <f>SUM(G128:G134)</f>
        <v>1902</v>
      </c>
      <c r="H135" s="99">
        <f>G135+'10'!H135</f>
        <v>-626218.84499999997</v>
      </c>
      <c r="I135" s="327">
        <f>G135-(G35+G49)</f>
        <v>-893</v>
      </c>
      <c r="J135" s="328"/>
    </row>
    <row r="136" spans="1:15" ht="27.75">
      <c r="A136" s="869" t="s">
        <v>325</v>
      </c>
      <c r="B136" s="869"/>
      <c r="C136" s="869"/>
      <c r="D136" s="869"/>
      <c r="E136" s="869"/>
      <c r="F136" s="869"/>
      <c r="G136" s="869"/>
      <c r="H136" s="869"/>
      <c r="I136" s="869"/>
      <c r="J136" s="869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80" t="s">
        <v>185</v>
      </c>
      <c r="B138" s="880"/>
      <c r="C138" s="880"/>
      <c r="D138" s="151" t="s">
        <v>183</v>
      </c>
      <c r="E138" s="95">
        <f>'20'!F138</f>
        <v>911708</v>
      </c>
      <c r="F138" s="147">
        <v>911839</v>
      </c>
      <c r="G138" s="112">
        <f t="shared" ref="G138:G152" si="10">F138-E138</f>
        <v>131</v>
      </c>
      <c r="H138" s="99">
        <f>G138+'20'!H138</f>
        <v>2399</v>
      </c>
      <c r="I138" s="118"/>
      <c r="J138" s="328">
        <f>H138/DAY(B2)</f>
        <v>114.23809523809524</v>
      </c>
    </row>
    <row r="139" spans="1:15" ht="25.5">
      <c r="A139" s="880" t="s">
        <v>186</v>
      </c>
      <c r="B139" s="880"/>
      <c r="C139" s="880"/>
      <c r="D139" s="151" t="s">
        <v>183</v>
      </c>
      <c r="E139" s="95">
        <f>'20'!F139</f>
        <v>935538</v>
      </c>
      <c r="F139" s="148">
        <v>935689</v>
      </c>
      <c r="G139" s="112">
        <f t="shared" si="10"/>
        <v>151</v>
      </c>
      <c r="H139" s="99">
        <f>G139+'20'!H139</f>
        <v>3329</v>
      </c>
      <c r="I139" s="118"/>
      <c r="J139" s="328">
        <f>H139/DAY(B2)</f>
        <v>158.52380952380952</v>
      </c>
    </row>
    <row r="140" spans="1:15" ht="25.5">
      <c r="A140" s="880" t="s">
        <v>187</v>
      </c>
      <c r="B140" s="880"/>
      <c r="C140" s="880"/>
      <c r="D140" s="151" t="s">
        <v>183</v>
      </c>
      <c r="E140" s="95">
        <f>'20'!F140</f>
        <v>4503</v>
      </c>
      <c r="F140" s="149">
        <v>4520</v>
      </c>
      <c r="G140" s="112">
        <f t="shared" si="10"/>
        <v>17</v>
      </c>
      <c r="H140" s="99">
        <f>G140+'20'!H140</f>
        <v>486.48900000000003</v>
      </c>
      <c r="I140" s="118"/>
      <c r="J140" s="328">
        <f>H140/DAY(B2)</f>
        <v>23.166142857142859</v>
      </c>
    </row>
    <row r="141" spans="1:15" ht="25.5">
      <c r="A141" s="863" t="s">
        <v>188</v>
      </c>
      <c r="B141" s="863"/>
      <c r="C141" s="863"/>
      <c r="D141" s="151" t="s">
        <v>183</v>
      </c>
      <c r="E141" s="95">
        <f>'20'!F141</f>
        <v>128773</v>
      </c>
      <c r="F141" s="149">
        <v>129011</v>
      </c>
      <c r="G141" s="112">
        <f t="shared" si="10"/>
        <v>238</v>
      </c>
      <c r="H141" s="99">
        <f>G141+'20'!H141</f>
        <v>4413</v>
      </c>
      <c r="I141" s="118"/>
      <c r="J141" s="328">
        <f>H141/DAY(B2)</f>
        <v>210.14285714285714</v>
      </c>
    </row>
    <row r="142" spans="1:15" ht="25.5">
      <c r="A142" s="863" t="s">
        <v>189</v>
      </c>
      <c r="B142" s="863"/>
      <c r="C142" s="863"/>
      <c r="D142" s="151" t="s">
        <v>183</v>
      </c>
      <c r="E142" s="95">
        <f>'20'!F142</f>
        <v>52325</v>
      </c>
      <c r="F142" s="148">
        <v>52398</v>
      </c>
      <c r="G142" s="112">
        <f t="shared" si="10"/>
        <v>73</v>
      </c>
      <c r="H142" s="99">
        <f>G142+'20'!H142</f>
        <v>1832.4499999999971</v>
      </c>
      <c r="I142" s="140"/>
      <c r="J142" s="328">
        <f>H142/DAY(B2)</f>
        <v>87.259523809523671</v>
      </c>
    </row>
    <row r="143" spans="1:15" ht="25.5">
      <c r="A143" s="880" t="s">
        <v>91</v>
      </c>
      <c r="B143" s="880"/>
      <c r="C143" s="880"/>
      <c r="D143" s="151" t="s">
        <v>183</v>
      </c>
      <c r="E143" s="95">
        <f>'20'!F143</f>
        <v>14003</v>
      </c>
      <c r="F143" s="149">
        <v>14037</v>
      </c>
      <c r="G143" s="112">
        <f t="shared" si="10"/>
        <v>34</v>
      </c>
      <c r="H143" s="99">
        <f>G143+'20'!H143</f>
        <v>650</v>
      </c>
      <c r="I143" s="140"/>
      <c r="J143" s="328">
        <f>H143/DAY(B2)</f>
        <v>30.952380952380953</v>
      </c>
    </row>
    <row r="144" spans="1:15" ht="25.5">
      <c r="A144" s="863" t="s">
        <v>90</v>
      </c>
      <c r="B144" s="863"/>
      <c r="C144" s="863"/>
      <c r="D144" s="151" t="s">
        <v>183</v>
      </c>
      <c r="E144" s="95">
        <f>'20'!F144</f>
        <v>960322</v>
      </c>
      <c r="F144" s="147">
        <v>960585</v>
      </c>
      <c r="G144" s="112">
        <f t="shared" si="10"/>
        <v>263</v>
      </c>
      <c r="H144" s="99">
        <f>G144+'20'!H144</f>
        <v>5115</v>
      </c>
      <c r="I144" s="140"/>
      <c r="J144" s="328">
        <f>H144/DAY(B2)</f>
        <v>243.57142857142858</v>
      </c>
    </row>
    <row r="145" spans="1:10" ht="25.5">
      <c r="A145" s="880" t="s">
        <v>190</v>
      </c>
      <c r="B145" s="880"/>
      <c r="C145" s="880"/>
      <c r="D145" s="152" t="s">
        <v>183</v>
      </c>
      <c r="E145" s="95">
        <f>'20'!F145</f>
        <v>748620</v>
      </c>
      <c r="F145" s="147">
        <v>748798</v>
      </c>
      <c r="G145" s="112">
        <f t="shared" si="10"/>
        <v>178</v>
      </c>
      <c r="H145" s="99">
        <f>G145+'20'!H145</f>
        <v>3617</v>
      </c>
      <c r="I145" s="140"/>
      <c r="J145" s="328">
        <f>H145/DAY(B2)</f>
        <v>172.23809523809524</v>
      </c>
    </row>
    <row r="146" spans="1:10" ht="25.5">
      <c r="A146" s="914" t="s">
        <v>191</v>
      </c>
      <c r="B146" s="900"/>
      <c r="C146" s="901"/>
      <c r="D146" s="152" t="s">
        <v>183</v>
      </c>
      <c r="E146" s="95">
        <f>'20'!F146</f>
        <v>788610</v>
      </c>
      <c r="F146" s="148">
        <v>788650</v>
      </c>
      <c r="G146" s="112">
        <f t="shared" si="10"/>
        <v>40</v>
      </c>
      <c r="H146" s="99">
        <f>G146+'20'!H146</f>
        <v>792</v>
      </c>
      <c r="I146" s="140"/>
      <c r="J146" s="328">
        <f>H146/DAY(B2)</f>
        <v>37.714285714285715</v>
      </c>
    </row>
    <row r="147" spans="1:10" ht="25.5">
      <c r="A147" s="863" t="s">
        <v>192</v>
      </c>
      <c r="B147" s="863"/>
      <c r="C147" s="863"/>
      <c r="D147" s="152" t="s">
        <v>183</v>
      </c>
      <c r="E147" s="95">
        <f>'20'!F147</f>
        <v>767585</v>
      </c>
      <c r="F147" s="148">
        <v>767983</v>
      </c>
      <c r="G147" s="112">
        <f t="shared" si="10"/>
        <v>398</v>
      </c>
      <c r="H147" s="99">
        <f>G147+'20'!H147</f>
        <v>7845</v>
      </c>
      <c r="I147" s="140"/>
      <c r="J147" s="328">
        <f>H147/DAY(B2)</f>
        <v>373.57142857142856</v>
      </c>
    </row>
    <row r="148" spans="1:10" ht="25.5">
      <c r="A148" s="864" t="s">
        <v>193</v>
      </c>
      <c r="B148" s="865"/>
      <c r="C148" s="866"/>
      <c r="D148" s="123" t="s">
        <v>130</v>
      </c>
      <c r="E148" s="95">
        <f>'20'!F148</f>
        <v>802776</v>
      </c>
      <c r="F148" s="150">
        <v>803152</v>
      </c>
      <c r="G148" s="112">
        <f t="shared" si="10"/>
        <v>376</v>
      </c>
      <c r="H148" s="99">
        <f>G148+'20'!H148</f>
        <v>6739.9200000000419</v>
      </c>
      <c r="I148" s="124"/>
      <c r="J148" s="328">
        <f>H148/DAY(B2)</f>
        <v>320.94857142857342</v>
      </c>
    </row>
    <row r="149" spans="1:10" ht="25.5">
      <c r="A149" s="864" t="s">
        <v>336</v>
      </c>
      <c r="B149" s="865"/>
      <c r="C149" s="866"/>
      <c r="D149" s="227" t="s">
        <v>130</v>
      </c>
      <c r="E149" s="95">
        <f>'20'!F149</f>
        <v>210429</v>
      </c>
      <c r="F149" s="146">
        <v>210990</v>
      </c>
      <c r="G149" s="112">
        <f t="shared" si="10"/>
        <v>561</v>
      </c>
      <c r="H149" s="99">
        <f>G149+'20'!H149</f>
        <v>9698.7300000000105</v>
      </c>
      <c r="I149" s="119"/>
      <c r="J149" s="328">
        <f>H149/DAY(B2)</f>
        <v>461.84428571428623</v>
      </c>
    </row>
    <row r="150" spans="1:10" ht="25.5">
      <c r="A150" s="864" t="s">
        <v>337</v>
      </c>
      <c r="B150" s="865"/>
      <c r="C150" s="866"/>
      <c r="D150" s="117" t="s">
        <v>130</v>
      </c>
      <c r="E150" s="95">
        <f>'20'!F150</f>
        <v>89717</v>
      </c>
      <c r="F150" s="233">
        <v>89962</v>
      </c>
      <c r="G150" s="112">
        <f t="shared" si="10"/>
        <v>245</v>
      </c>
      <c r="H150" s="99">
        <f>G150+'20'!H150</f>
        <v>7375</v>
      </c>
      <c r="I150" s="119"/>
      <c r="J150" s="328">
        <f>H150/DAY(B2)</f>
        <v>351.1904761904762</v>
      </c>
    </row>
    <row r="151" spans="1:10" ht="25.5">
      <c r="A151" s="864" t="s">
        <v>338</v>
      </c>
      <c r="B151" s="865"/>
      <c r="C151" s="866"/>
      <c r="D151" s="117" t="s">
        <v>130</v>
      </c>
      <c r="E151" s="95">
        <f>'20'!F151</f>
        <v>172749</v>
      </c>
      <c r="F151" s="152">
        <v>173095</v>
      </c>
      <c r="G151" s="112">
        <f t="shared" si="10"/>
        <v>346</v>
      </c>
      <c r="H151" s="99">
        <f>G151+'20'!H151</f>
        <v>6365</v>
      </c>
      <c r="I151" s="119"/>
      <c r="J151" s="328">
        <f>H151/DAY(B2)</f>
        <v>303.09523809523807</v>
      </c>
    </row>
    <row r="152" spans="1:10" ht="25.5">
      <c r="A152" s="864" t="s">
        <v>339</v>
      </c>
      <c r="B152" s="865"/>
      <c r="C152" s="866"/>
      <c r="D152" s="117" t="s">
        <v>130</v>
      </c>
      <c r="E152" s="95">
        <f>'20'!F152</f>
        <v>45154</v>
      </c>
      <c r="F152" s="233">
        <v>45287</v>
      </c>
      <c r="G152" s="112">
        <f t="shared" si="10"/>
        <v>133</v>
      </c>
      <c r="H152" s="99">
        <f>G152+'20'!H152</f>
        <v>2776</v>
      </c>
      <c r="I152" s="119"/>
      <c r="J152" s="328">
        <f>H152/DAY(B2)</f>
        <v>132.1904761904762</v>
      </c>
    </row>
    <row r="153" spans="1:10" ht="25.5">
      <c r="A153" s="787" t="s">
        <v>196</v>
      </c>
      <c r="B153" s="788"/>
      <c r="C153" s="365"/>
      <c r="D153" s="358"/>
      <c r="E153" s="360"/>
      <c r="F153" s="361"/>
      <c r="G153" s="362">
        <f>SUM(G138:G152)</f>
        <v>3184</v>
      </c>
      <c r="H153" s="363"/>
      <c r="I153" s="119">
        <f>G153-(G38+G52)</f>
        <v>520</v>
      </c>
      <c r="J153" s="366"/>
    </row>
    <row r="154" spans="1:10" ht="27.75">
      <c r="A154" s="869" t="s">
        <v>344</v>
      </c>
      <c r="B154" s="869"/>
      <c r="C154" s="869"/>
      <c r="D154" s="869"/>
      <c r="E154" s="869"/>
      <c r="F154" s="869"/>
      <c r="G154" s="869"/>
      <c r="H154" s="869"/>
      <c r="I154" s="869"/>
      <c r="J154" s="869"/>
    </row>
    <row r="155" spans="1:10" ht="27.75">
      <c r="A155" s="863" t="s">
        <v>345</v>
      </c>
      <c r="B155" s="863"/>
      <c r="C155" s="863"/>
      <c r="D155" s="117" t="s">
        <v>130</v>
      </c>
      <c r="E155" s="95">
        <f>'20'!F155</f>
        <v>250308</v>
      </c>
      <c r="F155" s="374">
        <v>250852</v>
      </c>
      <c r="G155" s="112">
        <f t="shared" ref="G155:G158" si="11">F155-E155</f>
        <v>544</v>
      </c>
      <c r="H155" s="99">
        <f>G155+'20'!H155</f>
        <v>11818</v>
      </c>
      <c r="I155" s="364"/>
      <c r="J155" s="328">
        <f>H155/DAY(B2)</f>
        <v>562.76190476190482</v>
      </c>
    </row>
    <row r="156" spans="1:10" ht="25.5">
      <c r="A156" s="863" t="s">
        <v>347</v>
      </c>
      <c r="B156" s="863"/>
      <c r="C156" s="863"/>
      <c r="D156" s="117" t="s">
        <v>130</v>
      </c>
      <c r="E156" s="95">
        <f>'20'!F156</f>
        <v>31493</v>
      </c>
      <c r="F156" s="155">
        <v>31596</v>
      </c>
      <c r="G156" s="112">
        <f t="shared" si="11"/>
        <v>103</v>
      </c>
      <c r="H156" s="99">
        <f>G156+'20'!H156</f>
        <v>1916.5</v>
      </c>
      <c r="I156" s="165"/>
      <c r="J156" s="328">
        <f>H156/DAY(B2)</f>
        <v>91.261904761904759</v>
      </c>
    </row>
    <row r="157" spans="1:10" ht="25.5">
      <c r="A157" s="864" t="s">
        <v>360</v>
      </c>
      <c r="B157" s="865"/>
      <c r="C157" s="866"/>
      <c r="D157" s="117" t="s">
        <v>130</v>
      </c>
      <c r="E157" s="95">
        <v>175453</v>
      </c>
      <c r="F157" s="155">
        <v>175493</v>
      </c>
      <c r="G157" s="112">
        <f t="shared" si="11"/>
        <v>40</v>
      </c>
      <c r="H157" s="99">
        <f>G157+'20'!H157</f>
        <v>40</v>
      </c>
      <c r="I157" s="165"/>
      <c r="J157" s="328">
        <f>H157/DAY(B2)</f>
        <v>1.9047619047619047</v>
      </c>
    </row>
    <row r="158" spans="1:10" ht="25.5">
      <c r="A158" s="864" t="s">
        <v>361</v>
      </c>
      <c r="B158" s="865"/>
      <c r="C158" s="866"/>
      <c r="D158" s="117" t="s">
        <v>130</v>
      </c>
      <c r="E158" s="95">
        <f>'20'!F158</f>
        <v>1773</v>
      </c>
      <c r="F158" s="155">
        <v>1773</v>
      </c>
      <c r="G158" s="112">
        <f t="shared" si="11"/>
        <v>0</v>
      </c>
      <c r="H158" s="99">
        <f>G158+'20'!H158</f>
        <v>0.29999999999995453</v>
      </c>
      <c r="I158" s="165"/>
      <c r="J158" s="328">
        <f>H158/DAY(B2)</f>
        <v>1.428571428571212E-2</v>
      </c>
    </row>
    <row r="159" spans="1:10" ht="25.5">
      <c r="A159" s="944"/>
      <c r="B159" s="945"/>
      <c r="C159" s="946"/>
      <c r="D159" s="117"/>
      <c r="E159" s="95"/>
      <c r="F159" s="165"/>
      <c r="G159" s="112"/>
      <c r="H159" s="99"/>
      <c r="I159" s="165"/>
      <c r="J159" s="328"/>
    </row>
    <row r="160" spans="1:10" ht="27.75">
      <c r="A160" s="869" t="s">
        <v>326</v>
      </c>
      <c r="B160" s="869"/>
      <c r="C160" s="869"/>
      <c r="D160" s="869"/>
      <c r="E160" s="869"/>
      <c r="F160" s="869"/>
      <c r="G160" s="869"/>
      <c r="H160" s="869"/>
      <c r="I160" s="869"/>
      <c r="J160" s="869"/>
    </row>
    <row r="161" spans="1:10" ht="26.25">
      <c r="A161" s="242" t="s">
        <v>92</v>
      </c>
      <c r="B161" s="243"/>
      <c r="C161" s="243"/>
      <c r="D161" s="244" t="s">
        <v>180</v>
      </c>
      <c r="E161" s="95">
        <f>'20'!F161</f>
        <v>511457</v>
      </c>
      <c r="F161" s="235">
        <v>511561</v>
      </c>
      <c r="G161" s="238">
        <f t="shared" ref="G161:G165" si="12">F161-E161</f>
        <v>104</v>
      </c>
      <c r="H161" s="99">
        <f>G161+'20'!H161</f>
        <v>3177.679999999993</v>
      </c>
      <c r="I161" s="236"/>
      <c r="J161" s="239">
        <f>H161/DAY(B2)</f>
        <v>151.31809523809491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'20'!F162</f>
        <v>1454</v>
      </c>
      <c r="F162" s="235">
        <v>1496</v>
      </c>
      <c r="G162" s="238">
        <f t="shared" si="12"/>
        <v>42</v>
      </c>
      <c r="H162" s="99">
        <f>G162+'20'!H162</f>
        <v>759.4</v>
      </c>
      <c r="I162" s="236"/>
      <c r="J162" s="239">
        <f>H162/DAY(B2)</f>
        <v>36.161904761904758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'20'!F163</f>
        <v>0</v>
      </c>
      <c r="F163" s="501">
        <v>0</v>
      </c>
      <c r="G163" s="238">
        <f t="shared" si="12"/>
        <v>0</v>
      </c>
      <c r="H163" s="99">
        <f>G163+'20'!H163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'20'!F164</f>
        <v>7306</v>
      </c>
      <c r="F164" s="501">
        <v>7310</v>
      </c>
      <c r="G164" s="238">
        <f t="shared" si="12"/>
        <v>4</v>
      </c>
      <c r="H164" s="99">
        <f>G164+'20'!H164</f>
        <v>111</v>
      </c>
      <c r="I164" s="236"/>
      <c r="J164" s="239">
        <f>H164/DAY(B2)</f>
        <v>5.2857142857142856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'20'!F165</f>
        <v>32907</v>
      </c>
      <c r="F165" s="235">
        <v>32915</v>
      </c>
      <c r="G165" s="238">
        <f t="shared" si="12"/>
        <v>8</v>
      </c>
      <c r="H165" s="99">
        <f>G165+'20'!H165</f>
        <v>134.91199999999662</v>
      </c>
      <c r="I165" s="236"/>
      <c r="J165" s="239">
        <f>H165/DAY(B2)</f>
        <v>6.4243809523807913</v>
      </c>
    </row>
    <row r="166" spans="1:10" ht="26.25">
      <c r="A166" s="870"/>
      <c r="B166" s="870"/>
      <c r="C166" s="246"/>
      <c r="D166" s="244" t="s">
        <v>180</v>
      </c>
      <c r="E166" s="95">
        <f>'20'!F166</f>
        <v>0</v>
      </c>
      <c r="F166" s="165"/>
      <c r="G166" s="165"/>
      <c r="H166" s="99">
        <f>G166+'20'!H166</f>
        <v>0</v>
      </c>
      <c r="I166" s="165"/>
      <c r="J166" s="239">
        <f>H166/DAY(B2)</f>
        <v>0</v>
      </c>
    </row>
    <row r="167" spans="1:10" ht="26.25">
      <c r="A167" s="870"/>
      <c r="B167" s="870"/>
      <c r="C167" s="246"/>
      <c r="D167" s="244" t="s">
        <v>180</v>
      </c>
      <c r="E167" s="95">
        <f>'20'!F167</f>
        <v>0</v>
      </c>
      <c r="F167" s="165"/>
      <c r="G167" s="165"/>
      <c r="H167" s="99">
        <f>G167+'20'!H167</f>
        <v>0</v>
      </c>
      <c r="I167" s="165"/>
      <c r="J167" s="239">
        <f>H167/DAY(B2)</f>
        <v>0</v>
      </c>
    </row>
    <row r="168" spans="1:10" ht="26.25">
      <c r="A168" s="870"/>
      <c r="B168" s="870"/>
      <c r="C168" s="246"/>
      <c r="D168" s="244" t="s">
        <v>180</v>
      </c>
      <c r="E168" s="95">
        <f>'20'!F168</f>
        <v>0</v>
      </c>
      <c r="F168" s="165"/>
      <c r="G168" s="165"/>
      <c r="H168" s="99">
        <f>G168+'20'!H168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71" t="s">
        <v>330</v>
      </c>
      <c r="B171" s="872"/>
      <c r="C171" s="872"/>
      <c r="D171" s="872"/>
      <c r="E171" s="872"/>
      <c r="F171" s="872"/>
      <c r="G171" s="872"/>
      <c r="H171" s="872"/>
      <c r="I171" s="872"/>
      <c r="J171" s="873"/>
    </row>
    <row r="172" spans="1:10" ht="25.5">
      <c r="A172" s="878"/>
      <c r="B172" s="879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789" t="s">
        <v>209</v>
      </c>
      <c r="B173" s="790"/>
      <c r="C173" s="333"/>
      <c r="D173" s="228" t="s">
        <v>142</v>
      </c>
      <c r="E173" s="95">
        <f>'20'!F173</f>
        <v>8605</v>
      </c>
      <c r="F173" s="155">
        <v>8606</v>
      </c>
      <c r="G173" s="155">
        <f>F173-E173</f>
        <v>1</v>
      </c>
      <c r="H173" s="99">
        <f>G173+'20'!H173</f>
        <v>24</v>
      </c>
      <c r="I173" s="155"/>
      <c r="J173" s="178">
        <f>H173/DAY(B2)</f>
        <v>1.1428571428571428</v>
      </c>
    </row>
    <row r="174" spans="1:10" ht="25.5">
      <c r="A174" s="789" t="s">
        <v>75</v>
      </c>
      <c r="B174" s="790"/>
      <c r="C174" s="333"/>
      <c r="D174" s="228" t="s">
        <v>142</v>
      </c>
      <c r="E174" s="95">
        <f>'20'!F174</f>
        <v>43285</v>
      </c>
      <c r="F174" s="157">
        <v>43301</v>
      </c>
      <c r="G174" s="155">
        <f t="shared" ref="G174:G175" si="13">F174-E174</f>
        <v>16</v>
      </c>
      <c r="H174" s="99">
        <f>G174+'20'!H174</f>
        <v>251</v>
      </c>
      <c r="I174" s="155"/>
      <c r="J174" s="178">
        <f>H174/DAY(B2)</f>
        <v>11.952380952380953</v>
      </c>
    </row>
    <row r="175" spans="1:10" ht="25.5">
      <c r="A175" s="789" t="s">
        <v>76</v>
      </c>
      <c r="B175" s="802"/>
      <c r="C175" s="790"/>
      <c r="D175" s="228" t="s">
        <v>142</v>
      </c>
      <c r="E175" s="95">
        <f>'20'!F175</f>
        <v>26119</v>
      </c>
      <c r="F175" s="155">
        <v>26142</v>
      </c>
      <c r="G175" s="155">
        <f t="shared" si="13"/>
        <v>23</v>
      </c>
      <c r="H175" s="99">
        <f>G175+'20'!H175</f>
        <v>321</v>
      </c>
      <c r="I175" s="155"/>
      <c r="J175" s="178">
        <f>H175/DAY(B2)</f>
        <v>15.285714285714286</v>
      </c>
    </row>
    <row r="176" spans="1:10" ht="25.5">
      <c r="A176" s="787" t="s">
        <v>196</v>
      </c>
      <c r="B176" s="788"/>
      <c r="C176" s="400"/>
      <c r="D176" s="228" t="s">
        <v>142</v>
      </c>
      <c r="E176" s="95"/>
      <c r="F176" s="155"/>
      <c r="G176" s="155">
        <f>SUM(G173:G175)</f>
        <v>40</v>
      </c>
      <c r="H176" s="99">
        <f>G176+'20'!H176</f>
        <v>596</v>
      </c>
      <c r="I176" s="155"/>
      <c r="J176" s="178">
        <f>H176/DAY(B2)</f>
        <v>28.38095238095238</v>
      </c>
    </row>
    <row r="177" spans="1:10" ht="25.5">
      <c r="A177" s="789" t="s">
        <v>77</v>
      </c>
      <c r="B177" s="790"/>
      <c r="C177" s="333"/>
      <c r="D177" s="228" t="s">
        <v>142</v>
      </c>
      <c r="E177" s="95"/>
      <c r="F177" s="155"/>
      <c r="G177" s="155"/>
      <c r="H177" s="99">
        <f>G177+'20'!H177</f>
        <v>0</v>
      </c>
      <c r="I177" s="155"/>
      <c r="J177" s="178">
        <f>H177/DAY(B2)</f>
        <v>0</v>
      </c>
    </row>
    <row r="178" spans="1:10" ht="25.5">
      <c r="A178" s="789" t="s">
        <v>210</v>
      </c>
      <c r="B178" s="790"/>
      <c r="C178" s="333"/>
      <c r="D178" s="228" t="s">
        <v>142</v>
      </c>
      <c r="E178" s="95">
        <f>'20'!F178</f>
        <v>109207</v>
      </c>
      <c r="F178" s="155">
        <v>109334</v>
      </c>
      <c r="G178" s="155">
        <f>F178-E178</f>
        <v>127</v>
      </c>
      <c r="H178" s="99">
        <f>G178+'20'!H178</f>
        <v>2335</v>
      </c>
      <c r="I178" s="155"/>
      <c r="J178" s="178">
        <f>H178/DAY(B2)</f>
        <v>111.19047619047619</v>
      </c>
    </row>
    <row r="179" spans="1:10" ht="25.5">
      <c r="A179" s="789" t="s">
        <v>211</v>
      </c>
      <c r="B179" s="790"/>
      <c r="C179" s="333"/>
      <c r="D179" s="228" t="s">
        <v>142</v>
      </c>
      <c r="E179" s="95">
        <f>'20'!F179</f>
        <v>37501</v>
      </c>
      <c r="F179" s="155">
        <v>37501</v>
      </c>
      <c r="G179" s="155">
        <f t="shared" ref="G179:G180" si="14">F179-E179</f>
        <v>0</v>
      </c>
      <c r="H179" s="99">
        <f>G179+'20'!H179</f>
        <v>0</v>
      </c>
      <c r="I179" s="155"/>
      <c r="J179" s="178">
        <f>H179/DAY(B2)</f>
        <v>0</v>
      </c>
    </row>
    <row r="180" spans="1:10" ht="25.5">
      <c r="A180" s="789" t="s">
        <v>212</v>
      </c>
      <c r="B180" s="790"/>
      <c r="C180" s="333"/>
      <c r="D180" s="228" t="s">
        <v>142</v>
      </c>
      <c r="E180" s="95">
        <f>'20'!F180</f>
        <v>7651</v>
      </c>
      <c r="F180" s="155">
        <v>7662</v>
      </c>
      <c r="G180" s="155">
        <f t="shared" si="14"/>
        <v>11</v>
      </c>
      <c r="H180" s="99">
        <f>G180+'20'!H180</f>
        <v>99</v>
      </c>
      <c r="I180" s="155"/>
      <c r="J180" s="178">
        <f>H180/DAY(B2)</f>
        <v>4.7142857142857144</v>
      </c>
    </row>
    <row r="181" spans="1:10" ht="25.5">
      <c r="A181" s="876" t="s">
        <v>108</v>
      </c>
      <c r="B181" s="877"/>
      <c r="C181" s="400"/>
      <c r="D181" s="228" t="s">
        <v>142</v>
      </c>
      <c r="E181" s="95"/>
      <c r="F181" s="155"/>
      <c r="G181" s="155">
        <f>SUM(G178:G180)</f>
        <v>138</v>
      </c>
      <c r="H181" s="99">
        <f>G181+'20'!H181</f>
        <v>2434</v>
      </c>
      <c r="I181" s="155"/>
      <c r="J181" s="178">
        <f>H181/DAY(B2)</f>
        <v>115.9047619047619</v>
      </c>
    </row>
    <row r="182" spans="1:10" ht="25.5">
      <c r="A182" s="789" t="s">
        <v>213</v>
      </c>
      <c r="B182" s="790"/>
      <c r="C182" s="333"/>
      <c r="D182" s="228" t="s">
        <v>142</v>
      </c>
      <c r="E182" s="95"/>
      <c r="F182" s="155"/>
      <c r="G182" s="155"/>
      <c r="H182" s="99">
        <f>G182+'20'!H182</f>
        <v>0</v>
      </c>
      <c r="I182" s="155"/>
      <c r="J182" s="178">
        <f>H182/DAY(B2)</f>
        <v>0</v>
      </c>
    </row>
    <row r="183" spans="1:10" ht="25.5">
      <c r="A183" s="789" t="s">
        <v>214</v>
      </c>
      <c r="B183" s="790"/>
      <c r="C183" s="334"/>
      <c r="D183" s="228" t="s">
        <v>142</v>
      </c>
      <c r="E183" s="95">
        <f>'20'!F183</f>
        <v>18496</v>
      </c>
      <c r="F183" s="157">
        <v>18501</v>
      </c>
      <c r="G183" s="157">
        <f>F183-E183</f>
        <v>5</v>
      </c>
      <c r="H183" s="99">
        <f>G183+'20'!H183</f>
        <v>123</v>
      </c>
      <c r="I183" s="155"/>
      <c r="J183" s="178">
        <f>H183/DAY(B2)</f>
        <v>5.8571428571428568</v>
      </c>
    </row>
    <row r="184" spans="1:10" ht="25.5">
      <c r="A184" s="789" t="s">
        <v>215</v>
      </c>
      <c r="B184" s="790"/>
      <c r="C184" s="334"/>
      <c r="D184" s="228" t="s">
        <v>142</v>
      </c>
      <c r="E184" s="95">
        <f>'20'!F184</f>
        <v>13169</v>
      </c>
      <c r="F184" s="157">
        <v>13174</v>
      </c>
      <c r="G184" s="157">
        <f t="shared" ref="G184" si="15">F184-E184</f>
        <v>5</v>
      </c>
      <c r="H184" s="99">
        <f>G184+'20'!H184</f>
        <v>194</v>
      </c>
      <c r="I184" s="155"/>
      <c r="J184" s="178">
        <f>H184/DAY(B2)</f>
        <v>9.2380952380952372</v>
      </c>
    </row>
    <row r="185" spans="1:10" ht="32.25" customHeight="1">
      <c r="A185" s="789" t="s">
        <v>216</v>
      </c>
      <c r="B185" s="790"/>
      <c r="C185" s="334"/>
      <c r="D185" s="228" t="s">
        <v>142</v>
      </c>
      <c r="E185" s="95" t="str">
        <f>'20'!F185</f>
        <v xml:space="preserve">  </v>
      </c>
      <c r="F185" s="157"/>
      <c r="G185" s="157">
        <v>0</v>
      </c>
      <c r="H185" s="99">
        <f>G185+'20'!H185</f>
        <v>0</v>
      </c>
      <c r="I185" s="155"/>
      <c r="J185" s="178">
        <f>H185/DAY(B2)</f>
        <v>0</v>
      </c>
    </row>
    <row r="186" spans="1:10" ht="25.5">
      <c r="A186" s="787" t="s">
        <v>196</v>
      </c>
      <c r="B186" s="788"/>
      <c r="C186" s="399"/>
      <c r="D186" s="228" t="s">
        <v>142</v>
      </c>
      <c r="E186" s="95"/>
      <c r="F186" s="157"/>
      <c r="G186" s="157">
        <f>SUM(G183:G185)</f>
        <v>10</v>
      </c>
      <c r="H186" s="99">
        <f>G186+'20'!H186</f>
        <v>317</v>
      </c>
      <c r="I186" s="157"/>
      <c r="J186" s="178">
        <f>H186/DAY(B2)</f>
        <v>15.095238095238095</v>
      </c>
    </row>
    <row r="187" spans="1:10" ht="25.5">
      <c r="A187" s="867" t="s">
        <v>217</v>
      </c>
      <c r="B187" s="868"/>
      <c r="C187" s="333"/>
      <c r="D187" s="230" t="s">
        <v>142</v>
      </c>
      <c r="E187" s="95"/>
      <c r="F187" s="159"/>
      <c r="G187" s="377">
        <f>G62+G19</f>
        <v>229</v>
      </c>
      <c r="H187" s="99">
        <f>G187+'20'!H187</f>
        <v>3308</v>
      </c>
      <c r="I187" s="158"/>
      <c r="J187" s="179">
        <f>H187/DAY(B2)</f>
        <v>157.52380952380952</v>
      </c>
    </row>
    <row r="188" spans="1:10" ht="25.5">
      <c r="A188" s="867" t="s">
        <v>218</v>
      </c>
      <c r="B188" s="868"/>
      <c r="C188" s="333"/>
      <c r="D188" s="230" t="s">
        <v>142</v>
      </c>
      <c r="E188" s="95"/>
      <c r="F188" s="159" t="s">
        <v>377</v>
      </c>
      <c r="G188" s="377">
        <f>G65+G66+G67+G69+G70</f>
        <v>198</v>
      </c>
      <c r="H188" s="99">
        <f>G188+'20'!H188</f>
        <v>1220</v>
      </c>
      <c r="I188" s="158"/>
      <c r="J188" s="179">
        <f>H188/DAY(B2)</f>
        <v>58.095238095238095</v>
      </c>
    </row>
    <row r="189" spans="1:10" ht="21" customHeight="1">
      <c r="A189" s="867" t="s">
        <v>219</v>
      </c>
      <c r="B189" s="868"/>
      <c r="C189" s="333"/>
      <c r="D189" s="230" t="s">
        <v>142</v>
      </c>
      <c r="E189" s="95"/>
      <c r="F189" s="157"/>
      <c r="G189" s="376">
        <f>G181</f>
        <v>138</v>
      </c>
      <c r="H189" s="99">
        <f>G189+'20'!H189</f>
        <v>313</v>
      </c>
      <c r="I189" s="158"/>
      <c r="J189" s="179">
        <f>H189/DAY(B2)</f>
        <v>14.904761904761905</v>
      </c>
    </row>
    <row r="190" spans="1:10" ht="25.5">
      <c r="A190" s="874"/>
      <c r="B190" s="875"/>
      <c r="C190" s="398"/>
      <c r="D190" s="395"/>
      <c r="E190" s="395" t="s">
        <v>207</v>
      </c>
      <c r="F190" s="395"/>
      <c r="G190" s="395"/>
      <c r="H190" s="396"/>
      <c r="I190" s="395"/>
      <c r="J190" s="397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  <row r="1114" ht="21" customHeight="1"/>
    <row r="1115" ht="21" customHeight="1"/>
    <row r="1116" ht="21" customHeight="1"/>
    <row r="1117" ht="21" customHeight="1"/>
    <row r="1118" ht="21" customHeight="1"/>
    <row r="1119" ht="21" customHeight="1"/>
    <row r="1120" ht="21" customHeight="1"/>
    <row r="1121" ht="21" customHeight="1"/>
    <row r="1122" ht="21" customHeight="1"/>
    <row r="1123" ht="21" customHeight="1"/>
    <row r="1124" ht="21" customHeight="1"/>
    <row r="1125" ht="21" customHeight="1"/>
    <row r="1126" ht="21" customHeight="1"/>
    <row r="1127" ht="21" customHeight="1"/>
    <row r="1128" ht="21" customHeight="1"/>
    <row r="1129" ht="21" customHeight="1"/>
    <row r="1130" ht="21" customHeight="1"/>
    <row r="1131" ht="21" customHeight="1"/>
    <row r="1132" ht="21" customHeight="1"/>
    <row r="1133" ht="21" customHeight="1"/>
    <row r="1134" ht="21" customHeight="1"/>
    <row r="1135" ht="21" customHeight="1"/>
    <row r="1136" ht="21" customHeight="1"/>
    <row r="1137" ht="21" customHeight="1"/>
    <row r="1138" ht="21" customHeight="1"/>
    <row r="1139" ht="21" customHeight="1"/>
    <row r="1140" ht="21" customHeight="1"/>
    <row r="1141" ht="21" customHeight="1"/>
    <row r="1142" ht="21" customHeight="1"/>
    <row r="1143" ht="21" customHeight="1"/>
    <row r="1144" ht="21" customHeight="1"/>
    <row r="1145" ht="21" customHeight="1"/>
    <row r="1146" ht="21" customHeight="1"/>
    <row r="1147" ht="21" customHeight="1"/>
    <row r="1148" ht="21" customHeight="1"/>
    <row r="1149" ht="21" customHeight="1"/>
    <row r="1150" ht="21" customHeight="1"/>
    <row r="1151" ht="21" customHeight="1"/>
    <row r="1152" ht="21" customHeight="1"/>
    <row r="1153" ht="21" customHeight="1"/>
    <row r="1154" ht="21" customHeight="1"/>
    <row r="1155" ht="21" customHeight="1"/>
    <row r="1156" ht="21" customHeight="1"/>
    <row r="1157" ht="21" customHeight="1"/>
    <row r="1158" ht="21" customHeight="1"/>
    <row r="1159" ht="21" customHeight="1"/>
    <row r="1160" ht="21" customHeight="1"/>
    <row r="1161" ht="21" customHeight="1"/>
    <row r="1162" ht="21" customHeight="1"/>
    <row r="1163" ht="21" customHeight="1"/>
    <row r="1164" ht="21" customHeight="1"/>
    <row r="1165" ht="21" customHeight="1"/>
    <row r="1166" ht="21" customHeight="1"/>
    <row r="1167" ht="21" customHeight="1"/>
    <row r="1168" ht="21" customHeight="1"/>
    <row r="1169" ht="21" customHeight="1"/>
    <row r="1170" ht="21" customHeight="1"/>
    <row r="1171" ht="21" customHeight="1"/>
    <row r="1172" ht="21" customHeight="1"/>
    <row r="1173" ht="21" customHeight="1"/>
    <row r="1174" ht="21" customHeight="1"/>
    <row r="1175" ht="21" customHeight="1"/>
    <row r="1176" ht="21" customHeight="1"/>
    <row r="1177" ht="21" customHeight="1"/>
    <row r="1178" ht="21" customHeight="1"/>
    <row r="1179" ht="21" customHeight="1"/>
    <row r="1180" ht="21" customHeight="1"/>
    <row r="1181" ht="21" customHeight="1"/>
    <row r="1182" ht="21" customHeight="1"/>
    <row r="1183" ht="21" customHeight="1"/>
    <row r="1184" ht="21" customHeight="1"/>
    <row r="1185" ht="21" customHeight="1"/>
    <row r="1186" ht="21" customHeight="1"/>
    <row r="1187" ht="21" customHeight="1"/>
    <row r="1188" ht="21" customHeight="1"/>
    <row r="1189" ht="21" customHeight="1"/>
    <row r="1190" ht="21" customHeight="1"/>
    <row r="1191" ht="21" customHeight="1"/>
    <row r="1192" ht="21" customHeight="1"/>
    <row r="1193" ht="21" customHeight="1"/>
    <row r="1194" ht="21" customHeight="1"/>
    <row r="1195" ht="21" customHeight="1"/>
    <row r="1196" ht="21" customHeight="1"/>
    <row r="1197" ht="21" customHeight="1"/>
    <row r="1198" ht="21" customHeight="1"/>
    <row r="1199" ht="21" customHeight="1"/>
    <row r="1200" ht="21" customHeight="1"/>
    <row r="1201" ht="21" customHeight="1"/>
    <row r="1202" ht="21" customHeight="1"/>
    <row r="1203" ht="21" customHeight="1"/>
    <row r="1204" ht="21" customHeight="1"/>
    <row r="1205" ht="21" customHeight="1"/>
    <row r="1206" ht="21" customHeight="1"/>
    <row r="1207" ht="21" customHeight="1"/>
    <row r="1208" ht="21" customHeight="1"/>
    <row r="1209" ht="21" customHeight="1"/>
    <row r="1210" ht="21" customHeight="1"/>
    <row r="1211" ht="21" customHeight="1"/>
    <row r="1212" ht="21" customHeight="1"/>
    <row r="1213" ht="21" customHeight="1"/>
    <row r="1214" ht="21" customHeight="1"/>
    <row r="1215" ht="21" customHeight="1"/>
    <row r="1216" ht="21" customHeight="1"/>
    <row r="1217" ht="21" customHeight="1"/>
    <row r="1218" ht="21" customHeight="1"/>
    <row r="1219" ht="21" customHeight="1"/>
    <row r="1220" ht="21" customHeight="1"/>
    <row r="1221" ht="21" customHeight="1"/>
    <row r="1222" ht="21" customHeight="1"/>
    <row r="1223" ht="21" customHeight="1"/>
    <row r="1224" ht="21" customHeight="1"/>
    <row r="1225" ht="21" customHeight="1"/>
    <row r="1226" ht="21" customHeight="1"/>
    <row r="1227" ht="21" customHeight="1"/>
    <row r="1228" ht="21" customHeight="1"/>
    <row r="1229" ht="21" customHeight="1"/>
    <row r="1230" ht="21" customHeight="1"/>
    <row r="1231" ht="21" customHeight="1"/>
    <row r="1232" ht="21" customHeight="1"/>
    <row r="1233" ht="21" customHeight="1"/>
    <row r="1234" ht="21" customHeight="1"/>
    <row r="1235" ht="21" customHeight="1"/>
    <row r="1236" ht="21" customHeight="1"/>
    <row r="1237" ht="21" customHeight="1"/>
    <row r="1238" ht="21" customHeight="1"/>
    <row r="1239" ht="21" customHeight="1"/>
    <row r="1240" ht="21" customHeight="1"/>
    <row r="1241" ht="21" customHeight="1"/>
    <row r="1242" ht="21" customHeight="1"/>
    <row r="1243" ht="21" customHeight="1"/>
    <row r="1244" ht="21" customHeight="1"/>
    <row r="1245" ht="21" customHeight="1"/>
    <row r="1246" ht="21" customHeight="1"/>
    <row r="1247" ht="21" customHeight="1"/>
    <row r="1248" ht="21" customHeight="1"/>
    <row r="1249" ht="21" customHeight="1"/>
    <row r="1250" ht="21" customHeight="1"/>
    <row r="1251" ht="21" customHeight="1"/>
    <row r="1252" ht="21" customHeight="1"/>
    <row r="1253" ht="21" customHeight="1"/>
    <row r="1254" ht="21" customHeight="1"/>
    <row r="1255" ht="21" customHeight="1"/>
    <row r="1256" ht="21" customHeight="1"/>
    <row r="1257" ht="21" customHeight="1"/>
    <row r="1258" ht="21" customHeight="1"/>
    <row r="1259" ht="21" customHeight="1"/>
    <row r="1260" ht="21" customHeight="1"/>
    <row r="1261" ht="21" customHeight="1"/>
    <row r="1262" ht="21" customHeight="1"/>
    <row r="1263" ht="21" customHeight="1"/>
    <row r="1264" ht="21" customHeight="1"/>
    <row r="1265" ht="21" customHeight="1"/>
    <row r="1266" ht="21" customHeight="1"/>
    <row r="1267" ht="21" customHeight="1"/>
    <row r="1268" ht="21" customHeight="1"/>
    <row r="1269" ht="21" customHeight="1"/>
    <row r="1270" ht="21" customHeight="1"/>
    <row r="1271" ht="21" customHeight="1"/>
    <row r="1272" ht="21" customHeight="1"/>
    <row r="1273" ht="21" customHeight="1"/>
    <row r="1274" ht="21" customHeight="1"/>
    <row r="1275" ht="21" customHeight="1"/>
    <row r="1276" ht="21" customHeight="1"/>
    <row r="1277" ht="21" customHeight="1"/>
    <row r="1278" ht="21" customHeight="1"/>
    <row r="1279" ht="21" customHeight="1"/>
    <row r="1280" ht="21" customHeight="1"/>
    <row r="1281" ht="21" customHeight="1"/>
    <row r="1282" ht="21" customHeight="1"/>
    <row r="1283" ht="21" customHeight="1"/>
    <row r="1284" ht="21" customHeight="1"/>
    <row r="1285" ht="21" customHeight="1"/>
    <row r="1286" ht="21" customHeight="1"/>
    <row r="1287" ht="21" customHeight="1"/>
    <row r="1288" ht="21" customHeight="1"/>
    <row r="1289" ht="21" customHeight="1"/>
    <row r="1290" ht="21" customHeight="1"/>
    <row r="1291" ht="21" customHeight="1"/>
    <row r="1292" ht="21" customHeight="1"/>
    <row r="1293" ht="21" customHeight="1"/>
    <row r="1294" ht="21" customHeight="1"/>
    <row r="1295" ht="21" customHeight="1"/>
    <row r="1296" ht="21" customHeight="1"/>
    <row r="1297" ht="21" customHeight="1"/>
    <row r="1298" ht="21" customHeight="1"/>
    <row r="1299" ht="21" customHeight="1"/>
    <row r="1300" ht="21" customHeight="1"/>
    <row r="1301" ht="21" customHeight="1"/>
    <row r="1302" ht="21" customHeight="1"/>
    <row r="1303" ht="21" customHeight="1"/>
    <row r="1304" ht="21" customHeight="1"/>
    <row r="1305" ht="21" customHeight="1"/>
    <row r="1306" ht="21" customHeight="1"/>
    <row r="1307" ht="21" customHeight="1"/>
    <row r="1308" ht="21" customHeight="1"/>
    <row r="1309" ht="21" customHeight="1"/>
    <row r="1310" ht="21" customHeight="1"/>
    <row r="1311" ht="21" customHeight="1"/>
    <row r="1312" ht="21" customHeight="1"/>
    <row r="1313" ht="21" customHeight="1"/>
    <row r="1314" ht="21" customHeight="1"/>
    <row r="1315" ht="21" customHeight="1"/>
    <row r="1316" ht="21" customHeight="1"/>
    <row r="1317" ht="21" customHeight="1"/>
    <row r="1318" ht="21" customHeight="1"/>
    <row r="1319" ht="21" customHeight="1"/>
    <row r="1320" ht="21" customHeight="1"/>
    <row r="1321" ht="21" customHeight="1"/>
    <row r="1322" ht="21" customHeight="1"/>
    <row r="1323" ht="21" customHeight="1"/>
    <row r="1324" ht="21" customHeight="1"/>
    <row r="1325" ht="21" customHeight="1"/>
    <row r="1326" ht="21" customHeight="1"/>
    <row r="1327" ht="21" customHeight="1"/>
    <row r="1328" ht="21" customHeight="1"/>
    <row r="1329" ht="21" customHeight="1"/>
    <row r="1330" ht="21" customHeight="1"/>
    <row r="1331" ht="21" customHeight="1"/>
    <row r="1332" ht="21" customHeight="1"/>
    <row r="1333" ht="21" customHeight="1"/>
    <row r="1334" ht="21" customHeight="1"/>
    <row r="1335" ht="21" customHeight="1"/>
    <row r="1336" ht="21" customHeight="1"/>
    <row r="1337" ht="21" customHeight="1"/>
    <row r="1338" ht="21" customHeight="1"/>
    <row r="1339" ht="21" customHeight="1"/>
    <row r="1340" ht="21" customHeight="1"/>
    <row r="1341" ht="21" customHeight="1"/>
    <row r="1342" ht="21" customHeight="1"/>
    <row r="1343" ht="21" customHeight="1"/>
    <row r="1344" ht="21" customHeight="1"/>
    <row r="1345" ht="21" customHeight="1"/>
    <row r="1346" ht="21" customHeight="1"/>
    <row r="1347" ht="21" customHeight="1"/>
    <row r="1348" ht="21" customHeight="1"/>
    <row r="1349" ht="21" customHeight="1"/>
    <row r="1350" ht="21" customHeight="1"/>
    <row r="1351" ht="21" customHeight="1"/>
    <row r="1352" ht="21" customHeight="1"/>
    <row r="1353" ht="21" customHeight="1"/>
    <row r="1354" ht="21" customHeight="1"/>
    <row r="1355" ht="21" customHeight="1"/>
    <row r="1356" ht="21" customHeight="1"/>
    <row r="1357" ht="21" customHeight="1"/>
    <row r="1358" ht="21" customHeight="1"/>
    <row r="1359" ht="21" customHeight="1"/>
    <row r="1360" ht="21" customHeight="1"/>
    <row r="1361" ht="21" customHeight="1"/>
    <row r="1362" ht="21" customHeight="1"/>
    <row r="1363" ht="21" customHeight="1"/>
    <row r="1364" ht="21" customHeight="1"/>
    <row r="1365" ht="21" customHeight="1"/>
    <row r="1366" ht="21" customHeight="1"/>
    <row r="1367" ht="21" customHeight="1"/>
    <row r="1368" ht="21" customHeight="1"/>
    <row r="1369" ht="21" customHeight="1"/>
    <row r="1370" ht="21" customHeight="1"/>
    <row r="1371" ht="21" customHeight="1"/>
    <row r="1372" ht="21" customHeight="1"/>
    <row r="1373" ht="21" customHeight="1"/>
    <row r="1374" ht="21" customHeight="1"/>
    <row r="1375" ht="21" customHeight="1"/>
    <row r="1376" ht="21" customHeight="1"/>
    <row r="1377" ht="21" customHeight="1"/>
    <row r="1378" ht="21" customHeight="1"/>
    <row r="1379" ht="21" customHeight="1"/>
    <row r="1380" ht="21" customHeight="1"/>
    <row r="1381" ht="21" customHeight="1"/>
    <row r="1382" ht="21" customHeight="1"/>
    <row r="1383" ht="21" customHeight="1"/>
    <row r="1384" ht="21" customHeight="1"/>
    <row r="1385" ht="21" customHeight="1"/>
    <row r="1386" ht="21" customHeight="1"/>
    <row r="1387" ht="21" customHeight="1"/>
    <row r="1388" ht="21" customHeight="1"/>
    <row r="1389" ht="21" customHeight="1"/>
    <row r="1390" ht="21" customHeight="1"/>
    <row r="1391" ht="21" customHeight="1"/>
    <row r="1392" ht="21" customHeight="1"/>
    <row r="1393" ht="21" customHeight="1"/>
    <row r="1394" ht="21" customHeight="1"/>
    <row r="1395" ht="21" customHeight="1"/>
    <row r="1396" ht="21" customHeight="1"/>
    <row r="1397" ht="21" customHeight="1"/>
    <row r="1398" ht="21" customHeight="1"/>
    <row r="1399" ht="21" customHeight="1"/>
    <row r="1400" ht="21" customHeight="1"/>
    <row r="1401" ht="21" customHeight="1"/>
    <row r="1402" ht="21" customHeight="1"/>
    <row r="1403" ht="21" customHeight="1"/>
    <row r="1404" ht="21" customHeight="1"/>
    <row r="1405" ht="21" customHeight="1"/>
    <row r="1406" ht="21" customHeight="1"/>
    <row r="1407" ht="21" customHeight="1"/>
    <row r="1408" ht="21" customHeight="1"/>
    <row r="1409" ht="21" customHeight="1"/>
    <row r="1410" ht="21" customHeight="1"/>
    <row r="1411" ht="21" customHeight="1"/>
    <row r="1412" ht="21" customHeight="1"/>
    <row r="1413" ht="21" customHeight="1"/>
    <row r="1414" ht="21" customHeight="1"/>
    <row r="1415" ht="21" customHeight="1"/>
    <row r="1416" ht="21" customHeight="1"/>
    <row r="1417" ht="21" customHeight="1"/>
    <row r="1418" ht="21" customHeight="1"/>
    <row r="1419" ht="21" customHeight="1"/>
    <row r="1420" ht="21" customHeight="1"/>
    <row r="1421" ht="21" customHeight="1"/>
    <row r="1422" ht="21" customHeight="1"/>
    <row r="1423" ht="21" customHeight="1"/>
    <row r="1424" ht="21" customHeight="1"/>
    <row r="1425" ht="21" customHeight="1"/>
    <row r="1426" ht="21" customHeight="1"/>
    <row r="1427" ht="21" customHeight="1"/>
    <row r="1428" ht="21" customHeight="1"/>
    <row r="1429" ht="21" customHeight="1"/>
    <row r="1430" ht="21" customHeight="1"/>
    <row r="1431" ht="21" customHeight="1"/>
    <row r="1432" ht="21" customHeight="1"/>
    <row r="1433" ht="21" customHeight="1"/>
    <row r="1434" ht="21" customHeight="1"/>
    <row r="1435" ht="21" customHeight="1"/>
    <row r="1436" ht="21" customHeight="1"/>
    <row r="1437" ht="21" customHeight="1"/>
    <row r="1438" ht="21" customHeight="1"/>
    <row r="1439" ht="21" customHeight="1"/>
    <row r="1440" ht="21" customHeight="1"/>
    <row r="1441" ht="21" customHeight="1"/>
    <row r="1442" ht="21" customHeight="1"/>
    <row r="1443" ht="21" customHeight="1"/>
    <row r="1444" ht="21" customHeight="1"/>
    <row r="1445" ht="21" customHeight="1"/>
    <row r="1446" ht="21" customHeight="1"/>
    <row r="1447" ht="21" customHeight="1"/>
    <row r="1448" ht="21" customHeight="1"/>
    <row r="1449" ht="21" customHeight="1"/>
    <row r="1450" ht="21" customHeight="1"/>
    <row r="1451" ht="21" customHeight="1"/>
    <row r="1452" ht="21" customHeight="1"/>
    <row r="1453" ht="21" customHeight="1"/>
    <row r="1454" ht="21" customHeight="1"/>
    <row r="1455" ht="21" customHeight="1"/>
    <row r="1456" ht="21" customHeight="1"/>
    <row r="1457" ht="21" customHeight="1"/>
    <row r="1458" ht="21" customHeight="1"/>
    <row r="1459" ht="21" customHeight="1"/>
    <row r="1460" ht="21" customHeight="1"/>
    <row r="1461" ht="21" customHeight="1"/>
    <row r="1462" ht="21" customHeight="1"/>
    <row r="1463" ht="21" customHeight="1"/>
    <row r="1464" ht="21" customHeight="1"/>
    <row r="1465" ht="21" customHeight="1"/>
    <row r="1466" ht="21" customHeight="1"/>
    <row r="1467" ht="21" customHeight="1"/>
    <row r="1468" ht="21" customHeight="1"/>
    <row r="1469" ht="21" customHeight="1"/>
    <row r="1470" ht="21" customHeight="1"/>
    <row r="1471" ht="21" customHeight="1"/>
    <row r="1472" ht="21" customHeight="1"/>
    <row r="1473" ht="21" customHeight="1"/>
    <row r="1474" ht="21" customHeight="1"/>
    <row r="1475" ht="21" customHeight="1"/>
    <row r="1476" ht="21" customHeight="1"/>
    <row r="1477" ht="21" customHeight="1"/>
    <row r="1478" ht="21" customHeight="1"/>
    <row r="1479" ht="21" customHeight="1"/>
    <row r="1480" ht="21" customHeight="1"/>
    <row r="1481" ht="21" customHeight="1"/>
    <row r="1482" ht="21" customHeight="1"/>
    <row r="1483" ht="21" customHeight="1"/>
    <row r="1484" ht="21" customHeight="1"/>
    <row r="1485" ht="21" customHeight="1"/>
    <row r="1486" ht="21" customHeight="1"/>
    <row r="1487" ht="21" customHeight="1"/>
    <row r="1488" ht="21" customHeight="1"/>
    <row r="1489" ht="21" customHeight="1"/>
    <row r="1490" ht="21" customHeight="1"/>
    <row r="1491" ht="21" customHeight="1"/>
    <row r="1492" ht="21" customHeight="1"/>
    <row r="1493" ht="21" customHeight="1"/>
    <row r="1494" ht="21" customHeight="1"/>
    <row r="1495" ht="21" customHeight="1"/>
    <row r="1496" ht="21" customHeight="1"/>
    <row r="1497" ht="21" customHeight="1"/>
    <row r="1498" ht="21" customHeight="1"/>
    <row r="1499" ht="21" customHeight="1"/>
    <row r="1500" ht="21" customHeight="1"/>
    <row r="1501" ht="21" customHeight="1"/>
    <row r="1502" ht="21" customHeight="1"/>
    <row r="1503" ht="21" customHeight="1"/>
    <row r="1504" ht="21" customHeight="1"/>
    <row r="1505" ht="21" customHeight="1"/>
    <row r="1506" ht="21" customHeight="1"/>
    <row r="1507" ht="21" customHeight="1"/>
    <row r="1508" ht="21" customHeight="1"/>
    <row r="1509" ht="21" customHeight="1"/>
    <row r="1510" ht="21" customHeight="1"/>
    <row r="1511" ht="21" customHeight="1"/>
    <row r="1512" ht="21" customHeight="1"/>
    <row r="1513" ht="21" customHeight="1"/>
    <row r="1514" ht="21" customHeight="1"/>
    <row r="1515" ht="21" customHeight="1"/>
    <row r="1516" ht="21" customHeight="1"/>
    <row r="1517" ht="21" customHeight="1"/>
    <row r="1518" ht="21" customHeight="1"/>
    <row r="1519" ht="21" customHeight="1"/>
    <row r="1520" ht="21" customHeight="1"/>
    <row r="1521" ht="21" customHeight="1"/>
    <row r="1522" ht="21" customHeight="1"/>
    <row r="1523" ht="21" customHeight="1"/>
    <row r="1524" ht="21" customHeight="1"/>
    <row r="1525" ht="21" customHeight="1"/>
    <row r="1526" ht="21" customHeight="1"/>
    <row r="1527" ht="21" customHeight="1"/>
    <row r="1528" ht="21" customHeight="1"/>
    <row r="1529" ht="21" customHeight="1"/>
    <row r="1530" ht="21" customHeight="1"/>
    <row r="1531" ht="21" customHeight="1"/>
    <row r="1532" ht="21" customHeight="1"/>
    <row r="1533" ht="21" customHeight="1"/>
    <row r="1534" ht="21" customHeight="1"/>
    <row r="1535" ht="21" customHeight="1"/>
    <row r="1536" ht="21" customHeight="1"/>
    <row r="1537" ht="21" customHeight="1"/>
    <row r="1538" ht="21" customHeight="1"/>
    <row r="1539" ht="21" customHeight="1"/>
    <row r="1540" ht="21" customHeight="1"/>
    <row r="1541" ht="21" customHeight="1"/>
    <row r="1542" ht="21" customHeight="1"/>
    <row r="1543" ht="21" customHeight="1"/>
    <row r="1544" ht="21" customHeight="1"/>
    <row r="1545" ht="21" customHeight="1"/>
    <row r="1546" ht="21" customHeight="1"/>
    <row r="1547" ht="21" customHeight="1"/>
    <row r="1548" ht="21" customHeight="1"/>
    <row r="1549" ht="21" customHeight="1"/>
    <row r="1550" ht="21" customHeight="1"/>
    <row r="1551" ht="21" customHeight="1"/>
    <row r="1552" ht="21" customHeight="1"/>
    <row r="1553" ht="21" customHeight="1"/>
    <row r="1554" ht="21" customHeight="1"/>
    <row r="1555" ht="21" customHeight="1"/>
    <row r="1556" ht="21" customHeight="1"/>
    <row r="1557" ht="21" customHeight="1"/>
    <row r="1558" ht="21" customHeight="1"/>
    <row r="1559" ht="21" customHeight="1"/>
    <row r="1560" ht="21" customHeight="1"/>
    <row r="1561" ht="21" customHeight="1"/>
    <row r="1562" ht="21" customHeight="1"/>
    <row r="1563" ht="21" customHeight="1"/>
    <row r="1564" ht="21" customHeight="1"/>
    <row r="1565" ht="21" customHeight="1"/>
    <row r="1566" ht="21" customHeight="1"/>
    <row r="1567" ht="21" customHeight="1"/>
    <row r="1568" ht="21" customHeight="1"/>
    <row r="1569" ht="21" customHeight="1"/>
    <row r="1570" ht="21" customHeight="1"/>
    <row r="1571" ht="21" customHeight="1"/>
    <row r="1572" ht="21" customHeight="1"/>
    <row r="1573" ht="21" customHeight="1"/>
    <row r="1574" ht="21" customHeight="1"/>
    <row r="1575" ht="21" customHeight="1"/>
    <row r="1576" ht="21" customHeight="1"/>
    <row r="1577" ht="21" customHeight="1"/>
    <row r="1578" ht="21" customHeight="1"/>
    <row r="1579" ht="21" customHeight="1"/>
    <row r="1580" ht="21" customHeight="1"/>
    <row r="1581" ht="21" customHeight="1"/>
    <row r="1582" ht="21" customHeight="1"/>
    <row r="1583" ht="21" customHeight="1"/>
    <row r="1584" ht="21" customHeight="1"/>
    <row r="1585" ht="21" customHeight="1"/>
    <row r="1586" ht="21" customHeight="1"/>
    <row r="1587" ht="21" customHeight="1"/>
    <row r="1588" ht="21" customHeight="1"/>
    <row r="1589" ht="21" customHeight="1"/>
    <row r="1590" ht="21" customHeight="1"/>
    <row r="1591" ht="21" customHeight="1"/>
    <row r="1592" ht="21" customHeight="1"/>
    <row r="1593" ht="21" customHeight="1"/>
    <row r="1594" ht="21" customHeight="1"/>
    <row r="1595" ht="21" customHeight="1"/>
    <row r="1596" ht="21" customHeight="1"/>
    <row r="1597" ht="21" customHeight="1"/>
    <row r="1598" ht="21" customHeight="1"/>
    <row r="1599" ht="21" customHeight="1"/>
    <row r="1600" ht="21" customHeight="1"/>
    <row r="1601" ht="21" customHeight="1"/>
    <row r="1602" ht="21" customHeight="1"/>
    <row r="1603" ht="21" customHeight="1"/>
    <row r="1604" ht="21" customHeight="1"/>
    <row r="1605" ht="21" customHeight="1"/>
    <row r="1606" ht="21" customHeight="1"/>
    <row r="1607" ht="21" customHeight="1"/>
    <row r="1608" ht="21" customHeight="1"/>
    <row r="1609" ht="21" customHeight="1"/>
    <row r="1610" ht="21" customHeight="1"/>
    <row r="1611" ht="21" customHeight="1"/>
    <row r="1612" ht="21" customHeight="1"/>
    <row r="1613" ht="21" customHeight="1"/>
    <row r="1614" ht="21" customHeight="1"/>
    <row r="1615" ht="21" customHeight="1"/>
    <row r="1616" ht="21" customHeight="1"/>
    <row r="1617" ht="21" customHeight="1"/>
    <row r="1618" ht="21" customHeight="1"/>
    <row r="1619" ht="21" customHeight="1"/>
    <row r="1620" ht="21" customHeight="1"/>
    <row r="1621" ht="21" customHeight="1"/>
    <row r="1622" ht="21" customHeight="1"/>
    <row r="1623" ht="21" customHeight="1"/>
    <row r="1624" ht="21" customHeight="1"/>
    <row r="1625" ht="21" customHeight="1"/>
    <row r="1626" ht="21" customHeight="1"/>
    <row r="1627" ht="21" customHeight="1"/>
    <row r="1628" ht="21" customHeight="1"/>
    <row r="1629" ht="21" customHeight="1"/>
    <row r="1630" ht="21" customHeight="1"/>
    <row r="1631" ht="21" customHeight="1"/>
    <row r="1632" ht="21" customHeight="1"/>
    <row r="1633" ht="21" customHeight="1"/>
    <row r="1634" ht="21" customHeight="1"/>
    <row r="1635" ht="21" customHeight="1"/>
    <row r="1636" ht="21" customHeight="1"/>
    <row r="1637" ht="21" customHeight="1"/>
    <row r="1638" ht="21" customHeight="1"/>
    <row r="1639" ht="21" customHeight="1"/>
    <row r="1640" ht="21" customHeight="1"/>
    <row r="1641" ht="21" customHeight="1"/>
    <row r="1642" ht="21" customHeight="1"/>
    <row r="1643" ht="21" customHeight="1"/>
    <row r="1644" ht="21" customHeight="1"/>
    <row r="1645" ht="21" customHeight="1"/>
    <row r="1646" ht="21" customHeight="1"/>
    <row r="1647" ht="21" customHeight="1"/>
    <row r="1648" ht="21" customHeight="1"/>
    <row r="1649" ht="21" customHeight="1"/>
    <row r="1650" ht="21" customHeight="1"/>
    <row r="1651" ht="21" customHeight="1"/>
    <row r="1652" ht="21" customHeight="1"/>
    <row r="1653" ht="21" customHeight="1"/>
    <row r="1654" ht="21" customHeight="1"/>
    <row r="1655" ht="21" customHeight="1"/>
    <row r="1656" ht="21" customHeight="1"/>
    <row r="1657" ht="21" customHeight="1"/>
    <row r="1658" ht="21" customHeight="1"/>
    <row r="1659" ht="21" customHeight="1"/>
    <row r="1660" ht="21" customHeight="1"/>
    <row r="1661" ht="21" customHeight="1"/>
    <row r="1662" ht="21" customHeight="1"/>
    <row r="1663" ht="21" customHeight="1"/>
    <row r="1664" ht="21" customHeight="1"/>
    <row r="1665" ht="21" customHeight="1"/>
    <row r="1666" ht="21" customHeight="1"/>
    <row r="1667" ht="21" customHeight="1"/>
    <row r="1668" ht="21" customHeight="1"/>
    <row r="1669" ht="21" customHeight="1"/>
    <row r="1670" ht="21" customHeight="1"/>
    <row r="1671" ht="21" customHeight="1"/>
    <row r="1672" ht="21" customHeight="1"/>
    <row r="1673" ht="21" customHeight="1"/>
    <row r="1674" ht="21" customHeight="1"/>
    <row r="1675" ht="21" customHeight="1"/>
    <row r="1676" ht="21" customHeight="1"/>
    <row r="1677" ht="21" customHeight="1"/>
    <row r="1678" ht="21" customHeight="1"/>
    <row r="1679" ht="21" customHeight="1"/>
    <row r="1680" ht="21" customHeight="1"/>
    <row r="1681" ht="21" customHeight="1"/>
    <row r="1682" ht="21" customHeight="1"/>
    <row r="1683" ht="21" customHeight="1"/>
    <row r="1684" ht="21" customHeight="1"/>
    <row r="1685" ht="21" customHeight="1"/>
    <row r="1686" ht="21" customHeight="1"/>
    <row r="1687" ht="21" customHeight="1"/>
    <row r="1688" ht="21" customHeight="1"/>
    <row r="1689" ht="21" customHeight="1"/>
    <row r="1690" ht="21" customHeight="1"/>
    <row r="1691" ht="21" customHeight="1"/>
    <row r="1692" ht="21" customHeight="1"/>
    <row r="1693" ht="21" customHeight="1"/>
    <row r="1694" ht="21" customHeight="1"/>
    <row r="1695" ht="21" customHeight="1"/>
    <row r="1696" ht="21" customHeight="1"/>
    <row r="1697" ht="21" customHeight="1"/>
    <row r="1698" ht="21" customHeight="1"/>
    <row r="1699" ht="21" customHeight="1"/>
    <row r="1700" ht="21" customHeight="1"/>
    <row r="1701" ht="21" customHeight="1"/>
  </sheetData>
  <mergeCells count="115"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</mergeCells>
  <pageMargins left="0.22" right="0.17" top="0.14000000000000001" bottom="0.2" header="0.2" footer="0.2"/>
  <pageSetup paperSize="5" scale="2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R192"/>
  <sheetViews>
    <sheetView view="pageBreakPreview" topLeftCell="A130" zoomScale="60" zoomScaleNormal="71" workbookViewId="0">
      <selection activeCell="H79" sqref="H79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2.777343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19" t="s">
        <v>115</v>
      </c>
      <c r="B1" s="920"/>
      <c r="C1" s="920"/>
      <c r="D1" s="920"/>
      <c r="E1" s="920"/>
      <c r="F1" s="920"/>
      <c r="G1" s="920"/>
      <c r="H1" s="920"/>
      <c r="I1" s="920"/>
      <c r="J1" s="921"/>
    </row>
    <row r="2" spans="1:15" s="57" customFormat="1" ht="23.25">
      <c r="A2" s="191" t="s">
        <v>355</v>
      </c>
      <c r="B2" s="262">
        <v>44948</v>
      </c>
      <c r="C2" s="348" t="s">
        <v>67</v>
      </c>
      <c r="D2" s="218">
        <v>0.9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23</v>
      </c>
      <c r="E3" s="928" t="s">
        <v>119</v>
      </c>
      <c r="F3" s="929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22" t="s">
        <v>128</v>
      </c>
      <c r="B6" s="923"/>
      <c r="C6" s="92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'21'!F7</f>
        <v>414519</v>
      </c>
      <c r="F7" s="95">
        <v>433700</v>
      </c>
      <c r="G7" s="112">
        <f>F7-E7</f>
        <v>19181</v>
      </c>
      <c r="H7" s="99">
        <f>G7+'21'!H7</f>
        <v>456081</v>
      </c>
      <c r="I7" s="113">
        <f>'1'!I7</f>
        <v>12000</v>
      </c>
      <c r="J7" s="175">
        <f>H7/DAY(B2)</f>
        <v>20730.954545454544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'21'!F8</f>
        <v>602954</v>
      </c>
      <c r="F8" s="114">
        <v>622662</v>
      </c>
      <c r="G8" s="115">
        <f>F8-E8</f>
        <v>19708</v>
      </c>
      <c r="H8" s="99">
        <f>G8+'21'!H8</f>
        <v>464805</v>
      </c>
      <c r="I8" s="116"/>
      <c r="J8" s="175">
        <f>H8/DAY(B2)</f>
        <v>21127.5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'21'!F9</f>
        <v>4707902</v>
      </c>
      <c r="F9" s="468">
        <v>4719067</v>
      </c>
      <c r="G9" s="112">
        <f>F9-E9</f>
        <v>11165</v>
      </c>
      <c r="H9" s="99">
        <f>G9+'21'!H9</f>
        <v>302461.09999999963</v>
      </c>
      <c r="I9" s="124">
        <f>I7-J7</f>
        <v>-8730.9545454545441</v>
      </c>
      <c r="J9" s="175">
        <f>H9/DAY(B2)</f>
        <v>13748.231818181801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'21'!F10</f>
        <v>4205376</v>
      </c>
      <c r="F10" s="353">
        <v>4212861</v>
      </c>
      <c r="G10" s="112">
        <f t="shared" ref="G10:G12" si="0">F10-E10</f>
        <v>7485</v>
      </c>
      <c r="H10" s="99">
        <f>G10+'21'!H10</f>
        <v>142824.70000000019</v>
      </c>
      <c r="I10" s="282"/>
      <c r="J10" s="175">
        <f>H10/DAY(B2)</f>
        <v>6492.0318181818266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'21'!F11</f>
        <v>38700</v>
      </c>
      <c r="F11" s="95">
        <v>38700</v>
      </c>
      <c r="G11" s="112">
        <f t="shared" si="0"/>
        <v>0</v>
      </c>
      <c r="H11" s="99">
        <f>G11+'21'!H11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'21'!F12</f>
        <v>40550</v>
      </c>
      <c r="F12" s="117">
        <v>40550</v>
      </c>
      <c r="G12" s="112">
        <f t="shared" si="0"/>
        <v>0</v>
      </c>
      <c r="H12" s="99">
        <f>G12+'21'!H12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18650</v>
      </c>
      <c r="H13" s="99">
        <f>G13+'21'!H13</f>
        <v>445285.79999999981</v>
      </c>
      <c r="I13" s="120">
        <f>G7-G13</f>
        <v>531</v>
      </c>
      <c r="J13" s="175">
        <f>H13/DAY(B2)</f>
        <v>20240.263636363627</v>
      </c>
      <c r="K13" s="79"/>
      <c r="L13" s="66"/>
      <c r="N13" s="87"/>
      <c r="O13" s="71"/>
    </row>
    <row r="14" spans="1:15" ht="26.25">
      <c r="A14" s="925" t="s">
        <v>137</v>
      </c>
      <c r="B14" s="926"/>
      <c r="C14" s="92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'21'!F15</f>
        <v>2276884</v>
      </c>
      <c r="F15" s="468">
        <v>2278165</v>
      </c>
      <c r="G15" s="112">
        <f>(F15-E15)</f>
        <v>1281</v>
      </c>
      <c r="H15" s="99">
        <f>G15+'21'!H15</f>
        <v>24863.641999999993</v>
      </c>
      <c r="I15" s="113">
        <f>'1'!I15</f>
        <v>800</v>
      </c>
      <c r="J15" s="175">
        <f>H15/DAY(B2)</f>
        <v>1130.1655454545451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-330.16554545454505</v>
      </c>
      <c r="J16" s="176"/>
      <c r="K16" s="79"/>
      <c r="L16" s="66"/>
      <c r="N16" s="87"/>
      <c r="O16" s="71"/>
    </row>
    <row r="17" spans="1:15" ht="26.25">
      <c r="A17" s="925" t="s">
        <v>140</v>
      </c>
      <c r="B17" s="926"/>
      <c r="C17" s="92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02" t="s">
        <v>141</v>
      </c>
      <c r="B18" s="903"/>
      <c r="C18" s="904"/>
      <c r="D18" s="151" t="s">
        <v>142</v>
      </c>
      <c r="E18" s="95">
        <f>'21'!F18</f>
        <v>20</v>
      </c>
      <c r="F18" s="122">
        <v>22</v>
      </c>
      <c r="G18" s="119">
        <f>F18*10</f>
        <v>220</v>
      </c>
      <c r="H18" s="99">
        <f>G18+'21'!H18</f>
        <v>4630</v>
      </c>
      <c r="I18" s="113">
        <f>'1'!I18</f>
        <v>65</v>
      </c>
      <c r="J18" s="175">
        <f>H18/DAY(B2)</f>
        <v>210.45454545454547</v>
      </c>
      <c r="K18" s="79"/>
      <c r="L18" s="66"/>
      <c r="N18" s="87"/>
      <c r="O18" s="71"/>
    </row>
    <row r="19" spans="1:15" ht="25.5">
      <c r="A19" s="902" t="s">
        <v>69</v>
      </c>
      <c r="B19" s="903"/>
      <c r="C19" s="904"/>
      <c r="D19" s="151" t="s">
        <v>142</v>
      </c>
      <c r="E19" s="95">
        <f>'21'!F19</f>
        <v>170762</v>
      </c>
      <c r="F19" s="122">
        <v>170817</v>
      </c>
      <c r="G19" s="112">
        <f>F19-E19</f>
        <v>55</v>
      </c>
      <c r="H19" s="99">
        <f>G19+'21'!H19</f>
        <v>1252</v>
      </c>
      <c r="I19" s="335"/>
      <c r="J19" s="175">
        <f>H19/DAY(B2)</f>
        <v>56.909090909090907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275</v>
      </c>
      <c r="H20" s="99">
        <f>G20+'21'!H20</f>
        <v>5882</v>
      </c>
      <c r="I20" s="336">
        <f>I18-J20</f>
        <v>-202.36363636363637</v>
      </c>
      <c r="J20" s="175">
        <f>H20/DAY(B2)</f>
        <v>267.36363636363637</v>
      </c>
      <c r="K20" s="79"/>
      <c r="L20" s="66"/>
      <c r="N20" s="87"/>
      <c r="O20" s="71"/>
    </row>
    <row r="21" spans="1:15" ht="26.25">
      <c r="A21" s="925" t="s">
        <v>144</v>
      </c>
      <c r="B21" s="926"/>
      <c r="C21" s="92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'21'!F22</f>
        <v>2970</v>
      </c>
      <c r="F22" s="122">
        <v>2970</v>
      </c>
      <c r="G22" s="119">
        <f t="shared" ref="G22" si="1">(F22-E22)</f>
        <v>0</v>
      </c>
      <c r="H22" s="99">
        <f>G22+'21'!H22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'21'!F23</f>
        <v>1860</v>
      </c>
      <c r="F23" s="122">
        <v>1860</v>
      </c>
      <c r="G23" s="119">
        <v>0</v>
      </c>
      <c r="H23" s="99">
        <f>G23+'21'!H23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v>4830</v>
      </c>
      <c r="F24" s="128">
        <f>SUM(F22:F23)</f>
        <v>4830</v>
      </c>
      <c r="G24" s="119">
        <v>0</v>
      </c>
      <c r="H24" s="99">
        <f>G24+'21'!H24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30" t="s">
        <v>149</v>
      </c>
      <c r="B25" s="931"/>
      <c r="C25" s="93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19708</v>
      </c>
      <c r="F27" s="136">
        <v>10</v>
      </c>
      <c r="G27" s="137">
        <f>E27*F27</f>
        <v>197080</v>
      </c>
      <c r="H27" s="99">
        <f>G27+'21'!H27</f>
        <v>4413399.1999999993</v>
      </c>
      <c r="I27" s="138"/>
      <c r="J27" s="175">
        <f>H27/DAY(B2)</f>
        <v>200609.05454545451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1281</v>
      </c>
      <c r="F28" s="136">
        <v>65</v>
      </c>
      <c r="G28" s="137">
        <f>E28*F28</f>
        <v>83265</v>
      </c>
      <c r="H28" s="99">
        <f>G28+'21'!H28</f>
        <v>1701857.1499999985</v>
      </c>
      <c r="I28" s="140"/>
      <c r="J28" s="175">
        <f>H28/DAY(B2)</f>
        <v>77357.143181818115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G29+'21'!H29</f>
        <v>6900</v>
      </c>
      <c r="I29" s="140"/>
      <c r="J29" s="175">
        <f>H29/DAY(B2)</f>
        <v>313.63636363636363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151</v>
      </c>
      <c r="G30" s="137">
        <f>E30*F30</f>
        <v>8305</v>
      </c>
      <c r="H30" s="99">
        <f>G30+'21'!H30</f>
        <v>189052</v>
      </c>
      <c r="I30" s="140"/>
      <c r="J30" s="175">
        <f>H30/DAY(B2)</f>
        <v>8593.2727272727279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85</v>
      </c>
      <c r="G31" s="137">
        <f>E31*F31</f>
        <v>18700</v>
      </c>
      <c r="H31" s="99">
        <f>G31+'21'!H31</f>
        <v>380600</v>
      </c>
      <c r="I31" s="140"/>
      <c r="J31" s="175">
        <f>H31/DAY(B2)</f>
        <v>17300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307350</v>
      </c>
      <c r="H32" s="99">
        <f>G32+'21'!H32</f>
        <v>6691808.3499999987</v>
      </c>
      <c r="I32" s="144"/>
      <c r="J32" s="175">
        <f>H32/DAY(B2)</f>
        <v>304173.10681818175</v>
      </c>
      <c r="K32" s="63"/>
      <c r="L32" s="89"/>
      <c r="N32" s="87"/>
      <c r="O32" s="71"/>
    </row>
    <row r="33" spans="1:15" ht="25.5" customHeight="1">
      <c r="A33" s="933" t="s">
        <v>331</v>
      </c>
      <c r="B33" s="934"/>
      <c r="C33" s="93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'21'!F35</f>
        <v>507448</v>
      </c>
      <c r="F35" s="418">
        <v>509645</v>
      </c>
      <c r="G35" s="112">
        <f t="shared" ref="G35:G46" si="2">F35-E35</f>
        <v>2197</v>
      </c>
      <c r="H35" s="99">
        <f>G35+'21'!H35</f>
        <v>55127.010000000009</v>
      </c>
      <c r="I35" s="95"/>
      <c r="J35" s="175">
        <f>H35/DAY(B2)</f>
        <v>2505.7731818181824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'21'!F36</f>
        <v>371955</v>
      </c>
      <c r="F36" s="145">
        <v>372876</v>
      </c>
      <c r="G36" s="112">
        <f t="shared" si="2"/>
        <v>921</v>
      </c>
      <c r="H36" s="99">
        <f>G36+'21'!H36</f>
        <v>18787.099999999977</v>
      </c>
      <c r="I36" s="95"/>
      <c r="J36" s="175">
        <f>H36/DAY(B2)</f>
        <v>853.95909090908981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'21'!F37</f>
        <v>369057</v>
      </c>
      <c r="F37" s="418">
        <v>370534</v>
      </c>
      <c r="G37" s="112">
        <f t="shared" si="2"/>
        <v>1477</v>
      </c>
      <c r="H37" s="99">
        <f>G37+'21'!H37</f>
        <v>32264.130000000005</v>
      </c>
      <c r="I37" s="95"/>
      <c r="J37" s="175">
        <f>H37/DAY(B2)</f>
        <v>1466.5513636363639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'21'!F38</f>
        <v>850467</v>
      </c>
      <c r="F38" s="108">
        <v>853024</v>
      </c>
      <c r="G38" s="112">
        <f t="shared" si="2"/>
        <v>2557</v>
      </c>
      <c r="H38" s="99">
        <f>G38+'21'!H38</f>
        <v>53346.650000000023</v>
      </c>
      <c r="I38" s="95"/>
      <c r="J38" s="175">
        <f>H38/DAY(B2)</f>
        <v>2424.8477272727282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'21'!F39</f>
        <v>678807</v>
      </c>
      <c r="F39" s="418">
        <v>681487</v>
      </c>
      <c r="G39" s="112">
        <f t="shared" si="2"/>
        <v>2680</v>
      </c>
      <c r="H39" s="99">
        <f>G39+'21'!H39</f>
        <v>61197</v>
      </c>
      <c r="I39" s="95"/>
      <c r="J39" s="175">
        <f>H39/DAY(B2)</f>
        <v>2781.681818181818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'21'!F40</f>
        <v>215673</v>
      </c>
      <c r="F40" s="145">
        <v>215888</v>
      </c>
      <c r="G40" s="112">
        <f t="shared" si="2"/>
        <v>215</v>
      </c>
      <c r="H40" s="99">
        <f>G40+'21'!H40</f>
        <v>6201.6499999999942</v>
      </c>
      <c r="I40" s="95"/>
      <c r="J40" s="175">
        <f>H40/DAY(B2)</f>
        <v>281.89318181818157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'21'!F41</f>
        <v>420216</v>
      </c>
      <c r="F41" s="145">
        <v>420216</v>
      </c>
      <c r="G41" s="112">
        <f t="shared" si="2"/>
        <v>0</v>
      </c>
      <c r="H41" s="99">
        <f>G41+'21'!H41</f>
        <v>3.4899999999906868</v>
      </c>
      <c r="I41" s="95"/>
      <c r="J41" s="175">
        <f>H41/DAY(B2)</f>
        <v>0.1586363636359403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v>890810</v>
      </c>
      <c r="F42" s="145">
        <v>890810</v>
      </c>
      <c r="G42" s="112">
        <f t="shared" si="2"/>
        <v>0</v>
      </c>
      <c r="H42" s="99">
        <f>G42+'21'!H42</f>
        <v>49722.530000000028</v>
      </c>
      <c r="I42" s="95"/>
      <c r="J42" s="175">
        <f>H42/DAY(B2)</f>
        <v>2260.1150000000011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'21'!F43</f>
        <v>422444</v>
      </c>
      <c r="F43" s="145">
        <v>422444</v>
      </c>
      <c r="G43" s="112">
        <f t="shared" si="2"/>
        <v>0</v>
      </c>
      <c r="H43" s="99">
        <f>G43+'21'!H43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'21'!F44</f>
        <v>0</v>
      </c>
      <c r="F44" s="145">
        <v>0</v>
      </c>
      <c r="G44" s="112">
        <f t="shared" si="2"/>
        <v>0</v>
      </c>
      <c r="H44" s="99">
        <f>G44+'21'!H44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'21'!F45</f>
        <v>0</v>
      </c>
      <c r="F45" s="145">
        <v>0</v>
      </c>
      <c r="G45" s="112">
        <f t="shared" si="2"/>
        <v>0</v>
      </c>
      <c r="H45" s="99">
        <f>G45+'21'!H45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'21'!F46</f>
        <v>0</v>
      </c>
      <c r="F46" s="145">
        <v>0</v>
      </c>
      <c r="G46" s="112">
        <f t="shared" si="2"/>
        <v>0</v>
      </c>
      <c r="H46" s="99">
        <f>G46+'21'!H46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10047</v>
      </c>
      <c r="H47" s="99">
        <f>G47+'21'!H47</f>
        <v>276649.56000000006</v>
      </c>
      <c r="I47" s="95"/>
      <c r="J47" s="175">
        <f>H47/DAY(B2)</f>
        <v>12574.980000000003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'21'!F49</f>
        <v>817637</v>
      </c>
      <c r="F49" s="145">
        <v>818196</v>
      </c>
      <c r="G49" s="112">
        <f t="shared" ref="G49:G58" si="3">F49-E49</f>
        <v>559</v>
      </c>
      <c r="H49" s="99">
        <f>G49+'21'!H49</f>
        <v>11691.849999999977</v>
      </c>
      <c r="I49" s="95"/>
      <c r="J49" s="175">
        <f>H49/DAY(B2)</f>
        <v>531.44772727272618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'21'!F50</f>
        <v>529950</v>
      </c>
      <c r="F50" s="145">
        <v>531009</v>
      </c>
      <c r="G50" s="112">
        <f t="shared" si="3"/>
        <v>1059</v>
      </c>
      <c r="H50" s="99">
        <f>G50+'21'!H50</f>
        <v>29856</v>
      </c>
      <c r="I50" s="95"/>
      <c r="J50" s="175">
        <f>H50/DAY(B2)</f>
        <v>1357.090909090909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'21'!F51</f>
        <v>156958</v>
      </c>
      <c r="F51" s="145">
        <v>156958</v>
      </c>
      <c r="G51" s="112">
        <f t="shared" si="3"/>
        <v>0</v>
      </c>
      <c r="H51" s="99">
        <f>G51+'21'!H51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'21'!F52</f>
        <v>9.76</v>
      </c>
      <c r="F52" s="145">
        <v>9.76</v>
      </c>
      <c r="G52" s="112">
        <f t="shared" si="3"/>
        <v>0</v>
      </c>
      <c r="H52" s="99">
        <f>G52+'21'!H52</f>
        <v>-0.24000000000000021</v>
      </c>
      <c r="I52" s="95"/>
      <c r="J52" s="175">
        <f>H52/DAY(B2)</f>
        <v>-1.0909090909090919E-2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'21'!F53</f>
        <v>630355</v>
      </c>
      <c r="F53" s="145">
        <v>630355</v>
      </c>
      <c r="G53" s="112">
        <f t="shared" si="3"/>
        <v>0</v>
      </c>
      <c r="H53" s="99">
        <f>G53+'21'!H53</f>
        <v>-3.0000000027939677E-2</v>
      </c>
      <c r="I53" s="95"/>
      <c r="J53" s="175">
        <f>H53/DAY(B2)</f>
        <v>-1.3636363649063489E-3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'21'!F54</f>
        <v>121104</v>
      </c>
      <c r="F54" s="145">
        <v>121429</v>
      </c>
      <c r="G54" s="112">
        <f t="shared" si="3"/>
        <v>325</v>
      </c>
      <c r="H54" s="99">
        <f>G54+'21'!H54</f>
        <v>6831.8699999999953</v>
      </c>
      <c r="I54" s="95"/>
      <c r="J54" s="175">
        <f>H54/DAY(B2)</f>
        <v>310.53954545454525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'21'!F55</f>
        <v>576336</v>
      </c>
      <c r="F55" s="418">
        <v>576336</v>
      </c>
      <c r="G55" s="112">
        <f t="shared" si="3"/>
        <v>0</v>
      </c>
      <c r="H55" s="99">
        <f>G55+'21'!H55</f>
        <v>0.36999999999534339</v>
      </c>
      <c r="I55" s="95"/>
      <c r="J55" s="175">
        <f>H55/DAY(B2)</f>
        <v>1.6818181817970155E-2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'21'!F56</f>
        <v>360921</v>
      </c>
      <c r="F56" s="418">
        <v>362928</v>
      </c>
      <c r="G56" s="112">
        <f>F56-E56</f>
        <v>2007</v>
      </c>
      <c r="H56" s="99">
        <f>G56+'21'!H56</f>
        <v>27701.789999999979</v>
      </c>
      <c r="I56" s="95"/>
      <c r="J56" s="175">
        <f>H56/DAY(B2)</f>
        <v>1259.1722727272718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'21'!F57</f>
        <v>683114</v>
      </c>
      <c r="F57" s="145">
        <v>685752</v>
      </c>
      <c r="G57" s="112">
        <f t="shared" si="3"/>
        <v>2638</v>
      </c>
      <c r="H57" s="99">
        <f>G57+'21'!H57</f>
        <v>54919</v>
      </c>
      <c r="I57" s="95"/>
      <c r="J57" s="175">
        <f>H57/DAY(B2)</f>
        <v>2496.318181818182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'21'!F58</f>
        <v>91958</v>
      </c>
      <c r="F58" s="145">
        <v>92223</v>
      </c>
      <c r="G58" s="112">
        <f t="shared" si="3"/>
        <v>265</v>
      </c>
      <c r="H58" s="99">
        <f>G58+'21'!H58</f>
        <v>5662.5010000000038</v>
      </c>
      <c r="I58" s="95"/>
      <c r="J58" s="175">
        <f>H58/DAY(B2)</f>
        <v>257.38640909090924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6853</v>
      </c>
      <c r="H59" s="99">
        <f>G59+'21'!H59</f>
        <v>136663.11099999992</v>
      </c>
      <c r="I59" s="95">
        <f>G7-G60</f>
        <v>2281</v>
      </c>
      <c r="J59" s="175">
        <f>H59/DAY(B2)</f>
        <v>6211.9595909090867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16900</v>
      </c>
      <c r="H60" s="99">
        <f>G60+'21'!H60</f>
        <v>413312.67099999997</v>
      </c>
      <c r="I60" s="95">
        <f>G13-G60</f>
        <v>1750</v>
      </c>
      <c r="J60" s="175">
        <f>H60/DAY(B2)</f>
        <v>18786.939590909089</v>
      </c>
      <c r="K60" s="79"/>
      <c r="L60" s="66"/>
      <c r="N60" s="87"/>
      <c r="O60" s="71"/>
    </row>
    <row r="61" spans="1:15" s="68" customFormat="1" ht="26.25">
      <c r="A61" s="935" t="s">
        <v>332</v>
      </c>
      <c r="B61" s="936"/>
      <c r="C61" s="93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02" t="s">
        <v>198</v>
      </c>
      <c r="B62" s="903"/>
      <c r="C62" s="904"/>
      <c r="D62" s="151" t="s">
        <v>142</v>
      </c>
      <c r="E62" s="95">
        <f>'21'!F62</f>
        <v>314211</v>
      </c>
      <c r="F62" s="122">
        <v>314371</v>
      </c>
      <c r="G62" s="112">
        <f t="shared" ref="G62:G63" si="4">F62-E62</f>
        <v>160</v>
      </c>
      <c r="H62" s="99">
        <f>G62+'21'!H62</f>
        <v>2271</v>
      </c>
      <c r="I62" s="118"/>
      <c r="J62" s="175">
        <f>H62/DAY(B2)</f>
        <v>103.22727272727273</v>
      </c>
      <c r="K62" s="80"/>
      <c r="L62" s="66"/>
      <c r="N62" s="87"/>
      <c r="O62" s="71"/>
    </row>
    <row r="63" spans="1:15" ht="25.5">
      <c r="A63" s="902" t="s">
        <v>199</v>
      </c>
      <c r="B63" s="903"/>
      <c r="C63" s="904"/>
      <c r="D63" s="151" t="s">
        <v>142</v>
      </c>
      <c r="E63" s="95">
        <f>'21'!F63</f>
        <v>251258</v>
      </c>
      <c r="F63" s="122">
        <v>251381</v>
      </c>
      <c r="G63" s="112">
        <f t="shared" si="4"/>
        <v>123</v>
      </c>
      <c r="H63" s="99">
        <f>G63+'21'!H63</f>
        <v>2346</v>
      </c>
      <c r="I63" s="118"/>
      <c r="J63" s="175">
        <f>H63/DAY(B2)</f>
        <v>106.63636363636364</v>
      </c>
      <c r="K63" s="69"/>
      <c r="L63" s="66"/>
      <c r="N63" s="87"/>
      <c r="O63" s="71"/>
    </row>
    <row r="64" spans="1:15" ht="26.25">
      <c r="A64" s="911" t="s">
        <v>200</v>
      </c>
      <c r="B64" s="912"/>
      <c r="C64" s="913"/>
      <c r="D64" s="151"/>
      <c r="E64" s="95">
        <f>'21'!F64</f>
        <v>0</v>
      </c>
      <c r="F64" s="122"/>
      <c r="G64" s="112">
        <f>G62+G63</f>
        <v>283</v>
      </c>
      <c r="H64" s="99">
        <f>G64+'21'!H64</f>
        <v>4617</v>
      </c>
      <c r="I64" s="118"/>
      <c r="J64" s="175">
        <f>H64/DAY(B2)</f>
        <v>209.86363636363637</v>
      </c>
      <c r="K64" s="69"/>
      <c r="L64" s="66"/>
      <c r="N64" s="87"/>
      <c r="O64" s="71"/>
    </row>
    <row r="65" spans="1:15" ht="25.5">
      <c r="A65" s="902" t="s">
        <v>201</v>
      </c>
      <c r="B65" s="903"/>
      <c r="C65" s="904"/>
      <c r="D65" s="151" t="s">
        <v>142</v>
      </c>
      <c r="E65" s="95">
        <f>'21'!F65</f>
        <v>474663</v>
      </c>
      <c r="F65" s="122">
        <v>474804</v>
      </c>
      <c r="G65" s="112">
        <f t="shared" ref="G65:G70" si="5">F65-E65</f>
        <v>141</v>
      </c>
      <c r="H65" s="99">
        <f>G65+'21'!H65</f>
        <v>2774</v>
      </c>
      <c r="I65" s="118"/>
      <c r="J65" s="175">
        <f>H65/DAY(B2)</f>
        <v>126.09090909090909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'21'!F66</f>
        <v>114058</v>
      </c>
      <c r="F66" s="122">
        <v>114115</v>
      </c>
      <c r="G66" s="112">
        <f t="shared" si="5"/>
        <v>57</v>
      </c>
      <c r="H66" s="99">
        <f>G66+'21'!H66</f>
        <v>1393</v>
      </c>
      <c r="I66" s="118"/>
      <c r="J66" s="175">
        <f>H66/DAY(B2)</f>
        <v>63.31818181818182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'21'!F67</f>
        <v>117051</v>
      </c>
      <c r="F67" s="122">
        <v>117077</v>
      </c>
      <c r="G67" s="112">
        <f t="shared" si="5"/>
        <v>26</v>
      </c>
      <c r="H67" s="99">
        <f>G67+'21'!H67</f>
        <v>510</v>
      </c>
      <c r="I67" s="118"/>
      <c r="J67" s="175">
        <f>H67/DAY(B2)</f>
        <v>23.181818181818183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'21'!F68</f>
        <v>169771</v>
      </c>
      <c r="F68" s="122">
        <v>169796</v>
      </c>
      <c r="G68" s="112">
        <f t="shared" si="5"/>
        <v>25</v>
      </c>
      <c r="H68" s="99">
        <f>G68+'21'!H68</f>
        <v>437</v>
      </c>
      <c r="I68" s="118"/>
      <c r="J68" s="175">
        <f>H68/DAY(B2)</f>
        <v>19.863636363636363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'21'!F69</f>
        <v>13058</v>
      </c>
      <c r="F69" s="122">
        <v>13061</v>
      </c>
      <c r="G69" s="112">
        <f t="shared" si="5"/>
        <v>3</v>
      </c>
      <c r="H69" s="99">
        <f>G69+'21'!H69</f>
        <v>95</v>
      </c>
      <c r="I69" s="118"/>
      <c r="J69" s="175">
        <f>H69/DAY(B2)</f>
        <v>4.3181818181818183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'21'!F70</f>
        <v>11187</v>
      </c>
      <c r="F70" s="122">
        <v>11192</v>
      </c>
      <c r="G70" s="112">
        <f t="shared" si="5"/>
        <v>5</v>
      </c>
      <c r="H70" s="99">
        <f>G70+'21'!H70</f>
        <v>176</v>
      </c>
      <c r="I70" s="118"/>
      <c r="J70" s="175">
        <f>H70/DAY(B2)</f>
        <v>8</v>
      </c>
      <c r="K70" s="69"/>
      <c r="L70" s="66"/>
      <c r="N70" s="87"/>
      <c r="O70" s="71"/>
    </row>
    <row r="71" spans="1:15" ht="26.25">
      <c r="A71" s="911" t="s">
        <v>208</v>
      </c>
      <c r="B71" s="912"/>
      <c r="C71" s="913"/>
      <c r="D71" s="152"/>
      <c r="E71" s="152"/>
      <c r="F71" s="152"/>
      <c r="G71" s="153">
        <f>SUM(G65:G70)</f>
        <v>257</v>
      </c>
      <c r="H71" s="99">
        <f>G71+'21'!H71</f>
        <v>5385</v>
      </c>
      <c r="I71" s="154"/>
      <c r="J71" s="175">
        <f>H71/DAY(B2)</f>
        <v>244.77272727272728</v>
      </c>
      <c r="K71" s="69"/>
      <c r="L71" s="66"/>
      <c r="N71" s="87"/>
      <c r="O71" s="71"/>
    </row>
    <row r="72" spans="1:15" s="88" customFormat="1" ht="25.5">
      <c r="A72" s="898"/>
      <c r="B72" s="88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08" t="s">
        <v>333</v>
      </c>
      <c r="B73" s="909"/>
      <c r="C73" s="910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02" t="s">
        <v>220</v>
      </c>
      <c r="B74" s="903"/>
      <c r="C74" s="904"/>
      <c r="D74" s="151" t="s">
        <v>139</v>
      </c>
      <c r="E74" s="95">
        <f>'21'!F74</f>
        <v>9110</v>
      </c>
      <c r="F74" s="123">
        <v>9446</v>
      </c>
      <c r="G74" s="112">
        <f t="shared" ref="G74:G78" si="6">F74-E74</f>
        <v>336</v>
      </c>
      <c r="H74" s="99">
        <f>G74+'21'!H74</f>
        <v>3257</v>
      </c>
      <c r="I74" s="154"/>
      <c r="J74" s="175">
        <f>H74/DAY(B2)</f>
        <v>148.04545454545453</v>
      </c>
      <c r="K74" s="69"/>
      <c r="L74" s="66"/>
      <c r="N74" s="87"/>
      <c r="O74" s="71"/>
    </row>
    <row r="75" spans="1:15" ht="25.5">
      <c r="A75" s="902" t="s">
        <v>221</v>
      </c>
      <c r="B75" s="903"/>
      <c r="C75" s="904"/>
      <c r="D75" s="151" t="s">
        <v>139</v>
      </c>
      <c r="E75" s="95">
        <f>'21'!F75</f>
        <v>73586.8</v>
      </c>
      <c r="F75" s="123">
        <v>73586.8</v>
      </c>
      <c r="G75" s="112">
        <f t="shared" si="6"/>
        <v>0</v>
      </c>
      <c r="H75" s="99">
        <f>G75+'21'!H75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899" t="s">
        <v>222</v>
      </c>
      <c r="B76" s="900"/>
      <c r="C76" s="901"/>
      <c r="D76" s="151" t="s">
        <v>139</v>
      </c>
      <c r="E76" s="95">
        <f>'21'!F76</f>
        <v>209576</v>
      </c>
      <c r="F76" s="123">
        <v>209690</v>
      </c>
      <c r="G76" s="112">
        <f t="shared" si="6"/>
        <v>114</v>
      </c>
      <c r="H76" s="99">
        <f>G76+'21'!H76</f>
        <v>2313</v>
      </c>
      <c r="I76" s="154"/>
      <c r="J76" s="175">
        <f>H76/DAY(B2)</f>
        <v>105.13636363636364</v>
      </c>
      <c r="K76" s="69"/>
      <c r="L76" s="66"/>
      <c r="N76" s="87"/>
      <c r="O76" s="71"/>
    </row>
    <row r="77" spans="1:15" ht="25.5">
      <c r="A77" s="899" t="s">
        <v>223</v>
      </c>
      <c r="B77" s="900"/>
      <c r="C77" s="901"/>
      <c r="D77" s="151" t="s">
        <v>139</v>
      </c>
      <c r="E77" s="95">
        <f>'21'!F77</f>
        <v>59214</v>
      </c>
      <c r="F77" s="123">
        <v>59278</v>
      </c>
      <c r="G77" s="112">
        <f t="shared" si="6"/>
        <v>64</v>
      </c>
      <c r="H77" s="99">
        <f>G77+'21'!H77</f>
        <v>1126</v>
      </c>
      <c r="I77" s="154"/>
      <c r="J77" s="175">
        <f>H77/DAY(B2)</f>
        <v>51.18181818181818</v>
      </c>
      <c r="K77" s="69"/>
      <c r="L77" s="66"/>
      <c r="N77" s="87"/>
      <c r="O77" s="71"/>
    </row>
    <row r="78" spans="1:15" ht="25.5">
      <c r="A78" s="899" t="s">
        <v>224</v>
      </c>
      <c r="B78" s="900"/>
      <c r="C78" s="901"/>
      <c r="D78" s="151" t="s">
        <v>139</v>
      </c>
      <c r="E78" s="95">
        <f>'21'!F78</f>
        <v>9564</v>
      </c>
      <c r="F78" s="123">
        <v>9564</v>
      </c>
      <c r="G78" s="112">
        <f t="shared" si="6"/>
        <v>0</v>
      </c>
      <c r="H78" s="99"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899" t="s">
        <v>225</v>
      </c>
      <c r="B79" s="900"/>
      <c r="C79" s="901"/>
      <c r="D79" s="151"/>
      <c r="E79" s="95">
        <f>'21'!F79</f>
        <v>0</v>
      </c>
      <c r="F79" s="123"/>
      <c r="G79" s="112">
        <f>G15-SUM(G74:G78)</f>
        <v>767</v>
      </c>
      <c r="H79" s="99">
        <f>G79+'21'!H79</f>
        <v>-975884.35799999989</v>
      </c>
      <c r="I79" s="118"/>
      <c r="J79" s="175"/>
      <c r="K79" s="59"/>
      <c r="L79" s="58"/>
      <c r="N79" s="87"/>
      <c r="O79" s="71"/>
    </row>
    <row r="80" spans="1:15" s="57" customFormat="1" ht="26.25">
      <c r="A80" s="911" t="s">
        <v>329</v>
      </c>
      <c r="B80" s="912"/>
      <c r="C80" s="913"/>
      <c r="D80" s="151"/>
      <c r="E80" s="117"/>
      <c r="F80" s="117"/>
      <c r="G80" s="112">
        <f>SUM(G74:G79)</f>
        <v>1281</v>
      </c>
      <c r="H80" s="99"/>
      <c r="I80" s="118"/>
      <c r="J80" s="175"/>
      <c r="K80" s="59"/>
      <c r="L80" s="58"/>
      <c r="N80" s="87"/>
      <c r="O80" s="71"/>
    </row>
    <row r="81" spans="1:15" ht="25.5">
      <c r="A81" s="915" t="s">
        <v>226</v>
      </c>
      <c r="B81" s="916"/>
      <c r="C81" s="917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'21'!F82</f>
        <v>0</v>
      </c>
      <c r="F82" s="122">
        <v>0</v>
      </c>
      <c r="G82" s="112">
        <f t="shared" ref="G82:G92" si="7">F82-E82</f>
        <v>0</v>
      </c>
      <c r="H82" s="99">
        <f>G82+'21'!H82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'21'!F83</f>
        <v>0</v>
      </c>
      <c r="F83" s="122">
        <v>0</v>
      </c>
      <c r="G83" s="112">
        <f t="shared" si="7"/>
        <v>0</v>
      </c>
      <c r="H83" s="99">
        <f>G83+'21'!H83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'21'!F84</f>
        <v>43540</v>
      </c>
      <c r="F84" s="164">
        <v>43540</v>
      </c>
      <c r="G84" s="112">
        <f t="shared" si="7"/>
        <v>0</v>
      </c>
      <c r="H84" s="99">
        <f>G84+'21'!H84</f>
        <v>-0.34999999999854481</v>
      </c>
      <c r="I84" s="545"/>
      <c r="J84" s="175">
        <f>H84/DAY(B2)</f>
        <v>-1.5909090909024762E-2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'21'!F85</f>
        <v>6203</v>
      </c>
      <c r="F85" s="164">
        <v>6203</v>
      </c>
      <c r="G85" s="112">
        <f t="shared" si="7"/>
        <v>0</v>
      </c>
      <c r="H85" s="99">
        <f>G85+'21'!H85</f>
        <v>270.55000000000018</v>
      </c>
      <c r="I85" s="545"/>
      <c r="J85" s="175">
        <f>H85/DAY(B2)</f>
        <v>12.297727272727281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'21'!F86</f>
        <v>46834</v>
      </c>
      <c r="F86" s="164">
        <v>46834</v>
      </c>
      <c r="G86" s="112">
        <f t="shared" si="7"/>
        <v>0</v>
      </c>
      <c r="H86" s="99">
        <f>G86+'21'!H86</f>
        <v>0</v>
      </c>
      <c r="I86" s="545"/>
      <c r="J86" s="175">
        <f>H86/DAY(B2)</f>
        <v>0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'21'!F87</f>
        <v>37264</v>
      </c>
      <c r="F87" s="164">
        <v>37288</v>
      </c>
      <c r="G87" s="112">
        <f t="shared" si="7"/>
        <v>24</v>
      </c>
      <c r="H87" s="99">
        <f>G87+'21'!H87</f>
        <v>260</v>
      </c>
      <c r="I87" s="545">
        <f>G84+G85+G86+G87</f>
        <v>24</v>
      </c>
      <c r="J87" s="175">
        <f>H87/DAY(B2)</f>
        <v>11.818181818181818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'21'!F88</f>
        <v>24696</v>
      </c>
      <c r="F88" s="164">
        <v>24700</v>
      </c>
      <c r="G88" s="112">
        <f t="shared" si="7"/>
        <v>4</v>
      </c>
      <c r="H88" s="99">
        <f>G88+'21'!H88</f>
        <v>96.400000000001455</v>
      </c>
      <c r="I88" s="545"/>
      <c r="J88" s="175">
        <f>H88/DAY(B2)</f>
        <v>4.3818181818182476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'21'!F89</f>
        <v>28949.599999999999</v>
      </c>
      <c r="F89" s="164">
        <v>28960</v>
      </c>
      <c r="G89" s="112">
        <f t="shared" si="7"/>
        <v>10.400000000001455</v>
      </c>
      <c r="H89" s="99">
        <f>G89+'21'!H89</f>
        <v>211.61000000000058</v>
      </c>
      <c r="I89" s="545">
        <f>G88+G89</f>
        <v>14.400000000001455</v>
      </c>
      <c r="J89" s="175">
        <f>H89/DAY(B2)</f>
        <v>9.6186363636363907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'21'!F90</f>
        <v>74374</v>
      </c>
      <c r="F90" s="164">
        <v>74384</v>
      </c>
      <c r="G90" s="112">
        <f t="shared" si="7"/>
        <v>10</v>
      </c>
      <c r="H90" s="99">
        <f>G90+'21'!H90</f>
        <v>180.82000000000698</v>
      </c>
      <c r="I90" s="545">
        <f>G90</f>
        <v>10</v>
      </c>
      <c r="J90" s="175">
        <f>H90/DAY(B2)</f>
        <v>8.2190909090912267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'21'!F91</f>
        <v>5618</v>
      </c>
      <c r="F91" s="122">
        <v>5618</v>
      </c>
      <c r="G91" s="112">
        <f t="shared" si="7"/>
        <v>0</v>
      </c>
      <c r="H91" s="99">
        <f>G91+'21'!H91</f>
        <v>-0.21000000000003638</v>
      </c>
      <c r="I91" s="546"/>
      <c r="J91" s="175">
        <f>H91/DAY(B2)</f>
        <v>-9.5454545454561994E-3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'21'!F92</f>
        <v>7318</v>
      </c>
      <c r="F92" s="122">
        <v>7330</v>
      </c>
      <c r="G92" s="112">
        <f t="shared" si="7"/>
        <v>12</v>
      </c>
      <c r="H92" s="99">
        <f>G92+'21'!H92</f>
        <v>250.3100000000004</v>
      </c>
      <c r="I92" s="547">
        <f>G91+G92</f>
        <v>12</v>
      </c>
      <c r="J92" s="175">
        <f>H92/DAY(B2)</f>
        <v>11.377727272727292</v>
      </c>
      <c r="O92" s="71"/>
    </row>
    <row r="93" spans="1:15" ht="26.25">
      <c r="A93" s="905" t="s">
        <v>239</v>
      </c>
      <c r="B93" s="906"/>
      <c r="C93" s="90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5394</v>
      </c>
      <c r="H94" s="99">
        <f>G94+'21'!H94</f>
        <v>121737.85999999999</v>
      </c>
      <c r="I94" s="118"/>
      <c r="J94" s="175">
        <f>H94/DAY(B2)</f>
        <v>5533.5390909090902</v>
      </c>
      <c r="K94" s="69"/>
      <c r="L94" s="66"/>
      <c r="O94" s="71"/>
    </row>
    <row r="95" spans="1:15" ht="25.5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0.28121578645534645</v>
      </c>
      <c r="H95" s="99">
        <f>G95+'21'!H95</f>
        <v>5.8804715365262821</v>
      </c>
      <c r="I95" s="167"/>
      <c r="J95" s="175">
        <f>H95/DAY(B2)</f>
        <v>0.26729416075119466</v>
      </c>
      <c r="K95" s="69"/>
      <c r="L95" s="66"/>
      <c r="O95" s="71"/>
    </row>
    <row r="96" spans="1:15" ht="25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2007</v>
      </c>
      <c r="H96" s="99">
        <f>G96+'21'!H96</f>
        <v>77428.179999999993</v>
      </c>
      <c r="I96" s="118"/>
      <c r="J96" s="175">
        <f>H96/DAY(B2)</f>
        <v>3519.4627272727271</v>
      </c>
      <c r="K96" s="69"/>
      <c r="L96" s="66"/>
      <c r="O96" s="71"/>
    </row>
    <row r="97" spans="1:15" ht="25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0.10463479484906939</v>
      </c>
      <c r="H97" s="99">
        <f>G97+'21'!H97</f>
        <v>3.7189899545211493</v>
      </c>
      <c r="I97" s="167"/>
      <c r="J97" s="175">
        <f>H97/DAY(B2)</f>
        <v>0.16904499793277952</v>
      </c>
      <c r="K97" s="69"/>
      <c r="L97" s="66"/>
      <c r="O97" s="71"/>
    </row>
    <row r="98" spans="1:15" ht="25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2680</v>
      </c>
      <c r="H98" s="99">
        <f>G98+'21'!H98</f>
        <v>61196.969999999972</v>
      </c>
      <c r="I98" s="168"/>
      <c r="J98" s="175">
        <f>H98/DAY(B2)</f>
        <v>2781.6804545454534</v>
      </c>
      <c r="K98" s="69"/>
      <c r="L98" s="66"/>
      <c r="O98" s="71"/>
    </row>
    <row r="99" spans="1:15" ht="25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0.13972159949950472</v>
      </c>
      <c r="H99" s="99">
        <f>G99+'21'!H99</f>
        <v>2.9543341519793458</v>
      </c>
      <c r="I99" s="168"/>
      <c r="J99" s="175">
        <f>H99/DAY(B2)</f>
        <v>0.13428791599906117</v>
      </c>
      <c r="O99" s="71"/>
    </row>
    <row r="100" spans="1:15" ht="26.2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2557</v>
      </c>
      <c r="H100" s="99">
        <f>G100+'21'!H100</f>
        <v>53346.410000000025</v>
      </c>
      <c r="I100" s="118"/>
      <c r="J100" s="175">
        <f>H100/DAY(B2)</f>
        <v>2424.8368181818191</v>
      </c>
      <c r="K100" s="70"/>
      <c r="O100" s="71"/>
    </row>
    <row r="101" spans="1:15" ht="25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0.13330900370157969</v>
      </c>
      <c r="H101" s="99">
        <f>G101+'21'!H101</f>
        <v>2.5744276723946968</v>
      </c>
      <c r="I101" s="168"/>
      <c r="J101" s="175">
        <f>H101/DAY(B2)</f>
        <v>0.11701943965430441</v>
      </c>
      <c r="O101" s="71"/>
    </row>
    <row r="102" spans="1:15" ht="25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1980</v>
      </c>
      <c r="H102" s="99">
        <f>G102+'21'!H102</f>
        <v>48643.099999999977</v>
      </c>
      <c r="I102" s="168"/>
      <c r="J102" s="175">
        <f>H102/DAY(B2)</f>
        <v>2211.0499999999988</v>
      </c>
      <c r="O102" s="71"/>
    </row>
    <row r="103" spans="1:15" ht="25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0.10322715186903707</v>
      </c>
      <c r="H103" s="99">
        <f>G103+'21'!H103</f>
        <v>2.342431962680168</v>
      </c>
      <c r="I103" s="118"/>
      <c r="J103" s="175">
        <f>H103/DAY(B2)</f>
        <v>0.10647418012182581</v>
      </c>
      <c r="O103" s="71"/>
    </row>
    <row r="104" spans="1:15" ht="25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1477</v>
      </c>
      <c r="H104" s="99">
        <f>G104+'21'!H104</f>
        <v>32264.130000000005</v>
      </c>
      <c r="I104" s="118"/>
      <c r="J104" s="175">
        <f>H104/DAY(B2)</f>
        <v>1466.5513636363639</v>
      </c>
      <c r="O104" s="71"/>
    </row>
    <row r="105" spans="1:15" ht="26.25" thickBot="1">
      <c r="A105" s="895" t="s">
        <v>251</v>
      </c>
      <c r="B105" s="896"/>
      <c r="C105" s="897"/>
      <c r="D105" s="231" t="s">
        <v>23</v>
      </c>
      <c r="E105" s="185"/>
      <c r="F105" s="185"/>
      <c r="G105" s="186">
        <f>G104/G7</f>
        <v>7.7003284500286748E-2</v>
      </c>
      <c r="H105" s="99">
        <f>G105+'21'!H105</f>
        <v>1.557550655292107</v>
      </c>
      <c r="I105" s="187"/>
      <c r="J105" s="188">
        <f>H105/DAY(B2)</f>
        <v>7.0797757058732133E-2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891" t="s">
        <v>324</v>
      </c>
      <c r="B108" s="891"/>
      <c r="C108" s="891"/>
      <c r="D108" s="891"/>
      <c r="E108" s="891"/>
      <c r="F108" s="891"/>
      <c r="G108" s="891"/>
      <c r="H108" s="891"/>
      <c r="I108" s="891"/>
      <c r="J108" s="891"/>
    </row>
    <row r="109" spans="1:15" ht="26.25">
      <c r="A109" s="918"/>
      <c r="B109" s="918"/>
    </row>
    <row r="110" spans="1:15" ht="26.25">
      <c r="A110" s="892" t="s">
        <v>165</v>
      </c>
      <c r="B110" s="893"/>
      <c r="C110" s="893"/>
      <c r="D110" s="893"/>
      <c r="E110" s="893"/>
      <c r="F110" s="893"/>
      <c r="G110" s="893"/>
      <c r="H110" s="893"/>
      <c r="I110" s="893"/>
      <c r="J110" s="894"/>
    </row>
    <row r="111" spans="1:15" ht="25.5">
      <c r="A111" s="885"/>
      <c r="B111" s="886"/>
      <c r="C111" s="887"/>
      <c r="D111" s="165"/>
      <c r="E111" s="165"/>
      <c r="F111" s="165"/>
      <c r="G111" s="165"/>
      <c r="H111" s="156"/>
      <c r="I111" s="165"/>
      <c r="J111" s="327"/>
    </row>
    <row r="112" spans="1:15" ht="25.5">
      <c r="A112" s="881" t="s">
        <v>252</v>
      </c>
      <c r="B112" s="882"/>
      <c r="C112" s="883"/>
      <c r="D112" s="146" t="s">
        <v>183</v>
      </c>
      <c r="E112" s="95">
        <f>'21'!F112</f>
        <v>18783</v>
      </c>
      <c r="F112" s="237">
        <v>18842</v>
      </c>
      <c r="G112" s="112">
        <f t="shared" ref="G112:G123" si="8">F112-E112</f>
        <v>59</v>
      </c>
      <c r="H112" s="99">
        <f>G112+'21'!H112</f>
        <v>1330.7000000000007</v>
      </c>
      <c r="I112" s="165"/>
      <c r="J112" s="328">
        <f>H112/DAY(B2)</f>
        <v>60.48636363636367</v>
      </c>
    </row>
    <row r="113" spans="1:18" ht="29.25" customHeight="1">
      <c r="A113" s="881" t="s">
        <v>253</v>
      </c>
      <c r="B113" s="882"/>
      <c r="C113" s="883"/>
      <c r="D113" s="146" t="s">
        <v>183</v>
      </c>
      <c r="E113" s="95">
        <f>'21'!F113</f>
        <v>40086</v>
      </c>
      <c r="F113" s="237">
        <v>40226</v>
      </c>
      <c r="G113" s="112">
        <f t="shared" si="8"/>
        <v>140</v>
      </c>
      <c r="H113" s="99">
        <f>G113+'21'!H113</f>
        <v>3147</v>
      </c>
      <c r="I113" s="165"/>
      <c r="J113" s="328">
        <f>H113/DAY(B2)</f>
        <v>143.04545454545453</v>
      </c>
    </row>
    <row r="114" spans="1:18" ht="29.25" customHeight="1">
      <c r="A114" s="881" t="s">
        <v>254</v>
      </c>
      <c r="B114" s="882"/>
      <c r="C114" s="883"/>
      <c r="D114" s="146" t="s">
        <v>183</v>
      </c>
      <c r="E114" s="95">
        <f>'21'!F114</f>
        <v>58978</v>
      </c>
      <c r="F114" s="237">
        <v>59197</v>
      </c>
      <c r="G114" s="112">
        <f t="shared" si="8"/>
        <v>219</v>
      </c>
      <c r="H114" s="99">
        <f>G114+'21'!H114</f>
        <v>4929.2200000000012</v>
      </c>
      <c r="I114" s="165"/>
      <c r="J114" s="328">
        <f>H114/DAY(B2)</f>
        <v>224.05545454545461</v>
      </c>
    </row>
    <row r="115" spans="1:18" ht="29.25" customHeight="1">
      <c r="A115" s="881" t="s">
        <v>255</v>
      </c>
      <c r="B115" s="882"/>
      <c r="C115" s="883"/>
      <c r="D115" s="146" t="s">
        <v>183</v>
      </c>
      <c r="E115" s="95">
        <f>'21'!F115</f>
        <v>38052</v>
      </c>
      <c r="F115" s="237">
        <v>38169</v>
      </c>
      <c r="G115" s="112">
        <f t="shared" si="8"/>
        <v>117</v>
      </c>
      <c r="H115" s="99">
        <f>G115+'21'!H115</f>
        <v>3202.0899999999965</v>
      </c>
      <c r="I115" s="165"/>
      <c r="J115" s="328">
        <f>H115/DAY(B2)</f>
        <v>145.5495454545453</v>
      </c>
    </row>
    <row r="116" spans="1:18" ht="29.25" customHeight="1">
      <c r="A116" s="888" t="s">
        <v>96</v>
      </c>
      <c r="B116" s="889"/>
      <c r="C116" s="890"/>
      <c r="D116" s="146" t="s">
        <v>183</v>
      </c>
      <c r="E116" s="95">
        <f>'21'!F116</f>
        <v>143784</v>
      </c>
      <c r="F116" s="237">
        <v>144229</v>
      </c>
      <c r="G116" s="112">
        <f t="shared" si="8"/>
        <v>445</v>
      </c>
      <c r="H116" s="99">
        <f>G116+'21'!H116</f>
        <v>9740.609999999986</v>
      </c>
      <c r="I116" s="165"/>
      <c r="J116" s="328">
        <f>H116/DAY(B2)</f>
        <v>442.75499999999937</v>
      </c>
      <c r="Q116" s="881"/>
      <c r="R116" s="883"/>
    </row>
    <row r="117" spans="1:18" ht="29.25" customHeight="1">
      <c r="A117" s="888" t="s">
        <v>184</v>
      </c>
      <c r="B117" s="889"/>
      <c r="C117" s="890"/>
      <c r="D117" s="146" t="s">
        <v>183</v>
      </c>
      <c r="E117" s="95">
        <f>'21'!F117</f>
        <v>89383</v>
      </c>
      <c r="F117" s="237">
        <v>89601</v>
      </c>
      <c r="G117" s="112">
        <f t="shared" si="8"/>
        <v>218</v>
      </c>
      <c r="H117" s="99">
        <f>G117+'21'!H117</f>
        <v>6891</v>
      </c>
      <c r="I117" s="165"/>
      <c r="J117" s="328">
        <f>H117/DAY(B2)</f>
        <v>313.22727272727275</v>
      </c>
      <c r="Q117" s="881"/>
      <c r="R117" s="883"/>
    </row>
    <row r="118" spans="1:18" ht="25.5">
      <c r="A118" s="880" t="s">
        <v>97</v>
      </c>
      <c r="B118" s="880"/>
      <c r="C118" s="880"/>
      <c r="D118" s="151" t="s">
        <v>183</v>
      </c>
      <c r="E118" s="95">
        <f>'21'!F118</f>
        <v>171310</v>
      </c>
      <c r="F118" s="237">
        <v>171934</v>
      </c>
      <c r="G118" s="112">
        <f t="shared" si="8"/>
        <v>624</v>
      </c>
      <c r="H118" s="99">
        <f>G118+'21'!H118</f>
        <v>13796.850000000006</v>
      </c>
      <c r="I118" s="165"/>
      <c r="J118" s="328">
        <f>H118/DAY(B2)</f>
        <v>627.12954545454568</v>
      </c>
      <c r="Q118" s="881"/>
      <c r="R118" s="883"/>
    </row>
    <row r="119" spans="1:18" ht="25.5">
      <c r="A119" s="880" t="s">
        <v>98</v>
      </c>
      <c r="B119" s="880"/>
      <c r="C119" s="880"/>
      <c r="D119" s="151" t="s">
        <v>183</v>
      </c>
      <c r="E119" s="95">
        <f>'21'!F119</f>
        <v>44739</v>
      </c>
      <c r="F119" s="237">
        <v>44783</v>
      </c>
      <c r="G119" s="112">
        <f t="shared" si="8"/>
        <v>44</v>
      </c>
      <c r="H119" s="99">
        <f>G119+'21'!H119</f>
        <v>843.82499999999709</v>
      </c>
      <c r="I119" s="165"/>
      <c r="J119" s="328">
        <f>H119/DAY(B2)</f>
        <v>38.355681818181687</v>
      </c>
    </row>
    <row r="120" spans="1:18" ht="25.5">
      <c r="A120" s="880" t="s">
        <v>99</v>
      </c>
      <c r="B120" s="880"/>
      <c r="C120" s="880"/>
      <c r="D120" s="151" t="s">
        <v>183</v>
      </c>
      <c r="E120" s="95">
        <f>'21'!F120</f>
        <v>116677</v>
      </c>
      <c r="F120" s="237">
        <v>117066</v>
      </c>
      <c r="G120" s="112">
        <f t="shared" si="8"/>
        <v>389</v>
      </c>
      <c r="H120" s="99">
        <f>G120+'21'!H120</f>
        <v>8628.86</v>
      </c>
      <c r="I120" s="165"/>
      <c r="J120" s="328">
        <f>H120/DAY(B2)</f>
        <v>392.22090909090912</v>
      </c>
    </row>
    <row r="121" spans="1:18" ht="25.5">
      <c r="A121" s="880" t="s">
        <v>100</v>
      </c>
      <c r="B121" s="880"/>
      <c r="C121" s="880"/>
      <c r="D121" s="151" t="s">
        <v>183</v>
      </c>
      <c r="E121" s="95">
        <f>'21'!F121</f>
        <v>130383</v>
      </c>
      <c r="F121" s="237">
        <v>130787</v>
      </c>
      <c r="G121" s="112">
        <f t="shared" si="8"/>
        <v>404</v>
      </c>
      <c r="H121" s="99">
        <f>G121+'21'!H121</f>
        <v>9564.11</v>
      </c>
      <c r="I121" s="165"/>
      <c r="J121" s="328">
        <f>H121/DAY(B2)</f>
        <v>434.73227272727274</v>
      </c>
    </row>
    <row r="122" spans="1:18" ht="25.5">
      <c r="A122" s="880" t="s">
        <v>101</v>
      </c>
      <c r="B122" s="880"/>
      <c r="C122" s="880"/>
      <c r="D122" s="151" t="s">
        <v>183</v>
      </c>
      <c r="E122" s="95">
        <f>'21'!F122</f>
        <v>87827</v>
      </c>
      <c r="F122" s="237">
        <v>88093</v>
      </c>
      <c r="G122" s="112">
        <f t="shared" si="8"/>
        <v>266</v>
      </c>
      <c r="H122" s="99">
        <f>G122+'21'!H122</f>
        <v>6818.6300000000047</v>
      </c>
      <c r="I122" s="165"/>
      <c r="J122" s="328">
        <f>H122/DAY(B2)</f>
        <v>309.9377272727275</v>
      </c>
    </row>
    <row r="123" spans="1:18" ht="25.5">
      <c r="A123" s="880" t="s">
        <v>102</v>
      </c>
      <c r="B123" s="880"/>
      <c r="C123" s="880"/>
      <c r="D123" s="151" t="s">
        <v>183</v>
      </c>
      <c r="E123" s="95">
        <f>'21'!F123</f>
        <v>84462</v>
      </c>
      <c r="F123" s="237">
        <v>84770</v>
      </c>
      <c r="G123" s="112">
        <f t="shared" si="8"/>
        <v>308</v>
      </c>
      <c r="H123" s="99">
        <f>G123+'21'!H123</f>
        <v>6821</v>
      </c>
      <c r="I123" s="165"/>
      <c r="J123" s="328">
        <f>H123/DAY(B2)</f>
        <v>310.04545454545456</v>
      </c>
    </row>
    <row r="124" spans="1:18" ht="29.25" customHeight="1">
      <c r="A124" s="885"/>
      <c r="B124" s="886"/>
      <c r="C124" s="887"/>
      <c r="D124" s="165"/>
      <c r="E124" s="95">
        <f>'21'!F124</f>
        <v>0</v>
      </c>
      <c r="F124" s="165"/>
      <c r="G124" s="327"/>
      <c r="H124" s="99">
        <f>G124+'21'!H124</f>
        <v>0</v>
      </c>
      <c r="I124" s="165"/>
      <c r="J124" s="327"/>
    </row>
    <row r="125" spans="1:18" ht="25.5">
      <c r="A125" s="787" t="s">
        <v>196</v>
      </c>
      <c r="B125" s="788"/>
      <c r="C125" s="245"/>
      <c r="D125" s="307"/>
      <c r="E125" s="308"/>
      <c r="F125" s="308"/>
      <c r="G125" s="309">
        <f>SUM(G112:G124)</f>
        <v>3233</v>
      </c>
      <c r="H125" s="156"/>
      <c r="I125" s="327">
        <f>G125-(G39+G53)</f>
        <v>553</v>
      </c>
      <c r="J125" s="327"/>
    </row>
    <row r="126" spans="1:18" ht="25.5">
      <c r="A126" s="884" t="s">
        <v>317</v>
      </c>
      <c r="B126" s="884"/>
      <c r="C126" s="884"/>
      <c r="D126" s="884"/>
      <c r="E126" s="884"/>
      <c r="F126" s="884"/>
      <c r="G126" s="884"/>
      <c r="H126" s="884"/>
      <c r="I126" s="884"/>
      <c r="J126" s="884"/>
    </row>
    <row r="127" spans="1:18" ht="25.5">
      <c r="A127" s="870"/>
      <c r="B127" s="870"/>
      <c r="C127" s="245"/>
      <c r="D127" s="307"/>
      <c r="E127" s="308"/>
      <c r="F127" s="308"/>
      <c r="G127" s="309"/>
      <c r="H127" s="99">
        <f>G127+'21'!H127</f>
        <v>0</v>
      </c>
      <c r="I127" s="165"/>
      <c r="J127" s="328">
        <f>H127/DAY(B2)</f>
        <v>0</v>
      </c>
    </row>
    <row r="128" spans="1:18" ht="29.25" customHeight="1">
      <c r="A128" s="881" t="s">
        <v>318</v>
      </c>
      <c r="B128" s="882"/>
      <c r="C128" s="883"/>
      <c r="D128" s="151" t="s">
        <v>183</v>
      </c>
      <c r="E128" s="95">
        <f>'21'!F128</f>
        <v>202403</v>
      </c>
      <c r="F128" s="165">
        <v>202874</v>
      </c>
      <c r="G128" s="112">
        <f t="shared" ref="G128:G134" si="9">F128-E128</f>
        <v>471</v>
      </c>
      <c r="H128" s="99">
        <f>G128+'21'!H128</f>
        <v>10988.369999999995</v>
      </c>
      <c r="I128" s="165"/>
      <c r="J128" s="328">
        <f>H128/DAY(B2)</f>
        <v>499.47136363636344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'21'!F129</f>
        <v>105028</v>
      </c>
      <c r="F129" s="165">
        <v>105192</v>
      </c>
      <c r="G129" s="112">
        <f t="shared" si="9"/>
        <v>164</v>
      </c>
      <c r="H129" s="99">
        <f>G129+'21'!H129</f>
        <v>3915</v>
      </c>
      <c r="I129" s="165"/>
      <c r="J129" s="328">
        <f>H129/DAY(B2)</f>
        <v>177.95454545454547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'21'!F130</f>
        <v>281248</v>
      </c>
      <c r="F130" s="165">
        <v>281848</v>
      </c>
      <c r="G130" s="112">
        <f t="shared" si="9"/>
        <v>600</v>
      </c>
      <c r="H130" s="99">
        <f>G130+'21'!H130</f>
        <v>13033</v>
      </c>
      <c r="I130" s="165"/>
      <c r="J130" s="328">
        <f>H130/DAY(B2)</f>
        <v>592.40909090909088</v>
      </c>
      <c r="N130" s="240"/>
      <c r="O130" s="241"/>
    </row>
    <row r="131" spans="1:15" ht="25.5">
      <c r="A131" s="881" t="s">
        <v>321</v>
      </c>
      <c r="B131" s="882"/>
      <c r="C131" s="883"/>
      <c r="D131" s="151" t="s">
        <v>183</v>
      </c>
      <c r="E131" s="95">
        <f>'21'!F131</f>
        <v>83273</v>
      </c>
      <c r="F131" s="165">
        <v>83412</v>
      </c>
      <c r="G131" s="112">
        <f t="shared" si="9"/>
        <v>139</v>
      </c>
      <c r="H131" s="99">
        <f>G131+'21'!H131</f>
        <v>3861.3699999999953</v>
      </c>
      <c r="I131" s="165"/>
      <c r="J131" s="328">
        <f>H131/DAY(B2)</f>
        <v>175.51681818181797</v>
      </c>
      <c r="N131" s="240"/>
      <c r="O131" s="241"/>
    </row>
    <row r="132" spans="1:15" ht="25.5">
      <c r="A132" s="881" t="s">
        <v>322</v>
      </c>
      <c r="B132" s="882"/>
      <c r="C132" s="883"/>
      <c r="D132" s="151" t="s">
        <v>183</v>
      </c>
      <c r="E132" s="95">
        <f>'21'!F132</f>
        <v>64518</v>
      </c>
      <c r="F132" s="165">
        <v>64809</v>
      </c>
      <c r="G132" s="112">
        <f t="shared" si="9"/>
        <v>291</v>
      </c>
      <c r="H132" s="99">
        <f>G132+'21'!H132</f>
        <v>584</v>
      </c>
      <c r="I132" s="165"/>
      <c r="J132" s="328">
        <f>H132/DAY(B2)</f>
        <v>26.545454545454547</v>
      </c>
    </row>
    <row r="133" spans="1:15" ht="25.5">
      <c r="A133" s="881" t="s">
        <v>359</v>
      </c>
      <c r="B133" s="882"/>
      <c r="C133" s="883"/>
      <c r="D133" s="151" t="s">
        <v>183</v>
      </c>
      <c r="E133" s="95">
        <f>'21'!F133</f>
        <v>288548</v>
      </c>
      <c r="F133" s="165">
        <v>288548</v>
      </c>
      <c r="G133" s="112">
        <f t="shared" si="9"/>
        <v>0</v>
      </c>
      <c r="H133" s="99">
        <f>G133+'21'!H133</f>
        <v>-644500</v>
      </c>
      <c r="I133" s="165"/>
      <c r="J133" s="328">
        <f>H133/DAY(B2)</f>
        <v>-29295.454545454544</v>
      </c>
    </row>
    <row r="134" spans="1:15" ht="25.5">
      <c r="A134" s="881" t="s">
        <v>340</v>
      </c>
      <c r="B134" s="882"/>
      <c r="C134" s="883"/>
      <c r="D134" s="151" t="s">
        <v>183</v>
      </c>
      <c r="E134" s="95">
        <f>'21'!F134</f>
        <v>91205</v>
      </c>
      <c r="F134" s="165">
        <v>91386</v>
      </c>
      <c r="G134" s="112">
        <f t="shared" si="9"/>
        <v>181</v>
      </c>
      <c r="H134" s="99">
        <f>G134+'21'!H134</f>
        <v>5434</v>
      </c>
      <c r="I134" s="165"/>
      <c r="J134" s="328">
        <f>H134/DAY(B2)</f>
        <v>247</v>
      </c>
    </row>
    <row r="135" spans="1:15" ht="25.5">
      <c r="A135" s="787" t="s">
        <v>196</v>
      </c>
      <c r="B135" s="788"/>
      <c r="C135" s="331"/>
      <c r="D135" s="151"/>
      <c r="E135" s="95"/>
      <c r="F135" s="165"/>
      <c r="G135" s="112">
        <f>SUM(G128:G134)</f>
        <v>1846</v>
      </c>
      <c r="H135" s="99">
        <f>G135+'10'!H135</f>
        <v>-626274.84499999997</v>
      </c>
      <c r="I135" s="327">
        <f>G135-(G35+G49)</f>
        <v>-910</v>
      </c>
      <c r="J135" s="328"/>
    </row>
    <row r="136" spans="1:15" ht="27.75">
      <c r="A136" s="869" t="s">
        <v>325</v>
      </c>
      <c r="B136" s="869"/>
      <c r="C136" s="869"/>
      <c r="D136" s="869"/>
      <c r="E136" s="869"/>
      <c r="F136" s="869"/>
      <c r="G136" s="869"/>
      <c r="H136" s="869"/>
      <c r="I136" s="869"/>
      <c r="J136" s="869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80" t="s">
        <v>185</v>
      </c>
      <c r="B138" s="880"/>
      <c r="C138" s="880"/>
      <c r="D138" s="151" t="s">
        <v>183</v>
      </c>
      <c r="E138" s="95">
        <f>'21'!F138</f>
        <v>911839</v>
      </c>
      <c r="F138" s="147">
        <v>911919</v>
      </c>
      <c r="G138" s="112">
        <f t="shared" ref="G138:G152" si="10">F138-E138</f>
        <v>80</v>
      </c>
      <c r="H138" s="99">
        <f>G138+'21'!H138</f>
        <v>2479</v>
      </c>
      <c r="I138" s="118"/>
      <c r="J138" s="328">
        <f>H138/DAY(B2)</f>
        <v>112.68181818181819</v>
      </c>
    </row>
    <row r="139" spans="1:15" ht="25.5">
      <c r="A139" s="880" t="s">
        <v>186</v>
      </c>
      <c r="B139" s="880"/>
      <c r="C139" s="880"/>
      <c r="D139" s="151" t="s">
        <v>183</v>
      </c>
      <c r="E139" s="95">
        <f>'21'!F139</f>
        <v>935689</v>
      </c>
      <c r="F139" s="148">
        <v>935835</v>
      </c>
      <c r="G139" s="112">
        <f t="shared" si="10"/>
        <v>146</v>
      </c>
      <c r="H139" s="99">
        <f>G139+'21'!H139</f>
        <v>3475</v>
      </c>
      <c r="I139" s="118"/>
      <c r="J139" s="328">
        <f>H139/DAY(B2)</f>
        <v>157.95454545454547</v>
      </c>
    </row>
    <row r="140" spans="1:15" ht="25.5">
      <c r="A140" s="880" t="s">
        <v>187</v>
      </c>
      <c r="B140" s="880"/>
      <c r="C140" s="880"/>
      <c r="D140" s="151" t="s">
        <v>183</v>
      </c>
      <c r="E140" s="95">
        <f>'21'!F140</f>
        <v>4520</v>
      </c>
      <c r="F140" s="149">
        <v>4547</v>
      </c>
      <c r="G140" s="112">
        <f t="shared" si="10"/>
        <v>27</v>
      </c>
      <c r="H140" s="99">
        <f>G140+'21'!H140</f>
        <v>513.48900000000003</v>
      </c>
      <c r="I140" s="118"/>
      <c r="J140" s="328">
        <f>H140/DAY(B2)</f>
        <v>23.340409090909091</v>
      </c>
    </row>
    <row r="141" spans="1:15" ht="25.5">
      <c r="A141" s="863" t="s">
        <v>188</v>
      </c>
      <c r="B141" s="863"/>
      <c r="C141" s="863"/>
      <c r="D141" s="151" t="s">
        <v>183</v>
      </c>
      <c r="E141" s="95">
        <f>'21'!F141</f>
        <v>129011</v>
      </c>
      <c r="F141" s="149">
        <v>129255</v>
      </c>
      <c r="G141" s="112">
        <f t="shared" si="10"/>
        <v>244</v>
      </c>
      <c r="H141" s="99">
        <f>G141+'21'!H141</f>
        <v>4657</v>
      </c>
      <c r="I141" s="118"/>
      <c r="J141" s="328">
        <f>H141/DAY(B2)</f>
        <v>211.68181818181819</v>
      </c>
    </row>
    <row r="142" spans="1:15" ht="25.5">
      <c r="A142" s="863" t="s">
        <v>189</v>
      </c>
      <c r="B142" s="863"/>
      <c r="C142" s="863"/>
      <c r="D142" s="151" t="s">
        <v>183</v>
      </c>
      <c r="E142" s="95">
        <f>'21'!F142</f>
        <v>52398</v>
      </c>
      <c r="F142" s="148">
        <v>52472</v>
      </c>
      <c r="G142" s="112">
        <f t="shared" si="10"/>
        <v>74</v>
      </c>
      <c r="H142" s="99">
        <f>G142+'21'!H142</f>
        <v>1906.4499999999971</v>
      </c>
      <c r="I142" s="140"/>
      <c r="J142" s="328">
        <f>H142/DAY(B2)</f>
        <v>86.656818181818053</v>
      </c>
    </row>
    <row r="143" spans="1:15" ht="25.5">
      <c r="A143" s="880" t="s">
        <v>91</v>
      </c>
      <c r="B143" s="880"/>
      <c r="C143" s="880"/>
      <c r="D143" s="151" t="s">
        <v>183</v>
      </c>
      <c r="E143" s="95">
        <f>'21'!F143</f>
        <v>14037</v>
      </c>
      <c r="F143" s="149">
        <v>14074</v>
      </c>
      <c r="G143" s="112">
        <f t="shared" si="10"/>
        <v>37</v>
      </c>
      <c r="H143" s="99">
        <f>G143+'21'!H143</f>
        <v>687</v>
      </c>
      <c r="I143" s="140"/>
      <c r="J143" s="328">
        <f>H143/DAY(B2)</f>
        <v>31.227272727272727</v>
      </c>
    </row>
    <row r="144" spans="1:15" ht="25.5">
      <c r="A144" s="863" t="s">
        <v>90</v>
      </c>
      <c r="B144" s="863"/>
      <c r="C144" s="863"/>
      <c r="D144" s="151" t="s">
        <v>183</v>
      </c>
      <c r="E144" s="95">
        <f>'21'!F144</f>
        <v>960585</v>
      </c>
      <c r="F144" s="149">
        <v>960835</v>
      </c>
      <c r="G144" s="112">
        <f t="shared" si="10"/>
        <v>250</v>
      </c>
      <c r="H144" s="99">
        <f>G144+'21'!H144</f>
        <v>5365</v>
      </c>
      <c r="I144" s="140"/>
      <c r="J144" s="328">
        <f>H144/DAY(B2)</f>
        <v>243.86363636363637</v>
      </c>
    </row>
    <row r="145" spans="1:10" ht="25.5">
      <c r="A145" s="880" t="s">
        <v>190</v>
      </c>
      <c r="B145" s="880"/>
      <c r="C145" s="880"/>
      <c r="D145" s="152" t="s">
        <v>183</v>
      </c>
      <c r="E145" s="95">
        <f>'21'!F145</f>
        <v>748798</v>
      </c>
      <c r="F145" s="149">
        <v>748971</v>
      </c>
      <c r="G145" s="112">
        <f t="shared" si="10"/>
        <v>173</v>
      </c>
      <c r="H145" s="99">
        <f>G145+'21'!H145</f>
        <v>3790</v>
      </c>
      <c r="I145" s="140"/>
      <c r="J145" s="328">
        <f>H145/DAY(B2)</f>
        <v>172.27272727272728</v>
      </c>
    </row>
    <row r="146" spans="1:10" ht="25.5">
      <c r="A146" s="914" t="s">
        <v>191</v>
      </c>
      <c r="B146" s="900"/>
      <c r="C146" s="901"/>
      <c r="D146" s="152" t="s">
        <v>183</v>
      </c>
      <c r="E146" s="95">
        <f>'21'!F146</f>
        <v>788650</v>
      </c>
      <c r="F146" s="148">
        <v>788674</v>
      </c>
      <c r="G146" s="112">
        <f t="shared" si="10"/>
        <v>24</v>
      </c>
      <c r="H146" s="99">
        <f>G146+'21'!H146</f>
        <v>816</v>
      </c>
      <c r="I146" s="140"/>
      <c r="J146" s="328">
        <f>H146/DAY(B2)</f>
        <v>37.090909090909093</v>
      </c>
    </row>
    <row r="147" spans="1:10" ht="25.5">
      <c r="A147" s="863" t="s">
        <v>192</v>
      </c>
      <c r="B147" s="863"/>
      <c r="C147" s="863"/>
      <c r="D147" s="152" t="s">
        <v>183</v>
      </c>
      <c r="E147" s="95">
        <f>'21'!F147</f>
        <v>767983</v>
      </c>
      <c r="F147" s="148">
        <v>768336</v>
      </c>
      <c r="G147" s="112">
        <f t="shared" si="10"/>
        <v>353</v>
      </c>
      <c r="H147" s="99">
        <f>G147+'21'!H147</f>
        <v>8198</v>
      </c>
      <c r="I147" s="140"/>
      <c r="J147" s="328">
        <f>H147/DAY(B2)</f>
        <v>372.63636363636363</v>
      </c>
    </row>
    <row r="148" spans="1:10" ht="25.5">
      <c r="A148" s="864" t="s">
        <v>193</v>
      </c>
      <c r="B148" s="865"/>
      <c r="C148" s="866"/>
      <c r="D148" s="123" t="s">
        <v>130</v>
      </c>
      <c r="E148" s="95">
        <f>'21'!F148</f>
        <v>803152</v>
      </c>
      <c r="F148" s="150">
        <v>803545</v>
      </c>
      <c r="G148" s="112">
        <f t="shared" si="10"/>
        <v>393</v>
      </c>
      <c r="H148" s="99">
        <f>G148+'21'!H148</f>
        <v>7132.9200000000419</v>
      </c>
      <c r="I148" s="124"/>
      <c r="J148" s="328">
        <f>H148/DAY(B2)</f>
        <v>324.22363636363826</v>
      </c>
    </row>
    <row r="149" spans="1:10" ht="25.5">
      <c r="A149" s="864" t="s">
        <v>336</v>
      </c>
      <c r="B149" s="865"/>
      <c r="C149" s="866"/>
      <c r="D149" s="227" t="s">
        <v>130</v>
      </c>
      <c r="E149" s="95">
        <f>'21'!F149</f>
        <v>210990</v>
      </c>
      <c r="F149" s="146">
        <v>211551</v>
      </c>
      <c r="G149" s="112">
        <f t="shared" si="10"/>
        <v>561</v>
      </c>
      <c r="H149" s="99">
        <f>G149+'21'!H149</f>
        <v>10259.73000000001</v>
      </c>
      <c r="I149" s="119"/>
      <c r="J149" s="328">
        <f>H149/DAY(B2)</f>
        <v>466.35136363636411</v>
      </c>
    </row>
    <row r="150" spans="1:10" ht="25.5">
      <c r="A150" s="864" t="s">
        <v>337</v>
      </c>
      <c r="B150" s="865"/>
      <c r="C150" s="866"/>
      <c r="D150" s="117" t="s">
        <v>130</v>
      </c>
      <c r="E150" s="95">
        <f>'21'!F150</f>
        <v>89962</v>
      </c>
      <c r="F150" s="233">
        <v>90208</v>
      </c>
      <c r="G150" s="112">
        <f t="shared" si="10"/>
        <v>246</v>
      </c>
      <c r="H150" s="99">
        <f>G150+'21'!H150</f>
        <v>7621</v>
      </c>
      <c r="I150" s="119"/>
      <c r="J150" s="328">
        <f>H150/DAY(B2)</f>
        <v>346.40909090909093</v>
      </c>
    </row>
    <row r="151" spans="1:10" ht="25.5">
      <c r="A151" s="864" t="s">
        <v>338</v>
      </c>
      <c r="B151" s="865"/>
      <c r="C151" s="866"/>
      <c r="D151" s="117" t="s">
        <v>130</v>
      </c>
      <c r="E151" s="95">
        <f>'21'!F151</f>
        <v>173095</v>
      </c>
      <c r="F151" s="233">
        <v>173409</v>
      </c>
      <c r="G151" s="112">
        <f t="shared" si="10"/>
        <v>314</v>
      </c>
      <c r="H151" s="99">
        <f>G151+'21'!H151</f>
        <v>6679</v>
      </c>
      <c r="I151" s="119"/>
      <c r="J151" s="328">
        <f>H151/DAY(B2)</f>
        <v>303.59090909090907</v>
      </c>
    </row>
    <row r="152" spans="1:10" ht="25.5">
      <c r="A152" s="864" t="s">
        <v>339</v>
      </c>
      <c r="B152" s="865"/>
      <c r="C152" s="866"/>
      <c r="D152" s="117" t="s">
        <v>130</v>
      </c>
      <c r="E152" s="95">
        <f>'21'!F152</f>
        <v>45287</v>
      </c>
      <c r="F152" s="233">
        <v>45420</v>
      </c>
      <c r="G152" s="112">
        <f t="shared" si="10"/>
        <v>133</v>
      </c>
      <c r="H152" s="99">
        <f>G152+'21'!H152</f>
        <v>2909</v>
      </c>
      <c r="I152" s="119"/>
      <c r="J152" s="328">
        <f>H152/DAY(B2)</f>
        <v>132.22727272727272</v>
      </c>
    </row>
    <row r="153" spans="1:10" ht="25.5">
      <c r="A153" s="787" t="s">
        <v>196</v>
      </c>
      <c r="B153" s="788"/>
      <c r="C153" s="365"/>
      <c r="D153" s="358"/>
      <c r="E153" s="360"/>
      <c r="F153" s="361"/>
      <c r="G153" s="362">
        <f>SUM(G138:G152)</f>
        <v>3055</v>
      </c>
      <c r="H153" s="363"/>
      <c r="I153" s="119">
        <f>G153-(G38+G52)</f>
        <v>498</v>
      </c>
      <c r="J153" s="366"/>
    </row>
    <row r="154" spans="1:10" ht="27.75">
      <c r="A154" s="869" t="s">
        <v>344</v>
      </c>
      <c r="B154" s="869"/>
      <c r="C154" s="869"/>
      <c r="D154" s="869"/>
      <c r="E154" s="869"/>
      <c r="F154" s="869"/>
      <c r="G154" s="869"/>
      <c r="H154" s="869"/>
      <c r="I154" s="869"/>
      <c r="J154" s="869"/>
    </row>
    <row r="155" spans="1:10" ht="27.75">
      <c r="A155" s="863" t="s">
        <v>345</v>
      </c>
      <c r="B155" s="863"/>
      <c r="C155" s="863"/>
      <c r="D155" s="117" t="s">
        <v>130</v>
      </c>
      <c r="E155" s="95">
        <f>'21'!F155</f>
        <v>250852</v>
      </c>
      <c r="F155" s="374">
        <v>251412</v>
      </c>
      <c r="G155" s="112">
        <f t="shared" ref="G155:G158" si="11">F155-E155</f>
        <v>560</v>
      </c>
      <c r="H155" s="99">
        <f>G155+'21'!H155</f>
        <v>12378</v>
      </c>
      <c r="I155" s="364"/>
      <c r="J155" s="328">
        <f>H155/DAY(B2)</f>
        <v>562.63636363636363</v>
      </c>
    </row>
    <row r="156" spans="1:10" ht="25.5">
      <c r="A156" s="863" t="s">
        <v>347</v>
      </c>
      <c r="B156" s="863"/>
      <c r="C156" s="863"/>
      <c r="D156" s="117" t="s">
        <v>130</v>
      </c>
      <c r="E156" s="95">
        <f>'21'!F156</f>
        <v>31596</v>
      </c>
      <c r="F156" s="155">
        <v>31688</v>
      </c>
      <c r="G156" s="112">
        <f t="shared" si="11"/>
        <v>92</v>
      </c>
      <c r="H156" s="99">
        <f>G156+'21'!H156</f>
        <v>2008.5</v>
      </c>
      <c r="I156" s="165"/>
      <c r="J156" s="328">
        <f>H156/DAY(B2)</f>
        <v>91.295454545454547</v>
      </c>
    </row>
    <row r="157" spans="1:10" ht="25.5">
      <c r="A157" s="864" t="s">
        <v>360</v>
      </c>
      <c r="B157" s="865"/>
      <c r="C157" s="866"/>
      <c r="D157" s="117" t="s">
        <v>130</v>
      </c>
      <c r="E157" s="95">
        <f>'21'!F157</f>
        <v>175493</v>
      </c>
      <c r="F157" s="155">
        <v>175518</v>
      </c>
      <c r="G157" s="112">
        <f t="shared" si="11"/>
        <v>25</v>
      </c>
      <c r="H157" s="99">
        <f>G157+'21'!H157</f>
        <v>65</v>
      </c>
      <c r="I157" s="165"/>
      <c r="J157" s="328">
        <f>H157/DAY(B2)</f>
        <v>2.9545454545454546</v>
      </c>
    </row>
    <row r="158" spans="1:10" ht="25.5">
      <c r="A158" s="864" t="s">
        <v>361</v>
      </c>
      <c r="B158" s="865"/>
      <c r="C158" s="866"/>
      <c r="D158" s="117" t="s">
        <v>130</v>
      </c>
      <c r="E158" s="95">
        <f>'21'!F158</f>
        <v>1773</v>
      </c>
      <c r="F158" s="155">
        <v>1774</v>
      </c>
      <c r="G158" s="112">
        <f t="shared" si="11"/>
        <v>1</v>
      </c>
      <c r="H158" s="99">
        <f>G158+'21'!H158</f>
        <v>1.2999999999999545</v>
      </c>
      <c r="I158" s="165"/>
      <c r="J158" s="328">
        <f>H158/DAY(B2)</f>
        <v>5.9090909090907022E-2</v>
      </c>
    </row>
    <row r="159" spans="1:10" ht="25.5">
      <c r="A159" s="944"/>
      <c r="B159" s="945"/>
      <c r="C159" s="946"/>
      <c r="D159" s="117"/>
      <c r="E159" s="95"/>
      <c r="F159" s="165"/>
      <c r="G159" s="112"/>
      <c r="H159" s="99"/>
      <c r="I159" s="165"/>
      <c r="J159" s="328"/>
    </row>
    <row r="160" spans="1:10" ht="27.75">
      <c r="A160" s="869" t="s">
        <v>326</v>
      </c>
      <c r="B160" s="869"/>
      <c r="C160" s="869"/>
      <c r="D160" s="869"/>
      <c r="E160" s="869"/>
      <c r="F160" s="869"/>
      <c r="G160" s="869"/>
      <c r="H160" s="869"/>
      <c r="I160" s="869"/>
      <c r="J160" s="869"/>
    </row>
    <row r="161" spans="1:10" ht="26.25">
      <c r="A161" s="242" t="s">
        <v>92</v>
      </c>
      <c r="B161" s="243"/>
      <c r="C161" s="243"/>
      <c r="D161" s="244" t="s">
        <v>180</v>
      </c>
      <c r="E161" s="95">
        <f>'21'!F161</f>
        <v>511561</v>
      </c>
      <c r="F161" s="235">
        <v>511618</v>
      </c>
      <c r="G161" s="238">
        <f t="shared" ref="G161:G165" si="12">F161-E161</f>
        <v>57</v>
      </c>
      <c r="H161" s="99">
        <f>G161+'21'!H161</f>
        <v>3234.679999999993</v>
      </c>
      <c r="I161" s="236"/>
      <c r="J161" s="239">
        <f>H161/DAY(B2)</f>
        <v>147.03090909090878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'21'!F162</f>
        <v>1496</v>
      </c>
      <c r="F162" s="235">
        <v>1515</v>
      </c>
      <c r="G162" s="238">
        <f t="shared" si="12"/>
        <v>19</v>
      </c>
      <c r="H162" s="99">
        <f>G162+'21'!H162</f>
        <v>778.4</v>
      </c>
      <c r="I162" s="236"/>
      <c r="J162" s="239">
        <f>H162/DAY(B2)</f>
        <v>35.381818181818183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'21'!F163</f>
        <v>0</v>
      </c>
      <c r="F163" s="235">
        <v>0</v>
      </c>
      <c r="G163" s="238">
        <f t="shared" si="12"/>
        <v>0</v>
      </c>
      <c r="H163" s="99">
        <f>G163+'21'!H163</f>
        <v>0</v>
      </c>
      <c r="I163" s="236"/>
      <c r="J163" s="239">
        <f>H163/DAY(B2)</f>
        <v>0</v>
      </c>
    </row>
    <row r="164" spans="1:10" ht="21.95" customHeight="1">
      <c r="A164" s="242" t="s">
        <v>197</v>
      </c>
      <c r="B164" s="243"/>
      <c r="C164" s="243"/>
      <c r="D164" s="244" t="s">
        <v>180</v>
      </c>
      <c r="E164" s="95">
        <f>'21'!F164</f>
        <v>7310</v>
      </c>
      <c r="F164" s="235">
        <v>7310</v>
      </c>
      <c r="G164" s="238">
        <f t="shared" si="12"/>
        <v>0</v>
      </c>
      <c r="H164" s="99">
        <f>G164+'21'!H164</f>
        <v>111</v>
      </c>
      <c r="I164" s="236"/>
      <c r="J164" s="239">
        <f>H164/DAY(B2)</f>
        <v>5.0454545454545459</v>
      </c>
    </row>
    <row r="165" spans="1:10" ht="21.95" customHeight="1">
      <c r="A165" s="242" t="s">
        <v>309</v>
      </c>
      <c r="B165" s="243"/>
      <c r="C165" s="243"/>
      <c r="D165" s="244" t="s">
        <v>180</v>
      </c>
      <c r="E165" s="95">
        <f>'21'!F165</f>
        <v>32915</v>
      </c>
      <c r="F165" s="235">
        <v>32921</v>
      </c>
      <c r="G165" s="238">
        <f t="shared" si="12"/>
        <v>6</v>
      </c>
      <c r="H165" s="99">
        <f>G165+'21'!H165</f>
        <v>140.91199999999662</v>
      </c>
      <c r="I165" s="236"/>
      <c r="J165" s="239">
        <f>H165/DAY(B2)</f>
        <v>6.405090909090756</v>
      </c>
    </row>
    <row r="166" spans="1:10" ht="21.95" customHeight="1">
      <c r="A166" s="870"/>
      <c r="B166" s="870"/>
      <c r="C166" s="246"/>
      <c r="D166" s="244" t="s">
        <v>180</v>
      </c>
      <c r="E166" s="95">
        <f>'21'!F166</f>
        <v>0</v>
      </c>
      <c r="F166" s="165"/>
      <c r="G166" s="165"/>
      <c r="H166" s="99">
        <f>G166+'21'!H166</f>
        <v>0</v>
      </c>
      <c r="I166" s="165"/>
      <c r="J166" s="239">
        <f>H166/DAY(B2)</f>
        <v>0</v>
      </c>
    </row>
    <row r="167" spans="1:10" ht="21.95" customHeight="1">
      <c r="A167" s="870"/>
      <c r="B167" s="870"/>
      <c r="C167" s="246"/>
      <c r="D167" s="244" t="s">
        <v>180</v>
      </c>
      <c r="E167" s="95">
        <f>'21'!F167</f>
        <v>0</v>
      </c>
      <c r="F167" s="165"/>
      <c r="G167" s="165"/>
      <c r="H167" s="99">
        <f>G167+'21'!H167</f>
        <v>0</v>
      </c>
      <c r="I167" s="165"/>
      <c r="J167" s="239">
        <f>H167/DAY(B2)</f>
        <v>0</v>
      </c>
    </row>
    <row r="168" spans="1:10" ht="21.95" customHeight="1">
      <c r="A168" s="870"/>
      <c r="B168" s="870"/>
      <c r="C168" s="246"/>
      <c r="D168" s="244" t="s">
        <v>180</v>
      </c>
      <c r="E168" s="95">
        <f>'21'!F168</f>
        <v>0</v>
      </c>
      <c r="F168" s="165"/>
      <c r="G168" s="165"/>
      <c r="H168" s="99">
        <f>G168+'21'!H168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71" t="s">
        <v>330</v>
      </c>
      <c r="B171" s="872"/>
      <c r="C171" s="872"/>
      <c r="D171" s="872"/>
      <c r="E171" s="872"/>
      <c r="F171" s="872"/>
      <c r="G171" s="872"/>
      <c r="H171" s="872"/>
      <c r="I171" s="872"/>
      <c r="J171" s="873"/>
    </row>
    <row r="172" spans="1:10" ht="25.5">
      <c r="A172" s="878"/>
      <c r="B172" s="879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789" t="s">
        <v>209</v>
      </c>
      <c r="B173" s="790"/>
      <c r="C173" s="333"/>
      <c r="D173" s="228" t="s">
        <v>142</v>
      </c>
      <c r="E173" s="95">
        <f>'21'!F173</f>
        <v>8606</v>
      </c>
      <c r="F173" s="155">
        <v>8606</v>
      </c>
      <c r="G173" s="155">
        <f>F173-E173</f>
        <v>0</v>
      </c>
      <c r="H173" s="99">
        <f>G173+'21'!H173</f>
        <v>24</v>
      </c>
      <c r="I173" s="155"/>
      <c r="J173" s="178">
        <f>H173/DAY(B2)</f>
        <v>1.0909090909090908</v>
      </c>
    </row>
    <row r="174" spans="1:10" ht="25.5">
      <c r="A174" s="789" t="s">
        <v>75</v>
      </c>
      <c r="B174" s="790"/>
      <c r="C174" s="333"/>
      <c r="D174" s="228" t="s">
        <v>142</v>
      </c>
      <c r="E174" s="95">
        <f>'21'!F174</f>
        <v>43301</v>
      </c>
      <c r="F174" s="157">
        <v>43314</v>
      </c>
      <c r="G174" s="155">
        <f t="shared" ref="G174:G175" si="13">F174-E174</f>
        <v>13</v>
      </c>
      <c r="H174" s="99">
        <f>G174+'21'!H174</f>
        <v>264</v>
      </c>
      <c r="I174" s="155"/>
      <c r="J174" s="178">
        <f>H174/DAY(B2)</f>
        <v>12</v>
      </c>
    </row>
    <row r="175" spans="1:10" ht="25.5">
      <c r="A175" s="789" t="s">
        <v>76</v>
      </c>
      <c r="B175" s="802"/>
      <c r="C175" s="790"/>
      <c r="D175" s="228" t="s">
        <v>142</v>
      </c>
      <c r="E175" s="95">
        <f>'21'!F175</f>
        <v>26142</v>
      </c>
      <c r="F175" s="155">
        <v>26158</v>
      </c>
      <c r="G175" s="155">
        <f t="shared" si="13"/>
        <v>16</v>
      </c>
      <c r="H175" s="99">
        <f>G175+'21'!H175</f>
        <v>337</v>
      </c>
      <c r="I175" s="155"/>
      <c r="J175" s="178">
        <f>H175/DAY(B2)</f>
        <v>15.318181818181818</v>
      </c>
    </row>
    <row r="176" spans="1:10" ht="25.5">
      <c r="A176" s="787" t="s">
        <v>196</v>
      </c>
      <c r="B176" s="788"/>
      <c r="C176" s="400"/>
      <c r="D176" s="228" t="s">
        <v>142</v>
      </c>
      <c r="E176" s="95"/>
      <c r="F176" s="155"/>
      <c r="G176" s="155">
        <f>SUM(G173:G175)</f>
        <v>29</v>
      </c>
      <c r="H176" s="99">
        <f>G176+'21'!H176</f>
        <v>625</v>
      </c>
      <c r="I176" s="155"/>
      <c r="J176" s="178">
        <f>H176/DAY(B2)</f>
        <v>28.40909090909091</v>
      </c>
    </row>
    <row r="177" spans="1:10" ht="25.5">
      <c r="A177" s="789" t="s">
        <v>77</v>
      </c>
      <c r="B177" s="790"/>
      <c r="C177" s="333"/>
      <c r="D177" s="228" t="s">
        <v>142</v>
      </c>
      <c r="E177" s="95"/>
      <c r="F177" s="155"/>
      <c r="G177" s="155"/>
      <c r="H177" s="99">
        <f>G177+'21'!H177</f>
        <v>0</v>
      </c>
      <c r="I177" s="155"/>
      <c r="J177" s="178">
        <f>H177/DAY(B2)</f>
        <v>0</v>
      </c>
    </row>
    <row r="178" spans="1:10" ht="25.5">
      <c r="A178" s="789" t="s">
        <v>210</v>
      </c>
      <c r="B178" s="790"/>
      <c r="C178" s="333"/>
      <c r="D178" s="228" t="s">
        <v>142</v>
      </c>
      <c r="E178" s="95">
        <f>'21'!F178</f>
        <v>109334</v>
      </c>
      <c r="F178" s="155">
        <v>109425</v>
      </c>
      <c r="G178" s="155">
        <f>F178-E178</f>
        <v>91</v>
      </c>
      <c r="H178" s="99">
        <f>G178+'21'!H178</f>
        <v>2426</v>
      </c>
      <c r="I178" s="155"/>
      <c r="J178" s="178">
        <f>H178/DAY(B2)</f>
        <v>110.27272727272727</v>
      </c>
    </row>
    <row r="179" spans="1:10" ht="25.5">
      <c r="A179" s="789" t="s">
        <v>211</v>
      </c>
      <c r="B179" s="790"/>
      <c r="C179" s="333"/>
      <c r="D179" s="228" t="s">
        <v>142</v>
      </c>
      <c r="E179" s="95">
        <f>'21'!F179</f>
        <v>37501</v>
      </c>
      <c r="F179" s="155">
        <v>37501</v>
      </c>
      <c r="G179" s="155">
        <f t="shared" ref="G179:G180" si="14">F179-E179</f>
        <v>0</v>
      </c>
      <c r="H179" s="99">
        <f>G179+'21'!H179</f>
        <v>0</v>
      </c>
      <c r="I179" s="155"/>
      <c r="J179" s="178">
        <f>H179/DAY(B2)</f>
        <v>0</v>
      </c>
    </row>
    <row r="180" spans="1:10" ht="25.5">
      <c r="A180" s="789" t="s">
        <v>212</v>
      </c>
      <c r="B180" s="790"/>
      <c r="C180" s="333"/>
      <c r="D180" s="228" t="s">
        <v>142</v>
      </c>
      <c r="E180" s="95">
        <f>'21'!F180</f>
        <v>7662</v>
      </c>
      <c r="F180" s="155">
        <v>7662</v>
      </c>
      <c r="G180" s="374">
        <f t="shared" si="14"/>
        <v>0</v>
      </c>
      <c r="H180" s="99">
        <f>G180+'21'!H180</f>
        <v>99</v>
      </c>
      <c r="I180" s="155"/>
      <c r="J180" s="178">
        <f>H180/DAY(B2)</f>
        <v>4.5</v>
      </c>
    </row>
    <row r="181" spans="1:10" ht="27.75" customHeight="1">
      <c r="A181" s="876" t="s">
        <v>108</v>
      </c>
      <c r="B181" s="877"/>
      <c r="C181" s="400"/>
      <c r="D181" s="228" t="s">
        <v>142</v>
      </c>
      <c r="E181" s="95"/>
      <c r="F181" s="155"/>
      <c r="G181" s="155">
        <f>SUM(G178:G180)</f>
        <v>91</v>
      </c>
      <c r="H181" s="99">
        <f>G181+'21'!H181</f>
        <v>2525</v>
      </c>
      <c r="I181" s="155"/>
      <c r="J181" s="178">
        <f>H181/DAY(B2)</f>
        <v>114.77272727272727</v>
      </c>
    </row>
    <row r="182" spans="1:10" ht="25.5">
      <c r="A182" s="789" t="s">
        <v>213</v>
      </c>
      <c r="B182" s="790"/>
      <c r="C182" s="333"/>
      <c r="D182" s="228" t="s">
        <v>142</v>
      </c>
      <c r="E182" s="95"/>
      <c r="F182" s="155"/>
      <c r="G182" s="155"/>
      <c r="H182" s="99">
        <f>G182+'21'!H182</f>
        <v>0</v>
      </c>
      <c r="I182" s="155"/>
      <c r="J182" s="178">
        <f>H182/DAY(B2)</f>
        <v>0</v>
      </c>
    </row>
    <row r="183" spans="1:10" ht="25.5">
      <c r="A183" s="789" t="s">
        <v>214</v>
      </c>
      <c r="B183" s="790"/>
      <c r="C183" s="334"/>
      <c r="D183" s="228" t="s">
        <v>142</v>
      </c>
      <c r="E183" s="95">
        <f>'21'!F183</f>
        <v>18501</v>
      </c>
      <c r="F183" s="157">
        <v>18506</v>
      </c>
      <c r="G183" s="157">
        <f>F183-E183</f>
        <v>5</v>
      </c>
      <c r="H183" s="99">
        <f>G183+'21'!H183</f>
        <v>128</v>
      </c>
      <c r="I183" s="155"/>
      <c r="J183" s="178">
        <f>H183/DAY(B2)</f>
        <v>5.8181818181818183</v>
      </c>
    </row>
    <row r="184" spans="1:10" ht="25.5">
      <c r="A184" s="789" t="s">
        <v>215</v>
      </c>
      <c r="B184" s="790"/>
      <c r="C184" s="334"/>
      <c r="D184" s="228" t="s">
        <v>142</v>
      </c>
      <c r="E184" s="95">
        <f>'21'!F184</f>
        <v>13174</v>
      </c>
      <c r="F184" s="157">
        <v>13184</v>
      </c>
      <c r="G184" s="157">
        <f t="shared" ref="G184:G185" si="15">F184-E184</f>
        <v>10</v>
      </c>
      <c r="H184" s="99">
        <f>G184+'21'!H184</f>
        <v>204</v>
      </c>
      <c r="I184" s="155"/>
      <c r="J184" s="178">
        <f>H184/DAY(B2)</f>
        <v>9.2727272727272734</v>
      </c>
    </row>
    <row r="185" spans="1:10" ht="25.5">
      <c r="A185" s="789" t="s">
        <v>216</v>
      </c>
      <c r="B185" s="790"/>
      <c r="C185" s="334"/>
      <c r="D185" s="228" t="s">
        <v>142</v>
      </c>
      <c r="E185" s="95">
        <f>'21'!F185</f>
        <v>0</v>
      </c>
      <c r="F185" s="157"/>
      <c r="G185" s="157">
        <f t="shared" si="15"/>
        <v>0</v>
      </c>
      <c r="H185" s="99">
        <f>G185+'21'!H185</f>
        <v>0</v>
      </c>
      <c r="I185" s="155"/>
      <c r="J185" s="178">
        <f>H185/DAY(B2)</f>
        <v>0</v>
      </c>
    </row>
    <row r="186" spans="1:10" ht="25.5">
      <c r="A186" s="787" t="s">
        <v>196</v>
      </c>
      <c r="B186" s="788"/>
      <c r="C186" s="399"/>
      <c r="D186" s="228" t="s">
        <v>142</v>
      </c>
      <c r="E186" s="95"/>
      <c r="F186" s="157"/>
      <c r="G186" s="157">
        <f>SUM(G183:G185)</f>
        <v>15</v>
      </c>
      <c r="H186" s="99">
        <f>G186+'21'!H186</f>
        <v>332</v>
      </c>
      <c r="I186" s="157"/>
      <c r="J186" s="178">
        <f>H186/DAY(B2)</f>
        <v>15.090909090909092</v>
      </c>
    </row>
    <row r="187" spans="1:10" ht="25.5">
      <c r="A187" s="867" t="s">
        <v>217</v>
      </c>
      <c r="B187" s="868"/>
      <c r="C187" s="333"/>
      <c r="D187" s="230" t="s">
        <v>142</v>
      </c>
      <c r="E187" s="95"/>
      <c r="F187" s="159"/>
      <c r="G187" s="377">
        <f>G62+G19</f>
        <v>215</v>
      </c>
      <c r="H187" s="99">
        <f>G187+'21'!H187</f>
        <v>3523</v>
      </c>
      <c r="I187" s="158"/>
      <c r="J187" s="179">
        <f>H187/DAY(B2)</f>
        <v>160.13636363636363</v>
      </c>
    </row>
    <row r="188" spans="1:10" ht="25.5">
      <c r="A188" s="867" t="s">
        <v>218</v>
      </c>
      <c r="B188" s="868"/>
      <c r="C188" s="333"/>
      <c r="D188" s="230" t="s">
        <v>142</v>
      </c>
      <c r="E188" s="95"/>
      <c r="F188" s="159"/>
      <c r="G188" s="377">
        <f>G65+G66+G67+G69+G70</f>
        <v>232</v>
      </c>
      <c r="H188" s="99">
        <f>G188+'21'!H188</f>
        <v>1452</v>
      </c>
      <c r="I188" s="158"/>
      <c r="J188" s="179">
        <f>H188/DAY(B2)</f>
        <v>66</v>
      </c>
    </row>
    <row r="189" spans="1:10" ht="25.5">
      <c r="A189" s="867" t="s">
        <v>219</v>
      </c>
      <c r="B189" s="868"/>
      <c r="C189" s="333"/>
      <c r="D189" s="230" t="s">
        <v>142</v>
      </c>
      <c r="E189" s="95"/>
      <c r="F189" s="157"/>
      <c r="G189" s="376">
        <f>G181</f>
        <v>91</v>
      </c>
      <c r="H189" s="99">
        <f>G189+'21'!H189</f>
        <v>404</v>
      </c>
      <c r="I189" s="158"/>
      <c r="J189" s="179">
        <f>H189/DAY(B2)</f>
        <v>18.363636363636363</v>
      </c>
    </row>
    <row r="190" spans="1:10" ht="25.5">
      <c r="A190" s="874"/>
      <c r="B190" s="875"/>
      <c r="C190" s="398"/>
      <c r="D190" s="395"/>
      <c r="E190" s="395" t="s">
        <v>207</v>
      </c>
      <c r="F190" s="395"/>
      <c r="G190" s="395"/>
      <c r="H190" s="396"/>
      <c r="I190" s="395"/>
      <c r="J190" s="397"/>
    </row>
    <row r="191" spans="1:10" ht="26.25"/>
    <row r="192" spans="1:10" ht="26.25"/>
  </sheetData>
  <mergeCells count="115">
    <mergeCell ref="A133:C133"/>
    <mergeCell ref="A134:C134"/>
    <mergeCell ref="A80:C80"/>
    <mergeCell ref="A81:C81"/>
    <mergeCell ref="A123:C123"/>
    <mergeCell ref="A93:C93"/>
    <mergeCell ref="A94:C94"/>
    <mergeCell ref="A95:C95"/>
    <mergeCell ref="A96:C96"/>
    <mergeCell ref="A109:B109"/>
    <mergeCell ref="A97:C97"/>
    <mergeCell ref="A98:C98"/>
    <mergeCell ref="A105:C105"/>
    <mergeCell ref="A108:J108"/>
    <mergeCell ref="A110:J110"/>
    <mergeCell ref="A99:C99"/>
    <mergeCell ref="A100:C100"/>
    <mergeCell ref="A101:C101"/>
    <mergeCell ref="A102:C102"/>
    <mergeCell ref="A103:C103"/>
    <mergeCell ref="A104:C104"/>
    <mergeCell ref="A79:C79"/>
    <mergeCell ref="A33:C33"/>
    <mergeCell ref="A61:C61"/>
    <mergeCell ref="A62:C62"/>
    <mergeCell ref="A63:C63"/>
    <mergeCell ref="A71:C71"/>
    <mergeCell ref="A73:C73"/>
    <mergeCell ref="A72:B72"/>
    <mergeCell ref="A78:C78"/>
    <mergeCell ref="A74:C74"/>
    <mergeCell ref="A75:C75"/>
    <mergeCell ref="A76:C76"/>
    <mergeCell ref="A77:C77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59:C159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9:C119"/>
    <mergeCell ref="A120:C120"/>
    <mergeCell ref="A121:C121"/>
    <mergeCell ref="A122:C122"/>
    <mergeCell ref="A116:C116"/>
    <mergeCell ref="A135:B135"/>
    <mergeCell ref="A124:C124"/>
    <mergeCell ref="A125:B125"/>
    <mergeCell ref="A126:J126"/>
    <mergeCell ref="A127:B127"/>
    <mergeCell ref="A128:C128"/>
    <mergeCell ref="A131:C131"/>
    <mergeCell ref="A132:C132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36:J136"/>
    <mergeCell ref="A138:C138"/>
    <mergeCell ref="A139:C139"/>
    <mergeCell ref="A140:C140"/>
    <mergeCell ref="A141:C141"/>
    <mergeCell ref="A148:C148"/>
    <mergeCell ref="A149:C149"/>
    <mergeCell ref="A143:C143"/>
    <mergeCell ref="A144:C144"/>
    <mergeCell ref="A145:C145"/>
    <mergeCell ref="A146:C146"/>
    <mergeCell ref="A147:C147"/>
    <mergeCell ref="A142:C142"/>
    <mergeCell ref="A160:J160"/>
    <mergeCell ref="A166:B166"/>
    <mergeCell ref="A167:B16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68:B168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R190"/>
  <sheetViews>
    <sheetView view="pageBreakPreview" topLeftCell="A157" zoomScale="50" zoomScaleNormal="80" zoomScaleSheetLayoutView="50" workbookViewId="0">
      <selection activeCell="G88" sqref="G88:G90"/>
    </sheetView>
  </sheetViews>
  <sheetFormatPr defaultColWidth="22.33203125" defaultRowHeight="30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>
      <c r="A1" s="919" t="s">
        <v>115</v>
      </c>
      <c r="B1" s="920"/>
      <c r="C1" s="920"/>
      <c r="D1" s="920"/>
      <c r="E1" s="920"/>
      <c r="F1" s="920"/>
      <c r="G1" s="920"/>
      <c r="H1" s="920"/>
      <c r="I1" s="920"/>
      <c r="J1" s="921"/>
    </row>
    <row r="2" spans="1:15" s="57" customFormat="1" ht="30.75" customHeight="1">
      <c r="A2" s="191" t="s">
        <v>349</v>
      </c>
      <c r="B2" s="262">
        <v>44949</v>
      </c>
      <c r="C2" s="348" t="s">
        <v>67</v>
      </c>
      <c r="D2" s="218">
        <v>0.78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>
      <c r="A3" s="189"/>
      <c r="B3" s="221"/>
      <c r="C3" s="348" t="s">
        <v>118</v>
      </c>
      <c r="D3" s="219">
        <v>29</v>
      </c>
      <c r="E3" s="928" t="s">
        <v>119</v>
      </c>
      <c r="F3" s="929"/>
      <c r="G3" s="101"/>
      <c r="H3" s="102"/>
      <c r="I3" s="102"/>
      <c r="J3" s="222"/>
      <c r="K3" s="61"/>
      <c r="L3" s="58"/>
    </row>
    <row r="4" spans="1:15" s="57" customFormat="1" ht="30.75" customHeight="1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>
      <c r="A6" s="922" t="s">
        <v>128</v>
      </c>
      <c r="B6" s="923"/>
      <c r="C6" s="92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>
      <c r="A7" s="194" t="s">
        <v>129</v>
      </c>
      <c r="B7" s="195"/>
      <c r="C7" s="195"/>
      <c r="D7" s="151" t="s">
        <v>130</v>
      </c>
      <c r="E7" s="95">
        <f>'22'!F7</f>
        <v>433700</v>
      </c>
      <c r="F7" s="95">
        <v>453473.8</v>
      </c>
      <c r="G7" s="112">
        <f>F7-E7</f>
        <v>19773.799999999988</v>
      </c>
      <c r="H7" s="99">
        <f>G7+'22'!H7</f>
        <v>475854.8</v>
      </c>
      <c r="I7" s="113">
        <f>'1'!I7</f>
        <v>12000</v>
      </c>
      <c r="J7" s="175">
        <f>H7/DAY(B2)</f>
        <v>20689.339130434782</v>
      </c>
      <c r="K7" s="172">
        <v>1375467</v>
      </c>
      <c r="L7" s="66"/>
      <c r="N7" s="87"/>
      <c r="O7" s="71"/>
    </row>
    <row r="8" spans="1:15" ht="30.75" customHeight="1" thickBot="1">
      <c r="A8" s="196" t="s">
        <v>131</v>
      </c>
      <c r="B8" s="197"/>
      <c r="C8" s="198"/>
      <c r="D8" s="224" t="s">
        <v>24</v>
      </c>
      <c r="E8" s="95">
        <f>'22'!F8</f>
        <v>622662</v>
      </c>
      <c r="F8" s="114">
        <v>642911</v>
      </c>
      <c r="G8" s="115">
        <f>F8-E8</f>
        <v>20249</v>
      </c>
      <c r="H8" s="99">
        <f>G8+'22'!H8</f>
        <v>485054</v>
      </c>
      <c r="I8" s="116"/>
      <c r="J8" s="175">
        <f>H8/DAY(B2)</f>
        <v>21089.304347826088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>
      <c r="A9" s="199" t="s">
        <v>132</v>
      </c>
      <c r="B9" s="200"/>
      <c r="C9" s="200"/>
      <c r="D9" s="151" t="s">
        <v>130</v>
      </c>
      <c r="E9" s="95">
        <f>'22'!F9</f>
        <v>4719067</v>
      </c>
      <c r="F9" s="468">
        <v>4730547.0999999996</v>
      </c>
      <c r="G9" s="112">
        <f>F9-E9</f>
        <v>11480.099999999627</v>
      </c>
      <c r="H9" s="99">
        <f>G9+'22'!H9</f>
        <v>313941.19999999925</v>
      </c>
      <c r="I9" s="124">
        <f>I7-J7</f>
        <v>-8689.3391304347824</v>
      </c>
      <c r="J9" s="175">
        <f>H9/DAY(B2)</f>
        <v>13649.617391304315</v>
      </c>
      <c r="K9" s="79">
        <f>K8-100</f>
        <v>1715817</v>
      </c>
      <c r="L9" s="66"/>
      <c r="N9" s="87"/>
      <c r="O9" s="71"/>
    </row>
    <row r="10" spans="1:15" ht="30.75" customHeight="1">
      <c r="A10" s="194" t="s">
        <v>133</v>
      </c>
      <c r="B10" s="195"/>
      <c r="C10" s="195"/>
      <c r="D10" s="151" t="s">
        <v>130</v>
      </c>
      <c r="E10" s="95">
        <f>'22'!F10</f>
        <v>4212861</v>
      </c>
      <c r="F10" s="353">
        <v>4220626.5999999996</v>
      </c>
      <c r="G10" s="112">
        <f t="shared" ref="G10:G11" si="0">F10-E10</f>
        <v>7765.5999999996275</v>
      </c>
      <c r="H10" s="99">
        <f>G10+'22'!H10</f>
        <v>150590.29999999981</v>
      </c>
      <c r="I10" s="282"/>
      <c r="J10" s="175">
        <f>H10/DAY(B2)</f>
        <v>6547.4043478260792</v>
      </c>
      <c r="K10" s="79"/>
      <c r="L10" s="66"/>
      <c r="N10" s="87"/>
      <c r="O10" s="71"/>
    </row>
    <row r="11" spans="1:15" ht="30.75" customHeight="1">
      <c r="A11" s="194" t="s">
        <v>134</v>
      </c>
      <c r="B11" s="195"/>
      <c r="C11" s="195"/>
      <c r="D11" s="151" t="s">
        <v>130</v>
      </c>
      <c r="E11" s="95">
        <f>'22'!F11</f>
        <v>38700</v>
      </c>
      <c r="F11" s="95">
        <v>38700</v>
      </c>
      <c r="G11" s="112">
        <f t="shared" si="0"/>
        <v>0</v>
      </c>
      <c r="H11" s="99">
        <f>G11+'22'!H11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0.75" customHeight="1">
      <c r="A12" s="194" t="s">
        <v>135</v>
      </c>
      <c r="B12" s="195"/>
      <c r="C12" s="195"/>
      <c r="D12" s="151" t="s">
        <v>130</v>
      </c>
      <c r="E12" s="95">
        <f>'22'!F12</f>
        <v>40550</v>
      </c>
      <c r="F12" s="117">
        <v>40550</v>
      </c>
      <c r="G12" s="112">
        <v>0</v>
      </c>
      <c r="H12" s="99">
        <f>G12+'22'!H12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19245.699999999255</v>
      </c>
      <c r="H13" s="99">
        <f>G13+'22'!H13</f>
        <v>464531.49999999907</v>
      </c>
      <c r="I13" s="120">
        <f>G7-G13</f>
        <v>528.10000000073342</v>
      </c>
      <c r="J13" s="175">
        <f>H13/DAY(B2)</f>
        <v>20197.021739130396</v>
      </c>
      <c r="K13" s="79"/>
      <c r="L13" s="66"/>
      <c r="N13" s="87"/>
      <c r="O13" s="71"/>
    </row>
    <row r="14" spans="1:15" ht="30.75" customHeight="1">
      <c r="A14" s="925" t="s">
        <v>137</v>
      </c>
      <c r="B14" s="926"/>
      <c r="C14" s="92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>
      <c r="A15" s="345" t="s">
        <v>138</v>
      </c>
      <c r="B15" s="205"/>
      <c r="C15" s="205"/>
      <c r="D15" s="151" t="s">
        <v>139</v>
      </c>
      <c r="E15" s="95">
        <f>'22'!F15</f>
        <v>2278165</v>
      </c>
      <c r="F15" s="468">
        <f>1201+2278165</f>
        <v>2279366</v>
      </c>
      <c r="G15" s="112">
        <f>(F15-E15)</f>
        <v>1201</v>
      </c>
      <c r="H15" s="99">
        <f>G15+'22'!H15</f>
        <v>26064.641999999993</v>
      </c>
      <c r="I15" s="113">
        <f>'1'!I15</f>
        <v>800</v>
      </c>
      <c r="J15" s="175">
        <f>H15/DAY(B2)</f>
        <v>1133.2453043478258</v>
      </c>
      <c r="K15" s="79"/>
      <c r="L15" s="66"/>
      <c r="N15" s="87"/>
      <c r="O15" s="71"/>
    </row>
    <row r="16" spans="1:15" ht="30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-333.24530434782582</v>
      </c>
      <c r="J16" s="176"/>
      <c r="K16" s="79"/>
      <c r="L16" s="66"/>
      <c r="N16" s="87"/>
      <c r="O16" s="71"/>
    </row>
    <row r="17" spans="1:15" ht="30.75" customHeight="1">
      <c r="A17" s="925" t="s">
        <v>140</v>
      </c>
      <c r="B17" s="926"/>
      <c r="C17" s="92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>
      <c r="A18" s="902" t="s">
        <v>141</v>
      </c>
      <c r="B18" s="903"/>
      <c r="C18" s="904"/>
      <c r="D18" s="151" t="s">
        <v>142</v>
      </c>
      <c r="E18" s="95">
        <f>'22'!F18</f>
        <v>22</v>
      </c>
      <c r="F18" s="122">
        <v>22</v>
      </c>
      <c r="G18" s="119">
        <f>F18*10</f>
        <v>220</v>
      </c>
      <c r="H18" s="99">
        <f>G18+'22'!H18</f>
        <v>4850</v>
      </c>
      <c r="I18" s="113">
        <f>'1'!I18</f>
        <v>65</v>
      </c>
      <c r="J18" s="175">
        <f>H18/DAY(B2)</f>
        <v>210.86956521739131</v>
      </c>
      <c r="K18" s="79"/>
      <c r="L18" s="66"/>
      <c r="N18" s="87"/>
      <c r="O18" s="71"/>
    </row>
    <row r="19" spans="1:15" ht="30.75" customHeight="1">
      <c r="A19" s="902" t="s">
        <v>69</v>
      </c>
      <c r="B19" s="903"/>
      <c r="C19" s="904"/>
      <c r="D19" s="151" t="s">
        <v>142</v>
      </c>
      <c r="E19" s="95">
        <f>'22'!F19</f>
        <v>170817</v>
      </c>
      <c r="F19" s="122">
        <v>170872</v>
      </c>
      <c r="G19" s="112">
        <f t="shared" ref="G19" si="1">F19-E19</f>
        <v>55</v>
      </c>
      <c r="H19" s="99">
        <f>G19+'22'!H19</f>
        <v>1307</v>
      </c>
      <c r="I19" s="335"/>
      <c r="J19" s="175">
        <f>H19/DAY(B2)</f>
        <v>56.826086956521742</v>
      </c>
      <c r="K19" s="79"/>
      <c r="L19" s="66"/>
      <c r="N19" s="87"/>
      <c r="O19" s="71"/>
    </row>
    <row r="20" spans="1:15" ht="30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275</v>
      </c>
      <c r="H20" s="99">
        <f>G20+'22'!H20</f>
        <v>6157</v>
      </c>
      <c r="I20" s="336">
        <f>I18-J20</f>
        <v>-202.69565217391306</v>
      </c>
      <c r="J20" s="175">
        <f>H20/DAY(B2)</f>
        <v>267.69565217391306</v>
      </c>
      <c r="K20" s="79"/>
      <c r="L20" s="66"/>
      <c r="N20" s="87"/>
      <c r="O20" s="71"/>
    </row>
    <row r="21" spans="1:15" ht="30.75" customHeight="1">
      <c r="A21" s="925" t="s">
        <v>144</v>
      </c>
      <c r="B21" s="926"/>
      <c r="C21" s="92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>
      <c r="A22" s="345" t="s">
        <v>145</v>
      </c>
      <c r="B22" s="205"/>
      <c r="C22" s="205"/>
      <c r="D22" s="151" t="s">
        <v>146</v>
      </c>
      <c r="E22" s="95">
        <f>'22'!F22</f>
        <v>2970</v>
      </c>
      <c r="F22" s="122">
        <v>2970</v>
      </c>
      <c r="G22" s="119">
        <f t="shared" ref="G22" si="2">(F22-E22)</f>
        <v>0</v>
      </c>
      <c r="H22" s="99">
        <f>G22+'22'!H22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>
      <c r="A23" s="345" t="s">
        <v>147</v>
      </c>
      <c r="B23" s="205"/>
      <c r="C23" s="205"/>
      <c r="D23" s="151" t="s">
        <v>146</v>
      </c>
      <c r="E23" s="95">
        <f>'22'!F23</f>
        <v>1860</v>
      </c>
      <c r="F23" s="122">
        <v>1860</v>
      </c>
      <c r="G23" s="119">
        <v>0</v>
      </c>
      <c r="H23" s="99">
        <f>G23+'22'!H23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>
      <c r="A24" s="206" t="s">
        <v>148</v>
      </c>
      <c r="B24" s="207"/>
      <c r="C24" s="207"/>
      <c r="D24" s="146" t="s">
        <v>146</v>
      </c>
      <c r="E24" s="95">
        <f>'22'!F24</f>
        <v>4830</v>
      </c>
      <c r="F24" s="128">
        <v>4830</v>
      </c>
      <c r="G24" s="119">
        <v>0</v>
      </c>
      <c r="H24" s="99">
        <f>G24+'22'!H24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>
      <c r="A25" s="930" t="s">
        <v>149</v>
      </c>
      <c r="B25" s="931"/>
      <c r="C25" s="93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>
      <c r="A27" s="208" t="s">
        <v>5</v>
      </c>
      <c r="B27" s="209"/>
      <c r="C27" s="210"/>
      <c r="D27" s="226" t="s">
        <v>24</v>
      </c>
      <c r="E27" s="135">
        <f>G8</f>
        <v>20249</v>
      </c>
      <c r="F27" s="136">
        <v>9</v>
      </c>
      <c r="G27" s="137">
        <f>E27*F27</f>
        <v>182241</v>
      </c>
      <c r="H27" s="99">
        <f>G27+'22'!H27</f>
        <v>4595640.1999999993</v>
      </c>
      <c r="I27" s="138"/>
      <c r="J27" s="175">
        <f>H27/DAY(B2)</f>
        <v>199810.44347826083</v>
      </c>
      <c r="K27" s="63"/>
      <c r="L27" s="89"/>
      <c r="N27" s="87"/>
      <c r="O27" s="71"/>
    </row>
    <row r="28" spans="1:15" s="88" customFormat="1" ht="30.75" customHeight="1">
      <c r="A28" s="208" t="s">
        <v>152</v>
      </c>
      <c r="B28" s="209"/>
      <c r="C28" s="210"/>
      <c r="D28" s="226" t="s">
        <v>153</v>
      </c>
      <c r="E28" s="139">
        <f>G15</f>
        <v>1201</v>
      </c>
      <c r="F28" s="136">
        <v>70</v>
      </c>
      <c r="G28" s="137">
        <f>E28*F28</f>
        <v>84070</v>
      </c>
      <c r="H28" s="99">
        <f>G28+'22'!H28</f>
        <v>1785927.1499999985</v>
      </c>
      <c r="I28" s="140"/>
      <c r="J28" s="175">
        <f>H28/DAY(B2)</f>
        <v>77649.006521739066</v>
      </c>
      <c r="K28" s="63"/>
      <c r="L28" s="89"/>
      <c r="N28" s="87"/>
      <c r="O28" s="71"/>
    </row>
    <row r="29" spans="1:15" s="88" customFormat="1" ht="30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G29+'22'!H29</f>
        <v>6900</v>
      </c>
      <c r="I29" s="140"/>
      <c r="J29" s="175">
        <f>H29/DAY(B2)</f>
        <v>300</v>
      </c>
      <c r="K29" s="63"/>
      <c r="L29" s="89"/>
      <c r="N29" s="87"/>
      <c r="O29" s="71"/>
    </row>
    <row r="30" spans="1:15" s="88" customFormat="1" ht="30.75" customHeight="1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151</v>
      </c>
      <c r="G30" s="137">
        <f>E30*F30</f>
        <v>8305</v>
      </c>
      <c r="H30" s="99">
        <f>G30+'22'!H30</f>
        <v>197357</v>
      </c>
      <c r="I30" s="140"/>
      <c r="J30" s="175">
        <f>H30/DAY(B2)</f>
        <v>8580.7391304347821</v>
      </c>
      <c r="K30" s="63"/>
      <c r="L30" s="89"/>
      <c r="N30" s="87"/>
      <c r="O30" s="71"/>
    </row>
    <row r="31" spans="1:15" s="88" customFormat="1" ht="30.75" customHeight="1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G31+'22'!H31</f>
        <v>398200</v>
      </c>
      <c r="I31" s="140"/>
      <c r="J31" s="175">
        <f>H31/DAY(B2)</f>
        <v>17313.043478260868</v>
      </c>
      <c r="K31" s="63"/>
      <c r="L31" s="89"/>
      <c r="N31" s="87"/>
      <c r="O31" s="71"/>
    </row>
    <row r="32" spans="1:15" s="88" customFormat="1" ht="30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292216</v>
      </c>
      <c r="H32" s="99">
        <f>G32+'22'!H32</f>
        <v>6984024.3499999987</v>
      </c>
      <c r="I32" s="144"/>
      <c r="J32" s="175">
        <f>H32/DAY(B2)</f>
        <v>303653.23260869557</v>
      </c>
      <c r="K32" s="63"/>
      <c r="L32" s="89"/>
      <c r="N32" s="87"/>
      <c r="O32" s="71"/>
    </row>
    <row r="33" spans="1:15" ht="30.75" customHeight="1">
      <c r="A33" s="933" t="s">
        <v>331</v>
      </c>
      <c r="B33" s="934"/>
      <c r="C33" s="93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>
      <c r="A35" s="194" t="s">
        <v>161</v>
      </c>
      <c r="B35" s="195"/>
      <c r="C35" s="195"/>
      <c r="D35" s="151" t="s">
        <v>130</v>
      </c>
      <c r="E35" s="95">
        <f>'22'!F35</f>
        <v>509645</v>
      </c>
      <c r="F35" s="145">
        <v>511750.99</v>
      </c>
      <c r="G35" s="112">
        <f t="shared" ref="G35:G46" si="3">F35-E35</f>
        <v>2105.9899999999907</v>
      </c>
      <c r="H35" s="99">
        <f>G35+'22'!H35</f>
        <v>57233</v>
      </c>
      <c r="I35" s="95"/>
      <c r="J35" s="175">
        <f>H35/DAY(B2)</f>
        <v>2488.391304347826</v>
      </c>
      <c r="K35" s="79"/>
      <c r="L35" s="66"/>
      <c r="N35" s="87"/>
      <c r="O35" s="71"/>
    </row>
    <row r="36" spans="1:15" ht="30.75" customHeight="1">
      <c r="A36" s="194" t="s">
        <v>162</v>
      </c>
      <c r="B36" s="195"/>
      <c r="C36" s="195"/>
      <c r="D36" s="151" t="s">
        <v>130</v>
      </c>
      <c r="E36" s="95">
        <f>'22'!F36</f>
        <v>372876</v>
      </c>
      <c r="F36" s="145">
        <v>374066.51</v>
      </c>
      <c r="G36" s="112">
        <f t="shared" si="3"/>
        <v>1190.5100000000093</v>
      </c>
      <c r="H36" s="99">
        <f>G36+'22'!H36</f>
        <v>19977.609999999986</v>
      </c>
      <c r="I36" s="95"/>
      <c r="J36" s="175">
        <f>H36/DAY(B2)</f>
        <v>868.59173913043412</v>
      </c>
      <c r="K36" s="79"/>
      <c r="L36" s="66"/>
      <c r="N36" s="87"/>
      <c r="O36" s="344"/>
    </row>
    <row r="37" spans="1:15" ht="30.75" customHeight="1">
      <c r="A37" s="194" t="s">
        <v>163</v>
      </c>
      <c r="B37" s="195"/>
      <c r="C37" s="195"/>
      <c r="D37" s="151" t="s">
        <v>130</v>
      </c>
      <c r="E37" s="95">
        <f>'22'!F37</f>
        <v>370534</v>
      </c>
      <c r="F37" s="145">
        <v>372052.47</v>
      </c>
      <c r="G37" s="112">
        <f t="shared" si="3"/>
        <v>1518.4699999999721</v>
      </c>
      <c r="H37" s="99">
        <f>G37+'22'!H37</f>
        <v>33782.599999999977</v>
      </c>
      <c r="I37" s="95"/>
      <c r="J37" s="175">
        <f>H37/DAY(B2)</f>
        <v>1468.8086956521729</v>
      </c>
      <c r="K37" s="79"/>
      <c r="L37" s="66"/>
      <c r="N37" s="87"/>
      <c r="O37" s="234"/>
    </row>
    <row r="38" spans="1:15" ht="30.75" customHeight="1">
      <c r="A38" s="194" t="s">
        <v>164</v>
      </c>
      <c r="B38" s="195"/>
      <c r="C38" s="195"/>
      <c r="D38" s="151" t="s">
        <v>130</v>
      </c>
      <c r="E38" s="95">
        <f>'22'!F38</f>
        <v>853024</v>
      </c>
      <c r="F38" s="108">
        <v>855611.91</v>
      </c>
      <c r="G38" s="112">
        <f t="shared" si="3"/>
        <v>2587.9100000000326</v>
      </c>
      <c r="H38" s="99">
        <f>G38+'22'!H38</f>
        <v>55934.560000000056</v>
      </c>
      <c r="I38" s="95"/>
      <c r="J38" s="175">
        <f>H38/DAY(B2)</f>
        <v>2431.9373913043501</v>
      </c>
      <c r="K38" s="79"/>
      <c r="L38" s="66"/>
      <c r="N38" s="87"/>
      <c r="O38" s="71"/>
    </row>
    <row r="39" spans="1:15" ht="30.75" customHeight="1">
      <c r="A39" s="194" t="s">
        <v>165</v>
      </c>
      <c r="B39" s="195"/>
      <c r="C39" s="195"/>
      <c r="D39" s="151" t="s">
        <v>130</v>
      </c>
      <c r="E39" s="95">
        <f>'22'!F39</f>
        <v>681487</v>
      </c>
      <c r="F39" s="145">
        <v>684189.67</v>
      </c>
      <c r="G39" s="112">
        <f t="shared" si="3"/>
        <v>2702.6700000000419</v>
      </c>
      <c r="H39" s="99">
        <f>G39+'22'!H39</f>
        <v>63899.670000000042</v>
      </c>
      <c r="I39" s="95"/>
      <c r="J39" s="175">
        <f>H39/DAY(B2)</f>
        <v>2778.2465217391323</v>
      </c>
      <c r="K39" s="79"/>
      <c r="L39" s="66"/>
      <c r="N39" s="87"/>
      <c r="O39" s="71"/>
    </row>
    <row r="40" spans="1:15" ht="30.75" customHeight="1">
      <c r="A40" s="215" t="s">
        <v>166</v>
      </c>
      <c r="B40" s="216"/>
      <c r="C40" s="216"/>
      <c r="D40" s="151" t="s">
        <v>130</v>
      </c>
      <c r="E40" s="95">
        <f>'22'!F40</f>
        <v>215888</v>
      </c>
      <c r="F40" s="145">
        <v>216093.87</v>
      </c>
      <c r="G40" s="112">
        <f t="shared" si="3"/>
        <v>205.86999999999534</v>
      </c>
      <c r="H40" s="99">
        <f>G40+'22'!H40</f>
        <v>6407.5199999999895</v>
      </c>
      <c r="I40" s="95"/>
      <c r="J40" s="175">
        <f>H40/DAY(B2)</f>
        <v>278.58782608695606</v>
      </c>
      <c r="K40" s="80"/>
      <c r="L40" s="66"/>
      <c r="N40" s="87"/>
      <c r="O40" s="71"/>
    </row>
    <row r="41" spans="1:15" ht="30.75" customHeight="1">
      <c r="A41" s="194" t="s">
        <v>167</v>
      </c>
      <c r="B41" s="195"/>
      <c r="C41" s="195"/>
      <c r="D41" s="151" t="s">
        <v>130</v>
      </c>
      <c r="E41" s="95">
        <f>'22'!F41</f>
        <v>420216</v>
      </c>
      <c r="F41" s="145">
        <v>420212.5</v>
      </c>
      <c r="G41" s="112">
        <f t="shared" si="3"/>
        <v>-3.5</v>
      </c>
      <c r="H41" s="99">
        <f>G41+'22'!H41</f>
        <v>-1.0000000009313226E-2</v>
      </c>
      <c r="I41" s="95"/>
      <c r="J41" s="175">
        <f>H41/DAY(B2)</f>
        <v>-4.3478260910057503E-4</v>
      </c>
      <c r="K41" s="79"/>
      <c r="L41" s="66"/>
      <c r="N41" s="87"/>
      <c r="O41" s="71"/>
    </row>
    <row r="42" spans="1:15" ht="30.75" customHeight="1">
      <c r="A42" s="194" t="s">
        <v>168</v>
      </c>
      <c r="B42" s="195"/>
      <c r="C42" s="195"/>
      <c r="D42" s="151" t="s">
        <v>130</v>
      </c>
      <c r="E42" s="95">
        <f>'22'!F42</f>
        <v>890810</v>
      </c>
      <c r="F42" s="145">
        <v>890810</v>
      </c>
      <c r="G42" s="112">
        <f t="shared" si="3"/>
        <v>0</v>
      </c>
      <c r="H42" s="99">
        <f>G42+'22'!H42</f>
        <v>49722.530000000028</v>
      </c>
      <c r="I42" s="95"/>
      <c r="J42" s="175">
        <f>H42/DAY(B2)</f>
        <v>2161.849130434784</v>
      </c>
      <c r="K42" s="79"/>
      <c r="L42" s="66"/>
      <c r="N42" s="87"/>
      <c r="O42" s="71"/>
    </row>
    <row r="43" spans="1:15" ht="30.75" customHeight="1">
      <c r="A43" s="194" t="s">
        <v>169</v>
      </c>
      <c r="B43" s="195"/>
      <c r="C43" s="195"/>
      <c r="D43" s="151" t="s">
        <v>130</v>
      </c>
      <c r="E43" s="95">
        <f>'22'!F43</f>
        <v>422444</v>
      </c>
      <c r="F43" s="145">
        <v>422444</v>
      </c>
      <c r="G43" s="112">
        <f t="shared" si="3"/>
        <v>0</v>
      </c>
      <c r="H43" s="99">
        <f>G43+'22'!H43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30.75" customHeight="1">
      <c r="A44" s="194" t="s">
        <v>170</v>
      </c>
      <c r="B44" s="195"/>
      <c r="C44" s="195"/>
      <c r="D44" s="151" t="s">
        <v>130</v>
      </c>
      <c r="E44" s="95">
        <f>'22'!F44</f>
        <v>0</v>
      </c>
      <c r="F44" s="145">
        <v>0</v>
      </c>
      <c r="G44" s="112">
        <f t="shared" si="3"/>
        <v>0</v>
      </c>
      <c r="H44" s="99">
        <f>G44+'22'!H44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>
      <c r="A45" s="194" t="s">
        <v>171</v>
      </c>
      <c r="B45" s="195"/>
      <c r="C45" s="195"/>
      <c r="D45" s="151" t="s">
        <v>130</v>
      </c>
      <c r="E45" s="95">
        <f>'22'!F45</f>
        <v>0</v>
      </c>
      <c r="F45" s="145">
        <v>0</v>
      </c>
      <c r="G45" s="112">
        <f t="shared" si="3"/>
        <v>0</v>
      </c>
      <c r="H45" s="99">
        <f>G45+'22'!H45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>
      <c r="A46" s="194" t="s">
        <v>172</v>
      </c>
      <c r="B46" s="195"/>
      <c r="C46" s="195"/>
      <c r="D46" s="151" t="s">
        <v>130</v>
      </c>
      <c r="E46" s="95">
        <f>'22'!F46</f>
        <v>0</v>
      </c>
      <c r="F46" s="145">
        <v>0</v>
      </c>
      <c r="G46" s="112">
        <f t="shared" si="3"/>
        <v>0</v>
      </c>
      <c r="H46" s="99">
        <f>G46+'22'!H46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10307.920000000042</v>
      </c>
      <c r="H47" s="99">
        <f>G47+'22'!H47</f>
        <v>286957.4800000001</v>
      </c>
      <c r="I47" s="95"/>
      <c r="J47" s="175">
        <f>H47/DAY(B2)</f>
        <v>12476.412173913048</v>
      </c>
      <c r="K47" s="79"/>
      <c r="L47" s="66"/>
      <c r="N47" s="87"/>
      <c r="O47" s="71"/>
    </row>
    <row r="48" spans="1:15" ht="30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>
      <c r="A49" s="194" t="s">
        <v>161</v>
      </c>
      <c r="B49" s="217"/>
      <c r="C49" s="217"/>
      <c r="D49" s="151" t="s">
        <v>130</v>
      </c>
      <c r="E49" s="95">
        <f>'22'!F49</f>
        <v>818196</v>
      </c>
      <c r="F49" s="145">
        <v>818771.59</v>
      </c>
      <c r="G49" s="112">
        <f t="shared" ref="G49:G58" si="4">F49-E49</f>
        <v>575.5899999999674</v>
      </c>
      <c r="H49" s="99">
        <f>G49+'22'!H49</f>
        <v>12267.439999999944</v>
      </c>
      <c r="I49" s="95"/>
      <c r="J49" s="175">
        <f>H49/DAY(B2)</f>
        <v>533.36695652173671</v>
      </c>
      <c r="K49" s="79"/>
      <c r="L49" s="66"/>
      <c r="N49" s="87"/>
      <c r="O49" s="71"/>
    </row>
    <row r="50" spans="1:15" ht="30.75" customHeight="1">
      <c r="A50" s="194" t="s">
        <v>175</v>
      </c>
      <c r="B50" s="217"/>
      <c r="C50" s="217"/>
      <c r="D50" s="151" t="s">
        <v>130</v>
      </c>
      <c r="E50" s="95">
        <f>'22'!F50</f>
        <v>531009</v>
      </c>
      <c r="F50" s="145">
        <v>532090.11</v>
      </c>
      <c r="G50" s="112">
        <f t="shared" si="4"/>
        <v>1081.109999999986</v>
      </c>
      <c r="H50" s="99">
        <f>G50+'22'!H50</f>
        <v>30937.109999999986</v>
      </c>
      <c r="I50" s="95"/>
      <c r="J50" s="175">
        <f>H50/DAY(B2)</f>
        <v>1345.0917391304342</v>
      </c>
      <c r="K50" s="79"/>
      <c r="L50" s="66"/>
      <c r="N50" s="87"/>
      <c r="O50" s="71"/>
    </row>
    <row r="51" spans="1:15" ht="30.75" customHeight="1">
      <c r="A51" s="194" t="s">
        <v>163</v>
      </c>
      <c r="B51" s="217"/>
      <c r="C51" s="217"/>
      <c r="D51" s="151" t="s">
        <v>130</v>
      </c>
      <c r="E51" s="95">
        <f>'22'!F51</f>
        <v>156958</v>
      </c>
      <c r="F51" s="145">
        <v>156958</v>
      </c>
      <c r="G51" s="112">
        <f t="shared" si="4"/>
        <v>0</v>
      </c>
      <c r="H51" s="99">
        <f>G51+'22'!H51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>
      <c r="A52" s="194" t="s">
        <v>176</v>
      </c>
      <c r="B52" s="217"/>
      <c r="C52" s="217"/>
      <c r="D52" s="151" t="s">
        <v>130</v>
      </c>
      <c r="E52" s="95">
        <f>'22'!F52</f>
        <v>9.76</v>
      </c>
      <c r="F52" s="145">
        <v>9.76</v>
      </c>
      <c r="G52" s="112">
        <f t="shared" si="4"/>
        <v>0</v>
      </c>
      <c r="H52" s="99">
        <f>G52+'22'!H52</f>
        <v>-0.24000000000000021</v>
      </c>
      <c r="I52" s="95"/>
      <c r="J52" s="175">
        <f>H52/DAY(B2)</f>
        <v>-1.0434782608695662E-2</v>
      </c>
      <c r="K52" s="79"/>
      <c r="L52" s="66"/>
      <c r="N52" s="87"/>
      <c r="O52" s="71"/>
    </row>
    <row r="53" spans="1:15" ht="30.75" customHeight="1">
      <c r="A53" s="194" t="s">
        <v>165</v>
      </c>
      <c r="B53" s="217"/>
      <c r="C53" s="217"/>
      <c r="D53" s="151" t="s">
        <v>130</v>
      </c>
      <c r="E53" s="95">
        <f>'22'!F53</f>
        <v>630355</v>
      </c>
      <c r="F53" s="145">
        <v>630355</v>
      </c>
      <c r="G53" s="112">
        <f t="shared" si="4"/>
        <v>0</v>
      </c>
      <c r="H53" s="99">
        <f>G53+'22'!H53</f>
        <v>-3.0000000027939677E-2</v>
      </c>
      <c r="I53" s="95"/>
      <c r="J53" s="175">
        <f>H53/DAY(B2)</f>
        <v>-1.3043478273017251E-3</v>
      </c>
      <c r="K53" s="79"/>
      <c r="L53" s="66"/>
      <c r="N53" s="87"/>
      <c r="O53" s="71"/>
    </row>
    <row r="54" spans="1:15" ht="30.75" customHeight="1">
      <c r="A54" s="194" t="s">
        <v>177</v>
      </c>
      <c r="B54" s="217"/>
      <c r="C54" s="217"/>
      <c r="D54" s="151" t="s">
        <v>130</v>
      </c>
      <c r="E54" s="95">
        <f>'22'!F54</f>
        <v>121429</v>
      </c>
      <c r="F54" s="145">
        <v>121726.95</v>
      </c>
      <c r="G54" s="112">
        <f t="shared" si="4"/>
        <v>297.94999999999709</v>
      </c>
      <c r="H54" s="99">
        <f>G54+'22'!H54</f>
        <v>7129.8199999999924</v>
      </c>
      <c r="I54" s="95"/>
      <c r="J54" s="175">
        <f>H54/DAY(B2)</f>
        <v>309.99217391304313</v>
      </c>
      <c r="K54" s="79"/>
      <c r="L54" s="66"/>
      <c r="N54" s="87"/>
      <c r="O54" s="71"/>
    </row>
    <row r="55" spans="1:15" ht="30.75" customHeight="1">
      <c r="A55" s="194" t="s">
        <v>178</v>
      </c>
      <c r="B55" s="217"/>
      <c r="C55" s="217"/>
      <c r="D55" s="151" t="s">
        <v>130</v>
      </c>
      <c r="E55" s="95">
        <f>'22'!F55</f>
        <v>576336</v>
      </c>
      <c r="F55" s="145">
        <v>578719.5</v>
      </c>
      <c r="G55" s="112">
        <f t="shared" si="4"/>
        <v>2383.5</v>
      </c>
      <c r="H55" s="99">
        <f>G55+'22'!H55</f>
        <v>2383.8699999999953</v>
      </c>
      <c r="I55" s="95"/>
      <c r="J55" s="175">
        <f>H55/DAY(B2)</f>
        <v>103.64652173913024</v>
      </c>
      <c r="K55" s="79"/>
      <c r="L55" s="66"/>
      <c r="N55" s="87"/>
      <c r="O55" s="71"/>
    </row>
    <row r="56" spans="1:15" ht="30.75" customHeight="1">
      <c r="A56" s="194" t="s">
        <v>179</v>
      </c>
      <c r="B56" s="217"/>
      <c r="C56" s="217"/>
      <c r="D56" s="151" t="s">
        <v>180</v>
      </c>
      <c r="E56" s="95">
        <f>'22'!F56</f>
        <v>362928</v>
      </c>
      <c r="F56" s="145">
        <v>363252.91</v>
      </c>
      <c r="G56" s="112">
        <f t="shared" si="4"/>
        <v>324.90999999997439</v>
      </c>
      <c r="H56" s="99">
        <f>G56+'22'!H56</f>
        <v>28026.699999999953</v>
      </c>
      <c r="I56" s="95"/>
      <c r="J56" s="175">
        <f>H56/DAY(B2)</f>
        <v>1218.5521739130415</v>
      </c>
      <c r="K56" s="78"/>
      <c r="L56" s="66"/>
      <c r="N56" s="87"/>
      <c r="O56" s="71"/>
    </row>
    <row r="57" spans="1:15" ht="30.75" customHeight="1">
      <c r="A57" s="194" t="s">
        <v>169</v>
      </c>
      <c r="B57" s="217"/>
      <c r="C57" s="217"/>
      <c r="D57" s="151" t="s">
        <v>130</v>
      </c>
      <c r="E57" s="95">
        <f>'22'!F57</f>
        <v>685752</v>
      </c>
      <c r="F57" s="145">
        <v>688181.03</v>
      </c>
      <c r="G57" s="112">
        <f t="shared" si="4"/>
        <v>2429.0300000000279</v>
      </c>
      <c r="H57" s="99">
        <f>G57+'22'!H57</f>
        <v>57348.030000000028</v>
      </c>
      <c r="I57" s="95"/>
      <c r="J57" s="175">
        <f>H57/DAY(B2)</f>
        <v>2493.3926086956535</v>
      </c>
      <c r="K57" s="79"/>
      <c r="L57" s="66"/>
      <c r="N57" s="87"/>
      <c r="O57" s="71"/>
    </row>
    <row r="58" spans="1:15" ht="30.75" customHeight="1">
      <c r="A58" s="194" t="s">
        <v>181</v>
      </c>
      <c r="B58" s="217"/>
      <c r="C58" s="217"/>
      <c r="D58" s="151" t="s">
        <v>130</v>
      </c>
      <c r="E58" s="95">
        <f>'22'!F58</f>
        <v>92223</v>
      </c>
      <c r="F58" s="145">
        <v>92493.2</v>
      </c>
      <c r="G58" s="112">
        <f t="shared" si="4"/>
        <v>270.19999999999709</v>
      </c>
      <c r="H58" s="99">
        <f>G58+'22'!H58</f>
        <v>5932.7010000000009</v>
      </c>
      <c r="I58" s="95"/>
      <c r="J58" s="175">
        <f>H58/DAY(B2)</f>
        <v>257.94352173913046</v>
      </c>
      <c r="K58" s="79"/>
      <c r="L58" s="66"/>
      <c r="N58" s="87"/>
      <c r="O58" s="71"/>
    </row>
    <row r="59" spans="1:15" ht="30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7362.2899999999499</v>
      </c>
      <c r="H59" s="99">
        <f>G59+'22'!H59</f>
        <v>144025.40099999987</v>
      </c>
      <c r="I59" s="95">
        <f>G7-G60</f>
        <v>2103.5899999999965</v>
      </c>
      <c r="J59" s="175">
        <f>H59/DAY(B2)</f>
        <v>6261.9739565217333</v>
      </c>
      <c r="K59" s="79"/>
      <c r="L59" s="66"/>
      <c r="N59" s="87"/>
      <c r="O59" s="71"/>
    </row>
    <row r="60" spans="1:15" ht="30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17670.209999999992</v>
      </c>
      <c r="H60" s="99">
        <f>G60+'22'!H60</f>
        <v>430982.88099999994</v>
      </c>
      <c r="I60" s="95">
        <f>G13-G60</f>
        <v>1575.4899999992631</v>
      </c>
      <c r="J60" s="175">
        <f>H60/DAY(B2)</f>
        <v>18738.386130434781</v>
      </c>
      <c r="K60" s="79"/>
      <c r="L60" s="66"/>
      <c r="N60" s="87"/>
      <c r="O60" s="71"/>
    </row>
    <row r="61" spans="1:15" s="68" customFormat="1" ht="30.75" customHeight="1">
      <c r="A61" s="935" t="s">
        <v>332</v>
      </c>
      <c r="B61" s="936"/>
      <c r="C61" s="93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>
      <c r="A62" s="902" t="s">
        <v>198</v>
      </c>
      <c r="B62" s="903"/>
      <c r="C62" s="904"/>
      <c r="D62" s="151" t="s">
        <v>142</v>
      </c>
      <c r="E62" s="95">
        <f>'22'!F62</f>
        <v>314371</v>
      </c>
      <c r="F62" s="164">
        <v>314492.2</v>
      </c>
      <c r="G62" s="112">
        <f t="shared" ref="G62:G63" si="5">F62-E62</f>
        <v>121.20000000001164</v>
      </c>
      <c r="H62" s="99">
        <f>G62+'22'!H62</f>
        <v>2392.2000000000116</v>
      </c>
      <c r="I62" s="118"/>
      <c r="J62" s="175">
        <f>H62/DAY(B2)</f>
        <v>104.00869565217442</v>
      </c>
      <c r="K62" s="80"/>
      <c r="L62" s="66"/>
      <c r="N62" s="87"/>
      <c r="O62" s="71"/>
    </row>
    <row r="63" spans="1:15" ht="30.75" customHeight="1">
      <c r="A63" s="902" t="s">
        <v>199</v>
      </c>
      <c r="B63" s="903"/>
      <c r="C63" s="904"/>
      <c r="D63" s="151" t="s">
        <v>142</v>
      </c>
      <c r="E63" s="95">
        <f>'22'!F63</f>
        <v>251381</v>
      </c>
      <c r="F63" s="164">
        <v>251475</v>
      </c>
      <c r="G63" s="112">
        <f t="shared" si="5"/>
        <v>94</v>
      </c>
      <c r="H63" s="99">
        <f>G63+'22'!H63</f>
        <v>2440</v>
      </c>
      <c r="I63" s="118"/>
      <c r="J63" s="175">
        <f>H63/DAY(B2)</f>
        <v>106.08695652173913</v>
      </c>
      <c r="K63" s="69"/>
      <c r="L63" s="66"/>
      <c r="N63" s="87"/>
      <c r="O63" s="71"/>
    </row>
    <row r="64" spans="1:15" ht="30.75" customHeight="1">
      <c r="A64" s="911" t="s">
        <v>200</v>
      </c>
      <c r="B64" s="912"/>
      <c r="C64" s="913"/>
      <c r="D64" s="151"/>
      <c r="E64" s="95">
        <f>'22'!F64</f>
        <v>0</v>
      </c>
      <c r="F64" s="122"/>
      <c r="G64" s="112">
        <f>G62+G63</f>
        <v>215.20000000001164</v>
      </c>
      <c r="H64" s="99">
        <f>G64+'22'!H64</f>
        <v>4832.2000000000116</v>
      </c>
      <c r="I64" s="118"/>
      <c r="J64" s="175">
        <f>H64/DAY(B2)</f>
        <v>210.09565217391355</v>
      </c>
      <c r="K64" s="69"/>
      <c r="L64" s="66"/>
      <c r="N64" s="87"/>
      <c r="O64" s="71"/>
    </row>
    <row r="65" spans="1:15" ht="30.75" customHeight="1">
      <c r="A65" s="902" t="s">
        <v>201</v>
      </c>
      <c r="B65" s="903"/>
      <c r="C65" s="904"/>
      <c r="D65" s="151" t="s">
        <v>142</v>
      </c>
      <c r="E65" s="95">
        <f>'22'!F65</f>
        <v>474804</v>
      </c>
      <c r="F65" s="122">
        <v>474920</v>
      </c>
      <c r="G65" s="112">
        <f t="shared" ref="G65:G70" si="6">F65-E65</f>
        <v>116</v>
      </c>
      <c r="H65" s="99">
        <f>G65+'22'!H65</f>
        <v>2890</v>
      </c>
      <c r="I65" s="118"/>
      <c r="J65" s="175">
        <f>H65/DAY(B2)</f>
        <v>125.65217391304348</v>
      </c>
      <c r="K65" s="69"/>
      <c r="L65" s="66"/>
      <c r="N65" s="87"/>
      <c r="O65" s="71"/>
    </row>
    <row r="66" spans="1:15" ht="30.75" customHeight="1">
      <c r="A66" s="345" t="s">
        <v>202</v>
      </c>
      <c r="B66" s="346"/>
      <c r="C66" s="346"/>
      <c r="D66" s="151" t="s">
        <v>142</v>
      </c>
      <c r="E66" s="95">
        <f>'22'!F66</f>
        <v>114115</v>
      </c>
      <c r="F66" s="122">
        <v>114150</v>
      </c>
      <c r="G66" s="112">
        <f t="shared" si="6"/>
        <v>35</v>
      </c>
      <c r="H66" s="99">
        <f>G66+'22'!H66</f>
        <v>1428</v>
      </c>
      <c r="I66" s="118"/>
      <c r="J66" s="175">
        <f>H66/DAY(B2)</f>
        <v>62.086956521739133</v>
      </c>
      <c r="K66" s="78"/>
      <c r="L66" s="66"/>
      <c r="N66" s="87"/>
      <c r="O66" s="71"/>
    </row>
    <row r="67" spans="1:15" ht="30.75" customHeight="1">
      <c r="A67" s="345" t="s">
        <v>203</v>
      </c>
      <c r="B67" s="346"/>
      <c r="C67" s="346"/>
      <c r="D67" s="151" t="s">
        <v>142</v>
      </c>
      <c r="E67" s="95">
        <f>'22'!F67</f>
        <v>117077</v>
      </c>
      <c r="F67" s="150">
        <v>117098</v>
      </c>
      <c r="G67" s="112">
        <f t="shared" si="6"/>
        <v>21</v>
      </c>
      <c r="H67" s="99">
        <f>G67+'22'!H67</f>
        <v>531</v>
      </c>
      <c r="I67" s="118"/>
      <c r="J67" s="175">
        <f>H67/DAY(B2)</f>
        <v>23.086956521739129</v>
      </c>
      <c r="K67" s="81"/>
      <c r="L67" s="66"/>
      <c r="N67" s="87"/>
      <c r="O67" s="71"/>
    </row>
    <row r="68" spans="1:15" ht="30.75" customHeight="1">
      <c r="A68" s="345" t="s">
        <v>204</v>
      </c>
      <c r="B68" s="346"/>
      <c r="C68" s="346"/>
      <c r="D68" s="151" t="s">
        <v>142</v>
      </c>
      <c r="E68" s="95">
        <f>'22'!F68</f>
        <v>169796</v>
      </c>
      <c r="F68" s="122">
        <v>169810</v>
      </c>
      <c r="G68" s="112">
        <f t="shared" si="6"/>
        <v>14</v>
      </c>
      <c r="H68" s="99">
        <f>G68+'22'!H68</f>
        <v>451</v>
      </c>
      <c r="I68" s="118"/>
      <c r="J68" s="175">
        <f>H68/DAY(B2)</f>
        <v>19.608695652173914</v>
      </c>
      <c r="K68" s="69"/>
      <c r="L68" s="66"/>
      <c r="N68" s="87"/>
      <c r="O68" s="71"/>
    </row>
    <row r="69" spans="1:15" ht="30.75" customHeight="1">
      <c r="A69" s="345" t="s">
        <v>205</v>
      </c>
      <c r="B69" s="346"/>
      <c r="C69" s="346"/>
      <c r="D69" s="151" t="s">
        <v>142</v>
      </c>
      <c r="E69" s="95">
        <f>'22'!F69</f>
        <v>13061</v>
      </c>
      <c r="F69" s="122">
        <v>13066</v>
      </c>
      <c r="G69" s="112">
        <f t="shared" si="6"/>
        <v>5</v>
      </c>
      <c r="H69" s="99">
        <f>G69+'22'!H69</f>
        <v>100</v>
      </c>
      <c r="I69" s="118"/>
      <c r="J69" s="175">
        <f>H69/DAY(B2)</f>
        <v>4.3478260869565215</v>
      </c>
      <c r="K69" s="69"/>
      <c r="L69" s="66"/>
      <c r="N69" s="87"/>
      <c r="O69" s="71"/>
    </row>
    <row r="70" spans="1:15" ht="30.75" customHeight="1">
      <c r="A70" s="345" t="s">
        <v>206</v>
      </c>
      <c r="B70" s="346"/>
      <c r="C70" s="346"/>
      <c r="D70" s="151" t="s">
        <v>142</v>
      </c>
      <c r="E70" s="95">
        <f>'22'!F70</f>
        <v>11192</v>
      </c>
      <c r="F70" s="150">
        <v>11201</v>
      </c>
      <c r="G70" s="112">
        <f t="shared" si="6"/>
        <v>9</v>
      </c>
      <c r="H70" s="99">
        <f>G70+'22'!H70</f>
        <v>185</v>
      </c>
      <c r="I70" s="118"/>
      <c r="J70" s="175">
        <f>H70/DAY(B2)</f>
        <v>8.0434782608695645</v>
      </c>
      <c r="K70" s="69"/>
      <c r="L70" s="66"/>
      <c r="N70" s="87"/>
      <c r="O70" s="71"/>
    </row>
    <row r="71" spans="1:15" ht="30.75" customHeight="1">
      <c r="A71" s="911" t="s">
        <v>208</v>
      </c>
      <c r="B71" s="912"/>
      <c r="C71" s="913"/>
      <c r="D71" s="152"/>
      <c r="E71" s="152"/>
      <c r="F71" s="152"/>
      <c r="G71" s="153">
        <f>SUM(G65:G70)</f>
        <v>200</v>
      </c>
      <c r="H71" s="99">
        <f>G71+'22'!H71</f>
        <v>5585</v>
      </c>
      <c r="I71" s="154"/>
      <c r="J71" s="175">
        <f>H71/DAY(B2)</f>
        <v>242.82608695652175</v>
      </c>
      <c r="K71" s="69"/>
      <c r="L71" s="66"/>
      <c r="N71" s="87"/>
      <c r="O71" s="71"/>
    </row>
    <row r="72" spans="1:15" s="88" customFormat="1" ht="30.75" customHeight="1">
      <c r="A72" s="898"/>
      <c r="B72" s="88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>
      <c r="A73" s="908" t="s">
        <v>333</v>
      </c>
      <c r="B73" s="909"/>
      <c r="C73" s="910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>
      <c r="A74" s="902" t="s">
        <v>220</v>
      </c>
      <c r="B74" s="903"/>
      <c r="C74" s="904"/>
      <c r="D74" s="151" t="s">
        <v>139</v>
      </c>
      <c r="E74" s="95">
        <f>'22'!F74</f>
        <v>9446</v>
      </c>
      <c r="F74" s="117">
        <v>9728.5339999999997</v>
      </c>
      <c r="G74" s="112">
        <f t="shared" ref="G74:G78" si="7">F74-E74</f>
        <v>282.53399999999965</v>
      </c>
      <c r="H74" s="99">
        <f>G74+'22'!H74</f>
        <v>3539.5339999999997</v>
      </c>
      <c r="I74" s="154"/>
      <c r="J74" s="175">
        <f>H74/DAY(B2)</f>
        <v>153.89278260869563</v>
      </c>
      <c r="K74" s="69"/>
      <c r="L74" s="66"/>
      <c r="N74" s="87">
        <v>336</v>
      </c>
      <c r="O74" s="71"/>
    </row>
    <row r="75" spans="1:15" ht="30.75" customHeight="1">
      <c r="A75" s="902" t="s">
        <v>221</v>
      </c>
      <c r="B75" s="903"/>
      <c r="C75" s="904"/>
      <c r="D75" s="151" t="s">
        <v>139</v>
      </c>
      <c r="E75" s="95">
        <f>'22'!F75</f>
        <v>73586.8</v>
      </c>
      <c r="F75" s="123">
        <v>73586.8</v>
      </c>
      <c r="G75" s="112">
        <f t="shared" si="7"/>
        <v>0</v>
      </c>
      <c r="H75" s="99">
        <f>G75+'22'!H75</f>
        <v>0</v>
      </c>
      <c r="I75" s="154"/>
      <c r="J75" s="175">
        <f>H75/DAY(B2)</f>
        <v>0</v>
      </c>
      <c r="K75" s="69"/>
      <c r="L75" s="66"/>
      <c r="N75" s="87">
        <v>0</v>
      </c>
      <c r="O75" s="71"/>
    </row>
    <row r="76" spans="1:15" ht="30.75" customHeight="1">
      <c r="A76" s="899" t="s">
        <v>222</v>
      </c>
      <c r="B76" s="900"/>
      <c r="C76" s="901"/>
      <c r="D76" s="151" t="s">
        <v>139</v>
      </c>
      <c r="E76" s="95">
        <f>'22'!F76</f>
        <v>209690</v>
      </c>
      <c r="F76" s="123">
        <f>110+209690</f>
        <v>209800</v>
      </c>
      <c r="G76" s="112">
        <f t="shared" si="7"/>
        <v>110</v>
      </c>
      <c r="H76" s="99">
        <f>G76+'22'!H76</f>
        <v>2423</v>
      </c>
      <c r="I76" s="154"/>
      <c r="J76" s="175">
        <f>H76/DAY(B2)</f>
        <v>105.34782608695652</v>
      </c>
      <c r="K76" s="69"/>
      <c r="L76" s="66"/>
      <c r="N76" s="87">
        <v>114</v>
      </c>
      <c r="O76" s="71"/>
    </row>
    <row r="77" spans="1:15" ht="30.75" customHeight="1">
      <c r="A77" s="899" t="s">
        <v>223</v>
      </c>
      <c r="B77" s="900"/>
      <c r="C77" s="901"/>
      <c r="D77" s="151" t="s">
        <v>139</v>
      </c>
      <c r="E77" s="95">
        <f>'22'!F77</f>
        <v>59278</v>
      </c>
      <c r="F77" s="123">
        <f>62+59278</f>
        <v>59340</v>
      </c>
      <c r="G77" s="112">
        <f t="shared" si="7"/>
        <v>62</v>
      </c>
      <c r="H77" s="99">
        <f>G77+'22'!H77</f>
        <v>1188</v>
      </c>
      <c r="I77" s="154"/>
      <c r="J77" s="175">
        <f>H77/DAY(B2)</f>
        <v>51.652173913043477</v>
      </c>
      <c r="K77" s="69"/>
      <c r="L77" s="66"/>
      <c r="N77" s="87">
        <v>64</v>
      </c>
      <c r="O77" s="71"/>
    </row>
    <row r="78" spans="1:15" ht="30.75" customHeight="1">
      <c r="A78" s="899" t="s">
        <v>224</v>
      </c>
      <c r="B78" s="900"/>
      <c r="C78" s="901"/>
      <c r="D78" s="151" t="s">
        <v>139</v>
      </c>
      <c r="E78" s="95">
        <f>'22'!F78</f>
        <v>9564</v>
      </c>
      <c r="F78" s="123">
        <v>9564</v>
      </c>
      <c r="G78" s="112">
        <f t="shared" si="7"/>
        <v>0</v>
      </c>
      <c r="H78" s="99">
        <f>G78+'22'!H78</f>
        <v>0</v>
      </c>
      <c r="I78" s="118"/>
      <c r="J78" s="175">
        <f>H78/DAY(B2)</f>
        <v>0</v>
      </c>
      <c r="K78" s="69"/>
      <c r="L78" s="66"/>
      <c r="N78" s="87">
        <v>0</v>
      </c>
      <c r="O78" s="71"/>
    </row>
    <row r="79" spans="1:15" s="57" customFormat="1" ht="30.75" customHeight="1">
      <c r="A79" s="899" t="s">
        <v>225</v>
      </c>
      <c r="B79" s="900"/>
      <c r="C79" s="901"/>
      <c r="D79" s="151"/>
      <c r="E79" s="95">
        <f>'22'!F79</f>
        <v>0</v>
      </c>
      <c r="F79" s="123"/>
      <c r="G79" s="112">
        <f>G15-SUM(G74:G78)</f>
        <v>746.46600000000035</v>
      </c>
      <c r="H79" s="99">
        <f>G79+'22'!H79</f>
        <v>-975137.89199999988</v>
      </c>
      <c r="I79" s="118"/>
      <c r="J79" s="175"/>
      <c r="K79" s="59"/>
      <c r="L79" s="58"/>
      <c r="N79" s="87"/>
      <c r="O79" s="71"/>
    </row>
    <row r="80" spans="1:15" s="57" customFormat="1" ht="30.75" customHeight="1">
      <c r="A80" s="911" t="s">
        <v>329</v>
      </c>
      <c r="B80" s="912"/>
      <c r="C80" s="913"/>
      <c r="D80" s="151"/>
      <c r="E80" s="117"/>
      <c r="F80" s="117"/>
      <c r="G80" s="112">
        <f>SUM(G74:G79)</f>
        <v>1201</v>
      </c>
      <c r="H80" s="99"/>
      <c r="I80" s="118"/>
      <c r="J80" s="175"/>
      <c r="K80" s="59"/>
      <c r="L80" s="58"/>
      <c r="N80" s="87"/>
      <c r="O80" s="71"/>
    </row>
    <row r="81" spans="1:15" ht="30.75" customHeight="1">
      <c r="A81" s="915" t="s">
        <v>226</v>
      </c>
      <c r="B81" s="916"/>
      <c r="C81" s="917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>
      <c r="A82" s="345" t="s">
        <v>227</v>
      </c>
      <c r="B82" s="346"/>
      <c r="C82" s="346"/>
      <c r="D82" s="151" t="s">
        <v>228</v>
      </c>
      <c r="E82" s="95">
        <f>'22'!F82</f>
        <v>0</v>
      </c>
      <c r="F82" s="122">
        <v>0</v>
      </c>
      <c r="G82" s="112">
        <f t="shared" ref="G82:G92" si="8">F82-E82</f>
        <v>0</v>
      </c>
      <c r="H82" s="99">
        <f>G82+'22'!H82</f>
        <v>0</v>
      </c>
      <c r="I82" s="545"/>
      <c r="J82" s="175">
        <f>H82/DAY(B2)</f>
        <v>0</v>
      </c>
      <c r="O82" s="71"/>
    </row>
    <row r="83" spans="1:15" ht="30.75" customHeight="1">
      <c r="A83" s="345" t="s">
        <v>229</v>
      </c>
      <c r="B83" s="346"/>
      <c r="C83" s="346"/>
      <c r="D83" s="151" t="s">
        <v>228</v>
      </c>
      <c r="E83" s="95">
        <f>'22'!F83</f>
        <v>0</v>
      </c>
      <c r="F83" s="122">
        <v>0</v>
      </c>
      <c r="G83" s="112">
        <f t="shared" si="8"/>
        <v>0</v>
      </c>
      <c r="H83" s="99">
        <f>G83+'22'!H83</f>
        <v>0</v>
      </c>
      <c r="I83" s="545"/>
      <c r="J83" s="175">
        <f>H83/DAY(B2)</f>
        <v>0</v>
      </c>
      <c r="O83" s="71"/>
    </row>
    <row r="84" spans="1:15" ht="30.75" customHeight="1">
      <c r="A84" s="345" t="s">
        <v>230</v>
      </c>
      <c r="B84" s="346"/>
      <c r="C84" s="346"/>
      <c r="D84" s="151" t="s">
        <v>228</v>
      </c>
      <c r="E84" s="95">
        <f>'22'!F84</f>
        <v>43540</v>
      </c>
      <c r="F84" s="164">
        <v>43540</v>
      </c>
      <c r="G84" s="112">
        <f t="shared" si="8"/>
        <v>0</v>
      </c>
      <c r="H84" s="99">
        <f>G84+'22'!H84</f>
        <v>-0.34999999999854481</v>
      </c>
      <c r="I84" s="545"/>
      <c r="J84" s="175">
        <f>H84/DAY(B2)</f>
        <v>-1.5217391304284556E-2</v>
      </c>
      <c r="O84" s="71"/>
    </row>
    <row r="85" spans="1:15" ht="30.75" customHeight="1">
      <c r="A85" s="345" t="s">
        <v>231</v>
      </c>
      <c r="B85" s="346"/>
      <c r="C85" s="346"/>
      <c r="D85" s="151" t="s">
        <v>228</v>
      </c>
      <c r="E85" s="95">
        <f>'22'!F85</f>
        <v>6203</v>
      </c>
      <c r="F85" s="164">
        <v>6203</v>
      </c>
      <c r="G85" s="112">
        <f t="shared" si="8"/>
        <v>0</v>
      </c>
      <c r="H85" s="99">
        <f>G85+'22'!H85</f>
        <v>270.55000000000018</v>
      </c>
      <c r="I85" s="545"/>
      <c r="J85" s="175">
        <f>H85/DAY(B2)</f>
        <v>11.763043478260878</v>
      </c>
      <c r="O85" s="71"/>
    </row>
    <row r="86" spans="1:15" ht="30.75" customHeight="1">
      <c r="A86" s="345" t="s">
        <v>232</v>
      </c>
      <c r="B86" s="346"/>
      <c r="C86" s="346"/>
      <c r="D86" s="151" t="s">
        <v>228</v>
      </c>
      <c r="E86" s="95">
        <f>'22'!F86</f>
        <v>46834</v>
      </c>
      <c r="F86" s="164">
        <v>46853.13</v>
      </c>
      <c r="G86" s="112">
        <f t="shared" si="8"/>
        <v>19.129999999997381</v>
      </c>
      <c r="H86" s="99">
        <f>G86+'22'!H86</f>
        <v>19.129999999997381</v>
      </c>
      <c r="I86" s="545"/>
      <c r="J86" s="175">
        <f>H86/DAY(B2)</f>
        <v>0.83173913043466874</v>
      </c>
      <c r="O86" s="71"/>
    </row>
    <row r="87" spans="1:15" ht="30.75" customHeight="1">
      <c r="A87" s="345" t="s">
        <v>233</v>
      </c>
      <c r="B87" s="346"/>
      <c r="C87" s="346"/>
      <c r="D87" s="151" t="s">
        <v>228</v>
      </c>
      <c r="E87" s="95">
        <f>'22'!F87</f>
        <v>37288</v>
      </c>
      <c r="F87" s="164">
        <v>37294.42</v>
      </c>
      <c r="G87" s="112">
        <f t="shared" si="8"/>
        <v>6.4199999999982538</v>
      </c>
      <c r="H87" s="99">
        <f>G87+'22'!H87</f>
        <v>266.41999999999825</v>
      </c>
      <c r="I87" s="545">
        <f>G84+G85+G86+G87</f>
        <v>25.549999999995634</v>
      </c>
      <c r="J87" s="175">
        <f>H87/DAY(B2)</f>
        <v>11.583478260869489</v>
      </c>
      <c r="O87" s="71"/>
    </row>
    <row r="88" spans="1:15" ht="30.75" customHeight="1">
      <c r="A88" s="345" t="s">
        <v>234</v>
      </c>
      <c r="B88" s="346"/>
      <c r="C88" s="346"/>
      <c r="D88" s="151" t="s">
        <v>228</v>
      </c>
      <c r="E88" s="95">
        <f>'22'!F88</f>
        <v>24700</v>
      </c>
      <c r="F88" s="164">
        <v>24704.37</v>
      </c>
      <c r="G88" s="112">
        <f t="shared" si="8"/>
        <v>4.3699999999989814</v>
      </c>
      <c r="H88" s="99">
        <f>G88+'22'!H88</f>
        <v>100.77000000000044</v>
      </c>
      <c r="I88" s="545"/>
      <c r="J88" s="175">
        <f>H88/DAY(B2)</f>
        <v>4.3813043478261058</v>
      </c>
      <c r="O88" s="71"/>
    </row>
    <row r="89" spans="1:15" ht="30.75" customHeight="1">
      <c r="A89" s="345" t="s">
        <v>235</v>
      </c>
      <c r="B89" s="346"/>
      <c r="C89" s="346"/>
      <c r="D89" s="151" t="s">
        <v>228</v>
      </c>
      <c r="E89" s="95">
        <f>'22'!F89</f>
        <v>28960</v>
      </c>
      <c r="F89" s="164">
        <v>28969.87</v>
      </c>
      <c r="G89" s="112">
        <f t="shared" si="8"/>
        <v>9.8699999999989814</v>
      </c>
      <c r="H89" s="99">
        <f>G89+'22'!H89</f>
        <v>221.47999999999956</v>
      </c>
      <c r="I89" s="545">
        <f>G88+G89</f>
        <v>14.239999999997963</v>
      </c>
      <c r="J89" s="175">
        <f>H89/DAY(B2)</f>
        <v>9.6295652173912849</v>
      </c>
      <c r="O89" s="71"/>
    </row>
    <row r="90" spans="1:15" ht="30.75" customHeight="1">
      <c r="A90" s="345" t="s">
        <v>236</v>
      </c>
      <c r="B90" s="346"/>
      <c r="C90" s="346"/>
      <c r="D90" s="151" t="s">
        <v>228</v>
      </c>
      <c r="E90" s="95">
        <f>'22'!F90</f>
        <v>74384</v>
      </c>
      <c r="F90" s="164">
        <v>74393.38</v>
      </c>
      <c r="G90" s="112">
        <f t="shared" si="8"/>
        <v>9.3800000000046566</v>
      </c>
      <c r="H90" s="99">
        <f>G90+'22'!H90</f>
        <v>190.20000000001164</v>
      </c>
      <c r="I90" s="545">
        <f>G90</f>
        <v>9.3800000000046566</v>
      </c>
      <c r="J90" s="175">
        <f>H90/DAY(B2)</f>
        <v>8.2695652173918113</v>
      </c>
      <c r="O90" s="71"/>
    </row>
    <row r="91" spans="1:15" ht="30.75" customHeight="1">
      <c r="A91" s="345" t="s">
        <v>237</v>
      </c>
      <c r="B91" s="346"/>
      <c r="C91" s="346"/>
      <c r="D91" s="151" t="s">
        <v>228</v>
      </c>
      <c r="E91" s="95">
        <f>'22'!F91</f>
        <v>5618</v>
      </c>
      <c r="F91" s="122">
        <v>5618</v>
      </c>
      <c r="G91" s="112">
        <f t="shared" si="8"/>
        <v>0</v>
      </c>
      <c r="H91" s="99">
        <f>G91+'22'!H91</f>
        <v>-0.21000000000003638</v>
      </c>
      <c r="I91" s="546"/>
      <c r="J91" s="175">
        <f>H91/DAY(B2)</f>
        <v>-9.1304347826102767E-3</v>
      </c>
      <c r="O91" s="71"/>
    </row>
    <row r="92" spans="1:15" ht="30.75" customHeight="1">
      <c r="A92" s="345" t="s">
        <v>238</v>
      </c>
      <c r="B92" s="346"/>
      <c r="C92" s="346"/>
      <c r="D92" s="151" t="s">
        <v>228</v>
      </c>
      <c r="E92" s="95">
        <f>'22'!F92</f>
        <v>7330</v>
      </c>
      <c r="F92" s="122">
        <v>7340.34</v>
      </c>
      <c r="G92" s="112">
        <f t="shared" si="8"/>
        <v>10.340000000000146</v>
      </c>
      <c r="H92" s="99">
        <f>G92+'22'!H92</f>
        <v>260.65000000000055</v>
      </c>
      <c r="I92" s="547">
        <f>G91+G92</f>
        <v>10.340000000000146</v>
      </c>
      <c r="J92" s="175">
        <f>H92/DAY(B2)</f>
        <v>11.332608695652198</v>
      </c>
      <c r="O92" s="71"/>
    </row>
    <row r="93" spans="1:15" ht="30.75" customHeight="1">
      <c r="A93" s="905" t="s">
        <v>239</v>
      </c>
      <c r="B93" s="906"/>
      <c r="C93" s="90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5110.609999999986</v>
      </c>
      <c r="H94" s="99">
        <f>G94+'22'!H94</f>
        <v>126848.46999999997</v>
      </c>
      <c r="I94" s="118"/>
      <c r="J94" s="175">
        <f>H94/DAY(B2)</f>
        <v>5515.1508695652165</v>
      </c>
      <c r="K94" s="69"/>
      <c r="L94" s="66"/>
      <c r="O94" s="71"/>
    </row>
    <row r="95" spans="1:15" ht="30.75" customHeight="1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0.25845361033286413</v>
      </c>
      <c r="H95" s="99">
        <f>G95+'22'!H95</f>
        <v>6.1389251468591466</v>
      </c>
      <c r="I95" s="167"/>
      <c r="J95" s="175">
        <f>H95/DAY(B2)</f>
        <v>0.26690978899387596</v>
      </c>
      <c r="K95" s="69"/>
      <c r="L95" s="66"/>
      <c r="O95" s="71"/>
    </row>
    <row r="96" spans="1:15" ht="30.75" customHeight="1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2704.9099999999744</v>
      </c>
      <c r="H96" s="99">
        <f>G96+'22'!H96</f>
        <v>80133.089999999967</v>
      </c>
      <c r="I96" s="118"/>
      <c r="J96" s="175">
        <f>H96/DAY(B2)</f>
        <v>3484.0473913043465</v>
      </c>
      <c r="K96" s="69"/>
      <c r="L96" s="66"/>
      <c r="O96" s="71"/>
    </row>
    <row r="97" spans="1:15" ht="30.75" customHeight="1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0.13679262458404434</v>
      </c>
      <c r="H97" s="99">
        <f>G97+'22'!H97</f>
        <v>3.8557825791051936</v>
      </c>
      <c r="I97" s="167"/>
      <c r="J97" s="175">
        <f>H97/DAY(B2)</f>
        <v>0.16764272083066059</v>
      </c>
      <c r="K97" s="69"/>
      <c r="L97" s="66"/>
      <c r="O97" s="71"/>
    </row>
    <row r="98" spans="1:15" ht="30.75" customHeight="1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2702.6700000000419</v>
      </c>
      <c r="H98" s="99">
        <f>G98+'22'!H98</f>
        <v>63899.640000000014</v>
      </c>
      <c r="I98" s="168"/>
      <c r="J98" s="175">
        <f>H98/DAY(B2)</f>
        <v>2778.2452173913048</v>
      </c>
      <c r="K98" s="69"/>
      <c r="L98" s="66"/>
      <c r="O98" s="71"/>
    </row>
    <row r="99" spans="1:15" ht="30.75" customHeight="1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0.13667934337355711</v>
      </c>
      <c r="H99" s="99">
        <f>G99+'22'!H99</f>
        <v>3.0910134953529029</v>
      </c>
      <c r="I99" s="168"/>
      <c r="J99" s="175">
        <f>H99/DAY(B2)</f>
        <v>0.13439189110230013</v>
      </c>
      <c r="O99" s="71"/>
    </row>
    <row r="100" spans="1:15" ht="30.75" customHeight="1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2587.9100000000326</v>
      </c>
      <c r="H100" s="99">
        <f>G100+'22'!H100</f>
        <v>55934.320000000058</v>
      </c>
      <c r="I100" s="118"/>
      <c r="J100" s="175">
        <f>H100/DAY(B2)</f>
        <v>2431.9269565217414</v>
      </c>
      <c r="K100" s="70"/>
      <c r="O100" s="71"/>
    </row>
    <row r="101" spans="1:15" ht="30.75" customHeight="1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0.13087570421466962</v>
      </c>
      <c r="H101" s="99">
        <f>G101+'22'!H101</f>
        <v>2.7053033766093666</v>
      </c>
      <c r="I101" s="168"/>
      <c r="J101" s="175">
        <f>H101/DAY(B2)</f>
        <v>0.11762188593953768</v>
      </c>
      <c r="O101" s="71"/>
    </row>
    <row r="102" spans="1:15" ht="30.75" customHeight="1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2271.6199999999953</v>
      </c>
      <c r="H102" s="99">
        <f>G102+'22'!H102</f>
        <v>50914.719999999972</v>
      </c>
      <c r="I102" s="168"/>
      <c r="J102" s="175">
        <f>H102/DAY(B2)</f>
        <v>2213.6834782608685</v>
      </c>
      <c r="O102" s="71"/>
    </row>
    <row r="103" spans="1:15" ht="30.75" customHeight="1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0.11488029614945011</v>
      </c>
      <c r="H103" s="99">
        <f>G103+'22'!H103</f>
        <v>2.4573122588296181</v>
      </c>
      <c r="I103" s="118"/>
      <c r="J103" s="175">
        <f>H103/DAY(B2)</f>
        <v>0.10683966342737471</v>
      </c>
      <c r="O103" s="71"/>
    </row>
    <row r="104" spans="1:15" ht="30.75" customHeight="1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1518.4699999999721</v>
      </c>
      <c r="H104" s="99">
        <f>G104+'22'!H104</f>
        <v>33782.599999999977</v>
      </c>
      <c r="I104" s="118"/>
      <c r="J104" s="175">
        <f>H104/DAY(B2)</f>
        <v>1468.8086956521729</v>
      </c>
      <c r="O104" s="71"/>
    </row>
    <row r="105" spans="1:15" ht="30.75" customHeight="1" thickBot="1">
      <c r="A105" s="895" t="s">
        <v>251</v>
      </c>
      <c r="B105" s="896"/>
      <c r="C105" s="897"/>
      <c r="D105" s="231" t="s">
        <v>23</v>
      </c>
      <c r="E105" s="185"/>
      <c r="F105" s="185"/>
      <c r="G105" s="186">
        <f>G104/G7</f>
        <v>7.6792017720416564E-2</v>
      </c>
      <c r="H105" s="99">
        <f>G105+'22'!H105</f>
        <v>1.6343426730125237</v>
      </c>
      <c r="I105" s="187"/>
      <c r="J105" s="188">
        <f>H105/DAY(B2)</f>
        <v>7.1058377087501026E-2</v>
      </c>
      <c r="O105" s="71"/>
    </row>
    <row r="106" spans="1:15" ht="30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>
      <c r="A108" s="891" t="s">
        <v>324</v>
      </c>
      <c r="B108" s="891"/>
      <c r="C108" s="891"/>
      <c r="D108" s="891"/>
      <c r="E108" s="891"/>
      <c r="F108" s="891"/>
      <c r="G108" s="891"/>
      <c r="H108" s="891"/>
      <c r="I108" s="891"/>
      <c r="J108" s="891"/>
    </row>
    <row r="109" spans="1:15" ht="30.75" customHeight="1">
      <c r="A109" s="918"/>
      <c r="B109" s="918"/>
    </row>
    <row r="110" spans="1:15" ht="30.75" customHeight="1">
      <c r="A110" s="892" t="s">
        <v>165</v>
      </c>
      <c r="B110" s="893"/>
      <c r="C110" s="893"/>
      <c r="D110" s="893"/>
      <c r="E110" s="893"/>
      <c r="F110" s="893"/>
      <c r="G110" s="893"/>
      <c r="H110" s="893"/>
      <c r="I110" s="893"/>
      <c r="J110" s="894"/>
    </row>
    <row r="111" spans="1:15" ht="30.75" customHeight="1">
      <c r="A111" s="885"/>
      <c r="B111" s="886"/>
      <c r="C111" s="887"/>
      <c r="D111" s="165"/>
      <c r="E111" s="165"/>
      <c r="F111" s="165"/>
      <c r="G111" s="165"/>
      <c r="H111" s="156"/>
      <c r="I111" s="165"/>
      <c r="J111" s="327"/>
    </row>
    <row r="112" spans="1:15" ht="30.75" customHeight="1">
      <c r="A112" s="881" t="s">
        <v>252</v>
      </c>
      <c r="B112" s="882"/>
      <c r="C112" s="883"/>
      <c r="D112" s="146" t="s">
        <v>183</v>
      </c>
      <c r="E112" s="95">
        <f>'22'!F112</f>
        <v>18842</v>
      </c>
      <c r="F112" s="237">
        <v>18904.48</v>
      </c>
      <c r="G112" s="112">
        <f t="shared" ref="G112:G123" si="9">F112-E112</f>
        <v>62.479999999999563</v>
      </c>
      <c r="H112" s="99">
        <f>G112+'22'!H112</f>
        <v>1393.1800000000003</v>
      </c>
      <c r="I112" s="165"/>
      <c r="J112" s="328">
        <f>H112/DAY(B2)</f>
        <v>60.573043478260885</v>
      </c>
    </row>
    <row r="113" spans="1:18" ht="30.75" customHeight="1">
      <c r="A113" s="881" t="s">
        <v>253</v>
      </c>
      <c r="B113" s="882"/>
      <c r="C113" s="883"/>
      <c r="D113" s="146" t="s">
        <v>183</v>
      </c>
      <c r="E113" s="95">
        <f>'22'!F113</f>
        <v>40226</v>
      </c>
      <c r="F113" s="237">
        <v>40374.559999999998</v>
      </c>
      <c r="G113" s="112">
        <f t="shared" si="9"/>
        <v>148.55999999999767</v>
      </c>
      <c r="H113" s="99">
        <f>G113+'22'!H113</f>
        <v>3295.5599999999977</v>
      </c>
      <c r="I113" s="165"/>
      <c r="J113" s="328">
        <f>H113/DAY(B2)</f>
        <v>143.28521739130426</v>
      </c>
    </row>
    <row r="114" spans="1:18" ht="30.75" customHeight="1">
      <c r="A114" s="881" t="s">
        <v>254</v>
      </c>
      <c r="B114" s="882"/>
      <c r="C114" s="883"/>
      <c r="D114" s="146" t="s">
        <v>183</v>
      </c>
      <c r="E114" s="95">
        <f>'22'!F114</f>
        <v>59197</v>
      </c>
      <c r="F114" s="237">
        <v>59426.8</v>
      </c>
      <c r="G114" s="112">
        <f t="shared" si="9"/>
        <v>229.80000000000291</v>
      </c>
      <c r="H114" s="99">
        <f>G114+'22'!H114</f>
        <v>5159.0200000000041</v>
      </c>
      <c r="I114" s="165"/>
      <c r="J114" s="328">
        <f>H114/DAY(B2)</f>
        <v>224.30521739130452</v>
      </c>
    </row>
    <row r="115" spans="1:18" ht="30.75" customHeight="1">
      <c r="A115" s="881" t="s">
        <v>255</v>
      </c>
      <c r="B115" s="882"/>
      <c r="C115" s="883"/>
      <c r="D115" s="146" t="s">
        <v>183</v>
      </c>
      <c r="E115" s="95">
        <f>'22'!F115</f>
        <v>38169</v>
      </c>
      <c r="F115" s="237">
        <v>38301.699999999997</v>
      </c>
      <c r="G115" s="112">
        <f t="shared" si="9"/>
        <v>132.69999999999709</v>
      </c>
      <c r="H115" s="99">
        <f>G115+'22'!H115</f>
        <v>3334.7899999999936</v>
      </c>
      <c r="I115" s="165"/>
      <c r="J115" s="328">
        <f>H115/DAY(B2)</f>
        <v>144.99086956521711</v>
      </c>
    </row>
    <row r="116" spans="1:18" ht="30.75" customHeight="1">
      <c r="A116" s="888" t="s">
        <v>96</v>
      </c>
      <c r="B116" s="889"/>
      <c r="C116" s="890"/>
      <c r="D116" s="146" t="s">
        <v>183</v>
      </c>
      <c r="E116" s="95">
        <f>'22'!F116</f>
        <v>144229</v>
      </c>
      <c r="F116" s="237">
        <v>144674.79999999999</v>
      </c>
      <c r="G116" s="112">
        <f t="shared" si="9"/>
        <v>445.79999999998836</v>
      </c>
      <c r="H116" s="99">
        <f>G116+'22'!H116</f>
        <v>10186.409999999974</v>
      </c>
      <c r="I116" s="165"/>
      <c r="J116" s="328">
        <f>H116/DAY(B2)</f>
        <v>442.88739130434669</v>
      </c>
      <c r="Q116" s="881" t="s">
        <v>311</v>
      </c>
      <c r="R116" s="883"/>
    </row>
    <row r="117" spans="1:18" ht="30.75" customHeight="1">
      <c r="A117" s="888" t="s">
        <v>184</v>
      </c>
      <c r="B117" s="889"/>
      <c r="C117" s="890"/>
      <c r="D117" s="146" t="s">
        <v>183</v>
      </c>
      <c r="E117" s="95">
        <f>'22'!F117</f>
        <v>89601</v>
      </c>
      <c r="F117" s="416">
        <v>89811</v>
      </c>
      <c r="G117" s="112">
        <f t="shared" si="9"/>
        <v>210</v>
      </c>
      <c r="H117" s="99">
        <f>G117+'22'!H117</f>
        <v>7101</v>
      </c>
      <c r="I117" s="165"/>
      <c r="J117" s="328">
        <f>H117/DAY(B2)</f>
        <v>308.73913043478262</v>
      </c>
      <c r="Q117" s="881" t="s">
        <v>312</v>
      </c>
      <c r="R117" s="883"/>
    </row>
    <row r="118" spans="1:18" ht="30.75" customHeight="1">
      <c r="A118" s="880" t="s">
        <v>97</v>
      </c>
      <c r="B118" s="880"/>
      <c r="C118" s="880"/>
      <c r="D118" s="151" t="s">
        <v>183</v>
      </c>
      <c r="E118" s="95">
        <f>'22'!F118</f>
        <v>171934</v>
      </c>
      <c r="F118" s="237">
        <v>172540.55</v>
      </c>
      <c r="G118" s="112">
        <f t="shared" si="9"/>
        <v>606.54999999998836</v>
      </c>
      <c r="H118" s="99">
        <f>G118+'22'!H118</f>
        <v>14403.399999999994</v>
      </c>
      <c r="I118" s="165"/>
      <c r="J118" s="328">
        <f>H118/DAY(B2)</f>
        <v>626.23478260869535</v>
      </c>
      <c r="Q118" s="881" t="s">
        <v>311</v>
      </c>
      <c r="R118" s="883"/>
    </row>
    <row r="119" spans="1:18" ht="30.75" customHeight="1">
      <c r="A119" s="880" t="s">
        <v>98</v>
      </c>
      <c r="B119" s="880"/>
      <c r="C119" s="880"/>
      <c r="D119" s="151" t="s">
        <v>183</v>
      </c>
      <c r="E119" s="95">
        <f>'22'!F119</f>
        <v>44783</v>
      </c>
      <c r="F119" s="237">
        <v>44832.3</v>
      </c>
      <c r="G119" s="112">
        <f t="shared" si="9"/>
        <v>49.30000000000291</v>
      </c>
      <c r="H119" s="99">
        <f>G119+'22'!H119</f>
        <v>893.125</v>
      </c>
      <c r="I119" s="165"/>
      <c r="J119" s="328">
        <f>H119/DAY(B2)</f>
        <v>38.831521739130437</v>
      </c>
    </row>
    <row r="120" spans="1:18" ht="30.75" customHeight="1">
      <c r="A120" s="880" t="s">
        <v>99</v>
      </c>
      <c r="B120" s="880"/>
      <c r="C120" s="880"/>
      <c r="D120" s="151" t="s">
        <v>183</v>
      </c>
      <c r="E120" s="95">
        <f>'22'!F120</f>
        <v>117066</v>
      </c>
      <c r="F120" s="237">
        <v>117446.5</v>
      </c>
      <c r="G120" s="112">
        <f t="shared" si="9"/>
        <v>380.5</v>
      </c>
      <c r="H120" s="99">
        <f>G120+'22'!H120</f>
        <v>9009.36</v>
      </c>
      <c r="I120" s="165"/>
      <c r="J120" s="328">
        <f>H120/DAY(B2)</f>
        <v>391.71130434782611</v>
      </c>
    </row>
    <row r="121" spans="1:18" ht="30.75" customHeight="1">
      <c r="A121" s="880" t="s">
        <v>100</v>
      </c>
      <c r="B121" s="880"/>
      <c r="C121" s="880"/>
      <c r="D121" s="151" t="s">
        <v>183</v>
      </c>
      <c r="E121" s="95">
        <f>'22'!F121</f>
        <v>130787</v>
      </c>
      <c r="F121" s="237">
        <v>131196</v>
      </c>
      <c r="G121" s="112">
        <f t="shared" si="9"/>
        <v>409</v>
      </c>
      <c r="H121" s="99">
        <f>G121+'22'!H121</f>
        <v>9973.11</v>
      </c>
      <c r="I121" s="165"/>
      <c r="J121" s="328">
        <f>H121/DAY(B2)</f>
        <v>433.61347826086961</v>
      </c>
    </row>
    <row r="122" spans="1:18" ht="30.75" customHeight="1">
      <c r="A122" s="880" t="s">
        <v>101</v>
      </c>
      <c r="B122" s="880"/>
      <c r="C122" s="880"/>
      <c r="D122" s="151" t="s">
        <v>183</v>
      </c>
      <c r="E122" s="95">
        <f>'22'!F122</f>
        <v>88093</v>
      </c>
      <c r="F122" s="237">
        <v>88375.5</v>
      </c>
      <c r="G122" s="112">
        <f t="shared" si="9"/>
        <v>282.5</v>
      </c>
      <c r="H122" s="99">
        <f>G122+'22'!H122</f>
        <v>7101.1300000000047</v>
      </c>
      <c r="I122" s="165"/>
      <c r="J122" s="328">
        <f>H122/DAY(B2)</f>
        <v>308.74478260869586</v>
      </c>
    </row>
    <row r="123" spans="1:18" ht="30.75" customHeight="1">
      <c r="A123" s="880" t="s">
        <v>102</v>
      </c>
      <c r="B123" s="880"/>
      <c r="C123" s="880"/>
      <c r="D123" s="151" t="s">
        <v>183</v>
      </c>
      <c r="E123" s="95">
        <f>'22'!F123</f>
        <v>84770</v>
      </c>
      <c r="F123" s="237">
        <v>85084.7</v>
      </c>
      <c r="G123" s="112">
        <f t="shared" si="9"/>
        <v>314.69999999999709</v>
      </c>
      <c r="H123" s="99">
        <f>G123+'22'!H123</f>
        <v>7135.6999999999971</v>
      </c>
      <c r="I123" s="165"/>
      <c r="J123" s="328">
        <f>H123/DAY(B2)</f>
        <v>310.24782608695642</v>
      </c>
    </row>
    <row r="124" spans="1:18" ht="30.75" customHeight="1">
      <c r="A124" s="885"/>
      <c r="B124" s="886"/>
      <c r="C124" s="887"/>
      <c r="D124" s="165"/>
      <c r="E124" s="95">
        <f>'22'!F124</f>
        <v>0</v>
      </c>
      <c r="F124" s="165"/>
      <c r="G124" s="327"/>
      <c r="H124" s="99">
        <f>G124+'22'!H124</f>
        <v>0</v>
      </c>
      <c r="I124" s="165"/>
      <c r="J124" s="327"/>
    </row>
    <row r="125" spans="1:18" ht="30.75" customHeight="1">
      <c r="A125" s="787" t="s">
        <v>196</v>
      </c>
      <c r="B125" s="788"/>
      <c r="C125" s="245"/>
      <c r="D125" s="307"/>
      <c r="E125" s="308"/>
      <c r="F125" s="308"/>
      <c r="G125" s="309">
        <f>SUM(G112:G124)</f>
        <v>3271.889999999974</v>
      </c>
      <c r="H125" s="156"/>
      <c r="I125" s="327">
        <f>G125-(G39+G53)</f>
        <v>569.21999999993204</v>
      </c>
      <c r="J125" s="327"/>
    </row>
    <row r="126" spans="1:18" ht="30.75" customHeight="1">
      <c r="A126" s="884" t="s">
        <v>317</v>
      </c>
      <c r="B126" s="884"/>
      <c r="C126" s="884"/>
      <c r="D126" s="884"/>
      <c r="E126" s="884"/>
      <c r="F126" s="884"/>
      <c r="G126" s="884"/>
      <c r="H126" s="884"/>
      <c r="I126" s="884"/>
      <c r="J126" s="884"/>
    </row>
    <row r="127" spans="1:18" ht="30.75" customHeight="1">
      <c r="A127" s="870"/>
      <c r="B127" s="870"/>
      <c r="C127" s="245"/>
      <c r="D127" s="307"/>
      <c r="E127" s="308"/>
      <c r="F127" s="308"/>
      <c r="G127" s="309"/>
      <c r="H127" s="99">
        <f>G127+'22'!H127</f>
        <v>0</v>
      </c>
      <c r="I127" s="165"/>
      <c r="J127" s="328">
        <f>H127/DAY(B2)</f>
        <v>0</v>
      </c>
    </row>
    <row r="128" spans="1:18" ht="30.75" customHeight="1">
      <c r="A128" s="881" t="s">
        <v>318</v>
      </c>
      <c r="B128" s="882"/>
      <c r="C128" s="883"/>
      <c r="D128" s="151" t="s">
        <v>183</v>
      </c>
      <c r="E128" s="95">
        <f>'22'!F128</f>
        <v>202874</v>
      </c>
      <c r="F128" s="155">
        <v>203353.37</v>
      </c>
      <c r="G128" s="112">
        <f t="shared" ref="G128:G134" si="10">F128-E128</f>
        <v>479.36999999999534</v>
      </c>
      <c r="H128" s="99">
        <f>G128+'22'!H128</f>
        <v>11467.739999999991</v>
      </c>
      <c r="I128" s="165"/>
      <c r="J128" s="328">
        <f>H128/DAY(B2)</f>
        <v>498.59739130434741</v>
      </c>
    </row>
    <row r="129" spans="1:15" ht="30.75" customHeight="1">
      <c r="A129" s="329" t="s">
        <v>319</v>
      </c>
      <c r="B129" s="330"/>
      <c r="C129" s="331"/>
      <c r="D129" s="151" t="s">
        <v>183</v>
      </c>
      <c r="E129" s="95">
        <f>'22'!F129</f>
        <v>105192</v>
      </c>
      <c r="F129" s="157">
        <v>105354</v>
      </c>
      <c r="G129" s="112">
        <f t="shared" si="10"/>
        <v>162</v>
      </c>
      <c r="H129" s="99">
        <f>G129+'22'!H129</f>
        <v>4077</v>
      </c>
      <c r="I129" s="165"/>
      <c r="J129" s="328">
        <f>H129/DAY(B2)</f>
        <v>177.2608695652174</v>
      </c>
      <c r="N129" s="240"/>
      <c r="O129" s="241"/>
    </row>
    <row r="130" spans="1:15" ht="30.75" customHeight="1">
      <c r="A130" s="329" t="s">
        <v>320</v>
      </c>
      <c r="B130" s="330"/>
      <c r="C130" s="331"/>
      <c r="D130" s="151" t="s">
        <v>183</v>
      </c>
      <c r="E130" s="95">
        <f>'22'!F130</f>
        <v>281848</v>
      </c>
      <c r="F130" s="155">
        <v>282377.25</v>
      </c>
      <c r="G130" s="112">
        <f t="shared" si="10"/>
        <v>529.25</v>
      </c>
      <c r="H130" s="99">
        <f>G130+'22'!H130</f>
        <v>13562.25</v>
      </c>
      <c r="I130" s="165"/>
      <c r="J130" s="328">
        <f>H130/DAY(B2)</f>
        <v>589.66304347826087</v>
      </c>
      <c r="N130" s="240"/>
      <c r="O130" s="241"/>
    </row>
    <row r="131" spans="1:15" ht="30.75" customHeight="1">
      <c r="A131" s="881" t="s">
        <v>321</v>
      </c>
      <c r="B131" s="882"/>
      <c r="C131" s="883"/>
      <c r="D131" s="151" t="s">
        <v>183</v>
      </c>
      <c r="E131" s="95">
        <f>'22'!F131</f>
        <v>83412</v>
      </c>
      <c r="F131" s="155">
        <v>83561.7</v>
      </c>
      <c r="G131" s="112">
        <f t="shared" si="10"/>
        <v>149.69999999999709</v>
      </c>
      <c r="H131" s="99">
        <f>G131+'22'!H131</f>
        <v>4011.0699999999924</v>
      </c>
      <c r="I131" s="165"/>
      <c r="J131" s="328">
        <f>H131/DAY(B2)</f>
        <v>174.39434782608663</v>
      </c>
      <c r="N131" s="240"/>
      <c r="O131" s="241"/>
    </row>
    <row r="132" spans="1:15" ht="30.75" customHeight="1">
      <c r="A132" s="881" t="s">
        <v>322</v>
      </c>
      <c r="B132" s="882"/>
      <c r="C132" s="883"/>
      <c r="D132" s="151" t="s">
        <v>183</v>
      </c>
      <c r="E132" s="95">
        <f>'22'!F132</f>
        <v>64809</v>
      </c>
      <c r="F132" s="155">
        <v>65104.52</v>
      </c>
      <c r="G132" s="112">
        <f t="shared" si="10"/>
        <v>295.5199999999968</v>
      </c>
      <c r="H132" s="99">
        <f>G132+'22'!H132</f>
        <v>879.5199999999968</v>
      </c>
      <c r="I132" s="165"/>
      <c r="J132" s="328">
        <f>H132/DAY(B2)</f>
        <v>38.23999999999986</v>
      </c>
    </row>
    <row r="133" spans="1:15" ht="30.75" customHeight="1">
      <c r="A133" s="881" t="s">
        <v>359</v>
      </c>
      <c r="B133" s="882"/>
      <c r="C133" s="883"/>
      <c r="D133" s="151" t="s">
        <v>183</v>
      </c>
      <c r="E133" s="95">
        <f>'22'!F133</f>
        <v>288548</v>
      </c>
      <c r="F133" s="155">
        <v>288548.17</v>
      </c>
      <c r="G133" s="112">
        <f t="shared" si="10"/>
        <v>0.16999999998370185</v>
      </c>
      <c r="H133" s="99">
        <f>G133+'22'!H133</f>
        <v>-644499.83000000007</v>
      </c>
      <c r="I133" s="165"/>
      <c r="J133" s="328">
        <f>H133/DAY(B2)</f>
        <v>-28021.731739130439</v>
      </c>
    </row>
    <row r="134" spans="1:15" ht="30.75" customHeight="1">
      <c r="A134" s="881" t="s">
        <v>340</v>
      </c>
      <c r="B134" s="882"/>
      <c r="C134" s="883"/>
      <c r="D134" s="151" t="s">
        <v>183</v>
      </c>
      <c r="E134" s="95">
        <f>'22'!F134</f>
        <v>91386</v>
      </c>
      <c r="F134" s="374">
        <v>91567.1</v>
      </c>
      <c r="G134" s="112">
        <f t="shared" si="10"/>
        <v>181.10000000000582</v>
      </c>
      <c r="H134" s="99">
        <f>G134+'22'!H134</f>
        <v>5615.1000000000058</v>
      </c>
      <c r="I134" s="165"/>
      <c r="J134" s="328">
        <f>H134/DAY(B2)</f>
        <v>244.1347826086959</v>
      </c>
    </row>
    <row r="135" spans="1:15" ht="30.75" customHeight="1">
      <c r="A135" s="787" t="s">
        <v>196</v>
      </c>
      <c r="B135" s="788"/>
      <c r="C135" s="331"/>
      <c r="D135" s="151"/>
      <c r="E135" s="95"/>
      <c r="F135" s="464"/>
      <c r="G135" s="112">
        <f>SUM(G128:G134)</f>
        <v>1797.1099999999788</v>
      </c>
      <c r="H135" s="99">
        <f>G135+'10'!H135</f>
        <v>-626323.73499999999</v>
      </c>
      <c r="I135" s="327">
        <f>G135-(G35+G49)</f>
        <v>-884.46999999997934</v>
      </c>
      <c r="J135" s="328"/>
    </row>
    <row r="136" spans="1:15" ht="30.75" customHeight="1">
      <c r="A136" s="869" t="s">
        <v>325</v>
      </c>
      <c r="B136" s="869"/>
      <c r="C136" s="869"/>
      <c r="D136" s="869"/>
      <c r="E136" s="869"/>
      <c r="F136" s="869"/>
      <c r="G136" s="869"/>
      <c r="H136" s="869"/>
      <c r="I136" s="869"/>
      <c r="J136" s="869"/>
    </row>
    <row r="137" spans="1:15" ht="30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0.75" customHeight="1">
      <c r="A138" s="880" t="s">
        <v>185</v>
      </c>
      <c r="B138" s="880"/>
      <c r="C138" s="880"/>
      <c r="D138" s="151" t="s">
        <v>183</v>
      </c>
      <c r="E138" s="95">
        <f>'22'!F138</f>
        <v>911919</v>
      </c>
      <c r="F138" s="147">
        <v>912031</v>
      </c>
      <c r="G138" s="112">
        <f t="shared" ref="G138:G152" si="11">F138-E138</f>
        <v>112</v>
      </c>
      <c r="H138" s="99">
        <f>G138+'22'!H138</f>
        <v>2591</v>
      </c>
      <c r="I138" s="118"/>
      <c r="J138" s="328">
        <f>H138/DAY(B2)</f>
        <v>112.65217391304348</v>
      </c>
    </row>
    <row r="139" spans="1:15" ht="30.75" customHeight="1">
      <c r="A139" s="880" t="s">
        <v>186</v>
      </c>
      <c r="B139" s="880"/>
      <c r="C139" s="880"/>
      <c r="D139" s="151" t="s">
        <v>183</v>
      </c>
      <c r="E139" s="95">
        <f>'22'!F139</f>
        <v>935835</v>
      </c>
      <c r="F139" s="148">
        <v>936000</v>
      </c>
      <c r="G139" s="112">
        <f t="shared" si="11"/>
        <v>165</v>
      </c>
      <c r="H139" s="99">
        <f>G139+'22'!H139</f>
        <v>3640</v>
      </c>
      <c r="I139" s="118"/>
      <c r="J139" s="328">
        <f>H139/DAY(B2)</f>
        <v>158.2608695652174</v>
      </c>
    </row>
    <row r="140" spans="1:15" ht="30.75" customHeight="1">
      <c r="A140" s="880" t="s">
        <v>187</v>
      </c>
      <c r="B140" s="880"/>
      <c r="C140" s="880"/>
      <c r="D140" s="151" t="s">
        <v>183</v>
      </c>
      <c r="E140" s="95">
        <f>'22'!F140</f>
        <v>4547</v>
      </c>
      <c r="F140" s="149">
        <v>4574.72</v>
      </c>
      <c r="G140" s="112">
        <f t="shared" si="11"/>
        <v>27.720000000000255</v>
      </c>
      <c r="H140" s="99">
        <f>G140+'22'!H140</f>
        <v>541.20900000000029</v>
      </c>
      <c r="I140" s="118"/>
      <c r="J140" s="328">
        <f>H140/DAY(B2)</f>
        <v>23.530826086956534</v>
      </c>
    </row>
    <row r="141" spans="1:15" ht="30.75" customHeight="1">
      <c r="A141" s="863" t="s">
        <v>188</v>
      </c>
      <c r="B141" s="863"/>
      <c r="C141" s="863"/>
      <c r="D141" s="151" t="s">
        <v>183</v>
      </c>
      <c r="E141" s="95">
        <f>'22'!F141</f>
        <v>129255</v>
      </c>
      <c r="F141" s="149">
        <v>129426.9</v>
      </c>
      <c r="G141" s="112">
        <f t="shared" si="11"/>
        <v>171.89999999999418</v>
      </c>
      <c r="H141" s="99">
        <f>G141+'22'!H141</f>
        <v>4828.8999999999942</v>
      </c>
      <c r="I141" s="118"/>
      <c r="J141" s="328">
        <f>H141/DAY(B2)</f>
        <v>209.95217391304323</v>
      </c>
    </row>
    <row r="142" spans="1:15" ht="30.75" customHeight="1">
      <c r="A142" s="863" t="s">
        <v>189</v>
      </c>
      <c r="B142" s="863"/>
      <c r="C142" s="863"/>
      <c r="D142" s="151" t="s">
        <v>183</v>
      </c>
      <c r="E142" s="95">
        <f>'22'!F142</f>
        <v>52472</v>
      </c>
      <c r="F142" s="148">
        <v>52544</v>
      </c>
      <c r="G142" s="112">
        <f t="shared" si="11"/>
        <v>72</v>
      </c>
      <c r="H142" s="99">
        <f>G142+'22'!H142</f>
        <v>1978.4499999999971</v>
      </c>
      <c r="I142" s="140"/>
      <c r="J142" s="328">
        <f>H142/DAY(B2)</f>
        <v>86.019565217391175</v>
      </c>
    </row>
    <row r="143" spans="1:15" ht="30.75" customHeight="1">
      <c r="A143" s="880" t="s">
        <v>91</v>
      </c>
      <c r="B143" s="880"/>
      <c r="C143" s="880"/>
      <c r="D143" s="151" t="s">
        <v>183</v>
      </c>
      <c r="E143" s="95">
        <f>'22'!F143</f>
        <v>14074</v>
      </c>
      <c r="F143" s="149">
        <v>14095.23</v>
      </c>
      <c r="G143" s="112">
        <f t="shared" si="11"/>
        <v>21.229999999999563</v>
      </c>
      <c r="H143" s="99">
        <f>G143+'22'!H143</f>
        <v>708.22999999999956</v>
      </c>
      <c r="I143" s="140"/>
      <c r="J143" s="328">
        <f>H143/DAY(B2)</f>
        <v>30.792608695652156</v>
      </c>
    </row>
    <row r="144" spans="1:15" ht="30.75" customHeight="1">
      <c r="A144" s="863" t="s">
        <v>90</v>
      </c>
      <c r="B144" s="863"/>
      <c r="C144" s="863"/>
      <c r="D144" s="151" t="s">
        <v>183</v>
      </c>
      <c r="E144" s="95">
        <f>'22'!F144</f>
        <v>960835</v>
      </c>
      <c r="F144" s="148">
        <v>961084</v>
      </c>
      <c r="G144" s="112">
        <f t="shared" si="11"/>
        <v>249</v>
      </c>
      <c r="H144" s="99">
        <f>G144+'22'!H144</f>
        <v>5614</v>
      </c>
      <c r="I144" s="140"/>
      <c r="J144" s="328">
        <f>H144/DAY(B2)</f>
        <v>244.08695652173913</v>
      </c>
    </row>
    <row r="145" spans="1:10" ht="30.75" customHeight="1">
      <c r="A145" s="880" t="s">
        <v>190</v>
      </c>
      <c r="B145" s="880"/>
      <c r="C145" s="880"/>
      <c r="D145" s="152" t="s">
        <v>183</v>
      </c>
      <c r="E145" s="95">
        <f>'22'!F145</f>
        <v>748971</v>
      </c>
      <c r="F145" s="148">
        <v>749141</v>
      </c>
      <c r="G145" s="112">
        <f t="shared" si="11"/>
        <v>170</v>
      </c>
      <c r="H145" s="99">
        <f>G145+'22'!H145</f>
        <v>3960</v>
      </c>
      <c r="I145" s="140"/>
      <c r="J145" s="328">
        <f>H145/DAY(B2)</f>
        <v>172.17391304347825</v>
      </c>
    </row>
    <row r="146" spans="1:10" ht="30.75" customHeight="1">
      <c r="A146" s="914" t="s">
        <v>191</v>
      </c>
      <c r="B146" s="900"/>
      <c r="C146" s="901"/>
      <c r="D146" s="152" t="s">
        <v>183</v>
      </c>
      <c r="E146" s="95">
        <f>'22'!F146</f>
        <v>788674</v>
      </c>
      <c r="F146" s="148">
        <v>788697</v>
      </c>
      <c r="G146" s="112">
        <f t="shared" si="11"/>
        <v>23</v>
      </c>
      <c r="H146" s="99">
        <f>G146+'22'!H146</f>
        <v>839</v>
      </c>
      <c r="I146" s="140"/>
      <c r="J146" s="328">
        <f>H146/DAY(B2)</f>
        <v>36.478260869565219</v>
      </c>
    </row>
    <row r="147" spans="1:10" ht="30.75" customHeight="1">
      <c r="A147" s="863" t="s">
        <v>192</v>
      </c>
      <c r="B147" s="863"/>
      <c r="C147" s="863"/>
      <c r="D147" s="152" t="s">
        <v>183</v>
      </c>
      <c r="E147" s="95">
        <f>'22'!F147</f>
        <v>768336</v>
      </c>
      <c r="F147" s="148">
        <v>768693.12</v>
      </c>
      <c r="G147" s="112">
        <f t="shared" si="11"/>
        <v>357.11999999999534</v>
      </c>
      <c r="H147" s="99">
        <f>G147+'22'!H147</f>
        <v>8555.1199999999953</v>
      </c>
      <c r="I147" s="140"/>
      <c r="J147" s="328">
        <f>H147/DAY(B2)</f>
        <v>371.96173913043458</v>
      </c>
    </row>
    <row r="148" spans="1:10" ht="30.75" customHeight="1">
      <c r="A148" s="864" t="s">
        <v>193</v>
      </c>
      <c r="B148" s="865"/>
      <c r="C148" s="866"/>
      <c r="D148" s="123" t="s">
        <v>130</v>
      </c>
      <c r="E148" s="95">
        <f>'22'!F148</f>
        <v>803545</v>
      </c>
      <c r="F148" s="150">
        <v>803935.76</v>
      </c>
      <c r="G148" s="112">
        <f t="shared" si="11"/>
        <v>390.76000000000931</v>
      </c>
      <c r="H148" s="99">
        <f>G148+'22'!H148</f>
        <v>7523.6800000000512</v>
      </c>
      <c r="I148" s="124"/>
      <c r="J148" s="328">
        <f>H148/DAY(B2)</f>
        <v>327.11652173913268</v>
      </c>
    </row>
    <row r="149" spans="1:10" ht="30.75" customHeight="1">
      <c r="A149" s="864" t="s">
        <v>336</v>
      </c>
      <c r="B149" s="865"/>
      <c r="C149" s="866"/>
      <c r="D149" s="227" t="s">
        <v>130</v>
      </c>
      <c r="E149" s="95">
        <f>'22'!F149</f>
        <v>211551</v>
      </c>
      <c r="F149" s="227">
        <v>212085</v>
      </c>
      <c r="G149" s="112">
        <f t="shared" si="11"/>
        <v>534</v>
      </c>
      <c r="H149" s="99">
        <f>G149+'22'!H149</f>
        <v>10793.73000000001</v>
      </c>
      <c r="I149" s="119"/>
      <c r="J149" s="328">
        <f>H149/DAY(B2)</f>
        <v>469.29260869565263</v>
      </c>
    </row>
    <row r="150" spans="1:10" ht="30.75" customHeight="1">
      <c r="A150" s="864" t="s">
        <v>337</v>
      </c>
      <c r="B150" s="865"/>
      <c r="C150" s="866"/>
      <c r="D150" s="117" t="s">
        <v>130</v>
      </c>
      <c r="E150" s="95">
        <f>'22'!F150</f>
        <v>90208</v>
      </c>
      <c r="F150" s="233">
        <v>90469.8</v>
      </c>
      <c r="G150" s="112">
        <f t="shared" si="11"/>
        <v>261.80000000000291</v>
      </c>
      <c r="H150" s="99">
        <f>G150+'22'!H150</f>
        <v>7882.8000000000029</v>
      </c>
      <c r="I150" s="119"/>
      <c r="J150" s="328">
        <f>H150/DAY(B2)</f>
        <v>342.73043478260882</v>
      </c>
    </row>
    <row r="151" spans="1:10" ht="30.75" customHeight="1">
      <c r="A151" s="864" t="s">
        <v>338</v>
      </c>
      <c r="B151" s="865"/>
      <c r="C151" s="866"/>
      <c r="D151" s="117" t="s">
        <v>130</v>
      </c>
      <c r="E151" s="95">
        <f>'22'!F151</f>
        <v>173409</v>
      </c>
      <c r="F151" s="233">
        <v>173709</v>
      </c>
      <c r="G151" s="112">
        <f t="shared" si="11"/>
        <v>300</v>
      </c>
      <c r="H151" s="99">
        <f>G151+'22'!H151</f>
        <v>6979</v>
      </c>
      <c r="I151" s="119"/>
      <c r="J151" s="328">
        <f>H151/DAY(B2)</f>
        <v>303.43478260869563</v>
      </c>
    </row>
    <row r="152" spans="1:10" ht="30.75" customHeight="1">
      <c r="A152" s="864" t="s">
        <v>339</v>
      </c>
      <c r="B152" s="865"/>
      <c r="C152" s="866"/>
      <c r="D152" s="117" t="s">
        <v>130</v>
      </c>
      <c r="E152" s="95">
        <f>'22'!F152</f>
        <v>45420</v>
      </c>
      <c r="F152" s="233">
        <v>45554.400000000001</v>
      </c>
      <c r="G152" s="112">
        <f t="shared" si="11"/>
        <v>134.40000000000146</v>
      </c>
      <c r="H152" s="99">
        <f>G152+'22'!H152</f>
        <v>3043.4000000000015</v>
      </c>
      <c r="I152" s="119"/>
      <c r="J152" s="328">
        <f>H152/DAY(B2)</f>
        <v>132.32173913043485</v>
      </c>
    </row>
    <row r="153" spans="1:10" ht="30.75" customHeight="1">
      <c r="A153" s="787" t="s">
        <v>196</v>
      </c>
      <c r="B153" s="788"/>
      <c r="C153" s="365"/>
      <c r="D153" s="358"/>
      <c r="E153" s="360"/>
      <c r="F153" s="361"/>
      <c r="G153" s="362">
        <f>SUM(G138:G152)</f>
        <v>2989.930000000003</v>
      </c>
      <c r="H153" s="363"/>
      <c r="I153" s="119">
        <f>G153-(G38+G52)</f>
        <v>402.01999999997042</v>
      </c>
      <c r="J153" s="366"/>
    </row>
    <row r="154" spans="1:10" ht="30.75" customHeight="1">
      <c r="A154" s="869" t="s">
        <v>344</v>
      </c>
      <c r="B154" s="869"/>
      <c r="C154" s="869"/>
      <c r="D154" s="869"/>
      <c r="E154" s="869"/>
      <c r="F154" s="869"/>
      <c r="G154" s="869"/>
      <c r="H154" s="869"/>
      <c r="I154" s="869"/>
      <c r="J154" s="869"/>
    </row>
    <row r="155" spans="1:10" ht="30.75" customHeight="1">
      <c r="A155" s="863" t="s">
        <v>345</v>
      </c>
      <c r="B155" s="863"/>
      <c r="C155" s="863"/>
      <c r="D155" s="117" t="s">
        <v>130</v>
      </c>
      <c r="E155" s="95">
        <f>'22'!F155</f>
        <v>251412</v>
      </c>
      <c r="F155" s="374">
        <v>251953.8</v>
      </c>
      <c r="G155" s="112">
        <f t="shared" ref="G155:G158" si="12">F155-E155</f>
        <v>541.79999999998836</v>
      </c>
      <c r="H155" s="99">
        <f>G155+'22'!H155</f>
        <v>12919.799999999988</v>
      </c>
      <c r="I155" s="364"/>
      <c r="J155" s="161">
        <v>329</v>
      </c>
    </row>
    <row r="156" spans="1:10" ht="30.75" customHeight="1">
      <c r="A156" s="863" t="s">
        <v>347</v>
      </c>
      <c r="B156" s="863"/>
      <c r="C156" s="863"/>
      <c r="D156" s="117" t="s">
        <v>130</v>
      </c>
      <c r="E156" s="95">
        <f>'22'!F156</f>
        <v>31688</v>
      </c>
      <c r="F156" s="374">
        <v>31788.400000000001</v>
      </c>
      <c r="G156" s="112">
        <f t="shared" si="12"/>
        <v>100.40000000000146</v>
      </c>
      <c r="H156" s="99">
        <f>G156+'22'!H156</f>
        <v>2108.9000000000015</v>
      </c>
      <c r="I156" s="165"/>
      <c r="J156" s="328">
        <f>H156/DAY(B2)</f>
        <v>91.691304347826147</v>
      </c>
    </row>
    <row r="157" spans="1:10" ht="30.75" customHeight="1">
      <c r="A157" s="864" t="s">
        <v>360</v>
      </c>
      <c r="B157" s="865"/>
      <c r="C157" s="866"/>
      <c r="D157" s="117" t="s">
        <v>130</v>
      </c>
      <c r="E157" s="95">
        <v>169.6</v>
      </c>
      <c r="F157" s="95">
        <v>169.6</v>
      </c>
      <c r="G157" s="112">
        <f t="shared" si="12"/>
        <v>0</v>
      </c>
      <c r="H157" s="99">
        <f>G157+'22'!H157</f>
        <v>65</v>
      </c>
      <c r="I157" s="165"/>
      <c r="J157" s="328">
        <f>H157/DAY(B2)</f>
        <v>2.8260869565217392</v>
      </c>
    </row>
    <row r="158" spans="1:10" ht="30.75" customHeight="1">
      <c r="A158" s="864" t="s">
        <v>361</v>
      </c>
      <c r="B158" s="865"/>
      <c r="C158" s="866"/>
      <c r="D158" s="117" t="s">
        <v>130</v>
      </c>
      <c r="E158" s="95">
        <f>'22'!F158</f>
        <v>1774</v>
      </c>
      <c r="F158" s="95">
        <v>1774.19</v>
      </c>
      <c r="G158" s="112">
        <f t="shared" si="12"/>
        <v>0.19000000000005457</v>
      </c>
      <c r="H158" s="99">
        <f>G158+'22'!H158</f>
        <v>1.4900000000000091</v>
      </c>
      <c r="I158" s="165"/>
      <c r="J158" s="328">
        <f>H158/DAY(B2)</f>
        <v>6.4782608695652569E-2</v>
      </c>
    </row>
    <row r="159" spans="1:10" ht="30.75" customHeight="1">
      <c r="A159" s="944"/>
      <c r="B159" s="945"/>
      <c r="C159" s="946"/>
      <c r="D159" s="117"/>
      <c r="E159" s="95"/>
      <c r="F159" s="165"/>
      <c r="G159" s="112"/>
      <c r="H159" s="99"/>
      <c r="I159" s="165"/>
      <c r="J159" s="328"/>
    </row>
    <row r="160" spans="1:10" ht="30.75" customHeight="1">
      <c r="A160" s="869" t="s">
        <v>326</v>
      </c>
      <c r="B160" s="869"/>
      <c r="C160" s="869"/>
      <c r="D160" s="869"/>
      <c r="E160" s="869"/>
      <c r="F160" s="869"/>
      <c r="G160" s="869"/>
      <c r="H160" s="869"/>
      <c r="I160" s="869"/>
      <c r="J160" s="869"/>
    </row>
    <row r="161" spans="1:10" ht="30.75" customHeight="1">
      <c r="A161" s="242" t="s">
        <v>92</v>
      </c>
      <c r="B161" s="243"/>
      <c r="C161" s="243"/>
      <c r="D161" s="244" t="s">
        <v>180</v>
      </c>
      <c r="E161" s="95">
        <f>'22'!F161</f>
        <v>511618</v>
      </c>
      <c r="F161" s="235">
        <v>511725.7</v>
      </c>
      <c r="G161" s="238">
        <f t="shared" ref="G161:G165" si="13">F161-E161</f>
        <v>107.70000000001164</v>
      </c>
      <c r="H161" s="99">
        <f>G161+'22'!H161</f>
        <v>3342.3800000000047</v>
      </c>
      <c r="I161" s="236"/>
      <c r="J161" s="239">
        <f>H161/DAY(B2)</f>
        <v>145.32086956521761</v>
      </c>
    </row>
    <row r="162" spans="1:10" ht="30.75" customHeight="1">
      <c r="A162" s="242" t="s">
        <v>93</v>
      </c>
      <c r="B162" s="243"/>
      <c r="C162" s="243"/>
      <c r="D162" s="244" t="s">
        <v>180</v>
      </c>
      <c r="E162" s="95">
        <f>'22'!F162</f>
        <v>1515</v>
      </c>
      <c r="F162" s="235">
        <v>1546.2</v>
      </c>
      <c r="G162" s="238">
        <f t="shared" si="13"/>
        <v>31.200000000000045</v>
      </c>
      <c r="H162" s="99">
        <f>G162+'22'!H162</f>
        <v>809.6</v>
      </c>
      <c r="I162" s="236"/>
      <c r="J162" s="239">
        <f>H162/DAY(B2)</f>
        <v>35.200000000000003</v>
      </c>
    </row>
    <row r="163" spans="1:10" ht="30.75" customHeight="1">
      <c r="A163" s="242" t="s">
        <v>197</v>
      </c>
      <c r="B163" s="243"/>
      <c r="C163" s="243"/>
      <c r="D163" s="244" t="s">
        <v>180</v>
      </c>
      <c r="E163" s="95">
        <f>'22'!F163</f>
        <v>0</v>
      </c>
      <c r="F163" s="235">
        <v>0</v>
      </c>
      <c r="G163" s="238">
        <f t="shared" si="13"/>
        <v>0</v>
      </c>
      <c r="H163" s="99">
        <f>G163+'22'!H163</f>
        <v>0</v>
      </c>
      <c r="I163" s="236"/>
      <c r="J163" s="239">
        <f>H163/DAY(B2)</f>
        <v>0</v>
      </c>
    </row>
    <row r="164" spans="1:10" ht="30.75" customHeight="1">
      <c r="A164" s="242" t="s">
        <v>197</v>
      </c>
      <c r="B164" s="243"/>
      <c r="C164" s="243"/>
      <c r="D164" s="244" t="s">
        <v>180</v>
      </c>
      <c r="E164" s="95">
        <f>'22'!F164</f>
        <v>7310</v>
      </c>
      <c r="F164" s="235">
        <v>7314.5</v>
      </c>
      <c r="G164" s="238">
        <f t="shared" si="13"/>
        <v>4.5</v>
      </c>
      <c r="H164" s="99">
        <f>G164+'22'!H164</f>
        <v>115.5</v>
      </c>
      <c r="I164" s="236"/>
      <c r="J164" s="239">
        <f>H164/DAY(B2)</f>
        <v>5.0217391304347823</v>
      </c>
    </row>
    <row r="165" spans="1:10" ht="30.75" customHeight="1">
      <c r="A165" s="242" t="s">
        <v>309</v>
      </c>
      <c r="B165" s="243"/>
      <c r="C165" s="243"/>
      <c r="D165" s="244" t="s">
        <v>180</v>
      </c>
      <c r="E165" s="95">
        <f>'22'!F165</f>
        <v>32921</v>
      </c>
      <c r="F165" s="235">
        <v>32929.199999999997</v>
      </c>
      <c r="G165" s="238">
        <f t="shared" si="13"/>
        <v>8.1999999999970896</v>
      </c>
      <c r="H165" s="99">
        <f>G165+'22'!H165</f>
        <v>149.11199999999371</v>
      </c>
      <c r="I165" s="236"/>
      <c r="J165" s="239">
        <f>H165/DAY(B2)</f>
        <v>6.4831304347823355</v>
      </c>
    </row>
    <row r="166" spans="1:10" ht="30.75" customHeight="1">
      <c r="A166" s="870"/>
      <c r="B166" s="870"/>
      <c r="C166" s="246"/>
      <c r="D166" s="244" t="s">
        <v>180</v>
      </c>
      <c r="E166" s="95">
        <f>'22'!F166</f>
        <v>0</v>
      </c>
      <c r="F166" s="165"/>
      <c r="G166" s="165"/>
      <c r="H166" s="99">
        <f>G166+'22'!H166</f>
        <v>0</v>
      </c>
      <c r="I166" s="165"/>
      <c r="J166" s="239">
        <f>H166/DAY(B2)</f>
        <v>0</v>
      </c>
    </row>
    <row r="167" spans="1:10" ht="30.75" customHeight="1">
      <c r="A167" s="870"/>
      <c r="B167" s="870"/>
      <c r="C167" s="246"/>
      <c r="D167" s="244" t="s">
        <v>180</v>
      </c>
      <c r="E167" s="95">
        <f>'22'!F167</f>
        <v>0</v>
      </c>
      <c r="F167" s="165"/>
      <c r="G167" s="165"/>
      <c r="H167" s="99">
        <f>G167+'22'!H167</f>
        <v>0</v>
      </c>
      <c r="I167" s="165"/>
      <c r="J167" s="239">
        <f>H167/DAY(B2)</f>
        <v>0</v>
      </c>
    </row>
    <row r="168" spans="1:10" ht="30.75" customHeight="1">
      <c r="A168" s="870"/>
      <c r="B168" s="870"/>
      <c r="C168" s="246"/>
      <c r="D168" s="244" t="s">
        <v>180</v>
      </c>
      <c r="E168" s="95">
        <f>'22'!F168</f>
        <v>0</v>
      </c>
      <c r="F168" s="165"/>
      <c r="G168" s="165"/>
      <c r="H168" s="99">
        <f>G168+'22'!H168</f>
        <v>0</v>
      </c>
      <c r="I168" s="165"/>
      <c r="J168" s="239">
        <f>H168/DAY(B2)</f>
        <v>0</v>
      </c>
    </row>
    <row r="171" spans="1:10" ht="30.75" customHeight="1">
      <c r="A171" s="871" t="s">
        <v>330</v>
      </c>
      <c r="B171" s="872"/>
      <c r="C171" s="872"/>
      <c r="D171" s="872"/>
      <c r="E171" s="872"/>
      <c r="F171" s="872"/>
      <c r="G171" s="872"/>
      <c r="H171" s="872"/>
      <c r="I171" s="872"/>
      <c r="J171" s="873"/>
    </row>
    <row r="172" spans="1:10" ht="30.75" customHeight="1">
      <c r="A172" s="878"/>
      <c r="B172" s="879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>
      <c r="A173" s="789" t="s">
        <v>209</v>
      </c>
      <c r="B173" s="790"/>
      <c r="C173" s="333"/>
      <c r="D173" s="228" t="s">
        <v>142</v>
      </c>
      <c r="E173" s="95">
        <f>'22'!F173</f>
        <v>8606</v>
      </c>
      <c r="F173" s="155">
        <f>8606+2</f>
        <v>8608</v>
      </c>
      <c r="G173" s="155">
        <f>F173-E173</f>
        <v>2</v>
      </c>
      <c r="H173" s="99">
        <f>G173+'22'!H173</f>
        <v>26</v>
      </c>
      <c r="I173" s="155"/>
      <c r="J173" s="178">
        <f>H173/DAY(B2)</f>
        <v>1.1304347826086956</v>
      </c>
    </row>
    <row r="174" spans="1:10" ht="30.75" customHeight="1">
      <c r="A174" s="789" t="s">
        <v>75</v>
      </c>
      <c r="B174" s="790"/>
      <c r="C174" s="333"/>
      <c r="D174" s="228" t="s">
        <v>142</v>
      </c>
      <c r="E174" s="95">
        <f>'22'!F174</f>
        <v>43314</v>
      </c>
      <c r="F174" s="157">
        <v>43326</v>
      </c>
      <c r="G174" s="155">
        <f t="shared" ref="G174:G175" si="14">F174-E174</f>
        <v>12</v>
      </c>
      <c r="H174" s="99">
        <f>G174+'22'!H174</f>
        <v>276</v>
      </c>
      <c r="I174" s="155"/>
      <c r="J174" s="178">
        <f>H174/DAY(B2)</f>
        <v>12</v>
      </c>
    </row>
    <row r="175" spans="1:10" ht="30.75" customHeight="1">
      <c r="A175" s="789" t="s">
        <v>76</v>
      </c>
      <c r="B175" s="802"/>
      <c r="C175" s="790"/>
      <c r="D175" s="228" t="s">
        <v>142</v>
      </c>
      <c r="E175" s="95">
        <f>'22'!F175</f>
        <v>26158</v>
      </c>
      <c r="F175" s="155">
        <v>26172</v>
      </c>
      <c r="G175" s="155">
        <f t="shared" si="14"/>
        <v>14</v>
      </c>
      <c r="H175" s="99">
        <f>G175+'22'!H175</f>
        <v>351</v>
      </c>
      <c r="I175" s="155"/>
      <c r="J175" s="178">
        <f>H175/DAY(B2)</f>
        <v>15.260869565217391</v>
      </c>
    </row>
    <row r="176" spans="1:10" ht="30.75" customHeight="1">
      <c r="A176" s="787" t="s">
        <v>196</v>
      </c>
      <c r="B176" s="788"/>
      <c r="C176" s="400"/>
      <c r="D176" s="228"/>
      <c r="E176" s="95"/>
      <c r="F176" s="155"/>
      <c r="G176" s="155">
        <f>SUM(G173:G175)</f>
        <v>28</v>
      </c>
      <c r="H176" s="99">
        <f>G176+'22'!H176</f>
        <v>653</v>
      </c>
      <c r="I176" s="155"/>
      <c r="J176" s="178">
        <f>H176/DAY(B2)</f>
        <v>28.391304347826086</v>
      </c>
    </row>
    <row r="177" spans="1:10" ht="30.75" customHeight="1">
      <c r="A177" s="789" t="s">
        <v>77</v>
      </c>
      <c r="B177" s="790"/>
      <c r="C177" s="333"/>
      <c r="D177" s="228" t="s">
        <v>142</v>
      </c>
      <c r="E177" s="95"/>
      <c r="F177" s="155"/>
      <c r="G177" s="155"/>
      <c r="H177" s="99">
        <f>G177+'22'!H177</f>
        <v>0</v>
      </c>
      <c r="I177" s="155"/>
      <c r="J177" s="178">
        <f>H177/DAY(B2)</f>
        <v>0</v>
      </c>
    </row>
    <row r="178" spans="1:10" ht="30.75" customHeight="1">
      <c r="A178" s="789" t="s">
        <v>210</v>
      </c>
      <c r="B178" s="790"/>
      <c r="C178" s="333"/>
      <c r="D178" s="228" t="s">
        <v>142</v>
      </c>
      <c r="E178" s="95">
        <f>'22'!F178</f>
        <v>109425</v>
      </c>
      <c r="F178" s="155">
        <v>109578</v>
      </c>
      <c r="G178" s="155">
        <f>F178-E178</f>
        <v>153</v>
      </c>
      <c r="H178" s="99">
        <f>G178+'22'!H178</f>
        <v>2579</v>
      </c>
      <c r="I178" s="155"/>
      <c r="J178" s="178">
        <f>H178/DAY(B2)</f>
        <v>112.1304347826087</v>
      </c>
    </row>
    <row r="179" spans="1:10" ht="30.75" customHeight="1">
      <c r="A179" s="789" t="s">
        <v>211</v>
      </c>
      <c r="B179" s="790"/>
      <c r="C179" s="333"/>
      <c r="D179" s="228" t="s">
        <v>142</v>
      </c>
      <c r="E179" s="95">
        <f>'22'!F179</f>
        <v>37501</v>
      </c>
      <c r="F179" s="155">
        <v>37501</v>
      </c>
      <c r="G179" s="155">
        <f t="shared" ref="G179:G180" si="15">F179-E179</f>
        <v>0</v>
      </c>
      <c r="H179" s="99">
        <f>G179+'22'!H179</f>
        <v>0</v>
      </c>
      <c r="I179" s="155"/>
      <c r="J179" s="178">
        <f>H179/DAY(B2)</f>
        <v>0</v>
      </c>
    </row>
    <row r="180" spans="1:10" ht="30.75" customHeight="1">
      <c r="A180" s="789" t="s">
        <v>212</v>
      </c>
      <c r="B180" s="790"/>
      <c r="C180" s="333"/>
      <c r="D180" s="228" t="s">
        <v>142</v>
      </c>
      <c r="E180" s="95">
        <f>'22'!F180</f>
        <v>7662</v>
      </c>
      <c r="F180" s="155">
        <v>7662</v>
      </c>
      <c r="G180" s="155">
        <f t="shared" si="15"/>
        <v>0</v>
      </c>
      <c r="H180" s="99">
        <f>G180+'22'!H180</f>
        <v>99</v>
      </c>
      <c r="I180" s="155"/>
      <c r="J180" s="178">
        <f>H180/DAY(B2)</f>
        <v>4.3043478260869561</v>
      </c>
    </row>
    <row r="181" spans="1:10" ht="30.75" customHeight="1">
      <c r="A181" s="876" t="s">
        <v>108</v>
      </c>
      <c r="B181" s="877"/>
      <c r="C181" s="400"/>
      <c r="D181" s="228"/>
      <c r="E181" s="95"/>
      <c r="F181" s="155"/>
      <c r="G181" s="155">
        <f>SUM(G178:G180)</f>
        <v>153</v>
      </c>
      <c r="H181" s="99">
        <f>G181+'22'!H181</f>
        <v>2678</v>
      </c>
      <c r="I181" s="155"/>
      <c r="J181" s="178">
        <f>H181/DAY(B2)</f>
        <v>116.43478260869566</v>
      </c>
    </row>
    <row r="182" spans="1:10" ht="30.75" customHeight="1">
      <c r="A182" s="789" t="s">
        <v>213</v>
      </c>
      <c r="B182" s="790"/>
      <c r="C182" s="333"/>
      <c r="D182" s="228"/>
      <c r="E182" s="95"/>
      <c r="F182" s="155"/>
      <c r="G182" s="155"/>
      <c r="H182" s="99">
        <f>G182+'22'!H182</f>
        <v>0</v>
      </c>
      <c r="I182" s="155"/>
      <c r="J182" s="178">
        <f>H182/DAY(B2)</f>
        <v>0</v>
      </c>
    </row>
    <row r="183" spans="1:10" ht="30.75" customHeight="1">
      <c r="A183" s="789" t="s">
        <v>214</v>
      </c>
      <c r="B183" s="790"/>
      <c r="C183" s="334"/>
      <c r="D183" s="228" t="s">
        <v>142</v>
      </c>
      <c r="E183" s="95">
        <f>'22'!F183</f>
        <v>18506</v>
      </c>
      <c r="F183" s="157">
        <v>18513</v>
      </c>
      <c r="G183" s="157">
        <f>F183-E183</f>
        <v>7</v>
      </c>
      <c r="H183" s="99">
        <f>G183+'22'!H183</f>
        <v>135</v>
      </c>
      <c r="I183" s="155"/>
      <c r="J183" s="178">
        <f>H183/DAY(B2)</f>
        <v>5.8695652173913047</v>
      </c>
    </row>
    <row r="184" spans="1:10" ht="30.75" customHeight="1">
      <c r="A184" s="789" t="s">
        <v>215</v>
      </c>
      <c r="B184" s="790"/>
      <c r="C184" s="334"/>
      <c r="D184" s="228" t="s">
        <v>142</v>
      </c>
      <c r="E184" s="95">
        <f>'22'!F184</f>
        <v>13184</v>
      </c>
      <c r="F184" s="157">
        <v>13191</v>
      </c>
      <c r="G184" s="157">
        <f t="shared" ref="G184:G185" si="16">F184-E184</f>
        <v>7</v>
      </c>
      <c r="H184" s="99">
        <f>G184+'22'!H184</f>
        <v>211</v>
      </c>
      <c r="I184" s="155"/>
      <c r="J184" s="178">
        <f>H184/DAY(B2)</f>
        <v>9.1739130434782616</v>
      </c>
    </row>
    <row r="185" spans="1:10" ht="30.75" customHeight="1">
      <c r="A185" s="789" t="s">
        <v>216</v>
      </c>
      <c r="B185" s="790"/>
      <c r="C185" s="334"/>
      <c r="D185" s="228" t="s">
        <v>142</v>
      </c>
      <c r="E185" s="95">
        <f>'22'!F185</f>
        <v>0</v>
      </c>
      <c r="F185" s="157">
        <v>0</v>
      </c>
      <c r="G185" s="157">
        <f t="shared" si="16"/>
        <v>0</v>
      </c>
      <c r="H185" s="99">
        <f>G185+'22'!H185</f>
        <v>0</v>
      </c>
      <c r="I185" s="155"/>
      <c r="J185" s="178">
        <f>H185/DAY(B2)</f>
        <v>0</v>
      </c>
    </row>
    <row r="186" spans="1:10" ht="30.75" customHeight="1">
      <c r="A186" s="787" t="s">
        <v>196</v>
      </c>
      <c r="B186" s="788"/>
      <c r="C186" s="399"/>
      <c r="D186" s="229"/>
      <c r="E186" s="95"/>
      <c r="F186" s="157"/>
      <c r="G186" s="157">
        <f>SUM(G183:G185)</f>
        <v>14</v>
      </c>
      <c r="H186" s="99">
        <f>G186+'22'!H186</f>
        <v>346</v>
      </c>
      <c r="I186" s="157"/>
      <c r="J186" s="178">
        <f>H186/DAY(B2)</f>
        <v>15.043478260869565</v>
      </c>
    </row>
    <row r="187" spans="1:10" ht="30.75" customHeight="1">
      <c r="A187" s="867" t="s">
        <v>217</v>
      </c>
      <c r="B187" s="868"/>
      <c r="C187" s="333"/>
      <c r="D187" s="230" t="s">
        <v>142</v>
      </c>
      <c r="E187" s="95"/>
      <c r="F187" s="159"/>
      <c r="G187" s="377">
        <f>G62+G19</f>
        <v>176.20000000001164</v>
      </c>
      <c r="H187" s="99">
        <f>G187+'22'!H187</f>
        <v>3699.2000000000116</v>
      </c>
      <c r="I187" s="158"/>
      <c r="J187" s="179">
        <f>H187/DAY(B2)</f>
        <v>160.83478260869614</v>
      </c>
    </row>
    <row r="188" spans="1:10" ht="30.75" customHeight="1">
      <c r="A188" s="867" t="s">
        <v>218</v>
      </c>
      <c r="B188" s="868"/>
      <c r="C188" s="333"/>
      <c r="D188" s="230" t="s">
        <v>142</v>
      </c>
      <c r="E188" s="95"/>
      <c r="F188" s="159"/>
      <c r="G188" s="377">
        <f>G65+G66+G67+G69+G70</f>
        <v>186</v>
      </c>
      <c r="H188" s="99">
        <f>G188+'22'!H188</f>
        <v>1638</v>
      </c>
      <c r="I188" s="158"/>
      <c r="J188" s="179">
        <f>H188/DAY(B2)</f>
        <v>71.217391304347828</v>
      </c>
    </row>
    <row r="189" spans="1:10" ht="30.75" customHeight="1">
      <c r="A189" s="867" t="s">
        <v>219</v>
      </c>
      <c r="B189" s="868"/>
      <c r="C189" s="333"/>
      <c r="D189" s="230" t="s">
        <v>142</v>
      </c>
      <c r="E189" s="95"/>
      <c r="F189" s="157"/>
      <c r="G189" s="376">
        <f>G181</f>
        <v>153</v>
      </c>
      <c r="H189" s="99">
        <f>G189+'22'!H189</f>
        <v>557</v>
      </c>
      <c r="I189" s="158"/>
      <c r="J189" s="179">
        <f>H189/DAY(B2)</f>
        <v>24.217391304347824</v>
      </c>
    </row>
    <row r="190" spans="1:10" ht="30.75" customHeight="1">
      <c r="A190" s="874"/>
      <c r="B190" s="875"/>
      <c r="C190" s="398"/>
      <c r="D190" s="395"/>
      <c r="E190" s="395" t="s">
        <v>207</v>
      </c>
      <c r="F190" s="395"/>
      <c r="G190" s="395"/>
      <c r="H190" s="396"/>
      <c r="I190" s="395"/>
      <c r="J190" s="397"/>
    </row>
  </sheetData>
  <mergeCells count="115">
    <mergeCell ref="A73:C73"/>
    <mergeCell ref="A74:C74"/>
    <mergeCell ref="A75:C75"/>
    <mergeCell ref="A71:C71"/>
    <mergeCell ref="A72:B72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95:C95"/>
    <mergeCell ref="A96:C96"/>
    <mergeCell ref="A93:C93"/>
    <mergeCell ref="A94:C94"/>
    <mergeCell ref="A76:C76"/>
    <mergeCell ref="A77:C77"/>
    <mergeCell ref="A79:C79"/>
    <mergeCell ref="A80:C80"/>
    <mergeCell ref="A81:C81"/>
    <mergeCell ref="A78:C78"/>
    <mergeCell ref="A97:C97"/>
    <mergeCell ref="A98:C98"/>
    <mergeCell ref="A99:C99"/>
    <mergeCell ref="A100:C100"/>
    <mergeCell ref="A101:C101"/>
    <mergeCell ref="A184:B184"/>
    <mergeCell ref="A183:B183"/>
    <mergeCell ref="A175:C175"/>
    <mergeCell ref="A119:C119"/>
    <mergeCell ref="A120:C120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44:C144"/>
    <mergeCell ref="A145:C145"/>
    <mergeCell ref="A146:C146"/>
    <mergeCell ref="A147:C147"/>
    <mergeCell ref="A148:C148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27:B127"/>
    <mergeCell ref="A128:C128"/>
    <mergeCell ref="A131:C131"/>
    <mergeCell ref="A132:C132"/>
    <mergeCell ref="A133:C133"/>
    <mergeCell ref="A121:C121"/>
    <mergeCell ref="A122:C122"/>
    <mergeCell ref="A124:C124"/>
    <mergeCell ref="A125:B125"/>
    <mergeCell ref="A126:J126"/>
    <mergeCell ref="A140:C140"/>
    <mergeCell ref="A141:C141"/>
    <mergeCell ref="A142:C142"/>
    <mergeCell ref="A160:J160"/>
    <mergeCell ref="A166:B166"/>
    <mergeCell ref="A134:C134"/>
    <mergeCell ref="A136:J136"/>
    <mergeCell ref="A138:C138"/>
    <mergeCell ref="A139:C139"/>
    <mergeCell ref="A143:C143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57:C157"/>
    <mergeCell ref="A158:C158"/>
    <mergeCell ref="A159:C159"/>
    <mergeCell ref="A174:B174"/>
    <mergeCell ref="A176:B176"/>
    <mergeCell ref="A177:B177"/>
    <mergeCell ref="A178:B178"/>
    <mergeCell ref="A179:B179"/>
    <mergeCell ref="A167:B167"/>
    <mergeCell ref="A168:B168"/>
    <mergeCell ref="A171:J171"/>
    <mergeCell ref="A172:B172"/>
    <mergeCell ref="A173:B173"/>
    <mergeCell ref="A187:B187"/>
    <mergeCell ref="A188:B188"/>
    <mergeCell ref="A189:B189"/>
    <mergeCell ref="A190:B190"/>
    <mergeCell ref="A180:B180"/>
    <mergeCell ref="A181:B181"/>
    <mergeCell ref="A182:B182"/>
    <mergeCell ref="A185:B185"/>
    <mergeCell ref="A186:B186"/>
  </mergeCells>
  <pageMargins left="0.22" right="0.17" top="0.14000000000000001" bottom="0.2" header="0.2" footer="0.2"/>
  <pageSetup paperSize="5" scale="17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R1701"/>
  <sheetViews>
    <sheetView view="pageBreakPreview" topLeftCell="A163" zoomScale="55" zoomScaleNormal="44" zoomScaleSheetLayoutView="55" workbookViewId="0">
      <selection activeCell="F9" sqref="F9"/>
    </sheetView>
  </sheetViews>
  <sheetFormatPr defaultColWidth="22.33203125" defaultRowHeight="21.95" customHeight="1"/>
  <cols>
    <col min="1" max="1" width="51.21875" style="94" customWidth="1"/>
    <col min="2" max="2" width="24" style="97" customWidth="1"/>
    <col min="3" max="3" width="15.88671875" style="97" customWidth="1"/>
    <col min="4" max="4" width="13.6640625" style="160" customWidth="1"/>
    <col min="5" max="5" width="24.77734375" style="160" customWidth="1"/>
    <col min="6" max="6" width="22" style="160" customWidth="1"/>
    <col min="7" max="7" width="22.44140625" style="160" customWidth="1"/>
    <col min="8" max="8" width="22.5546875" style="161" customWidth="1"/>
    <col min="9" max="9" width="21.1093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19" t="s">
        <v>115</v>
      </c>
      <c r="B1" s="920"/>
      <c r="C1" s="920"/>
      <c r="D1" s="920"/>
      <c r="E1" s="920"/>
      <c r="F1" s="920"/>
      <c r="G1" s="920"/>
      <c r="H1" s="920"/>
      <c r="I1" s="920"/>
      <c r="J1" s="921"/>
    </row>
    <row r="2" spans="1:15" s="57" customFormat="1" ht="23.25">
      <c r="A2" s="191" t="s">
        <v>354</v>
      </c>
      <c r="B2" s="262">
        <v>44950</v>
      </c>
      <c r="C2" s="348" t="s">
        <v>67</v>
      </c>
      <c r="D2" s="218">
        <v>0.41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29</v>
      </c>
      <c r="E3" s="928" t="s">
        <v>119</v>
      </c>
      <c r="F3" s="929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22" t="s">
        <v>128</v>
      </c>
      <c r="B6" s="923"/>
      <c r="C6" s="92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'23'!F7</f>
        <v>453473.8</v>
      </c>
      <c r="F7" s="95">
        <v>472453.07</v>
      </c>
      <c r="G7" s="112">
        <f>F7-E7</f>
        <v>18979.270000000019</v>
      </c>
      <c r="H7" s="99">
        <f>G7+'23'!H7</f>
        <v>494834.07</v>
      </c>
      <c r="I7" s="113">
        <f>'1'!I7</f>
        <v>12000</v>
      </c>
      <c r="J7" s="175">
        <f>H7/DAY(B2)</f>
        <v>20618.08625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'23'!F8</f>
        <v>642911</v>
      </c>
      <c r="F8" s="114">
        <v>662354.51</v>
      </c>
      <c r="G8" s="115">
        <f>F8-E8</f>
        <v>19443.510000000009</v>
      </c>
      <c r="H8" s="99">
        <f>G8+'23'!H8</f>
        <v>504497.51</v>
      </c>
      <c r="I8" s="116"/>
      <c r="J8" s="175">
        <f>H8/DAY(B2)</f>
        <v>21020.729583333334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'23'!F9</f>
        <v>4730547.0999999996</v>
      </c>
      <c r="F9" s="468">
        <v>4741474.7</v>
      </c>
      <c r="G9" s="112">
        <f>F9-E9</f>
        <v>10927.600000000559</v>
      </c>
      <c r="H9" s="99">
        <f>G9+'23'!H9</f>
        <v>324868.79999999981</v>
      </c>
      <c r="I9" s="124">
        <f>I7-J7</f>
        <v>-8618.0862500000003</v>
      </c>
      <c r="J9" s="175">
        <f>H9/DAY(B2)</f>
        <v>13536.199999999992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'23'!F10</f>
        <v>4220626.5999999996</v>
      </c>
      <c r="F10" s="353">
        <v>4228134.7</v>
      </c>
      <c r="G10" s="112">
        <f t="shared" ref="G10:G12" si="0">F10-E10</f>
        <v>7508.1000000005588</v>
      </c>
      <c r="H10" s="99">
        <f>G10+'23'!H10</f>
        <v>158098.40000000037</v>
      </c>
      <c r="I10" s="282"/>
      <c r="J10" s="175">
        <f>H10/DAY(B2)</f>
        <v>6587.4333333333489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'23'!F11</f>
        <v>38700</v>
      </c>
      <c r="F11" s="95">
        <v>38700</v>
      </c>
      <c r="G11" s="112">
        <f t="shared" si="0"/>
        <v>0</v>
      </c>
      <c r="H11" s="99">
        <f>G11+'23'!H11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'23'!F12</f>
        <v>40550</v>
      </c>
      <c r="F12" s="117">
        <v>40550</v>
      </c>
      <c r="G12" s="112">
        <f t="shared" si="0"/>
        <v>0</v>
      </c>
      <c r="H12" s="99">
        <f>G12+'23'!H12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18435.700000001118</v>
      </c>
      <c r="H13" s="99">
        <f>G13+'23'!H13</f>
        <v>482967.20000000019</v>
      </c>
      <c r="I13" s="120">
        <f>G7-G13</f>
        <v>543.56999999890104</v>
      </c>
      <c r="J13" s="175">
        <f>H13/DAY(B2)</f>
        <v>20123.633333333342</v>
      </c>
      <c r="K13" s="79"/>
      <c r="L13" s="66"/>
      <c r="N13" s="87"/>
      <c r="O13" s="71"/>
    </row>
    <row r="14" spans="1:15" ht="26.25">
      <c r="A14" s="925" t="s">
        <v>137</v>
      </c>
      <c r="B14" s="926"/>
      <c r="C14" s="92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'23'!F15</f>
        <v>2279366</v>
      </c>
      <c r="F15" s="468">
        <v>2280505.91</v>
      </c>
      <c r="G15" s="112">
        <f>(F15-E15)</f>
        <v>1139.910000000149</v>
      </c>
      <c r="H15" s="99">
        <f>G15+'23'!H15</f>
        <v>27204.552000000142</v>
      </c>
      <c r="I15" s="113">
        <f>'1'!I15</f>
        <v>800</v>
      </c>
      <c r="J15" s="175">
        <f>H15/DAY(B2)</f>
        <v>1133.5230000000058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-333.52300000000582</v>
      </c>
      <c r="J16" s="176"/>
      <c r="K16" s="79"/>
      <c r="L16" s="66"/>
      <c r="N16" s="87"/>
      <c r="O16" s="71"/>
    </row>
    <row r="17" spans="1:15" ht="26.25">
      <c r="A17" s="925" t="s">
        <v>140</v>
      </c>
      <c r="B17" s="926"/>
      <c r="C17" s="92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02" t="s">
        <v>141</v>
      </c>
      <c r="B18" s="903"/>
      <c r="C18" s="904"/>
      <c r="D18" s="151" t="s">
        <v>142</v>
      </c>
      <c r="E18" s="95">
        <f>'23'!F18</f>
        <v>22</v>
      </c>
      <c r="F18" s="122">
        <v>24</v>
      </c>
      <c r="G18" s="119">
        <f>F18*10</f>
        <v>240</v>
      </c>
      <c r="H18" s="99">
        <f>G18+'23'!H18</f>
        <v>5090</v>
      </c>
      <c r="I18" s="113">
        <f>'1'!I18</f>
        <v>65</v>
      </c>
      <c r="J18" s="175">
        <f>H18/DAY(B2)</f>
        <v>212.08333333333334</v>
      </c>
      <c r="K18" s="79"/>
      <c r="L18" s="66"/>
      <c r="N18" s="87"/>
      <c r="O18" s="71"/>
    </row>
    <row r="19" spans="1:15" ht="25.5">
      <c r="A19" s="902" t="s">
        <v>69</v>
      </c>
      <c r="B19" s="903"/>
      <c r="C19" s="904"/>
      <c r="D19" s="151" t="s">
        <v>142</v>
      </c>
      <c r="E19" s="95">
        <f>'23'!F19</f>
        <v>170872</v>
      </c>
      <c r="F19" s="122">
        <v>170930</v>
      </c>
      <c r="G19" s="112">
        <f t="shared" ref="G19" si="1">F19-E19</f>
        <v>58</v>
      </c>
      <c r="H19" s="99">
        <f>G19+'23'!H19</f>
        <v>1365</v>
      </c>
      <c r="I19" s="335"/>
      <c r="J19" s="175">
        <f>H19/DAY(B2)</f>
        <v>56.875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298</v>
      </c>
      <c r="H20" s="99">
        <f>G20+'23'!H20</f>
        <v>6455</v>
      </c>
      <c r="I20" s="336">
        <f>I18-J20</f>
        <v>-203.95833333333331</v>
      </c>
      <c r="J20" s="175">
        <f>H20/DAY(B2)</f>
        <v>268.95833333333331</v>
      </c>
      <c r="K20" s="79"/>
      <c r="L20" s="66"/>
      <c r="N20" s="87"/>
      <c r="O20" s="71"/>
    </row>
    <row r="21" spans="1:15" ht="26.25">
      <c r="A21" s="925" t="s">
        <v>144</v>
      </c>
      <c r="B21" s="926"/>
      <c r="C21" s="92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'23'!F22</f>
        <v>2970</v>
      </c>
      <c r="F22" s="122">
        <v>2970</v>
      </c>
      <c r="G22" s="119">
        <f t="shared" ref="G22" si="2">(F22-E22)</f>
        <v>0</v>
      </c>
      <c r="H22" s="99">
        <f>G22+'23'!H22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'23'!F23</f>
        <v>1860</v>
      </c>
      <c r="F23" s="122">
        <v>1860</v>
      </c>
      <c r="G23" s="119">
        <v>0</v>
      </c>
      <c r="H23" s="99">
        <f>G23+'23'!H23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'23'!F24</f>
        <v>4830</v>
      </c>
      <c r="F24" s="128">
        <v>4830</v>
      </c>
      <c r="G24" s="119">
        <v>0</v>
      </c>
      <c r="H24" s="99">
        <f>G24+'23'!H24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30" t="s">
        <v>149</v>
      </c>
      <c r="B25" s="931"/>
      <c r="C25" s="93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19443.510000000009</v>
      </c>
      <c r="F27" s="136">
        <v>9</v>
      </c>
      <c r="G27" s="137">
        <f>E27*F27</f>
        <v>174991.59000000008</v>
      </c>
      <c r="H27" s="99">
        <f>G27+'23'!H27</f>
        <v>4770631.7899999991</v>
      </c>
      <c r="I27" s="138"/>
      <c r="J27" s="175">
        <f>H27/DAY(B2)</f>
        <v>198776.32458333331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1139.910000000149</v>
      </c>
      <c r="F28" s="136">
        <v>70</v>
      </c>
      <c r="G28" s="137">
        <f>E28*F28</f>
        <v>79793.700000010431</v>
      </c>
      <c r="H28" s="99">
        <f>G28+'23'!H28</f>
        <v>1865720.8500000089</v>
      </c>
      <c r="I28" s="140"/>
      <c r="J28" s="175">
        <f>H28/DAY(B2)</f>
        <v>77738.368750000373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G29+'23'!H29</f>
        <v>6900</v>
      </c>
      <c r="I29" s="140"/>
      <c r="J29" s="175">
        <f>H29/DAY(B2)</f>
        <v>287.5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58</v>
      </c>
      <c r="F30" s="136">
        <v>151</v>
      </c>
      <c r="G30" s="137">
        <f>E30*F30</f>
        <v>8758</v>
      </c>
      <c r="H30" s="99">
        <f>G30+'23'!H30</f>
        <v>206115</v>
      </c>
      <c r="I30" s="140"/>
      <c r="J30" s="175">
        <f>H30/DAY(B2)</f>
        <v>8588.125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G31+'23'!H31</f>
        <v>417400</v>
      </c>
      <c r="I31" s="140"/>
      <c r="J31" s="175">
        <f>H31/DAY(B2)</f>
        <v>17391.666666666668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282743.29000001051</v>
      </c>
      <c r="H32" s="99">
        <f>G32+'23'!H32</f>
        <v>7266767.640000009</v>
      </c>
      <c r="I32" s="144"/>
      <c r="J32" s="175">
        <f>H32/DAY(B2)</f>
        <v>302781.98500000039</v>
      </c>
      <c r="K32" s="63"/>
      <c r="L32" s="89"/>
      <c r="N32" s="87"/>
      <c r="O32" s="71"/>
    </row>
    <row r="33" spans="1:15" ht="25.5">
      <c r="A33" s="933" t="s">
        <v>331</v>
      </c>
      <c r="B33" s="934"/>
      <c r="C33" s="93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'23'!F35</f>
        <v>511750.99</v>
      </c>
      <c r="F35" s="145">
        <v>513735.63</v>
      </c>
      <c r="G35" s="112">
        <f t="shared" ref="G35:G46" si="3">F35-E35</f>
        <v>1984.640000000014</v>
      </c>
      <c r="H35" s="99">
        <f>G35+'23'!H35</f>
        <v>59217.640000000014</v>
      </c>
      <c r="I35" s="95"/>
      <c r="J35" s="175">
        <f>H35/DAY(B2)</f>
        <v>2467.4016666666671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'23'!F36</f>
        <v>374066.51</v>
      </c>
      <c r="F36" s="145">
        <v>374867.63</v>
      </c>
      <c r="G36" s="112">
        <f t="shared" si="3"/>
        <v>801.11999999999534</v>
      </c>
      <c r="H36" s="99">
        <f>G36+'23'!H36</f>
        <v>20778.729999999981</v>
      </c>
      <c r="I36" s="95"/>
      <c r="J36" s="175">
        <f>H36/DAY(B2)</f>
        <v>865.78041666666593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'23'!F37</f>
        <v>372052.47</v>
      </c>
      <c r="F37" s="145">
        <v>373565.79</v>
      </c>
      <c r="G37" s="112">
        <f t="shared" si="3"/>
        <v>1513.320000000007</v>
      </c>
      <c r="H37" s="99">
        <f>G37+'23'!H37</f>
        <v>35295.919999999984</v>
      </c>
      <c r="I37" s="95"/>
      <c r="J37" s="175">
        <f>H37/DAY(B2)</f>
        <v>1470.6633333333327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'23'!F38</f>
        <v>855611.91</v>
      </c>
      <c r="F38" s="108">
        <v>858273.83</v>
      </c>
      <c r="G38" s="112">
        <f t="shared" si="3"/>
        <v>2661.9199999999255</v>
      </c>
      <c r="H38" s="99">
        <f>G38+'23'!H38</f>
        <v>58596.479999999981</v>
      </c>
      <c r="I38" s="95"/>
      <c r="J38" s="175">
        <f>H38/DAY(B2)</f>
        <v>2441.5199999999991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'23'!F39</f>
        <v>684189.67</v>
      </c>
      <c r="F39" s="145">
        <v>686825.27</v>
      </c>
      <c r="G39" s="112">
        <f t="shared" si="3"/>
        <v>2635.5999999999767</v>
      </c>
      <c r="H39" s="99">
        <f>G39+'23'!H39</f>
        <v>66535.270000000019</v>
      </c>
      <c r="I39" s="95"/>
      <c r="J39" s="175">
        <f>H39/DAY(B2)</f>
        <v>2772.3029166666674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'23'!F40</f>
        <v>216093.87</v>
      </c>
      <c r="F40" s="145">
        <v>216303.39</v>
      </c>
      <c r="G40" s="112">
        <f t="shared" si="3"/>
        <v>209.52000000001863</v>
      </c>
      <c r="H40" s="99">
        <f>G40+'23'!H40</f>
        <v>6617.0400000000081</v>
      </c>
      <c r="I40" s="95"/>
      <c r="J40" s="175">
        <f>H40/DAY(B2)</f>
        <v>275.71000000000032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'23'!F41</f>
        <v>420212.5</v>
      </c>
      <c r="F41" s="145">
        <v>420212.51</v>
      </c>
      <c r="G41" s="112">
        <f t="shared" si="3"/>
        <v>1.0000000009313226E-2</v>
      </c>
      <c r="H41" s="99">
        <f>G41+'23'!H41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v>970677.03</v>
      </c>
      <c r="F42" s="145">
        <v>970677.03</v>
      </c>
      <c r="G42" s="112">
        <f t="shared" si="3"/>
        <v>0</v>
      </c>
      <c r="H42" s="99">
        <f>G42+'23'!H42</f>
        <v>49722.530000000028</v>
      </c>
      <c r="I42" s="95"/>
      <c r="J42" s="175">
        <f>H42/DAY(B2)</f>
        <v>2071.7720833333346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'23'!F43</f>
        <v>422444</v>
      </c>
      <c r="F43" s="145">
        <v>422444</v>
      </c>
      <c r="G43" s="112">
        <f t="shared" si="3"/>
        <v>0</v>
      </c>
      <c r="H43" s="99">
        <f>G43+'23'!H43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'23'!F44</f>
        <v>0</v>
      </c>
      <c r="F44" s="145">
        <v>0</v>
      </c>
      <c r="G44" s="112">
        <f t="shared" si="3"/>
        <v>0</v>
      </c>
      <c r="H44" s="99">
        <f>G44+'23'!H44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'23'!F45</f>
        <v>0</v>
      </c>
      <c r="F45" s="145">
        <v>0</v>
      </c>
      <c r="G45" s="112">
        <f t="shared" si="3"/>
        <v>0</v>
      </c>
      <c r="H45" s="99">
        <f>G45+'23'!H45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'23'!F46</f>
        <v>0</v>
      </c>
      <c r="F46" s="145">
        <v>0</v>
      </c>
      <c r="G46" s="112">
        <f t="shared" si="3"/>
        <v>0</v>
      </c>
      <c r="H46" s="99">
        <f>G46+'23'!H46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9806.1299999999464</v>
      </c>
      <c r="H47" s="99">
        <f>G47+'23'!H47</f>
        <v>296763.61000000004</v>
      </c>
      <c r="I47" s="95"/>
      <c r="J47" s="175">
        <f>H47/DAY(B2)</f>
        <v>12365.150416666669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'23'!F49</f>
        <v>818771.59</v>
      </c>
      <c r="F49" s="145">
        <v>819335.67</v>
      </c>
      <c r="G49" s="112">
        <f t="shared" ref="G49:G58" si="4">F49-E49</f>
        <v>564.08000000007451</v>
      </c>
      <c r="H49" s="99">
        <f>G49+'23'!H49</f>
        <v>12831.520000000019</v>
      </c>
      <c r="I49" s="95"/>
      <c r="J49" s="175">
        <f>H49/DAY(B2)</f>
        <v>534.64666666666744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'23'!F50</f>
        <v>532090.11</v>
      </c>
      <c r="F50" s="145">
        <v>533149.31000000006</v>
      </c>
      <c r="G50" s="112">
        <f t="shared" si="4"/>
        <v>1059.2000000000698</v>
      </c>
      <c r="H50" s="99">
        <f>G50+'23'!H50</f>
        <v>31996.310000000056</v>
      </c>
      <c r="I50" s="95"/>
      <c r="J50" s="175">
        <f>H50/DAY(B2)</f>
        <v>1333.1795833333356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'23'!F51</f>
        <v>156958</v>
      </c>
      <c r="F51" s="145">
        <v>156958.44</v>
      </c>
      <c r="G51" s="112">
        <f t="shared" si="4"/>
        <v>0.44000000000232831</v>
      </c>
      <c r="H51" s="99">
        <f>G51+'23'!H51</f>
        <v>0.44000000000232831</v>
      </c>
      <c r="I51" s="95"/>
      <c r="J51" s="175">
        <f>H51/DAY(B2)</f>
        <v>1.8333333333430346E-2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'23'!F52</f>
        <v>9.76</v>
      </c>
      <c r="F52" s="145">
        <v>1457.43</v>
      </c>
      <c r="G52" s="112">
        <f t="shared" si="4"/>
        <v>1447.67</v>
      </c>
      <c r="H52" s="99">
        <f>G52+'23'!H52</f>
        <v>1447.43</v>
      </c>
      <c r="I52" s="95"/>
      <c r="J52" s="175">
        <f>H52/DAY(B2)</f>
        <v>60.309583333333336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'23'!F53</f>
        <v>630355</v>
      </c>
      <c r="F53" s="145">
        <v>630355</v>
      </c>
      <c r="G53" s="112">
        <f t="shared" si="4"/>
        <v>0</v>
      </c>
      <c r="H53" s="99">
        <f>G53+'23'!H53</f>
        <v>-3.0000000027939677E-2</v>
      </c>
      <c r="I53" s="95"/>
      <c r="J53" s="175">
        <f>H53/DAY(B2)</f>
        <v>-1.2500000011641532E-3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'23'!F54</f>
        <v>121726.95</v>
      </c>
      <c r="F54" s="145">
        <v>122071.54</v>
      </c>
      <c r="G54" s="112">
        <f t="shared" si="4"/>
        <v>344.58999999999651</v>
      </c>
      <c r="H54" s="99">
        <f>G54+'23'!H54</f>
        <v>7474.4099999999889</v>
      </c>
      <c r="I54" s="95"/>
      <c r="J54" s="175">
        <f>H54/DAY(B2)</f>
        <v>311.43374999999952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'23'!F55</f>
        <v>578719.5</v>
      </c>
      <c r="F55" s="145">
        <v>581566.51</v>
      </c>
      <c r="G55" s="112">
        <f t="shared" si="4"/>
        <v>2847.0100000000093</v>
      </c>
      <c r="H55" s="99">
        <f>G55+'23'!H55</f>
        <v>5230.8800000000047</v>
      </c>
      <c r="I55" s="95"/>
      <c r="J55" s="175">
        <f>H55/DAY(B2)</f>
        <v>217.95333333333352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'23'!F56</f>
        <v>363252.91</v>
      </c>
      <c r="F56" s="145">
        <v>363252.91</v>
      </c>
      <c r="G56" s="112">
        <f t="shared" si="4"/>
        <v>0</v>
      </c>
      <c r="H56" s="99">
        <f>G56+'23'!H56</f>
        <v>28026.699999999953</v>
      </c>
      <c r="I56" s="95"/>
      <c r="J56" s="175">
        <f>H56/DAY(B2)</f>
        <v>1167.7791666666647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'23'!F57</f>
        <v>688181.03</v>
      </c>
      <c r="F57" s="145">
        <v>690549.03</v>
      </c>
      <c r="G57" s="112">
        <f t="shared" si="4"/>
        <v>2368</v>
      </c>
      <c r="H57" s="99">
        <f>G57+'23'!H57</f>
        <v>59716.030000000028</v>
      </c>
      <c r="I57" s="95"/>
      <c r="J57" s="175">
        <f>H57/DAY(B2)</f>
        <v>2488.1679166666677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'23'!F58</f>
        <v>92493.2</v>
      </c>
      <c r="F58" s="145">
        <v>92751.83</v>
      </c>
      <c r="G58" s="112">
        <f t="shared" si="4"/>
        <v>258.63000000000466</v>
      </c>
      <c r="H58" s="99">
        <f>G58+'23'!H58</f>
        <v>6191.3310000000056</v>
      </c>
      <c r="I58" s="95"/>
      <c r="J58" s="175">
        <f>H58/DAY(B2)</f>
        <v>257.97212500000023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8889.6200000001572</v>
      </c>
      <c r="H59" s="99">
        <f>G59+'23'!H59</f>
        <v>152915.02100000004</v>
      </c>
      <c r="I59" s="95">
        <f>G7-G60</f>
        <v>283.51999999991676</v>
      </c>
      <c r="J59" s="175">
        <f>H59/DAY(B2)</f>
        <v>6371.4592083333346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18695.750000000102</v>
      </c>
      <c r="H60" s="99">
        <f>G60+'23'!H60</f>
        <v>449678.63100000005</v>
      </c>
      <c r="I60" s="95">
        <f>G13-G60</f>
        <v>-260.04999999898428</v>
      </c>
      <c r="J60" s="175">
        <f>H60/DAY(B2)</f>
        <v>18736.609625000001</v>
      </c>
      <c r="K60" s="79"/>
      <c r="L60" s="66"/>
      <c r="N60" s="87"/>
      <c r="O60" s="71"/>
    </row>
    <row r="61" spans="1:15" s="68" customFormat="1" ht="26.25">
      <c r="A61" s="935" t="s">
        <v>332</v>
      </c>
      <c r="B61" s="936"/>
      <c r="C61" s="93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02" t="s">
        <v>198</v>
      </c>
      <c r="B62" s="903"/>
      <c r="C62" s="904"/>
      <c r="D62" s="151" t="s">
        <v>142</v>
      </c>
      <c r="E62" s="95">
        <f>'23'!F62</f>
        <v>314492.2</v>
      </c>
      <c r="F62" s="122">
        <v>314646.8</v>
      </c>
      <c r="G62" s="112">
        <f t="shared" ref="G62:G63" si="5">F62-E62</f>
        <v>154.59999999997672</v>
      </c>
      <c r="H62" s="99">
        <f>G62+'23'!H62</f>
        <v>2546.7999999999884</v>
      </c>
      <c r="I62" s="118"/>
      <c r="J62" s="175">
        <f>H62/DAY(B2)</f>
        <v>106.11666666666618</v>
      </c>
      <c r="K62" s="80"/>
      <c r="L62" s="66"/>
      <c r="N62" s="87"/>
      <c r="O62" s="71"/>
    </row>
    <row r="63" spans="1:15" ht="25.5">
      <c r="A63" s="902" t="s">
        <v>199</v>
      </c>
      <c r="B63" s="903"/>
      <c r="C63" s="904"/>
      <c r="D63" s="151" t="s">
        <v>142</v>
      </c>
      <c r="E63" s="95">
        <f>'23'!F63</f>
        <v>251475</v>
      </c>
      <c r="F63" s="122">
        <v>251568</v>
      </c>
      <c r="G63" s="112">
        <f t="shared" si="5"/>
        <v>93</v>
      </c>
      <c r="H63" s="99">
        <f>G63+'23'!H63</f>
        <v>2533</v>
      </c>
      <c r="I63" s="118"/>
      <c r="J63" s="175">
        <f>H63/DAY(B2)</f>
        <v>105.54166666666667</v>
      </c>
      <c r="K63" s="69"/>
      <c r="L63" s="66"/>
      <c r="N63" s="87"/>
      <c r="O63" s="71"/>
    </row>
    <row r="64" spans="1:15" ht="26.25">
      <c r="A64" s="911" t="s">
        <v>200</v>
      </c>
      <c r="B64" s="912"/>
      <c r="C64" s="913"/>
      <c r="D64" s="151"/>
      <c r="E64" s="95">
        <f>'23'!F64</f>
        <v>0</v>
      </c>
      <c r="F64" s="122"/>
      <c r="G64" s="112">
        <f>G62+G63</f>
        <v>247.59999999997672</v>
      </c>
      <c r="H64" s="99">
        <f>G64+'23'!H64</f>
        <v>5079.7999999999884</v>
      </c>
      <c r="I64" s="118"/>
      <c r="J64" s="175">
        <f>H64/DAY(B2)</f>
        <v>211.65833333333285</v>
      </c>
      <c r="K64" s="69"/>
      <c r="L64" s="66"/>
      <c r="N64" s="87"/>
      <c r="O64" s="71"/>
    </row>
    <row r="65" spans="1:15" ht="25.5">
      <c r="A65" s="902" t="s">
        <v>201</v>
      </c>
      <c r="B65" s="903"/>
      <c r="C65" s="904"/>
      <c r="D65" s="151" t="s">
        <v>142</v>
      </c>
      <c r="E65" s="95">
        <f>'23'!F65</f>
        <v>474920</v>
      </c>
      <c r="F65" s="122">
        <v>475053</v>
      </c>
      <c r="G65" s="112">
        <f t="shared" ref="G65:G70" si="6">F65-E65</f>
        <v>133</v>
      </c>
      <c r="H65" s="99">
        <f>G65+'23'!H65</f>
        <v>3023</v>
      </c>
      <c r="I65" s="118"/>
      <c r="J65" s="175">
        <f>H65/DAY(B2)</f>
        <v>125.95833333333333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'23'!F66</f>
        <v>114150</v>
      </c>
      <c r="F66" s="122">
        <v>114186</v>
      </c>
      <c r="G66" s="112">
        <f t="shared" si="6"/>
        <v>36</v>
      </c>
      <c r="H66" s="99">
        <f>G66+'23'!H66</f>
        <v>1464</v>
      </c>
      <c r="I66" s="118"/>
      <c r="J66" s="175">
        <f>H66/DAY(B2)</f>
        <v>61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'23'!F67</f>
        <v>117098</v>
      </c>
      <c r="F67" s="122">
        <v>117119</v>
      </c>
      <c r="G67" s="112">
        <f t="shared" si="6"/>
        <v>21</v>
      </c>
      <c r="H67" s="99">
        <f>G67+'23'!H67</f>
        <v>552</v>
      </c>
      <c r="I67" s="118"/>
      <c r="J67" s="175">
        <f>H67/DAY(B2)</f>
        <v>23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'23'!F68</f>
        <v>169810</v>
      </c>
      <c r="F68" s="122">
        <v>169832</v>
      </c>
      <c r="G68" s="112">
        <f t="shared" si="6"/>
        <v>22</v>
      </c>
      <c r="H68" s="99">
        <f>G68+'23'!H68</f>
        <v>473</v>
      </c>
      <c r="I68" s="118"/>
      <c r="J68" s="175">
        <f>H68/DAY(B2)</f>
        <v>19.708333333333332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'23'!F69</f>
        <v>13066</v>
      </c>
      <c r="F69" s="122">
        <v>13094</v>
      </c>
      <c r="G69" s="112">
        <f t="shared" si="6"/>
        <v>28</v>
      </c>
      <c r="H69" s="99">
        <f>G69+'23'!H69</f>
        <v>128</v>
      </c>
      <c r="I69" s="118"/>
      <c r="J69" s="175">
        <f>H69/DAY(B2)</f>
        <v>5.333333333333333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'23'!F70</f>
        <v>11201</v>
      </c>
      <c r="F70" s="122">
        <v>11208</v>
      </c>
      <c r="G70" s="112">
        <f t="shared" si="6"/>
        <v>7</v>
      </c>
      <c r="H70" s="99">
        <f>G70+'23'!H70</f>
        <v>192</v>
      </c>
      <c r="I70" s="118"/>
      <c r="J70" s="175">
        <f>H70/DAY(B2)</f>
        <v>8</v>
      </c>
      <c r="K70" s="69"/>
      <c r="L70" s="66"/>
      <c r="N70" s="87"/>
      <c r="O70" s="71"/>
    </row>
    <row r="71" spans="1:15" ht="26.25">
      <c r="A71" s="911" t="s">
        <v>208</v>
      </c>
      <c r="B71" s="912"/>
      <c r="C71" s="913"/>
      <c r="D71" s="152"/>
      <c r="E71" s="152"/>
      <c r="F71" s="152"/>
      <c r="G71" s="153">
        <f>SUM(G65:G70)</f>
        <v>247</v>
      </c>
      <c r="H71" s="99">
        <f>G71+'23'!H71</f>
        <v>5832</v>
      </c>
      <c r="I71" s="154"/>
      <c r="J71" s="175">
        <f>H71/DAY(B2)</f>
        <v>243</v>
      </c>
      <c r="K71" s="69"/>
      <c r="L71" s="66"/>
      <c r="N71" s="87"/>
      <c r="O71" s="71"/>
    </row>
    <row r="72" spans="1:15" s="88" customFormat="1" ht="25.5">
      <c r="A72" s="898"/>
      <c r="B72" s="88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08" t="s">
        <v>333</v>
      </c>
      <c r="B73" s="909"/>
      <c r="C73" s="910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02" t="s">
        <v>220</v>
      </c>
      <c r="B74" s="903"/>
      <c r="C74" s="904"/>
      <c r="D74" s="151" t="s">
        <v>139</v>
      </c>
      <c r="E74" s="95">
        <f>'23'!F74</f>
        <v>9728.5339999999997</v>
      </c>
      <c r="F74" s="117">
        <v>10027</v>
      </c>
      <c r="G74" s="112">
        <f t="shared" ref="G74:G78" si="7">F74-E74</f>
        <v>298.46600000000035</v>
      </c>
      <c r="H74" s="99">
        <f>G74+'23'!H74</f>
        <v>3838</v>
      </c>
      <c r="I74" s="154"/>
      <c r="J74" s="175">
        <f>H74/DAY(B2)</f>
        <v>159.91666666666666</v>
      </c>
      <c r="K74" s="69"/>
      <c r="L74" s="66"/>
      <c r="N74" s="87"/>
      <c r="O74" s="71"/>
    </row>
    <row r="75" spans="1:15" ht="25.5">
      <c r="A75" s="902" t="s">
        <v>221</v>
      </c>
      <c r="B75" s="903"/>
      <c r="C75" s="904"/>
      <c r="D75" s="151" t="s">
        <v>139</v>
      </c>
      <c r="E75" s="95">
        <f>'23'!F75</f>
        <v>73586.8</v>
      </c>
      <c r="F75" s="123">
        <v>73586.8</v>
      </c>
      <c r="G75" s="112">
        <f t="shared" si="7"/>
        <v>0</v>
      </c>
      <c r="H75" s="99">
        <f>G75+'23'!H75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899" t="s">
        <v>222</v>
      </c>
      <c r="B76" s="900"/>
      <c r="C76" s="901"/>
      <c r="D76" s="151" t="s">
        <v>139</v>
      </c>
      <c r="E76" s="95">
        <f>'23'!F76</f>
        <v>209800</v>
      </c>
      <c r="F76" s="123">
        <v>209910</v>
      </c>
      <c r="G76" s="112">
        <f t="shared" si="7"/>
        <v>110</v>
      </c>
      <c r="H76" s="99">
        <f>G76+'23'!H76</f>
        <v>2533</v>
      </c>
      <c r="I76" s="154"/>
      <c r="J76" s="175">
        <f>H76/DAY(B2)</f>
        <v>105.54166666666667</v>
      </c>
      <c r="K76" s="69"/>
      <c r="L76" s="66"/>
      <c r="N76" s="87"/>
      <c r="O76" s="71"/>
    </row>
    <row r="77" spans="1:15" ht="25.5">
      <c r="A77" s="899" t="s">
        <v>223</v>
      </c>
      <c r="B77" s="900"/>
      <c r="C77" s="901"/>
      <c r="D77" s="151" t="s">
        <v>139</v>
      </c>
      <c r="E77" s="95">
        <f>'23'!F77</f>
        <v>59340</v>
      </c>
      <c r="F77" s="123">
        <v>59381</v>
      </c>
      <c r="G77" s="112">
        <f t="shared" si="7"/>
        <v>41</v>
      </c>
      <c r="H77" s="99">
        <f>G77+'23'!H77</f>
        <v>1229</v>
      </c>
      <c r="I77" s="154"/>
      <c r="J77" s="175">
        <f>H77/DAY(B2)</f>
        <v>51.208333333333336</v>
      </c>
      <c r="K77" s="69"/>
      <c r="L77" s="66"/>
      <c r="N77" s="87"/>
      <c r="O77" s="71"/>
    </row>
    <row r="78" spans="1:15" ht="25.5">
      <c r="A78" s="899" t="s">
        <v>224</v>
      </c>
      <c r="B78" s="900"/>
      <c r="C78" s="901"/>
      <c r="D78" s="151" t="s">
        <v>139</v>
      </c>
      <c r="E78" s="95">
        <f>'23'!F78</f>
        <v>9564</v>
      </c>
      <c r="F78" s="123">
        <v>9564</v>
      </c>
      <c r="G78" s="112">
        <f t="shared" si="7"/>
        <v>0</v>
      </c>
      <c r="H78" s="99">
        <f>G78+'23'!H78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899" t="s">
        <v>225</v>
      </c>
      <c r="B79" s="900"/>
      <c r="C79" s="901"/>
      <c r="D79" s="151"/>
      <c r="E79" s="95">
        <f>'23'!F79</f>
        <v>0</v>
      </c>
      <c r="F79" s="117"/>
      <c r="G79" s="112">
        <f>G15-SUM(G74:G78)</f>
        <v>690.44400000014866</v>
      </c>
      <c r="H79" s="99">
        <f>G79+'23'!H79</f>
        <v>-974447.44799999974</v>
      </c>
      <c r="I79" s="118"/>
      <c r="J79" s="175">
        <f>H79/DAY(B2)</f>
        <v>-40601.976999999992</v>
      </c>
      <c r="K79" s="59"/>
      <c r="L79" s="58"/>
      <c r="N79" s="87"/>
      <c r="O79" s="71"/>
    </row>
    <row r="80" spans="1:15" s="57" customFormat="1" ht="26.25">
      <c r="A80" s="911" t="s">
        <v>329</v>
      </c>
      <c r="B80" s="912"/>
      <c r="C80" s="913"/>
      <c r="D80" s="151"/>
      <c r="E80" s="117"/>
      <c r="F80" s="117"/>
      <c r="G80" s="112">
        <f>SUM(G74:G79)</f>
        <v>1139.910000000149</v>
      </c>
      <c r="H80" s="99"/>
      <c r="I80" s="118"/>
      <c r="J80" s="175"/>
      <c r="K80" s="59"/>
      <c r="L80" s="58"/>
      <c r="N80" s="87"/>
      <c r="O80" s="71"/>
    </row>
    <row r="81" spans="1:15" ht="25.5">
      <c r="A81" s="915" t="s">
        <v>226</v>
      </c>
      <c r="B81" s="916"/>
      <c r="C81" s="917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'23'!F82</f>
        <v>0</v>
      </c>
      <c r="F82" s="122">
        <v>0</v>
      </c>
      <c r="G82" s="112">
        <f t="shared" ref="G82:G92" si="8">F82-E82</f>
        <v>0</v>
      </c>
      <c r="H82" s="99">
        <f>G82+'23'!H82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'23'!F83</f>
        <v>0</v>
      </c>
      <c r="F83" s="122">
        <v>0</v>
      </c>
      <c r="G83" s="112">
        <f t="shared" si="8"/>
        <v>0</v>
      </c>
      <c r="H83" s="99">
        <f>G83+'23'!H83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v>43546</v>
      </c>
      <c r="F84" s="164">
        <v>43546</v>
      </c>
      <c r="G84" s="112">
        <f t="shared" si="8"/>
        <v>0</v>
      </c>
      <c r="H84" s="99">
        <f>G84+'23'!H84</f>
        <v>-0.34999999999854481</v>
      </c>
      <c r="I84" s="545"/>
      <c r="J84" s="175">
        <f>H84/DAY(B2)</f>
        <v>-1.45833333332727E-2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'23'!F85</f>
        <v>6203</v>
      </c>
      <c r="F85" s="164">
        <v>6203</v>
      </c>
      <c r="G85" s="112">
        <f t="shared" si="8"/>
        <v>0</v>
      </c>
      <c r="H85" s="99">
        <f>G85+'23'!H85</f>
        <v>270.55000000000018</v>
      </c>
      <c r="I85" s="545"/>
      <c r="J85" s="175">
        <f>H85/DAY(B2)</f>
        <v>11.272916666666674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'23'!F86</f>
        <v>46853.13</v>
      </c>
      <c r="F86" s="164">
        <v>46877.42</v>
      </c>
      <c r="G86" s="112">
        <f t="shared" si="8"/>
        <v>24.290000000000873</v>
      </c>
      <c r="H86" s="99">
        <f>G86+'23'!H86</f>
        <v>43.419999999998254</v>
      </c>
      <c r="I86" s="545"/>
      <c r="J86" s="175">
        <f>H86/DAY(B2)</f>
        <v>1.809166666666594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'23'!F87</f>
        <v>37294.42</v>
      </c>
      <c r="F87" s="164">
        <v>37294.42</v>
      </c>
      <c r="G87" s="112">
        <f t="shared" si="8"/>
        <v>0</v>
      </c>
      <c r="H87" s="99">
        <f>G87+'23'!H87</f>
        <v>266.41999999999825</v>
      </c>
      <c r="I87" s="545">
        <f>G84+G85+G86+G87</f>
        <v>24.290000000000873</v>
      </c>
      <c r="J87" s="175">
        <f>H87/DAY(B2)</f>
        <v>11.100833333333261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'23'!F88</f>
        <v>24704.37</v>
      </c>
      <c r="F88" s="164">
        <v>24709.24</v>
      </c>
      <c r="G88" s="112">
        <f t="shared" si="8"/>
        <v>4.8700000000026193</v>
      </c>
      <c r="H88" s="99">
        <f>G88+'23'!H88</f>
        <v>105.64000000000306</v>
      </c>
      <c r="I88" s="545"/>
      <c r="J88" s="175">
        <f>H88/DAY(B2)</f>
        <v>4.4016666666667943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'23'!F89</f>
        <v>28969.87</v>
      </c>
      <c r="F89" s="164">
        <v>28980.77</v>
      </c>
      <c r="G89" s="112">
        <f t="shared" si="8"/>
        <v>10.900000000001455</v>
      </c>
      <c r="H89" s="99">
        <f>G89+'23'!H89</f>
        <v>232.38000000000102</v>
      </c>
      <c r="I89" s="545">
        <f>G88+G89</f>
        <v>15.770000000004075</v>
      </c>
      <c r="J89" s="175">
        <f>H89/DAY(B2)</f>
        <v>9.6825000000000419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'23'!F90</f>
        <v>74393.38</v>
      </c>
      <c r="F90" s="164">
        <v>74399.55</v>
      </c>
      <c r="G90" s="112">
        <f t="shared" si="8"/>
        <v>6.1699999999982538</v>
      </c>
      <c r="H90" s="99">
        <f>G90+'23'!H90</f>
        <v>196.3700000000099</v>
      </c>
      <c r="I90" s="545">
        <f>G90</f>
        <v>6.1699999999982538</v>
      </c>
      <c r="J90" s="175">
        <f>H90/DAY(B2)</f>
        <v>8.182083333333745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'23'!F91</f>
        <v>5618</v>
      </c>
      <c r="F91" s="122">
        <v>5618.21</v>
      </c>
      <c r="G91" s="112">
        <f t="shared" si="8"/>
        <v>0.21000000000003638</v>
      </c>
      <c r="H91" s="99">
        <f>G91+'23'!H91</f>
        <v>0</v>
      </c>
      <c r="I91" s="546"/>
      <c r="J91" s="175">
        <f>H91/DAY(B2)</f>
        <v>0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'23'!F92</f>
        <v>7340.34</v>
      </c>
      <c r="F92" s="122">
        <v>7351.26</v>
      </c>
      <c r="G92" s="112">
        <f t="shared" si="8"/>
        <v>10.920000000000073</v>
      </c>
      <c r="H92" s="99">
        <f>G92+'23'!H92</f>
        <v>271.57000000000062</v>
      </c>
      <c r="I92" s="547">
        <f>G91+G92</f>
        <v>11.130000000000109</v>
      </c>
      <c r="J92" s="175">
        <f>H92/DAY(B2)</f>
        <v>11.315416666666692</v>
      </c>
      <c r="O92" s="71"/>
    </row>
    <row r="93" spans="1:15" ht="26.25">
      <c r="A93" s="905" t="s">
        <v>239</v>
      </c>
      <c r="B93" s="906"/>
      <c r="C93" s="90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4916.7200000000885</v>
      </c>
      <c r="H94" s="99">
        <f>G94+'23'!H94</f>
        <v>131765.19000000006</v>
      </c>
      <c r="I94" s="118"/>
      <c r="J94" s="175">
        <f>H94/DAY(B2)</f>
        <v>5490.2162500000022</v>
      </c>
      <c r="K94" s="69"/>
      <c r="L94" s="66"/>
      <c r="O94" s="71"/>
    </row>
    <row r="95" spans="1:15" ht="25.5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0.25905738208055862</v>
      </c>
      <c r="H95" s="99">
        <f>G95+'23'!H95</f>
        <v>6.3979825289397052</v>
      </c>
      <c r="I95" s="167"/>
      <c r="J95" s="175">
        <f>H95/DAY(B2)</f>
        <v>0.26658260537248774</v>
      </c>
      <c r="K95" s="69"/>
      <c r="L95" s="66"/>
      <c r="O95" s="71"/>
    </row>
    <row r="96" spans="1:15" ht="25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2847.0200000000186</v>
      </c>
      <c r="H96" s="99">
        <f>G96+'23'!H96</f>
        <v>82980.109999999986</v>
      </c>
      <c r="I96" s="118"/>
      <c r="J96" s="175">
        <f>H96/DAY(B2)</f>
        <v>3457.5045833333329</v>
      </c>
      <c r="K96" s="69"/>
      <c r="L96" s="66"/>
      <c r="O96" s="71"/>
    </row>
    <row r="97" spans="1:15" ht="25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0.1500068232339819</v>
      </c>
      <c r="H97" s="99">
        <f>G97+'23'!H97</f>
        <v>4.0057894023391754</v>
      </c>
      <c r="I97" s="167"/>
      <c r="J97" s="175">
        <f>H97/DAY(B2)</f>
        <v>0.16690789176413232</v>
      </c>
      <c r="K97" s="69"/>
      <c r="L97" s="66"/>
      <c r="O97" s="71"/>
    </row>
    <row r="98" spans="1:15" ht="25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2635.5999999999767</v>
      </c>
      <c r="H98" s="99">
        <f>G98+'23'!H98</f>
        <v>66535.239999999991</v>
      </c>
      <c r="I98" s="168"/>
      <c r="J98" s="175">
        <f>H98/DAY(B2)</f>
        <v>2772.3016666666663</v>
      </c>
      <c r="K98" s="69"/>
      <c r="L98" s="66"/>
      <c r="O98" s="71"/>
    </row>
    <row r="99" spans="1:15" ht="25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0.13886730100788777</v>
      </c>
      <c r="H99" s="99">
        <f>G99+'23'!H99</f>
        <v>3.2298807963607907</v>
      </c>
      <c r="I99" s="168"/>
      <c r="J99" s="175">
        <f>H99/DAY(B2)</f>
        <v>0.13457836651503294</v>
      </c>
      <c r="O99" s="71"/>
    </row>
    <row r="100" spans="1:15" ht="26.2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4109.5899999999256</v>
      </c>
      <c r="H100" s="99">
        <f>G100+'23'!H100</f>
        <v>60043.909999999982</v>
      </c>
      <c r="I100" s="118"/>
      <c r="J100" s="175">
        <f>H100/DAY(B2)</f>
        <v>2501.8295833333327</v>
      </c>
      <c r="K100" s="70"/>
      <c r="O100" s="71"/>
    </row>
    <row r="101" spans="1:15" ht="25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0.21653045665085757</v>
      </c>
      <c r="H101" s="99">
        <f>G101+'23'!H101</f>
        <v>2.9218338332602243</v>
      </c>
      <c r="I101" s="168"/>
      <c r="J101" s="175">
        <f>H101/DAY(B2)</f>
        <v>0.12174307638584268</v>
      </c>
      <c r="O101" s="71"/>
    </row>
    <row r="102" spans="1:15" ht="25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1860.3200000000652</v>
      </c>
      <c r="H102" s="99">
        <f>G102+'23'!H102</f>
        <v>52775.040000000037</v>
      </c>
      <c r="I102" s="168"/>
      <c r="J102" s="175">
        <f>H102/DAY(B2)</f>
        <v>2198.9600000000014</v>
      </c>
      <c r="O102" s="71"/>
    </row>
    <row r="103" spans="1:15" ht="25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9.8018522314086018E-2</v>
      </c>
      <c r="H103" s="99">
        <f>G103+'23'!H103</f>
        <v>2.555330781143704</v>
      </c>
      <c r="I103" s="118"/>
      <c r="J103" s="175">
        <f>H103/DAY(B2)</f>
        <v>0.10647211588098766</v>
      </c>
      <c r="O103" s="71"/>
    </row>
    <row r="104" spans="1:15" ht="25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1513.7600000000093</v>
      </c>
      <c r="H104" s="99">
        <f>G104+'23'!H104</f>
        <v>35296.359999999986</v>
      </c>
      <c r="I104" s="118"/>
      <c r="J104" s="175">
        <f>H104/DAY(B2)</f>
        <v>1470.6816666666662</v>
      </c>
      <c r="O104" s="71"/>
    </row>
    <row r="105" spans="1:15" ht="26.25" thickBot="1">
      <c r="A105" s="895" t="s">
        <v>251</v>
      </c>
      <c r="B105" s="896"/>
      <c r="C105" s="897"/>
      <c r="D105" s="231" t="s">
        <v>23</v>
      </c>
      <c r="E105" s="185"/>
      <c r="F105" s="185"/>
      <c r="G105" s="186">
        <f>G104/G7</f>
        <v>7.9758599777547179E-2</v>
      </c>
      <c r="H105" s="99">
        <f>G105+'23'!H105</f>
        <v>1.7141012727900709</v>
      </c>
      <c r="I105" s="187"/>
      <c r="J105" s="188">
        <f>H105/DAY(B2)</f>
        <v>7.1420886366252948E-2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891" t="s">
        <v>324</v>
      </c>
      <c r="B108" s="891"/>
      <c r="C108" s="891"/>
      <c r="D108" s="891"/>
      <c r="E108" s="891"/>
      <c r="F108" s="891"/>
      <c r="G108" s="891"/>
      <c r="H108" s="891"/>
      <c r="I108" s="891"/>
      <c r="J108" s="891"/>
    </row>
    <row r="109" spans="1:15" ht="26.25">
      <c r="A109" s="918"/>
      <c r="B109" s="918"/>
    </row>
    <row r="110" spans="1:15" ht="26.25">
      <c r="A110" s="892" t="s">
        <v>165</v>
      </c>
      <c r="B110" s="893"/>
      <c r="C110" s="893"/>
      <c r="D110" s="893"/>
      <c r="E110" s="893"/>
      <c r="F110" s="893"/>
      <c r="G110" s="893"/>
      <c r="H110" s="893"/>
      <c r="I110" s="893"/>
      <c r="J110" s="894"/>
    </row>
    <row r="111" spans="1:15" ht="25.5">
      <c r="A111" s="885"/>
      <c r="B111" s="886"/>
      <c r="C111" s="887"/>
      <c r="D111" s="165"/>
      <c r="E111" s="165"/>
      <c r="F111" s="165"/>
      <c r="G111" s="165"/>
      <c r="H111" s="156"/>
      <c r="I111" s="165"/>
      <c r="J111" s="327"/>
    </row>
    <row r="112" spans="1:15" ht="25.5">
      <c r="A112" s="881" t="s">
        <v>252</v>
      </c>
      <c r="B112" s="882"/>
      <c r="C112" s="883"/>
      <c r="D112" s="146" t="s">
        <v>183</v>
      </c>
      <c r="E112" s="95">
        <f>'23'!F112</f>
        <v>18904.48</v>
      </c>
      <c r="F112" s="237">
        <v>18968.07</v>
      </c>
      <c r="G112" s="112">
        <f t="shared" ref="G112:G123" si="9">F112-E112</f>
        <v>63.590000000000146</v>
      </c>
      <c r="H112" s="99">
        <f>G112+'23'!H112</f>
        <v>1456.7700000000004</v>
      </c>
      <c r="I112" s="165"/>
      <c r="J112" s="328">
        <f>H112/DAY(B2)</f>
        <v>60.698750000000018</v>
      </c>
    </row>
    <row r="113" spans="1:18" ht="29.25" customHeight="1">
      <c r="A113" s="881" t="s">
        <v>253</v>
      </c>
      <c r="B113" s="882"/>
      <c r="C113" s="883"/>
      <c r="D113" s="146" t="s">
        <v>183</v>
      </c>
      <c r="E113" s="95">
        <f>'23'!F113</f>
        <v>40374.559999999998</v>
      </c>
      <c r="F113" s="237">
        <v>40520</v>
      </c>
      <c r="G113" s="112">
        <f t="shared" si="9"/>
        <v>145.44000000000233</v>
      </c>
      <c r="H113" s="99">
        <f>G113+'23'!H113</f>
        <v>3441</v>
      </c>
      <c r="I113" s="165"/>
      <c r="J113" s="328">
        <f>H113/DAY(B2)</f>
        <v>143.375</v>
      </c>
    </row>
    <row r="114" spans="1:18" ht="29.25" customHeight="1">
      <c r="A114" s="881" t="s">
        <v>254</v>
      </c>
      <c r="B114" s="882"/>
      <c r="C114" s="883"/>
      <c r="D114" s="146" t="s">
        <v>183</v>
      </c>
      <c r="E114" s="95">
        <f>'23'!F114</f>
        <v>59426.8</v>
      </c>
      <c r="F114" s="237">
        <v>59653.53</v>
      </c>
      <c r="G114" s="112">
        <f t="shared" si="9"/>
        <v>226.72999999999593</v>
      </c>
      <c r="H114" s="99">
        <f>G114+'23'!H114</f>
        <v>5385.75</v>
      </c>
      <c r="I114" s="165"/>
      <c r="J114" s="328">
        <f>H114/DAY(B2)</f>
        <v>224.40625</v>
      </c>
    </row>
    <row r="115" spans="1:18" ht="29.25" customHeight="1">
      <c r="A115" s="881" t="s">
        <v>255</v>
      </c>
      <c r="B115" s="882"/>
      <c r="C115" s="883"/>
      <c r="D115" s="146" t="s">
        <v>183</v>
      </c>
      <c r="E115" s="95">
        <f>'23'!F115</f>
        <v>38301.699999999997</v>
      </c>
      <c r="F115" s="237">
        <v>38445.730000000003</v>
      </c>
      <c r="G115" s="112">
        <f t="shared" si="9"/>
        <v>144.03000000000611</v>
      </c>
      <c r="H115" s="99">
        <f>G115+'23'!H115</f>
        <v>3478.8199999999997</v>
      </c>
      <c r="I115" s="165"/>
      <c r="J115" s="328">
        <f>H115/DAY(B2)</f>
        <v>144.95083333333332</v>
      </c>
    </row>
    <row r="116" spans="1:18" ht="29.25" customHeight="1">
      <c r="A116" s="888" t="s">
        <v>96</v>
      </c>
      <c r="B116" s="889"/>
      <c r="C116" s="890"/>
      <c r="D116" s="146" t="s">
        <v>183</v>
      </c>
      <c r="E116" s="95">
        <f>'23'!F116</f>
        <v>144674.79999999999</v>
      </c>
      <c r="F116" s="416">
        <v>144958.94</v>
      </c>
      <c r="G116" s="112">
        <f t="shared" si="9"/>
        <v>284.14000000001397</v>
      </c>
      <c r="H116" s="99">
        <f>G116+'23'!H116</f>
        <v>10470.549999999988</v>
      </c>
      <c r="I116" s="165"/>
      <c r="J116" s="328">
        <f>H116/DAY(B2)</f>
        <v>436.27291666666616</v>
      </c>
      <c r="Q116" s="881"/>
      <c r="R116" s="883"/>
    </row>
    <row r="117" spans="1:18" ht="29.25" customHeight="1">
      <c r="A117" s="888" t="s">
        <v>184</v>
      </c>
      <c r="B117" s="889"/>
      <c r="C117" s="890"/>
      <c r="D117" s="146" t="s">
        <v>183</v>
      </c>
      <c r="E117" s="95">
        <f>'23'!F117</f>
        <v>89811</v>
      </c>
      <c r="F117" s="237">
        <v>90078.63</v>
      </c>
      <c r="G117" s="112">
        <f t="shared" si="9"/>
        <v>267.63000000000466</v>
      </c>
      <c r="H117" s="99">
        <f>G117+'23'!H117</f>
        <v>7368.6300000000047</v>
      </c>
      <c r="I117" s="165"/>
      <c r="J117" s="328">
        <f>H117/DAY(B2)</f>
        <v>307.02625000000018</v>
      </c>
      <c r="Q117" s="881"/>
      <c r="R117" s="883"/>
    </row>
    <row r="118" spans="1:18" ht="25.5">
      <c r="A118" s="880" t="s">
        <v>97</v>
      </c>
      <c r="B118" s="880"/>
      <c r="C118" s="880"/>
      <c r="D118" s="151" t="s">
        <v>183</v>
      </c>
      <c r="E118" s="95">
        <f>'23'!F118</f>
        <v>172540.55</v>
      </c>
      <c r="F118" s="237">
        <v>173158.49</v>
      </c>
      <c r="G118" s="112">
        <f t="shared" si="9"/>
        <v>617.94000000000233</v>
      </c>
      <c r="H118" s="99">
        <f>G118+'23'!H118</f>
        <v>15021.339999999997</v>
      </c>
      <c r="I118" s="165"/>
      <c r="J118" s="328">
        <f>H118/DAY(B2)</f>
        <v>625.88916666666648</v>
      </c>
      <c r="Q118" s="881"/>
      <c r="R118" s="883"/>
    </row>
    <row r="119" spans="1:18" ht="25.5">
      <c r="A119" s="880" t="s">
        <v>98</v>
      </c>
      <c r="B119" s="880"/>
      <c r="C119" s="880"/>
      <c r="D119" s="151" t="s">
        <v>183</v>
      </c>
      <c r="E119" s="95">
        <f>'23'!F119</f>
        <v>44832.3</v>
      </c>
      <c r="F119" s="237">
        <v>44881.52</v>
      </c>
      <c r="G119" s="112">
        <f t="shared" si="9"/>
        <v>49.219999999993888</v>
      </c>
      <c r="H119" s="99">
        <f>G119+'23'!H119</f>
        <v>942.34499999999389</v>
      </c>
      <c r="I119" s="165"/>
      <c r="J119" s="328">
        <f>H119/DAY(B2)</f>
        <v>39.264374999999745</v>
      </c>
    </row>
    <row r="120" spans="1:18" ht="25.5">
      <c r="A120" s="880" t="s">
        <v>99</v>
      </c>
      <c r="B120" s="880"/>
      <c r="C120" s="880"/>
      <c r="D120" s="151" t="s">
        <v>183</v>
      </c>
      <c r="E120" s="95">
        <f>'23'!F120</f>
        <v>117446.5</v>
      </c>
      <c r="F120" s="237">
        <v>117828.39</v>
      </c>
      <c r="G120" s="112">
        <f t="shared" si="9"/>
        <v>381.88999999999942</v>
      </c>
      <c r="H120" s="99">
        <f>G120+'23'!H120</f>
        <v>9391.25</v>
      </c>
      <c r="I120" s="165"/>
      <c r="J120" s="328">
        <f>H120/DAY(B2)</f>
        <v>391.30208333333331</v>
      </c>
    </row>
    <row r="121" spans="1:18" ht="25.5">
      <c r="A121" s="880" t="s">
        <v>100</v>
      </c>
      <c r="B121" s="880"/>
      <c r="C121" s="880"/>
      <c r="D121" s="151" t="s">
        <v>183</v>
      </c>
      <c r="E121" s="95">
        <f>'23'!F121</f>
        <v>131196</v>
      </c>
      <c r="F121" s="237">
        <v>131594.79</v>
      </c>
      <c r="G121" s="112">
        <f t="shared" si="9"/>
        <v>398.79000000000815</v>
      </c>
      <c r="H121" s="99">
        <f>G121+'23'!H121</f>
        <v>10371.900000000009</v>
      </c>
      <c r="I121" s="165"/>
      <c r="J121" s="328">
        <f>H121/DAY(B2)</f>
        <v>432.16250000000036</v>
      </c>
    </row>
    <row r="122" spans="1:18" ht="25.5">
      <c r="A122" s="880" t="s">
        <v>101</v>
      </c>
      <c r="B122" s="880"/>
      <c r="C122" s="880"/>
      <c r="D122" s="151" t="s">
        <v>183</v>
      </c>
      <c r="E122" s="95">
        <f>'23'!F122</f>
        <v>88375.5</v>
      </c>
      <c r="F122" s="237">
        <v>88689.15</v>
      </c>
      <c r="G122" s="112">
        <f t="shared" si="9"/>
        <v>313.64999999999418</v>
      </c>
      <c r="H122" s="99">
        <f>G122+'23'!H122</f>
        <v>7414.7799999999988</v>
      </c>
      <c r="I122" s="165"/>
      <c r="J122" s="328">
        <f>H122/DAY(B2)</f>
        <v>308.9491666666666</v>
      </c>
    </row>
    <row r="123" spans="1:18" ht="25.5">
      <c r="A123" s="880" t="s">
        <v>102</v>
      </c>
      <c r="B123" s="880"/>
      <c r="C123" s="880"/>
      <c r="D123" s="151" t="s">
        <v>183</v>
      </c>
      <c r="E123" s="95">
        <f>'23'!F123</f>
        <v>85084.7</v>
      </c>
      <c r="F123" s="237">
        <v>85398.97</v>
      </c>
      <c r="G123" s="112">
        <f t="shared" si="9"/>
        <v>314.27000000000407</v>
      </c>
      <c r="H123" s="99">
        <f>G123+'23'!H123</f>
        <v>7449.9700000000012</v>
      </c>
      <c r="I123" s="165"/>
      <c r="J123" s="328">
        <f>H123/DAY(B2)</f>
        <v>310.41541666666672</v>
      </c>
    </row>
    <row r="124" spans="1:18" ht="29.25" customHeight="1">
      <c r="A124" s="885"/>
      <c r="B124" s="886"/>
      <c r="C124" s="887"/>
      <c r="D124" s="165"/>
      <c r="E124" s="95">
        <f>'23'!F124</f>
        <v>0</v>
      </c>
      <c r="F124" s="165"/>
      <c r="G124" s="327"/>
      <c r="H124" s="156"/>
      <c r="I124" s="165"/>
      <c r="J124" s="327"/>
    </row>
    <row r="125" spans="1:18" ht="25.5">
      <c r="A125" s="787" t="s">
        <v>196</v>
      </c>
      <c r="B125" s="788"/>
      <c r="C125" s="245"/>
      <c r="D125" s="307"/>
      <c r="E125" s="308"/>
      <c r="F125" s="308"/>
      <c r="G125" s="309">
        <f>SUM(G112:G124)</f>
        <v>3207.3200000000252</v>
      </c>
      <c r="H125" s="156"/>
      <c r="I125" s="327">
        <f>G125-(G39+G53)</f>
        <v>571.72000000004846</v>
      </c>
      <c r="J125" s="327"/>
    </row>
    <row r="126" spans="1:18" ht="25.5">
      <c r="A126" s="884" t="s">
        <v>317</v>
      </c>
      <c r="B126" s="884"/>
      <c r="C126" s="884"/>
      <c r="D126" s="884"/>
      <c r="E126" s="884"/>
      <c r="F126" s="884"/>
      <c r="G126" s="884"/>
      <c r="H126" s="884"/>
      <c r="I126" s="884"/>
      <c r="J126" s="884"/>
    </row>
    <row r="127" spans="1:18" ht="25.5">
      <c r="A127" s="870"/>
      <c r="B127" s="870"/>
      <c r="C127" s="245"/>
      <c r="D127" s="307"/>
      <c r="E127" s="308"/>
      <c r="F127" s="308"/>
      <c r="G127" s="309"/>
      <c r="H127" s="99">
        <f>G127+'23'!H127</f>
        <v>0</v>
      </c>
      <c r="I127" s="165"/>
      <c r="J127" s="328">
        <f>H127/DAY(B2)</f>
        <v>0</v>
      </c>
    </row>
    <row r="128" spans="1:18" ht="29.25" customHeight="1">
      <c r="A128" s="881" t="s">
        <v>318</v>
      </c>
      <c r="B128" s="882"/>
      <c r="C128" s="883"/>
      <c r="D128" s="151" t="s">
        <v>183</v>
      </c>
      <c r="E128" s="95">
        <f>'23'!F128</f>
        <v>203353.37</v>
      </c>
      <c r="F128" s="165">
        <v>203853.43</v>
      </c>
      <c r="G128" s="112">
        <f t="shared" ref="G128:G134" si="10">F128-E128</f>
        <v>500.05999999999767</v>
      </c>
      <c r="H128" s="99">
        <f>G128+'23'!H128</f>
        <v>11967.799999999988</v>
      </c>
      <c r="I128" s="165"/>
      <c r="J128" s="328">
        <f>H128/DAY(B2)</f>
        <v>498.65833333333285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'23'!F129</f>
        <v>105354</v>
      </c>
      <c r="F129" s="165">
        <v>105526</v>
      </c>
      <c r="G129" s="112">
        <f t="shared" si="10"/>
        <v>172</v>
      </c>
      <c r="H129" s="99">
        <f>G129+'23'!H129</f>
        <v>4249</v>
      </c>
      <c r="I129" s="165"/>
      <c r="J129" s="328">
        <f>H129/DAY(B2)</f>
        <v>177.04166666666666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'23'!F130</f>
        <v>282377.25</v>
      </c>
      <c r="F130" s="165">
        <v>282867.33</v>
      </c>
      <c r="G130" s="112">
        <f t="shared" si="10"/>
        <v>490.0800000000163</v>
      </c>
      <c r="H130" s="99">
        <f>G130+'23'!H130</f>
        <v>14052.330000000016</v>
      </c>
      <c r="I130" s="165"/>
      <c r="J130" s="328">
        <f>H130/DAY(B2)</f>
        <v>585.51375000000064</v>
      </c>
      <c r="N130" s="240"/>
      <c r="O130" s="241"/>
    </row>
    <row r="131" spans="1:15" ht="25.5">
      <c r="A131" s="881" t="s">
        <v>321</v>
      </c>
      <c r="B131" s="882"/>
      <c r="C131" s="883"/>
      <c r="D131" s="151" t="s">
        <v>183</v>
      </c>
      <c r="E131" s="95">
        <f>'23'!F131</f>
        <v>83561.7</v>
      </c>
      <c r="F131" s="165">
        <v>83706.149999999994</v>
      </c>
      <c r="G131" s="112">
        <f t="shared" si="10"/>
        <v>144.44999999999709</v>
      </c>
      <c r="H131" s="99">
        <f>G131+'23'!H131</f>
        <v>4155.5199999999895</v>
      </c>
      <c r="I131" s="165"/>
      <c r="J131" s="328">
        <f>H131/DAY(B2)</f>
        <v>173.14666666666622</v>
      </c>
      <c r="N131" s="240"/>
      <c r="O131" s="241"/>
    </row>
    <row r="132" spans="1:15" ht="25.5">
      <c r="A132" s="881" t="s">
        <v>322</v>
      </c>
      <c r="B132" s="882"/>
      <c r="C132" s="883"/>
      <c r="D132" s="151" t="s">
        <v>183</v>
      </c>
      <c r="E132" s="95">
        <f>'23'!F132</f>
        <v>65104.52</v>
      </c>
      <c r="F132" s="165">
        <v>65398.35</v>
      </c>
      <c r="G132" s="112">
        <f t="shared" si="10"/>
        <v>293.83000000000175</v>
      </c>
      <c r="H132" s="99">
        <f>G132+'23'!H132</f>
        <v>1173.3499999999985</v>
      </c>
      <c r="I132" s="165"/>
      <c r="J132" s="328">
        <f>H132/DAY(B2)</f>
        <v>48.88958333333327</v>
      </c>
    </row>
    <row r="133" spans="1:15" ht="25.5">
      <c r="A133" s="881" t="s">
        <v>359</v>
      </c>
      <c r="B133" s="882"/>
      <c r="C133" s="883"/>
      <c r="D133" s="151" t="s">
        <v>183</v>
      </c>
      <c r="E133" s="95">
        <v>945870</v>
      </c>
      <c r="F133" s="165">
        <v>946303</v>
      </c>
      <c r="G133" s="112">
        <f t="shared" si="10"/>
        <v>433</v>
      </c>
      <c r="H133" s="99">
        <f>G133+'23'!H133</f>
        <v>-644066.83000000007</v>
      </c>
      <c r="I133" s="165"/>
      <c r="J133" s="328">
        <f>H133/DAY(B2)</f>
        <v>-26836.11791666667</v>
      </c>
    </row>
    <row r="134" spans="1:15" ht="25.5">
      <c r="A134" s="881" t="s">
        <v>340</v>
      </c>
      <c r="B134" s="882"/>
      <c r="C134" s="883"/>
      <c r="D134" s="151" t="s">
        <v>183</v>
      </c>
      <c r="E134" s="95">
        <f>'23'!F134</f>
        <v>91567.1</v>
      </c>
      <c r="F134" s="158">
        <v>91747.87</v>
      </c>
      <c r="G134" s="112">
        <f t="shared" si="10"/>
        <v>180.76999999998952</v>
      </c>
      <c r="H134" s="99">
        <f>G134+'23'!H134</f>
        <v>5795.8699999999953</v>
      </c>
      <c r="I134" s="165"/>
      <c r="J134" s="328">
        <f>H134/DAY(B2)</f>
        <v>241.49458333333314</v>
      </c>
    </row>
    <row r="135" spans="1:15" ht="25.5">
      <c r="A135" s="787" t="s">
        <v>196</v>
      </c>
      <c r="B135" s="788"/>
      <c r="C135" s="331"/>
      <c r="D135" s="151"/>
      <c r="E135" s="95"/>
      <c r="F135" s="165"/>
      <c r="G135" s="112">
        <f>SUM(G128:G134)</f>
        <v>2214.1900000000023</v>
      </c>
      <c r="H135" s="99">
        <f>G135+'23'!H135</f>
        <v>-624109.54499999993</v>
      </c>
      <c r="I135" s="327">
        <f>G135-(G35+G49)</f>
        <v>-334.53000000008615</v>
      </c>
      <c r="J135" s="328"/>
    </row>
    <row r="136" spans="1:15" ht="27.75">
      <c r="A136" s="869" t="s">
        <v>325</v>
      </c>
      <c r="B136" s="869"/>
      <c r="C136" s="869"/>
      <c r="D136" s="869"/>
      <c r="E136" s="869"/>
      <c r="F136" s="869"/>
      <c r="G136" s="869"/>
      <c r="H136" s="869"/>
      <c r="I136" s="869"/>
      <c r="J136" s="869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80" t="s">
        <v>185</v>
      </c>
      <c r="B138" s="880"/>
      <c r="C138" s="880"/>
      <c r="D138" s="151" t="s">
        <v>183</v>
      </c>
      <c r="E138" s="95">
        <f>'23'!F138</f>
        <v>912031</v>
      </c>
      <c r="F138" s="147">
        <v>912134</v>
      </c>
      <c r="G138" s="112">
        <f t="shared" ref="G138:G152" si="11">F138-E138</f>
        <v>103</v>
      </c>
      <c r="H138" s="99">
        <f>G138+'23'!H138</f>
        <v>2694</v>
      </c>
      <c r="I138" s="118"/>
      <c r="J138" s="328">
        <f>H138/DAY(B2)</f>
        <v>112.25</v>
      </c>
    </row>
    <row r="139" spans="1:15" ht="25.5">
      <c r="A139" s="880" t="s">
        <v>186</v>
      </c>
      <c r="B139" s="880"/>
      <c r="C139" s="880"/>
      <c r="D139" s="151" t="s">
        <v>183</v>
      </c>
      <c r="E139" s="95">
        <f>'23'!F139</f>
        <v>936000</v>
      </c>
      <c r="F139" s="148">
        <v>936148</v>
      </c>
      <c r="G139" s="112">
        <f t="shared" si="11"/>
        <v>148</v>
      </c>
      <c r="H139" s="99">
        <f>G139+'23'!H139</f>
        <v>3788</v>
      </c>
      <c r="I139" s="118"/>
      <c r="J139" s="328">
        <f>H139/DAY(B2)</f>
        <v>157.83333333333334</v>
      </c>
    </row>
    <row r="140" spans="1:15" ht="25.5">
      <c r="A140" s="880" t="s">
        <v>187</v>
      </c>
      <c r="B140" s="880"/>
      <c r="C140" s="880"/>
      <c r="D140" s="151" t="s">
        <v>183</v>
      </c>
      <c r="E140" s="95">
        <f>'23'!F140</f>
        <v>4574.72</v>
      </c>
      <c r="F140" s="149">
        <v>4597.43</v>
      </c>
      <c r="G140" s="112">
        <f t="shared" si="11"/>
        <v>22.710000000000036</v>
      </c>
      <c r="H140" s="99">
        <f>G140+'23'!H140</f>
        <v>563.91900000000032</v>
      </c>
      <c r="I140" s="118"/>
      <c r="J140" s="328">
        <f>H140/DAY(B2)</f>
        <v>23.496625000000012</v>
      </c>
    </row>
    <row r="141" spans="1:15" ht="25.5">
      <c r="A141" s="863" t="s">
        <v>188</v>
      </c>
      <c r="B141" s="863"/>
      <c r="C141" s="863"/>
      <c r="D141" s="151" t="s">
        <v>183</v>
      </c>
      <c r="E141" s="95">
        <f>'23'!F141</f>
        <v>129426.9</v>
      </c>
      <c r="F141" s="149">
        <v>129719.46</v>
      </c>
      <c r="G141" s="112">
        <f t="shared" si="11"/>
        <v>292.56000000001222</v>
      </c>
      <c r="H141" s="99">
        <f>G141+'23'!H141</f>
        <v>5121.4600000000064</v>
      </c>
      <c r="I141" s="118"/>
      <c r="J141" s="328">
        <f>H141/DAY(B2)</f>
        <v>213.39416666666693</v>
      </c>
    </row>
    <row r="142" spans="1:15" ht="25.5">
      <c r="A142" s="863" t="s">
        <v>189</v>
      </c>
      <c r="B142" s="863"/>
      <c r="C142" s="863"/>
      <c r="D142" s="151" t="s">
        <v>183</v>
      </c>
      <c r="E142" s="95">
        <f>'23'!F142</f>
        <v>52544</v>
      </c>
      <c r="F142" s="148">
        <v>52619.88</v>
      </c>
      <c r="G142" s="112">
        <f t="shared" si="11"/>
        <v>75.879999999997381</v>
      </c>
      <c r="H142" s="99">
        <f>G142+'23'!H142</f>
        <v>2054.3299999999945</v>
      </c>
      <c r="I142" s="140"/>
      <c r="J142" s="328">
        <f>H142/DAY(B2)</f>
        <v>85.597083333333103</v>
      </c>
    </row>
    <row r="143" spans="1:15" ht="25.5">
      <c r="A143" s="880" t="s">
        <v>91</v>
      </c>
      <c r="B143" s="880"/>
      <c r="C143" s="880"/>
      <c r="D143" s="151" t="s">
        <v>183</v>
      </c>
      <c r="E143" s="95">
        <f>'23'!F143</f>
        <v>14095.23</v>
      </c>
      <c r="F143" s="149">
        <v>14117.65</v>
      </c>
      <c r="G143" s="112">
        <f t="shared" si="11"/>
        <v>22.420000000000073</v>
      </c>
      <c r="H143" s="99">
        <f>G143+'23'!H143</f>
        <v>730.64999999999964</v>
      </c>
      <c r="I143" s="140"/>
      <c r="J143" s="328">
        <f>H143/DAY(B2)</f>
        <v>30.443749999999984</v>
      </c>
    </row>
    <row r="144" spans="1:15" ht="25.5">
      <c r="A144" s="863" t="s">
        <v>90</v>
      </c>
      <c r="B144" s="863"/>
      <c r="C144" s="863"/>
      <c r="D144" s="151" t="s">
        <v>183</v>
      </c>
      <c r="E144" s="95">
        <f>'23'!F144</f>
        <v>961084</v>
      </c>
      <c r="F144" s="149">
        <v>961340</v>
      </c>
      <c r="G144" s="112">
        <f t="shared" si="11"/>
        <v>256</v>
      </c>
      <c r="H144" s="99">
        <f>G144+'23'!H144</f>
        <v>5870</v>
      </c>
      <c r="I144" s="140"/>
      <c r="J144" s="328">
        <f>H144/DAY(B2)</f>
        <v>244.58333333333334</v>
      </c>
    </row>
    <row r="145" spans="1:10" ht="25.5">
      <c r="A145" s="880" t="s">
        <v>190</v>
      </c>
      <c r="B145" s="880"/>
      <c r="C145" s="880"/>
      <c r="D145" s="152" t="s">
        <v>183</v>
      </c>
      <c r="E145" s="95">
        <f>'23'!F145</f>
        <v>749141</v>
      </c>
      <c r="F145" s="149">
        <v>749313</v>
      </c>
      <c r="G145" s="112">
        <f t="shared" si="11"/>
        <v>172</v>
      </c>
      <c r="H145" s="99">
        <f>G145+'23'!H145</f>
        <v>4132</v>
      </c>
      <c r="I145" s="140"/>
      <c r="J145" s="328">
        <f>H145/DAY(B2)</f>
        <v>172.16666666666666</v>
      </c>
    </row>
    <row r="146" spans="1:10" ht="25.5">
      <c r="A146" s="914" t="s">
        <v>191</v>
      </c>
      <c r="B146" s="900"/>
      <c r="C146" s="901"/>
      <c r="D146" s="152" t="s">
        <v>183</v>
      </c>
      <c r="E146" s="95">
        <f>'23'!F146</f>
        <v>788697</v>
      </c>
      <c r="F146" s="148">
        <v>788720</v>
      </c>
      <c r="G146" s="112">
        <f t="shared" si="11"/>
        <v>23</v>
      </c>
      <c r="H146" s="99">
        <f>G146+'23'!H146</f>
        <v>862</v>
      </c>
      <c r="I146" s="140"/>
      <c r="J146" s="328">
        <f>H146/DAY(B2)</f>
        <v>35.916666666666664</v>
      </c>
    </row>
    <row r="147" spans="1:10" ht="25.5">
      <c r="A147" s="863" t="s">
        <v>192</v>
      </c>
      <c r="B147" s="863"/>
      <c r="C147" s="863"/>
      <c r="D147" s="152" t="s">
        <v>183</v>
      </c>
      <c r="E147" s="95">
        <f>'23'!F147</f>
        <v>768693.12</v>
      </c>
      <c r="F147" s="148">
        <v>769013</v>
      </c>
      <c r="G147" s="112">
        <f t="shared" si="11"/>
        <v>319.88000000000466</v>
      </c>
      <c r="H147" s="99">
        <f>G147+'23'!H147</f>
        <v>8875</v>
      </c>
      <c r="I147" s="140"/>
      <c r="J147" s="328">
        <f>H147/DAY(B2)</f>
        <v>369.79166666666669</v>
      </c>
    </row>
    <row r="148" spans="1:10" ht="25.5">
      <c r="A148" s="864" t="s">
        <v>193</v>
      </c>
      <c r="B148" s="865"/>
      <c r="C148" s="866"/>
      <c r="D148" s="123" t="s">
        <v>130</v>
      </c>
      <c r="E148" s="95">
        <f>'23'!F148</f>
        <v>803935.76</v>
      </c>
      <c r="F148" s="150">
        <v>804229</v>
      </c>
      <c r="G148" s="112">
        <f t="shared" si="11"/>
        <v>293.23999999999069</v>
      </c>
      <c r="H148" s="99">
        <f>G148+'23'!H148</f>
        <v>7816.9200000000419</v>
      </c>
      <c r="I148" s="124"/>
      <c r="J148" s="328">
        <f>H148/DAY(B2)</f>
        <v>325.70500000000175</v>
      </c>
    </row>
    <row r="149" spans="1:10" ht="25.5">
      <c r="A149" s="864" t="s">
        <v>336</v>
      </c>
      <c r="B149" s="865"/>
      <c r="C149" s="866"/>
      <c r="D149" s="227" t="s">
        <v>130</v>
      </c>
      <c r="E149" s="95">
        <f>'23'!F149</f>
        <v>212085</v>
      </c>
      <c r="F149" s="146">
        <v>212718.41</v>
      </c>
      <c r="G149" s="112">
        <f t="shared" si="11"/>
        <v>633.41000000000349</v>
      </c>
      <c r="H149" s="99">
        <f>G149+'23'!H149</f>
        <v>11427.140000000014</v>
      </c>
      <c r="I149" s="119"/>
      <c r="J149" s="328">
        <f>H149/DAY(B2)</f>
        <v>476.1308333333339</v>
      </c>
    </row>
    <row r="150" spans="1:10" ht="25.5">
      <c r="A150" s="864" t="s">
        <v>337</v>
      </c>
      <c r="B150" s="865"/>
      <c r="C150" s="866"/>
      <c r="D150" s="117" t="s">
        <v>130</v>
      </c>
      <c r="E150" s="95">
        <f>'23'!F150</f>
        <v>90469.8</v>
      </c>
      <c r="F150" s="233">
        <v>90720</v>
      </c>
      <c r="G150" s="112">
        <f t="shared" si="11"/>
        <v>250.19999999999709</v>
      </c>
      <c r="H150" s="99">
        <f>G150+'23'!H150</f>
        <v>8133</v>
      </c>
      <c r="I150" s="119"/>
      <c r="J150" s="328">
        <f>H150/DAY(B2)</f>
        <v>338.875</v>
      </c>
    </row>
    <row r="151" spans="1:10" ht="25.5">
      <c r="A151" s="864" t="s">
        <v>338</v>
      </c>
      <c r="B151" s="865"/>
      <c r="C151" s="866"/>
      <c r="D151" s="117" t="s">
        <v>130</v>
      </c>
      <c r="E151" s="95">
        <f>'23'!F151</f>
        <v>173709</v>
      </c>
      <c r="F151" s="233">
        <v>174009</v>
      </c>
      <c r="G151" s="112">
        <f t="shared" si="11"/>
        <v>300</v>
      </c>
      <c r="H151" s="99">
        <f>G151+'23'!H151</f>
        <v>7279</v>
      </c>
      <c r="I151" s="119"/>
      <c r="J151" s="328">
        <f>H151/DAY(B2)</f>
        <v>303.29166666666669</v>
      </c>
    </row>
    <row r="152" spans="1:10" ht="25.5">
      <c r="A152" s="864" t="s">
        <v>339</v>
      </c>
      <c r="B152" s="865"/>
      <c r="C152" s="866"/>
      <c r="D152" s="117" t="s">
        <v>130</v>
      </c>
      <c r="E152" s="95">
        <f>'23'!F152</f>
        <v>45554.400000000001</v>
      </c>
      <c r="F152" s="233">
        <v>45687.59</v>
      </c>
      <c r="G152" s="112">
        <f t="shared" si="11"/>
        <v>133.18999999999505</v>
      </c>
      <c r="H152" s="99">
        <f>G152+'23'!H152</f>
        <v>3176.5899999999965</v>
      </c>
      <c r="I152" s="119"/>
      <c r="J152" s="328">
        <f>H152/DAY(B2)</f>
        <v>132.35791666666651</v>
      </c>
    </row>
    <row r="153" spans="1:10" ht="25.5">
      <c r="A153" s="787" t="s">
        <v>196</v>
      </c>
      <c r="B153" s="788"/>
      <c r="C153" s="365"/>
      <c r="D153" s="358"/>
      <c r="E153" s="360"/>
      <c r="F153" s="361"/>
      <c r="G153" s="362">
        <f>SUM(G138:G152)</f>
        <v>3045.4900000000007</v>
      </c>
      <c r="H153" s="363"/>
      <c r="I153" s="119">
        <f>G153-(G38+G52)</f>
        <v>-1064.0999999999249</v>
      </c>
      <c r="J153" s="366"/>
    </row>
    <row r="154" spans="1:10" ht="27.75">
      <c r="A154" s="869" t="s">
        <v>344</v>
      </c>
      <c r="B154" s="869"/>
      <c r="C154" s="869"/>
      <c r="D154" s="869"/>
      <c r="E154" s="869"/>
      <c r="F154" s="869"/>
      <c r="G154" s="869"/>
      <c r="H154" s="869"/>
      <c r="I154" s="869"/>
      <c r="J154" s="869"/>
    </row>
    <row r="155" spans="1:10" ht="27.75">
      <c r="A155" s="863" t="s">
        <v>345</v>
      </c>
      <c r="B155" s="863"/>
      <c r="C155" s="863"/>
      <c r="D155" s="117" t="s">
        <v>130</v>
      </c>
      <c r="E155" s="95">
        <f>'23'!F155</f>
        <v>251953.8</v>
      </c>
      <c r="F155" s="558">
        <v>252503</v>
      </c>
      <c r="G155" s="112">
        <f t="shared" ref="G155:G158" si="12">F155-E155</f>
        <v>549.20000000001164</v>
      </c>
      <c r="H155" s="99">
        <f>G155+'23'!H155</f>
        <v>13469</v>
      </c>
      <c r="I155" s="364"/>
      <c r="J155" s="328">
        <f>H155/DAY(B2)</f>
        <v>561.20833333333337</v>
      </c>
    </row>
    <row r="156" spans="1:10" ht="25.5">
      <c r="A156" s="863" t="s">
        <v>347</v>
      </c>
      <c r="B156" s="863"/>
      <c r="C156" s="863"/>
      <c r="D156" s="117" t="s">
        <v>130</v>
      </c>
      <c r="E156" s="95">
        <f>'23'!F156</f>
        <v>31788.400000000001</v>
      </c>
      <c r="F156" s="155">
        <v>31889</v>
      </c>
      <c r="G156" s="112">
        <f t="shared" si="12"/>
        <v>100.59999999999854</v>
      </c>
      <c r="H156" s="99">
        <f>G156+'23'!H156</f>
        <v>2209.5</v>
      </c>
      <c r="I156" s="165"/>
      <c r="J156" s="328">
        <f>H156/DAY(B2)</f>
        <v>92.0625</v>
      </c>
    </row>
    <row r="157" spans="1:10" ht="25.5">
      <c r="A157" s="864" t="s">
        <v>360</v>
      </c>
      <c r="B157" s="865"/>
      <c r="C157" s="866"/>
      <c r="D157" s="117" t="s">
        <v>130</v>
      </c>
      <c r="E157" s="95">
        <f>'23'!F157</f>
        <v>169.6</v>
      </c>
      <c r="F157" s="155">
        <v>335.82</v>
      </c>
      <c r="G157" s="112">
        <f t="shared" si="12"/>
        <v>166.22</v>
      </c>
      <c r="H157" s="99">
        <f>G157+'23'!H157</f>
        <v>231.22</v>
      </c>
      <c r="I157" s="165"/>
      <c r="J157" s="328"/>
    </row>
    <row r="158" spans="1:10" ht="25.5">
      <c r="A158" s="864" t="s">
        <v>361</v>
      </c>
      <c r="B158" s="865"/>
      <c r="C158" s="866"/>
      <c r="D158" s="117" t="s">
        <v>130</v>
      </c>
      <c r="E158" s="95">
        <f>'23'!F158</f>
        <v>1774.19</v>
      </c>
      <c r="F158" s="155">
        <v>1779.83</v>
      </c>
      <c r="G158" s="112">
        <f t="shared" si="12"/>
        <v>5.6399999999998727</v>
      </c>
      <c r="H158" s="99">
        <f>G158+'23'!H158</f>
        <v>7.1299999999998818</v>
      </c>
      <c r="I158" s="165"/>
      <c r="J158" s="328"/>
    </row>
    <row r="159" spans="1:10" ht="25.5">
      <c r="A159" s="944"/>
      <c r="B159" s="945"/>
      <c r="C159" s="946"/>
      <c r="D159" s="117"/>
      <c r="E159" s="95"/>
      <c r="F159" s="165"/>
      <c r="G159" s="112"/>
      <c r="H159" s="99"/>
      <c r="I159" s="165"/>
      <c r="J159" s="328"/>
    </row>
    <row r="160" spans="1:10" ht="27.75">
      <c r="A160" s="869" t="s">
        <v>326</v>
      </c>
      <c r="B160" s="869"/>
      <c r="C160" s="869"/>
      <c r="D160" s="869"/>
      <c r="E160" s="869"/>
      <c r="F160" s="869"/>
      <c r="G160" s="869"/>
      <c r="H160" s="869"/>
      <c r="I160" s="869"/>
      <c r="J160" s="869"/>
    </row>
    <row r="161" spans="1:10" ht="26.25">
      <c r="A161" s="242" t="s">
        <v>92</v>
      </c>
      <c r="B161" s="243"/>
      <c r="C161" s="243"/>
      <c r="D161" s="244" t="s">
        <v>180</v>
      </c>
      <c r="E161" s="95">
        <f>'23'!F161</f>
        <v>511725.7</v>
      </c>
      <c r="F161" s="235">
        <v>511799</v>
      </c>
      <c r="G161" s="238">
        <f t="shared" ref="G161:G165" si="13">F161-E161</f>
        <v>73.299999999988358</v>
      </c>
      <c r="H161" s="99">
        <f>G161+'23'!H161</f>
        <v>3415.679999999993</v>
      </c>
      <c r="I161" s="236"/>
      <c r="J161" s="239">
        <f>H161/DAY(B2)</f>
        <v>142.31999999999971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'23'!F162</f>
        <v>1546.2</v>
      </c>
      <c r="F162" s="235">
        <v>1578.2</v>
      </c>
      <c r="G162" s="238">
        <f t="shared" si="13"/>
        <v>32</v>
      </c>
      <c r="H162" s="99">
        <f>G162+'23'!H162</f>
        <v>841.6</v>
      </c>
      <c r="I162" s="236"/>
      <c r="J162" s="239">
        <f>H162/DAY(B2)</f>
        <v>35.06666666666667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'23'!F163</f>
        <v>0</v>
      </c>
      <c r="F163" s="235">
        <v>0</v>
      </c>
      <c r="G163" s="238">
        <f t="shared" si="13"/>
        <v>0</v>
      </c>
      <c r="H163" s="99">
        <f>G163+'23'!H163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'23'!F164</f>
        <v>7314.5</v>
      </c>
      <c r="F164" s="235">
        <v>7319.2</v>
      </c>
      <c r="G164" s="238">
        <f t="shared" si="13"/>
        <v>4.6999999999998181</v>
      </c>
      <c r="H164" s="99">
        <f>G164+'23'!H164</f>
        <v>120.19999999999982</v>
      </c>
      <c r="I164" s="236"/>
      <c r="J164" s="239">
        <f>H164/DAY(B2)</f>
        <v>5.0083333333333258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'23'!F165</f>
        <v>32929.199999999997</v>
      </c>
      <c r="F165" s="235">
        <v>32937</v>
      </c>
      <c r="G165" s="238">
        <f t="shared" si="13"/>
        <v>7.8000000000029104</v>
      </c>
      <c r="H165" s="99">
        <f>G165+'23'!H165</f>
        <v>156.91199999999662</v>
      </c>
      <c r="I165" s="236"/>
      <c r="J165" s="239">
        <f>H165/DAY(B2)</f>
        <v>6.537999999999859</v>
      </c>
    </row>
    <row r="166" spans="1:10" ht="26.25">
      <c r="A166" s="870"/>
      <c r="B166" s="870"/>
      <c r="C166" s="246"/>
      <c r="D166" s="244" t="s">
        <v>180</v>
      </c>
      <c r="E166" s="95">
        <f>'23'!F166</f>
        <v>0</v>
      </c>
      <c r="F166" s="165"/>
      <c r="G166" s="165"/>
      <c r="H166" s="99">
        <f>G166+'23'!H166</f>
        <v>0</v>
      </c>
      <c r="I166" s="165"/>
      <c r="J166" s="239">
        <f>H166/DAY(B2)</f>
        <v>0</v>
      </c>
    </row>
    <row r="167" spans="1:10" ht="26.25">
      <c r="A167" s="870"/>
      <c r="B167" s="870"/>
      <c r="C167" s="246"/>
      <c r="D167" s="244" t="s">
        <v>180</v>
      </c>
      <c r="E167" s="95">
        <f>'23'!F167</f>
        <v>0</v>
      </c>
      <c r="F167" s="165"/>
      <c r="G167" s="165"/>
      <c r="H167" s="99">
        <f>G167+'23'!H167</f>
        <v>0</v>
      </c>
      <c r="I167" s="165"/>
      <c r="J167" s="239">
        <f>H167/DAY(B2)</f>
        <v>0</v>
      </c>
    </row>
    <row r="168" spans="1:10" ht="26.25">
      <c r="A168" s="870"/>
      <c r="B168" s="870"/>
      <c r="C168" s="246"/>
      <c r="D168" s="244" t="s">
        <v>180</v>
      </c>
      <c r="E168" s="95">
        <f>'23'!F168</f>
        <v>0</v>
      </c>
      <c r="F168" s="165"/>
      <c r="G168" s="165"/>
      <c r="H168" s="99">
        <f>G168+'23'!H168</f>
        <v>0</v>
      </c>
      <c r="I168" s="165"/>
      <c r="J168" s="239">
        <f>H168/DAY(B2)</f>
        <v>0</v>
      </c>
    </row>
    <row r="169" spans="1:10" ht="26.25"/>
    <row r="170" spans="1:10" ht="21.75" customHeight="1"/>
    <row r="171" spans="1:10" ht="21.75" customHeight="1">
      <c r="A171" s="871" t="s">
        <v>330</v>
      </c>
      <c r="B171" s="872"/>
      <c r="C171" s="872"/>
      <c r="D171" s="872"/>
      <c r="E171" s="872"/>
      <c r="F171" s="872"/>
      <c r="G171" s="872"/>
      <c r="H171" s="872"/>
      <c r="I171" s="872"/>
      <c r="J171" s="873"/>
    </row>
    <row r="172" spans="1:10" ht="21.75" customHeight="1">
      <c r="A172" s="878"/>
      <c r="B172" s="879"/>
      <c r="C172" s="332"/>
      <c r="D172" s="228"/>
      <c r="E172" s="155"/>
      <c r="F172" s="155"/>
      <c r="G172" s="155"/>
      <c r="H172" s="156"/>
      <c r="I172" s="155"/>
      <c r="J172" s="178"/>
    </row>
    <row r="173" spans="1:10" ht="25.5" customHeight="1">
      <c r="A173" s="789" t="s">
        <v>209</v>
      </c>
      <c r="B173" s="790"/>
      <c r="C173" s="333"/>
      <c r="D173" s="228" t="s">
        <v>142</v>
      </c>
      <c r="E173" s="95">
        <f>'23'!F173</f>
        <v>8608</v>
      </c>
      <c r="F173" s="155">
        <v>8608</v>
      </c>
      <c r="G173" s="155">
        <f>F173-E173</f>
        <v>0</v>
      </c>
      <c r="H173" s="99">
        <f>G173+'23'!H173</f>
        <v>26</v>
      </c>
      <c r="I173" s="155"/>
      <c r="J173" s="178">
        <f>H173/DAY(B2)</f>
        <v>1.0833333333333333</v>
      </c>
    </row>
    <row r="174" spans="1:10" ht="27" customHeight="1">
      <c r="A174" s="789" t="s">
        <v>75</v>
      </c>
      <c r="B174" s="790"/>
      <c r="C174" s="333"/>
      <c r="D174" s="228" t="s">
        <v>142</v>
      </c>
      <c r="E174" s="95">
        <f>'23'!F174</f>
        <v>43326</v>
      </c>
      <c r="F174" s="157">
        <v>43338</v>
      </c>
      <c r="G174" s="155">
        <f t="shared" ref="G174:G175" si="14">F174-E174</f>
        <v>12</v>
      </c>
      <c r="H174" s="99">
        <f>G174+'23'!H174</f>
        <v>288</v>
      </c>
      <c r="I174" s="155"/>
      <c r="J174" s="178">
        <f>H174/DAY(B2)</f>
        <v>12</v>
      </c>
    </row>
    <row r="175" spans="1:10" ht="27" customHeight="1">
      <c r="A175" s="789" t="s">
        <v>76</v>
      </c>
      <c r="B175" s="802"/>
      <c r="C175" s="790"/>
      <c r="D175" s="228" t="s">
        <v>142</v>
      </c>
      <c r="E175" s="95">
        <f>'23'!F175</f>
        <v>26172</v>
      </c>
      <c r="F175" s="155">
        <v>26186</v>
      </c>
      <c r="G175" s="155">
        <f t="shared" si="14"/>
        <v>14</v>
      </c>
      <c r="H175" s="99">
        <f>G175+'23'!H175</f>
        <v>365</v>
      </c>
      <c r="I175" s="155"/>
      <c r="J175" s="178">
        <f>H175/DAY(B2)</f>
        <v>15.208333333333334</v>
      </c>
    </row>
    <row r="176" spans="1:10" ht="21.75" customHeight="1">
      <c r="A176" s="787" t="s">
        <v>196</v>
      </c>
      <c r="B176" s="788"/>
      <c r="C176" s="400"/>
      <c r="D176" s="228" t="s">
        <v>142</v>
      </c>
      <c r="E176" s="95"/>
      <c r="F176" s="155"/>
      <c r="G176" s="155">
        <f>SUM(G173:G175)</f>
        <v>26</v>
      </c>
      <c r="H176" s="99">
        <f>G176+'23'!H176</f>
        <v>679</v>
      </c>
      <c r="I176" s="155"/>
      <c r="J176" s="178">
        <f>H176/DAY(B2)</f>
        <v>28.291666666666668</v>
      </c>
    </row>
    <row r="177" spans="1:10" ht="21.75" customHeight="1">
      <c r="A177" s="789" t="s">
        <v>77</v>
      </c>
      <c r="B177" s="790"/>
      <c r="C177" s="333"/>
      <c r="D177" s="228" t="s">
        <v>142</v>
      </c>
      <c r="E177" s="95"/>
      <c r="F177" s="155"/>
      <c r="G177" s="155"/>
      <c r="H177" s="99">
        <f>G177+'23'!H177</f>
        <v>0</v>
      </c>
      <c r="I177" s="155"/>
      <c r="J177" s="178">
        <f>H177/DAY(B2)</f>
        <v>0</v>
      </c>
    </row>
    <row r="178" spans="1:10" ht="25.5">
      <c r="A178" s="789" t="s">
        <v>210</v>
      </c>
      <c r="B178" s="790"/>
      <c r="C178" s="333"/>
      <c r="D178" s="228" t="s">
        <v>142</v>
      </c>
      <c r="E178" s="95">
        <f>'23'!F178</f>
        <v>109578</v>
      </c>
      <c r="F178" s="155">
        <v>109666</v>
      </c>
      <c r="G178" s="155">
        <f>F178-E178</f>
        <v>88</v>
      </c>
      <c r="H178" s="99">
        <f>G178+'23'!H178</f>
        <v>2667</v>
      </c>
      <c r="I178" s="155"/>
      <c r="J178" s="178">
        <f>H178/DAY(B2)</f>
        <v>111.125</v>
      </c>
    </row>
    <row r="179" spans="1:10" ht="24" customHeight="1">
      <c r="A179" s="789" t="s">
        <v>211</v>
      </c>
      <c r="B179" s="790"/>
      <c r="C179" s="333"/>
      <c r="D179" s="228" t="s">
        <v>142</v>
      </c>
      <c r="E179" s="95">
        <f>'23'!F179</f>
        <v>37501</v>
      </c>
      <c r="F179" s="155">
        <v>37501</v>
      </c>
      <c r="G179" s="155">
        <f t="shared" ref="G179:G180" si="15">F179-E179</f>
        <v>0</v>
      </c>
      <c r="H179" s="99">
        <f>G179+'23'!H179</f>
        <v>0</v>
      </c>
      <c r="I179" s="155"/>
      <c r="J179" s="178">
        <f>H179/DAY(B2)</f>
        <v>0</v>
      </c>
    </row>
    <row r="180" spans="1:10" ht="25.5">
      <c r="A180" s="789" t="s">
        <v>212</v>
      </c>
      <c r="B180" s="790"/>
      <c r="C180" s="333"/>
      <c r="D180" s="228" t="s">
        <v>142</v>
      </c>
      <c r="E180" s="95">
        <f>'23'!F180</f>
        <v>7662</v>
      </c>
      <c r="F180" s="155">
        <v>7673</v>
      </c>
      <c r="G180" s="155">
        <f t="shared" si="15"/>
        <v>11</v>
      </c>
      <c r="H180" s="99">
        <f>G180+'23'!H180</f>
        <v>110</v>
      </c>
      <c r="I180" s="155"/>
      <c r="J180" s="178">
        <f>H180/DAY(B2)</f>
        <v>4.583333333333333</v>
      </c>
    </row>
    <row r="181" spans="1:10" ht="25.5">
      <c r="A181" s="876" t="s">
        <v>108</v>
      </c>
      <c r="B181" s="877"/>
      <c r="C181" s="400"/>
      <c r="D181" s="228" t="s">
        <v>142</v>
      </c>
      <c r="E181" s="95"/>
      <c r="F181" s="155"/>
      <c r="G181" s="155">
        <f>SUM(G178:G180)</f>
        <v>99</v>
      </c>
      <c r="H181" s="99">
        <f>G181+'23'!H181</f>
        <v>2777</v>
      </c>
      <c r="I181" s="155"/>
      <c r="J181" s="178">
        <f>H181/DAY(B2)</f>
        <v>115.70833333333333</v>
      </c>
    </row>
    <row r="182" spans="1:10" ht="25.5">
      <c r="A182" s="789" t="s">
        <v>213</v>
      </c>
      <c r="B182" s="790"/>
      <c r="C182" s="333"/>
      <c r="D182" s="228" t="s">
        <v>142</v>
      </c>
      <c r="E182" s="95"/>
      <c r="F182" s="155"/>
      <c r="G182" s="155"/>
      <c r="H182" s="99">
        <f>G182+'23'!H182</f>
        <v>0</v>
      </c>
      <c r="I182" s="155"/>
      <c r="J182" s="178">
        <f>H182/DAY(B2)</f>
        <v>0</v>
      </c>
    </row>
    <row r="183" spans="1:10" ht="25.5">
      <c r="A183" s="789" t="s">
        <v>214</v>
      </c>
      <c r="B183" s="790"/>
      <c r="C183" s="334"/>
      <c r="D183" s="228" t="s">
        <v>142</v>
      </c>
      <c r="E183" s="95">
        <f>'23'!F183</f>
        <v>18513</v>
      </c>
      <c r="F183" s="157">
        <v>18546</v>
      </c>
      <c r="G183" s="157">
        <f>F183-E183</f>
        <v>33</v>
      </c>
      <c r="H183" s="99">
        <f>G183+'23'!H183</f>
        <v>168</v>
      </c>
      <c r="I183" s="155"/>
      <c r="J183" s="178">
        <f>H183/DAY(B2)</f>
        <v>7</v>
      </c>
    </row>
    <row r="184" spans="1:10" ht="25.5">
      <c r="A184" s="789" t="s">
        <v>215</v>
      </c>
      <c r="B184" s="790"/>
      <c r="C184" s="334"/>
      <c r="D184" s="228" t="s">
        <v>142</v>
      </c>
      <c r="E184" s="95">
        <f>'23'!F184</f>
        <v>13191</v>
      </c>
      <c r="F184" s="157">
        <v>13199</v>
      </c>
      <c r="G184" s="157">
        <f t="shared" ref="G184:G185" si="16">F184-E184</f>
        <v>8</v>
      </c>
      <c r="H184" s="99">
        <f>G184+'23'!H184</f>
        <v>219</v>
      </c>
      <c r="I184" s="155"/>
      <c r="J184" s="178">
        <f>H184/DAY(B2)</f>
        <v>9.125</v>
      </c>
    </row>
    <row r="185" spans="1:10" ht="26.25" customHeight="1">
      <c r="A185" s="789" t="s">
        <v>216</v>
      </c>
      <c r="B185" s="790"/>
      <c r="C185" s="334"/>
      <c r="D185" s="228" t="s">
        <v>142</v>
      </c>
      <c r="E185" s="95">
        <f>'23'!F185</f>
        <v>0</v>
      </c>
      <c r="F185" s="157"/>
      <c r="G185" s="157">
        <f t="shared" si="16"/>
        <v>0</v>
      </c>
      <c r="H185" s="99">
        <f>G185+'23'!H185</f>
        <v>0</v>
      </c>
      <c r="I185" s="155"/>
      <c r="J185" s="178">
        <f>H185/DAY(B2)</f>
        <v>0</v>
      </c>
    </row>
    <row r="186" spans="1:10" ht="25.5">
      <c r="A186" s="787" t="s">
        <v>196</v>
      </c>
      <c r="B186" s="788"/>
      <c r="C186" s="399"/>
      <c r="D186" s="228" t="s">
        <v>142</v>
      </c>
      <c r="E186" s="95"/>
      <c r="F186" s="157"/>
      <c r="G186" s="157">
        <f>SUM(G183:G185)</f>
        <v>41</v>
      </c>
      <c r="H186" s="99">
        <f>G186+'23'!H186</f>
        <v>387</v>
      </c>
      <c r="I186" s="157"/>
      <c r="J186" s="178">
        <f>H186/DAY(B2)</f>
        <v>16.125</v>
      </c>
    </row>
    <row r="187" spans="1:10" ht="25.5">
      <c r="A187" s="867" t="s">
        <v>217</v>
      </c>
      <c r="B187" s="868"/>
      <c r="C187" s="333"/>
      <c r="D187" s="230" t="s">
        <v>142</v>
      </c>
      <c r="E187" s="95">
        <f>'23'!F187</f>
        <v>0</v>
      </c>
      <c r="F187" s="159"/>
      <c r="G187" s="377">
        <f>G62+G19</f>
        <v>212.59999999997672</v>
      </c>
      <c r="H187" s="99">
        <f>G187+'23'!H187</f>
        <v>3911.7999999999884</v>
      </c>
      <c r="I187" s="158"/>
      <c r="J187" s="179">
        <f>H187/DAY(B2)</f>
        <v>162.99166666666619</v>
      </c>
    </row>
    <row r="188" spans="1:10" ht="25.5">
      <c r="A188" s="867" t="s">
        <v>218</v>
      </c>
      <c r="B188" s="868"/>
      <c r="C188" s="333"/>
      <c r="D188" s="230" t="s">
        <v>142</v>
      </c>
      <c r="E188" s="95">
        <f>'23'!F188</f>
        <v>0</v>
      </c>
      <c r="F188" s="159"/>
      <c r="G188" s="377">
        <f>G65+G66+G67+G69+G70</f>
        <v>225</v>
      </c>
      <c r="H188" s="99">
        <f>G188+'23'!H188</f>
        <v>1863</v>
      </c>
      <c r="I188" s="158"/>
      <c r="J188" s="179">
        <f>H188/DAY(B2)</f>
        <v>77.625</v>
      </c>
    </row>
    <row r="189" spans="1:10" ht="25.5">
      <c r="A189" s="867" t="s">
        <v>219</v>
      </c>
      <c r="B189" s="868"/>
      <c r="C189" s="333"/>
      <c r="D189" s="230" t="s">
        <v>142</v>
      </c>
      <c r="E189" s="95">
        <f>'23'!F189</f>
        <v>0</v>
      </c>
      <c r="F189" s="157"/>
      <c r="G189" s="376">
        <f>G181</f>
        <v>99</v>
      </c>
      <c r="H189" s="99">
        <f>G189+'23'!H189</f>
        <v>656</v>
      </c>
      <c r="I189" s="158"/>
      <c r="J189" s="179">
        <f>H189/DAY(B2)</f>
        <v>27.333333333333332</v>
      </c>
    </row>
    <row r="190" spans="1:10" ht="25.5">
      <c r="A190" s="874"/>
      <c r="B190" s="875"/>
      <c r="C190" s="398"/>
      <c r="D190" s="395"/>
      <c r="E190" s="395" t="s">
        <v>207</v>
      </c>
      <c r="F190" s="395"/>
      <c r="G190" s="395"/>
      <c r="H190" s="396"/>
      <c r="I190" s="395"/>
      <c r="J190" s="397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119:C119"/>
    <mergeCell ref="A120:C120"/>
    <mergeCell ref="A121:C121"/>
    <mergeCell ref="A122:C122"/>
    <mergeCell ref="A109:B109"/>
    <mergeCell ref="A111:C111"/>
    <mergeCell ref="A112:C112"/>
    <mergeCell ref="A113:C113"/>
    <mergeCell ref="A102:C102"/>
    <mergeCell ref="A97:C97"/>
    <mergeCell ref="A98:C98"/>
    <mergeCell ref="A99:C99"/>
    <mergeCell ref="A100:C100"/>
    <mergeCell ref="A101:C101"/>
    <mergeCell ref="A61:C61"/>
    <mergeCell ref="A62:C62"/>
    <mergeCell ref="A63:C63"/>
    <mergeCell ref="A71:C71"/>
    <mergeCell ref="A72:B72"/>
    <mergeCell ref="A93:C93"/>
    <mergeCell ref="A94:C94"/>
    <mergeCell ref="A76:C76"/>
    <mergeCell ref="A77:C77"/>
    <mergeCell ref="A79:C79"/>
    <mergeCell ref="A80:C80"/>
    <mergeCell ref="A81:C81"/>
    <mergeCell ref="A78:C78"/>
    <mergeCell ref="A73:C73"/>
    <mergeCell ref="A74:C74"/>
    <mergeCell ref="A75:C75"/>
    <mergeCell ref="A64:C64"/>
    <mergeCell ref="A65:C65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14:C114"/>
    <mergeCell ref="A115:C115"/>
    <mergeCell ref="A116:C116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3:B183"/>
    <mergeCell ref="A184:B184"/>
    <mergeCell ref="A181:B181"/>
    <mergeCell ref="A182:B182"/>
    <mergeCell ref="A185:B185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R1701"/>
  <sheetViews>
    <sheetView view="pageBreakPreview" topLeftCell="A130" zoomScale="55" zoomScaleNormal="49" zoomScaleSheetLayoutView="55" workbookViewId="0">
      <selection activeCell="F187" sqref="F187"/>
    </sheetView>
  </sheetViews>
  <sheetFormatPr defaultColWidth="22.33203125" defaultRowHeight="21.95" customHeight="1"/>
  <cols>
    <col min="1" max="1" width="40.5546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19" t="s">
        <v>115</v>
      </c>
      <c r="B1" s="920"/>
      <c r="C1" s="920"/>
      <c r="D1" s="920"/>
      <c r="E1" s="920"/>
      <c r="F1" s="920"/>
      <c r="G1" s="920"/>
      <c r="H1" s="920"/>
      <c r="I1" s="920"/>
      <c r="J1" s="921"/>
    </row>
    <row r="2" spans="1:15" s="57" customFormat="1" ht="23.25">
      <c r="A2" s="191" t="s">
        <v>354</v>
      </c>
      <c r="B2" s="262">
        <v>44951</v>
      </c>
      <c r="C2" s="348" t="s">
        <v>67</v>
      </c>
      <c r="D2" s="218">
        <v>0.3861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28</v>
      </c>
      <c r="E3" s="928" t="s">
        <v>119</v>
      </c>
      <c r="F3" s="929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22" t="s">
        <v>128</v>
      </c>
      <c r="B6" s="923"/>
      <c r="C6" s="92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'24'!F7</f>
        <v>472453.07</v>
      </c>
      <c r="F7" s="95">
        <v>491685.11</v>
      </c>
      <c r="G7" s="112">
        <f>F7-E7</f>
        <v>19232.039999999979</v>
      </c>
      <c r="H7" s="99">
        <f>G7+'24'!H7</f>
        <v>514066.11</v>
      </c>
      <c r="I7" s="113">
        <f>'1'!I7</f>
        <v>12000</v>
      </c>
      <c r="J7" s="175">
        <f>H7/DAY(B2)</f>
        <v>20562.644400000001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'24'!F8</f>
        <v>662354.51</v>
      </c>
      <c r="F8" s="114">
        <v>682059.91</v>
      </c>
      <c r="G8" s="115">
        <f>F8-E8</f>
        <v>19705.400000000023</v>
      </c>
      <c r="H8" s="99">
        <f>G8+'24'!H8</f>
        <v>524202.91000000003</v>
      </c>
      <c r="I8" s="116"/>
      <c r="J8" s="175">
        <f>H8/DAY(B2)</f>
        <v>20968.116400000003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'24'!F9</f>
        <v>4741474.7</v>
      </c>
      <c r="F9" s="468">
        <v>4752695.5</v>
      </c>
      <c r="G9" s="112">
        <f>F9-E9</f>
        <v>11220.799999999814</v>
      </c>
      <c r="H9" s="99">
        <f>G9+'24'!H9</f>
        <v>336089.59999999963</v>
      </c>
      <c r="I9" s="124">
        <f>I7-J7</f>
        <v>-8562.644400000001</v>
      </c>
      <c r="J9" s="175">
        <f>H9/DAY(B2)</f>
        <v>13443.583999999984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'24'!F10</f>
        <v>4228134.7</v>
      </c>
      <c r="F10" s="353">
        <v>4235612.3</v>
      </c>
      <c r="G10" s="112">
        <f t="shared" ref="G10:G12" si="0">F10-E10</f>
        <v>7477.5999999996275</v>
      </c>
      <c r="H10" s="99">
        <f>G10+'24'!H10</f>
        <v>165576</v>
      </c>
      <c r="I10" s="282"/>
      <c r="J10" s="175">
        <f>H10/DAY(B2)</f>
        <v>6623.04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'24'!F11</f>
        <v>38700</v>
      </c>
      <c r="F11" s="95">
        <v>38700</v>
      </c>
      <c r="G11" s="112">
        <f t="shared" si="0"/>
        <v>0</v>
      </c>
      <c r="H11" s="99">
        <f>G11+'24'!H11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'24'!F12</f>
        <v>40550</v>
      </c>
      <c r="F12" s="117">
        <v>40550</v>
      </c>
      <c r="G12" s="112">
        <f t="shared" si="0"/>
        <v>0</v>
      </c>
      <c r="H12" s="99">
        <f>G12+'24'!H12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18698.399999999441</v>
      </c>
      <c r="H13" s="99">
        <f>G13+'24'!H13</f>
        <v>501665.59999999963</v>
      </c>
      <c r="I13" s="120">
        <f>G7-G13</f>
        <v>533.64000000053784</v>
      </c>
      <c r="J13" s="175">
        <f>H13/DAY(B2)</f>
        <v>20066.623999999985</v>
      </c>
      <c r="K13" s="79"/>
      <c r="L13" s="66"/>
      <c r="N13" s="87"/>
      <c r="O13" s="71"/>
    </row>
    <row r="14" spans="1:15" ht="26.25">
      <c r="A14" s="925" t="s">
        <v>137</v>
      </c>
      <c r="B14" s="926"/>
      <c r="C14" s="92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'24'!F15</f>
        <v>2280505.91</v>
      </c>
      <c r="F15" s="468">
        <v>2281693.7999999998</v>
      </c>
      <c r="G15" s="112">
        <f>(F15-E15)</f>
        <v>1187.8899999996647</v>
      </c>
      <c r="H15" s="99">
        <f>G15+'24'!H15</f>
        <v>28392.441999999806</v>
      </c>
      <c r="I15" s="113">
        <f>'1'!I15</f>
        <v>800</v>
      </c>
      <c r="J15" s="175">
        <f>H15/DAY(B2)</f>
        <v>1135.6976799999923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-335.69767999999226</v>
      </c>
      <c r="J16" s="176"/>
      <c r="K16" s="79"/>
      <c r="L16" s="66"/>
      <c r="N16" s="87"/>
      <c r="O16" s="71"/>
    </row>
    <row r="17" spans="1:15" ht="26.25">
      <c r="A17" s="925" t="s">
        <v>140</v>
      </c>
      <c r="B17" s="926"/>
      <c r="C17" s="92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02" t="s">
        <v>141</v>
      </c>
      <c r="B18" s="903"/>
      <c r="C18" s="904"/>
      <c r="D18" s="151" t="s">
        <v>142</v>
      </c>
      <c r="E18" s="95">
        <f>'24'!F18</f>
        <v>24</v>
      </c>
      <c r="F18" s="122">
        <v>24</v>
      </c>
      <c r="G18" s="119">
        <f>F18*10</f>
        <v>240</v>
      </c>
      <c r="H18" s="99">
        <f>G18+'24'!H18</f>
        <v>5330</v>
      </c>
      <c r="I18" s="113">
        <f>'1'!I18</f>
        <v>65</v>
      </c>
      <c r="J18" s="175">
        <f>H18/DAY(B2)</f>
        <v>213.2</v>
      </c>
      <c r="K18" s="79"/>
      <c r="L18" s="66"/>
      <c r="N18" s="87"/>
      <c r="O18" s="71"/>
    </row>
    <row r="19" spans="1:15" ht="25.5">
      <c r="A19" s="902" t="s">
        <v>69</v>
      </c>
      <c r="B19" s="903"/>
      <c r="C19" s="904"/>
      <c r="D19" s="151" t="s">
        <v>142</v>
      </c>
      <c r="E19" s="95">
        <f>'24'!F19</f>
        <v>170930</v>
      </c>
      <c r="F19" s="122">
        <v>170984</v>
      </c>
      <c r="G19" s="112">
        <f t="shared" ref="G19" si="1">F19-E19</f>
        <v>54</v>
      </c>
      <c r="H19" s="99">
        <f>G19+'24'!H19</f>
        <v>1419</v>
      </c>
      <c r="I19" s="335"/>
      <c r="J19" s="175">
        <f>H19/DAY(B2)</f>
        <v>56.76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294</v>
      </c>
      <c r="H20" s="99">
        <f>G20+'24'!H20</f>
        <v>6749</v>
      </c>
      <c r="I20" s="336">
        <f>I18-J20</f>
        <v>-204.95999999999998</v>
      </c>
      <c r="J20" s="175">
        <f>H20/DAY(B2)</f>
        <v>269.95999999999998</v>
      </c>
      <c r="K20" s="79"/>
      <c r="L20" s="66"/>
      <c r="N20" s="87"/>
      <c r="O20" s="71"/>
    </row>
    <row r="21" spans="1:15" ht="26.25">
      <c r="A21" s="925" t="s">
        <v>144</v>
      </c>
      <c r="B21" s="926"/>
      <c r="C21" s="92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'24'!F22</f>
        <v>2970</v>
      </c>
      <c r="F22" s="122">
        <v>2970</v>
      </c>
      <c r="G22" s="119">
        <f t="shared" ref="G22" si="2">(F22-E22)</f>
        <v>0</v>
      </c>
      <c r="H22" s="99">
        <f>G22+'24'!H22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'24'!F23</f>
        <v>1860</v>
      </c>
      <c r="F23" s="122">
        <v>1860</v>
      </c>
      <c r="G23" s="119">
        <v>0</v>
      </c>
      <c r="H23" s="99">
        <f>G23+'24'!H23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'24'!F24</f>
        <v>4830</v>
      </c>
      <c r="F24" s="128">
        <v>4830</v>
      </c>
      <c r="G24" s="119">
        <v>0</v>
      </c>
      <c r="H24" s="99">
        <f>G24+'24'!H24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30" t="s">
        <v>149</v>
      </c>
      <c r="B25" s="931"/>
      <c r="C25" s="93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19705.400000000023</v>
      </c>
      <c r="F27" s="136">
        <v>9</v>
      </c>
      <c r="G27" s="137">
        <f>E27*F27</f>
        <v>177348.60000000021</v>
      </c>
      <c r="H27" s="99">
        <f>G27+'24'!H27</f>
        <v>4947980.3899999997</v>
      </c>
      <c r="I27" s="138"/>
      <c r="J27" s="175">
        <f>H27/DAY(B2)</f>
        <v>197919.2156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1187.8899999996647</v>
      </c>
      <c r="F28" s="136">
        <v>70</v>
      </c>
      <c r="G28" s="137">
        <f>E28*F28</f>
        <v>83152.299999976531</v>
      </c>
      <c r="H28" s="99">
        <f>G28+'24'!H28</f>
        <v>1948873.1499999855</v>
      </c>
      <c r="I28" s="140"/>
      <c r="J28" s="175">
        <f>H28/DAY(B2)</f>
        <v>77954.925999999425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G29+'24'!H29</f>
        <v>6900</v>
      </c>
      <c r="I29" s="140"/>
      <c r="J29" s="175">
        <f>H29/DAY(B2)</f>
        <v>276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151</v>
      </c>
      <c r="G30" s="137">
        <f>E30*F30</f>
        <v>8154</v>
      </c>
      <c r="H30" s="99">
        <f>G30+'24'!H30</f>
        <v>214269</v>
      </c>
      <c r="I30" s="140"/>
      <c r="J30" s="175">
        <f>H30/DAY(B2)</f>
        <v>8570.76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G31+'24'!H31</f>
        <v>436600</v>
      </c>
      <c r="I31" s="140"/>
      <c r="J31" s="175">
        <f>H31/DAY(B2)</f>
        <v>17464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287854.89999997674</v>
      </c>
      <c r="H32" s="99">
        <f>G32+'24'!H32</f>
        <v>7554622.5399999861</v>
      </c>
      <c r="I32" s="144"/>
      <c r="J32" s="175">
        <f>H32/DAY(B2)</f>
        <v>302184.90159999946</v>
      </c>
      <c r="K32" s="63"/>
      <c r="L32" s="89"/>
      <c r="N32" s="87"/>
      <c r="O32" s="71"/>
    </row>
    <row r="33" spans="1:15" ht="25.5">
      <c r="A33" s="933" t="s">
        <v>331</v>
      </c>
      <c r="B33" s="934"/>
      <c r="C33" s="93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'24'!F35</f>
        <v>513735.63</v>
      </c>
      <c r="F35" s="145">
        <v>515778</v>
      </c>
      <c r="G35" s="112">
        <f t="shared" ref="G35:G46" si="3">F35-E35</f>
        <v>2042.3699999999953</v>
      </c>
      <c r="H35" s="99">
        <f>G35+'24'!H35</f>
        <v>61260.010000000009</v>
      </c>
      <c r="I35" s="95"/>
      <c r="J35" s="175">
        <f>H35/DAY(B2)</f>
        <v>2450.4004000000004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'24'!F36</f>
        <v>374867.63</v>
      </c>
      <c r="F36" s="145">
        <v>375773</v>
      </c>
      <c r="G36" s="112">
        <f t="shared" si="3"/>
        <v>905.36999999999534</v>
      </c>
      <c r="H36" s="99">
        <f>G36+'24'!H36</f>
        <v>21684.099999999977</v>
      </c>
      <c r="I36" s="95"/>
      <c r="J36" s="175">
        <f>H36/DAY(B2)</f>
        <v>867.36399999999912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'24'!F37</f>
        <v>373565.79</v>
      </c>
      <c r="F37" s="145">
        <v>375018</v>
      </c>
      <c r="G37" s="112">
        <f t="shared" si="3"/>
        <v>1452.210000000021</v>
      </c>
      <c r="H37" s="99">
        <f>G37+'24'!H37</f>
        <v>36748.130000000005</v>
      </c>
      <c r="I37" s="95"/>
      <c r="J37" s="175">
        <f>H37/DAY(B2)</f>
        <v>1469.9252000000001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'24'!F38</f>
        <v>858273.83</v>
      </c>
      <c r="F38" s="108">
        <v>860910</v>
      </c>
      <c r="G38" s="112">
        <f t="shared" si="3"/>
        <v>2636.1700000000419</v>
      </c>
      <c r="H38" s="99">
        <f>G38+'24'!H38</f>
        <v>61232.650000000023</v>
      </c>
      <c r="I38" s="95"/>
      <c r="J38" s="175">
        <f>H38/DAY(B2)</f>
        <v>2449.3060000000009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'24'!F39</f>
        <v>686825.27</v>
      </c>
      <c r="F39" s="145">
        <v>689590</v>
      </c>
      <c r="G39" s="112">
        <f t="shared" si="3"/>
        <v>2764.7299999999814</v>
      </c>
      <c r="H39" s="99">
        <f>G39+'24'!H39</f>
        <v>69300</v>
      </c>
      <c r="I39" s="95"/>
      <c r="J39" s="175">
        <f>H39/DAY(B2)</f>
        <v>2772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'24'!F40</f>
        <v>216303.39</v>
      </c>
      <c r="F40" s="145">
        <v>216509</v>
      </c>
      <c r="G40" s="112">
        <f t="shared" si="3"/>
        <v>205.60999999998603</v>
      </c>
      <c r="H40" s="99">
        <f>G40+'24'!H40</f>
        <v>6822.6499999999942</v>
      </c>
      <c r="I40" s="95"/>
      <c r="J40" s="175">
        <f>H40/DAY(B2)</f>
        <v>272.90599999999978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'24'!F41</f>
        <v>420212.51</v>
      </c>
      <c r="F41" s="145">
        <v>420212.51</v>
      </c>
      <c r="G41" s="112">
        <f t="shared" si="3"/>
        <v>0</v>
      </c>
      <c r="H41" s="99">
        <f>G41+'24'!H41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'24'!F42</f>
        <v>970677.03</v>
      </c>
      <c r="F42" s="145">
        <v>970677</v>
      </c>
      <c r="G42" s="112">
        <f t="shared" si="3"/>
        <v>-3.0000000027939677E-2</v>
      </c>
      <c r="H42" s="99">
        <f>G42+'24'!H42</f>
        <v>49722.5</v>
      </c>
      <c r="I42" s="95"/>
      <c r="J42" s="175">
        <f>H42/DAY(B2)</f>
        <v>1988.9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'24'!F43</f>
        <v>422444</v>
      </c>
      <c r="F43" s="145">
        <v>422444</v>
      </c>
      <c r="G43" s="112">
        <f t="shared" si="3"/>
        <v>0</v>
      </c>
      <c r="H43" s="99">
        <f>G43+'24'!H43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'24'!F44</f>
        <v>0</v>
      </c>
      <c r="F44" s="145">
        <v>0</v>
      </c>
      <c r="G44" s="112">
        <f t="shared" si="3"/>
        <v>0</v>
      </c>
      <c r="H44" s="99">
        <f>G44+'24'!H44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'24'!F45</f>
        <v>0</v>
      </c>
      <c r="F45" s="145">
        <v>0</v>
      </c>
      <c r="G45" s="112">
        <f t="shared" si="3"/>
        <v>0</v>
      </c>
      <c r="H45" s="99">
        <f>G45+'24'!H45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'24'!F46</f>
        <v>0</v>
      </c>
      <c r="F46" s="145">
        <v>0</v>
      </c>
      <c r="G46" s="112">
        <f t="shared" si="3"/>
        <v>0</v>
      </c>
      <c r="H46" s="99">
        <f>G46+'24'!H46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10006.429999999993</v>
      </c>
      <c r="H47" s="99">
        <f>G47+'24'!H47</f>
        <v>306770.04000000004</v>
      </c>
      <c r="I47" s="95"/>
      <c r="J47" s="175">
        <f>H47/DAY(B2)</f>
        <v>12270.801600000001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'24'!F49</f>
        <v>819335.67</v>
      </c>
      <c r="F49" s="145">
        <v>819847</v>
      </c>
      <c r="G49" s="112">
        <f t="shared" ref="G49:G58" si="4">F49-E49</f>
        <v>511.32999999995809</v>
      </c>
      <c r="H49" s="99">
        <f>G49+'24'!H49</f>
        <v>13342.849999999977</v>
      </c>
      <c r="I49" s="95"/>
      <c r="J49" s="175">
        <f>H49/DAY(B2)</f>
        <v>533.71399999999903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'24'!F50</f>
        <v>533149.31000000006</v>
      </c>
      <c r="F50" s="145">
        <v>534260</v>
      </c>
      <c r="G50" s="112">
        <f t="shared" si="4"/>
        <v>1110.6899999999441</v>
      </c>
      <c r="H50" s="99">
        <f>G50+'24'!H50</f>
        <v>33107</v>
      </c>
      <c r="I50" s="95"/>
      <c r="J50" s="175">
        <f>H50/DAY(B2)</f>
        <v>1324.28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'24'!F51</f>
        <v>156958.44</v>
      </c>
      <c r="F51" s="145">
        <v>156958</v>
      </c>
      <c r="G51" s="112">
        <f t="shared" si="4"/>
        <v>-0.44000000000232831</v>
      </c>
      <c r="H51" s="99">
        <f>G51+'24'!H51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'24'!F52</f>
        <v>1457.43</v>
      </c>
      <c r="F52" s="145">
        <v>1457</v>
      </c>
      <c r="G52" s="112">
        <f t="shared" si="4"/>
        <v>-0.43000000000006366</v>
      </c>
      <c r="H52" s="99">
        <f>G52+'24'!H52</f>
        <v>1447</v>
      </c>
      <c r="I52" s="95"/>
      <c r="J52" s="175">
        <f>H52/DAY(B2)</f>
        <v>57.88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'24'!F53</f>
        <v>630355</v>
      </c>
      <c r="F53" s="145">
        <v>630355</v>
      </c>
      <c r="G53" s="112">
        <f t="shared" si="4"/>
        <v>0</v>
      </c>
      <c r="H53" s="99">
        <f>G53+'24'!H53</f>
        <v>-3.0000000027939677E-2</v>
      </c>
      <c r="I53" s="95"/>
      <c r="J53" s="175">
        <f>H53/DAY(B2)</f>
        <v>-1.200000001117587E-3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'24'!F54</f>
        <v>122071.54</v>
      </c>
      <c r="F54" s="145">
        <v>122425</v>
      </c>
      <c r="G54" s="112">
        <f t="shared" si="4"/>
        <v>353.4600000000064</v>
      </c>
      <c r="H54" s="99">
        <f>G54+'24'!H54</f>
        <v>7827.8699999999953</v>
      </c>
      <c r="I54" s="95"/>
      <c r="J54" s="175">
        <f>H54/DAY(B2)</f>
        <v>313.11479999999983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'24'!F55</f>
        <v>581566.51</v>
      </c>
      <c r="F55" s="145">
        <v>584388</v>
      </c>
      <c r="G55" s="112">
        <f t="shared" si="4"/>
        <v>2821.4899999999907</v>
      </c>
      <c r="H55" s="99">
        <f>G55+'24'!H55</f>
        <v>8052.3699999999953</v>
      </c>
      <c r="I55" s="95"/>
      <c r="J55" s="175">
        <f>H55/DAY(B2)</f>
        <v>322.09479999999979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'24'!F56</f>
        <v>363252.91</v>
      </c>
      <c r="F56" s="145">
        <v>363252.9</v>
      </c>
      <c r="G56" s="112">
        <f t="shared" si="4"/>
        <v>-9.9999999511055648E-3</v>
      </c>
      <c r="H56" s="99">
        <f>G56+'24'!H56</f>
        <v>28026.690000000002</v>
      </c>
      <c r="I56" s="95"/>
      <c r="J56" s="175">
        <f>H56/DAY(B2)</f>
        <v>1121.0676000000001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'24'!F57</f>
        <v>690549.03</v>
      </c>
      <c r="F57" s="145">
        <v>692918.7</v>
      </c>
      <c r="G57" s="112">
        <f t="shared" si="4"/>
        <v>2369.6699999999255</v>
      </c>
      <c r="H57" s="99">
        <f>G57+'24'!H57</f>
        <v>62085.699999999953</v>
      </c>
      <c r="I57" s="95"/>
      <c r="J57" s="175">
        <f>H57/DAY(B2)</f>
        <v>2483.4279999999981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'24'!F58</f>
        <v>92751.83</v>
      </c>
      <c r="F58" s="145">
        <v>93005</v>
      </c>
      <c r="G58" s="112">
        <f t="shared" si="4"/>
        <v>253.16999999999825</v>
      </c>
      <c r="H58" s="99">
        <f>G58+'24'!H58</f>
        <v>6444.5010000000038</v>
      </c>
      <c r="I58" s="95"/>
      <c r="J58" s="175">
        <f>H58/DAY(B2)</f>
        <v>257.78004000000016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7418.9299999998693</v>
      </c>
      <c r="H59" s="99">
        <f>G59+'24'!H59</f>
        <v>160333.95099999991</v>
      </c>
      <c r="I59" s="95">
        <f>G7-G60</f>
        <v>1806.6800000001167</v>
      </c>
      <c r="J59" s="175">
        <f>H59/DAY(B2)</f>
        <v>6413.3580399999964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17425.359999999862</v>
      </c>
      <c r="H60" s="99">
        <f>G60+'24'!H60</f>
        <v>467103.99099999992</v>
      </c>
      <c r="I60" s="95">
        <f>G13-G60</f>
        <v>1273.0399999995789</v>
      </c>
      <c r="J60" s="175">
        <f>H60/DAY(B2)</f>
        <v>18684.159639999998</v>
      </c>
      <c r="K60" s="79"/>
      <c r="L60" s="66"/>
      <c r="N60" s="87"/>
      <c r="O60" s="71"/>
    </row>
    <row r="61" spans="1:15" s="68" customFormat="1" ht="26.25">
      <c r="A61" s="935" t="s">
        <v>332</v>
      </c>
      <c r="B61" s="936"/>
      <c r="C61" s="93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02" t="s">
        <v>198</v>
      </c>
      <c r="B62" s="903"/>
      <c r="C62" s="904"/>
      <c r="D62" s="151" t="s">
        <v>142</v>
      </c>
      <c r="E62" s="95">
        <f>'24'!F62</f>
        <v>314646.8</v>
      </c>
      <c r="F62" s="122">
        <v>314773.40000000002</v>
      </c>
      <c r="G62" s="112">
        <f t="shared" ref="G62:G63" si="5">F62-E62</f>
        <v>126.60000000003492</v>
      </c>
      <c r="H62" s="99">
        <f>G62+'24'!H62</f>
        <v>2673.4000000000233</v>
      </c>
      <c r="I62" s="118"/>
      <c r="J62" s="175">
        <f>H62/DAY(B2)</f>
        <v>106.93600000000093</v>
      </c>
      <c r="K62" s="80"/>
      <c r="L62" s="66"/>
      <c r="N62" s="87"/>
      <c r="O62" s="71"/>
    </row>
    <row r="63" spans="1:15" ht="25.5">
      <c r="A63" s="902" t="s">
        <v>199</v>
      </c>
      <c r="B63" s="903"/>
      <c r="C63" s="904"/>
      <c r="D63" s="151" t="s">
        <v>142</v>
      </c>
      <c r="E63" s="95">
        <f>'24'!F63</f>
        <v>251568</v>
      </c>
      <c r="F63" s="122">
        <v>251695</v>
      </c>
      <c r="G63" s="112">
        <f t="shared" si="5"/>
        <v>127</v>
      </c>
      <c r="H63" s="99">
        <f>G63+'24'!H63</f>
        <v>2660</v>
      </c>
      <c r="I63" s="118"/>
      <c r="J63" s="175">
        <f>H63/DAY(B2)</f>
        <v>106.4</v>
      </c>
      <c r="K63" s="69"/>
      <c r="L63" s="66"/>
      <c r="N63" s="87"/>
      <c r="O63" s="71"/>
    </row>
    <row r="64" spans="1:15" ht="26.25">
      <c r="A64" s="911" t="s">
        <v>200</v>
      </c>
      <c r="B64" s="912"/>
      <c r="C64" s="913"/>
      <c r="D64" s="151"/>
      <c r="E64" s="95">
        <f>'24'!F64</f>
        <v>0</v>
      </c>
      <c r="F64" s="122"/>
      <c r="G64" s="112">
        <f>G62+G63</f>
        <v>253.60000000003492</v>
      </c>
      <c r="H64" s="99">
        <f>G64+'24'!H64</f>
        <v>5333.4000000000233</v>
      </c>
      <c r="I64" s="118"/>
      <c r="J64" s="175">
        <f>H64/DAY(B2)</f>
        <v>213.33600000000092</v>
      </c>
      <c r="K64" s="69"/>
      <c r="L64" s="66"/>
      <c r="N64" s="87"/>
      <c r="O64" s="71"/>
    </row>
    <row r="65" spans="1:15" ht="25.5">
      <c r="A65" s="902" t="s">
        <v>201</v>
      </c>
      <c r="B65" s="903"/>
      <c r="C65" s="904"/>
      <c r="D65" s="151" t="s">
        <v>142</v>
      </c>
      <c r="E65" s="95">
        <f>'24'!F65</f>
        <v>475053</v>
      </c>
      <c r="F65" s="122">
        <v>475164</v>
      </c>
      <c r="G65" s="112">
        <f t="shared" ref="G65:G70" si="6">F65-E65</f>
        <v>111</v>
      </c>
      <c r="H65" s="99">
        <f>G65+'24'!H65</f>
        <v>3134</v>
      </c>
      <c r="I65" s="118"/>
      <c r="J65" s="175">
        <f>H65/DAY(B2)</f>
        <v>125.36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'24'!F66</f>
        <v>114186</v>
      </c>
      <c r="F66" s="122">
        <v>114229</v>
      </c>
      <c r="G66" s="112">
        <f t="shared" si="6"/>
        <v>43</v>
      </c>
      <c r="H66" s="99">
        <f>G66+'24'!H66</f>
        <v>1507</v>
      </c>
      <c r="I66" s="118"/>
      <c r="J66" s="175">
        <f>H66/DAY(B2)</f>
        <v>60.28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'24'!F67</f>
        <v>117119</v>
      </c>
      <c r="F67" s="122">
        <v>117138</v>
      </c>
      <c r="G67" s="112">
        <f t="shared" si="6"/>
        <v>19</v>
      </c>
      <c r="H67" s="99">
        <f>G67+'24'!H67</f>
        <v>571</v>
      </c>
      <c r="I67" s="118"/>
      <c r="J67" s="175">
        <f>H67/DAY(B2)</f>
        <v>22.84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'24'!F68</f>
        <v>169832</v>
      </c>
      <c r="F68" s="122">
        <v>169846</v>
      </c>
      <c r="G68" s="112">
        <f t="shared" si="6"/>
        <v>14</v>
      </c>
      <c r="H68" s="99">
        <f>G68+'24'!H68</f>
        <v>487</v>
      </c>
      <c r="I68" s="118"/>
      <c r="J68" s="175">
        <f>H68/DAY(B2)</f>
        <v>19.48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'24'!F69</f>
        <v>13094</v>
      </c>
      <c r="F69" s="122">
        <v>13098</v>
      </c>
      <c r="G69" s="112">
        <f t="shared" si="6"/>
        <v>4</v>
      </c>
      <c r="H69" s="99">
        <f>G69+'24'!H69</f>
        <v>132</v>
      </c>
      <c r="I69" s="118"/>
      <c r="J69" s="175">
        <f>H69/DAY(B2)</f>
        <v>5.28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'24'!F70</f>
        <v>11208</v>
      </c>
      <c r="F70" s="122">
        <v>11213</v>
      </c>
      <c r="G70" s="112">
        <f t="shared" si="6"/>
        <v>5</v>
      </c>
      <c r="H70" s="99">
        <f>G70+'24'!H70</f>
        <v>197</v>
      </c>
      <c r="I70" s="118"/>
      <c r="J70" s="175">
        <f>H70/DAY(B2)</f>
        <v>7.88</v>
      </c>
      <c r="K70" s="69"/>
      <c r="L70" s="66"/>
      <c r="N70" s="87"/>
      <c r="O70" s="71"/>
    </row>
    <row r="71" spans="1:15" ht="26.25">
      <c r="A71" s="911" t="s">
        <v>208</v>
      </c>
      <c r="B71" s="912"/>
      <c r="C71" s="913"/>
      <c r="D71" s="152"/>
      <c r="E71" s="152"/>
      <c r="F71" s="152"/>
      <c r="G71" s="153">
        <f>SUM(G65:G70)</f>
        <v>196</v>
      </c>
      <c r="H71" s="99">
        <f>G71+'24'!H71</f>
        <v>6028</v>
      </c>
      <c r="I71" s="154"/>
      <c r="J71" s="175">
        <f>H71/DAY(B2)</f>
        <v>241.12</v>
      </c>
      <c r="K71" s="69"/>
      <c r="L71" s="66"/>
      <c r="N71" s="87"/>
      <c r="O71" s="71"/>
    </row>
    <row r="72" spans="1:15" s="88" customFormat="1" ht="25.5">
      <c r="A72" s="898"/>
      <c r="B72" s="88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08" t="s">
        <v>333</v>
      </c>
      <c r="B73" s="909"/>
      <c r="C73" s="910"/>
      <c r="D73" s="339"/>
      <c r="E73" s="339"/>
      <c r="F73" s="233"/>
      <c r="G73" s="235"/>
      <c r="H73" s="342"/>
      <c r="I73" s="342"/>
      <c r="J73" s="343"/>
      <c r="K73" s="69"/>
      <c r="L73" s="66"/>
      <c r="N73" s="87"/>
      <c r="O73" s="71"/>
    </row>
    <row r="74" spans="1:15" ht="25.5">
      <c r="A74" s="902" t="s">
        <v>220</v>
      </c>
      <c r="B74" s="903"/>
      <c r="C74" s="904"/>
      <c r="D74" s="151" t="s">
        <v>139</v>
      </c>
      <c r="E74" s="95">
        <f>'24'!F74</f>
        <v>10027</v>
      </c>
      <c r="F74" s="409">
        <v>10374.379999999999</v>
      </c>
      <c r="G74" s="236">
        <f t="shared" ref="G74:G78" si="7">F74-E74</f>
        <v>347.3799999999992</v>
      </c>
      <c r="H74" s="99">
        <f>G74+'24'!H74</f>
        <v>4185.3799999999992</v>
      </c>
      <c r="I74" s="154"/>
      <c r="J74" s="175">
        <f>H74/DAY(B2)</f>
        <v>167.41519999999997</v>
      </c>
      <c r="K74" s="69"/>
      <c r="L74" s="66"/>
      <c r="N74" s="87"/>
      <c r="O74" s="71"/>
    </row>
    <row r="75" spans="1:15" ht="25.5">
      <c r="A75" s="902" t="s">
        <v>221</v>
      </c>
      <c r="B75" s="903"/>
      <c r="C75" s="904"/>
      <c r="D75" s="151" t="s">
        <v>139</v>
      </c>
      <c r="E75" s="95">
        <f>'24'!F75</f>
        <v>73586.8</v>
      </c>
      <c r="F75" s="409">
        <v>73586.8</v>
      </c>
      <c r="G75" s="236">
        <f t="shared" si="7"/>
        <v>0</v>
      </c>
      <c r="H75" s="99">
        <f>G75+'24'!H75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899" t="s">
        <v>222</v>
      </c>
      <c r="B76" s="900"/>
      <c r="C76" s="901"/>
      <c r="D76" s="151" t="s">
        <v>139</v>
      </c>
      <c r="E76" s="95">
        <f>'24'!F76</f>
        <v>209910</v>
      </c>
      <c r="F76" s="409">
        <v>210030</v>
      </c>
      <c r="G76" s="236">
        <f t="shared" si="7"/>
        <v>120</v>
      </c>
      <c r="H76" s="99">
        <f>G76+'24'!H76</f>
        <v>2653</v>
      </c>
      <c r="I76" s="154"/>
      <c r="J76" s="175">
        <f>H76/DAY(B2)</f>
        <v>106.12</v>
      </c>
      <c r="K76" s="69"/>
      <c r="L76" s="66"/>
      <c r="N76" s="87"/>
      <c r="O76" s="71"/>
    </row>
    <row r="77" spans="1:15" ht="25.5">
      <c r="A77" s="899" t="s">
        <v>223</v>
      </c>
      <c r="B77" s="900"/>
      <c r="C77" s="901"/>
      <c r="D77" s="151" t="s">
        <v>139</v>
      </c>
      <c r="E77" s="95">
        <f>'24'!F77</f>
        <v>59381</v>
      </c>
      <c r="F77" s="409">
        <v>59436</v>
      </c>
      <c r="G77" s="236">
        <f t="shared" si="7"/>
        <v>55</v>
      </c>
      <c r="H77" s="99">
        <f>G77+'24'!H77</f>
        <v>1284</v>
      </c>
      <c r="I77" s="154"/>
      <c r="J77" s="175">
        <f>H77/DAY(B2)</f>
        <v>51.36</v>
      </c>
      <c r="K77" s="69"/>
      <c r="L77" s="66"/>
      <c r="N77" s="87"/>
      <c r="O77" s="71"/>
    </row>
    <row r="78" spans="1:15" ht="25.5">
      <c r="A78" s="899" t="s">
        <v>224</v>
      </c>
      <c r="B78" s="900"/>
      <c r="C78" s="901"/>
      <c r="D78" s="151" t="s">
        <v>139</v>
      </c>
      <c r="E78" s="95">
        <f>'24'!F78</f>
        <v>9564</v>
      </c>
      <c r="F78" s="409">
        <v>9564</v>
      </c>
      <c r="G78" s="236">
        <f t="shared" si="7"/>
        <v>0</v>
      </c>
      <c r="H78" s="99">
        <f>G78+'24'!H78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899" t="s">
        <v>225</v>
      </c>
      <c r="B79" s="900"/>
      <c r="C79" s="901"/>
      <c r="D79" s="151"/>
      <c r="E79" s="95">
        <f>'24'!F79</f>
        <v>0</v>
      </c>
      <c r="F79" s="117"/>
      <c r="G79" s="112">
        <f>G15-SUM(G74:G78)</f>
        <v>665.50999999966552</v>
      </c>
      <c r="H79" s="99">
        <f>G79+'24'!H79</f>
        <v>-973781.93800000008</v>
      </c>
      <c r="I79" s="118"/>
      <c r="J79" s="175"/>
      <c r="K79" s="59"/>
      <c r="L79" s="58"/>
      <c r="N79" s="87"/>
      <c r="O79" s="71"/>
    </row>
    <row r="80" spans="1:15" s="57" customFormat="1" ht="26.25">
      <c r="A80" s="911" t="s">
        <v>329</v>
      </c>
      <c r="B80" s="912"/>
      <c r="C80" s="913"/>
      <c r="D80" s="151"/>
      <c r="E80" s="117"/>
      <c r="F80" s="117"/>
      <c r="G80" s="112">
        <f>SUM(G74:G79)</f>
        <v>1187.8899999996647</v>
      </c>
      <c r="H80" s="99"/>
      <c r="I80" s="118"/>
      <c r="J80" s="175"/>
      <c r="K80" s="59"/>
      <c r="L80" s="58"/>
      <c r="N80" s="87"/>
      <c r="O80" s="71"/>
    </row>
    <row r="81" spans="1:15" ht="25.5">
      <c r="A81" s="915" t="s">
        <v>226</v>
      </c>
      <c r="B81" s="916"/>
      <c r="C81" s="917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'24'!F82</f>
        <v>0</v>
      </c>
      <c r="F82" s="122">
        <v>0</v>
      </c>
      <c r="G82" s="112">
        <f t="shared" ref="G82:G92" si="8">F82-E82</f>
        <v>0</v>
      </c>
      <c r="H82" s="99">
        <f>G82+'24'!H82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'24'!F83</f>
        <v>0</v>
      </c>
      <c r="F83" s="122">
        <v>0</v>
      </c>
      <c r="G83" s="112">
        <f t="shared" si="8"/>
        <v>0</v>
      </c>
      <c r="H83" s="99">
        <f>G83+'24'!H83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405">
        <f>'24'!F84</f>
        <v>43546</v>
      </c>
      <c r="F84" s="164">
        <v>43546</v>
      </c>
      <c r="G84" s="236">
        <f t="shared" si="8"/>
        <v>0</v>
      </c>
      <c r="H84" s="99">
        <f>G84+'24'!H84</f>
        <v>-0.34999999999854481</v>
      </c>
      <c r="I84" s="545"/>
      <c r="J84" s="175">
        <f>H84/DAY(B2)</f>
        <v>-1.3999999999941792E-2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'24'!F85</f>
        <v>6203</v>
      </c>
      <c r="F85" s="164">
        <v>6203</v>
      </c>
      <c r="G85" s="112">
        <f t="shared" si="8"/>
        <v>0</v>
      </c>
      <c r="H85" s="99">
        <f>G85+'24'!H85</f>
        <v>270.55000000000018</v>
      </c>
      <c r="I85" s="545"/>
      <c r="J85" s="175">
        <f>H85/DAY(B2)</f>
        <v>10.822000000000008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'24'!F86</f>
        <v>46877.42</v>
      </c>
      <c r="F86" s="164">
        <v>46901.52</v>
      </c>
      <c r="G86" s="112">
        <f t="shared" si="8"/>
        <v>24.099999999998545</v>
      </c>
      <c r="H86" s="99">
        <f>G86+'24'!H86</f>
        <v>67.519999999996799</v>
      </c>
      <c r="I86" s="545"/>
      <c r="J86" s="175">
        <f>H86/DAY(B2)</f>
        <v>2.7007999999998717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'24'!F87</f>
        <v>37294.42</v>
      </c>
      <c r="F87" s="164">
        <v>37294</v>
      </c>
      <c r="G87" s="112">
        <f t="shared" si="8"/>
        <v>-0.41999999999825377</v>
      </c>
      <c r="H87" s="99">
        <f>G87+'24'!H87</f>
        <v>266</v>
      </c>
      <c r="I87" s="545">
        <f>G84+G85+G86+G87</f>
        <v>23.680000000000291</v>
      </c>
      <c r="J87" s="175">
        <f>H87/DAY(B2)</f>
        <v>10.64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'24'!F88</f>
        <v>24709.24</v>
      </c>
      <c r="F88" s="164">
        <v>24717.7</v>
      </c>
      <c r="G88" s="112">
        <f t="shared" si="8"/>
        <v>8.4599999999991269</v>
      </c>
      <c r="H88" s="99">
        <f>G88+'24'!H88</f>
        <v>114.10000000000218</v>
      </c>
      <c r="I88" s="545"/>
      <c r="J88" s="175">
        <f>H88/DAY(B2)</f>
        <v>4.5640000000000871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'24'!F89</f>
        <v>28980.77</v>
      </c>
      <c r="F89" s="164">
        <v>28986.7</v>
      </c>
      <c r="G89" s="112">
        <f t="shared" si="8"/>
        <v>5.930000000000291</v>
      </c>
      <c r="H89" s="99">
        <f>G89+'24'!H89</f>
        <v>238.31000000000131</v>
      </c>
      <c r="I89" s="545">
        <f>G88+G89</f>
        <v>14.389999999999418</v>
      </c>
      <c r="J89" s="175">
        <f>H89/DAY(B2)</f>
        <v>9.5324000000000524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'24'!F90</f>
        <v>74399.55</v>
      </c>
      <c r="F90" s="164">
        <v>74407.100000000006</v>
      </c>
      <c r="G90" s="112">
        <f t="shared" si="8"/>
        <v>7.5500000000029104</v>
      </c>
      <c r="H90" s="99">
        <f>G90+'24'!H90</f>
        <v>203.92000000001281</v>
      </c>
      <c r="I90" s="545">
        <f>G90</f>
        <v>7.5500000000029104</v>
      </c>
      <c r="J90" s="175">
        <f>H90/DAY(B2)</f>
        <v>8.1568000000005121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'24'!F91</f>
        <v>5618.21</v>
      </c>
      <c r="F91" s="122">
        <v>5618.21</v>
      </c>
      <c r="G91" s="112">
        <f t="shared" si="8"/>
        <v>0</v>
      </c>
      <c r="H91" s="99">
        <f>G91+'24'!H91</f>
        <v>0</v>
      </c>
      <c r="I91" s="546"/>
      <c r="J91" s="175">
        <f>H91/DAY(B2)</f>
        <v>0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'24'!F92</f>
        <v>7351.26</v>
      </c>
      <c r="F92" s="122">
        <v>7363.57</v>
      </c>
      <c r="G92" s="112">
        <f t="shared" si="8"/>
        <v>12.309999999999491</v>
      </c>
      <c r="H92" s="99">
        <f>G92+'24'!H92</f>
        <v>283.88000000000011</v>
      </c>
      <c r="I92" s="547">
        <f>G91+G92</f>
        <v>12.309999999999491</v>
      </c>
      <c r="J92" s="175">
        <f>H92/DAY(B2)</f>
        <v>11.355200000000004</v>
      </c>
      <c r="O92" s="71"/>
    </row>
    <row r="93" spans="1:15" ht="26.25">
      <c r="A93" s="905" t="s">
        <v>239</v>
      </c>
      <c r="B93" s="906"/>
      <c r="C93" s="90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4923.3699999998789</v>
      </c>
      <c r="H94" s="99">
        <f>G94+'24'!H94</f>
        <v>136688.55999999994</v>
      </c>
      <c r="I94" s="118"/>
      <c r="J94" s="175">
        <f>H94/DAY(B2)</f>
        <v>5467.5423999999975</v>
      </c>
      <c r="K94" s="69"/>
      <c r="L94" s="66"/>
      <c r="O94" s="71"/>
    </row>
    <row r="95" spans="1:15" ht="25.5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0.25599832363076847</v>
      </c>
      <c r="H95" s="99">
        <f>G95+'24'!H95</f>
        <v>6.6539808525704736</v>
      </c>
      <c r="I95" s="167"/>
      <c r="J95" s="175">
        <f>H95/DAY(B2)</f>
        <v>0.26615923410281894</v>
      </c>
      <c r="K95" s="69"/>
      <c r="L95" s="66"/>
      <c r="O95" s="71"/>
    </row>
    <row r="96" spans="1:15" ht="25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2821.4500000000116</v>
      </c>
      <c r="H96" s="99">
        <f>G96+'24'!H96</f>
        <v>85801.56</v>
      </c>
      <c r="I96" s="118"/>
      <c r="J96" s="175">
        <f>H96/DAY(B2)</f>
        <v>3432.0623999999998</v>
      </c>
      <c r="K96" s="69"/>
      <c r="L96" s="66"/>
      <c r="O96" s="71"/>
    </row>
    <row r="97" spans="1:15" ht="25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0.14670570568696897</v>
      </c>
      <c r="H97" s="99">
        <f>G97+'24'!H97</f>
        <v>4.1524951080261445</v>
      </c>
      <c r="I97" s="167"/>
      <c r="J97" s="175">
        <f>H97/DAY(B2)</f>
        <v>0.16609980432104579</v>
      </c>
      <c r="K97" s="69"/>
      <c r="L97" s="66"/>
      <c r="O97" s="71"/>
    </row>
    <row r="98" spans="1:15" ht="25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2764.7299999999814</v>
      </c>
      <c r="H98" s="99">
        <f>G98+'24'!H98</f>
        <v>69299.969999999972</v>
      </c>
      <c r="I98" s="168"/>
      <c r="J98" s="175">
        <f>H98/DAY(B2)</f>
        <v>2771.9987999999989</v>
      </c>
      <c r="K98" s="69"/>
      <c r="L98" s="66"/>
      <c r="O98" s="71"/>
    </row>
    <row r="99" spans="1:15" ht="25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0.14375646057308453</v>
      </c>
      <c r="H99" s="99">
        <f>G99+'24'!H99</f>
        <v>3.3736372569338751</v>
      </c>
      <c r="I99" s="168"/>
      <c r="J99" s="175">
        <f>H99/DAY(B2)</f>
        <v>0.134945490277355</v>
      </c>
      <c r="O99" s="71"/>
    </row>
    <row r="100" spans="1:15" ht="26.2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2635.7400000000416</v>
      </c>
      <c r="H100" s="99">
        <f>G100+'24'!H100</f>
        <v>62679.650000000023</v>
      </c>
      <c r="I100" s="118"/>
      <c r="J100" s="175">
        <f>H100/DAY(B2)</f>
        <v>2507.1860000000011</v>
      </c>
      <c r="K100" s="70"/>
      <c r="O100" s="71"/>
    </row>
    <row r="101" spans="1:15" ht="25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0.13704942377407933</v>
      </c>
      <c r="H101" s="99">
        <f>G101+'24'!H101</f>
        <v>3.0588832570343034</v>
      </c>
      <c r="I101" s="168"/>
      <c r="J101" s="175">
        <f>H101/DAY(B2)</f>
        <v>0.12235533028137213</v>
      </c>
      <c r="O101" s="71"/>
    </row>
    <row r="102" spans="1:15" ht="25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2016.0599999999395</v>
      </c>
      <c r="H102" s="99">
        <f>G102+'24'!H102</f>
        <v>54791.099999999977</v>
      </c>
      <c r="I102" s="168"/>
      <c r="J102" s="175">
        <f>H102/DAY(B2)</f>
        <v>2191.6439999999989</v>
      </c>
      <c r="O102" s="71"/>
    </row>
    <row r="103" spans="1:15" ht="25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0.10482819295300663</v>
      </c>
      <c r="H103" s="99">
        <f>G103+'24'!H103</f>
        <v>2.6601589740967109</v>
      </c>
      <c r="I103" s="118"/>
      <c r="J103" s="175">
        <f>H103/DAY(B2)</f>
        <v>0.10640635896386844</v>
      </c>
      <c r="O103" s="71"/>
    </row>
    <row r="104" spans="1:15" ht="25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1451.7700000000186</v>
      </c>
      <c r="H104" s="99">
        <f>G104+'24'!H104</f>
        <v>36748.130000000005</v>
      </c>
      <c r="I104" s="118"/>
      <c r="J104" s="175">
        <f>H104/DAY(B2)</f>
        <v>1469.9252000000001</v>
      </c>
      <c r="O104" s="71"/>
    </row>
    <row r="105" spans="1:15" ht="26.25" thickBot="1">
      <c r="A105" s="895" t="s">
        <v>251</v>
      </c>
      <c r="B105" s="896"/>
      <c r="C105" s="897"/>
      <c r="D105" s="231" t="s">
        <v>23</v>
      </c>
      <c r="E105" s="185"/>
      <c r="F105" s="185"/>
      <c r="G105" s="186">
        <f>G104/G7</f>
        <v>7.5487051815617073E-2</v>
      </c>
      <c r="H105" s="99">
        <f>G105+'24'!H105</f>
        <v>1.7895883246056878</v>
      </c>
      <c r="I105" s="187"/>
      <c r="J105" s="188">
        <f>H105/DAY(B2)</f>
        <v>7.158353298422751E-2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891" t="s">
        <v>324</v>
      </c>
      <c r="B108" s="891"/>
      <c r="C108" s="891"/>
      <c r="D108" s="891"/>
      <c r="E108" s="891"/>
      <c r="F108" s="891"/>
      <c r="G108" s="891"/>
      <c r="H108" s="891"/>
      <c r="I108" s="891"/>
      <c r="J108" s="891"/>
    </row>
    <row r="109" spans="1:15" ht="26.25">
      <c r="A109" s="918"/>
      <c r="B109" s="918"/>
    </row>
    <row r="110" spans="1:15" ht="26.25">
      <c r="A110" s="892" t="s">
        <v>165</v>
      </c>
      <c r="B110" s="893"/>
      <c r="C110" s="893"/>
      <c r="D110" s="893"/>
      <c r="E110" s="893"/>
      <c r="F110" s="893"/>
      <c r="G110" s="893"/>
      <c r="H110" s="893"/>
      <c r="I110" s="893"/>
      <c r="J110" s="894"/>
    </row>
    <row r="111" spans="1:15" ht="25.5">
      <c r="A111" s="885"/>
      <c r="B111" s="886"/>
      <c r="C111" s="887"/>
      <c r="D111" s="165"/>
      <c r="E111" s="165"/>
      <c r="F111" s="165"/>
      <c r="G111" s="165"/>
      <c r="H111" s="156"/>
      <c r="I111" s="165"/>
      <c r="J111" s="327"/>
    </row>
    <row r="112" spans="1:15" ht="25.5">
      <c r="A112" s="881" t="s">
        <v>252</v>
      </c>
      <c r="B112" s="882"/>
      <c r="C112" s="883"/>
      <c r="D112" s="146" t="s">
        <v>183</v>
      </c>
      <c r="E112" s="95">
        <f>'24'!F112</f>
        <v>18968.07</v>
      </c>
      <c r="F112" s="237">
        <v>19031.23</v>
      </c>
      <c r="G112" s="112">
        <f t="shared" ref="G112:G123" si="9">F112-E112</f>
        <v>63.159999999999854</v>
      </c>
      <c r="H112" s="99">
        <f>G112+'24'!H112</f>
        <v>1519.9300000000003</v>
      </c>
      <c r="I112" s="165"/>
      <c r="J112" s="328">
        <f>H112/DAY(B2)</f>
        <v>60.797200000000011</v>
      </c>
    </row>
    <row r="113" spans="1:18" ht="29.25" customHeight="1">
      <c r="A113" s="881" t="s">
        <v>253</v>
      </c>
      <c r="B113" s="882"/>
      <c r="C113" s="883"/>
      <c r="D113" s="146" t="s">
        <v>183</v>
      </c>
      <c r="E113" s="95">
        <f>'24'!F113</f>
        <v>40520</v>
      </c>
      <c r="F113" s="237">
        <v>40665.82</v>
      </c>
      <c r="G113" s="112">
        <f t="shared" si="9"/>
        <v>145.81999999999971</v>
      </c>
      <c r="H113" s="99">
        <f>G113+'24'!H113</f>
        <v>3586.8199999999997</v>
      </c>
      <c r="I113" s="165"/>
      <c r="J113" s="328">
        <f>H113/DAY(B2)</f>
        <v>143.47279999999998</v>
      </c>
    </row>
    <row r="114" spans="1:18" ht="29.25" customHeight="1">
      <c r="A114" s="881" t="s">
        <v>254</v>
      </c>
      <c r="B114" s="882"/>
      <c r="C114" s="883"/>
      <c r="D114" s="146" t="s">
        <v>183</v>
      </c>
      <c r="E114" s="95">
        <f>'24'!F114</f>
        <v>59653.53</v>
      </c>
      <c r="F114" s="237">
        <v>59881.72</v>
      </c>
      <c r="G114" s="112">
        <f t="shared" si="9"/>
        <v>228.19000000000233</v>
      </c>
      <c r="H114" s="99">
        <f>G114+'24'!H114</f>
        <v>5613.9400000000023</v>
      </c>
      <c r="I114" s="165"/>
      <c r="J114" s="328">
        <f>H114/DAY(B2)</f>
        <v>224.55760000000009</v>
      </c>
    </row>
    <row r="115" spans="1:18" ht="29.25" customHeight="1">
      <c r="A115" s="881" t="s">
        <v>255</v>
      </c>
      <c r="B115" s="882"/>
      <c r="C115" s="883"/>
      <c r="D115" s="146" t="s">
        <v>183</v>
      </c>
      <c r="E115" s="95">
        <f>'24'!F115</f>
        <v>38445.730000000003</v>
      </c>
      <c r="F115" s="237">
        <v>38577.19</v>
      </c>
      <c r="G115" s="112">
        <f t="shared" si="9"/>
        <v>131.45999999999913</v>
      </c>
      <c r="H115" s="99">
        <f>G115+'24'!H115</f>
        <v>3610.2799999999988</v>
      </c>
      <c r="I115" s="165"/>
      <c r="J115" s="328">
        <f>H115/DAY(B2)</f>
        <v>144.41119999999995</v>
      </c>
    </row>
    <row r="116" spans="1:18" ht="29.25" customHeight="1">
      <c r="A116" s="888" t="s">
        <v>96</v>
      </c>
      <c r="B116" s="889"/>
      <c r="C116" s="890"/>
      <c r="D116" s="146" t="s">
        <v>183</v>
      </c>
      <c r="E116" s="95">
        <f>'24'!F116</f>
        <v>144958.94</v>
      </c>
      <c r="F116" s="237">
        <v>145308.45000000001</v>
      </c>
      <c r="G116" s="112">
        <f t="shared" si="9"/>
        <v>349.51000000000931</v>
      </c>
      <c r="H116" s="99">
        <f>G116+'24'!H116</f>
        <v>10820.059999999998</v>
      </c>
      <c r="I116" s="165"/>
      <c r="J116" s="328">
        <f>H116/DAY(B2)</f>
        <v>432.80239999999992</v>
      </c>
      <c r="Q116" s="881"/>
      <c r="R116" s="883"/>
    </row>
    <row r="117" spans="1:18" ht="29.25" customHeight="1">
      <c r="A117" s="888" t="s">
        <v>184</v>
      </c>
      <c r="B117" s="889"/>
      <c r="C117" s="890"/>
      <c r="D117" s="146" t="s">
        <v>183</v>
      </c>
      <c r="E117" s="95">
        <f>'24'!F117</f>
        <v>90078.63</v>
      </c>
      <c r="F117" s="237">
        <v>90368.3</v>
      </c>
      <c r="G117" s="112">
        <f t="shared" si="9"/>
        <v>289.66999999999825</v>
      </c>
      <c r="H117" s="99">
        <f>G117+'24'!H117</f>
        <v>7658.3000000000029</v>
      </c>
      <c r="I117" s="165"/>
      <c r="J117" s="328">
        <f>H117/DAY(B2)</f>
        <v>306.33200000000011</v>
      </c>
      <c r="Q117" s="881"/>
      <c r="R117" s="883"/>
    </row>
    <row r="118" spans="1:18" ht="25.5">
      <c r="A118" s="880" t="s">
        <v>97</v>
      </c>
      <c r="B118" s="880"/>
      <c r="C118" s="880"/>
      <c r="D118" s="151" t="s">
        <v>183</v>
      </c>
      <c r="E118" s="95">
        <f>'24'!F118</f>
        <v>173158.49</v>
      </c>
      <c r="F118" s="237">
        <v>173805</v>
      </c>
      <c r="G118" s="112">
        <f t="shared" si="9"/>
        <v>646.51000000000931</v>
      </c>
      <c r="H118" s="99">
        <f>G118+'24'!H118</f>
        <v>15667.850000000006</v>
      </c>
      <c r="I118" s="165"/>
      <c r="J118" s="328">
        <f>H118/DAY(B2)</f>
        <v>626.71400000000028</v>
      </c>
      <c r="Q118" s="881"/>
      <c r="R118" s="883"/>
    </row>
    <row r="119" spans="1:18" ht="25.5">
      <c r="A119" s="880" t="s">
        <v>98</v>
      </c>
      <c r="B119" s="880"/>
      <c r="C119" s="880"/>
      <c r="D119" s="151" t="s">
        <v>183</v>
      </c>
      <c r="E119" s="95">
        <f>'24'!F119</f>
        <v>44881.52</v>
      </c>
      <c r="F119" s="237">
        <v>44931.1</v>
      </c>
      <c r="G119" s="112">
        <f t="shared" si="9"/>
        <v>49.580000000001746</v>
      </c>
      <c r="H119" s="99">
        <f>G119+'24'!H119</f>
        <v>991.92499999999563</v>
      </c>
      <c r="I119" s="165"/>
      <c r="J119" s="328">
        <f>H119/DAY(B2)</f>
        <v>39.676999999999822</v>
      </c>
    </row>
    <row r="120" spans="1:18" ht="25.5">
      <c r="A120" s="880" t="s">
        <v>99</v>
      </c>
      <c r="B120" s="880"/>
      <c r="C120" s="880"/>
      <c r="D120" s="151" t="s">
        <v>183</v>
      </c>
      <c r="E120" s="95">
        <f>'24'!F120</f>
        <v>117828.39</v>
      </c>
      <c r="F120" s="237">
        <v>118220</v>
      </c>
      <c r="G120" s="112">
        <f t="shared" si="9"/>
        <v>391.61000000000058</v>
      </c>
      <c r="H120" s="99">
        <f>G120+'24'!H120</f>
        <v>9782.86</v>
      </c>
      <c r="I120" s="165"/>
      <c r="J120" s="328">
        <f>H120/DAY(B2)</f>
        <v>391.31440000000003</v>
      </c>
    </row>
    <row r="121" spans="1:18" ht="25.5">
      <c r="A121" s="880" t="s">
        <v>100</v>
      </c>
      <c r="B121" s="880"/>
      <c r="C121" s="880"/>
      <c r="D121" s="151" t="s">
        <v>183</v>
      </c>
      <c r="E121" s="95">
        <f>'24'!F121</f>
        <v>131594.79</v>
      </c>
      <c r="F121" s="237">
        <v>132009.60000000001</v>
      </c>
      <c r="G121" s="112">
        <f t="shared" si="9"/>
        <v>414.80999999999767</v>
      </c>
      <c r="H121" s="99">
        <f>G121+'24'!H121</f>
        <v>10786.710000000006</v>
      </c>
      <c r="I121" s="165"/>
      <c r="J121" s="328">
        <f>H121/DAY(B2)</f>
        <v>431.46840000000026</v>
      </c>
    </row>
    <row r="122" spans="1:18" ht="25.5">
      <c r="A122" s="880" t="s">
        <v>101</v>
      </c>
      <c r="B122" s="880"/>
      <c r="C122" s="880"/>
      <c r="D122" s="151" t="s">
        <v>183</v>
      </c>
      <c r="E122" s="95">
        <f>'24'!F122</f>
        <v>88689.15</v>
      </c>
      <c r="F122" s="237">
        <v>89011.1</v>
      </c>
      <c r="G122" s="112">
        <f t="shared" si="9"/>
        <v>321.95000000001164</v>
      </c>
      <c r="H122" s="99">
        <f>G122+'24'!H122</f>
        <v>7736.7300000000105</v>
      </c>
      <c r="I122" s="165"/>
      <c r="J122" s="328">
        <f>H122/DAY(B2)</f>
        <v>309.4692000000004</v>
      </c>
    </row>
    <row r="123" spans="1:18" ht="25.5">
      <c r="A123" s="880" t="s">
        <v>102</v>
      </c>
      <c r="B123" s="880"/>
      <c r="C123" s="880"/>
      <c r="D123" s="151" t="s">
        <v>183</v>
      </c>
      <c r="E123" s="95">
        <f>'24'!F123</f>
        <v>85398.97</v>
      </c>
      <c r="F123" s="237">
        <v>85717.1</v>
      </c>
      <c r="G123" s="112">
        <f t="shared" si="9"/>
        <v>318.13000000000466</v>
      </c>
      <c r="H123" s="99">
        <f>G123+'24'!H123</f>
        <v>7768.1000000000058</v>
      </c>
      <c r="I123" s="165"/>
      <c r="J123" s="328">
        <f>H123/DAY(B2)</f>
        <v>310.72400000000022</v>
      </c>
    </row>
    <row r="124" spans="1:18" ht="29.25" customHeight="1">
      <c r="A124" s="885"/>
      <c r="B124" s="886"/>
      <c r="C124" s="887"/>
      <c r="D124" s="165"/>
      <c r="E124" s="165"/>
      <c r="F124" s="165"/>
      <c r="G124" s="327"/>
      <c r="H124" s="156"/>
      <c r="I124" s="165"/>
      <c r="J124" s="327"/>
    </row>
    <row r="125" spans="1:18" ht="25.5">
      <c r="A125" s="787" t="s">
        <v>196</v>
      </c>
      <c r="B125" s="788"/>
      <c r="C125" s="245"/>
      <c r="D125" s="307"/>
      <c r="E125" s="308"/>
      <c r="F125" s="308"/>
      <c r="G125" s="309">
        <f>SUM(G112:G124)</f>
        <v>3350.4000000000342</v>
      </c>
      <c r="H125" s="156"/>
      <c r="I125" s="327">
        <f>G125-(G39+G53)</f>
        <v>585.67000000005282</v>
      </c>
      <c r="J125" s="327"/>
    </row>
    <row r="126" spans="1:18" ht="25.5">
      <c r="A126" s="884" t="s">
        <v>317</v>
      </c>
      <c r="B126" s="884"/>
      <c r="C126" s="884"/>
      <c r="D126" s="884"/>
      <c r="E126" s="884"/>
      <c r="F126" s="884"/>
      <c r="G126" s="884"/>
      <c r="H126" s="884"/>
      <c r="I126" s="884"/>
      <c r="J126" s="884"/>
    </row>
    <row r="127" spans="1:18" ht="25.5">
      <c r="A127" s="870"/>
      <c r="B127" s="870"/>
      <c r="C127" s="245"/>
      <c r="D127" s="307"/>
      <c r="E127" s="308"/>
      <c r="F127" s="308"/>
      <c r="G127" s="309"/>
      <c r="H127" s="99">
        <f>G127+'24'!H127</f>
        <v>0</v>
      </c>
      <c r="I127" s="165"/>
      <c r="J127" s="328">
        <f>H127/DAY(B2)</f>
        <v>0</v>
      </c>
    </row>
    <row r="128" spans="1:18" ht="29.25" customHeight="1">
      <c r="A128" s="881" t="s">
        <v>318</v>
      </c>
      <c r="B128" s="882"/>
      <c r="C128" s="883"/>
      <c r="D128" s="151" t="s">
        <v>183</v>
      </c>
      <c r="E128" s="95">
        <f>'24'!F128</f>
        <v>203853.43</v>
      </c>
      <c r="F128" s="155">
        <v>204336</v>
      </c>
      <c r="G128" s="112">
        <f t="shared" ref="G128:G134" si="10">F128-E128</f>
        <v>482.57000000000698</v>
      </c>
      <c r="H128" s="99">
        <f>G128+'24'!H128</f>
        <v>12450.369999999995</v>
      </c>
      <c r="I128" s="165"/>
      <c r="J128" s="328">
        <f>H128/DAY(B2)</f>
        <v>498.01479999999981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'24'!F129</f>
        <v>105526</v>
      </c>
      <c r="F129" s="155">
        <v>105698</v>
      </c>
      <c r="G129" s="112">
        <f t="shared" si="10"/>
        <v>172</v>
      </c>
      <c r="H129" s="99">
        <f>G129+'24'!H129</f>
        <v>4421</v>
      </c>
      <c r="I129" s="165"/>
      <c r="J129" s="328">
        <f>H129/DAY(B2)</f>
        <v>176.84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'24'!F130</f>
        <v>282867.33</v>
      </c>
      <c r="F130" s="155">
        <v>283361.81</v>
      </c>
      <c r="G130" s="112">
        <f t="shared" si="10"/>
        <v>494.47999999998137</v>
      </c>
      <c r="H130" s="99">
        <f>G130+'24'!H130</f>
        <v>14546.809999999998</v>
      </c>
      <c r="I130" s="165"/>
      <c r="J130" s="328">
        <f>H130/DAY(B2)</f>
        <v>581.87239999999986</v>
      </c>
      <c r="N130" s="240"/>
      <c r="O130" s="241"/>
    </row>
    <row r="131" spans="1:15" ht="25.5">
      <c r="A131" s="881" t="s">
        <v>321</v>
      </c>
      <c r="B131" s="882"/>
      <c r="C131" s="883"/>
      <c r="D131" s="151" t="s">
        <v>183</v>
      </c>
      <c r="E131" s="95">
        <f>'24'!F131</f>
        <v>83706.149999999994</v>
      </c>
      <c r="F131" s="155">
        <v>83863</v>
      </c>
      <c r="G131" s="112">
        <f t="shared" si="10"/>
        <v>156.85000000000582</v>
      </c>
      <c r="H131" s="99">
        <f>G131+'24'!H131</f>
        <v>4312.3699999999953</v>
      </c>
      <c r="I131" s="165"/>
      <c r="J131" s="328">
        <f>H131/DAY(B2)</f>
        <v>172.49479999999983</v>
      </c>
      <c r="N131" s="240"/>
      <c r="O131" s="241"/>
    </row>
    <row r="132" spans="1:15" ht="25.5">
      <c r="A132" s="881" t="s">
        <v>322</v>
      </c>
      <c r="B132" s="882"/>
      <c r="C132" s="883"/>
      <c r="D132" s="151" t="s">
        <v>183</v>
      </c>
      <c r="E132" s="95">
        <f>'24'!F132</f>
        <v>65398.35</v>
      </c>
      <c r="F132" s="155">
        <v>65689.8</v>
      </c>
      <c r="G132" s="112">
        <f t="shared" si="10"/>
        <v>291.45000000000437</v>
      </c>
      <c r="H132" s="99">
        <f>G132+'24'!H132</f>
        <v>1464.8000000000029</v>
      </c>
      <c r="I132" s="165"/>
      <c r="J132" s="328">
        <f>H132/DAY(B2)</f>
        <v>58.59200000000012</v>
      </c>
    </row>
    <row r="133" spans="1:15" ht="25.5">
      <c r="A133" s="881" t="s">
        <v>359</v>
      </c>
      <c r="B133" s="882"/>
      <c r="C133" s="883"/>
      <c r="D133" s="151" t="s">
        <v>183</v>
      </c>
      <c r="E133" s="95">
        <f>'24'!F133</f>
        <v>946303</v>
      </c>
      <c r="F133" s="155">
        <v>946792</v>
      </c>
      <c r="G133" s="112">
        <f t="shared" si="10"/>
        <v>489</v>
      </c>
      <c r="H133" s="99">
        <f>G133+'24'!H133</f>
        <v>-643577.83000000007</v>
      </c>
      <c r="I133" s="165"/>
      <c r="J133" s="328">
        <f>H133/DAY(B2)</f>
        <v>-25743.113200000003</v>
      </c>
    </row>
    <row r="134" spans="1:15" ht="25.5">
      <c r="A134" s="881" t="s">
        <v>340</v>
      </c>
      <c r="B134" s="882"/>
      <c r="C134" s="883"/>
      <c r="D134" s="151" t="s">
        <v>183</v>
      </c>
      <c r="E134" s="95">
        <f>'24'!F134</f>
        <v>91747.87</v>
      </c>
      <c r="F134" s="157">
        <v>91927.7</v>
      </c>
      <c r="G134" s="112">
        <f t="shared" si="10"/>
        <v>179.83000000000175</v>
      </c>
      <c r="H134" s="99">
        <f>G134+'24'!H134</f>
        <v>5975.6999999999971</v>
      </c>
      <c r="I134" s="165"/>
      <c r="J134" s="328">
        <f>H134/DAY(B2)</f>
        <v>239.02799999999988</v>
      </c>
    </row>
    <row r="135" spans="1:15" ht="25.5">
      <c r="A135" s="787" t="s">
        <v>196</v>
      </c>
      <c r="B135" s="788"/>
      <c r="C135" s="331"/>
      <c r="D135" s="151"/>
      <c r="E135" s="95"/>
      <c r="F135" s="165"/>
      <c r="G135" s="112">
        <f>SUM(G128:G134)</f>
        <v>2266.1800000000003</v>
      </c>
      <c r="H135" s="99">
        <f>G135+'23'!H135</f>
        <v>-624057.55499999993</v>
      </c>
      <c r="I135" s="327">
        <f>G135-(G35+G49)</f>
        <v>-287.51999999995314</v>
      </c>
      <c r="J135" s="328"/>
    </row>
    <row r="136" spans="1:15" ht="27.75">
      <c r="A136" s="869" t="s">
        <v>325</v>
      </c>
      <c r="B136" s="869"/>
      <c r="C136" s="869"/>
      <c r="D136" s="869"/>
      <c r="E136" s="869"/>
      <c r="F136" s="869"/>
      <c r="G136" s="869"/>
      <c r="H136" s="869"/>
      <c r="I136" s="869"/>
      <c r="J136" s="869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80" t="s">
        <v>185</v>
      </c>
      <c r="B138" s="880"/>
      <c r="C138" s="880"/>
      <c r="D138" s="151" t="s">
        <v>183</v>
      </c>
      <c r="E138" s="95">
        <f>'24'!F138</f>
        <v>912134</v>
      </c>
      <c r="F138" s="147">
        <v>912243</v>
      </c>
      <c r="G138" s="112">
        <f t="shared" ref="G138:G152" si="11">F138-E138</f>
        <v>109</v>
      </c>
      <c r="H138" s="99">
        <f>G138+'24'!H138</f>
        <v>2803</v>
      </c>
      <c r="I138" s="118"/>
      <c r="J138" s="328">
        <f>H138/DAY(B2)</f>
        <v>112.12</v>
      </c>
    </row>
    <row r="139" spans="1:15" ht="25.5">
      <c r="A139" s="880" t="s">
        <v>186</v>
      </c>
      <c r="B139" s="880"/>
      <c r="C139" s="880"/>
      <c r="D139" s="151" t="s">
        <v>183</v>
      </c>
      <c r="E139" s="95">
        <f>'24'!F139</f>
        <v>936148</v>
      </c>
      <c r="F139" s="148">
        <v>936310</v>
      </c>
      <c r="G139" s="112">
        <f t="shared" si="11"/>
        <v>162</v>
      </c>
      <c r="H139" s="99">
        <f>G139+'24'!H139</f>
        <v>3950</v>
      </c>
      <c r="I139" s="118"/>
      <c r="J139" s="328">
        <f>H139/DAY(B2)</f>
        <v>158</v>
      </c>
    </row>
    <row r="140" spans="1:15" ht="25.5">
      <c r="A140" s="880" t="s">
        <v>187</v>
      </c>
      <c r="B140" s="880"/>
      <c r="C140" s="880"/>
      <c r="D140" s="151" t="s">
        <v>183</v>
      </c>
      <c r="E140" s="95">
        <f>'24'!F140</f>
        <v>4597.43</v>
      </c>
      <c r="F140" s="149">
        <v>4619</v>
      </c>
      <c r="G140" s="112">
        <f t="shared" si="11"/>
        <v>21.569999999999709</v>
      </c>
      <c r="H140" s="99">
        <f>G140+'24'!H140</f>
        <v>585.48900000000003</v>
      </c>
      <c r="I140" s="118"/>
      <c r="J140" s="328">
        <f>H140/DAY(B2)</f>
        <v>23.419560000000001</v>
      </c>
    </row>
    <row r="141" spans="1:15" ht="25.5">
      <c r="A141" s="863" t="s">
        <v>188</v>
      </c>
      <c r="B141" s="863"/>
      <c r="C141" s="863"/>
      <c r="D141" s="151" t="s">
        <v>183</v>
      </c>
      <c r="E141" s="95">
        <f>'24'!F141</f>
        <v>129719.46</v>
      </c>
      <c r="F141" s="149">
        <v>129961</v>
      </c>
      <c r="G141" s="112">
        <f t="shared" si="11"/>
        <v>241.5399999999936</v>
      </c>
      <c r="H141" s="99">
        <f>G141+'24'!H141</f>
        <v>5363</v>
      </c>
      <c r="I141" s="118"/>
      <c r="J141" s="328">
        <f>H141/DAY(B2)</f>
        <v>214.52</v>
      </c>
    </row>
    <row r="142" spans="1:15" ht="25.5">
      <c r="A142" s="863" t="s">
        <v>189</v>
      </c>
      <c r="B142" s="863"/>
      <c r="C142" s="863"/>
      <c r="D142" s="151" t="s">
        <v>183</v>
      </c>
      <c r="E142" s="95">
        <f>'24'!F142</f>
        <v>52619.88</v>
      </c>
      <c r="F142" s="148">
        <v>52698</v>
      </c>
      <c r="G142" s="112">
        <f t="shared" si="11"/>
        <v>78.120000000002619</v>
      </c>
      <c r="H142" s="99">
        <f>G142+'24'!H142</f>
        <v>2132.4499999999971</v>
      </c>
      <c r="I142" s="140"/>
      <c r="J142" s="328">
        <f>H142/DAY(B2)</f>
        <v>85.297999999999888</v>
      </c>
    </row>
    <row r="143" spans="1:15" ht="25.5">
      <c r="A143" s="880" t="s">
        <v>91</v>
      </c>
      <c r="B143" s="880"/>
      <c r="C143" s="880"/>
      <c r="D143" s="151" t="s">
        <v>183</v>
      </c>
      <c r="E143" s="95">
        <f>'24'!F143</f>
        <v>14117.65</v>
      </c>
      <c r="F143" s="149">
        <v>14140</v>
      </c>
      <c r="G143" s="112">
        <f t="shared" si="11"/>
        <v>22.350000000000364</v>
      </c>
      <c r="H143" s="99">
        <f>G143+'24'!H143</f>
        <v>753</v>
      </c>
      <c r="I143" s="140"/>
      <c r="J143" s="328">
        <f>H143/DAY(B2)</f>
        <v>30.12</v>
      </c>
    </row>
    <row r="144" spans="1:15" ht="25.5">
      <c r="A144" s="863" t="s">
        <v>90</v>
      </c>
      <c r="B144" s="863"/>
      <c r="C144" s="863"/>
      <c r="D144" s="151" t="s">
        <v>183</v>
      </c>
      <c r="E144" s="95">
        <f>'24'!F144</f>
        <v>961340</v>
      </c>
      <c r="F144" s="149">
        <v>961609</v>
      </c>
      <c r="G144" s="112">
        <f t="shared" si="11"/>
        <v>269</v>
      </c>
      <c r="H144" s="99">
        <f>G144+'24'!H144</f>
        <v>6139</v>
      </c>
      <c r="I144" s="140"/>
      <c r="J144" s="328">
        <f>H144/DAY(B2)</f>
        <v>245.56</v>
      </c>
    </row>
    <row r="145" spans="1:10" ht="25.5">
      <c r="A145" s="880" t="s">
        <v>190</v>
      </c>
      <c r="B145" s="880"/>
      <c r="C145" s="880"/>
      <c r="D145" s="152" t="s">
        <v>183</v>
      </c>
      <c r="E145" s="95">
        <f>'24'!F145</f>
        <v>749313</v>
      </c>
      <c r="F145" s="149">
        <v>749563</v>
      </c>
      <c r="G145" s="112">
        <f t="shared" si="11"/>
        <v>250</v>
      </c>
      <c r="H145" s="99">
        <f>G145+'24'!H145</f>
        <v>4382</v>
      </c>
      <c r="I145" s="140"/>
      <c r="J145" s="328">
        <f>H145/DAY(B2)</f>
        <v>175.28</v>
      </c>
    </row>
    <row r="146" spans="1:10" ht="25.5">
      <c r="A146" s="914" t="s">
        <v>191</v>
      </c>
      <c r="B146" s="900"/>
      <c r="C146" s="901"/>
      <c r="D146" s="152" t="s">
        <v>183</v>
      </c>
      <c r="E146" s="95">
        <f>'24'!F146</f>
        <v>788720</v>
      </c>
      <c r="F146" s="148">
        <v>788763</v>
      </c>
      <c r="G146" s="112">
        <f t="shared" si="11"/>
        <v>43</v>
      </c>
      <c r="H146" s="99">
        <f>G146+'24'!H146</f>
        <v>905</v>
      </c>
      <c r="I146" s="140"/>
      <c r="J146" s="328">
        <f>H146/DAY(B2)</f>
        <v>36.200000000000003</v>
      </c>
    </row>
    <row r="147" spans="1:10" ht="25.5">
      <c r="A147" s="863" t="s">
        <v>192</v>
      </c>
      <c r="B147" s="863"/>
      <c r="C147" s="863"/>
      <c r="D147" s="152" t="s">
        <v>183</v>
      </c>
      <c r="E147" s="95">
        <f>'24'!F147</f>
        <v>769013</v>
      </c>
      <c r="F147" s="148">
        <v>769377.8</v>
      </c>
      <c r="G147" s="112">
        <f t="shared" si="11"/>
        <v>364.80000000004657</v>
      </c>
      <c r="H147" s="99">
        <f>G147+'24'!H147</f>
        <v>9239.8000000000466</v>
      </c>
      <c r="I147" s="140"/>
      <c r="J147" s="328">
        <f>H147/DAY(B2)</f>
        <v>369.59200000000186</v>
      </c>
    </row>
    <row r="148" spans="1:10" ht="25.5">
      <c r="A148" s="864" t="s">
        <v>193</v>
      </c>
      <c r="B148" s="865"/>
      <c r="C148" s="866"/>
      <c r="D148" s="123" t="s">
        <v>130</v>
      </c>
      <c r="E148" s="95">
        <f>'24'!F148</f>
        <v>804229</v>
      </c>
      <c r="F148" s="164">
        <v>804578</v>
      </c>
      <c r="G148" s="112">
        <f t="shared" si="11"/>
        <v>349</v>
      </c>
      <c r="H148" s="99">
        <f>G148+'24'!H148</f>
        <v>8165.9200000000419</v>
      </c>
      <c r="I148" s="124"/>
      <c r="J148" s="328">
        <f>H148/DAY(B2)</f>
        <v>326.6368000000017</v>
      </c>
    </row>
    <row r="149" spans="1:10" ht="25.5">
      <c r="A149" s="864" t="s">
        <v>336</v>
      </c>
      <c r="B149" s="865"/>
      <c r="C149" s="866"/>
      <c r="D149" s="227" t="s">
        <v>130</v>
      </c>
      <c r="E149" s="95">
        <f>'24'!F149</f>
        <v>212718.41</v>
      </c>
      <c r="F149" s="146">
        <v>213271.6</v>
      </c>
      <c r="G149" s="112">
        <f t="shared" si="11"/>
        <v>553.19000000000233</v>
      </c>
      <c r="H149" s="99">
        <f>G149+'24'!H149</f>
        <v>11980.330000000016</v>
      </c>
      <c r="I149" s="119"/>
      <c r="J149" s="328">
        <f>H149/DAY(B2)</f>
        <v>479.21320000000065</v>
      </c>
    </row>
    <row r="150" spans="1:10" ht="25.5">
      <c r="A150" s="864" t="s">
        <v>337</v>
      </c>
      <c r="B150" s="865"/>
      <c r="C150" s="866"/>
      <c r="D150" s="117" t="s">
        <v>130</v>
      </c>
      <c r="E150" s="95">
        <f>'24'!F150</f>
        <v>90720</v>
      </c>
      <c r="F150" s="233">
        <v>90966.8</v>
      </c>
      <c r="G150" s="112">
        <f t="shared" si="11"/>
        <v>246.80000000000291</v>
      </c>
      <c r="H150" s="99">
        <f>G150+'24'!H150</f>
        <v>8379.8000000000029</v>
      </c>
      <c r="I150" s="119"/>
      <c r="J150" s="328">
        <f>H150/DAY(B2)</f>
        <v>335.19200000000012</v>
      </c>
    </row>
    <row r="151" spans="1:10" ht="25.5">
      <c r="A151" s="864" t="s">
        <v>338</v>
      </c>
      <c r="B151" s="865"/>
      <c r="C151" s="866"/>
      <c r="D151" s="117" t="s">
        <v>130</v>
      </c>
      <c r="E151" s="95">
        <f>'24'!F151</f>
        <v>174009</v>
      </c>
      <c r="F151" s="233">
        <v>174321</v>
      </c>
      <c r="G151" s="112">
        <f t="shared" si="11"/>
        <v>312</v>
      </c>
      <c r="H151" s="99">
        <f>G151+'24'!H151</f>
        <v>7591</v>
      </c>
      <c r="I151" s="119"/>
      <c r="J151" s="328">
        <f>H151/DAY(B2)</f>
        <v>303.64</v>
      </c>
    </row>
    <row r="152" spans="1:10" ht="25.5">
      <c r="A152" s="864" t="s">
        <v>339</v>
      </c>
      <c r="B152" s="865"/>
      <c r="C152" s="866"/>
      <c r="D152" s="117" t="s">
        <v>130</v>
      </c>
      <c r="E152" s="95">
        <f>'24'!F152</f>
        <v>45687.59</v>
      </c>
      <c r="F152" s="233">
        <v>45821</v>
      </c>
      <c r="G152" s="112">
        <f t="shared" si="11"/>
        <v>133.41000000000349</v>
      </c>
      <c r="H152" s="99">
        <f>G152+'24'!H152</f>
        <v>3310</v>
      </c>
      <c r="I152" s="119"/>
      <c r="J152" s="328">
        <f>H152/DAY(B2)</f>
        <v>132.4</v>
      </c>
    </row>
    <row r="153" spans="1:10" ht="25.5">
      <c r="A153" s="787" t="s">
        <v>196</v>
      </c>
      <c r="B153" s="788"/>
      <c r="C153" s="365"/>
      <c r="D153" s="358"/>
      <c r="E153" s="360"/>
      <c r="F153" s="361"/>
      <c r="G153" s="362">
        <f>SUM(G138:G152)</f>
        <v>3155.7800000000516</v>
      </c>
      <c r="H153" s="363"/>
      <c r="I153" s="119">
        <f>G153-(G38+G52)</f>
        <v>520.04000000000997</v>
      </c>
      <c r="J153" s="366"/>
    </row>
    <row r="154" spans="1:10" ht="27.75">
      <c r="A154" s="869" t="s">
        <v>344</v>
      </c>
      <c r="B154" s="869"/>
      <c r="C154" s="869"/>
      <c r="D154" s="869"/>
      <c r="E154" s="869"/>
      <c r="F154" s="869"/>
      <c r="G154" s="869"/>
      <c r="H154" s="869"/>
      <c r="I154" s="869"/>
      <c r="J154" s="869"/>
    </row>
    <row r="155" spans="1:10" ht="27.75">
      <c r="A155" s="863" t="s">
        <v>345</v>
      </c>
      <c r="B155" s="863"/>
      <c r="C155" s="863"/>
      <c r="D155" s="117" t="s">
        <v>130</v>
      </c>
      <c r="E155" s="95">
        <f>'24'!F155</f>
        <v>252503</v>
      </c>
      <c r="F155" s="374">
        <v>253036</v>
      </c>
      <c r="G155" s="112">
        <f t="shared" ref="G155:G158" si="12">F155-E155</f>
        <v>533</v>
      </c>
      <c r="H155" s="99">
        <f>G155+'24'!H155</f>
        <v>14002</v>
      </c>
      <c r="I155" s="364"/>
      <c r="J155" s="328">
        <f>H155/DAY(B2)</f>
        <v>560.08000000000004</v>
      </c>
    </row>
    <row r="156" spans="1:10" ht="25.5">
      <c r="A156" s="863" t="s">
        <v>347</v>
      </c>
      <c r="B156" s="863"/>
      <c r="C156" s="863"/>
      <c r="D156" s="117" t="s">
        <v>130</v>
      </c>
      <c r="E156" s="95">
        <f>'24'!F156</f>
        <v>31889</v>
      </c>
      <c r="F156" s="155">
        <v>31977.599999999999</v>
      </c>
      <c r="G156" s="112">
        <f t="shared" si="12"/>
        <v>88.599999999998545</v>
      </c>
      <c r="H156" s="99">
        <f>G156+'24'!H156</f>
        <v>2298.0999999999985</v>
      </c>
      <c r="I156" s="165"/>
      <c r="J156" s="328">
        <f>H156/DAY(B2)</f>
        <v>91.923999999999936</v>
      </c>
    </row>
    <row r="157" spans="1:10" ht="25.5">
      <c r="A157" s="864" t="s">
        <v>360</v>
      </c>
      <c r="B157" s="865"/>
      <c r="C157" s="866"/>
      <c r="D157" s="117" t="s">
        <v>130</v>
      </c>
      <c r="E157" s="95">
        <f>'24'!F157</f>
        <v>335.82</v>
      </c>
      <c r="F157" s="155">
        <v>468.14</v>
      </c>
      <c r="G157" s="112">
        <f t="shared" si="12"/>
        <v>132.32</v>
      </c>
      <c r="H157" s="99">
        <f>G157+'24'!H157</f>
        <v>363.53999999999996</v>
      </c>
      <c r="I157" s="165"/>
      <c r="J157" s="328"/>
    </row>
    <row r="158" spans="1:10" ht="25.5">
      <c r="A158" s="864" t="s">
        <v>361</v>
      </c>
      <c r="B158" s="865"/>
      <c r="C158" s="866"/>
      <c r="D158" s="117" t="s">
        <v>130</v>
      </c>
      <c r="E158" s="95">
        <f>'24'!F158</f>
        <v>1779.83</v>
      </c>
      <c r="F158" s="155">
        <v>1780.5</v>
      </c>
      <c r="G158" s="112">
        <f t="shared" si="12"/>
        <v>0.67000000000007276</v>
      </c>
      <c r="H158" s="99">
        <f>G158+'24'!H158</f>
        <v>7.7999999999999545</v>
      </c>
      <c r="I158" s="165"/>
      <c r="J158" s="328"/>
    </row>
    <row r="159" spans="1:10" ht="25.5">
      <c r="A159" s="944"/>
      <c r="B159" s="945"/>
      <c r="C159" s="946"/>
      <c r="D159" s="117"/>
      <c r="E159" s="95"/>
      <c r="F159" s="165"/>
      <c r="G159" s="112"/>
      <c r="H159" s="99"/>
      <c r="I159" s="165"/>
      <c r="J159" s="328"/>
    </row>
    <row r="160" spans="1:10" ht="27.75">
      <c r="A160" s="869" t="s">
        <v>326</v>
      </c>
      <c r="B160" s="869"/>
      <c r="C160" s="869"/>
      <c r="D160" s="869"/>
      <c r="E160" s="869"/>
      <c r="F160" s="869"/>
      <c r="G160" s="869"/>
      <c r="H160" s="869"/>
      <c r="I160" s="869"/>
      <c r="J160" s="869"/>
    </row>
    <row r="161" spans="1:10" ht="26.25">
      <c r="A161" s="242" t="s">
        <v>92</v>
      </c>
      <c r="B161" s="243"/>
      <c r="C161" s="243"/>
      <c r="D161" s="244" t="s">
        <v>180</v>
      </c>
      <c r="E161" s="95">
        <f>'24'!F161</f>
        <v>511799</v>
      </c>
      <c r="F161" s="235">
        <v>511880</v>
      </c>
      <c r="G161" s="238">
        <f t="shared" ref="G161:G165" si="13">F161-E161</f>
        <v>81</v>
      </c>
      <c r="H161" s="99">
        <f>G161+'24'!H161</f>
        <v>3496.679999999993</v>
      </c>
      <c r="I161" s="236"/>
      <c r="J161" s="239">
        <f>H161/DAY(B2)</f>
        <v>139.86719999999971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'24'!F162</f>
        <v>1578.2</v>
      </c>
      <c r="F162" s="235">
        <v>1615.5</v>
      </c>
      <c r="G162" s="238">
        <f t="shared" si="13"/>
        <v>37.299999999999955</v>
      </c>
      <c r="H162" s="99">
        <f>G162+'24'!H162</f>
        <v>878.9</v>
      </c>
      <c r="I162" s="236"/>
      <c r="J162" s="239">
        <f>H162/DAY(B2)</f>
        <v>35.155999999999999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'24'!F163</f>
        <v>0</v>
      </c>
      <c r="F163" s="235">
        <v>0</v>
      </c>
      <c r="G163" s="238">
        <f t="shared" si="13"/>
        <v>0</v>
      </c>
      <c r="H163" s="99">
        <f>G163+'24'!H163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'24'!F164</f>
        <v>7319.2</v>
      </c>
      <c r="F164" s="235">
        <v>7323.9</v>
      </c>
      <c r="G164" s="238">
        <f t="shared" si="13"/>
        <v>4.6999999999998181</v>
      </c>
      <c r="H164" s="99">
        <f>G164+'24'!H164</f>
        <v>124.89999999999964</v>
      </c>
      <c r="I164" s="236"/>
      <c r="J164" s="239">
        <f>H164/DAY(B2)</f>
        <v>4.9959999999999853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'24'!F165</f>
        <v>32937</v>
      </c>
      <c r="F165" s="235">
        <v>32942</v>
      </c>
      <c r="G165" s="238">
        <f t="shared" si="13"/>
        <v>5</v>
      </c>
      <c r="H165" s="99">
        <f>G165+'24'!H165</f>
        <v>161.91199999999662</v>
      </c>
      <c r="I165" s="236"/>
      <c r="J165" s="239">
        <f>H165/DAY(B2)</f>
        <v>6.4764799999998646</v>
      </c>
    </row>
    <row r="166" spans="1:10" ht="26.25">
      <c r="A166" s="870"/>
      <c r="B166" s="870"/>
      <c r="C166" s="246"/>
      <c r="D166" s="244" t="s">
        <v>180</v>
      </c>
      <c r="E166" s="95">
        <f>'24'!F166</f>
        <v>0</v>
      </c>
      <c r="F166" s="165"/>
      <c r="G166" s="165"/>
      <c r="H166" s="99">
        <f>G166+'24'!H166</f>
        <v>0</v>
      </c>
      <c r="I166" s="165"/>
      <c r="J166" s="239">
        <f>H166/DAY(B2)</f>
        <v>0</v>
      </c>
    </row>
    <row r="167" spans="1:10" ht="26.25">
      <c r="A167" s="870"/>
      <c r="B167" s="870"/>
      <c r="C167" s="246"/>
      <c r="D167" s="244" t="s">
        <v>180</v>
      </c>
      <c r="E167" s="95">
        <f>'24'!F167</f>
        <v>0</v>
      </c>
      <c r="F167" s="165"/>
      <c r="G167" s="165"/>
      <c r="H167" s="99">
        <f>G167+'24'!H167</f>
        <v>0</v>
      </c>
      <c r="I167" s="165"/>
      <c r="J167" s="239">
        <f>H167/DAY(B2)</f>
        <v>0</v>
      </c>
    </row>
    <row r="168" spans="1:10" ht="26.25">
      <c r="A168" s="870"/>
      <c r="B168" s="870"/>
      <c r="C168" s="246"/>
      <c r="D168" s="244" t="s">
        <v>180</v>
      </c>
      <c r="E168" s="95">
        <f>'24'!F168</f>
        <v>0</v>
      </c>
      <c r="F168" s="165"/>
      <c r="G168" s="165"/>
      <c r="H168" s="99">
        <f>G168+'24'!H168</f>
        <v>0</v>
      </c>
      <c r="I168" s="165"/>
      <c r="J168" s="239">
        <f>H168/DAY(B2)</f>
        <v>0</v>
      </c>
    </row>
    <row r="169" spans="1:10" ht="26.25">
      <c r="A169" s="245"/>
      <c r="B169" s="246"/>
      <c r="C169" s="246"/>
      <c r="D169" s="165"/>
      <c r="E169" s="165"/>
      <c r="F169" s="165"/>
      <c r="G169" s="165"/>
      <c r="H169" s="156"/>
      <c r="I169" s="165"/>
      <c r="J169" s="327"/>
    </row>
    <row r="170" spans="1:10" ht="21.75" customHeight="1">
      <c r="A170" s="245"/>
      <c r="B170" s="246"/>
      <c r="C170" s="246"/>
      <c r="D170" s="165"/>
      <c r="E170" s="165"/>
      <c r="F170" s="165"/>
      <c r="G170" s="165"/>
      <c r="H170" s="156"/>
      <c r="I170" s="165"/>
      <c r="J170" s="327"/>
    </row>
    <row r="171" spans="1:10" ht="21.75" customHeight="1">
      <c r="A171" s="871" t="s">
        <v>330</v>
      </c>
      <c r="B171" s="872"/>
      <c r="C171" s="872"/>
      <c r="D171" s="872"/>
      <c r="E171" s="872"/>
      <c r="F171" s="872"/>
      <c r="G171" s="872"/>
      <c r="H171" s="872"/>
      <c r="I171" s="872"/>
      <c r="J171" s="873"/>
    </row>
    <row r="172" spans="1:10" ht="21.75" customHeight="1">
      <c r="A172" s="878"/>
      <c r="B172" s="879"/>
      <c r="C172" s="332"/>
      <c r="D172" s="228"/>
      <c r="E172" s="155"/>
      <c r="F172" s="155"/>
      <c r="G172" s="155"/>
      <c r="H172" s="156"/>
      <c r="I172" s="155"/>
      <c r="J172" s="178"/>
    </row>
    <row r="173" spans="1:10" ht="24.75" customHeight="1">
      <c r="A173" s="789" t="s">
        <v>209</v>
      </c>
      <c r="B173" s="790"/>
      <c r="C173" s="333"/>
      <c r="D173" s="228" t="s">
        <v>142</v>
      </c>
      <c r="E173" s="95">
        <f>'24'!F173</f>
        <v>8608</v>
      </c>
      <c r="F173" s="155">
        <v>8612</v>
      </c>
      <c r="G173" s="155">
        <f>F173-E173</f>
        <v>4</v>
      </c>
      <c r="H173" s="99">
        <f>G173+'24'!H173</f>
        <v>30</v>
      </c>
      <c r="I173" s="155"/>
      <c r="J173" s="178">
        <f>H173/DAY(B2)</f>
        <v>1.2</v>
      </c>
    </row>
    <row r="174" spans="1:10" ht="27.75" customHeight="1">
      <c r="A174" s="789" t="s">
        <v>75</v>
      </c>
      <c r="B174" s="790"/>
      <c r="C174" s="333"/>
      <c r="D174" s="228" t="s">
        <v>142</v>
      </c>
      <c r="E174" s="95">
        <f>'24'!F174</f>
        <v>43338</v>
      </c>
      <c r="F174" s="157">
        <v>43348</v>
      </c>
      <c r="G174" s="155">
        <f t="shared" ref="G174:G175" si="14">F174-E174</f>
        <v>10</v>
      </c>
      <c r="H174" s="99">
        <f>G174+'24'!H174</f>
        <v>298</v>
      </c>
      <c r="I174" s="155"/>
      <c r="J174" s="178">
        <f>H174/DAY(B2)</f>
        <v>11.92</v>
      </c>
    </row>
    <row r="175" spans="1:10" ht="21.75" customHeight="1">
      <c r="A175" s="789" t="s">
        <v>76</v>
      </c>
      <c r="B175" s="802"/>
      <c r="C175" s="790"/>
      <c r="D175" s="228" t="s">
        <v>142</v>
      </c>
      <c r="E175" s="95">
        <f>'24'!F175</f>
        <v>26186</v>
      </c>
      <c r="F175" s="155">
        <v>26201</v>
      </c>
      <c r="G175" s="155">
        <f t="shared" si="14"/>
        <v>15</v>
      </c>
      <c r="H175" s="99">
        <f>G175+'24'!H175</f>
        <v>380</v>
      </c>
      <c r="I175" s="155"/>
      <c r="J175" s="178">
        <f>H175/DAY(B2)</f>
        <v>15.2</v>
      </c>
    </row>
    <row r="176" spans="1:10" ht="23.25" customHeight="1">
      <c r="A176" s="787" t="s">
        <v>196</v>
      </c>
      <c r="B176" s="788"/>
      <c r="C176" s="400"/>
      <c r="D176" s="228" t="s">
        <v>142</v>
      </c>
      <c r="E176" s="95"/>
      <c r="F176" s="155"/>
      <c r="G176" s="155">
        <f>SUM(G173:G175)</f>
        <v>29</v>
      </c>
      <c r="H176" s="99">
        <f>G176+'24'!H176</f>
        <v>708</v>
      </c>
      <c r="I176" s="155"/>
      <c r="J176" s="178">
        <f>H176/DAY(B2)</f>
        <v>28.32</v>
      </c>
    </row>
    <row r="177" spans="1:10" ht="21.75" customHeight="1">
      <c r="A177" s="789" t="s">
        <v>77</v>
      </c>
      <c r="B177" s="790"/>
      <c r="C177" s="333"/>
      <c r="D177" s="228" t="s">
        <v>142</v>
      </c>
      <c r="E177" s="95"/>
      <c r="F177" s="155"/>
      <c r="G177" s="155"/>
      <c r="H177" s="99">
        <f>G177+'24'!H177</f>
        <v>0</v>
      </c>
      <c r="I177" s="155"/>
      <c r="J177" s="178">
        <f>H177/DAY(B2)</f>
        <v>0</v>
      </c>
    </row>
    <row r="178" spans="1:10" ht="25.5">
      <c r="A178" s="789" t="s">
        <v>210</v>
      </c>
      <c r="B178" s="790"/>
      <c r="C178" s="333"/>
      <c r="D178" s="228" t="s">
        <v>142</v>
      </c>
      <c r="E178" s="95">
        <f>'24'!F178</f>
        <v>109666</v>
      </c>
      <c r="F178" s="155">
        <v>109798</v>
      </c>
      <c r="G178" s="155">
        <f>F178-E178</f>
        <v>132</v>
      </c>
      <c r="H178" s="99">
        <f>G178+'24'!H178</f>
        <v>2799</v>
      </c>
      <c r="I178" s="155"/>
      <c r="J178" s="178">
        <f>H178/DAY(B2)</f>
        <v>111.96</v>
      </c>
    </row>
    <row r="179" spans="1:10" ht="24" customHeight="1">
      <c r="A179" s="789" t="s">
        <v>211</v>
      </c>
      <c r="B179" s="790"/>
      <c r="C179" s="333"/>
      <c r="D179" s="228" t="s">
        <v>142</v>
      </c>
      <c r="E179" s="95">
        <f>'24'!F179</f>
        <v>37501</v>
      </c>
      <c r="F179" s="155">
        <v>37501</v>
      </c>
      <c r="G179" s="155">
        <f t="shared" ref="G179:G180" si="15">F179-E179</f>
        <v>0</v>
      </c>
      <c r="H179" s="99">
        <f>G179+'24'!H179</f>
        <v>0</v>
      </c>
      <c r="I179" s="155"/>
      <c r="J179" s="178">
        <f>H179/DAY(B2)</f>
        <v>0</v>
      </c>
    </row>
    <row r="180" spans="1:10" ht="25.5">
      <c r="A180" s="789" t="s">
        <v>212</v>
      </c>
      <c r="B180" s="790"/>
      <c r="C180" s="333"/>
      <c r="D180" s="228" t="s">
        <v>142</v>
      </c>
      <c r="E180" s="95">
        <f>'24'!F180</f>
        <v>7673</v>
      </c>
      <c r="F180" s="155">
        <v>7682</v>
      </c>
      <c r="G180" s="155">
        <f t="shared" si="15"/>
        <v>9</v>
      </c>
      <c r="H180" s="99">
        <f>G180+'24'!H180</f>
        <v>119</v>
      </c>
      <c r="I180" s="155"/>
      <c r="J180" s="178">
        <f>H180/DAY(B2)</f>
        <v>4.76</v>
      </c>
    </row>
    <row r="181" spans="1:10" ht="25.5">
      <c r="A181" s="876" t="s">
        <v>108</v>
      </c>
      <c r="B181" s="877"/>
      <c r="C181" s="400"/>
      <c r="D181" s="228" t="s">
        <v>142</v>
      </c>
      <c r="E181" s="95"/>
      <c r="F181" s="155"/>
      <c r="G181" s="155">
        <f>SUM(G178:G180)</f>
        <v>141</v>
      </c>
      <c r="H181" s="99">
        <f>G181+'24'!H181</f>
        <v>2918</v>
      </c>
      <c r="I181" s="155"/>
      <c r="J181" s="178">
        <f>H181/DAY(B2)</f>
        <v>116.72</v>
      </c>
    </row>
    <row r="182" spans="1:10" ht="25.5">
      <c r="A182" s="789" t="s">
        <v>213</v>
      </c>
      <c r="B182" s="790"/>
      <c r="C182" s="333"/>
      <c r="D182" s="228" t="s">
        <v>142</v>
      </c>
      <c r="E182" s="95"/>
      <c r="F182" s="155"/>
      <c r="G182" s="155"/>
      <c r="H182" s="99">
        <f>G182+'24'!H182</f>
        <v>0</v>
      </c>
      <c r="I182" s="155"/>
      <c r="J182" s="178">
        <f>H182/DAY(B2)</f>
        <v>0</v>
      </c>
    </row>
    <row r="183" spans="1:10" ht="25.5">
      <c r="A183" s="789" t="s">
        <v>214</v>
      </c>
      <c r="B183" s="790"/>
      <c r="C183" s="334"/>
      <c r="D183" s="228" t="s">
        <v>142</v>
      </c>
      <c r="E183" s="95">
        <f>'24'!F183</f>
        <v>18546</v>
      </c>
      <c r="F183" s="157">
        <v>18552</v>
      </c>
      <c r="G183" s="157">
        <f>F183-E183</f>
        <v>6</v>
      </c>
      <c r="H183" s="99">
        <f>G183+'24'!H183</f>
        <v>174</v>
      </c>
      <c r="I183" s="155"/>
      <c r="J183" s="178">
        <f>H183/DAY(B2)</f>
        <v>6.96</v>
      </c>
    </row>
    <row r="184" spans="1:10" ht="30.75" customHeight="1">
      <c r="A184" s="789" t="s">
        <v>215</v>
      </c>
      <c r="B184" s="790"/>
      <c r="C184" s="334"/>
      <c r="D184" s="228" t="s">
        <v>142</v>
      </c>
      <c r="E184" s="95">
        <f>'24'!F184</f>
        <v>13199</v>
      </c>
      <c r="F184" s="157">
        <v>13203</v>
      </c>
      <c r="G184" s="157">
        <f t="shared" ref="G184:G185" si="16">F184-E184</f>
        <v>4</v>
      </c>
      <c r="H184" s="99">
        <f>G184+'24'!H184</f>
        <v>223</v>
      </c>
      <c r="I184" s="155"/>
      <c r="J184" s="178">
        <f>H184/DAY(B2)</f>
        <v>8.92</v>
      </c>
    </row>
    <row r="185" spans="1:10" ht="23.25" customHeight="1">
      <c r="A185" s="789" t="s">
        <v>216</v>
      </c>
      <c r="B185" s="790"/>
      <c r="C185" s="334"/>
      <c r="D185" s="228" t="s">
        <v>142</v>
      </c>
      <c r="E185" s="95">
        <f>'24'!F185</f>
        <v>0</v>
      </c>
      <c r="F185" s="157">
        <v>0</v>
      </c>
      <c r="G185" s="157">
        <f t="shared" si="16"/>
        <v>0</v>
      </c>
      <c r="H185" s="99">
        <f>G185+'24'!H185</f>
        <v>0</v>
      </c>
      <c r="I185" s="155"/>
      <c r="J185" s="178">
        <f>H185/DAY(B2)</f>
        <v>0</v>
      </c>
    </row>
    <row r="186" spans="1:10" ht="25.5">
      <c r="A186" s="787" t="s">
        <v>196</v>
      </c>
      <c r="B186" s="788"/>
      <c r="C186" s="399"/>
      <c r="D186" s="228" t="s">
        <v>142</v>
      </c>
      <c r="E186" s="95"/>
      <c r="F186" s="157">
        <v>0</v>
      </c>
      <c r="G186" s="157">
        <f>SUM(G183:G185)</f>
        <v>10</v>
      </c>
      <c r="H186" s="99">
        <f>G186+'24'!H186</f>
        <v>397</v>
      </c>
      <c r="I186" s="157"/>
      <c r="J186" s="178">
        <f>H186/DAY(B2)</f>
        <v>15.88</v>
      </c>
    </row>
    <row r="187" spans="1:10" ht="25.5">
      <c r="A187" s="867" t="s">
        <v>217</v>
      </c>
      <c r="B187" s="868"/>
      <c r="C187" s="333"/>
      <c r="D187" s="228" t="s">
        <v>142</v>
      </c>
      <c r="E187" s="95">
        <f>'24'!F187</f>
        <v>0</v>
      </c>
      <c r="F187" s="159"/>
      <c r="G187" s="377">
        <f>G62+G19</f>
        <v>180.60000000003492</v>
      </c>
      <c r="H187" s="99">
        <f>G187+'24'!H187</f>
        <v>4092.4000000000233</v>
      </c>
      <c r="I187" s="158"/>
      <c r="J187" s="179">
        <f>H187/DAY(B2)</f>
        <v>163.69600000000094</v>
      </c>
    </row>
    <row r="188" spans="1:10" ht="25.5">
      <c r="A188" s="867" t="s">
        <v>218</v>
      </c>
      <c r="B188" s="868"/>
      <c r="C188" s="333"/>
      <c r="D188" s="230" t="s">
        <v>142</v>
      </c>
      <c r="E188" s="95">
        <f>'24'!F188</f>
        <v>0</v>
      </c>
      <c r="F188" s="159"/>
      <c r="G188" s="377">
        <f>G65+G66+G67+G69+G70</f>
        <v>182</v>
      </c>
      <c r="H188" s="99">
        <f>G188+'24'!H188</f>
        <v>2045</v>
      </c>
      <c r="I188" s="158"/>
      <c r="J188" s="179">
        <f>H188/DAY(B2)</f>
        <v>81.8</v>
      </c>
    </row>
    <row r="189" spans="1:10" ht="25.5">
      <c r="A189" s="867" t="s">
        <v>219</v>
      </c>
      <c r="B189" s="868"/>
      <c r="C189" s="333"/>
      <c r="D189" s="230" t="s">
        <v>142</v>
      </c>
      <c r="E189" s="95">
        <f>'24'!F189</f>
        <v>0</v>
      </c>
      <c r="F189" s="157"/>
      <c r="G189" s="376">
        <f>G181</f>
        <v>141</v>
      </c>
      <c r="H189" s="99">
        <f>G189+'24'!H189</f>
        <v>797</v>
      </c>
      <c r="I189" s="158"/>
      <c r="J189" s="179">
        <f>H189/DAY(B2)</f>
        <v>31.88</v>
      </c>
    </row>
    <row r="190" spans="1:10" ht="25.5">
      <c r="A190" s="874"/>
      <c r="B190" s="875"/>
      <c r="C190" s="398"/>
      <c r="D190" s="395"/>
      <c r="E190" s="395" t="s">
        <v>207</v>
      </c>
      <c r="F190" s="395"/>
      <c r="G190" s="395"/>
      <c r="H190" s="396"/>
      <c r="I190" s="395"/>
      <c r="J190" s="397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73:C73"/>
    <mergeCell ref="A74:C74"/>
    <mergeCell ref="A71:C71"/>
    <mergeCell ref="A72:B72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109:B109"/>
    <mergeCell ref="A94:C94"/>
    <mergeCell ref="A95:C95"/>
    <mergeCell ref="A96:C96"/>
    <mergeCell ref="A81:C81"/>
    <mergeCell ref="A93:C93"/>
    <mergeCell ref="A79:C79"/>
    <mergeCell ref="A80:C80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102:C102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48:C148"/>
    <mergeCell ref="A143:C143"/>
    <mergeCell ref="A123:C123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42:C142"/>
    <mergeCell ref="A135:B135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15:C115"/>
    <mergeCell ref="A116:C116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4:B184"/>
    <mergeCell ref="A181:B181"/>
    <mergeCell ref="A183:B183"/>
    <mergeCell ref="A182:B182"/>
    <mergeCell ref="A185:B185"/>
  </mergeCells>
  <pageMargins left="0.22" right="0.17" top="0.14000000000000001" bottom="0.2" header="0.2" footer="0.2"/>
  <pageSetup paperSize="5" scale="20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R1701"/>
  <sheetViews>
    <sheetView view="pageBreakPreview" topLeftCell="A64" zoomScale="60" workbookViewId="0">
      <selection activeCell="F144" sqref="F144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7" style="160" customWidth="1"/>
    <col min="7" max="7" width="27.33203125" style="450" customWidth="1"/>
    <col min="8" max="8" width="27" style="161" customWidth="1"/>
    <col min="9" max="9" width="21.66406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7.5" customHeight="1">
      <c r="A1" s="919" t="s">
        <v>115</v>
      </c>
      <c r="B1" s="920"/>
      <c r="C1" s="920"/>
      <c r="D1" s="920"/>
      <c r="E1" s="920"/>
      <c r="F1" s="920"/>
      <c r="G1" s="920"/>
      <c r="H1" s="920"/>
      <c r="I1" s="920"/>
      <c r="J1" s="921"/>
    </row>
    <row r="2" spans="1:15" s="57" customFormat="1" ht="23.25">
      <c r="A2" s="191" t="s">
        <v>354</v>
      </c>
      <c r="B2" s="262">
        <v>44952</v>
      </c>
      <c r="C2" s="348" t="s">
        <v>67</v>
      </c>
      <c r="D2" s="218">
        <v>0.37</v>
      </c>
      <c r="E2" s="100"/>
      <c r="F2" s="100"/>
      <c r="G2" s="427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28</v>
      </c>
      <c r="E3" s="928" t="s">
        <v>119</v>
      </c>
      <c r="F3" s="929"/>
      <c r="G3" s="428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428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29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22" t="s">
        <v>128</v>
      </c>
      <c r="B6" s="923"/>
      <c r="C6" s="924"/>
      <c r="D6" s="110"/>
      <c r="E6" s="110"/>
      <c r="F6" s="110"/>
      <c r="G6" s="43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'25'!F7</f>
        <v>491685.11</v>
      </c>
      <c r="F7" s="95">
        <v>510986.11</v>
      </c>
      <c r="G7" s="431">
        <f>F7-E7</f>
        <v>19301</v>
      </c>
      <c r="H7" s="99">
        <f>G7+'25'!H7</f>
        <v>533367.11</v>
      </c>
      <c r="I7" s="113">
        <f>'1'!I7</f>
        <v>12000</v>
      </c>
      <c r="J7" s="175">
        <f>H7/DAY(B2)</f>
        <v>20514.119615384614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'25'!F8</f>
        <v>682059.91</v>
      </c>
      <c r="F8" s="114">
        <v>701830.23</v>
      </c>
      <c r="G8" s="432">
        <f>F8-E8</f>
        <v>19770.319999999949</v>
      </c>
      <c r="H8" s="99">
        <f>G8+'25'!H8</f>
        <v>543973.23</v>
      </c>
      <c r="I8" s="116"/>
      <c r="J8" s="175">
        <f>H8/DAY(B2)</f>
        <v>20922.047307692308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'25'!F9</f>
        <v>4752695.5</v>
      </c>
      <c r="F9" s="468">
        <v>4763799.0999999996</v>
      </c>
      <c r="G9" s="431">
        <f>F9-E9</f>
        <v>11103.599999999627</v>
      </c>
      <c r="H9" s="99">
        <f>G9+'25'!H9</f>
        <v>347193.19999999925</v>
      </c>
      <c r="I9" s="124">
        <f>I7-J7</f>
        <v>-8514.119615384614</v>
      </c>
      <c r="J9" s="175">
        <f>H9/DAY(B2)</f>
        <v>13353.584615384587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'25'!F10</f>
        <v>4235612.3</v>
      </c>
      <c r="F10" s="353">
        <v>4243282.3</v>
      </c>
      <c r="G10" s="431">
        <f t="shared" ref="G10:G12" si="0">F10-E10</f>
        <v>7670</v>
      </c>
      <c r="H10" s="99">
        <f>G10+'25'!H10</f>
        <v>173246</v>
      </c>
      <c r="I10" s="282"/>
      <c r="J10" s="175">
        <f>H10/DAY(B2)</f>
        <v>6663.3076923076924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'25'!F11</f>
        <v>38700</v>
      </c>
      <c r="F11" s="95">
        <v>38700</v>
      </c>
      <c r="G11" s="431">
        <f t="shared" si="0"/>
        <v>0</v>
      </c>
      <c r="H11" s="99">
        <f>G11+'25'!H11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'25'!F12</f>
        <v>40550</v>
      </c>
      <c r="F12" s="117">
        <v>40550</v>
      </c>
      <c r="G12" s="431">
        <f t="shared" si="0"/>
        <v>0</v>
      </c>
      <c r="H12" s="99">
        <f>G12+'25'!H12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433">
        <f>G9+G10+G11+G12</f>
        <v>18773.599999999627</v>
      </c>
      <c r="H13" s="99">
        <f>G13+'25'!H13</f>
        <v>520439.19999999925</v>
      </c>
      <c r="I13" s="120">
        <f>G7-G13</f>
        <v>527.40000000037253</v>
      </c>
      <c r="J13" s="175">
        <f>H13/DAY(B2)</f>
        <v>20016.89230769228</v>
      </c>
      <c r="K13" s="79"/>
      <c r="L13" s="66"/>
      <c r="N13" s="87"/>
      <c r="O13" s="71"/>
    </row>
    <row r="14" spans="1:15" ht="26.25">
      <c r="A14" s="925" t="s">
        <v>137</v>
      </c>
      <c r="B14" s="926"/>
      <c r="C14" s="927"/>
      <c r="D14" s="111"/>
      <c r="E14" s="111"/>
      <c r="F14" s="111"/>
      <c r="G14" s="434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68">
        <f>'25'!F15</f>
        <v>2281693.7999999998</v>
      </c>
      <c r="F15" s="468">
        <v>2282850.17</v>
      </c>
      <c r="G15" s="431">
        <f>(F15-E15)</f>
        <v>1156.3700000001118</v>
      </c>
      <c r="H15" s="99">
        <f>G15+'25'!H15</f>
        <v>29548.811999999918</v>
      </c>
      <c r="I15" s="113">
        <f>'1'!I15</f>
        <v>800</v>
      </c>
      <c r="J15" s="175">
        <f>H15/DAY(B2)</f>
        <v>1136.492769230766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431"/>
      <c r="H16" s="124"/>
      <c r="I16" s="120">
        <f>I15-J15</f>
        <v>-336.49276923076604</v>
      </c>
      <c r="J16" s="176"/>
      <c r="K16" s="79"/>
      <c r="L16" s="66"/>
      <c r="N16" s="87"/>
      <c r="O16" s="71"/>
    </row>
    <row r="17" spans="1:15" ht="26.25">
      <c r="A17" s="925" t="s">
        <v>140</v>
      </c>
      <c r="B17" s="926"/>
      <c r="C17" s="927"/>
      <c r="D17" s="111"/>
      <c r="E17" s="111"/>
      <c r="F17" s="111"/>
      <c r="G17" s="434"/>
      <c r="H17" s="111"/>
      <c r="I17" s="111"/>
      <c r="J17" s="174"/>
      <c r="K17" s="79"/>
      <c r="L17" s="66"/>
      <c r="N17" s="87"/>
      <c r="O17" s="71"/>
    </row>
    <row r="18" spans="1:15" ht="25.5">
      <c r="A18" s="902" t="s">
        <v>141</v>
      </c>
      <c r="B18" s="903"/>
      <c r="C18" s="904"/>
      <c r="D18" s="151" t="s">
        <v>142</v>
      </c>
      <c r="E18" s="95">
        <f>'25'!F18</f>
        <v>24</v>
      </c>
      <c r="F18" s="164">
        <v>26</v>
      </c>
      <c r="G18" s="433">
        <f>F18*10</f>
        <v>260</v>
      </c>
      <c r="H18" s="99">
        <f>G18+'25'!H18</f>
        <v>5590</v>
      </c>
      <c r="I18" s="113">
        <f>'1'!I18</f>
        <v>65</v>
      </c>
      <c r="J18" s="175">
        <f>H18/DAY(B2)</f>
        <v>215</v>
      </c>
      <c r="K18" s="79"/>
      <c r="L18" s="66"/>
      <c r="N18" s="87"/>
      <c r="O18" s="71"/>
    </row>
    <row r="19" spans="1:15" ht="25.5">
      <c r="A19" s="902" t="s">
        <v>69</v>
      </c>
      <c r="B19" s="903"/>
      <c r="C19" s="904"/>
      <c r="D19" s="151" t="s">
        <v>142</v>
      </c>
      <c r="E19" s="95">
        <f>'25'!F19</f>
        <v>170984</v>
      </c>
      <c r="F19" s="122">
        <v>171035</v>
      </c>
      <c r="G19" s="431">
        <f t="shared" ref="G19" si="1">F19-E19</f>
        <v>51</v>
      </c>
      <c r="H19" s="99">
        <f>G19+'25'!H19</f>
        <v>1470</v>
      </c>
      <c r="I19" s="335"/>
      <c r="J19" s="175">
        <f>H19/DAY(B2)</f>
        <v>56.53846153846154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435">
        <f>G18+G19</f>
        <v>311</v>
      </c>
      <c r="H20" s="99">
        <f>G20+'25'!H20</f>
        <v>7060</v>
      </c>
      <c r="I20" s="336">
        <f>I18-J20</f>
        <v>-206.53846153846155</v>
      </c>
      <c r="J20" s="175">
        <f>H20/DAY(B2)</f>
        <v>271.53846153846155</v>
      </c>
      <c r="K20" s="79"/>
      <c r="L20" s="66"/>
      <c r="N20" s="87"/>
      <c r="O20" s="71"/>
    </row>
    <row r="21" spans="1:15" ht="26.25">
      <c r="A21" s="925" t="s">
        <v>144</v>
      </c>
      <c r="B21" s="926"/>
      <c r="C21" s="927"/>
      <c r="D21" s="111"/>
      <c r="E21" s="111"/>
      <c r="F21" s="111"/>
      <c r="G21" s="434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'25'!F22</f>
        <v>2970</v>
      </c>
      <c r="F22" s="122">
        <v>2970</v>
      </c>
      <c r="G22" s="433">
        <f t="shared" ref="G22" si="2">(F22-E22)</f>
        <v>0</v>
      </c>
      <c r="H22" s="99">
        <f>G22+'25'!H22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'25'!F23</f>
        <v>1860</v>
      </c>
      <c r="F23" s="122">
        <v>1500</v>
      </c>
      <c r="G23" s="433">
        <v>0</v>
      </c>
      <c r="H23" s="99">
        <f>G23+'25'!H23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'25'!F24</f>
        <v>4830</v>
      </c>
      <c r="F24" s="128">
        <v>4470</v>
      </c>
      <c r="G24" s="433">
        <v>0</v>
      </c>
      <c r="H24" s="99">
        <f>G24+'25'!H24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30" t="s">
        <v>149</v>
      </c>
      <c r="B25" s="931"/>
      <c r="C25" s="932"/>
      <c r="D25" s="110"/>
      <c r="E25" s="110"/>
      <c r="F25" s="110"/>
      <c r="G25" s="436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437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19770.319999999949</v>
      </c>
      <c r="F27" s="136">
        <v>9</v>
      </c>
      <c r="G27" s="438">
        <f>E27*F27</f>
        <v>177932.87999999954</v>
      </c>
      <c r="H27" s="99">
        <f>G27+'25'!H27</f>
        <v>5125913.2699999996</v>
      </c>
      <c r="I27" s="138"/>
      <c r="J27" s="175">
        <f>H27/DAY(B2)</f>
        <v>197150.51038461537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1156.3700000001118</v>
      </c>
      <c r="F28" s="136">
        <v>70</v>
      </c>
      <c r="G28" s="438">
        <f>E28*F28</f>
        <v>80945.900000007823</v>
      </c>
      <c r="H28" s="99">
        <f>G28+'25'!H28</f>
        <v>2029819.0499999933</v>
      </c>
      <c r="I28" s="140"/>
      <c r="J28" s="175">
        <f>H28/DAY(B2)</f>
        <v>78069.963461538209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38">
        <f>E29*F29</f>
        <v>0</v>
      </c>
      <c r="H29" s="99">
        <f>G29+'25'!H29</f>
        <v>6900</v>
      </c>
      <c r="I29" s="140"/>
      <c r="J29" s="175">
        <f>H29/DAY(B2)</f>
        <v>265.38461538461536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151</v>
      </c>
      <c r="G30" s="438">
        <f>E30*F30</f>
        <v>7701</v>
      </c>
      <c r="H30" s="99">
        <f>G30+'25'!H30</f>
        <v>221970</v>
      </c>
      <c r="I30" s="140"/>
      <c r="J30" s="175">
        <f>H30/DAY(B2)</f>
        <v>8537.3076923076915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80</v>
      </c>
      <c r="G31" s="438">
        <f>E31*F31</f>
        <v>20800</v>
      </c>
      <c r="H31" s="99">
        <f>G31+'25'!H31</f>
        <v>457400</v>
      </c>
      <c r="I31" s="140"/>
      <c r="J31" s="175">
        <f>H31/DAY(B2)</f>
        <v>17592.307692307691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439">
        <f>G27+G28+G29+G30+G31</f>
        <v>287379.78000000736</v>
      </c>
      <c r="H32" s="99">
        <f>G32+'25'!H32</f>
        <v>7842002.3199999938</v>
      </c>
      <c r="I32" s="144"/>
      <c r="J32" s="175">
        <f>H32/DAY(B2)</f>
        <v>301615.47384615359</v>
      </c>
      <c r="K32" s="63"/>
      <c r="L32" s="89"/>
      <c r="N32" s="87"/>
      <c r="O32" s="71"/>
    </row>
    <row r="33" spans="1:15" ht="25.5">
      <c r="A33" s="933" t="s">
        <v>331</v>
      </c>
      <c r="B33" s="934"/>
      <c r="C33" s="934"/>
      <c r="D33" s="337"/>
      <c r="E33" s="337"/>
      <c r="F33" s="337"/>
      <c r="G33" s="440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44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'25'!F35</f>
        <v>515778</v>
      </c>
      <c r="F35" s="145">
        <v>517838.27</v>
      </c>
      <c r="G35" s="431">
        <f t="shared" ref="G35:G46" si="3">F35-E35</f>
        <v>2060.2700000000186</v>
      </c>
      <c r="H35" s="99">
        <f>G35+'25'!H35</f>
        <v>63320.280000000028</v>
      </c>
      <c r="I35" s="95"/>
      <c r="J35" s="175">
        <f>H35/DAY(B2)</f>
        <v>2435.3953846153859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'25'!F36</f>
        <v>375773</v>
      </c>
      <c r="F36" s="145">
        <v>376894.47</v>
      </c>
      <c r="G36" s="431">
        <f t="shared" si="3"/>
        <v>1121.4699999999721</v>
      </c>
      <c r="H36" s="99">
        <f>G36+'25'!H36</f>
        <v>22805.569999999949</v>
      </c>
      <c r="I36" s="95"/>
      <c r="J36" s="175">
        <f>H36/DAY(B2)</f>
        <v>877.13730769230574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'25'!F37</f>
        <v>375018</v>
      </c>
      <c r="F37" s="145">
        <v>376401.71</v>
      </c>
      <c r="G37" s="431">
        <f t="shared" si="3"/>
        <v>1383.710000000021</v>
      </c>
      <c r="H37" s="99">
        <f>G37+'25'!H37</f>
        <v>38131.840000000026</v>
      </c>
      <c r="I37" s="95"/>
      <c r="J37" s="175">
        <f>H37/DAY(B2)</f>
        <v>1466.6092307692318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'25'!F38</f>
        <v>860910</v>
      </c>
      <c r="F38" s="108">
        <v>863541.27</v>
      </c>
      <c r="G38" s="431">
        <f t="shared" si="3"/>
        <v>2631.2700000000186</v>
      </c>
      <c r="H38" s="99">
        <f>G38+'25'!H38</f>
        <v>63863.920000000042</v>
      </c>
      <c r="I38" s="95"/>
      <c r="J38" s="175">
        <f>H38/DAY(B2)</f>
        <v>2456.3046153846171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'25'!F39</f>
        <v>689590</v>
      </c>
      <c r="F39" s="145">
        <v>692184.47</v>
      </c>
      <c r="G39" s="431">
        <f t="shared" si="3"/>
        <v>2594.4699999999721</v>
      </c>
      <c r="H39" s="99">
        <f>G39+'25'!H39</f>
        <v>71894.469999999972</v>
      </c>
      <c r="I39" s="95"/>
      <c r="J39" s="175">
        <f>H39/DAY(B2)</f>
        <v>2765.1719230769222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'25'!F40</f>
        <v>216509</v>
      </c>
      <c r="F40" s="145">
        <v>216714.17</v>
      </c>
      <c r="G40" s="431">
        <f t="shared" si="3"/>
        <v>205.17000000001281</v>
      </c>
      <c r="H40" s="99">
        <f>G40+'25'!H40</f>
        <v>7027.820000000007</v>
      </c>
      <c r="I40" s="95"/>
      <c r="J40" s="175">
        <f>H40/DAY(B2)</f>
        <v>270.3007692307695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'25'!F41</f>
        <v>420212.51</v>
      </c>
      <c r="F41" s="145">
        <v>420212.51</v>
      </c>
      <c r="G41" s="431">
        <f t="shared" si="3"/>
        <v>0</v>
      </c>
      <c r="H41" s="99">
        <f>G41+'25'!H41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'25'!F42</f>
        <v>970677</v>
      </c>
      <c r="F42" s="145">
        <v>970677.43</v>
      </c>
      <c r="G42" s="431">
        <f t="shared" si="3"/>
        <v>0.43000000005122274</v>
      </c>
      <c r="H42" s="99">
        <f>G42+'25'!H42</f>
        <v>49722.930000000051</v>
      </c>
      <c r="I42" s="95"/>
      <c r="J42" s="175">
        <f>H42/DAY(B2)</f>
        <v>1912.4203846153866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'25'!F43</f>
        <v>422444</v>
      </c>
      <c r="F43" s="145">
        <v>422444</v>
      </c>
      <c r="G43" s="431">
        <f t="shared" si="3"/>
        <v>0</v>
      </c>
      <c r="H43" s="99">
        <f>G43+'25'!H43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'25'!F44</f>
        <v>0</v>
      </c>
      <c r="F44" s="145">
        <v>0</v>
      </c>
      <c r="G44" s="431">
        <f t="shared" si="3"/>
        <v>0</v>
      </c>
      <c r="H44" s="99">
        <f>G44+'25'!H44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'25'!F45</f>
        <v>0</v>
      </c>
      <c r="F45" s="145">
        <v>0</v>
      </c>
      <c r="G45" s="431">
        <f t="shared" si="3"/>
        <v>0</v>
      </c>
      <c r="H45" s="99">
        <f>G45+'25'!H45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'25'!F46</f>
        <v>0</v>
      </c>
      <c r="F46" s="145">
        <v>0</v>
      </c>
      <c r="G46" s="431">
        <f t="shared" si="3"/>
        <v>0</v>
      </c>
      <c r="H46" s="99">
        <f>G46+'25'!H46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433">
        <f>G35+G36+G37+G38+G39+G40+G41+G42+G43+G44+G45+G46</f>
        <v>9996.7900000000664</v>
      </c>
      <c r="H47" s="99">
        <f>G47+'25'!H47</f>
        <v>316766.83000000007</v>
      </c>
      <c r="I47" s="95"/>
      <c r="J47" s="175">
        <f>H47/DAY(B2)</f>
        <v>12183.339615384619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44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'25'!F49</f>
        <v>819847</v>
      </c>
      <c r="F49" s="145">
        <v>820348.15</v>
      </c>
      <c r="G49" s="431">
        <f t="shared" ref="G49:G58" si="4">F49-E49</f>
        <v>501.15000000002328</v>
      </c>
      <c r="H49" s="99">
        <f>G49+'25'!H49</f>
        <v>13844</v>
      </c>
      <c r="I49" s="95"/>
      <c r="J49" s="175">
        <f>H49/DAY(B2)</f>
        <v>532.46153846153845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'25'!F50</f>
        <v>534260</v>
      </c>
      <c r="F50" s="145">
        <v>535333.18999999994</v>
      </c>
      <c r="G50" s="431">
        <f t="shared" si="4"/>
        <v>1073.1899999999441</v>
      </c>
      <c r="H50" s="99">
        <f>G50+'25'!H50</f>
        <v>34180.189999999944</v>
      </c>
      <c r="I50" s="95"/>
      <c r="J50" s="175">
        <f>H50/DAY(B2)</f>
        <v>1314.6226923076902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'25'!F51</f>
        <v>156958</v>
      </c>
      <c r="F51" s="145">
        <v>156958.44</v>
      </c>
      <c r="G51" s="431">
        <f t="shared" si="4"/>
        <v>0.44000000000232831</v>
      </c>
      <c r="H51" s="99">
        <f>G51+'25'!H51</f>
        <v>0.44000000000232831</v>
      </c>
      <c r="I51" s="95"/>
      <c r="J51" s="175">
        <f>H51/DAY(B2)</f>
        <v>1.6923076923166473E-2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'25'!F52</f>
        <v>1457</v>
      </c>
      <c r="F52" s="145">
        <v>1457.43</v>
      </c>
      <c r="G52" s="431">
        <f t="shared" si="4"/>
        <v>0.43000000000006366</v>
      </c>
      <c r="H52" s="99">
        <f>G52+'25'!H52</f>
        <v>1447.43</v>
      </c>
      <c r="I52" s="95"/>
      <c r="J52" s="175">
        <f>H52/DAY(B2)</f>
        <v>55.67038461538462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'25'!F53</f>
        <v>630355</v>
      </c>
      <c r="F53" s="145">
        <v>630355.03</v>
      </c>
      <c r="G53" s="431">
        <f t="shared" si="4"/>
        <v>3.0000000027939677E-2</v>
      </c>
      <c r="H53" s="99">
        <f>G53+'25'!H53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'25'!F54</f>
        <v>122425</v>
      </c>
      <c r="F54" s="422">
        <v>122743.57</v>
      </c>
      <c r="G54" s="431">
        <f t="shared" si="4"/>
        <v>318.57000000000698</v>
      </c>
      <c r="H54" s="99">
        <f>G54+'25'!H54</f>
        <v>8146.4400000000023</v>
      </c>
      <c r="I54" s="95"/>
      <c r="J54" s="175">
        <f>H54/DAY(B2)</f>
        <v>313.32461538461547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'25'!F55</f>
        <v>584388</v>
      </c>
      <c r="F55" s="145">
        <v>587340.39</v>
      </c>
      <c r="G55" s="431">
        <f t="shared" si="4"/>
        <v>2952.390000000014</v>
      </c>
      <c r="H55" s="99">
        <f>G55+'25'!H55</f>
        <v>11004.760000000009</v>
      </c>
      <c r="I55" s="95"/>
      <c r="J55" s="175">
        <f>H55/DAY(B2)</f>
        <v>423.26000000000033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'25'!F56</f>
        <v>363252.9</v>
      </c>
      <c r="F56" s="145">
        <v>363252.91</v>
      </c>
      <c r="G56" s="431">
        <f t="shared" si="4"/>
        <v>9.9999999511055648E-3</v>
      </c>
      <c r="H56" s="99">
        <f>G56+'25'!H56</f>
        <v>28026.699999999953</v>
      </c>
      <c r="I56" s="95"/>
      <c r="J56" s="175">
        <f>H56/DAY(B2)</f>
        <v>1077.9499999999982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'25'!F57</f>
        <v>692918.7</v>
      </c>
      <c r="F57" s="145">
        <v>695277.27</v>
      </c>
      <c r="G57" s="431">
        <f t="shared" si="4"/>
        <v>2358.5700000000652</v>
      </c>
      <c r="H57" s="99">
        <f>G57+'25'!H57</f>
        <v>64444.270000000019</v>
      </c>
      <c r="I57" s="95"/>
      <c r="J57" s="175">
        <f>H57/DAY(B2)</f>
        <v>2478.6257692307699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'25'!F58</f>
        <v>93005</v>
      </c>
      <c r="F58" s="145">
        <v>93239.1</v>
      </c>
      <c r="G58" s="431">
        <f t="shared" si="4"/>
        <v>234.10000000000582</v>
      </c>
      <c r="H58" s="99">
        <f>G58+'25'!H58</f>
        <v>6678.6010000000097</v>
      </c>
      <c r="I58" s="95"/>
      <c r="J58" s="175">
        <f>H58/DAY(B2)</f>
        <v>256.86926923076959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433">
        <f>G49+G50+G51+G52+G53+G54+G55+G56+G57+G58</f>
        <v>7438.880000000041</v>
      </c>
      <c r="H59" s="99">
        <f>G59+'25'!H59</f>
        <v>167772.83099999995</v>
      </c>
      <c r="I59" s="95">
        <f>G7-G60</f>
        <v>1865.3299999998926</v>
      </c>
      <c r="J59" s="175">
        <f>H59/DAY(B2)</f>
        <v>6452.8011923076901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433">
        <f>G47+G59</f>
        <v>17435.670000000107</v>
      </c>
      <c r="H60" s="99">
        <f>G60+'25'!H60</f>
        <v>484539.66100000002</v>
      </c>
      <c r="I60" s="95">
        <f>G13-G60</f>
        <v>1337.9299999995201</v>
      </c>
      <c r="J60" s="175">
        <f>H60/DAY(B2)</f>
        <v>18636.140807692307</v>
      </c>
      <c r="K60" s="79"/>
      <c r="L60" s="66"/>
      <c r="N60" s="87"/>
      <c r="O60" s="71"/>
    </row>
    <row r="61" spans="1:15" s="68" customFormat="1" ht="26.25">
      <c r="A61" s="935" t="s">
        <v>332</v>
      </c>
      <c r="B61" s="936"/>
      <c r="C61" s="937"/>
      <c r="D61" s="339"/>
      <c r="E61" s="339"/>
      <c r="F61" s="339"/>
      <c r="G61" s="442"/>
      <c r="H61" s="339"/>
      <c r="I61" s="339"/>
      <c r="J61" s="341"/>
      <c r="K61" s="69"/>
      <c r="L61" s="67"/>
      <c r="N61" s="87"/>
      <c r="O61" s="71"/>
    </row>
    <row r="62" spans="1:15" ht="25.5">
      <c r="A62" s="902" t="s">
        <v>198</v>
      </c>
      <c r="B62" s="903"/>
      <c r="C62" s="904"/>
      <c r="D62" s="151" t="s">
        <v>142</v>
      </c>
      <c r="E62" s="95">
        <f>'25'!F62</f>
        <v>314773.40000000002</v>
      </c>
      <c r="F62" s="122">
        <v>314948</v>
      </c>
      <c r="G62" s="431">
        <f t="shared" ref="G62:G63" si="5">F62-E62</f>
        <v>174.59999999997672</v>
      </c>
      <c r="H62" s="99">
        <f>G62+'25'!H62</f>
        <v>2848</v>
      </c>
      <c r="I62" s="118"/>
      <c r="J62" s="175">
        <f>H62/DAY(B2)</f>
        <v>109.53846153846153</v>
      </c>
      <c r="K62" s="80"/>
      <c r="L62" s="66"/>
      <c r="N62" s="87"/>
      <c r="O62" s="71"/>
    </row>
    <row r="63" spans="1:15" ht="25.5">
      <c r="A63" s="902" t="s">
        <v>199</v>
      </c>
      <c r="B63" s="903"/>
      <c r="C63" s="904"/>
      <c r="D63" s="151" t="s">
        <v>142</v>
      </c>
      <c r="E63" s="95">
        <f>'25'!F63</f>
        <v>251695</v>
      </c>
      <c r="F63" s="122">
        <v>251796</v>
      </c>
      <c r="G63" s="431">
        <f t="shared" si="5"/>
        <v>101</v>
      </c>
      <c r="H63" s="99">
        <f>G63+'25'!H63</f>
        <v>2761</v>
      </c>
      <c r="I63" s="118"/>
      <c r="J63" s="175">
        <f>H63/DAY(B2)</f>
        <v>106.19230769230769</v>
      </c>
      <c r="K63" s="69"/>
      <c r="L63" s="66"/>
      <c r="N63" s="87"/>
      <c r="O63" s="71"/>
    </row>
    <row r="64" spans="1:15" ht="26.25">
      <c r="A64" s="911" t="s">
        <v>200</v>
      </c>
      <c r="B64" s="912"/>
      <c r="C64" s="913"/>
      <c r="D64" s="151"/>
      <c r="E64" s="95">
        <f>'25'!F64</f>
        <v>0</v>
      </c>
      <c r="F64" s="122"/>
      <c r="G64" s="431">
        <f>G62+G63</f>
        <v>275.59999999997672</v>
      </c>
      <c r="H64" s="99">
        <f>G64+'25'!H64</f>
        <v>5609</v>
      </c>
      <c r="I64" s="118"/>
      <c r="J64" s="175">
        <f>H64/DAY(B2)</f>
        <v>215.73076923076923</v>
      </c>
      <c r="K64" s="69"/>
      <c r="L64" s="66"/>
      <c r="N64" s="87"/>
      <c r="O64" s="71"/>
    </row>
    <row r="65" spans="1:15" ht="25.5">
      <c r="A65" s="902" t="s">
        <v>201</v>
      </c>
      <c r="B65" s="903"/>
      <c r="C65" s="904"/>
      <c r="D65" s="151" t="s">
        <v>142</v>
      </c>
      <c r="E65" s="95">
        <f>'25'!F65</f>
        <v>475164</v>
      </c>
      <c r="F65" s="122">
        <v>475283</v>
      </c>
      <c r="G65" s="431">
        <f t="shared" ref="G65:G70" si="6">F65-E65</f>
        <v>119</v>
      </c>
      <c r="H65" s="99">
        <f>G65+'25'!H65</f>
        <v>3253</v>
      </c>
      <c r="I65" s="118"/>
      <c r="J65" s="175">
        <f>H65/DAY(B2)</f>
        <v>125.11538461538461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'25'!F66</f>
        <v>114229</v>
      </c>
      <c r="F66" s="122">
        <v>114267</v>
      </c>
      <c r="G66" s="431">
        <f t="shared" si="6"/>
        <v>38</v>
      </c>
      <c r="H66" s="99">
        <f>G66+'25'!H66</f>
        <v>1545</v>
      </c>
      <c r="I66" s="118"/>
      <c r="J66" s="175">
        <f>H66/DAY(B2)</f>
        <v>59.42307692307692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'25'!F67</f>
        <v>117138</v>
      </c>
      <c r="F67" s="164">
        <v>117172</v>
      </c>
      <c r="G67" s="431">
        <f t="shared" si="6"/>
        <v>34</v>
      </c>
      <c r="H67" s="99">
        <f>G67+'25'!H67</f>
        <v>605</v>
      </c>
      <c r="I67" s="118"/>
      <c r="J67" s="175">
        <f>H67/DAY(B2)</f>
        <v>23.26923076923077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'25'!F68</f>
        <v>169846</v>
      </c>
      <c r="F68" s="122">
        <v>169855</v>
      </c>
      <c r="G68" s="431">
        <f>F68-E68</f>
        <v>9</v>
      </c>
      <c r="H68" s="99">
        <f>G68+'25'!H68</f>
        <v>496</v>
      </c>
      <c r="I68" s="118"/>
      <c r="J68" s="175">
        <f>H68/DAY(B2)</f>
        <v>19.076923076923077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'25'!F69</f>
        <v>13098</v>
      </c>
      <c r="F69" s="122">
        <v>13124</v>
      </c>
      <c r="G69" s="431">
        <f t="shared" si="6"/>
        <v>26</v>
      </c>
      <c r="H69" s="99">
        <f>G69+'25'!H69</f>
        <v>158</v>
      </c>
      <c r="I69" s="118"/>
      <c r="J69" s="175">
        <f>H69/DAY(B2)</f>
        <v>6.0769230769230766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'25'!F70</f>
        <v>11213</v>
      </c>
      <c r="F70" s="122">
        <v>11220</v>
      </c>
      <c r="G70" s="431">
        <f t="shared" si="6"/>
        <v>7</v>
      </c>
      <c r="H70" s="99">
        <f>G70+'25'!H70</f>
        <v>204</v>
      </c>
      <c r="I70" s="118"/>
      <c r="J70" s="175">
        <f>H70/DAY(B2)</f>
        <v>7.8461538461538458</v>
      </c>
      <c r="K70" s="69"/>
      <c r="L70" s="66"/>
      <c r="N70" s="87"/>
      <c r="O70" s="71"/>
    </row>
    <row r="71" spans="1:15" ht="26.25">
      <c r="A71" s="911" t="s">
        <v>208</v>
      </c>
      <c r="B71" s="912"/>
      <c r="C71" s="913"/>
      <c r="D71" s="152"/>
      <c r="E71" s="152"/>
      <c r="F71" s="152"/>
      <c r="G71" s="443">
        <f>SUM(G65:G70)</f>
        <v>233</v>
      </c>
      <c r="H71" s="99">
        <f>G71+'25'!H71</f>
        <v>6261</v>
      </c>
      <c r="I71" s="154"/>
      <c r="J71" s="175">
        <f>H71/DAY(B2)</f>
        <v>240.80769230769232</v>
      </c>
      <c r="K71" s="69"/>
      <c r="L71" s="66"/>
      <c r="N71" s="87"/>
      <c r="O71" s="71"/>
    </row>
    <row r="72" spans="1:15" s="88" customFormat="1" ht="25.5">
      <c r="A72" s="898"/>
      <c r="B72" s="883"/>
      <c r="C72" s="347"/>
      <c r="D72" s="180"/>
      <c r="E72" s="180" t="s">
        <v>207</v>
      </c>
      <c r="F72" s="180"/>
      <c r="G72" s="444"/>
      <c r="H72" s="181"/>
      <c r="I72" s="180"/>
      <c r="J72" s="182"/>
      <c r="N72" s="87"/>
      <c r="O72" s="71"/>
    </row>
    <row r="73" spans="1:15" ht="26.25">
      <c r="A73" s="908" t="s">
        <v>333</v>
      </c>
      <c r="B73" s="909"/>
      <c r="C73" s="910"/>
      <c r="D73" s="339"/>
      <c r="E73" s="339"/>
      <c r="F73" s="339"/>
      <c r="G73" s="442"/>
      <c r="H73" s="342"/>
      <c r="I73" s="342"/>
      <c r="J73" s="343"/>
      <c r="K73" s="69"/>
      <c r="L73" s="66"/>
      <c r="N73" s="87"/>
      <c r="O73" s="71"/>
    </row>
    <row r="74" spans="1:15" ht="25.5">
      <c r="A74" s="902" t="s">
        <v>220</v>
      </c>
      <c r="B74" s="903"/>
      <c r="C74" s="904"/>
      <c r="D74" s="151" t="s">
        <v>139</v>
      </c>
      <c r="E74" s="95">
        <f>'25'!F74</f>
        <v>10374.379999999999</v>
      </c>
      <c r="F74" s="123">
        <v>10716</v>
      </c>
      <c r="G74" s="431">
        <f t="shared" ref="G74:G78" si="7">F74-E74</f>
        <v>341.6200000000008</v>
      </c>
      <c r="H74" s="99">
        <f>G74+'25'!H74</f>
        <v>4527</v>
      </c>
      <c r="I74" s="154"/>
      <c r="J74" s="175">
        <f>H74/DAY(B2)</f>
        <v>174.11538461538461</v>
      </c>
      <c r="K74" s="69"/>
      <c r="L74" s="66"/>
      <c r="N74" s="87"/>
      <c r="O74" s="71"/>
    </row>
    <row r="75" spans="1:15" ht="25.5">
      <c r="A75" s="902" t="s">
        <v>221</v>
      </c>
      <c r="B75" s="903"/>
      <c r="C75" s="904"/>
      <c r="D75" s="151" t="s">
        <v>139</v>
      </c>
      <c r="E75" s="95">
        <f>'25'!F75</f>
        <v>73586.8</v>
      </c>
      <c r="F75" s="123">
        <v>73586.8</v>
      </c>
      <c r="G75" s="431">
        <f t="shared" si="7"/>
        <v>0</v>
      </c>
      <c r="H75" s="99">
        <f>G75+'25'!H75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899" t="s">
        <v>222</v>
      </c>
      <c r="B76" s="900"/>
      <c r="C76" s="901"/>
      <c r="D76" s="151" t="s">
        <v>139</v>
      </c>
      <c r="E76" s="95">
        <f>'25'!F76</f>
        <v>210030</v>
      </c>
      <c r="F76" s="123">
        <v>210142</v>
      </c>
      <c r="G76" s="431">
        <f t="shared" si="7"/>
        <v>112</v>
      </c>
      <c r="H76" s="99">
        <f>G76+'25'!H76</f>
        <v>2765</v>
      </c>
      <c r="I76" s="154"/>
      <c r="J76" s="175">
        <f>H76/DAY(B2)</f>
        <v>106.34615384615384</v>
      </c>
      <c r="K76" s="69"/>
      <c r="L76" s="66"/>
      <c r="N76" s="87"/>
      <c r="O76" s="71"/>
    </row>
    <row r="77" spans="1:15" ht="25.5">
      <c r="A77" s="899" t="s">
        <v>223</v>
      </c>
      <c r="B77" s="900"/>
      <c r="C77" s="901"/>
      <c r="D77" s="151" t="s">
        <v>139</v>
      </c>
      <c r="E77" s="95">
        <f>'25'!F77</f>
        <v>59436</v>
      </c>
      <c r="F77" s="123">
        <v>59488.7</v>
      </c>
      <c r="G77" s="431">
        <f t="shared" si="7"/>
        <v>52.69999999999709</v>
      </c>
      <c r="H77" s="99">
        <f>G77+'25'!H77</f>
        <v>1336.6999999999971</v>
      </c>
      <c r="I77" s="154"/>
      <c r="J77" s="175">
        <f>H77/DAY(B2)</f>
        <v>51.411538461538349</v>
      </c>
      <c r="K77" s="69"/>
      <c r="L77" s="66"/>
      <c r="N77" s="87"/>
      <c r="O77" s="71"/>
    </row>
    <row r="78" spans="1:15" ht="25.5">
      <c r="A78" s="899" t="s">
        <v>224</v>
      </c>
      <c r="B78" s="900"/>
      <c r="C78" s="901"/>
      <c r="D78" s="151" t="s">
        <v>139</v>
      </c>
      <c r="E78" s="95">
        <f>'25'!F78</f>
        <v>9564</v>
      </c>
      <c r="F78" s="123">
        <v>9564</v>
      </c>
      <c r="G78" s="431">
        <f t="shared" si="7"/>
        <v>0</v>
      </c>
      <c r="H78" s="99">
        <f>G78+'25'!H78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899" t="s">
        <v>225</v>
      </c>
      <c r="B79" s="900"/>
      <c r="C79" s="901"/>
      <c r="D79" s="151"/>
      <c r="E79" s="95">
        <f>'25'!F79</f>
        <v>0</v>
      </c>
      <c r="F79" s="117"/>
      <c r="G79" s="431">
        <f>G15-SUM(G74:G78)</f>
        <v>650.05000000011387</v>
      </c>
      <c r="H79" s="99">
        <f>G79+'25'!H79</f>
        <v>-973131.88799999992</v>
      </c>
      <c r="I79" s="118"/>
      <c r="J79" s="175"/>
      <c r="K79" s="59"/>
      <c r="L79" s="58"/>
      <c r="N79" s="87"/>
      <c r="O79" s="71"/>
    </row>
    <row r="80" spans="1:15" s="57" customFormat="1" ht="26.25">
      <c r="A80" s="911" t="s">
        <v>329</v>
      </c>
      <c r="B80" s="912"/>
      <c r="C80" s="913"/>
      <c r="D80" s="151"/>
      <c r="E80" s="117"/>
      <c r="F80" s="117"/>
      <c r="G80" s="431">
        <f>SUM(G74:G79)</f>
        <v>1156.3700000001118</v>
      </c>
      <c r="H80" s="99"/>
      <c r="I80" s="118"/>
      <c r="J80" s="175"/>
      <c r="K80" s="59"/>
      <c r="L80" s="58"/>
      <c r="N80" s="87"/>
      <c r="O80" s="71"/>
    </row>
    <row r="81" spans="1:15" ht="25.5">
      <c r="A81" s="915" t="s">
        <v>226</v>
      </c>
      <c r="B81" s="916"/>
      <c r="C81" s="917"/>
      <c r="D81" s="110"/>
      <c r="E81" s="110"/>
      <c r="F81" s="110"/>
      <c r="G81" s="445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'25'!F82</f>
        <v>0</v>
      </c>
      <c r="F82" s="122">
        <v>0</v>
      </c>
      <c r="G82" s="431">
        <f t="shared" ref="G82:G92" si="8">F82-E82</f>
        <v>0</v>
      </c>
      <c r="H82" s="99">
        <f>G82+'25'!H82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'25'!F83</f>
        <v>0</v>
      </c>
      <c r="F83" s="122">
        <v>0</v>
      </c>
      <c r="G83" s="431">
        <f t="shared" si="8"/>
        <v>0</v>
      </c>
      <c r="H83" s="99">
        <f>G83+'25'!H83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'25'!F84</f>
        <v>43546</v>
      </c>
      <c r="F84" s="164">
        <v>43546</v>
      </c>
      <c r="G84" s="431">
        <f t="shared" si="8"/>
        <v>0</v>
      </c>
      <c r="H84" s="99">
        <f>G84+'25'!H84</f>
        <v>-0.34999999999854481</v>
      </c>
      <c r="I84" s="545"/>
      <c r="J84" s="175">
        <f>H84/DAY(B2)</f>
        <v>-1.3461538461482493E-2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'25'!F85</f>
        <v>6203</v>
      </c>
      <c r="F85" s="164">
        <v>6203</v>
      </c>
      <c r="G85" s="431">
        <f t="shared" si="8"/>
        <v>0</v>
      </c>
      <c r="H85" s="99">
        <f>G85+'25'!H85</f>
        <v>270.55000000000018</v>
      </c>
      <c r="I85" s="545"/>
      <c r="J85" s="175">
        <f>H85/DAY(B2)</f>
        <v>10.405769230769238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'25'!F86</f>
        <v>46901.52</v>
      </c>
      <c r="F86" s="164">
        <v>46925.58</v>
      </c>
      <c r="G86" s="431">
        <f t="shared" si="8"/>
        <v>24.060000000004948</v>
      </c>
      <c r="H86" s="99">
        <f>G86+'25'!H86</f>
        <v>91.580000000001746</v>
      </c>
      <c r="I86" s="545"/>
      <c r="J86" s="175">
        <f>H86/DAY(B2)</f>
        <v>3.5223076923077596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'25'!F87</f>
        <v>37294</v>
      </c>
      <c r="F87" s="164">
        <v>37294</v>
      </c>
      <c r="G87" s="431">
        <f t="shared" si="8"/>
        <v>0</v>
      </c>
      <c r="H87" s="99">
        <f>G87+'25'!H87</f>
        <v>266</v>
      </c>
      <c r="I87" s="545">
        <f>G84+G85+G86+G87</f>
        <v>24.060000000004948</v>
      </c>
      <c r="J87" s="175">
        <f>H87/DAY(B2)</f>
        <v>10.23076923076923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'25'!F88</f>
        <v>24717.7</v>
      </c>
      <c r="F88" s="164">
        <v>24722.67</v>
      </c>
      <c r="G88" s="431">
        <f t="shared" si="8"/>
        <v>4.9699999999975262</v>
      </c>
      <c r="H88" s="99">
        <f>G88+'25'!H88</f>
        <v>119.06999999999971</v>
      </c>
      <c r="I88" s="545"/>
      <c r="J88" s="175">
        <f>H88/DAY(B2)</f>
        <v>4.5796153846153738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'25'!F89</f>
        <v>28986.7</v>
      </c>
      <c r="F89" s="164">
        <v>28996.15</v>
      </c>
      <c r="G89" s="431">
        <f t="shared" si="8"/>
        <v>9.4500000000007276</v>
      </c>
      <c r="H89" s="99">
        <f>G89+'25'!H89</f>
        <v>247.76000000000204</v>
      </c>
      <c r="I89" s="545">
        <f>G88+G89</f>
        <v>14.419999999998254</v>
      </c>
      <c r="J89" s="175">
        <f>H89/DAY(B2)</f>
        <v>9.529230769230848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'25'!F90</f>
        <v>74407.100000000006</v>
      </c>
      <c r="F90" s="164">
        <v>74412.09</v>
      </c>
      <c r="G90" s="431">
        <f t="shared" si="8"/>
        <v>4.9899999999906868</v>
      </c>
      <c r="H90" s="99">
        <f>G90+'25'!H90</f>
        <v>208.91000000000349</v>
      </c>
      <c r="I90" s="545">
        <f>G90</f>
        <v>4.9899999999906868</v>
      </c>
      <c r="J90" s="175">
        <f>H90/DAY(B2)</f>
        <v>8.0350000000001351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'25'!F91</f>
        <v>5618.21</v>
      </c>
      <c r="F91" s="122">
        <v>5618.21</v>
      </c>
      <c r="G91" s="431">
        <f t="shared" si="8"/>
        <v>0</v>
      </c>
      <c r="H91" s="99">
        <f>G91+'25'!H91</f>
        <v>0</v>
      </c>
      <c r="I91" s="546"/>
      <c r="J91" s="175">
        <f>H91/DAY(B2)</f>
        <v>0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'25'!F92</f>
        <v>7363.57</v>
      </c>
      <c r="F92" s="122">
        <v>7375.93</v>
      </c>
      <c r="G92" s="431">
        <f t="shared" si="8"/>
        <v>12.360000000000582</v>
      </c>
      <c r="H92" s="99">
        <f>G92+'25'!H92</f>
        <v>296.24000000000069</v>
      </c>
      <c r="I92" s="547">
        <f>G91+G92</f>
        <v>12.360000000000582</v>
      </c>
      <c r="J92" s="175">
        <f>H92/DAY(B2)</f>
        <v>11.39384615384618</v>
      </c>
      <c r="O92" s="71"/>
    </row>
    <row r="93" spans="1:15" ht="26.25">
      <c r="A93" s="905" t="s">
        <v>239</v>
      </c>
      <c r="B93" s="906"/>
      <c r="C93" s="907"/>
      <c r="D93" s="111"/>
      <c r="E93" s="111"/>
      <c r="F93" s="111"/>
      <c r="G93" s="434"/>
      <c r="H93" s="121"/>
      <c r="I93" s="121"/>
      <c r="J93" s="183"/>
      <c r="K93" s="69"/>
      <c r="L93" s="66"/>
      <c r="O93" s="71"/>
    </row>
    <row r="94" spans="1:15" ht="25.5">
      <c r="A94" s="902" t="s">
        <v>240</v>
      </c>
      <c r="B94" s="903"/>
      <c r="C94" s="904"/>
      <c r="D94" s="151" t="s">
        <v>130</v>
      </c>
      <c r="E94" s="151"/>
      <c r="F94" s="151"/>
      <c r="G94" s="446">
        <f>G35+G43+G49+G57</f>
        <v>4919.9900000001071</v>
      </c>
      <c r="H94" s="99">
        <f>G94+'25'!H94</f>
        <v>141608.55000000005</v>
      </c>
      <c r="I94" s="118"/>
      <c r="J94" s="175">
        <f>H94/DAY(B2)</f>
        <v>5446.4826923076944</v>
      </c>
      <c r="K94" s="69"/>
      <c r="L94" s="66"/>
      <c r="O94" s="71"/>
    </row>
    <row r="95" spans="1:15" ht="25.5">
      <c r="A95" s="902" t="s">
        <v>241</v>
      </c>
      <c r="B95" s="903"/>
      <c r="C95" s="904"/>
      <c r="D95" s="151" t="s">
        <v>23</v>
      </c>
      <c r="E95" s="146"/>
      <c r="F95" s="146"/>
      <c r="G95" s="447">
        <f>G94/G7</f>
        <v>0.2549085539609402</v>
      </c>
      <c r="H95" s="99">
        <f>G95+'25'!H95</f>
        <v>6.9088894065314141</v>
      </c>
      <c r="I95" s="167"/>
      <c r="J95" s="175">
        <f>H95/DAY(B2)</f>
        <v>0.26572651563582361</v>
      </c>
      <c r="K95" s="69"/>
      <c r="L95" s="66"/>
      <c r="O95" s="71"/>
    </row>
    <row r="96" spans="1:15" ht="25.5">
      <c r="A96" s="902" t="s">
        <v>242</v>
      </c>
      <c r="B96" s="903"/>
      <c r="C96" s="904"/>
      <c r="D96" s="151" t="s">
        <v>130</v>
      </c>
      <c r="E96" s="95"/>
      <c r="F96" s="95"/>
      <c r="G96" s="446">
        <f>G41+G42+G55+G56</f>
        <v>2952.8300000000163</v>
      </c>
      <c r="H96" s="99">
        <f>G96+'25'!H96</f>
        <v>88754.390000000014</v>
      </c>
      <c r="I96" s="118"/>
      <c r="J96" s="175">
        <f>H96/DAY(B2)</f>
        <v>3413.6303846153851</v>
      </c>
      <c r="K96" s="69"/>
      <c r="L96" s="66"/>
      <c r="O96" s="71"/>
    </row>
    <row r="97" spans="1:15" ht="25.5">
      <c r="A97" s="902" t="s">
        <v>243</v>
      </c>
      <c r="B97" s="903"/>
      <c r="C97" s="904"/>
      <c r="D97" s="151" t="s">
        <v>23</v>
      </c>
      <c r="E97" s="95"/>
      <c r="F97" s="95"/>
      <c r="G97" s="447">
        <f>G96/G7</f>
        <v>0.15298844619449853</v>
      </c>
      <c r="H97" s="99">
        <f>G97+'25'!H97</f>
        <v>4.3054835542206433</v>
      </c>
      <c r="I97" s="167"/>
      <c r="J97" s="175">
        <f>H97/DAY(B2)</f>
        <v>0.16559552131617858</v>
      </c>
      <c r="K97" s="69"/>
      <c r="L97" s="66"/>
      <c r="O97" s="71"/>
    </row>
    <row r="98" spans="1:15" ht="25.5">
      <c r="A98" s="902" t="s">
        <v>244</v>
      </c>
      <c r="B98" s="903"/>
      <c r="C98" s="904"/>
      <c r="D98" s="151" t="s">
        <v>130</v>
      </c>
      <c r="E98" s="95"/>
      <c r="F98" s="95"/>
      <c r="G98" s="446">
        <f>G39+G53</f>
        <v>2594.5</v>
      </c>
      <c r="H98" s="99">
        <f>G98+'25'!H98</f>
        <v>71894.469999999972</v>
      </c>
      <c r="I98" s="168"/>
      <c r="J98" s="175">
        <f>H98/DAY(B2)</f>
        <v>2765.1719230769222</v>
      </c>
      <c r="K98" s="69"/>
      <c r="L98" s="66"/>
      <c r="O98" s="71"/>
    </row>
    <row r="99" spans="1:15" ht="25.5">
      <c r="A99" s="902" t="s">
        <v>245</v>
      </c>
      <c r="B99" s="903"/>
      <c r="C99" s="904"/>
      <c r="D99" s="151" t="s">
        <v>23</v>
      </c>
      <c r="E99" s="95"/>
      <c r="F99" s="95"/>
      <c r="G99" s="447">
        <f>G98/G7</f>
        <v>0.1344230868866898</v>
      </c>
      <c r="H99" s="99">
        <f>G99+'25'!H99</f>
        <v>3.5080603438205649</v>
      </c>
      <c r="I99" s="168"/>
      <c r="J99" s="175">
        <f>H99/DAY(B2)</f>
        <v>0.1349253978392525</v>
      </c>
      <c r="O99" s="71"/>
    </row>
    <row r="100" spans="1:15" ht="26.25">
      <c r="A100" s="902" t="s">
        <v>246</v>
      </c>
      <c r="B100" s="903"/>
      <c r="C100" s="904"/>
      <c r="D100" s="151" t="s">
        <v>180</v>
      </c>
      <c r="E100" s="95"/>
      <c r="F100" s="95"/>
      <c r="G100" s="446">
        <f>G38+G52</f>
        <v>2631.7000000000189</v>
      </c>
      <c r="H100" s="99">
        <f>G100+'25'!H100</f>
        <v>65311.350000000042</v>
      </c>
      <c r="I100" s="118"/>
      <c r="J100" s="175">
        <f>H100/DAY(B2)</f>
        <v>2511.9750000000017</v>
      </c>
      <c r="K100" s="70"/>
      <c r="O100" s="71"/>
    </row>
    <row r="101" spans="1:15" ht="25.5">
      <c r="A101" s="902" t="s">
        <v>247</v>
      </c>
      <c r="B101" s="903"/>
      <c r="C101" s="904"/>
      <c r="D101" s="151" t="s">
        <v>23</v>
      </c>
      <c r="E101" s="95"/>
      <c r="F101" s="95"/>
      <c r="G101" s="447">
        <f>G100/G7</f>
        <v>0.13635044816330857</v>
      </c>
      <c r="H101" s="99">
        <f>G101+'25'!H101</f>
        <v>3.1952337051976119</v>
      </c>
      <c r="I101" s="168"/>
      <c r="J101" s="175">
        <f>H101/DAY(B2)</f>
        <v>0.12289360404606199</v>
      </c>
      <c r="O101" s="71"/>
    </row>
    <row r="102" spans="1:15" ht="25.5">
      <c r="A102" s="902" t="s">
        <v>248</v>
      </c>
      <c r="B102" s="903"/>
      <c r="C102" s="904"/>
      <c r="D102" s="151" t="s">
        <v>180</v>
      </c>
      <c r="E102" s="95"/>
      <c r="F102" s="95"/>
      <c r="G102" s="446">
        <f>G36+G50</f>
        <v>2194.6599999999162</v>
      </c>
      <c r="H102" s="99">
        <f>G102+'25'!H102</f>
        <v>56985.759999999893</v>
      </c>
      <c r="I102" s="168"/>
      <c r="J102" s="175">
        <f>H102/DAY(B2)</f>
        <v>2191.7599999999957</v>
      </c>
      <c r="O102" s="71"/>
    </row>
    <row r="103" spans="1:15" ht="25.5">
      <c r="A103" s="902" t="s">
        <v>249</v>
      </c>
      <c r="B103" s="903"/>
      <c r="C103" s="904"/>
      <c r="D103" s="151" t="s">
        <v>23</v>
      </c>
      <c r="E103" s="95"/>
      <c r="F103" s="95"/>
      <c r="G103" s="447">
        <f>G102/G7</f>
        <v>0.11370706181026456</v>
      </c>
      <c r="H103" s="99">
        <f>G103+'25'!H103</f>
        <v>2.7738660359069756</v>
      </c>
      <c r="I103" s="118"/>
      <c r="J103" s="175">
        <f>H103/DAY(B2)</f>
        <v>0.10668715522719137</v>
      </c>
      <c r="O103" s="71"/>
    </row>
    <row r="104" spans="1:15" ht="25.5">
      <c r="A104" s="902" t="s">
        <v>250</v>
      </c>
      <c r="B104" s="903"/>
      <c r="C104" s="904"/>
      <c r="D104" s="151" t="s">
        <v>180</v>
      </c>
      <c r="E104" s="95"/>
      <c r="F104" s="95"/>
      <c r="G104" s="446">
        <f>G37+G51</f>
        <v>1384.1500000000233</v>
      </c>
      <c r="H104" s="99">
        <f>G104+'25'!H104</f>
        <v>38132.280000000028</v>
      </c>
      <c r="I104" s="118"/>
      <c r="J104" s="175">
        <f>H104/DAY(B2)</f>
        <v>1466.6261538461549</v>
      </c>
      <c r="O104" s="71"/>
    </row>
    <row r="105" spans="1:15" ht="26.25" thickBot="1">
      <c r="A105" s="895" t="s">
        <v>251</v>
      </c>
      <c r="B105" s="896"/>
      <c r="C105" s="897"/>
      <c r="D105" s="231" t="s">
        <v>23</v>
      </c>
      <c r="E105" s="185"/>
      <c r="F105" s="185"/>
      <c r="G105" s="448">
        <f>G104/G7</f>
        <v>7.1713900834154881E-2</v>
      </c>
      <c r="H105" s="99">
        <f>G105+'25'!H105</f>
        <v>1.8613022254398428</v>
      </c>
      <c r="I105" s="187"/>
      <c r="J105" s="188">
        <f>H105/DAY(B2)</f>
        <v>7.1588547132301644E-2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449"/>
      <c r="H106" s="170"/>
      <c r="I106" s="169"/>
      <c r="J106" s="171"/>
      <c r="O106" s="71"/>
    </row>
    <row r="107" spans="1:15" ht="26.25"/>
    <row r="108" spans="1:15" ht="27.75">
      <c r="A108" s="891" t="s">
        <v>324</v>
      </c>
      <c r="B108" s="891"/>
      <c r="C108" s="891"/>
      <c r="D108" s="891"/>
      <c r="E108" s="891"/>
      <c r="F108" s="891"/>
      <c r="G108" s="891"/>
      <c r="H108" s="891"/>
      <c r="I108" s="891"/>
      <c r="J108" s="891"/>
    </row>
    <row r="109" spans="1:15" ht="26.25">
      <c r="A109" s="918"/>
      <c r="B109" s="918"/>
    </row>
    <row r="110" spans="1:15" ht="26.25">
      <c r="A110" s="892" t="s">
        <v>165</v>
      </c>
      <c r="B110" s="893"/>
      <c r="C110" s="893"/>
      <c r="D110" s="893"/>
      <c r="E110" s="893"/>
      <c r="F110" s="893"/>
      <c r="G110" s="893"/>
      <c r="H110" s="893"/>
      <c r="I110" s="893"/>
      <c r="J110" s="894"/>
    </row>
    <row r="111" spans="1:15" ht="25.5">
      <c r="A111" s="885"/>
      <c r="B111" s="886"/>
      <c r="C111" s="887"/>
      <c r="D111" s="165"/>
      <c r="E111" s="165"/>
      <c r="F111" s="165"/>
      <c r="G111" s="451"/>
      <c r="H111" s="156"/>
      <c r="I111" s="165"/>
      <c r="J111" s="327"/>
    </row>
    <row r="112" spans="1:15" ht="25.5">
      <c r="A112" s="881" t="s">
        <v>252</v>
      </c>
      <c r="B112" s="882"/>
      <c r="C112" s="883"/>
      <c r="D112" s="146" t="s">
        <v>183</v>
      </c>
      <c r="E112" s="95">
        <f>'25'!F112</f>
        <v>19031.23</v>
      </c>
      <c r="F112" s="237">
        <v>19093.580000000002</v>
      </c>
      <c r="G112" s="431">
        <f t="shared" ref="G112:G123" si="9">F112-E112</f>
        <v>62.350000000002183</v>
      </c>
      <c r="H112" s="99">
        <f>G112+'25'!H112</f>
        <v>1582.2800000000025</v>
      </c>
      <c r="I112" s="165"/>
      <c r="J112" s="328">
        <f>H112/DAY(B2)</f>
        <v>60.856923076923174</v>
      </c>
    </row>
    <row r="113" spans="1:18" ht="25.5">
      <c r="A113" s="881" t="s">
        <v>253</v>
      </c>
      <c r="B113" s="882"/>
      <c r="C113" s="883"/>
      <c r="D113" s="146" t="s">
        <v>183</v>
      </c>
      <c r="E113" s="95">
        <f>'25'!F113</f>
        <v>40665.82</v>
      </c>
      <c r="F113" s="237">
        <v>40803.699999999997</v>
      </c>
      <c r="G113" s="431">
        <f t="shared" si="9"/>
        <v>137.87999999999738</v>
      </c>
      <c r="H113" s="99">
        <f>G113+'25'!H113</f>
        <v>3724.6999999999971</v>
      </c>
      <c r="I113" s="165"/>
      <c r="J113" s="328">
        <f>H113/DAY(B2)</f>
        <v>143.2576923076922</v>
      </c>
    </row>
    <row r="114" spans="1:18" ht="25.5">
      <c r="A114" s="881" t="s">
        <v>254</v>
      </c>
      <c r="B114" s="882"/>
      <c r="C114" s="883"/>
      <c r="D114" s="146" t="s">
        <v>183</v>
      </c>
      <c r="E114" s="95">
        <f>'25'!F114</f>
        <v>59881.72</v>
      </c>
      <c r="F114" s="237">
        <v>60104.47</v>
      </c>
      <c r="G114" s="431">
        <f t="shared" si="9"/>
        <v>222.75</v>
      </c>
      <c r="H114" s="99">
        <f>G114+'25'!H114</f>
        <v>5836.6900000000023</v>
      </c>
      <c r="I114" s="165"/>
      <c r="J114" s="328">
        <f>H114/DAY(B2)</f>
        <v>224.48807692307702</v>
      </c>
    </row>
    <row r="115" spans="1:18" ht="25.5">
      <c r="A115" s="881" t="s">
        <v>255</v>
      </c>
      <c r="B115" s="882"/>
      <c r="C115" s="883"/>
      <c r="D115" s="146" t="s">
        <v>183</v>
      </c>
      <c r="E115" s="95">
        <f>'25'!F115</f>
        <v>38577.19</v>
      </c>
      <c r="F115" s="237">
        <v>38716.9</v>
      </c>
      <c r="G115" s="431">
        <f t="shared" si="9"/>
        <v>139.70999999999913</v>
      </c>
      <c r="H115" s="99">
        <f>G115+'25'!H115</f>
        <v>3749.989999999998</v>
      </c>
      <c r="I115" s="165"/>
      <c r="J115" s="328">
        <f>H115/DAY(B2)</f>
        <v>144.23038461538454</v>
      </c>
    </row>
    <row r="116" spans="1:18" ht="25.5">
      <c r="A116" s="888" t="s">
        <v>96</v>
      </c>
      <c r="B116" s="889"/>
      <c r="C116" s="890"/>
      <c r="D116" s="146" t="s">
        <v>183</v>
      </c>
      <c r="E116" s="95">
        <f>'25'!F116</f>
        <v>145308.45000000001</v>
      </c>
      <c r="F116" s="237">
        <v>145537</v>
      </c>
      <c r="G116" s="431">
        <f t="shared" si="9"/>
        <v>228.54999999998836</v>
      </c>
      <c r="H116" s="99">
        <f>G116+'25'!H116</f>
        <v>11048.609999999986</v>
      </c>
      <c r="I116" s="165"/>
      <c r="J116" s="328">
        <f>H116/DAY(B2)</f>
        <v>424.9465384615379</v>
      </c>
      <c r="Q116" s="881" t="s">
        <v>311</v>
      </c>
      <c r="R116" s="883"/>
    </row>
    <row r="117" spans="1:18" ht="25.5">
      <c r="A117" s="888" t="s">
        <v>184</v>
      </c>
      <c r="B117" s="889"/>
      <c r="C117" s="890"/>
      <c r="D117" s="146" t="s">
        <v>183</v>
      </c>
      <c r="E117" s="405">
        <f>'25'!F117</f>
        <v>90368.3</v>
      </c>
      <c r="F117" s="416">
        <v>90634.7</v>
      </c>
      <c r="G117" s="520">
        <f t="shared" si="9"/>
        <v>266.39999999999418</v>
      </c>
      <c r="H117" s="99">
        <f>G117+'25'!H117</f>
        <v>7924.6999999999971</v>
      </c>
      <c r="I117" s="165"/>
      <c r="J117" s="328">
        <f>H117/DAY(B2)</f>
        <v>304.79615384615374</v>
      </c>
      <c r="Q117" s="881" t="s">
        <v>312</v>
      </c>
      <c r="R117" s="883"/>
    </row>
    <row r="118" spans="1:18" ht="25.5">
      <c r="A118" s="880" t="s">
        <v>97</v>
      </c>
      <c r="B118" s="880"/>
      <c r="C118" s="880"/>
      <c r="D118" s="151" t="s">
        <v>183</v>
      </c>
      <c r="E118" s="95">
        <f>'25'!F118</f>
        <v>173805</v>
      </c>
      <c r="F118" s="237">
        <v>174401.7</v>
      </c>
      <c r="G118" s="431">
        <f t="shared" si="9"/>
        <v>596.70000000001164</v>
      </c>
      <c r="H118" s="99">
        <f>G118+'25'!H118</f>
        <v>16264.550000000017</v>
      </c>
      <c r="I118" s="165"/>
      <c r="J118" s="328">
        <f>H118/DAY(B2)</f>
        <v>625.55961538461611</v>
      </c>
      <c r="Q118" s="881" t="s">
        <v>311</v>
      </c>
      <c r="R118" s="883"/>
    </row>
    <row r="119" spans="1:18" ht="25.5">
      <c r="A119" s="880" t="s">
        <v>98</v>
      </c>
      <c r="B119" s="880"/>
      <c r="C119" s="880"/>
      <c r="D119" s="151" t="s">
        <v>183</v>
      </c>
      <c r="E119" s="95">
        <f>'25'!F119</f>
        <v>44931.1</v>
      </c>
      <c r="F119" s="237">
        <v>44981.2</v>
      </c>
      <c r="G119" s="431">
        <f t="shared" si="9"/>
        <v>50.099999999998545</v>
      </c>
      <c r="H119" s="99">
        <f>G119+'25'!H119</f>
        <v>1042.0249999999942</v>
      </c>
      <c r="I119" s="165"/>
      <c r="J119" s="328">
        <f>H119/DAY(B2)</f>
        <v>40.077884615384392</v>
      </c>
    </row>
    <row r="120" spans="1:18" ht="25.5">
      <c r="A120" s="880" t="s">
        <v>99</v>
      </c>
      <c r="B120" s="880"/>
      <c r="C120" s="880"/>
      <c r="D120" s="151" t="s">
        <v>183</v>
      </c>
      <c r="E120" s="95">
        <f>'25'!F120</f>
        <v>118220</v>
      </c>
      <c r="F120" s="237">
        <v>118603</v>
      </c>
      <c r="G120" s="431">
        <f t="shared" si="9"/>
        <v>383</v>
      </c>
      <c r="H120" s="99">
        <f>G120+'25'!H120</f>
        <v>10165.86</v>
      </c>
      <c r="I120" s="165"/>
      <c r="J120" s="328">
        <f>H120/DAY(B2)</f>
        <v>390.99461538461543</v>
      </c>
    </row>
    <row r="121" spans="1:18" ht="25.5">
      <c r="A121" s="880" t="s">
        <v>100</v>
      </c>
      <c r="B121" s="880"/>
      <c r="C121" s="880"/>
      <c r="D121" s="151" t="s">
        <v>183</v>
      </c>
      <c r="E121" s="95">
        <f>'25'!F121</f>
        <v>132009.60000000001</v>
      </c>
      <c r="F121" s="237">
        <v>132406.9</v>
      </c>
      <c r="G121" s="431">
        <f t="shared" si="9"/>
        <v>397.29999999998836</v>
      </c>
      <c r="H121" s="99">
        <f>G121+'25'!H121</f>
        <v>11184.009999999995</v>
      </c>
      <c r="I121" s="165"/>
      <c r="J121" s="328">
        <f>H121/DAY(B2)</f>
        <v>430.15423076923059</v>
      </c>
    </row>
    <row r="122" spans="1:18" ht="25.5">
      <c r="A122" s="880" t="s">
        <v>101</v>
      </c>
      <c r="B122" s="880"/>
      <c r="C122" s="880"/>
      <c r="D122" s="151" t="s">
        <v>183</v>
      </c>
      <c r="E122" s="95">
        <f>'25'!F122</f>
        <v>89011.1</v>
      </c>
      <c r="F122" s="237">
        <v>89320.6</v>
      </c>
      <c r="G122" s="431">
        <f t="shared" si="9"/>
        <v>309.5</v>
      </c>
      <c r="H122" s="99">
        <f>G122+'25'!H122</f>
        <v>8046.2300000000105</v>
      </c>
      <c r="I122" s="165"/>
      <c r="J122" s="328">
        <f>H122/DAY(B2)</f>
        <v>309.470384615385</v>
      </c>
    </row>
    <row r="123" spans="1:18" ht="25.5">
      <c r="A123" s="880" t="s">
        <v>102</v>
      </c>
      <c r="B123" s="880"/>
      <c r="C123" s="880"/>
      <c r="D123" s="151" t="s">
        <v>183</v>
      </c>
      <c r="E123" s="95">
        <f>'25'!F123</f>
        <v>85717.1</v>
      </c>
      <c r="F123" s="237">
        <v>86024.9</v>
      </c>
      <c r="G123" s="431">
        <f t="shared" si="9"/>
        <v>307.79999999998836</v>
      </c>
      <c r="H123" s="99">
        <f>G123+'25'!H123</f>
        <v>8075.8999999999942</v>
      </c>
      <c r="I123" s="165"/>
      <c r="J123" s="328">
        <f>H123/DAY(B2)</f>
        <v>310.61153846153826</v>
      </c>
    </row>
    <row r="124" spans="1:18" ht="25.5">
      <c r="A124" s="885"/>
      <c r="B124" s="886"/>
      <c r="C124" s="887"/>
      <c r="D124" s="165"/>
      <c r="E124" s="95">
        <f>'25'!F124</f>
        <v>0</v>
      </c>
      <c r="F124" s="165"/>
      <c r="G124" s="451"/>
      <c r="H124" s="156"/>
      <c r="I124" s="165"/>
      <c r="J124" s="327"/>
    </row>
    <row r="125" spans="1:18" ht="25.5">
      <c r="A125" s="787" t="s">
        <v>196</v>
      </c>
      <c r="B125" s="788"/>
      <c r="C125" s="245"/>
      <c r="D125" s="307"/>
      <c r="E125" s="308"/>
      <c r="F125" s="308"/>
      <c r="G125" s="452">
        <f>SUM(G112:G124)</f>
        <v>3102.0399999999681</v>
      </c>
      <c r="H125" s="156"/>
      <c r="I125" s="327">
        <f>G125-(G39+G53)</f>
        <v>507.53999999996813</v>
      </c>
      <c r="J125" s="327"/>
    </row>
    <row r="126" spans="1:18" ht="25.5">
      <c r="A126" s="884" t="s">
        <v>317</v>
      </c>
      <c r="B126" s="884"/>
      <c r="C126" s="884"/>
      <c r="D126" s="884"/>
      <c r="E126" s="884"/>
      <c r="F126" s="884"/>
      <c r="G126" s="884"/>
      <c r="H126" s="884"/>
      <c r="I126" s="884"/>
      <c r="J126" s="884"/>
    </row>
    <row r="127" spans="1:18" ht="25.5">
      <c r="A127" s="870"/>
      <c r="B127" s="870"/>
      <c r="C127" s="245"/>
      <c r="D127" s="307"/>
      <c r="E127" s="308"/>
      <c r="F127" s="308"/>
      <c r="G127" s="452"/>
      <c r="H127" s="99">
        <f>G127+'25'!H127</f>
        <v>0</v>
      </c>
      <c r="I127" s="165"/>
      <c r="J127" s="328">
        <f>H127/DAY(B2)</f>
        <v>0</v>
      </c>
    </row>
    <row r="128" spans="1:18" ht="25.5">
      <c r="A128" s="881" t="s">
        <v>318</v>
      </c>
      <c r="B128" s="882"/>
      <c r="C128" s="883"/>
      <c r="D128" s="151" t="s">
        <v>183</v>
      </c>
      <c r="E128" s="95">
        <f>'25'!F128</f>
        <v>204336</v>
      </c>
      <c r="F128" s="165">
        <v>204798.8</v>
      </c>
      <c r="G128" s="431">
        <f t="shared" ref="G128:G134" si="10">F128-E128</f>
        <v>462.79999999998836</v>
      </c>
      <c r="H128" s="99">
        <f>G128+'25'!H128</f>
        <v>12913.169999999984</v>
      </c>
      <c r="I128" s="165"/>
      <c r="J128" s="328">
        <f>H128/DAY(B2)</f>
        <v>496.66038461538398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v>71.86</v>
      </c>
      <c r="F129" s="165">
        <v>162.13</v>
      </c>
      <c r="G129" s="431">
        <f t="shared" si="10"/>
        <v>90.27</v>
      </c>
      <c r="H129" s="99">
        <f>G129+'25'!H129</f>
        <v>4511.2700000000004</v>
      </c>
      <c r="I129" s="165"/>
      <c r="J129" s="328">
        <f>H129/DAY(B2)</f>
        <v>173.51038461538462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'25'!F130</f>
        <v>283361.81</v>
      </c>
      <c r="F130" s="165">
        <v>283876.5</v>
      </c>
      <c r="G130" s="431">
        <f t="shared" si="10"/>
        <v>514.69000000000233</v>
      </c>
      <c r="H130" s="99">
        <f>G130+'25'!H130</f>
        <v>15061.5</v>
      </c>
      <c r="I130" s="165"/>
      <c r="J130" s="328">
        <f>H130/DAY(B2)</f>
        <v>579.28846153846155</v>
      </c>
      <c r="N130" s="240"/>
      <c r="O130" s="241"/>
    </row>
    <row r="131" spans="1:15" ht="25.5">
      <c r="A131" s="881" t="s">
        <v>321</v>
      </c>
      <c r="B131" s="882"/>
      <c r="C131" s="883"/>
      <c r="D131" s="151" t="s">
        <v>183</v>
      </c>
      <c r="E131" s="95">
        <f>'25'!F131</f>
        <v>83863</v>
      </c>
      <c r="F131" s="165">
        <v>84012.4</v>
      </c>
      <c r="G131" s="431">
        <f t="shared" si="10"/>
        <v>149.39999999999418</v>
      </c>
      <c r="H131" s="99">
        <f>G131+'25'!H131</f>
        <v>4461.7699999999895</v>
      </c>
      <c r="I131" s="165"/>
      <c r="J131" s="328">
        <f>H131/DAY(B2)</f>
        <v>171.60653846153807</v>
      </c>
      <c r="N131" s="240"/>
      <c r="O131" s="241"/>
    </row>
    <row r="132" spans="1:15" ht="25.5">
      <c r="A132" s="881" t="s">
        <v>322</v>
      </c>
      <c r="B132" s="882"/>
      <c r="C132" s="883"/>
      <c r="D132" s="151" t="s">
        <v>183</v>
      </c>
      <c r="E132" s="95">
        <f>'25'!F132</f>
        <v>65689.8</v>
      </c>
      <c r="F132" s="165">
        <v>65980.2</v>
      </c>
      <c r="G132" s="431">
        <f t="shared" si="10"/>
        <v>290.39999999999418</v>
      </c>
      <c r="H132" s="99">
        <f>G132+'25'!H132</f>
        <v>1755.1999999999971</v>
      </c>
      <c r="I132" s="165"/>
      <c r="J132" s="328">
        <f>H132/DAY(B2)</f>
        <v>67.507692307692196</v>
      </c>
    </row>
    <row r="133" spans="1:15" ht="25.5">
      <c r="A133" s="881" t="s">
        <v>359</v>
      </c>
      <c r="B133" s="882"/>
      <c r="C133" s="883"/>
      <c r="D133" s="151" t="s">
        <v>183</v>
      </c>
      <c r="E133" s="95">
        <f>'25'!F133</f>
        <v>946792</v>
      </c>
      <c r="F133" s="165">
        <v>947309</v>
      </c>
      <c r="G133" s="431">
        <f t="shared" si="10"/>
        <v>517</v>
      </c>
      <c r="H133" s="99">
        <f>G133+'25'!H133</f>
        <v>-643060.83000000007</v>
      </c>
      <c r="I133" s="165"/>
      <c r="J133" s="328">
        <f>H133/DAY(B2)</f>
        <v>-24733.108846153849</v>
      </c>
    </row>
    <row r="134" spans="1:15" ht="25.5">
      <c r="A134" s="881" t="s">
        <v>340</v>
      </c>
      <c r="B134" s="882"/>
      <c r="C134" s="883"/>
      <c r="D134" s="151" t="s">
        <v>183</v>
      </c>
      <c r="E134" s="95">
        <f>'25'!F134</f>
        <v>91927.7</v>
      </c>
      <c r="F134" s="165">
        <v>92106.7</v>
      </c>
      <c r="G134" s="431">
        <f t="shared" si="10"/>
        <v>179</v>
      </c>
      <c r="H134" s="99">
        <f>G134+'25'!H134</f>
        <v>6154.6999999999971</v>
      </c>
      <c r="I134" s="165"/>
      <c r="J134" s="328">
        <f>H134/DAY(B2)</f>
        <v>236.71923076923065</v>
      </c>
    </row>
    <row r="135" spans="1:15" ht="25.5">
      <c r="A135" s="787" t="s">
        <v>196</v>
      </c>
      <c r="B135" s="788"/>
      <c r="C135" s="331"/>
      <c r="D135" s="151"/>
      <c r="E135" s="95"/>
      <c r="F135" s="165"/>
      <c r="G135" s="431">
        <f>SUM(G128:G134)</f>
        <v>2203.559999999979</v>
      </c>
      <c r="H135" s="99">
        <f>G135+'23'!H135</f>
        <v>-624120.17500000005</v>
      </c>
      <c r="I135" s="327">
        <f>G135-(G35+G49)</f>
        <v>-357.86000000006288</v>
      </c>
      <c r="J135" s="328"/>
    </row>
    <row r="136" spans="1:15" ht="27.75">
      <c r="A136" s="869" t="s">
        <v>325</v>
      </c>
      <c r="B136" s="869"/>
      <c r="C136" s="869"/>
      <c r="D136" s="869"/>
      <c r="E136" s="869"/>
      <c r="F136" s="869"/>
      <c r="G136" s="869"/>
      <c r="H136" s="869"/>
      <c r="I136" s="869"/>
      <c r="J136" s="869"/>
    </row>
    <row r="137" spans="1:15" ht="26.25">
      <c r="A137" s="245"/>
      <c r="B137" s="246"/>
      <c r="C137" s="246"/>
      <c r="D137" s="165"/>
      <c r="E137" s="165"/>
      <c r="F137" s="165"/>
      <c r="G137" s="451"/>
      <c r="H137" s="156"/>
      <c r="I137" s="165"/>
      <c r="J137" s="327"/>
    </row>
    <row r="138" spans="1:15" ht="25.5">
      <c r="A138" s="880" t="s">
        <v>185</v>
      </c>
      <c r="B138" s="880"/>
      <c r="C138" s="880"/>
      <c r="D138" s="151" t="s">
        <v>183</v>
      </c>
      <c r="E138" s="95">
        <f>'25'!F138</f>
        <v>912243</v>
      </c>
      <c r="F138" s="147">
        <v>912343</v>
      </c>
      <c r="G138" s="431">
        <f t="shared" ref="G138:G152" si="11">F138-E138</f>
        <v>100</v>
      </c>
      <c r="H138" s="99">
        <f>G138+'25'!H138</f>
        <v>2903</v>
      </c>
      <c r="I138" s="118"/>
      <c r="J138" s="328">
        <f>H138/DAY(B2)</f>
        <v>111.65384615384616</v>
      </c>
    </row>
    <row r="139" spans="1:15" ht="25.5">
      <c r="A139" s="880" t="s">
        <v>186</v>
      </c>
      <c r="B139" s="880"/>
      <c r="C139" s="880"/>
      <c r="D139" s="151" t="s">
        <v>183</v>
      </c>
      <c r="E139" s="95">
        <f>'25'!F139</f>
        <v>936310</v>
      </c>
      <c r="F139" s="148">
        <v>936459</v>
      </c>
      <c r="G139" s="431">
        <f t="shared" si="11"/>
        <v>149</v>
      </c>
      <c r="H139" s="99">
        <f>G139+'25'!H139</f>
        <v>4099</v>
      </c>
      <c r="I139" s="118"/>
      <c r="J139" s="328">
        <f>H139/DAY(B2)</f>
        <v>157.65384615384616</v>
      </c>
    </row>
    <row r="140" spans="1:15" ht="25.5">
      <c r="A140" s="880" t="s">
        <v>187</v>
      </c>
      <c r="B140" s="880"/>
      <c r="C140" s="880"/>
      <c r="D140" s="151" t="s">
        <v>183</v>
      </c>
      <c r="E140" s="95">
        <f>'25'!F140</f>
        <v>4619</v>
      </c>
      <c r="F140" s="148">
        <v>4639.72</v>
      </c>
      <c r="G140" s="431">
        <f t="shared" si="11"/>
        <v>20.720000000000255</v>
      </c>
      <c r="H140" s="99">
        <f>G140+'25'!H140</f>
        <v>606.20900000000029</v>
      </c>
      <c r="I140" s="118"/>
      <c r="J140" s="328">
        <f>H140/DAY(B2)</f>
        <v>23.315730769230779</v>
      </c>
    </row>
    <row r="141" spans="1:15" ht="25.5">
      <c r="A141" s="863" t="s">
        <v>188</v>
      </c>
      <c r="B141" s="863"/>
      <c r="C141" s="863"/>
      <c r="D141" s="151" t="s">
        <v>183</v>
      </c>
      <c r="E141" s="95">
        <f>'25'!F141</f>
        <v>129961</v>
      </c>
      <c r="F141" s="148">
        <v>130194.1</v>
      </c>
      <c r="G141" s="431">
        <f t="shared" si="11"/>
        <v>233.10000000000582</v>
      </c>
      <c r="H141" s="99">
        <f>G141+'25'!H141</f>
        <v>5596.1000000000058</v>
      </c>
      <c r="I141" s="118"/>
      <c r="J141" s="328">
        <f>H141/DAY(B2)</f>
        <v>215.23461538461561</v>
      </c>
    </row>
    <row r="142" spans="1:15" ht="25.5">
      <c r="A142" s="863" t="s">
        <v>189</v>
      </c>
      <c r="B142" s="863"/>
      <c r="C142" s="863"/>
      <c r="D142" s="151" t="s">
        <v>183</v>
      </c>
      <c r="E142" s="95">
        <f>'25'!F142</f>
        <v>52698</v>
      </c>
      <c r="F142" s="148">
        <v>52780.01</v>
      </c>
      <c r="G142" s="431">
        <f t="shared" si="11"/>
        <v>82.010000000002037</v>
      </c>
      <c r="H142" s="99">
        <f>G142+'25'!H142</f>
        <v>2214.4599999999991</v>
      </c>
      <c r="I142" s="140"/>
      <c r="J142" s="328">
        <f>H142/DAY(B2)</f>
        <v>85.171538461538432</v>
      </c>
    </row>
    <row r="143" spans="1:15" ht="25.5">
      <c r="A143" s="880" t="s">
        <v>91</v>
      </c>
      <c r="B143" s="880"/>
      <c r="C143" s="880"/>
      <c r="D143" s="151" t="s">
        <v>183</v>
      </c>
      <c r="E143" s="95">
        <f>'25'!F143</f>
        <v>14140</v>
      </c>
      <c r="F143" s="148">
        <v>14159.7</v>
      </c>
      <c r="G143" s="431">
        <f t="shared" si="11"/>
        <v>19.700000000000728</v>
      </c>
      <c r="H143" s="99">
        <f>G143+'25'!H143</f>
        <v>772.70000000000073</v>
      </c>
      <c r="I143" s="140"/>
      <c r="J143" s="328">
        <f>H143/DAY(B2)</f>
        <v>29.719230769230798</v>
      </c>
    </row>
    <row r="144" spans="1:15" ht="25.5">
      <c r="A144" s="863" t="s">
        <v>90</v>
      </c>
      <c r="B144" s="863"/>
      <c r="C144" s="863"/>
      <c r="D144" s="151" t="s">
        <v>183</v>
      </c>
      <c r="E144" s="95">
        <f>'25'!F144</f>
        <v>961609</v>
      </c>
      <c r="F144" s="148">
        <v>961865</v>
      </c>
      <c r="G144" s="431">
        <f t="shared" si="11"/>
        <v>256</v>
      </c>
      <c r="H144" s="99">
        <f>G144+'25'!H144</f>
        <v>6395</v>
      </c>
      <c r="I144" s="140"/>
      <c r="J144" s="328">
        <f>H144/DAY(B2)</f>
        <v>245.96153846153845</v>
      </c>
    </row>
    <row r="145" spans="1:10" ht="25.5">
      <c r="A145" s="880" t="s">
        <v>190</v>
      </c>
      <c r="B145" s="880"/>
      <c r="C145" s="880"/>
      <c r="D145" s="152" t="s">
        <v>183</v>
      </c>
      <c r="E145" s="95">
        <f>'25'!F145</f>
        <v>749563</v>
      </c>
      <c r="F145" s="148">
        <v>749833</v>
      </c>
      <c r="G145" s="431">
        <f t="shared" si="11"/>
        <v>270</v>
      </c>
      <c r="H145" s="99">
        <f>G145+'25'!H145</f>
        <v>4652</v>
      </c>
      <c r="I145" s="140"/>
      <c r="J145" s="328">
        <f>H145/DAY(B2)</f>
        <v>178.92307692307693</v>
      </c>
    </row>
    <row r="146" spans="1:10" ht="25.5">
      <c r="A146" s="914" t="s">
        <v>191</v>
      </c>
      <c r="B146" s="900"/>
      <c r="C146" s="901"/>
      <c r="D146" s="152" t="s">
        <v>183</v>
      </c>
      <c r="E146" s="95">
        <f>'25'!F146</f>
        <v>788763</v>
      </c>
      <c r="F146" s="148">
        <v>788791</v>
      </c>
      <c r="G146" s="431">
        <f t="shared" si="11"/>
        <v>28</v>
      </c>
      <c r="H146" s="99">
        <f>G146+'25'!H146</f>
        <v>933</v>
      </c>
      <c r="I146" s="140"/>
      <c r="J146" s="328">
        <f>H146/DAY(B2)</f>
        <v>35.884615384615387</v>
      </c>
    </row>
    <row r="147" spans="1:10" ht="25.5">
      <c r="A147" s="863" t="s">
        <v>192</v>
      </c>
      <c r="B147" s="863"/>
      <c r="C147" s="863"/>
      <c r="D147" s="152" t="s">
        <v>183</v>
      </c>
      <c r="E147" s="95">
        <f>'25'!F147</f>
        <v>769377.8</v>
      </c>
      <c r="F147" s="148">
        <v>769738</v>
      </c>
      <c r="G147" s="431">
        <f t="shared" si="11"/>
        <v>360.19999999995343</v>
      </c>
      <c r="H147" s="99">
        <f>G147+'25'!H147</f>
        <v>9600</v>
      </c>
      <c r="I147" s="140"/>
      <c r="J147" s="328">
        <f>H147/DAY(B2)</f>
        <v>369.23076923076923</v>
      </c>
    </row>
    <row r="148" spans="1:10" ht="25.5">
      <c r="A148" s="864" t="s">
        <v>193</v>
      </c>
      <c r="B148" s="865"/>
      <c r="C148" s="866"/>
      <c r="D148" s="123" t="s">
        <v>130</v>
      </c>
      <c r="E148" s="95">
        <f>'25'!F148</f>
        <v>804578</v>
      </c>
      <c r="F148" s="164">
        <v>805030</v>
      </c>
      <c r="G148" s="431">
        <f t="shared" si="11"/>
        <v>452</v>
      </c>
      <c r="H148" s="99">
        <f>G148+'25'!H148</f>
        <v>8617.9200000000419</v>
      </c>
      <c r="I148" s="124"/>
      <c r="J148" s="328">
        <f>H148/DAY(B2)</f>
        <v>331.45846153846315</v>
      </c>
    </row>
    <row r="149" spans="1:10" ht="25.5">
      <c r="A149" s="864" t="s">
        <v>336</v>
      </c>
      <c r="B149" s="865"/>
      <c r="C149" s="866"/>
      <c r="D149" s="227" t="s">
        <v>130</v>
      </c>
      <c r="E149" s="95">
        <f>'25'!F149</f>
        <v>213271.6</v>
      </c>
      <c r="F149" s="415">
        <v>213885.6</v>
      </c>
      <c r="G149" s="431">
        <f t="shared" si="11"/>
        <v>614</v>
      </c>
      <c r="H149" s="99">
        <f>G149+'25'!H149</f>
        <v>12594.330000000016</v>
      </c>
      <c r="I149" s="119"/>
      <c r="J149" s="328">
        <f>H149/DAY(B2)</f>
        <v>484.39730769230835</v>
      </c>
    </row>
    <row r="150" spans="1:10" ht="25.5">
      <c r="A150" s="864" t="s">
        <v>337</v>
      </c>
      <c r="B150" s="865"/>
      <c r="C150" s="866"/>
      <c r="D150" s="117" t="s">
        <v>130</v>
      </c>
      <c r="E150" s="95">
        <f>'25'!F150</f>
        <v>90966.8</v>
      </c>
      <c r="F150" s="233">
        <v>91205.2</v>
      </c>
      <c r="G150" s="431">
        <f t="shared" si="11"/>
        <v>238.39999999999418</v>
      </c>
      <c r="H150" s="99">
        <f>G150+'25'!H150</f>
        <v>8618.1999999999971</v>
      </c>
      <c r="I150" s="119"/>
      <c r="J150" s="328">
        <f>H150/DAY(B2)</f>
        <v>331.46923076923065</v>
      </c>
    </row>
    <row r="151" spans="1:10" ht="25.5">
      <c r="A151" s="864" t="s">
        <v>338</v>
      </c>
      <c r="B151" s="865"/>
      <c r="C151" s="866"/>
      <c r="D151" s="117" t="s">
        <v>130</v>
      </c>
      <c r="E151" s="95">
        <f>'25'!F151</f>
        <v>174321</v>
      </c>
      <c r="F151" s="233">
        <v>174611</v>
      </c>
      <c r="G151" s="431">
        <f t="shared" si="11"/>
        <v>290</v>
      </c>
      <c r="H151" s="99">
        <f>G151+'25'!H151</f>
        <v>7881</v>
      </c>
      <c r="I151" s="119"/>
      <c r="J151" s="328">
        <f>H151/DAY(B2)</f>
        <v>303.11538461538464</v>
      </c>
    </row>
    <row r="152" spans="1:10" ht="25.5">
      <c r="A152" s="864" t="s">
        <v>339</v>
      </c>
      <c r="B152" s="865"/>
      <c r="C152" s="866"/>
      <c r="D152" s="117" t="s">
        <v>130</v>
      </c>
      <c r="E152" s="95">
        <f>'25'!F152</f>
        <v>45821</v>
      </c>
      <c r="F152" s="233">
        <v>45955.11</v>
      </c>
      <c r="G152" s="431">
        <f t="shared" si="11"/>
        <v>134.11000000000058</v>
      </c>
      <c r="H152" s="99">
        <f>G152+'25'!H152</f>
        <v>3444.1100000000006</v>
      </c>
      <c r="I152" s="119"/>
      <c r="J152" s="328">
        <f>H152/DAY(B2)</f>
        <v>132.46576923076924</v>
      </c>
    </row>
    <row r="153" spans="1:10" ht="25.5">
      <c r="A153" s="787" t="s">
        <v>196</v>
      </c>
      <c r="B153" s="788"/>
      <c r="C153" s="365"/>
      <c r="D153" s="358"/>
      <c r="E153" s="360"/>
      <c r="F153" s="361"/>
      <c r="G153" s="453">
        <f>SUM(G138:G152)</f>
        <v>3247.239999999957</v>
      </c>
      <c r="H153" s="363"/>
      <c r="I153" s="119">
        <f>G153-(G38+G52)</f>
        <v>615.53999999993812</v>
      </c>
      <c r="J153" s="366"/>
    </row>
    <row r="154" spans="1:10" ht="27.75">
      <c r="A154" s="869" t="s">
        <v>344</v>
      </c>
      <c r="B154" s="869"/>
      <c r="C154" s="869"/>
      <c r="D154" s="869"/>
      <c r="E154" s="869"/>
      <c r="F154" s="869"/>
      <c r="G154" s="869"/>
      <c r="H154" s="869"/>
      <c r="I154" s="869"/>
      <c r="J154" s="869"/>
    </row>
    <row r="155" spans="1:10" ht="27.75">
      <c r="A155" s="863" t="s">
        <v>345</v>
      </c>
      <c r="B155" s="863"/>
      <c r="C155" s="863"/>
      <c r="D155" s="117" t="s">
        <v>130</v>
      </c>
      <c r="E155" s="95">
        <f>'25'!F155</f>
        <v>253036</v>
      </c>
      <c r="F155" s="157">
        <v>253580.7</v>
      </c>
      <c r="G155" s="431">
        <f t="shared" ref="G155:G158" si="12">F155-E155</f>
        <v>544.70000000001164</v>
      </c>
      <c r="H155" s="99">
        <f>G155+'25'!H155</f>
        <v>14546.700000000012</v>
      </c>
      <c r="I155" s="364"/>
      <c r="J155" s="328">
        <f>H155/DAY(B2)</f>
        <v>559.48846153846193</v>
      </c>
    </row>
    <row r="156" spans="1:10" ht="25.5">
      <c r="A156" s="863" t="s">
        <v>347</v>
      </c>
      <c r="B156" s="863"/>
      <c r="C156" s="863"/>
      <c r="D156" s="117" t="s">
        <v>130</v>
      </c>
      <c r="E156" s="95">
        <f>'25'!F156</f>
        <v>31977.599999999999</v>
      </c>
      <c r="F156" s="157">
        <v>32072.799999999999</v>
      </c>
      <c r="G156" s="431">
        <f t="shared" si="12"/>
        <v>95.200000000000728</v>
      </c>
      <c r="H156" s="99">
        <f>G156+'25'!H156</f>
        <v>2393.2999999999993</v>
      </c>
      <c r="I156" s="165"/>
      <c r="J156" s="328">
        <f>H156/DAY(B2)</f>
        <v>92.049999999999969</v>
      </c>
    </row>
    <row r="157" spans="1:10" ht="25.5">
      <c r="A157" s="864" t="s">
        <v>360</v>
      </c>
      <c r="B157" s="865"/>
      <c r="C157" s="866"/>
      <c r="D157" s="117" t="s">
        <v>130</v>
      </c>
      <c r="E157" s="95">
        <f>'25'!F157</f>
        <v>468.14</v>
      </c>
      <c r="F157" s="155">
        <v>566.15</v>
      </c>
      <c r="G157" s="431">
        <f t="shared" si="12"/>
        <v>98.009999999999991</v>
      </c>
      <c r="H157" s="99">
        <f>G157+'25'!H157</f>
        <v>461.54999999999995</v>
      </c>
      <c r="I157" s="165"/>
      <c r="J157" s="328">
        <f>H157/DAY(B2)</f>
        <v>17.751923076923074</v>
      </c>
    </row>
    <row r="158" spans="1:10" ht="25.5">
      <c r="A158" s="864" t="s">
        <v>361</v>
      </c>
      <c r="B158" s="865"/>
      <c r="C158" s="866"/>
      <c r="D158" s="117" t="s">
        <v>130</v>
      </c>
      <c r="E158" s="95">
        <f>'25'!F158</f>
        <v>1780.5</v>
      </c>
      <c r="F158" s="155">
        <v>1780.5</v>
      </c>
      <c r="G158" s="431">
        <f t="shared" si="12"/>
        <v>0</v>
      </c>
      <c r="H158" s="99">
        <f>G158+'25'!H158</f>
        <v>7.7999999999999545</v>
      </c>
      <c r="I158" s="165"/>
      <c r="J158" s="328">
        <f>H158/DAY(B2)</f>
        <v>0.29999999999999827</v>
      </c>
    </row>
    <row r="159" spans="1:10" ht="25.5">
      <c r="A159" s="944"/>
      <c r="B159" s="945"/>
      <c r="C159" s="946"/>
      <c r="D159" s="117"/>
      <c r="E159" s="95"/>
      <c r="F159" s="165"/>
      <c r="G159" s="431"/>
      <c r="H159" s="99"/>
      <c r="I159" s="165"/>
      <c r="J159" s="328"/>
    </row>
    <row r="160" spans="1:10" ht="27.75">
      <c r="A160" s="869" t="s">
        <v>326</v>
      </c>
      <c r="B160" s="869"/>
      <c r="C160" s="869"/>
      <c r="D160" s="869"/>
      <c r="E160" s="869"/>
      <c r="F160" s="869"/>
      <c r="G160" s="869"/>
      <c r="H160" s="869"/>
      <c r="I160" s="869"/>
      <c r="J160" s="869"/>
    </row>
    <row r="161" spans="1:10" ht="26.25">
      <c r="A161" s="242" t="s">
        <v>92</v>
      </c>
      <c r="B161" s="243"/>
      <c r="C161" s="243"/>
      <c r="D161" s="244" t="s">
        <v>180</v>
      </c>
      <c r="E161" s="95">
        <f>'25'!F161</f>
        <v>511880</v>
      </c>
      <c r="F161" s="235">
        <v>511942.76</v>
      </c>
      <c r="G161" s="454">
        <f t="shared" ref="G161:G165" si="13">F161-E161</f>
        <v>62.760000000009313</v>
      </c>
      <c r="H161" s="99">
        <f>G161+'25'!H161</f>
        <v>3559.4400000000023</v>
      </c>
      <c r="I161" s="236"/>
      <c r="J161" s="239">
        <f>H161/DAY(B2)</f>
        <v>136.90153846153856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'25'!F162</f>
        <v>1615.5</v>
      </c>
      <c r="F162" s="235">
        <v>1631.5</v>
      </c>
      <c r="G162" s="454">
        <f t="shared" si="13"/>
        <v>16</v>
      </c>
      <c r="H162" s="99">
        <f>G162+'25'!H162</f>
        <v>894.9</v>
      </c>
      <c r="I162" s="236"/>
      <c r="J162" s="239">
        <f>H162/DAY(B2)</f>
        <v>34.419230769230765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'25'!F163</f>
        <v>0</v>
      </c>
      <c r="F163" s="235">
        <v>0</v>
      </c>
      <c r="G163" s="454">
        <f t="shared" si="13"/>
        <v>0</v>
      </c>
      <c r="H163" s="99">
        <f>G163+'25'!H163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'25'!F164</f>
        <v>7323.9</v>
      </c>
      <c r="F164" s="235">
        <v>7326.5</v>
      </c>
      <c r="G164" s="454">
        <f t="shared" si="13"/>
        <v>2.6000000000003638</v>
      </c>
      <c r="H164" s="99">
        <f>G164+'25'!H164</f>
        <v>127.5</v>
      </c>
      <c r="I164" s="236"/>
      <c r="J164" s="239">
        <f>H164/DAY(B2)</f>
        <v>4.9038461538461542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'25'!F165</f>
        <v>32942</v>
      </c>
      <c r="F165" s="235">
        <v>32944</v>
      </c>
      <c r="G165" s="454">
        <f t="shared" si="13"/>
        <v>2</v>
      </c>
      <c r="H165" s="99">
        <f>G165+'25'!H165</f>
        <v>163.91199999999662</v>
      </c>
      <c r="I165" s="236"/>
      <c r="J165" s="239">
        <f>H165/DAY(B2)</f>
        <v>6.304307692307562</v>
      </c>
    </row>
    <row r="166" spans="1:10" ht="26.25">
      <c r="A166" s="870"/>
      <c r="B166" s="870"/>
      <c r="C166" s="246"/>
      <c r="D166" s="244" t="s">
        <v>180</v>
      </c>
      <c r="E166" s="95">
        <f>'25'!F166</f>
        <v>0</v>
      </c>
      <c r="F166" s="165"/>
      <c r="G166" s="451"/>
      <c r="H166" s="99">
        <f>G166+'25'!H166</f>
        <v>0</v>
      </c>
      <c r="I166" s="165"/>
      <c r="J166" s="239">
        <f>H166/DAY(B2)</f>
        <v>0</v>
      </c>
    </row>
    <row r="167" spans="1:10" ht="26.25">
      <c r="A167" s="870"/>
      <c r="B167" s="870"/>
      <c r="C167" s="246"/>
      <c r="D167" s="244" t="s">
        <v>180</v>
      </c>
      <c r="E167" s="95">
        <f>'25'!F167</f>
        <v>0</v>
      </c>
      <c r="F167" s="165"/>
      <c r="G167" s="451"/>
      <c r="H167" s="99">
        <f>G167+'25'!H167</f>
        <v>0</v>
      </c>
      <c r="I167" s="165"/>
      <c r="J167" s="239">
        <f>H167/DAY(B2)</f>
        <v>0</v>
      </c>
    </row>
    <row r="168" spans="1:10" ht="26.25">
      <c r="A168" s="870"/>
      <c r="B168" s="870"/>
      <c r="C168" s="246"/>
      <c r="D168" s="244" t="s">
        <v>180</v>
      </c>
      <c r="E168" s="95">
        <f>'25'!F168</f>
        <v>0</v>
      </c>
      <c r="F168" s="165"/>
      <c r="G168" s="451"/>
      <c r="H168" s="99">
        <f>G168+'25'!H168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71" t="s">
        <v>330</v>
      </c>
      <c r="B171" s="872"/>
      <c r="C171" s="872"/>
      <c r="D171" s="872"/>
      <c r="E171" s="872"/>
      <c r="F171" s="872"/>
      <c r="G171" s="872"/>
      <c r="H171" s="872"/>
      <c r="I171" s="872"/>
      <c r="J171" s="873"/>
    </row>
    <row r="172" spans="1:10" ht="25.5">
      <c r="A172" s="878"/>
      <c r="B172" s="879"/>
      <c r="C172" s="332"/>
      <c r="D172" s="228"/>
      <c r="E172" s="155"/>
      <c r="F172" s="155"/>
      <c r="G172" s="455"/>
      <c r="H172" s="156"/>
      <c r="I172" s="155"/>
      <c r="J172" s="178"/>
    </row>
    <row r="173" spans="1:10" ht="25.5">
      <c r="A173" s="789" t="s">
        <v>209</v>
      </c>
      <c r="B173" s="790"/>
      <c r="C173" s="333"/>
      <c r="D173" s="228" t="s">
        <v>142</v>
      </c>
      <c r="E173" s="95">
        <f>'25'!F173</f>
        <v>8612</v>
      </c>
      <c r="F173" s="155">
        <v>8612</v>
      </c>
      <c r="G173" s="455">
        <f>F173-E173</f>
        <v>0</v>
      </c>
      <c r="H173" s="99">
        <f>G173+'25'!H173</f>
        <v>30</v>
      </c>
      <c r="I173" s="155"/>
      <c r="J173" s="178">
        <f>H173/DAY(B2)</f>
        <v>1.1538461538461537</v>
      </c>
    </row>
    <row r="174" spans="1:10" ht="25.5">
      <c r="A174" s="789" t="s">
        <v>75</v>
      </c>
      <c r="B174" s="790"/>
      <c r="C174" s="333"/>
      <c r="D174" s="228" t="s">
        <v>142</v>
      </c>
      <c r="E174" s="95">
        <f>'25'!F174</f>
        <v>43348</v>
      </c>
      <c r="F174" s="157">
        <v>43358</v>
      </c>
      <c r="G174" s="455">
        <f t="shared" ref="G174:G175" si="14">F174-E174</f>
        <v>10</v>
      </c>
      <c r="H174" s="99">
        <f>G174+'25'!H174</f>
        <v>308</v>
      </c>
      <c r="I174" s="155"/>
      <c r="J174" s="178">
        <f>H174/DAY(B2)</f>
        <v>11.846153846153847</v>
      </c>
    </row>
    <row r="175" spans="1:10" ht="25.5">
      <c r="A175" s="789" t="s">
        <v>76</v>
      </c>
      <c r="B175" s="802"/>
      <c r="C175" s="790"/>
      <c r="D175" s="228" t="s">
        <v>142</v>
      </c>
      <c r="E175" s="95">
        <f>'25'!F175</f>
        <v>26201</v>
      </c>
      <c r="F175" s="155">
        <v>26214</v>
      </c>
      <c r="G175" s="455">
        <f t="shared" si="14"/>
        <v>13</v>
      </c>
      <c r="H175" s="99">
        <f>G175+'25'!H175</f>
        <v>393</v>
      </c>
      <c r="I175" s="155"/>
      <c r="J175" s="178">
        <f>H175/DAY(B2)</f>
        <v>15.115384615384615</v>
      </c>
    </row>
    <row r="176" spans="1:10" ht="25.5">
      <c r="A176" s="787" t="s">
        <v>196</v>
      </c>
      <c r="B176" s="788"/>
      <c r="C176" s="400"/>
      <c r="D176" s="228" t="s">
        <v>142</v>
      </c>
      <c r="E176" s="95"/>
      <c r="F176" s="155"/>
      <c r="G176" s="455">
        <f>SUM(G173:G175)</f>
        <v>23</v>
      </c>
      <c r="H176" s="99">
        <f>G176+'25'!H176</f>
        <v>731</v>
      </c>
      <c r="I176" s="155"/>
      <c r="J176" s="178">
        <f>H176/DAY(B2)</f>
        <v>28.115384615384617</v>
      </c>
    </row>
    <row r="177" spans="1:10" ht="25.5">
      <c r="A177" s="789" t="s">
        <v>77</v>
      </c>
      <c r="B177" s="790"/>
      <c r="C177" s="333"/>
      <c r="D177" s="228" t="s">
        <v>142</v>
      </c>
      <c r="E177" s="95"/>
      <c r="F177" s="155"/>
      <c r="G177" s="455"/>
      <c r="H177" s="99">
        <f>G177+'25'!H177</f>
        <v>0</v>
      </c>
      <c r="I177" s="155"/>
      <c r="J177" s="178">
        <f>H177/DAY(B2)</f>
        <v>0</v>
      </c>
    </row>
    <row r="178" spans="1:10" ht="25.5">
      <c r="A178" s="789" t="s">
        <v>210</v>
      </c>
      <c r="B178" s="790"/>
      <c r="C178" s="333"/>
      <c r="D178" s="228" t="s">
        <v>142</v>
      </c>
      <c r="E178" s="95">
        <f>'25'!F178</f>
        <v>109798</v>
      </c>
      <c r="F178" s="155">
        <v>109891</v>
      </c>
      <c r="G178" s="455">
        <f>F178-E178</f>
        <v>93</v>
      </c>
      <c r="H178" s="99">
        <f>G178+'25'!H178</f>
        <v>2892</v>
      </c>
      <c r="I178" s="155"/>
      <c r="J178" s="178">
        <f>H178/DAY(B2)</f>
        <v>111.23076923076923</v>
      </c>
    </row>
    <row r="179" spans="1:10" ht="25.5">
      <c r="A179" s="789" t="s">
        <v>211</v>
      </c>
      <c r="B179" s="790"/>
      <c r="C179" s="333"/>
      <c r="D179" s="228" t="s">
        <v>142</v>
      </c>
      <c r="E179" s="95">
        <f>'25'!F179</f>
        <v>37501</v>
      </c>
      <c r="F179" s="155">
        <v>37501</v>
      </c>
      <c r="G179" s="455">
        <f t="shared" ref="G179:G180" si="15">F179-E179</f>
        <v>0</v>
      </c>
      <c r="H179" s="99">
        <f>G179+'25'!H179</f>
        <v>0</v>
      </c>
      <c r="I179" s="155"/>
      <c r="J179" s="178">
        <f>H179/DAY(B2)</f>
        <v>0</v>
      </c>
    </row>
    <row r="180" spans="1:10" ht="25.5">
      <c r="A180" s="789" t="s">
        <v>212</v>
      </c>
      <c r="B180" s="790"/>
      <c r="C180" s="333"/>
      <c r="D180" s="228" t="s">
        <v>142</v>
      </c>
      <c r="E180" s="95">
        <f>'25'!F180</f>
        <v>7682</v>
      </c>
      <c r="F180" s="155">
        <v>7682</v>
      </c>
      <c r="G180" s="455">
        <f t="shared" si="15"/>
        <v>0</v>
      </c>
      <c r="H180" s="99">
        <f>G180+'25'!H180</f>
        <v>119</v>
      </c>
      <c r="I180" s="155"/>
      <c r="J180" s="178">
        <f>H180/DAY(B2)</f>
        <v>4.5769230769230766</v>
      </c>
    </row>
    <row r="181" spans="1:10" ht="25.5">
      <c r="A181" s="876" t="s">
        <v>108</v>
      </c>
      <c r="B181" s="877"/>
      <c r="C181" s="400"/>
      <c r="D181" s="228" t="s">
        <v>142</v>
      </c>
      <c r="E181" s="95"/>
      <c r="F181" s="155"/>
      <c r="G181" s="455">
        <f>SUM(G178:G180)</f>
        <v>93</v>
      </c>
      <c r="H181" s="99">
        <f>G181+'25'!H181</f>
        <v>3011</v>
      </c>
      <c r="I181" s="155"/>
      <c r="J181" s="178">
        <f>H181/DAY(B2)</f>
        <v>115.80769230769231</v>
      </c>
    </row>
    <row r="182" spans="1:10" ht="25.5">
      <c r="A182" s="789" t="s">
        <v>213</v>
      </c>
      <c r="B182" s="790"/>
      <c r="C182" s="333"/>
      <c r="D182" s="228" t="s">
        <v>142</v>
      </c>
      <c r="E182" s="95"/>
      <c r="F182" s="155"/>
      <c r="G182" s="455"/>
      <c r="H182" s="99">
        <f>G182+'25'!H182</f>
        <v>0</v>
      </c>
      <c r="I182" s="155"/>
      <c r="J182" s="178">
        <f>H182/DAY(B2)</f>
        <v>0</v>
      </c>
    </row>
    <row r="183" spans="1:10" ht="25.5">
      <c r="A183" s="789" t="s">
        <v>214</v>
      </c>
      <c r="B183" s="790"/>
      <c r="C183" s="334"/>
      <c r="D183" s="228" t="s">
        <v>142</v>
      </c>
      <c r="E183" s="95">
        <f>'25'!F183</f>
        <v>18552</v>
      </c>
      <c r="F183" s="157">
        <v>18582</v>
      </c>
      <c r="G183" s="456">
        <f>F183-E183</f>
        <v>30</v>
      </c>
      <c r="H183" s="99">
        <f>G183+'25'!H183</f>
        <v>204</v>
      </c>
      <c r="I183" s="155"/>
      <c r="J183" s="178">
        <f>H183/DAY(B2)</f>
        <v>7.8461538461538458</v>
      </c>
    </row>
    <row r="184" spans="1:10" ht="25.5">
      <c r="A184" s="789" t="s">
        <v>215</v>
      </c>
      <c r="B184" s="790"/>
      <c r="C184" s="334"/>
      <c r="D184" s="228" t="s">
        <v>142</v>
      </c>
      <c r="E184" s="95">
        <f>'25'!F184</f>
        <v>13203</v>
      </c>
      <c r="F184" s="157">
        <v>13208</v>
      </c>
      <c r="G184" s="456">
        <f t="shared" ref="G184:G185" si="16">F184-E184</f>
        <v>5</v>
      </c>
      <c r="H184" s="99">
        <f>G184+'25'!H184</f>
        <v>228</v>
      </c>
      <c r="I184" s="155"/>
      <c r="J184" s="178">
        <f>H184/DAY(B2)</f>
        <v>8.7692307692307701</v>
      </c>
    </row>
    <row r="185" spans="1:10" ht="25.5">
      <c r="A185" s="789" t="s">
        <v>216</v>
      </c>
      <c r="B185" s="790"/>
      <c r="C185" s="334"/>
      <c r="D185" s="228" t="s">
        <v>142</v>
      </c>
      <c r="E185" s="95">
        <f>'25'!F185</f>
        <v>0</v>
      </c>
      <c r="F185" s="157"/>
      <c r="G185" s="456">
        <f t="shared" si="16"/>
        <v>0</v>
      </c>
      <c r="H185" s="99">
        <f>G185+'25'!H185</f>
        <v>0</v>
      </c>
      <c r="I185" s="155"/>
      <c r="J185" s="178">
        <f>H185/DAY(B2)</f>
        <v>0</v>
      </c>
    </row>
    <row r="186" spans="1:10" ht="25.5">
      <c r="A186" s="787" t="s">
        <v>196</v>
      </c>
      <c r="B186" s="788"/>
      <c r="C186" s="399"/>
      <c r="D186" s="228" t="s">
        <v>142</v>
      </c>
      <c r="E186" s="95"/>
      <c r="F186" s="157"/>
      <c r="G186" s="456">
        <f>SUM(G183:G185)</f>
        <v>35</v>
      </c>
      <c r="H186" s="99">
        <f>G186+'25'!H186</f>
        <v>432</v>
      </c>
      <c r="I186" s="157"/>
      <c r="J186" s="178">
        <f>H186/DAY(B2)</f>
        <v>16.615384615384617</v>
      </c>
    </row>
    <row r="187" spans="1:10" ht="25.5">
      <c r="A187" s="867" t="s">
        <v>217</v>
      </c>
      <c r="B187" s="868"/>
      <c r="C187" s="333"/>
      <c r="D187" s="228" t="s">
        <v>142</v>
      </c>
      <c r="E187" s="95">
        <f>'25'!F187</f>
        <v>0</v>
      </c>
      <c r="F187" s="159"/>
      <c r="G187" s="457">
        <f>G62+G19</f>
        <v>225.59999999997672</v>
      </c>
      <c r="H187" s="99">
        <f>G187+'25'!H187</f>
        <v>4318</v>
      </c>
      <c r="I187" s="158"/>
      <c r="J187" s="179">
        <f>H187/DAY(B2)</f>
        <v>166.07692307692307</v>
      </c>
    </row>
    <row r="188" spans="1:10" ht="25.5">
      <c r="A188" s="867" t="s">
        <v>218</v>
      </c>
      <c r="B188" s="868"/>
      <c r="C188" s="333"/>
      <c r="D188" s="228" t="s">
        <v>142</v>
      </c>
      <c r="E188" s="95">
        <f>'25'!F188</f>
        <v>0</v>
      </c>
      <c r="F188" s="159"/>
      <c r="G188" s="457">
        <f>G65+G66+G67+G69+G70</f>
        <v>224</v>
      </c>
      <c r="H188" s="99">
        <f>G188+'25'!H188</f>
        <v>2269</v>
      </c>
      <c r="I188" s="158"/>
      <c r="J188" s="179">
        <f>H188/DAY(B2)</f>
        <v>87.269230769230774</v>
      </c>
    </row>
    <row r="189" spans="1:10" ht="25.5">
      <c r="A189" s="867" t="s">
        <v>219</v>
      </c>
      <c r="B189" s="868"/>
      <c r="C189" s="333"/>
      <c r="D189" s="228" t="s">
        <v>142</v>
      </c>
      <c r="E189" s="95">
        <f>'25'!F189</f>
        <v>0</v>
      </c>
      <c r="F189" s="157"/>
      <c r="G189" s="457">
        <f>G181</f>
        <v>93</v>
      </c>
      <c r="H189" s="99">
        <f>G189+'25'!H189</f>
        <v>890</v>
      </c>
      <c r="I189" s="158"/>
      <c r="J189" s="179">
        <f>H189/DAY(B2)</f>
        <v>34.230769230769234</v>
      </c>
    </row>
    <row r="190" spans="1:10" ht="25.5">
      <c r="A190" s="874"/>
      <c r="B190" s="875"/>
      <c r="C190" s="398"/>
      <c r="D190" s="395"/>
      <c r="E190" s="395" t="s">
        <v>207</v>
      </c>
      <c r="F190" s="395"/>
      <c r="G190" s="552"/>
      <c r="H190" s="396"/>
      <c r="I190" s="395"/>
      <c r="J190" s="397"/>
    </row>
    <row r="191" spans="1:10" ht="26.25">
      <c r="F191" s="160">
        <f>515993-516223</f>
        <v>-230</v>
      </c>
    </row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84:B184"/>
    <mergeCell ref="A183:B183"/>
    <mergeCell ref="A180:B180"/>
    <mergeCell ref="A181:B181"/>
    <mergeCell ref="A182:B182"/>
    <mergeCell ref="A175:C175"/>
    <mergeCell ref="A177:B177"/>
    <mergeCell ref="A178:B178"/>
    <mergeCell ref="A179:B179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</mergeCells>
  <pageMargins left="0.22" right="0.17" top="0.14000000000000001" bottom="0.2" header="0.2" footer="0.2"/>
  <pageSetup paperSize="5" scale="20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50"/>
    <pageSetUpPr fitToPage="1"/>
  </sheetPr>
  <dimension ref="A1:R1701"/>
  <sheetViews>
    <sheetView view="pageBreakPreview" topLeftCell="A154" zoomScale="55" zoomScaleSheetLayoutView="55" workbookViewId="0">
      <selection activeCell="F133" sqref="F133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19" t="s">
        <v>115</v>
      </c>
      <c r="B1" s="920"/>
      <c r="C1" s="920"/>
      <c r="D1" s="920"/>
      <c r="E1" s="920"/>
      <c r="F1" s="920"/>
      <c r="G1" s="920"/>
      <c r="H1" s="920"/>
      <c r="I1" s="920"/>
      <c r="J1" s="921"/>
    </row>
    <row r="2" spans="1:15" s="57" customFormat="1" ht="23.25">
      <c r="A2" s="191" t="s">
        <v>354</v>
      </c>
      <c r="B2" s="262">
        <v>44953</v>
      </c>
      <c r="C2" s="348" t="s">
        <v>67</v>
      </c>
      <c r="D2" s="218">
        <v>0.76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32</v>
      </c>
      <c r="E3" s="928" t="s">
        <v>119</v>
      </c>
      <c r="F3" s="929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0.76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/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22" t="s">
        <v>128</v>
      </c>
      <c r="B6" s="923"/>
      <c r="C6" s="92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'26'!F7</f>
        <v>510986.11</v>
      </c>
      <c r="F7" s="95">
        <v>533037.6</v>
      </c>
      <c r="G7" s="112">
        <f>F7-E7</f>
        <v>22051.489999999991</v>
      </c>
      <c r="H7" s="99">
        <f>G7+'26'!H7</f>
        <v>555418.6</v>
      </c>
      <c r="I7" s="113">
        <f>'1'!I7</f>
        <v>12000</v>
      </c>
      <c r="J7" s="175">
        <f>H7/DAY(B2)</f>
        <v>20571.059259259258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'26'!F8</f>
        <v>701830.23</v>
      </c>
      <c r="F8" s="114">
        <v>724271.35</v>
      </c>
      <c r="G8" s="115">
        <f>F8-E8</f>
        <v>22441.119999999995</v>
      </c>
      <c r="H8" s="99">
        <f>G8+'26'!H8</f>
        <v>566414.35</v>
      </c>
      <c r="I8" s="116"/>
      <c r="J8" s="175">
        <f>H8/DAY(B2)</f>
        <v>20978.309259259258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'26'!F9</f>
        <v>4763799.0999999996</v>
      </c>
      <c r="F9" s="468">
        <v>4775444.3</v>
      </c>
      <c r="G9" s="112">
        <f>F9-E9</f>
        <v>11645.200000000186</v>
      </c>
      <c r="H9" s="99">
        <f>G9+'26'!H9</f>
        <v>358838.39999999944</v>
      </c>
      <c r="I9" s="124">
        <f>I7-J7</f>
        <v>-8571.0592592592584</v>
      </c>
      <c r="J9" s="175">
        <f>H9/DAY(B2)</f>
        <v>13290.31111111109</v>
      </c>
      <c r="K9" s="79">
        <f>K8-100</f>
        <v>1715817</v>
      </c>
      <c r="L9" s="66"/>
      <c r="N9" s="87"/>
      <c r="O9" s="71">
        <f>G8-G7</f>
        <v>389.63000000000466</v>
      </c>
    </row>
    <row r="10" spans="1:15" ht="26.25">
      <c r="A10" s="194" t="s">
        <v>133</v>
      </c>
      <c r="B10" s="195"/>
      <c r="C10" s="195"/>
      <c r="D10" s="151" t="s">
        <v>130</v>
      </c>
      <c r="E10" s="95">
        <f>'26'!F10</f>
        <v>4243282.3</v>
      </c>
      <c r="F10" s="353">
        <v>4253110</v>
      </c>
      <c r="G10" s="112">
        <f t="shared" ref="G10:G12" si="0">F10-E10</f>
        <v>9827.7000000001863</v>
      </c>
      <c r="H10" s="99">
        <f>G10+'26'!H10</f>
        <v>183073.70000000019</v>
      </c>
      <c r="I10" s="282"/>
      <c r="J10" s="175">
        <f>H10/DAY(B2)</f>
        <v>6780.5074074074146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'26'!F11</f>
        <v>38700</v>
      </c>
      <c r="F11" s="95">
        <v>38700</v>
      </c>
      <c r="G11" s="112">
        <f t="shared" si="0"/>
        <v>0</v>
      </c>
      <c r="H11" s="99">
        <f>G11+'26'!H11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'26'!F12</f>
        <v>40550</v>
      </c>
      <c r="F12" s="117">
        <v>40550</v>
      </c>
      <c r="G12" s="112">
        <f t="shared" si="0"/>
        <v>0</v>
      </c>
      <c r="H12" s="99">
        <f>G12+'26'!H12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21472.900000000373</v>
      </c>
      <c r="H13" s="99">
        <f>G13+'26'!H13</f>
        <v>541912.09999999963</v>
      </c>
      <c r="I13" s="120">
        <f>G7-G13</f>
        <v>578.58999999961816</v>
      </c>
      <c r="J13" s="175">
        <f>H13/DAY(B2)</f>
        <v>20070.818518518503</v>
      </c>
      <c r="K13" s="79"/>
      <c r="L13" s="66"/>
      <c r="N13" s="87"/>
      <c r="O13" s="71"/>
    </row>
    <row r="14" spans="1:15" ht="26.25">
      <c r="A14" s="925" t="s">
        <v>137</v>
      </c>
      <c r="B14" s="926"/>
      <c r="C14" s="92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68">
        <f>'26'!F15</f>
        <v>2282850.17</v>
      </c>
      <c r="F15" s="468">
        <v>2284011</v>
      </c>
      <c r="G15" s="112">
        <f>(F15-E15)</f>
        <v>1160.8300000000745</v>
      </c>
      <c r="H15" s="99">
        <f>G15+'26'!H15</f>
        <v>30709.641999999993</v>
      </c>
      <c r="I15" s="113">
        <f>'1'!I15</f>
        <v>800</v>
      </c>
      <c r="J15" s="175">
        <f>H15/DAY(B2)</f>
        <v>1137.3941481481479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-337.39414814814791</v>
      </c>
      <c r="J16" s="176"/>
      <c r="K16" s="79"/>
      <c r="L16" s="66"/>
      <c r="N16" s="87"/>
      <c r="O16" s="71"/>
    </row>
    <row r="17" spans="1:15" ht="26.25">
      <c r="A17" s="925" t="s">
        <v>140</v>
      </c>
      <c r="B17" s="926"/>
      <c r="C17" s="92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02" t="s">
        <v>141</v>
      </c>
      <c r="B18" s="903"/>
      <c r="C18" s="904"/>
      <c r="D18" s="151" t="s">
        <v>142</v>
      </c>
      <c r="E18" s="95">
        <f>'26'!F18</f>
        <v>26</v>
      </c>
      <c r="F18" s="122">
        <v>21</v>
      </c>
      <c r="G18" s="119">
        <f>F18*10</f>
        <v>210</v>
      </c>
      <c r="H18" s="99">
        <f>G18+'26'!H18</f>
        <v>5800</v>
      </c>
      <c r="I18" s="113">
        <f>'1'!I18</f>
        <v>65</v>
      </c>
      <c r="J18" s="175">
        <f>H18/DAY(B2)</f>
        <v>214.81481481481481</v>
      </c>
      <c r="K18" s="79"/>
      <c r="L18" s="66"/>
      <c r="N18" s="87"/>
      <c r="O18" s="71"/>
    </row>
    <row r="19" spans="1:15" ht="25.5">
      <c r="A19" s="902" t="s">
        <v>69</v>
      </c>
      <c r="B19" s="903"/>
      <c r="C19" s="904"/>
      <c r="D19" s="151" t="s">
        <v>142</v>
      </c>
      <c r="E19" s="95">
        <f>'26'!F19</f>
        <v>171035</v>
      </c>
      <c r="F19" s="122">
        <v>171092</v>
      </c>
      <c r="G19" s="112">
        <f t="shared" ref="G19" si="1">F19-E19</f>
        <v>57</v>
      </c>
      <c r="H19" s="99">
        <f>G19+'26'!H19</f>
        <v>1527</v>
      </c>
      <c r="I19" s="335"/>
      <c r="J19" s="175">
        <f>H19/DAY(B2)</f>
        <v>56.555555555555557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267</v>
      </c>
      <c r="H20" s="99">
        <f>G20+'26'!H20</f>
        <v>7327</v>
      </c>
      <c r="I20" s="336">
        <f>I18-J20</f>
        <v>-206.37037037037038</v>
      </c>
      <c r="J20" s="175">
        <f>H20/DAY(B2)</f>
        <v>271.37037037037038</v>
      </c>
      <c r="K20" s="79"/>
      <c r="L20" s="66"/>
      <c r="N20" s="87"/>
      <c r="O20" s="71"/>
    </row>
    <row r="21" spans="1:15" ht="26.25">
      <c r="A21" s="925" t="s">
        <v>144</v>
      </c>
      <c r="B21" s="926"/>
      <c r="C21" s="92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'26'!F22</f>
        <v>2970</v>
      </c>
      <c r="F22" s="122">
        <v>2970</v>
      </c>
      <c r="G22" s="112">
        <f t="shared" ref="G22:G24" si="2">F22-E22</f>
        <v>0</v>
      </c>
      <c r="H22" s="99">
        <f>G22+'26'!H22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'26'!F23</f>
        <v>1500</v>
      </c>
      <c r="F23" s="122">
        <v>1500</v>
      </c>
      <c r="G23" s="112">
        <f t="shared" si="2"/>
        <v>0</v>
      </c>
      <c r="H23" s="99">
        <f>G23+'26'!H23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'26'!F24</f>
        <v>4470</v>
      </c>
      <c r="F24" s="128">
        <v>4470</v>
      </c>
      <c r="G24" s="112">
        <f t="shared" si="2"/>
        <v>0</v>
      </c>
      <c r="H24" s="99">
        <f>G24+'26'!H24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30" t="s">
        <v>149</v>
      </c>
      <c r="B25" s="931"/>
      <c r="C25" s="93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22441.119999999995</v>
      </c>
      <c r="F27" s="136">
        <v>9</v>
      </c>
      <c r="G27" s="137">
        <f>E27*F27</f>
        <v>201970.07999999996</v>
      </c>
      <c r="H27" s="99">
        <f>G27+'26'!H27</f>
        <v>5327883.3499999996</v>
      </c>
      <c r="I27" s="138"/>
      <c r="J27" s="175">
        <f>H27/DAY(B2)</f>
        <v>197329.01296296294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1160.8300000000745</v>
      </c>
      <c r="F28" s="136">
        <v>70</v>
      </c>
      <c r="G28" s="137">
        <f>E28*F28</f>
        <v>81258.100000005215</v>
      </c>
      <c r="H28" s="99">
        <f>G28+'26'!H28</f>
        <v>2111077.1499999985</v>
      </c>
      <c r="I28" s="140"/>
      <c r="J28" s="175">
        <f>H28/DAY(B2)</f>
        <v>78188.042592592537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G29+'26'!H29</f>
        <v>6900</v>
      </c>
      <c r="I29" s="140"/>
      <c r="J29" s="175">
        <f>H29/DAY(B2)</f>
        <v>255.55555555555554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57</v>
      </c>
      <c r="F30" s="136">
        <v>151</v>
      </c>
      <c r="G30" s="137">
        <f>E30*F30</f>
        <v>8607</v>
      </c>
      <c r="H30" s="99">
        <f>G30+'26'!H30</f>
        <v>230577</v>
      </c>
      <c r="I30" s="140"/>
      <c r="J30" s="175">
        <f>H30/DAY(B2)</f>
        <v>8539.8888888888887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210</v>
      </c>
      <c r="F31" s="136">
        <v>80</v>
      </c>
      <c r="G31" s="137">
        <f>E31*F31</f>
        <v>16800</v>
      </c>
      <c r="H31" s="99">
        <f>G31+'26'!H31</f>
        <v>474200</v>
      </c>
      <c r="I31" s="140"/>
      <c r="J31" s="175">
        <f>H31/DAY(B2)</f>
        <v>17562.962962962964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308635.18000000517</v>
      </c>
      <c r="H32" s="99">
        <f>G32+'26'!H32</f>
        <v>8150637.4999999991</v>
      </c>
      <c r="I32" s="144"/>
      <c r="J32" s="175">
        <f>H32/DAY(B2)</f>
        <v>301875.46296296292</v>
      </c>
      <c r="K32" s="63"/>
      <c r="L32" s="89"/>
      <c r="N32" s="87"/>
      <c r="O32" s="71"/>
    </row>
    <row r="33" spans="1:15" ht="25.5" customHeight="1">
      <c r="A33" s="933" t="s">
        <v>331</v>
      </c>
      <c r="B33" s="934"/>
      <c r="C33" s="93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'26'!F35</f>
        <v>517838.27</v>
      </c>
      <c r="F35" s="145">
        <v>520010.75</v>
      </c>
      <c r="G35" s="112">
        <f t="shared" ref="G35:G46" si="3">F35-E35</f>
        <v>2172.4799999999814</v>
      </c>
      <c r="H35" s="99">
        <f>G35+'26'!H35</f>
        <v>65492.760000000009</v>
      </c>
      <c r="I35" s="95"/>
      <c r="J35" s="175">
        <f>H35/DAY(B2)</f>
        <v>2425.6577777777779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'26'!F36</f>
        <v>376894.47</v>
      </c>
      <c r="F36" s="145">
        <v>377944.19</v>
      </c>
      <c r="G36" s="112">
        <f t="shared" si="3"/>
        <v>1049.7200000000303</v>
      </c>
      <c r="H36" s="99">
        <f>G36+'26'!H36</f>
        <v>23855.289999999979</v>
      </c>
      <c r="I36" s="95"/>
      <c r="J36" s="175">
        <f>H36/DAY(B2)</f>
        <v>883.52925925925854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'26'!F37</f>
        <v>376401.71</v>
      </c>
      <c r="F37" s="145">
        <v>377851.49</v>
      </c>
      <c r="G37" s="112">
        <f t="shared" si="3"/>
        <v>1449.7799999999697</v>
      </c>
      <c r="H37" s="99">
        <f>G37+'26'!H37</f>
        <v>39581.619999999995</v>
      </c>
      <c r="I37" s="95"/>
      <c r="J37" s="175">
        <f>H37/DAY(B2)</f>
        <v>1465.9859259259258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'26'!F38</f>
        <v>863541.27</v>
      </c>
      <c r="F38" s="108">
        <v>866301.03</v>
      </c>
      <c r="G38" s="112">
        <f t="shared" si="3"/>
        <v>2759.7600000000093</v>
      </c>
      <c r="H38" s="99">
        <f>G38+'26'!H38</f>
        <v>66623.680000000051</v>
      </c>
      <c r="I38" s="95"/>
      <c r="J38" s="175">
        <f>H38/DAY(B2)</f>
        <v>2467.5437037037054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'26'!F39</f>
        <v>692184.47</v>
      </c>
      <c r="F39" s="145">
        <v>694994.07</v>
      </c>
      <c r="G39" s="112">
        <f t="shared" si="3"/>
        <v>2809.5999999999767</v>
      </c>
      <c r="H39" s="99">
        <f>G39+'26'!H39</f>
        <v>74704.069999999949</v>
      </c>
      <c r="I39" s="95"/>
      <c r="J39" s="175">
        <f>H39/DAY(B2)</f>
        <v>2766.8174074074054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'26'!F40</f>
        <v>216714.17</v>
      </c>
      <c r="F40" s="145">
        <v>216931.91</v>
      </c>
      <c r="G40" s="112">
        <f t="shared" si="3"/>
        <v>217.73999999999069</v>
      </c>
      <c r="H40" s="99">
        <f>G40+'26'!H40</f>
        <v>7245.5599999999977</v>
      </c>
      <c r="I40" s="95"/>
      <c r="J40" s="175">
        <f>H40/DAY(B2)</f>
        <v>268.35407407407399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'26'!F41</f>
        <v>420212.51</v>
      </c>
      <c r="F41" s="145">
        <v>420212.51</v>
      </c>
      <c r="G41" s="112">
        <f t="shared" si="3"/>
        <v>0</v>
      </c>
      <c r="H41" s="99">
        <f>G41+'26'!H41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'26'!F42</f>
        <v>970677.43</v>
      </c>
      <c r="F42" s="145">
        <v>970677.43</v>
      </c>
      <c r="G42" s="112">
        <f t="shared" si="3"/>
        <v>0</v>
      </c>
      <c r="H42" s="99">
        <f>G42+'26'!H42</f>
        <v>49722.930000000051</v>
      </c>
      <c r="I42" s="95"/>
      <c r="J42" s="175">
        <f>H42/DAY(B2)</f>
        <v>1841.590000000002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'26'!F43</f>
        <v>422444</v>
      </c>
      <c r="F43" s="145">
        <v>422444</v>
      </c>
      <c r="G43" s="112">
        <f t="shared" si="3"/>
        <v>0</v>
      </c>
      <c r="H43" s="99">
        <f>G43+'26'!H43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'26'!F44</f>
        <v>0</v>
      </c>
      <c r="F44" s="145">
        <v>0</v>
      </c>
      <c r="G44" s="112">
        <f t="shared" si="3"/>
        <v>0</v>
      </c>
      <c r="H44" s="99">
        <f>G44+'26'!H44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'26'!F45</f>
        <v>0</v>
      </c>
      <c r="F45" s="145">
        <v>0</v>
      </c>
      <c r="G45" s="112">
        <f t="shared" si="3"/>
        <v>0</v>
      </c>
      <c r="H45" s="99">
        <f>G45+'26'!H45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'26'!F46</f>
        <v>0</v>
      </c>
      <c r="F46" s="145">
        <v>0</v>
      </c>
      <c r="G46" s="112">
        <f t="shared" si="3"/>
        <v>0</v>
      </c>
      <c r="H46" s="99">
        <f>G46+'26'!H46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10459.079999999958</v>
      </c>
      <c r="H47" s="99">
        <f>G47+'26'!H47</f>
        <v>327225.91000000003</v>
      </c>
      <c r="I47" s="95"/>
      <c r="J47" s="175">
        <f>H47/DAY(B2)</f>
        <v>12119.47814814815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'26'!F49</f>
        <v>820348.15</v>
      </c>
      <c r="F49" s="145">
        <v>820845.75</v>
      </c>
      <c r="G49" s="112">
        <f t="shared" ref="G49:G58" si="4">F49-E49</f>
        <v>497.59999999997672</v>
      </c>
      <c r="H49" s="99">
        <f>G49+'26'!H49</f>
        <v>14341.599999999977</v>
      </c>
      <c r="I49" s="95"/>
      <c r="J49" s="175">
        <f>H49/DAY(B2)</f>
        <v>531.17037037036948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'26'!F50</f>
        <v>535333.18999999994</v>
      </c>
      <c r="F50" s="145">
        <v>536782.47</v>
      </c>
      <c r="G50" s="112">
        <f t="shared" si="4"/>
        <v>1449.2800000000279</v>
      </c>
      <c r="H50" s="99">
        <f>G50+'26'!H50</f>
        <v>35629.469999999972</v>
      </c>
      <c r="I50" s="95"/>
      <c r="J50" s="175">
        <f>H50/DAY(B2)</f>
        <v>1319.609999999999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'26'!F51</f>
        <v>156958.44</v>
      </c>
      <c r="F51" s="145">
        <v>156958.44</v>
      </c>
      <c r="G51" s="112">
        <f t="shared" si="4"/>
        <v>0</v>
      </c>
      <c r="H51" s="99">
        <f>G51+'26'!H51</f>
        <v>0.44000000000232831</v>
      </c>
      <c r="I51" s="95"/>
      <c r="J51" s="175">
        <f>H51/DAY(B2)</f>
        <v>1.6296296296382531E-2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'26'!F52</f>
        <v>1457.43</v>
      </c>
      <c r="F52" s="145">
        <v>1457.43</v>
      </c>
      <c r="G52" s="112">
        <f t="shared" si="4"/>
        <v>0</v>
      </c>
      <c r="H52" s="99">
        <f>G52+'26'!H52</f>
        <v>1447.43</v>
      </c>
      <c r="I52" s="95"/>
      <c r="J52" s="175">
        <f>H52/DAY(B2)</f>
        <v>53.608518518518522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'26'!F53</f>
        <v>630355.03</v>
      </c>
      <c r="F53" s="145">
        <v>630355.03</v>
      </c>
      <c r="G53" s="112">
        <f t="shared" si="4"/>
        <v>0</v>
      </c>
      <c r="H53" s="99">
        <f>G53+'26'!H53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'26'!F54</f>
        <v>122743.57</v>
      </c>
      <c r="F54" s="145">
        <v>122997.16</v>
      </c>
      <c r="G54" s="112">
        <f t="shared" si="4"/>
        <v>253.58999999999651</v>
      </c>
      <c r="H54" s="99">
        <f>G54+'26'!H54</f>
        <v>8400.0299999999988</v>
      </c>
      <c r="I54" s="95"/>
      <c r="J54" s="175">
        <f>H54/DAY(B2)</f>
        <v>311.11222222222216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'26'!F55</f>
        <v>587340.39</v>
      </c>
      <c r="F55" s="145">
        <v>591134.23</v>
      </c>
      <c r="G55" s="112">
        <f t="shared" si="4"/>
        <v>3793.8399999999674</v>
      </c>
      <c r="H55" s="99">
        <f>G55+'26'!H55</f>
        <v>14798.599999999977</v>
      </c>
      <c r="I55" s="95"/>
      <c r="J55" s="175">
        <f>H55/DAY(B2)</f>
        <v>548.09629629629546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'26'!F56</f>
        <v>363252.91</v>
      </c>
      <c r="F56" s="145">
        <v>363252.91</v>
      </c>
      <c r="G56" s="112">
        <f t="shared" si="4"/>
        <v>0</v>
      </c>
      <c r="H56" s="99">
        <f>G56+'26'!H56</f>
        <v>28026.699999999953</v>
      </c>
      <c r="I56" s="95"/>
      <c r="J56" s="175">
        <f>H56/DAY(B2)</f>
        <v>1038.0259259259242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'26'!F57</f>
        <v>695277.27</v>
      </c>
      <c r="F57" s="422">
        <v>697636.71</v>
      </c>
      <c r="G57" s="112">
        <f t="shared" si="4"/>
        <v>2359.4399999999441</v>
      </c>
      <c r="H57" s="99">
        <f>G57+'26'!H57</f>
        <v>66803.709999999963</v>
      </c>
      <c r="I57" s="95"/>
      <c r="J57" s="175">
        <f>H57/DAY(B2)</f>
        <v>2474.21148148148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'26'!F58</f>
        <v>93239.1</v>
      </c>
      <c r="F58" s="145">
        <v>93487.07</v>
      </c>
      <c r="G58" s="112">
        <f t="shared" si="4"/>
        <v>247.97000000000116</v>
      </c>
      <c r="H58" s="99">
        <f>G58+'26'!H58</f>
        <v>6926.5710000000108</v>
      </c>
      <c r="I58" s="95"/>
      <c r="J58" s="175">
        <f>H58/DAY(B2)</f>
        <v>256.53966666666707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8601.7199999999139</v>
      </c>
      <c r="H59" s="99">
        <f>G59+'26'!H59</f>
        <v>176374.55099999986</v>
      </c>
      <c r="I59" s="95">
        <f>G7-G60</f>
        <v>2990.6900000001187</v>
      </c>
      <c r="J59" s="175">
        <f>H59/DAY(B2)</f>
        <v>6532.3907777777722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19060.799999999872</v>
      </c>
      <c r="H60" s="99">
        <f>G60+'26'!H60</f>
        <v>503600.46099999989</v>
      </c>
      <c r="I60" s="95">
        <f>G13-G60</f>
        <v>2412.1000000005006</v>
      </c>
      <c r="J60" s="175">
        <f>H60/DAY(B2)</f>
        <v>18651.868925925923</v>
      </c>
      <c r="K60" s="79"/>
      <c r="L60" s="66"/>
      <c r="N60" s="87"/>
      <c r="O60" s="71"/>
    </row>
    <row r="61" spans="1:15" s="68" customFormat="1" ht="26.25">
      <c r="A61" s="935" t="s">
        <v>332</v>
      </c>
      <c r="B61" s="936"/>
      <c r="C61" s="93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02" t="s">
        <v>198</v>
      </c>
      <c r="B62" s="903"/>
      <c r="C62" s="904"/>
      <c r="D62" s="151" t="s">
        <v>142</v>
      </c>
      <c r="E62" s="95">
        <f>'26'!F62</f>
        <v>314948</v>
      </c>
      <c r="F62" s="122">
        <v>315091</v>
      </c>
      <c r="G62" s="112">
        <f t="shared" ref="G62:G63" si="5">F62-E62</f>
        <v>143</v>
      </c>
      <c r="H62" s="99">
        <f>G62+'26'!H62</f>
        <v>2991</v>
      </c>
      <c r="I62" s="118"/>
      <c r="J62" s="175">
        <f>H62/DAY(B2)</f>
        <v>110.77777777777777</v>
      </c>
      <c r="K62" s="80"/>
      <c r="L62" s="66"/>
      <c r="N62" s="87"/>
      <c r="O62" s="71"/>
    </row>
    <row r="63" spans="1:15" ht="25.5">
      <c r="A63" s="902" t="s">
        <v>199</v>
      </c>
      <c r="B63" s="903"/>
      <c r="C63" s="904"/>
      <c r="D63" s="151" t="s">
        <v>142</v>
      </c>
      <c r="E63" s="95">
        <f>'26'!F63</f>
        <v>251796</v>
      </c>
      <c r="F63" s="122">
        <v>251901</v>
      </c>
      <c r="G63" s="112">
        <f t="shared" si="5"/>
        <v>105</v>
      </c>
      <c r="H63" s="99">
        <f>G63+'26'!H63</f>
        <v>2866</v>
      </c>
      <c r="I63" s="118"/>
      <c r="J63" s="175">
        <f>H63/DAY(B2)</f>
        <v>106.14814814814815</v>
      </c>
      <c r="K63" s="69"/>
      <c r="L63" s="66"/>
      <c r="N63" s="87"/>
      <c r="O63" s="71"/>
    </row>
    <row r="64" spans="1:15" ht="26.25">
      <c r="A64" s="911" t="s">
        <v>200</v>
      </c>
      <c r="B64" s="912"/>
      <c r="C64" s="913"/>
      <c r="D64" s="151"/>
      <c r="E64" s="95">
        <f>'26'!F64</f>
        <v>0</v>
      </c>
      <c r="F64" s="122"/>
      <c r="G64" s="112">
        <f>G62+G63</f>
        <v>248</v>
      </c>
      <c r="H64" s="99">
        <f>G64+'26'!H64</f>
        <v>5857</v>
      </c>
      <c r="I64" s="118"/>
      <c r="J64" s="175">
        <f>H64/DAY(B2)</f>
        <v>216.92592592592592</v>
      </c>
      <c r="K64" s="69"/>
      <c r="L64" s="66"/>
      <c r="N64" s="87"/>
      <c r="O64" s="71"/>
    </row>
    <row r="65" spans="1:15" ht="25.5">
      <c r="A65" s="902" t="s">
        <v>201</v>
      </c>
      <c r="B65" s="903"/>
      <c r="C65" s="904"/>
      <c r="D65" s="151" t="s">
        <v>142</v>
      </c>
      <c r="E65" s="95">
        <f>'26'!F65</f>
        <v>475283</v>
      </c>
      <c r="F65" s="122">
        <v>475399</v>
      </c>
      <c r="G65" s="112">
        <f t="shared" ref="G65:G70" si="6">F65-E65</f>
        <v>116</v>
      </c>
      <c r="H65" s="99">
        <f>G65+'26'!H65</f>
        <v>3369</v>
      </c>
      <c r="I65" s="118"/>
      <c r="J65" s="175">
        <f>H65/DAY(B2)</f>
        <v>124.77777777777777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'26'!F66</f>
        <v>114267</v>
      </c>
      <c r="F66" s="122">
        <v>114312</v>
      </c>
      <c r="G66" s="112">
        <f t="shared" si="6"/>
        <v>45</v>
      </c>
      <c r="H66" s="99">
        <f>G66+'26'!H66</f>
        <v>1590</v>
      </c>
      <c r="I66" s="118"/>
      <c r="J66" s="175">
        <f>H66/DAY(B2)</f>
        <v>58.888888888888886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'26'!F67</f>
        <v>117172</v>
      </c>
      <c r="F67" s="122">
        <v>117191</v>
      </c>
      <c r="G67" s="112">
        <f t="shared" si="6"/>
        <v>19</v>
      </c>
      <c r="H67" s="99">
        <f>G67+'26'!H67</f>
        <v>624</v>
      </c>
      <c r="I67" s="118"/>
      <c r="J67" s="175">
        <f>H67/DAY(B2)</f>
        <v>23.111111111111111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'26'!F68</f>
        <v>169855</v>
      </c>
      <c r="F68" s="122">
        <v>169867</v>
      </c>
      <c r="G68" s="112">
        <f t="shared" si="6"/>
        <v>12</v>
      </c>
      <c r="H68" s="99">
        <f>G68+'26'!H68</f>
        <v>508</v>
      </c>
      <c r="I68" s="118"/>
      <c r="J68" s="175">
        <f>H68/DAY(B2)</f>
        <v>18.814814814814813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'26'!F69</f>
        <v>13124</v>
      </c>
      <c r="F69" s="122">
        <v>13146</v>
      </c>
      <c r="G69" s="112">
        <f t="shared" si="6"/>
        <v>22</v>
      </c>
      <c r="H69" s="99">
        <f>G69+'26'!H69</f>
        <v>180</v>
      </c>
      <c r="I69" s="118"/>
      <c r="J69" s="175">
        <f>H69/DAY(B2)</f>
        <v>6.666666666666667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'26'!F70</f>
        <v>11220</v>
      </c>
      <c r="F70" s="122">
        <v>11225</v>
      </c>
      <c r="G70" s="112">
        <f t="shared" si="6"/>
        <v>5</v>
      </c>
      <c r="H70" s="99">
        <f>G70+'26'!H70</f>
        <v>209</v>
      </c>
      <c r="I70" s="118"/>
      <c r="J70" s="175">
        <f>H70/DAY(B2)</f>
        <v>7.7407407407407405</v>
      </c>
      <c r="K70" s="69"/>
      <c r="L70" s="66"/>
      <c r="N70" s="87"/>
      <c r="O70" s="71"/>
    </row>
    <row r="71" spans="1:15" ht="26.25">
      <c r="A71" s="911" t="s">
        <v>208</v>
      </c>
      <c r="B71" s="912"/>
      <c r="C71" s="913"/>
      <c r="D71" s="152"/>
      <c r="E71" s="152"/>
      <c r="F71" s="152"/>
      <c r="G71" s="153">
        <f>SUM(G65:G70)</f>
        <v>219</v>
      </c>
      <c r="H71" s="99">
        <f>G71+'26'!H71</f>
        <v>6480</v>
      </c>
      <c r="I71" s="154"/>
      <c r="J71" s="175">
        <f>H71/DAY(B2)</f>
        <v>240</v>
      </c>
      <c r="K71" s="69"/>
      <c r="L71" s="66"/>
      <c r="N71" s="87"/>
      <c r="O71" s="71"/>
    </row>
    <row r="72" spans="1:15" s="88" customFormat="1" ht="25.5">
      <c r="A72" s="898"/>
      <c r="B72" s="88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08" t="s">
        <v>333</v>
      </c>
      <c r="B73" s="909"/>
      <c r="C73" s="910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02" t="s">
        <v>220</v>
      </c>
      <c r="B74" s="903"/>
      <c r="C74" s="904"/>
      <c r="D74" s="151" t="s">
        <v>139</v>
      </c>
      <c r="E74" s="95">
        <f>'26'!F74</f>
        <v>10716</v>
      </c>
      <c r="F74" s="117">
        <v>10997.54</v>
      </c>
      <c r="G74" s="112">
        <f t="shared" ref="G74:G78" si="7">F74-E74</f>
        <v>281.54000000000087</v>
      </c>
      <c r="H74" s="99">
        <f>G74+'26'!H74</f>
        <v>4808.5400000000009</v>
      </c>
      <c r="I74" s="154"/>
      <c r="J74" s="175">
        <f>H74/DAY(B2)</f>
        <v>178.09407407407411</v>
      </c>
      <c r="K74" s="69"/>
      <c r="L74" s="66"/>
      <c r="N74" s="87"/>
      <c r="O74" s="71"/>
    </row>
    <row r="75" spans="1:15" ht="25.5">
      <c r="A75" s="902" t="s">
        <v>221</v>
      </c>
      <c r="B75" s="903"/>
      <c r="C75" s="904"/>
      <c r="D75" s="151" t="s">
        <v>139</v>
      </c>
      <c r="E75" s="95">
        <f>'26'!F75</f>
        <v>73586.8</v>
      </c>
      <c r="F75" s="123">
        <v>73586.8</v>
      </c>
      <c r="G75" s="112">
        <f t="shared" si="7"/>
        <v>0</v>
      </c>
      <c r="H75" s="99">
        <f>G75+'26'!H75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899" t="s">
        <v>222</v>
      </c>
      <c r="B76" s="900"/>
      <c r="C76" s="901"/>
      <c r="D76" s="151" t="s">
        <v>139</v>
      </c>
      <c r="E76" s="95">
        <f>'26'!F76</f>
        <v>210142</v>
      </c>
      <c r="F76" s="123">
        <v>210249</v>
      </c>
      <c r="G76" s="112">
        <f t="shared" si="7"/>
        <v>107</v>
      </c>
      <c r="H76" s="99">
        <f>G76+'26'!H76</f>
        <v>2872</v>
      </c>
      <c r="I76" s="154"/>
      <c r="J76" s="175">
        <f>H76/DAY(B2)</f>
        <v>106.37037037037037</v>
      </c>
      <c r="K76" s="69"/>
      <c r="L76" s="66"/>
      <c r="N76" s="87"/>
      <c r="O76" s="71"/>
    </row>
    <row r="77" spans="1:15" ht="25.5">
      <c r="A77" s="899" t="s">
        <v>223</v>
      </c>
      <c r="B77" s="900"/>
      <c r="C77" s="901"/>
      <c r="D77" s="151" t="s">
        <v>139</v>
      </c>
      <c r="E77" s="95">
        <f>'26'!F77</f>
        <v>59488.7</v>
      </c>
      <c r="F77" s="123">
        <v>59537</v>
      </c>
      <c r="G77" s="112">
        <f t="shared" si="7"/>
        <v>48.30000000000291</v>
      </c>
      <c r="H77" s="99">
        <f>G77+'26'!H77</f>
        <v>1385</v>
      </c>
      <c r="I77" s="154"/>
      <c r="J77" s="175">
        <f>H77/DAY(B2)</f>
        <v>51.296296296296298</v>
      </c>
      <c r="K77" s="69"/>
      <c r="L77" s="66"/>
      <c r="N77" s="87"/>
      <c r="O77" s="71"/>
    </row>
    <row r="78" spans="1:15" ht="25.5">
      <c r="A78" s="899" t="s">
        <v>224</v>
      </c>
      <c r="B78" s="900"/>
      <c r="C78" s="901"/>
      <c r="D78" s="151" t="s">
        <v>139</v>
      </c>
      <c r="E78" s="95">
        <f>'26'!F78</f>
        <v>9564</v>
      </c>
      <c r="F78" s="123">
        <v>9564</v>
      </c>
      <c r="G78" s="112">
        <f t="shared" si="7"/>
        <v>0</v>
      </c>
      <c r="H78" s="99">
        <f>G78+'26'!H78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899" t="s">
        <v>225</v>
      </c>
      <c r="B79" s="900"/>
      <c r="C79" s="901"/>
      <c r="D79" s="151"/>
      <c r="E79" s="95">
        <f>'26'!F79</f>
        <v>0</v>
      </c>
      <c r="F79" s="123"/>
      <c r="G79" s="112">
        <f>G15-SUM(G74:G78)</f>
        <v>723.99000000007072</v>
      </c>
      <c r="H79" s="99">
        <f>G79+'26'!H79</f>
        <v>-972407.89799999981</v>
      </c>
      <c r="I79" s="118"/>
      <c r="J79" s="175"/>
      <c r="K79" s="59"/>
      <c r="L79" s="58"/>
      <c r="N79" s="87"/>
      <c r="O79" s="71"/>
    </row>
    <row r="80" spans="1:15" s="57" customFormat="1" ht="26.25">
      <c r="A80" s="911" t="s">
        <v>329</v>
      </c>
      <c r="B80" s="912"/>
      <c r="C80" s="913"/>
      <c r="D80" s="151"/>
      <c r="E80" s="117"/>
      <c r="F80" s="117"/>
      <c r="G80" s="112">
        <f>SUM(G74:G79)</f>
        <v>1160.8300000000745</v>
      </c>
      <c r="H80" s="99"/>
      <c r="I80" s="118"/>
      <c r="J80" s="175"/>
      <c r="K80" s="59"/>
      <c r="L80" s="58"/>
      <c r="N80" s="87"/>
      <c r="O80" s="71"/>
    </row>
    <row r="81" spans="1:15" ht="25.5">
      <c r="A81" s="915" t="s">
        <v>226</v>
      </c>
      <c r="B81" s="916"/>
      <c r="C81" s="917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'26'!F82</f>
        <v>0</v>
      </c>
      <c r="F82" s="122">
        <v>0</v>
      </c>
      <c r="G82" s="112">
        <f t="shared" ref="G82:G92" si="8">F82-E82</f>
        <v>0</v>
      </c>
      <c r="H82" s="99">
        <f>G82+'26'!H82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'26'!F83</f>
        <v>0</v>
      </c>
      <c r="F83" s="122">
        <v>0</v>
      </c>
      <c r="G83" s="112">
        <f t="shared" si="8"/>
        <v>0</v>
      </c>
      <c r="H83" s="99">
        <f>G83+'26'!H83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'26'!F84</f>
        <v>43546</v>
      </c>
      <c r="F84" s="164">
        <v>43546</v>
      </c>
      <c r="G84" s="112">
        <f t="shared" si="8"/>
        <v>0</v>
      </c>
      <c r="H84" s="99">
        <f>G84+'26'!H84</f>
        <v>-0.34999999999854481</v>
      </c>
      <c r="I84" s="545"/>
      <c r="J84" s="175">
        <f>H84/DAY(B2)</f>
        <v>-1.2962962962909066E-2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'26'!F85</f>
        <v>6203</v>
      </c>
      <c r="F85" s="164">
        <v>6203</v>
      </c>
      <c r="G85" s="112">
        <f t="shared" si="8"/>
        <v>0</v>
      </c>
      <c r="H85" s="99">
        <f>G85+'26'!H85</f>
        <v>270.55000000000018</v>
      </c>
      <c r="I85" s="545"/>
      <c r="J85" s="175">
        <f>H85/DAY(B2)</f>
        <v>10.020370370370378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'26'!F86</f>
        <v>46925.58</v>
      </c>
      <c r="F86" s="164">
        <v>46950.07</v>
      </c>
      <c r="G86" s="112">
        <f t="shared" si="8"/>
        <v>24.489999999997963</v>
      </c>
      <c r="H86" s="99">
        <f>G86+'26'!H86</f>
        <v>116.06999999999971</v>
      </c>
      <c r="I86" s="545"/>
      <c r="J86" s="175">
        <f>H86/DAY(B2)</f>
        <v>4.2988888888888779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'26'!F87</f>
        <v>37294</v>
      </c>
      <c r="F87" s="164">
        <v>37294</v>
      </c>
      <c r="G87" s="112">
        <f t="shared" si="8"/>
        <v>0</v>
      </c>
      <c r="H87" s="99">
        <f>G87+'26'!H87</f>
        <v>266</v>
      </c>
      <c r="I87" s="545">
        <f>G84+G85+G86+G87</f>
        <v>24.489999999997963</v>
      </c>
      <c r="J87" s="175">
        <f>H87/DAY(B2)</f>
        <v>9.8518518518518512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'26'!F88</f>
        <v>24722.67</v>
      </c>
      <c r="F88" s="164">
        <v>24728.59</v>
      </c>
      <c r="G88" s="112">
        <f t="shared" si="8"/>
        <v>5.9200000000018917</v>
      </c>
      <c r="H88" s="99">
        <f>G88+'26'!H88</f>
        <v>124.9900000000016</v>
      </c>
      <c r="I88" s="545"/>
      <c r="J88" s="175">
        <f>H88/DAY(B2)</f>
        <v>4.6292592592593182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'26'!F89</f>
        <v>28996.15</v>
      </c>
      <c r="F89" s="164">
        <v>29006.74</v>
      </c>
      <c r="G89" s="112">
        <f t="shared" si="8"/>
        <v>10.590000000000146</v>
      </c>
      <c r="H89" s="99">
        <f>G89+'26'!H89</f>
        <v>258.35000000000218</v>
      </c>
      <c r="I89" s="545">
        <f>G88+G89</f>
        <v>16.510000000002037</v>
      </c>
      <c r="J89" s="175">
        <f>H89/DAY(B2)</f>
        <v>9.5685185185185997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'26'!F90</f>
        <v>74412.09</v>
      </c>
      <c r="F90" s="164">
        <v>74417.34</v>
      </c>
      <c r="G90" s="112">
        <f t="shared" si="8"/>
        <v>5.25</v>
      </c>
      <c r="H90" s="99">
        <v>23</v>
      </c>
      <c r="I90" s="545">
        <f>G90</f>
        <v>5.25</v>
      </c>
      <c r="J90" s="175">
        <f>H90/DAY(B2)</f>
        <v>0.85185185185185186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'26'!F91</f>
        <v>5618.21</v>
      </c>
      <c r="F91" s="122">
        <v>5618.21</v>
      </c>
      <c r="G91" s="112">
        <f t="shared" si="8"/>
        <v>0</v>
      </c>
      <c r="H91" s="99">
        <f>G91+'26'!H91</f>
        <v>0</v>
      </c>
      <c r="I91" s="546"/>
      <c r="J91" s="175">
        <f>H91/DAY(B2)</f>
        <v>0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'26'!F92</f>
        <v>7375.93</v>
      </c>
      <c r="F92" s="122">
        <v>7386.98</v>
      </c>
      <c r="G92" s="112">
        <f t="shared" si="8"/>
        <v>11.049999999999272</v>
      </c>
      <c r="H92" s="99">
        <f>G92+'26'!H92</f>
        <v>307.28999999999996</v>
      </c>
      <c r="I92" s="547">
        <f>G91+G92</f>
        <v>11.049999999999272</v>
      </c>
      <c r="J92" s="175">
        <f>H92/DAY(B2)</f>
        <v>11.38111111111111</v>
      </c>
      <c r="O92" s="71"/>
    </row>
    <row r="93" spans="1:15" ht="26.25">
      <c r="A93" s="905" t="s">
        <v>239</v>
      </c>
      <c r="B93" s="906"/>
      <c r="C93" s="90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5029.5199999999022</v>
      </c>
      <c r="H94" s="99">
        <f>G94+'26'!H94</f>
        <v>146638.06999999995</v>
      </c>
      <c r="I94" s="118"/>
      <c r="J94" s="175">
        <f>H94/DAY(B2)</f>
        <v>5431.0396296296276</v>
      </c>
      <c r="K94" s="69"/>
      <c r="L94" s="66"/>
      <c r="O94" s="71"/>
    </row>
    <row r="95" spans="1:15" ht="25.5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0.22808073286657293</v>
      </c>
      <c r="H95" s="99">
        <f>G95+'26'!H95</f>
        <v>7.1369701393979872</v>
      </c>
      <c r="I95" s="167"/>
      <c r="J95" s="175">
        <f>H95/DAY(B2)</f>
        <v>0.26433222738511064</v>
      </c>
      <c r="K95" s="69"/>
      <c r="L95" s="66"/>
      <c r="O95" s="71"/>
    </row>
    <row r="96" spans="1:15" ht="25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3793.8399999999674</v>
      </c>
      <c r="H96" s="99">
        <f>G96+'26'!H96</f>
        <v>92548.229999999981</v>
      </c>
      <c r="I96" s="118"/>
      <c r="J96" s="175">
        <f>H96/DAY(B2)</f>
        <v>3427.7122222222215</v>
      </c>
      <c r="K96" s="69"/>
      <c r="L96" s="66"/>
      <c r="O96" s="71"/>
    </row>
    <row r="97" spans="1:15" ht="25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0.17204461013745415</v>
      </c>
      <c r="H97" s="99">
        <f>G97+'26'!H97</f>
        <v>4.4775281643580973</v>
      </c>
      <c r="I97" s="167"/>
      <c r="J97" s="175">
        <f>H97/DAY(B2)</f>
        <v>0.16583437645770729</v>
      </c>
      <c r="K97" s="69"/>
      <c r="L97" s="66"/>
      <c r="O97" s="71"/>
    </row>
    <row r="98" spans="1:15" ht="25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2809.5999999999767</v>
      </c>
      <c r="H98" s="99">
        <f>G98+'26'!H98</f>
        <v>74704.069999999949</v>
      </c>
      <c r="I98" s="168"/>
      <c r="J98" s="175">
        <f>H98/DAY(B2)</f>
        <v>2766.8174074074054</v>
      </c>
      <c r="K98" s="69"/>
      <c r="L98" s="66"/>
      <c r="O98" s="71"/>
    </row>
    <row r="99" spans="1:15" ht="25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0.12741089150891743</v>
      </c>
      <c r="H99" s="99">
        <f>G99+'26'!H99</f>
        <v>3.6354712353294825</v>
      </c>
      <c r="I99" s="168"/>
      <c r="J99" s="175">
        <f>H99/DAY(B2)</f>
        <v>0.13464708278998083</v>
      </c>
      <c r="O99" s="71"/>
    </row>
    <row r="100" spans="1:15" ht="26.2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2759.7600000000093</v>
      </c>
      <c r="H100" s="99">
        <f>G100+'26'!H100</f>
        <v>68071.110000000044</v>
      </c>
      <c r="I100" s="118"/>
      <c r="J100" s="175">
        <f>H100/DAY(B2)</f>
        <v>2521.1522222222238</v>
      </c>
      <c r="K100" s="70"/>
      <c r="O100" s="71"/>
    </row>
    <row r="101" spans="1:15" ht="25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0.12515072677628633</v>
      </c>
      <c r="H101" s="99">
        <f>G101+'26'!H101</f>
        <v>3.3203844319738982</v>
      </c>
      <c r="I101" s="168"/>
      <c r="J101" s="175">
        <f>H101/DAY(B2)</f>
        <v>0.12297720118421845</v>
      </c>
      <c r="O101" s="71"/>
    </row>
    <row r="102" spans="1:15" ht="25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2499.0000000000582</v>
      </c>
      <c r="H102" s="99">
        <f>G102+'26'!H102</f>
        <v>59484.759999999951</v>
      </c>
      <c r="I102" s="168"/>
      <c r="J102" s="175">
        <f>H102/DAY(B2)</f>
        <v>2203.1392592592574</v>
      </c>
      <c r="O102" s="71"/>
    </row>
    <row r="103" spans="1:15" ht="25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0.11332567549857443</v>
      </c>
      <c r="H103" s="99">
        <f>G103+'26'!H103</f>
        <v>2.8871917114055501</v>
      </c>
      <c r="I103" s="118"/>
      <c r="J103" s="175">
        <f>H103/DAY(B2)</f>
        <v>0.10693302634835371</v>
      </c>
      <c r="O103" s="71"/>
    </row>
    <row r="104" spans="1:15" ht="25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1449.7799999999697</v>
      </c>
      <c r="H104" s="99">
        <f>G104+'26'!H104</f>
        <v>39582.06</v>
      </c>
      <c r="I104" s="118"/>
      <c r="J104" s="175">
        <f>H104/DAY(B2)</f>
        <v>1466.0022222222221</v>
      </c>
      <c r="O104" s="71"/>
    </row>
    <row r="105" spans="1:15" ht="26.25" thickBot="1">
      <c r="A105" s="895" t="s">
        <v>251</v>
      </c>
      <c r="B105" s="896"/>
      <c r="C105" s="897"/>
      <c r="D105" s="231" t="s">
        <v>23</v>
      </c>
      <c r="E105" s="185"/>
      <c r="F105" s="185"/>
      <c r="G105" s="186">
        <f>G104/G7</f>
        <v>6.5745217216613042E-2</v>
      </c>
      <c r="H105" s="99">
        <f>G105+'26'!H105</f>
        <v>1.9270474426564559</v>
      </c>
      <c r="I105" s="187"/>
      <c r="J105" s="188">
        <f>H105/DAY(B2)</f>
        <v>7.1372127505794664E-2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891" t="s">
        <v>324</v>
      </c>
      <c r="B108" s="891"/>
      <c r="C108" s="891"/>
      <c r="D108" s="891"/>
      <c r="E108" s="891"/>
      <c r="F108" s="891"/>
      <c r="G108" s="891"/>
      <c r="H108" s="891"/>
      <c r="I108" s="891"/>
      <c r="J108" s="891"/>
    </row>
    <row r="109" spans="1:15" ht="26.25">
      <c r="A109" s="918"/>
      <c r="B109" s="918"/>
    </row>
    <row r="110" spans="1:15" ht="26.25">
      <c r="A110" s="892" t="s">
        <v>165</v>
      </c>
      <c r="B110" s="893"/>
      <c r="C110" s="893"/>
      <c r="D110" s="893"/>
      <c r="E110" s="893"/>
      <c r="F110" s="893"/>
      <c r="G110" s="893"/>
      <c r="H110" s="893"/>
      <c r="I110" s="893"/>
      <c r="J110" s="894"/>
    </row>
    <row r="111" spans="1:15" ht="25.5">
      <c r="A111" s="885"/>
      <c r="B111" s="886"/>
      <c r="C111" s="887"/>
      <c r="D111" s="165"/>
      <c r="E111" s="165"/>
      <c r="F111" s="165"/>
      <c r="G111" s="165"/>
      <c r="H111" s="156"/>
      <c r="I111" s="165"/>
      <c r="J111" s="327"/>
    </row>
    <row r="112" spans="1:15" ht="25.5">
      <c r="A112" s="881" t="s">
        <v>252</v>
      </c>
      <c r="B112" s="882"/>
      <c r="C112" s="883"/>
      <c r="D112" s="146" t="s">
        <v>183</v>
      </c>
      <c r="E112" s="95">
        <f>'26'!F112</f>
        <v>19093.580000000002</v>
      </c>
      <c r="F112" s="237">
        <v>19156.509999999998</v>
      </c>
      <c r="G112" s="112">
        <f t="shared" ref="G112:G123" si="9">F112-E112</f>
        <v>62.929999999996653</v>
      </c>
      <c r="H112" s="99">
        <f>G112+'26'!H112</f>
        <v>1645.2099999999991</v>
      </c>
      <c r="I112" s="165"/>
      <c r="J112" s="328">
        <f>H112/DAY(B2)</f>
        <v>60.933703703703671</v>
      </c>
    </row>
    <row r="113" spans="1:18" ht="29.25" customHeight="1">
      <c r="A113" s="881" t="s">
        <v>253</v>
      </c>
      <c r="B113" s="882"/>
      <c r="C113" s="883"/>
      <c r="D113" s="146" t="s">
        <v>183</v>
      </c>
      <c r="E113" s="95">
        <f>'26'!F113</f>
        <v>40803.699999999997</v>
      </c>
      <c r="F113" s="237">
        <v>40952.43</v>
      </c>
      <c r="G113" s="112">
        <f t="shared" si="9"/>
        <v>148.7300000000032</v>
      </c>
      <c r="H113" s="99">
        <f>G113+'26'!H113</f>
        <v>3873.4300000000003</v>
      </c>
      <c r="I113" s="165"/>
      <c r="J113" s="328">
        <f>H113/DAY(B2)</f>
        <v>143.46037037037038</v>
      </c>
    </row>
    <row r="114" spans="1:18" ht="29.25" customHeight="1">
      <c r="A114" s="881" t="s">
        <v>254</v>
      </c>
      <c r="B114" s="882"/>
      <c r="C114" s="883"/>
      <c r="D114" s="146" t="s">
        <v>183</v>
      </c>
      <c r="E114" s="95">
        <f>'26'!F114</f>
        <v>60104.47</v>
      </c>
      <c r="F114" s="237">
        <v>60337.73</v>
      </c>
      <c r="G114" s="112">
        <f t="shared" si="9"/>
        <v>233.26000000000204</v>
      </c>
      <c r="H114" s="99">
        <f>G114+'26'!H114</f>
        <v>6069.9500000000044</v>
      </c>
      <c r="I114" s="165"/>
      <c r="J114" s="328">
        <f>H114/DAY(B2)</f>
        <v>224.81296296296313</v>
      </c>
    </row>
    <row r="115" spans="1:18" ht="29.25" customHeight="1">
      <c r="A115" s="881" t="s">
        <v>255</v>
      </c>
      <c r="B115" s="882"/>
      <c r="C115" s="883"/>
      <c r="D115" s="146" t="s">
        <v>183</v>
      </c>
      <c r="E115" s="95">
        <f>'26'!F115</f>
        <v>38716.9</v>
      </c>
      <c r="F115" s="237">
        <v>38853.629999999997</v>
      </c>
      <c r="G115" s="112">
        <f t="shared" si="9"/>
        <v>136.72999999999593</v>
      </c>
      <c r="H115" s="99">
        <f>G115+'26'!H115</f>
        <v>3886.7199999999939</v>
      </c>
      <c r="I115" s="165"/>
      <c r="J115" s="328">
        <f>H115/DAY(B2)</f>
        <v>143.95259259259237</v>
      </c>
    </row>
    <row r="116" spans="1:18" ht="29.25" customHeight="1">
      <c r="A116" s="888" t="s">
        <v>96</v>
      </c>
      <c r="B116" s="889"/>
      <c r="C116" s="890"/>
      <c r="D116" s="146" t="s">
        <v>183</v>
      </c>
      <c r="E116" s="95">
        <f>'26'!F116</f>
        <v>145537</v>
      </c>
      <c r="F116" s="237">
        <v>146021.28</v>
      </c>
      <c r="G116" s="112">
        <f t="shared" si="9"/>
        <v>484.27999999999884</v>
      </c>
      <c r="H116" s="99">
        <f>G116+'26'!H116</f>
        <v>11532.889999999985</v>
      </c>
      <c r="I116" s="165"/>
      <c r="J116" s="328">
        <f>H116/DAY(B2)</f>
        <v>427.1440740740735</v>
      </c>
      <c r="Q116" s="881" t="s">
        <v>311</v>
      </c>
      <c r="R116" s="883"/>
    </row>
    <row r="117" spans="1:18" ht="29.25" customHeight="1">
      <c r="A117" s="888" t="s">
        <v>184</v>
      </c>
      <c r="B117" s="889"/>
      <c r="C117" s="890"/>
      <c r="D117" s="146" t="s">
        <v>183</v>
      </c>
      <c r="E117" s="95">
        <f>'26'!F117</f>
        <v>90634.7</v>
      </c>
      <c r="F117" s="237">
        <v>90910.21</v>
      </c>
      <c r="G117" s="112">
        <f t="shared" si="9"/>
        <v>275.51000000000931</v>
      </c>
      <c r="H117" s="99">
        <f>G117+'26'!H117</f>
        <v>8200.2100000000064</v>
      </c>
      <c r="I117" s="165"/>
      <c r="J117" s="328">
        <f>H117/DAY(B2)</f>
        <v>303.71148148148171</v>
      </c>
      <c r="Q117" s="881" t="s">
        <v>312</v>
      </c>
      <c r="R117" s="883"/>
    </row>
    <row r="118" spans="1:18" ht="25.5">
      <c r="A118" s="880" t="s">
        <v>97</v>
      </c>
      <c r="B118" s="880"/>
      <c r="C118" s="880"/>
      <c r="D118" s="151" t="s">
        <v>183</v>
      </c>
      <c r="E118" s="95">
        <f>'26'!F118</f>
        <v>174401.7</v>
      </c>
      <c r="F118" s="237">
        <v>174978.71</v>
      </c>
      <c r="G118" s="112">
        <f t="shared" si="9"/>
        <v>577.00999999998021</v>
      </c>
      <c r="H118" s="99">
        <f>G118+'26'!H118</f>
        <v>16841.559999999998</v>
      </c>
      <c r="I118" s="165"/>
      <c r="J118" s="328">
        <f>H118/DAY(B2)</f>
        <v>623.76148148148138</v>
      </c>
      <c r="Q118" s="881" t="s">
        <v>311</v>
      </c>
      <c r="R118" s="883"/>
    </row>
    <row r="119" spans="1:18" ht="25.5">
      <c r="A119" s="880" t="s">
        <v>98</v>
      </c>
      <c r="B119" s="880"/>
      <c r="C119" s="880"/>
      <c r="D119" s="151" t="s">
        <v>183</v>
      </c>
      <c r="E119" s="95">
        <f>'26'!F119</f>
        <v>44981.2</v>
      </c>
      <c r="F119" s="237">
        <v>45029.45</v>
      </c>
      <c r="G119" s="112">
        <f t="shared" si="9"/>
        <v>48.25</v>
      </c>
      <c r="H119" s="99">
        <f>G119+'26'!H119</f>
        <v>1090.2749999999942</v>
      </c>
      <c r="I119" s="165"/>
      <c r="J119" s="328">
        <f>H119/DAY(B2)</f>
        <v>40.38055555555534</v>
      </c>
    </row>
    <row r="120" spans="1:18" ht="25.5">
      <c r="A120" s="880" t="s">
        <v>99</v>
      </c>
      <c r="B120" s="880"/>
      <c r="C120" s="880"/>
      <c r="D120" s="151" t="s">
        <v>183</v>
      </c>
      <c r="E120" s="95">
        <f>'26'!F120</f>
        <v>118603</v>
      </c>
      <c r="F120" s="237">
        <v>118990.72</v>
      </c>
      <c r="G120" s="112">
        <f t="shared" si="9"/>
        <v>387.72000000000116</v>
      </c>
      <c r="H120" s="99">
        <f>G120+'26'!H120</f>
        <v>10553.580000000002</v>
      </c>
      <c r="I120" s="165"/>
      <c r="J120" s="328">
        <f>H120/DAY(B2)</f>
        <v>390.87333333333339</v>
      </c>
    </row>
    <row r="121" spans="1:18" ht="25.5">
      <c r="A121" s="880" t="s">
        <v>100</v>
      </c>
      <c r="B121" s="880"/>
      <c r="C121" s="880"/>
      <c r="D121" s="151" t="s">
        <v>183</v>
      </c>
      <c r="E121" s="95">
        <f>'26'!F121</f>
        <v>132406.9</v>
      </c>
      <c r="F121" s="237">
        <v>132842.79</v>
      </c>
      <c r="G121" s="112">
        <f t="shared" si="9"/>
        <v>435.89000000001397</v>
      </c>
      <c r="H121" s="99">
        <f>G121+'26'!H121</f>
        <v>11619.900000000009</v>
      </c>
      <c r="I121" s="165"/>
      <c r="J121" s="328">
        <f>H121/DAY(B2)</f>
        <v>430.36666666666702</v>
      </c>
    </row>
    <row r="122" spans="1:18" ht="25.5">
      <c r="A122" s="880" t="s">
        <v>101</v>
      </c>
      <c r="B122" s="880"/>
      <c r="C122" s="880"/>
      <c r="D122" s="151" t="s">
        <v>183</v>
      </c>
      <c r="E122" s="95">
        <f>'26'!F122</f>
        <v>89320.6</v>
      </c>
      <c r="F122" s="237">
        <v>89630.59</v>
      </c>
      <c r="G122" s="112">
        <f t="shared" si="9"/>
        <v>309.98999999999069</v>
      </c>
      <c r="H122" s="99">
        <f>G122+'26'!H122</f>
        <v>8356.2200000000012</v>
      </c>
      <c r="I122" s="165"/>
      <c r="J122" s="328">
        <f>H122/DAY(B2)</f>
        <v>309.48962962962969</v>
      </c>
    </row>
    <row r="123" spans="1:18" ht="25.5">
      <c r="A123" s="880" t="s">
        <v>102</v>
      </c>
      <c r="B123" s="880"/>
      <c r="C123" s="880"/>
      <c r="D123" s="151" t="s">
        <v>183</v>
      </c>
      <c r="E123" s="95">
        <f>'26'!F123</f>
        <v>86024.9</v>
      </c>
      <c r="F123" s="237">
        <v>86340.94</v>
      </c>
      <c r="G123" s="112">
        <f t="shared" si="9"/>
        <v>316.04000000000815</v>
      </c>
      <c r="H123" s="99">
        <f>G123+'26'!H123</f>
        <v>8391.9400000000023</v>
      </c>
      <c r="I123" s="165"/>
      <c r="J123" s="328">
        <f>H123/DAY(B2)</f>
        <v>310.81259259259269</v>
      </c>
    </row>
    <row r="124" spans="1:18" ht="29.25" customHeight="1">
      <c r="A124" s="885"/>
      <c r="B124" s="886"/>
      <c r="C124" s="887"/>
      <c r="D124" s="165"/>
      <c r="E124" s="95">
        <f>'26'!F124</f>
        <v>0</v>
      </c>
      <c r="F124" s="165"/>
      <c r="G124" s="327"/>
      <c r="H124" s="99">
        <f>G124+'26'!H124</f>
        <v>0</v>
      </c>
      <c r="I124" s="165"/>
      <c r="J124" s="327"/>
    </row>
    <row r="125" spans="1:18" ht="25.5">
      <c r="A125" s="787" t="s">
        <v>196</v>
      </c>
      <c r="B125" s="788"/>
      <c r="C125" s="245"/>
      <c r="D125" s="307"/>
      <c r="E125" s="308"/>
      <c r="F125" s="308"/>
      <c r="G125" s="309">
        <f>SUM(G112:G124)</f>
        <v>3416.34</v>
      </c>
      <c r="H125" s="156"/>
      <c r="I125" s="327">
        <f>G125-(G39+G53)</f>
        <v>606.74000000002343</v>
      </c>
      <c r="J125" s="327"/>
    </row>
    <row r="126" spans="1:18" ht="25.5">
      <c r="A126" s="884" t="s">
        <v>317</v>
      </c>
      <c r="B126" s="884"/>
      <c r="C126" s="884"/>
      <c r="D126" s="884"/>
      <c r="E126" s="884"/>
      <c r="F126" s="884"/>
      <c r="G126" s="884"/>
      <c r="H126" s="884"/>
      <c r="I126" s="884"/>
      <c r="J126" s="884"/>
    </row>
    <row r="127" spans="1:18" ht="25.5">
      <c r="A127" s="870"/>
      <c r="B127" s="870"/>
      <c r="C127" s="245"/>
      <c r="D127" s="307"/>
      <c r="E127" s="308"/>
      <c r="F127" s="308"/>
      <c r="G127" s="309"/>
      <c r="H127" s="99">
        <f>G127+'26'!H127</f>
        <v>0</v>
      </c>
      <c r="I127" s="165"/>
      <c r="J127" s="328">
        <f>H127/DAY(B2)</f>
        <v>0</v>
      </c>
    </row>
    <row r="128" spans="1:18" ht="29.25" customHeight="1">
      <c r="A128" s="881" t="s">
        <v>318</v>
      </c>
      <c r="B128" s="882"/>
      <c r="C128" s="883"/>
      <c r="D128" s="151" t="s">
        <v>183</v>
      </c>
      <c r="E128" s="95">
        <f>'26'!F128</f>
        <v>204798.8</v>
      </c>
      <c r="F128" s="155">
        <v>205312.81</v>
      </c>
      <c r="G128" s="112">
        <f t="shared" ref="G128:G134" si="10">F128-E128</f>
        <v>514.01000000000931</v>
      </c>
      <c r="H128" s="99">
        <f>G128+'26'!H128</f>
        <v>13427.179999999993</v>
      </c>
      <c r="I128" s="165"/>
      <c r="J128" s="328">
        <f>H128/DAY(B2)</f>
        <v>497.30296296296268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'26'!F129</f>
        <v>162.13</v>
      </c>
      <c r="F129" s="155">
        <v>272.75</v>
      </c>
      <c r="G129" s="112">
        <f t="shared" si="10"/>
        <v>110.62</v>
      </c>
      <c r="H129" s="99">
        <f>G129+'26'!H129</f>
        <v>4621.8900000000003</v>
      </c>
      <c r="I129" s="165"/>
      <c r="J129" s="328">
        <f>H129/DAY(B2)</f>
        <v>171.18111111111114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'26'!F130</f>
        <v>283876.5</v>
      </c>
      <c r="F130" s="155">
        <v>284575</v>
      </c>
      <c r="G130" s="112">
        <f t="shared" si="10"/>
        <v>698.5</v>
      </c>
      <c r="H130" s="99">
        <f>G130+'26'!H130</f>
        <v>15760</v>
      </c>
      <c r="I130" s="165"/>
      <c r="J130" s="328">
        <f>H130/DAY(B2)</f>
        <v>583.7037037037037</v>
      </c>
      <c r="N130" s="240"/>
      <c r="O130" s="241"/>
    </row>
    <row r="131" spans="1:15" ht="25.5">
      <c r="A131" s="881" t="s">
        <v>321</v>
      </c>
      <c r="B131" s="882"/>
      <c r="C131" s="883"/>
      <c r="D131" s="151" t="s">
        <v>183</v>
      </c>
      <c r="E131" s="95">
        <f>'26'!F131</f>
        <v>84012.4</v>
      </c>
      <c r="F131" s="155">
        <v>84113.16</v>
      </c>
      <c r="G131" s="112">
        <f t="shared" si="10"/>
        <v>100.76000000000931</v>
      </c>
      <c r="H131" s="99">
        <f>G131+'26'!H131</f>
        <v>4562.5299999999988</v>
      </c>
      <c r="I131" s="165"/>
      <c r="J131" s="328">
        <f>H131/DAY(B2)</f>
        <v>168.98259259259254</v>
      </c>
      <c r="N131" s="240"/>
      <c r="O131" s="241"/>
    </row>
    <row r="132" spans="1:15" ht="25.5">
      <c r="A132" s="881" t="s">
        <v>322</v>
      </c>
      <c r="B132" s="882"/>
      <c r="C132" s="883"/>
      <c r="D132" s="151" t="s">
        <v>183</v>
      </c>
      <c r="E132" s="95">
        <f>'26'!F132</f>
        <v>65980.2</v>
      </c>
      <c r="F132" s="155">
        <v>66273</v>
      </c>
      <c r="G132" s="112">
        <f t="shared" si="10"/>
        <v>292.80000000000291</v>
      </c>
      <c r="H132" s="99">
        <f>G132+'26'!H132</f>
        <v>2048</v>
      </c>
      <c r="I132" s="165"/>
      <c r="J132" s="328">
        <f>H132/DAY(B2)</f>
        <v>75.851851851851848</v>
      </c>
    </row>
    <row r="133" spans="1:15" ht="25.5">
      <c r="A133" s="881" t="s">
        <v>359</v>
      </c>
      <c r="B133" s="882"/>
      <c r="C133" s="883"/>
      <c r="D133" s="151" t="s">
        <v>183</v>
      </c>
      <c r="E133" s="95">
        <f>'26'!F133</f>
        <v>947309</v>
      </c>
      <c r="F133" s="155">
        <v>947746</v>
      </c>
      <c r="G133" s="112">
        <f t="shared" si="10"/>
        <v>437</v>
      </c>
      <c r="H133" s="99">
        <f>G133+'26'!H133</f>
        <v>-642623.83000000007</v>
      </c>
      <c r="I133" s="165"/>
      <c r="J133" s="328">
        <f>H133/DAY(B2)</f>
        <v>-23800.882592592596</v>
      </c>
    </row>
    <row r="134" spans="1:15" ht="25.5">
      <c r="A134" s="881" t="s">
        <v>340</v>
      </c>
      <c r="B134" s="882"/>
      <c r="C134" s="883"/>
      <c r="D134" s="151" t="s">
        <v>183</v>
      </c>
      <c r="E134" s="95">
        <f>'26'!F134</f>
        <v>92106.7</v>
      </c>
      <c r="F134" s="155">
        <v>92284.39</v>
      </c>
      <c r="G134" s="112">
        <f t="shared" si="10"/>
        <v>177.69000000000233</v>
      </c>
      <c r="H134" s="99">
        <f>G134+'26'!H134</f>
        <v>6332.3899999999994</v>
      </c>
      <c r="I134" s="165"/>
      <c r="J134" s="328">
        <f>H134/DAY(B2)</f>
        <v>234.53296296296296</v>
      </c>
    </row>
    <row r="135" spans="1:15" ht="25.5">
      <c r="A135" s="787" t="s">
        <v>196</v>
      </c>
      <c r="B135" s="788"/>
      <c r="C135" s="331"/>
      <c r="D135" s="151"/>
      <c r="E135" s="95"/>
      <c r="F135" s="165"/>
      <c r="G135" s="112">
        <f>SUM(G128:G134)</f>
        <v>2331.3800000000238</v>
      </c>
      <c r="H135" s="99">
        <f>G135+'23'!H135</f>
        <v>-623992.35499999998</v>
      </c>
      <c r="I135" s="327">
        <f>G135-(G35+G49)</f>
        <v>-338.69999999993433</v>
      </c>
      <c r="J135" s="328"/>
    </row>
    <row r="136" spans="1:15" ht="27.75">
      <c r="A136" s="869" t="s">
        <v>325</v>
      </c>
      <c r="B136" s="869"/>
      <c r="C136" s="869"/>
      <c r="D136" s="869"/>
      <c r="E136" s="869"/>
      <c r="F136" s="869"/>
      <c r="G136" s="869"/>
      <c r="H136" s="869"/>
      <c r="I136" s="869"/>
      <c r="J136" s="869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80" t="s">
        <v>185</v>
      </c>
      <c r="B138" s="880"/>
      <c r="C138" s="880"/>
      <c r="D138" s="151" t="s">
        <v>183</v>
      </c>
      <c r="E138" s="95">
        <f>'26'!F138</f>
        <v>912343</v>
      </c>
      <c r="F138" s="147">
        <v>912455</v>
      </c>
      <c r="G138" s="112">
        <f t="shared" ref="G138:G152" si="11">F138-E138</f>
        <v>112</v>
      </c>
      <c r="H138" s="99">
        <f>G138+'26'!H138</f>
        <v>3015</v>
      </c>
      <c r="I138" s="118"/>
      <c r="J138" s="328">
        <f>H138/DAY(B2)</f>
        <v>111.66666666666667</v>
      </c>
    </row>
    <row r="139" spans="1:15" ht="25.5">
      <c r="A139" s="880" t="s">
        <v>186</v>
      </c>
      <c r="B139" s="880"/>
      <c r="C139" s="880"/>
      <c r="D139" s="151" t="s">
        <v>183</v>
      </c>
      <c r="E139" s="95">
        <f>'26'!F139</f>
        <v>936459</v>
      </c>
      <c r="F139" s="148">
        <v>936618</v>
      </c>
      <c r="G139" s="112">
        <f t="shared" si="11"/>
        <v>159</v>
      </c>
      <c r="H139" s="99">
        <f>G139+'26'!H139</f>
        <v>4258</v>
      </c>
      <c r="I139" s="118"/>
      <c r="J139" s="328">
        <f>H139/DAY(B2)</f>
        <v>157.7037037037037</v>
      </c>
    </row>
    <row r="140" spans="1:15" ht="25.5">
      <c r="A140" s="880" t="s">
        <v>187</v>
      </c>
      <c r="B140" s="880"/>
      <c r="C140" s="880"/>
      <c r="D140" s="151" t="s">
        <v>183</v>
      </c>
      <c r="E140" s="95">
        <f>'26'!F140</f>
        <v>4639.72</v>
      </c>
      <c r="F140" s="149">
        <v>4661.1400000000003</v>
      </c>
      <c r="G140" s="112">
        <f t="shared" si="11"/>
        <v>21.420000000000073</v>
      </c>
      <c r="H140" s="99">
        <f>G140+'26'!H140</f>
        <v>627.62900000000036</v>
      </c>
      <c r="I140" s="118"/>
      <c r="J140" s="328">
        <f>H140/DAY(B2)</f>
        <v>23.245518518518534</v>
      </c>
    </row>
    <row r="141" spans="1:15" ht="25.5">
      <c r="A141" s="863" t="s">
        <v>188</v>
      </c>
      <c r="B141" s="863"/>
      <c r="C141" s="863"/>
      <c r="D141" s="151" t="s">
        <v>183</v>
      </c>
      <c r="E141" s="95">
        <f>'26'!F141</f>
        <v>130194.1</v>
      </c>
      <c r="F141" s="149">
        <v>130391</v>
      </c>
      <c r="G141" s="112">
        <f t="shared" si="11"/>
        <v>196.89999999999418</v>
      </c>
      <c r="H141" s="99">
        <f>G141+'26'!H141</f>
        <v>5793</v>
      </c>
      <c r="I141" s="118"/>
      <c r="J141" s="328">
        <f>H141/DAY(B2)</f>
        <v>214.55555555555554</v>
      </c>
    </row>
    <row r="142" spans="1:15" ht="25.5">
      <c r="A142" s="863" t="s">
        <v>189</v>
      </c>
      <c r="B142" s="863"/>
      <c r="C142" s="863"/>
      <c r="D142" s="151" t="s">
        <v>183</v>
      </c>
      <c r="E142" s="95">
        <f>'26'!F142</f>
        <v>52780.01</v>
      </c>
      <c r="F142" s="148">
        <v>52866</v>
      </c>
      <c r="G142" s="112">
        <f t="shared" si="11"/>
        <v>85.989999999997963</v>
      </c>
      <c r="H142" s="99">
        <f>G142+'26'!H142</f>
        <v>2300.4499999999971</v>
      </c>
      <c r="I142" s="140"/>
      <c r="J142" s="328">
        <f>H142/DAY(B2)</f>
        <v>85.201851851851742</v>
      </c>
    </row>
    <row r="143" spans="1:15" ht="25.5">
      <c r="A143" s="880" t="s">
        <v>91</v>
      </c>
      <c r="B143" s="880"/>
      <c r="C143" s="880"/>
      <c r="D143" s="151" t="s">
        <v>183</v>
      </c>
      <c r="E143" s="95">
        <f>'26'!F143</f>
        <v>14159.7</v>
      </c>
      <c r="F143" s="149">
        <v>14185</v>
      </c>
      <c r="G143" s="112">
        <f t="shared" si="11"/>
        <v>25.299999999999272</v>
      </c>
      <c r="H143" s="99">
        <f>G143+'26'!H143</f>
        <v>798</v>
      </c>
      <c r="I143" s="140"/>
      <c r="J143" s="328">
        <f>H143/DAY(B2)</f>
        <v>29.555555555555557</v>
      </c>
    </row>
    <row r="144" spans="1:15" ht="25.5">
      <c r="A144" s="863" t="s">
        <v>90</v>
      </c>
      <c r="B144" s="863"/>
      <c r="C144" s="863"/>
      <c r="D144" s="151" t="s">
        <v>183</v>
      </c>
      <c r="E144" s="95">
        <f>'26'!F144</f>
        <v>961865</v>
      </c>
      <c r="F144" s="149">
        <v>962123</v>
      </c>
      <c r="G144" s="112">
        <f t="shared" si="11"/>
        <v>258</v>
      </c>
      <c r="H144" s="99">
        <f>G144+'26'!H144</f>
        <v>6653</v>
      </c>
      <c r="I144" s="140"/>
      <c r="J144" s="328">
        <f>H144/DAY(B2)</f>
        <v>246.40740740740742</v>
      </c>
    </row>
    <row r="145" spans="1:10" ht="25.5">
      <c r="A145" s="880" t="s">
        <v>190</v>
      </c>
      <c r="B145" s="880"/>
      <c r="C145" s="880"/>
      <c r="D145" s="152" t="s">
        <v>183</v>
      </c>
      <c r="E145" s="95">
        <f>'26'!F145</f>
        <v>749833</v>
      </c>
      <c r="F145" s="149">
        <v>750103</v>
      </c>
      <c r="G145" s="112">
        <f t="shared" si="11"/>
        <v>270</v>
      </c>
      <c r="H145" s="99">
        <f>G145+'26'!H145</f>
        <v>4922</v>
      </c>
      <c r="I145" s="140"/>
      <c r="J145" s="328">
        <f>H145/DAY(B2)</f>
        <v>182.2962962962963</v>
      </c>
    </row>
    <row r="146" spans="1:10" ht="25.5">
      <c r="A146" s="914" t="s">
        <v>191</v>
      </c>
      <c r="B146" s="900"/>
      <c r="C146" s="901"/>
      <c r="D146" s="152" t="s">
        <v>183</v>
      </c>
      <c r="E146" s="95">
        <f>'26'!F146</f>
        <v>788791</v>
      </c>
      <c r="F146" s="148">
        <v>788848</v>
      </c>
      <c r="G146" s="112">
        <f t="shared" si="11"/>
        <v>57</v>
      </c>
      <c r="H146" s="99">
        <f>G146+'26'!H146</f>
        <v>990</v>
      </c>
      <c r="I146" s="140"/>
      <c r="J146" s="328">
        <f>H146/DAY(B2)</f>
        <v>36.666666666666664</v>
      </c>
    </row>
    <row r="147" spans="1:10" ht="25.5">
      <c r="A147" s="863" t="s">
        <v>192</v>
      </c>
      <c r="B147" s="863"/>
      <c r="C147" s="863"/>
      <c r="D147" s="152" t="s">
        <v>183</v>
      </c>
      <c r="E147" s="95">
        <f>'26'!F147</f>
        <v>769738</v>
      </c>
      <c r="F147" s="148">
        <v>770108</v>
      </c>
      <c r="G147" s="112">
        <f t="shared" si="11"/>
        <v>370</v>
      </c>
      <c r="H147" s="99">
        <f>G147+'26'!H147</f>
        <v>9970</v>
      </c>
      <c r="I147" s="140"/>
      <c r="J147" s="328">
        <f>H147/DAY(B2)</f>
        <v>369.25925925925924</v>
      </c>
    </row>
    <row r="148" spans="1:10" ht="25.5">
      <c r="A148" s="864" t="s">
        <v>193</v>
      </c>
      <c r="B148" s="865"/>
      <c r="C148" s="866"/>
      <c r="D148" s="123" t="s">
        <v>130</v>
      </c>
      <c r="E148" s="95">
        <f>'26'!F148</f>
        <v>805030</v>
      </c>
      <c r="F148" s="150">
        <v>805371</v>
      </c>
      <c r="G148" s="112">
        <f t="shared" si="11"/>
        <v>341</v>
      </c>
      <c r="H148" s="99">
        <f>G148+'26'!H148</f>
        <v>8958.9200000000419</v>
      </c>
      <c r="I148" s="124"/>
      <c r="J148" s="328">
        <f>H148/DAY(B2)</f>
        <v>331.81185185185342</v>
      </c>
    </row>
    <row r="149" spans="1:10" ht="25.5">
      <c r="A149" s="864" t="s">
        <v>336</v>
      </c>
      <c r="B149" s="865"/>
      <c r="C149" s="866"/>
      <c r="D149" s="227" t="s">
        <v>130</v>
      </c>
      <c r="E149" s="95">
        <f>'26'!F149</f>
        <v>213885.6</v>
      </c>
      <c r="F149" s="146">
        <v>214470</v>
      </c>
      <c r="G149" s="112">
        <f t="shared" si="11"/>
        <v>584.39999999999418</v>
      </c>
      <c r="H149" s="99">
        <f>G149+'26'!H149</f>
        <v>13178.73000000001</v>
      </c>
      <c r="I149" s="119"/>
      <c r="J149" s="328">
        <f>H149/DAY(B2)</f>
        <v>488.10111111111149</v>
      </c>
    </row>
    <row r="150" spans="1:10" ht="25.5">
      <c r="A150" s="864" t="s">
        <v>337</v>
      </c>
      <c r="B150" s="865"/>
      <c r="C150" s="866"/>
      <c r="D150" s="117" t="s">
        <v>130</v>
      </c>
      <c r="E150" s="95">
        <f>'26'!F150</f>
        <v>91205.2</v>
      </c>
      <c r="F150" s="233">
        <v>91467.15</v>
      </c>
      <c r="G150" s="112">
        <f t="shared" si="11"/>
        <v>261.94999999999709</v>
      </c>
      <c r="H150" s="99">
        <f>G150+'26'!H150</f>
        <v>8880.1499999999942</v>
      </c>
      <c r="I150" s="119"/>
      <c r="J150" s="328">
        <f>H150/DAY(B2)</f>
        <v>328.89444444444422</v>
      </c>
    </row>
    <row r="151" spans="1:10" ht="25.5">
      <c r="A151" s="864" t="s">
        <v>338</v>
      </c>
      <c r="B151" s="865"/>
      <c r="C151" s="866"/>
      <c r="D151" s="117" t="s">
        <v>130</v>
      </c>
      <c r="E151" s="95">
        <f>'26'!F151</f>
        <v>174611</v>
      </c>
      <c r="F151" s="233">
        <v>174942</v>
      </c>
      <c r="G151" s="112">
        <f t="shared" si="11"/>
        <v>331</v>
      </c>
      <c r="H151" s="99">
        <f>G151+'26'!H151</f>
        <v>8212</v>
      </c>
      <c r="I151" s="119"/>
      <c r="J151" s="328">
        <f>H151/DAY(B2)</f>
        <v>304.14814814814815</v>
      </c>
    </row>
    <row r="152" spans="1:10" ht="25.5">
      <c r="A152" s="864" t="s">
        <v>339</v>
      </c>
      <c r="B152" s="865"/>
      <c r="C152" s="866"/>
      <c r="D152" s="117" t="s">
        <v>130</v>
      </c>
      <c r="E152" s="95">
        <f>'26'!F152</f>
        <v>45955.11</v>
      </c>
      <c r="F152" s="233">
        <v>46103</v>
      </c>
      <c r="G152" s="112">
        <f t="shared" si="11"/>
        <v>147.88999999999942</v>
      </c>
      <c r="H152" s="99">
        <f>G152+'26'!H152</f>
        <v>3592</v>
      </c>
      <c r="I152" s="119"/>
      <c r="J152" s="328">
        <f>H152/DAY(B2)</f>
        <v>133.03703703703704</v>
      </c>
    </row>
    <row r="153" spans="1:10" ht="25.5">
      <c r="A153" s="787" t="s">
        <v>196</v>
      </c>
      <c r="B153" s="788"/>
      <c r="C153" s="365"/>
      <c r="D153" s="358"/>
      <c r="E153" s="360"/>
      <c r="F153" s="361"/>
      <c r="G153" s="362">
        <f>SUM(G138:G152)</f>
        <v>3221.8499999999822</v>
      </c>
      <c r="H153" s="363"/>
      <c r="I153" s="119">
        <f>G153-(G38+G52)</f>
        <v>462.08999999997286</v>
      </c>
      <c r="J153" s="366"/>
    </row>
    <row r="154" spans="1:10" ht="27.75">
      <c r="A154" s="869" t="s">
        <v>344</v>
      </c>
      <c r="B154" s="869"/>
      <c r="C154" s="869"/>
      <c r="D154" s="869"/>
      <c r="E154" s="869"/>
      <c r="F154" s="869"/>
      <c r="G154" s="869"/>
      <c r="H154" s="869"/>
      <c r="I154" s="869"/>
      <c r="J154" s="869"/>
    </row>
    <row r="155" spans="1:10" ht="27.75">
      <c r="A155" s="863" t="s">
        <v>345</v>
      </c>
      <c r="B155" s="863"/>
      <c r="C155" s="863"/>
      <c r="D155" s="117" t="s">
        <v>130</v>
      </c>
      <c r="E155" s="95">
        <f>'26'!F155</f>
        <v>253580.7</v>
      </c>
      <c r="F155" s="388">
        <v>254128</v>
      </c>
      <c r="G155" s="112">
        <f t="shared" ref="G155:G158" si="12">F155-E155</f>
        <v>547.29999999998836</v>
      </c>
      <c r="H155" s="99">
        <f>G155+'26'!H155</f>
        <v>15094</v>
      </c>
      <c r="I155" s="364"/>
      <c r="J155" s="328">
        <f>H155/DAY(B2)</f>
        <v>559.03703703703707</v>
      </c>
    </row>
    <row r="156" spans="1:10" ht="25.5">
      <c r="A156" s="863" t="s">
        <v>347</v>
      </c>
      <c r="B156" s="863"/>
      <c r="C156" s="863"/>
      <c r="D156" s="117" t="s">
        <v>130</v>
      </c>
      <c r="E156" s="95">
        <f>'26'!F156</f>
        <v>32072.799999999999</v>
      </c>
      <c r="F156" s="155">
        <v>32169</v>
      </c>
      <c r="G156" s="112">
        <f t="shared" si="12"/>
        <v>96.200000000000728</v>
      </c>
      <c r="H156" s="99">
        <f>G156+'26'!H156</f>
        <v>2489.5</v>
      </c>
      <c r="I156" s="165"/>
      <c r="J156" s="328">
        <f>H156/DAY(B2)</f>
        <v>92.203703703703709</v>
      </c>
    </row>
    <row r="157" spans="1:10" ht="25.5">
      <c r="A157" s="864" t="s">
        <v>360</v>
      </c>
      <c r="B157" s="865"/>
      <c r="C157" s="866"/>
      <c r="D157" s="117" t="s">
        <v>130</v>
      </c>
      <c r="E157" s="95">
        <f>'26'!F157</f>
        <v>566.15</v>
      </c>
      <c r="F157" s="155">
        <v>663.53</v>
      </c>
      <c r="G157" s="112">
        <f t="shared" si="12"/>
        <v>97.38</v>
      </c>
      <c r="H157" s="99">
        <f>G157+'26'!H157</f>
        <v>558.92999999999995</v>
      </c>
      <c r="I157" s="165"/>
      <c r="J157" s="328">
        <f>H157/DAY(B2)</f>
        <v>20.701111111111111</v>
      </c>
    </row>
    <row r="158" spans="1:10" ht="25.5">
      <c r="A158" s="864" t="s">
        <v>361</v>
      </c>
      <c r="B158" s="865"/>
      <c r="C158" s="866"/>
      <c r="D158" s="117" t="s">
        <v>130</v>
      </c>
      <c r="E158" s="95">
        <f>'26'!F158</f>
        <v>1780.5</v>
      </c>
      <c r="F158" s="155">
        <v>1781</v>
      </c>
      <c r="G158" s="112">
        <f t="shared" si="12"/>
        <v>0.5</v>
      </c>
      <c r="H158" s="99">
        <f>G158+'26'!H158</f>
        <v>8.2999999999999545</v>
      </c>
      <c r="I158" s="165"/>
      <c r="J158" s="328">
        <f>H158/DAY(B2)</f>
        <v>0.30740740740740574</v>
      </c>
    </row>
    <row r="159" spans="1:10" ht="25.5">
      <c r="A159" s="944"/>
      <c r="B159" s="945"/>
      <c r="C159" s="946"/>
      <c r="D159" s="117"/>
      <c r="E159" s="95"/>
      <c r="F159" s="155"/>
      <c r="G159" s="112"/>
      <c r="H159" s="99"/>
      <c r="I159" s="165"/>
      <c r="J159" s="328"/>
    </row>
    <row r="160" spans="1:10" ht="27.75">
      <c r="A160" s="869" t="s">
        <v>326</v>
      </c>
      <c r="B160" s="869"/>
      <c r="C160" s="869"/>
      <c r="D160" s="869"/>
      <c r="E160" s="869"/>
      <c r="F160" s="869"/>
      <c r="G160" s="869"/>
      <c r="H160" s="869"/>
      <c r="I160" s="869"/>
      <c r="J160" s="869"/>
    </row>
    <row r="161" spans="1:10" ht="26.25">
      <c r="A161" s="242" t="s">
        <v>92</v>
      </c>
      <c r="B161" s="243"/>
      <c r="C161" s="243"/>
      <c r="D161" s="244" t="s">
        <v>180</v>
      </c>
      <c r="E161" s="95">
        <f>'26'!F161</f>
        <v>511942.76</v>
      </c>
      <c r="F161" s="235">
        <v>512042.9</v>
      </c>
      <c r="G161" s="238">
        <f t="shared" ref="G161:G165" si="13">F161-E161</f>
        <v>100.14000000001397</v>
      </c>
      <c r="H161" s="99">
        <f>G161+'26'!H161</f>
        <v>3659.5800000000163</v>
      </c>
      <c r="I161" s="236"/>
      <c r="J161" s="239">
        <f>H161/DAY(B2)</f>
        <v>135.54000000000062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'26'!F162</f>
        <v>1631.5</v>
      </c>
      <c r="F162" s="235">
        <v>1666.6</v>
      </c>
      <c r="G162" s="238">
        <f t="shared" si="13"/>
        <v>35.099999999999909</v>
      </c>
      <c r="H162" s="99">
        <f>G162+'26'!H162</f>
        <v>929.99999999999989</v>
      </c>
      <c r="I162" s="236"/>
      <c r="J162" s="239">
        <f>H162/DAY(B2)</f>
        <v>34.444444444444443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'26'!F163</f>
        <v>0</v>
      </c>
      <c r="F163" s="235">
        <v>0</v>
      </c>
      <c r="G163" s="238">
        <f t="shared" si="13"/>
        <v>0</v>
      </c>
      <c r="H163" s="99">
        <f>G163+'26'!H163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'26'!F164</f>
        <v>7326.5</v>
      </c>
      <c r="F164" s="235">
        <v>7329.2</v>
      </c>
      <c r="G164" s="238">
        <f t="shared" si="13"/>
        <v>2.6999999999998181</v>
      </c>
      <c r="H164" s="99">
        <f>G164+'26'!H164</f>
        <v>130.19999999999982</v>
      </c>
      <c r="I164" s="236"/>
      <c r="J164" s="239">
        <f>H164/DAY(B2)</f>
        <v>4.8222222222222157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'26'!F165</f>
        <v>32944</v>
      </c>
      <c r="F165" s="235">
        <v>32951</v>
      </c>
      <c r="G165" s="238">
        <f t="shared" si="13"/>
        <v>7</v>
      </c>
      <c r="H165" s="99">
        <f>G165+'26'!H165</f>
        <v>170.91199999999662</v>
      </c>
      <c r="I165" s="236"/>
      <c r="J165" s="239">
        <f>H165/DAY(B2)</f>
        <v>6.3300740740739494</v>
      </c>
    </row>
    <row r="166" spans="1:10" ht="26.25">
      <c r="A166" s="870"/>
      <c r="B166" s="870"/>
      <c r="C166" s="246"/>
      <c r="D166" s="244" t="s">
        <v>180</v>
      </c>
      <c r="E166" s="95">
        <f>'26'!F166</f>
        <v>0</v>
      </c>
      <c r="F166" s="165"/>
      <c r="G166" s="165"/>
      <c r="H166" s="99">
        <f>G166+'26'!H166</f>
        <v>0</v>
      </c>
      <c r="I166" s="165"/>
      <c r="J166" s="239">
        <f>H166/DAY(B2)</f>
        <v>0</v>
      </c>
    </row>
    <row r="167" spans="1:10" ht="26.25">
      <c r="A167" s="870"/>
      <c r="B167" s="870"/>
      <c r="C167" s="246"/>
      <c r="D167" s="244" t="s">
        <v>180</v>
      </c>
      <c r="E167" s="95">
        <f>'26'!F167</f>
        <v>0</v>
      </c>
      <c r="F167" s="165"/>
      <c r="G167" s="165"/>
      <c r="H167" s="99">
        <f>G167+'26'!H167</f>
        <v>0</v>
      </c>
      <c r="I167" s="165"/>
      <c r="J167" s="239">
        <f>H167/DAY(B2)</f>
        <v>0</v>
      </c>
    </row>
    <row r="168" spans="1:10" ht="26.25">
      <c r="A168" s="870"/>
      <c r="B168" s="870"/>
      <c r="C168" s="246"/>
      <c r="D168" s="244" t="s">
        <v>180</v>
      </c>
      <c r="E168" s="95">
        <f>'26'!F168</f>
        <v>0</v>
      </c>
      <c r="F168" s="165"/>
      <c r="G168" s="165"/>
      <c r="H168" s="99">
        <f>G168+'26'!H168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71" t="s">
        <v>330</v>
      </c>
      <c r="B171" s="872"/>
      <c r="C171" s="872"/>
      <c r="D171" s="872"/>
      <c r="E171" s="872"/>
      <c r="F171" s="872"/>
      <c r="G171" s="872"/>
      <c r="H171" s="872"/>
      <c r="I171" s="872"/>
      <c r="J171" s="873"/>
    </row>
    <row r="172" spans="1:10" ht="25.5">
      <c r="A172" s="878"/>
      <c r="B172" s="879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789" t="s">
        <v>209</v>
      </c>
      <c r="B173" s="790"/>
      <c r="C173" s="333"/>
      <c r="D173" s="228" t="s">
        <v>142</v>
      </c>
      <c r="E173" s="95">
        <f>'26'!F173</f>
        <v>8612</v>
      </c>
      <c r="F173" s="155">
        <v>8612</v>
      </c>
      <c r="G173" s="155">
        <f>F173-E173</f>
        <v>0</v>
      </c>
      <c r="H173" s="99">
        <f>G173+'26'!H173</f>
        <v>30</v>
      </c>
      <c r="I173" s="155"/>
      <c r="J173" s="178">
        <f>H173/DAY(B2)</f>
        <v>1.1111111111111112</v>
      </c>
    </row>
    <row r="174" spans="1:10" ht="25.5">
      <c r="A174" s="789" t="s">
        <v>75</v>
      </c>
      <c r="B174" s="790"/>
      <c r="C174" s="333"/>
      <c r="D174" s="228" t="s">
        <v>142</v>
      </c>
      <c r="E174" s="95">
        <f>'26'!F174</f>
        <v>43358</v>
      </c>
      <c r="F174" s="157">
        <v>43371</v>
      </c>
      <c r="G174" s="155">
        <f t="shared" ref="G174:G175" si="14">F174-E174</f>
        <v>13</v>
      </c>
      <c r="H174" s="99">
        <f>G174+'26'!H174</f>
        <v>321</v>
      </c>
      <c r="I174" s="155"/>
      <c r="J174" s="178">
        <f>H174/DAY(B2)</f>
        <v>11.888888888888889</v>
      </c>
    </row>
    <row r="175" spans="1:10" ht="25.5">
      <c r="A175" s="789" t="s">
        <v>76</v>
      </c>
      <c r="B175" s="802"/>
      <c r="C175" s="790"/>
      <c r="D175" s="228" t="s">
        <v>142</v>
      </c>
      <c r="E175" s="95">
        <f>'26'!F175</f>
        <v>26214</v>
      </c>
      <c r="F175" s="155">
        <v>26229</v>
      </c>
      <c r="G175" s="155">
        <f t="shared" si="14"/>
        <v>15</v>
      </c>
      <c r="H175" s="99">
        <f>G175+'26'!H175</f>
        <v>408</v>
      </c>
      <c r="I175" s="155"/>
      <c r="J175" s="178">
        <f>H175/DAY(B2)</f>
        <v>15.111111111111111</v>
      </c>
    </row>
    <row r="176" spans="1:10" ht="25.5">
      <c r="A176" s="787" t="s">
        <v>196</v>
      </c>
      <c r="B176" s="788"/>
      <c r="C176" s="400"/>
      <c r="D176" s="228" t="s">
        <v>142</v>
      </c>
      <c r="E176" s="95"/>
      <c r="F176" s="155"/>
      <c r="G176" s="155">
        <f>SUM(G173:G175)</f>
        <v>28</v>
      </c>
      <c r="H176" s="99">
        <f>G176+'26'!H176</f>
        <v>759</v>
      </c>
      <c r="I176" s="155"/>
      <c r="J176" s="178">
        <f>H176/DAY(B2)</f>
        <v>28.111111111111111</v>
      </c>
    </row>
    <row r="177" spans="1:10" ht="25.5">
      <c r="A177" s="789" t="s">
        <v>77</v>
      </c>
      <c r="B177" s="790"/>
      <c r="C177" s="333"/>
      <c r="D177" s="228" t="s">
        <v>142</v>
      </c>
      <c r="E177" s="95"/>
      <c r="F177" s="155"/>
      <c r="G177" s="155"/>
      <c r="H177" s="99">
        <f>G177+'26'!H177</f>
        <v>0</v>
      </c>
      <c r="I177" s="155"/>
      <c r="J177" s="178">
        <f>H177/DAY(B2)</f>
        <v>0</v>
      </c>
    </row>
    <row r="178" spans="1:10" ht="25.5">
      <c r="A178" s="789" t="s">
        <v>210</v>
      </c>
      <c r="B178" s="790"/>
      <c r="C178" s="333"/>
      <c r="D178" s="228" t="s">
        <v>142</v>
      </c>
      <c r="E178" s="95">
        <f>'26'!F178</f>
        <v>109891</v>
      </c>
      <c r="F178" s="155">
        <v>110017</v>
      </c>
      <c r="G178" s="155">
        <f>F178-E178</f>
        <v>126</v>
      </c>
      <c r="H178" s="99">
        <f>G178+'26'!H178</f>
        <v>3018</v>
      </c>
      <c r="I178" s="155"/>
      <c r="J178" s="178">
        <f>H178/DAY(B2)</f>
        <v>111.77777777777777</v>
      </c>
    </row>
    <row r="179" spans="1:10" ht="25.5">
      <c r="A179" s="789" t="s">
        <v>211</v>
      </c>
      <c r="B179" s="790"/>
      <c r="C179" s="333"/>
      <c r="D179" s="228" t="s">
        <v>142</v>
      </c>
      <c r="E179" s="95">
        <f>'26'!F179</f>
        <v>37501</v>
      </c>
      <c r="F179" s="155">
        <v>37501</v>
      </c>
      <c r="G179" s="155">
        <f t="shared" ref="G179:G180" si="15">F179-E179</f>
        <v>0</v>
      </c>
      <c r="H179" s="99">
        <f>G179+'26'!H179</f>
        <v>0</v>
      </c>
      <c r="I179" s="155"/>
      <c r="J179" s="178">
        <f>H179/DAY(B2)</f>
        <v>0</v>
      </c>
    </row>
    <row r="180" spans="1:10" ht="25.5">
      <c r="A180" s="789" t="s">
        <v>212</v>
      </c>
      <c r="B180" s="790"/>
      <c r="C180" s="333"/>
      <c r="D180" s="228" t="s">
        <v>142</v>
      </c>
      <c r="E180" s="95">
        <f>'26'!F180</f>
        <v>7682</v>
      </c>
      <c r="F180" s="155">
        <v>7682</v>
      </c>
      <c r="G180" s="155">
        <f t="shared" si="15"/>
        <v>0</v>
      </c>
      <c r="H180" s="99">
        <f>G180+'26'!H180</f>
        <v>119</v>
      </c>
      <c r="I180" s="155"/>
      <c r="J180" s="178">
        <f>H180/DAY(B2)</f>
        <v>4.4074074074074074</v>
      </c>
    </row>
    <row r="181" spans="1:10" ht="25.5">
      <c r="A181" s="876" t="s">
        <v>108</v>
      </c>
      <c r="B181" s="877"/>
      <c r="C181" s="400"/>
      <c r="D181" s="228" t="s">
        <v>142</v>
      </c>
      <c r="E181" s="95"/>
      <c r="F181" s="155"/>
      <c r="G181" s="155">
        <f>SUM(G178:G180)</f>
        <v>126</v>
      </c>
      <c r="H181" s="99">
        <f>G181+'26'!H181</f>
        <v>3137</v>
      </c>
      <c r="I181" s="155"/>
      <c r="J181" s="178">
        <f>H181/DAY(B2)</f>
        <v>116.18518518518519</v>
      </c>
    </row>
    <row r="182" spans="1:10" ht="25.5">
      <c r="A182" s="789" t="s">
        <v>213</v>
      </c>
      <c r="B182" s="790"/>
      <c r="C182" s="333"/>
      <c r="D182" s="228" t="s">
        <v>142</v>
      </c>
      <c r="E182" s="95"/>
      <c r="F182" s="155"/>
      <c r="G182" s="155"/>
      <c r="H182" s="99">
        <f>G182+'26'!H182</f>
        <v>0</v>
      </c>
      <c r="I182" s="155"/>
      <c r="J182" s="178">
        <f>H182/DAY(B2)</f>
        <v>0</v>
      </c>
    </row>
    <row r="183" spans="1:10" ht="25.5">
      <c r="A183" s="789" t="s">
        <v>214</v>
      </c>
      <c r="B183" s="790"/>
      <c r="C183" s="334"/>
      <c r="D183" s="228" t="s">
        <v>142</v>
      </c>
      <c r="E183" s="95">
        <f>'26'!F183</f>
        <v>18582</v>
      </c>
      <c r="F183" s="157">
        <v>18609</v>
      </c>
      <c r="G183" s="157">
        <f>F183-E183</f>
        <v>27</v>
      </c>
      <c r="H183" s="99">
        <f>G183+'26'!H183</f>
        <v>231</v>
      </c>
      <c r="I183" s="155"/>
      <c r="J183" s="178">
        <f>H183/DAY(B2)</f>
        <v>8.5555555555555554</v>
      </c>
    </row>
    <row r="184" spans="1:10" ht="25.5">
      <c r="A184" s="789" t="s">
        <v>215</v>
      </c>
      <c r="B184" s="790"/>
      <c r="C184" s="334"/>
      <c r="D184" s="228" t="s">
        <v>142</v>
      </c>
      <c r="E184" s="95">
        <f>'26'!F184</f>
        <v>13208</v>
      </c>
      <c r="F184" s="157">
        <v>13216</v>
      </c>
      <c r="G184" s="157">
        <f t="shared" ref="G184:G185" si="16">F184-E184</f>
        <v>8</v>
      </c>
      <c r="H184" s="99">
        <f>G184+'26'!H184</f>
        <v>236</v>
      </c>
      <c r="I184" s="155"/>
      <c r="J184" s="178">
        <f>H184/DAY(B2)</f>
        <v>8.7407407407407405</v>
      </c>
    </row>
    <row r="185" spans="1:10" ht="25.5" customHeight="1">
      <c r="A185" s="789" t="s">
        <v>216</v>
      </c>
      <c r="B185" s="790"/>
      <c r="C185" s="334"/>
      <c r="D185" s="228" t="s">
        <v>142</v>
      </c>
      <c r="E185" s="95">
        <f>'26'!F185</f>
        <v>0</v>
      </c>
      <c r="F185" s="157">
        <v>2532</v>
      </c>
      <c r="G185" s="157">
        <f t="shared" si="16"/>
        <v>2532</v>
      </c>
      <c r="H185" s="99">
        <f>G185+'26'!H185</f>
        <v>2532</v>
      </c>
      <c r="I185" s="155"/>
      <c r="J185" s="178">
        <f>H185/DAY(B2)</f>
        <v>93.777777777777771</v>
      </c>
    </row>
    <row r="186" spans="1:10" ht="25.5">
      <c r="A186" s="787" t="s">
        <v>196</v>
      </c>
      <c r="B186" s="788"/>
      <c r="C186" s="399"/>
      <c r="D186" s="228" t="s">
        <v>142</v>
      </c>
      <c r="E186" s="95"/>
      <c r="F186" s="157"/>
      <c r="G186" s="157">
        <f>SUM(G183:G185)</f>
        <v>2567</v>
      </c>
      <c r="H186" s="99">
        <f>G186+'26'!H186</f>
        <v>2999</v>
      </c>
      <c r="I186" s="157"/>
      <c r="J186" s="178">
        <f>H186/DAY(B2)</f>
        <v>111.07407407407408</v>
      </c>
    </row>
    <row r="187" spans="1:10" ht="25.5">
      <c r="A187" s="867" t="s">
        <v>217</v>
      </c>
      <c r="B187" s="868"/>
      <c r="C187" s="333"/>
      <c r="D187" s="228" t="s">
        <v>142</v>
      </c>
      <c r="E187" s="95">
        <f>'26'!F187</f>
        <v>0</v>
      </c>
      <c r="F187" s="159"/>
      <c r="G187" s="377">
        <f>G62+G19</f>
        <v>200</v>
      </c>
      <c r="H187" s="99">
        <f>G187+'26'!H187</f>
        <v>4518</v>
      </c>
      <c r="I187" s="158"/>
      <c r="J187" s="179">
        <f>H187/DAY(B2)</f>
        <v>167.33333333333334</v>
      </c>
    </row>
    <row r="188" spans="1:10" ht="25.5">
      <c r="A188" s="867" t="s">
        <v>218</v>
      </c>
      <c r="B188" s="868"/>
      <c r="C188" s="333"/>
      <c r="D188" s="228" t="s">
        <v>142</v>
      </c>
      <c r="E188" s="95">
        <f>'26'!F188</f>
        <v>0</v>
      </c>
      <c r="F188" s="159"/>
      <c r="G188" s="377">
        <f>G65+G66+G67+G69+G70</f>
        <v>207</v>
      </c>
      <c r="H188" s="99">
        <f>G188+'26'!H188</f>
        <v>2476</v>
      </c>
      <c r="I188" s="158"/>
      <c r="J188" s="179">
        <f>H188/DAY(B2)</f>
        <v>91.703703703703709</v>
      </c>
    </row>
    <row r="189" spans="1:10" ht="25.5">
      <c r="A189" s="867" t="s">
        <v>219</v>
      </c>
      <c r="B189" s="868"/>
      <c r="C189" s="333"/>
      <c r="D189" s="230" t="s">
        <v>142</v>
      </c>
      <c r="E189" s="95">
        <f>'26'!F189</f>
        <v>0</v>
      </c>
      <c r="F189" s="157"/>
      <c r="G189" s="376">
        <f>G181</f>
        <v>126</v>
      </c>
      <c r="H189" s="99">
        <f>G189+'26'!H189</f>
        <v>1016</v>
      </c>
      <c r="I189" s="158"/>
      <c r="J189" s="179">
        <f>H189/DAY(B2)</f>
        <v>37.629629629629626</v>
      </c>
    </row>
    <row r="190" spans="1:10" ht="25.5">
      <c r="A190" s="874"/>
      <c r="B190" s="875"/>
      <c r="C190" s="398"/>
      <c r="D190" s="395"/>
      <c r="E190" s="395" t="s">
        <v>207</v>
      </c>
      <c r="F190" s="395"/>
      <c r="G190" s="395"/>
      <c r="H190" s="396"/>
      <c r="I190" s="395"/>
      <c r="J190" s="397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:J1"/>
    <mergeCell ref="A6:C6"/>
    <mergeCell ref="A14:C14"/>
    <mergeCell ref="A17:C17"/>
    <mergeCell ref="E3:F3"/>
    <mergeCell ref="A64:C64"/>
    <mergeCell ref="A65:C65"/>
    <mergeCell ref="A33:C33"/>
    <mergeCell ref="A61:C61"/>
    <mergeCell ref="A110:J110"/>
    <mergeCell ref="A111:C111"/>
    <mergeCell ref="A81:C81"/>
    <mergeCell ref="A93:C93"/>
    <mergeCell ref="A18:C18"/>
    <mergeCell ref="A19:C19"/>
    <mergeCell ref="A79:C79"/>
    <mergeCell ref="A80:C80"/>
    <mergeCell ref="A75:C75"/>
    <mergeCell ref="A76:C76"/>
    <mergeCell ref="A77:C77"/>
    <mergeCell ref="A21:C21"/>
    <mergeCell ref="A25:C25"/>
    <mergeCell ref="A73:C73"/>
    <mergeCell ref="A74:C74"/>
    <mergeCell ref="A112:C112"/>
    <mergeCell ref="A113:C113"/>
    <mergeCell ref="A114:C114"/>
    <mergeCell ref="A115:C115"/>
    <mergeCell ref="A116:C116"/>
    <mergeCell ref="A62:C62"/>
    <mergeCell ref="A63:C63"/>
    <mergeCell ref="A71:C71"/>
    <mergeCell ref="A72:B72"/>
    <mergeCell ref="A78:C78"/>
    <mergeCell ref="A102:C102"/>
    <mergeCell ref="A109:B109"/>
    <mergeCell ref="A94:C94"/>
    <mergeCell ref="A95:C95"/>
    <mergeCell ref="A96:C96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120:C120"/>
    <mergeCell ref="A121:C121"/>
    <mergeCell ref="A122:C122"/>
    <mergeCell ref="A124:C124"/>
    <mergeCell ref="A125:B125"/>
    <mergeCell ref="Q116:R116"/>
    <mergeCell ref="A117:C117"/>
    <mergeCell ref="Q117:R117"/>
    <mergeCell ref="A118:C118"/>
    <mergeCell ref="Q118:R118"/>
    <mergeCell ref="A119:C119"/>
    <mergeCell ref="A123:C123"/>
    <mergeCell ref="A133:C133"/>
    <mergeCell ref="A134:C134"/>
    <mergeCell ref="A136:J136"/>
    <mergeCell ref="A138:C138"/>
    <mergeCell ref="A126:J126"/>
    <mergeCell ref="A127:B127"/>
    <mergeCell ref="A128:C128"/>
    <mergeCell ref="A131:C131"/>
    <mergeCell ref="A132:C132"/>
    <mergeCell ref="A135:B135"/>
    <mergeCell ref="A139:C139"/>
    <mergeCell ref="A140:C140"/>
    <mergeCell ref="A141:C141"/>
    <mergeCell ref="A142:C142"/>
    <mergeCell ref="A160:J160"/>
    <mergeCell ref="A144:C144"/>
    <mergeCell ref="A145:C145"/>
    <mergeCell ref="A146:C146"/>
    <mergeCell ref="A147:C147"/>
    <mergeCell ref="A148:C148"/>
    <mergeCell ref="A149:C149"/>
    <mergeCell ref="A143:C143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66:B166"/>
    <mergeCell ref="A167:B167"/>
    <mergeCell ref="A168:B168"/>
    <mergeCell ref="A188:B188"/>
    <mergeCell ref="A189:B189"/>
    <mergeCell ref="A190:B190"/>
    <mergeCell ref="A181:B181"/>
    <mergeCell ref="A182:B182"/>
    <mergeCell ref="A185:B185"/>
    <mergeCell ref="A186:B186"/>
    <mergeCell ref="A187:B187"/>
    <mergeCell ref="A173:B173"/>
    <mergeCell ref="A174:B174"/>
    <mergeCell ref="A176:B176"/>
    <mergeCell ref="A177:B177"/>
    <mergeCell ref="A178:B178"/>
    <mergeCell ref="A175:C175"/>
    <mergeCell ref="A179:B179"/>
    <mergeCell ref="A180:B180"/>
    <mergeCell ref="A184:B184"/>
    <mergeCell ref="A183:B183"/>
    <mergeCell ref="A171:J171"/>
    <mergeCell ref="A172:B172"/>
  </mergeCells>
  <pageMargins left="0.23622047244094491" right="0.15748031496062992" top="0.15748031496062992" bottom="0.19685039370078741" header="0.19685039370078741" footer="0.19685039370078741"/>
  <pageSetup paperSize="5" scale="20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R1701"/>
  <sheetViews>
    <sheetView view="pageBreakPreview" topLeftCell="A169" zoomScale="55" zoomScaleNormal="80" zoomScaleSheetLayoutView="55" workbookViewId="0">
      <selection activeCell="F165" sqref="F16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19" t="s">
        <v>115</v>
      </c>
      <c r="B1" s="920"/>
      <c r="C1" s="920"/>
      <c r="D1" s="920"/>
      <c r="E1" s="920"/>
      <c r="F1" s="920"/>
      <c r="G1" s="920"/>
      <c r="H1" s="920"/>
      <c r="I1" s="920"/>
      <c r="J1" s="921"/>
    </row>
    <row r="2" spans="1:15" s="57" customFormat="1" ht="23.25">
      <c r="A2" s="191" t="s">
        <v>372</v>
      </c>
      <c r="B2" s="262">
        <v>44954</v>
      </c>
      <c r="C2" s="348" t="s">
        <v>67</v>
      </c>
      <c r="D2" s="218">
        <v>0.8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32</v>
      </c>
      <c r="E3" s="928" t="s">
        <v>119</v>
      </c>
      <c r="F3" s="929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22" t="s">
        <v>128</v>
      </c>
      <c r="B6" s="923"/>
      <c r="C6" s="92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'27'!F7</f>
        <v>533037.6</v>
      </c>
      <c r="F7" s="95">
        <v>554830</v>
      </c>
      <c r="G7" s="112">
        <f>F7-E7</f>
        <v>21792.400000000023</v>
      </c>
      <c r="H7" s="99">
        <f>G7+'27'!H7</f>
        <v>577211</v>
      </c>
      <c r="I7" s="113">
        <f>'1'!I7</f>
        <v>12000</v>
      </c>
      <c r="J7" s="175">
        <f>H7/DAY(B2)</f>
        <v>20614.678571428572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'27'!F8</f>
        <v>724271.35</v>
      </c>
      <c r="F8" s="114">
        <v>746581</v>
      </c>
      <c r="G8" s="115">
        <f>F8-E8</f>
        <v>22309.650000000023</v>
      </c>
      <c r="H8" s="99">
        <f>G8+'27'!H8</f>
        <v>588724</v>
      </c>
      <c r="I8" s="116"/>
      <c r="J8" s="175">
        <f>H8/DAY(B2)</f>
        <v>21025.857142857141</v>
      </c>
      <c r="K8" s="172">
        <v>1715917</v>
      </c>
      <c r="L8" s="76">
        <v>1728480</v>
      </c>
      <c r="M8" s="87">
        <f>L8-K8</f>
        <v>12563</v>
      </c>
      <c r="N8" s="87"/>
      <c r="O8" s="71">
        <f>G8-200</f>
        <v>22109.650000000023</v>
      </c>
    </row>
    <row r="9" spans="1:15" ht="26.25">
      <c r="A9" s="199" t="s">
        <v>132</v>
      </c>
      <c r="B9" s="200"/>
      <c r="C9" s="200"/>
      <c r="D9" s="151" t="s">
        <v>130</v>
      </c>
      <c r="E9" s="95">
        <f>'27'!F9</f>
        <v>4775444.3</v>
      </c>
      <c r="F9" s="468">
        <v>4786470.7</v>
      </c>
      <c r="G9" s="112">
        <f>F9-E9</f>
        <v>11026.400000000373</v>
      </c>
      <c r="H9" s="99">
        <f>G9+'27'!H9</f>
        <v>369864.79999999981</v>
      </c>
      <c r="I9" s="124">
        <f>I7-J7</f>
        <v>-8614.6785714285725</v>
      </c>
      <c r="J9" s="175">
        <f>H9/DAY(B2)</f>
        <v>13209.457142857136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'27'!F10</f>
        <v>4253110</v>
      </c>
      <c r="F10" s="353">
        <v>4262369.9000000004</v>
      </c>
      <c r="G10" s="112">
        <f t="shared" ref="G10:G12" si="0">F10-E10</f>
        <v>9259.9000000003725</v>
      </c>
      <c r="H10" s="99">
        <f>G10+'27'!H10</f>
        <v>192333.60000000056</v>
      </c>
      <c r="I10" s="282"/>
      <c r="J10" s="175">
        <f>H10/DAY(B2)</f>
        <v>6869.0571428571629</v>
      </c>
      <c r="K10" s="79"/>
      <c r="L10" s="66"/>
      <c r="N10" s="87"/>
      <c r="O10" s="71">
        <f>F7-O8</f>
        <v>532720.35</v>
      </c>
    </row>
    <row r="11" spans="1:15" ht="26.25">
      <c r="A11" s="194" t="s">
        <v>134</v>
      </c>
      <c r="B11" s="195"/>
      <c r="C11" s="195"/>
      <c r="D11" s="151" t="s">
        <v>130</v>
      </c>
      <c r="E11" s="95">
        <f>'27'!F11</f>
        <v>38700</v>
      </c>
      <c r="F11" s="95">
        <v>38700</v>
      </c>
      <c r="G11" s="112">
        <f t="shared" si="0"/>
        <v>0</v>
      </c>
      <c r="H11" s="99">
        <f>G11+'27'!H11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'27'!F12</f>
        <v>40550</v>
      </c>
      <c r="F12" s="117">
        <v>40550</v>
      </c>
      <c r="G12" s="112">
        <f t="shared" si="0"/>
        <v>0</v>
      </c>
      <c r="H12" s="99">
        <f>G12+'27'!H12</f>
        <v>0</v>
      </c>
      <c r="I12" s="282"/>
      <c r="J12" s="175">
        <f>H12/DAY(B2)</f>
        <v>0</v>
      </c>
      <c r="K12" s="79"/>
      <c r="L12" s="66"/>
      <c r="N12" s="87"/>
      <c r="O12" s="71">
        <f>G7-O8</f>
        <v>-317.25</v>
      </c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20286.300000000745</v>
      </c>
      <c r="H13" s="99">
        <f>G13+'27'!H13</f>
        <v>562198.40000000037</v>
      </c>
      <c r="I13" s="120">
        <f>G7-G13</f>
        <v>1506.0999999992782</v>
      </c>
      <c r="J13" s="175">
        <f>H13/DAY(B2)</f>
        <v>20078.5142857143</v>
      </c>
      <c r="K13" s="79"/>
      <c r="L13" s="66"/>
      <c r="N13" s="87"/>
      <c r="O13" s="71"/>
    </row>
    <row r="14" spans="1:15" ht="26.25">
      <c r="A14" s="925" t="s">
        <v>137</v>
      </c>
      <c r="B14" s="926"/>
      <c r="C14" s="92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68">
        <f>'27'!F15</f>
        <v>2284011</v>
      </c>
      <c r="F15" s="352">
        <v>2285225</v>
      </c>
      <c r="G15" s="112">
        <f>(F15-E15)</f>
        <v>1214</v>
      </c>
      <c r="H15" s="99">
        <f>G15+'27'!H15</f>
        <v>31923.641999999993</v>
      </c>
      <c r="I15" s="113">
        <f>'1'!I15</f>
        <v>800</v>
      </c>
      <c r="J15" s="175">
        <f>H15/DAY(B2)</f>
        <v>1140.1300714285712</v>
      </c>
      <c r="K15" s="79"/>
      <c r="L15" s="66"/>
      <c r="N15" s="87"/>
      <c r="O15" s="71">
        <f>G8-200</f>
        <v>22109.650000000023</v>
      </c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-340.13007142857123</v>
      </c>
      <c r="J16" s="176"/>
      <c r="K16" s="79"/>
      <c r="L16" s="66"/>
      <c r="N16" s="87"/>
      <c r="O16" s="71"/>
    </row>
    <row r="17" spans="1:16" ht="26.25">
      <c r="A17" s="925" t="s">
        <v>140</v>
      </c>
      <c r="B17" s="926"/>
      <c r="C17" s="92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6" ht="25.5">
      <c r="A18" s="902" t="s">
        <v>141</v>
      </c>
      <c r="B18" s="903"/>
      <c r="C18" s="904"/>
      <c r="D18" s="151" t="s">
        <v>142</v>
      </c>
      <c r="E18" s="95">
        <f>'27'!F18</f>
        <v>21</v>
      </c>
      <c r="F18" s="122">
        <v>24</v>
      </c>
      <c r="G18" s="119">
        <f>F18*10</f>
        <v>240</v>
      </c>
      <c r="H18" s="99">
        <f>G18+'27'!H18</f>
        <v>6040</v>
      </c>
      <c r="I18" s="113">
        <f>'1'!I18</f>
        <v>65</v>
      </c>
      <c r="J18" s="175">
        <f>H18/DAY(B2)</f>
        <v>215.71428571428572</v>
      </c>
      <c r="K18" s="79"/>
      <c r="L18" s="66"/>
      <c r="N18" s="87"/>
      <c r="O18" s="71"/>
    </row>
    <row r="19" spans="1:16" ht="25.5">
      <c r="A19" s="902" t="s">
        <v>69</v>
      </c>
      <c r="B19" s="903"/>
      <c r="C19" s="904"/>
      <c r="D19" s="151" t="s">
        <v>142</v>
      </c>
      <c r="E19" s="95">
        <f>'27'!F19</f>
        <v>171092</v>
      </c>
      <c r="F19" s="122">
        <v>171152</v>
      </c>
      <c r="G19" s="112">
        <f t="shared" ref="G19" si="1">F19-E19</f>
        <v>60</v>
      </c>
      <c r="H19" s="99">
        <f>G19+'27'!H19</f>
        <v>1587</v>
      </c>
      <c r="I19" s="335"/>
      <c r="J19" s="175">
        <f>H19/DAY(B2)</f>
        <v>56.678571428571431</v>
      </c>
      <c r="K19" s="79"/>
      <c r="L19" s="66"/>
      <c r="N19" s="87"/>
      <c r="O19" s="71"/>
    </row>
    <row r="20" spans="1:16" ht="26.25">
      <c r="A20" s="201" t="s">
        <v>143</v>
      </c>
      <c r="B20" s="202"/>
      <c r="C20" s="202"/>
      <c r="D20" s="126"/>
      <c r="E20" s="126"/>
      <c r="F20" s="126"/>
      <c r="G20" s="127">
        <f>G18+G19</f>
        <v>300</v>
      </c>
      <c r="H20" s="99">
        <f>G20+'27'!H20</f>
        <v>7627</v>
      </c>
      <c r="I20" s="336">
        <f>I18-J20</f>
        <v>-207.39285714285717</v>
      </c>
      <c r="J20" s="175">
        <f>H20/DAY(B2)</f>
        <v>272.39285714285717</v>
      </c>
      <c r="K20" s="79"/>
      <c r="L20" s="66"/>
      <c r="N20" s="87"/>
      <c r="O20" s="71"/>
    </row>
    <row r="21" spans="1:16" ht="26.25">
      <c r="A21" s="925" t="s">
        <v>144</v>
      </c>
      <c r="B21" s="926"/>
      <c r="C21" s="92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  <c r="P21" s="65">
        <v>35529</v>
      </c>
    </row>
    <row r="22" spans="1:16" ht="26.25">
      <c r="A22" s="345" t="s">
        <v>145</v>
      </c>
      <c r="B22" s="205"/>
      <c r="C22" s="205"/>
      <c r="D22" s="151" t="s">
        <v>146</v>
      </c>
      <c r="E22" s="95">
        <f>'27'!F22</f>
        <v>2970</v>
      </c>
      <c r="F22" s="122">
        <v>2970</v>
      </c>
      <c r="G22" s="119">
        <f t="shared" ref="G22" si="2">(F22-E22)</f>
        <v>0</v>
      </c>
      <c r="H22" s="99">
        <f>G22+'27'!H22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6.25">
      <c r="A23" s="345" t="s">
        <v>147</v>
      </c>
      <c r="B23" s="205"/>
      <c r="C23" s="205"/>
      <c r="D23" s="151" t="s">
        <v>146</v>
      </c>
      <c r="E23" s="95">
        <v>2000</v>
      </c>
      <c r="F23" s="122">
        <v>2000</v>
      </c>
      <c r="G23" s="119">
        <v>0</v>
      </c>
      <c r="H23" s="99">
        <f>G23+'27'!H23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6" ht="26.25">
      <c r="A24" s="206" t="s">
        <v>148</v>
      </c>
      <c r="B24" s="207"/>
      <c r="C24" s="207"/>
      <c r="D24" s="146" t="s">
        <v>146</v>
      </c>
      <c r="E24" s="95">
        <v>4970</v>
      </c>
      <c r="F24" s="128">
        <v>4970</v>
      </c>
      <c r="G24" s="119">
        <v>0</v>
      </c>
      <c r="H24" s="99">
        <f>G24+'27'!H24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6" s="88" customFormat="1" ht="25.5">
      <c r="A25" s="930" t="s">
        <v>149</v>
      </c>
      <c r="B25" s="931"/>
      <c r="C25" s="93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G26+'27'!H26</f>
        <v>0</v>
      </c>
      <c r="I26" s="134"/>
      <c r="J26" s="175"/>
      <c r="K26" s="64"/>
      <c r="L26" s="89"/>
      <c r="N26" s="87"/>
      <c r="O26" s="71"/>
    </row>
    <row r="27" spans="1:16" s="88" customFormat="1" ht="25.5">
      <c r="A27" s="208" t="s">
        <v>5</v>
      </c>
      <c r="B27" s="209"/>
      <c r="C27" s="210"/>
      <c r="D27" s="226" t="s">
        <v>24</v>
      </c>
      <c r="E27" s="135">
        <f>G8</f>
        <v>22309.650000000023</v>
      </c>
      <c r="F27" s="136">
        <v>9</v>
      </c>
      <c r="G27" s="137">
        <f>E27*F27</f>
        <v>200786.85000000021</v>
      </c>
      <c r="H27" s="99">
        <f>G27+'27'!H27</f>
        <v>5528670.2000000002</v>
      </c>
      <c r="I27" s="138"/>
      <c r="J27" s="175">
        <f>H27/DAY(B2)</f>
        <v>197452.50714285715</v>
      </c>
      <c r="K27" s="63"/>
      <c r="L27" s="89"/>
      <c r="N27" s="87"/>
      <c r="O27" s="71"/>
    </row>
    <row r="28" spans="1:16" s="88" customFormat="1" ht="25.5">
      <c r="A28" s="208" t="s">
        <v>152</v>
      </c>
      <c r="B28" s="209"/>
      <c r="C28" s="210"/>
      <c r="D28" s="226" t="s">
        <v>153</v>
      </c>
      <c r="E28" s="139">
        <f>G15</f>
        <v>1214</v>
      </c>
      <c r="F28" s="136">
        <v>70</v>
      </c>
      <c r="G28" s="137">
        <f>E28*F28</f>
        <v>84980</v>
      </c>
      <c r="H28" s="99">
        <f>G28+'27'!H28</f>
        <v>2196057.1499999985</v>
      </c>
      <c r="I28" s="140"/>
      <c r="J28" s="175">
        <f>H28/DAY(B2)</f>
        <v>78430.612499999945</v>
      </c>
      <c r="K28" s="63"/>
      <c r="L28" s="89"/>
      <c r="N28" s="87"/>
      <c r="O28" s="71"/>
    </row>
    <row r="29" spans="1:16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G29+'27'!H29</f>
        <v>6900</v>
      </c>
      <c r="I29" s="140"/>
      <c r="J29" s="175">
        <f>H29/DAY(B2)</f>
        <v>246.42857142857142</v>
      </c>
      <c r="K29" s="63"/>
      <c r="L29" s="89"/>
      <c r="N29" s="87"/>
      <c r="O29" s="71"/>
    </row>
    <row r="30" spans="1:16" s="88" customFormat="1" ht="25.5">
      <c r="A30" s="208" t="s">
        <v>156</v>
      </c>
      <c r="B30" s="209"/>
      <c r="C30" s="210"/>
      <c r="D30" s="226" t="s">
        <v>157</v>
      </c>
      <c r="E30" s="141">
        <f>G19</f>
        <v>60</v>
      </c>
      <c r="F30" s="136">
        <v>151</v>
      </c>
      <c r="G30" s="137">
        <f>E30*F30</f>
        <v>9060</v>
      </c>
      <c r="H30" s="99">
        <f>G30+'27'!H30</f>
        <v>239637</v>
      </c>
      <c r="I30" s="140"/>
      <c r="J30" s="175">
        <f>H30/DAY(B2)</f>
        <v>8558.4642857142862</v>
      </c>
      <c r="K30" s="63"/>
      <c r="L30" s="89"/>
      <c r="N30" s="87"/>
      <c r="O30" s="71"/>
    </row>
    <row r="31" spans="1:16" s="88" customFormat="1" ht="25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G31+'27'!H31</f>
        <v>493400</v>
      </c>
      <c r="I31" s="140"/>
      <c r="J31" s="175">
        <f>H31/DAY(B2)</f>
        <v>17621.428571428572</v>
      </c>
      <c r="K31" s="63"/>
      <c r="L31" s="89"/>
      <c r="N31" s="87"/>
      <c r="O31" s="71"/>
    </row>
    <row r="32" spans="1:16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314026.85000000021</v>
      </c>
      <c r="H32" s="99">
        <f>G32+'27'!H32</f>
        <v>8464664.3499999996</v>
      </c>
      <c r="I32" s="144"/>
      <c r="J32" s="175">
        <f>H32/DAY(B2)</f>
        <v>302309.44107142853</v>
      </c>
      <c r="K32" s="63"/>
      <c r="L32" s="89"/>
      <c r="N32" s="87"/>
      <c r="O32" s="71"/>
    </row>
    <row r="33" spans="1:15" ht="25.5" customHeight="1">
      <c r="A33" s="933" t="s">
        <v>331</v>
      </c>
      <c r="B33" s="934"/>
      <c r="C33" s="93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'27'!F35</f>
        <v>520010.75</v>
      </c>
      <c r="F35" s="145">
        <v>522175.27</v>
      </c>
      <c r="G35" s="112">
        <f t="shared" ref="G35:G46" si="3">F35-E35</f>
        <v>2164.5200000000186</v>
      </c>
      <c r="H35" s="99">
        <f>G35+'27'!H35</f>
        <v>67657.280000000028</v>
      </c>
      <c r="I35" s="95"/>
      <c r="J35" s="175">
        <f>H35/DAY(B2)</f>
        <v>2416.3314285714296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'27'!F36</f>
        <v>377944.19</v>
      </c>
      <c r="F36" s="145">
        <v>378901</v>
      </c>
      <c r="G36" s="112">
        <f t="shared" si="3"/>
        <v>956.80999999999767</v>
      </c>
      <c r="H36" s="99">
        <f>G36+'27'!H36</f>
        <v>24812.099999999977</v>
      </c>
      <c r="I36" s="95"/>
      <c r="J36" s="175">
        <f>H36/DAY(B2)</f>
        <v>886.14642857142769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'27'!F37</f>
        <v>377851.49</v>
      </c>
      <c r="F37" s="145">
        <v>379231.39</v>
      </c>
      <c r="G37" s="112">
        <f t="shared" si="3"/>
        <v>1379.9000000000233</v>
      </c>
      <c r="H37" s="99">
        <f>G37+'27'!H37</f>
        <v>40961.520000000019</v>
      </c>
      <c r="I37" s="95"/>
      <c r="J37" s="175">
        <f>H37/DAY(B2)</f>
        <v>1462.9114285714293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'27'!F38</f>
        <v>866301.03</v>
      </c>
      <c r="F38" s="108">
        <v>868869.59</v>
      </c>
      <c r="G38" s="112">
        <f t="shared" si="3"/>
        <v>2568.5599999999395</v>
      </c>
      <c r="H38" s="99">
        <f>G38+'27'!H38</f>
        <v>69192.239999999991</v>
      </c>
      <c r="I38" s="95"/>
      <c r="J38" s="175">
        <f>H38/DAY(B2)</f>
        <v>2471.1514285714284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'27'!F39</f>
        <v>694994.07</v>
      </c>
      <c r="F39" s="145">
        <v>697616.87</v>
      </c>
      <c r="G39" s="112">
        <f t="shared" si="3"/>
        <v>2622.8000000000466</v>
      </c>
      <c r="H39" s="99">
        <f>G39+'27'!H39</f>
        <v>77326.87</v>
      </c>
      <c r="I39" s="95"/>
      <c r="J39" s="175">
        <f>H39/DAY(B2)</f>
        <v>2761.6739285714284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'27'!F40</f>
        <v>216931.91</v>
      </c>
      <c r="F40" s="145">
        <v>217134.09</v>
      </c>
      <c r="G40" s="112">
        <f t="shared" si="3"/>
        <v>202.17999999999302</v>
      </c>
      <c r="H40" s="99">
        <f>G40+'27'!H40</f>
        <v>7447.7399999999907</v>
      </c>
      <c r="I40" s="95"/>
      <c r="J40" s="175">
        <f>H40/DAY(B2)</f>
        <v>265.99071428571398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'27'!F41</f>
        <v>420212.51</v>
      </c>
      <c r="F41" s="145">
        <v>420212.5</v>
      </c>
      <c r="G41" s="112">
        <f t="shared" si="3"/>
        <v>-1.0000000009313226E-2</v>
      </c>
      <c r="H41" s="99">
        <f>G41+'27'!H41</f>
        <v>-1.0000000009313226E-2</v>
      </c>
      <c r="I41" s="95"/>
      <c r="J41" s="175">
        <f>H41/DAY(B2)</f>
        <v>-3.5714285747547237E-4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'27'!F42</f>
        <v>970677.43</v>
      </c>
      <c r="F42" s="145">
        <v>970677.43</v>
      </c>
      <c r="G42" s="112">
        <f t="shared" si="3"/>
        <v>0</v>
      </c>
      <c r="H42" s="99">
        <f>G42+'27'!H42</f>
        <v>49722.930000000051</v>
      </c>
      <c r="I42" s="95"/>
      <c r="J42" s="175">
        <f>H42/DAY(B2)</f>
        <v>1775.8189285714304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'27'!F43</f>
        <v>422444</v>
      </c>
      <c r="F43" s="145">
        <v>422444</v>
      </c>
      <c r="G43" s="112">
        <f t="shared" si="3"/>
        <v>0</v>
      </c>
      <c r="H43" s="99">
        <f>G43+'27'!H43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'27'!F44</f>
        <v>0</v>
      </c>
      <c r="F44" s="145">
        <v>0</v>
      </c>
      <c r="G44" s="112">
        <f t="shared" si="3"/>
        <v>0</v>
      </c>
      <c r="H44" s="99">
        <f>G44+'27'!H44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'27'!F45</f>
        <v>0</v>
      </c>
      <c r="F45" s="145">
        <v>0</v>
      </c>
      <c r="G45" s="112">
        <f t="shared" si="3"/>
        <v>0</v>
      </c>
      <c r="H45" s="99">
        <f>G45+'27'!H45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'27'!F46</f>
        <v>0</v>
      </c>
      <c r="F46" s="145">
        <v>0</v>
      </c>
      <c r="G46" s="112">
        <f t="shared" si="3"/>
        <v>0</v>
      </c>
      <c r="H46" s="99">
        <f>G46+'27'!H46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9894.7600000000093</v>
      </c>
      <c r="H47" s="99">
        <f>G47+'27'!H47</f>
        <v>337120.67000000004</v>
      </c>
      <c r="I47" s="95"/>
      <c r="J47" s="175">
        <f>H47/DAY(B2)</f>
        <v>12040.023928571431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'27'!F49</f>
        <v>820845.75</v>
      </c>
      <c r="F49" s="422">
        <v>821346.07</v>
      </c>
      <c r="G49" s="112">
        <f t="shared" ref="G49:G58" si="4">F49-E49</f>
        <v>500.31999999994878</v>
      </c>
      <c r="H49" s="99">
        <f>G49+'27'!H49</f>
        <v>14841.919999999925</v>
      </c>
      <c r="I49" s="95"/>
      <c r="J49" s="175">
        <f>H49/DAY(B2)</f>
        <v>530.06857142856882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'27'!F50</f>
        <v>536782.47</v>
      </c>
      <c r="F50" s="145">
        <v>537979</v>
      </c>
      <c r="G50" s="112">
        <f t="shared" si="4"/>
        <v>1196.5300000000279</v>
      </c>
      <c r="H50" s="99">
        <f>G50+'27'!H50</f>
        <v>36826</v>
      </c>
      <c r="I50" s="95"/>
      <c r="J50" s="175">
        <f>H50/DAY(B2)</f>
        <v>1315.2142857142858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'27'!F51</f>
        <v>156958.44</v>
      </c>
      <c r="F51" s="145">
        <v>156958.44</v>
      </c>
      <c r="G51" s="112">
        <f t="shared" si="4"/>
        <v>0</v>
      </c>
      <c r="H51" s="99">
        <f>G51+'27'!H51</f>
        <v>0.44000000000232831</v>
      </c>
      <c r="I51" s="95"/>
      <c r="J51" s="175">
        <f>H51/DAY(B2)</f>
        <v>1.5714285714368868E-2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'27'!F52</f>
        <v>1457.43</v>
      </c>
      <c r="F52" s="145">
        <v>1457.43</v>
      </c>
      <c r="G52" s="112">
        <f t="shared" si="4"/>
        <v>0</v>
      </c>
      <c r="H52" s="99">
        <f>G52+'27'!H52</f>
        <v>1447.43</v>
      </c>
      <c r="I52" s="95"/>
      <c r="J52" s="175">
        <f>H52/DAY(B2)</f>
        <v>51.693928571428572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'27'!F53</f>
        <v>630355.03</v>
      </c>
      <c r="F53" s="145">
        <v>630355.03</v>
      </c>
      <c r="G53" s="112">
        <f t="shared" si="4"/>
        <v>0</v>
      </c>
      <c r="H53" s="99">
        <f>G53+'27'!H53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'27'!F54</f>
        <v>122997.16</v>
      </c>
      <c r="F54" s="145">
        <v>123249.49</v>
      </c>
      <c r="G54" s="112">
        <f t="shared" si="4"/>
        <v>252.33000000000175</v>
      </c>
      <c r="H54" s="99">
        <f>G54+'27'!H54</f>
        <v>8652.36</v>
      </c>
      <c r="I54" s="95"/>
      <c r="J54" s="175">
        <f>H54/DAY(B2)</f>
        <v>309.01285714285717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'27'!F55</f>
        <v>591134.23</v>
      </c>
      <c r="F55" s="145">
        <v>594304.75</v>
      </c>
      <c r="G55" s="112">
        <f t="shared" si="4"/>
        <v>3170.5200000000186</v>
      </c>
      <c r="H55" s="99">
        <f>G55+'27'!H55</f>
        <v>17969.119999999995</v>
      </c>
      <c r="I55" s="95"/>
      <c r="J55" s="175">
        <f>H55/DAY(B2)</f>
        <v>641.75428571428552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'27'!F56</f>
        <v>363252.91</v>
      </c>
      <c r="F56" s="145">
        <v>363659.3</v>
      </c>
      <c r="G56" s="112">
        <f t="shared" si="4"/>
        <v>406.39000000001397</v>
      </c>
      <c r="H56" s="99">
        <f>G56+'27'!H56</f>
        <v>28433.089999999967</v>
      </c>
      <c r="I56" s="95"/>
      <c r="J56" s="175">
        <f>H56/DAY(B2)</f>
        <v>1015.4674999999988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'27'!F57</f>
        <v>697636.71</v>
      </c>
      <c r="F57" s="422">
        <v>700071.35</v>
      </c>
      <c r="G57" s="112">
        <f t="shared" si="4"/>
        <v>2434.640000000014</v>
      </c>
      <c r="H57" s="99">
        <f>G57+'27'!H57</f>
        <v>69238.349999999977</v>
      </c>
      <c r="I57" s="95"/>
      <c r="J57" s="175">
        <f>H57/DAY(B2)</f>
        <v>2472.7982142857136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'27'!F58</f>
        <v>93487.07</v>
      </c>
      <c r="F58" s="145">
        <v>93747.009000000005</v>
      </c>
      <c r="G58" s="112">
        <f t="shared" si="4"/>
        <v>259.93899999999849</v>
      </c>
      <c r="H58" s="99">
        <f>G58+'27'!H58</f>
        <v>7186.5100000000093</v>
      </c>
      <c r="I58" s="95"/>
      <c r="J58" s="175">
        <f>H58/DAY(B2)</f>
        <v>256.66107142857174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8220.6690000000235</v>
      </c>
      <c r="H59" s="99">
        <f>G59+'27'!H59</f>
        <v>184595.21999999988</v>
      </c>
      <c r="I59" s="95">
        <f>G7-G60</f>
        <v>3676.9709999999905</v>
      </c>
      <c r="J59" s="175">
        <f>H59/DAY(B2)</f>
        <v>6592.6864285714246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18115.429000000033</v>
      </c>
      <c r="H60" s="99">
        <f>G60+'27'!H60</f>
        <v>521715.8899999999</v>
      </c>
      <c r="I60" s="95">
        <f>G13-G60</f>
        <v>2170.8710000007122</v>
      </c>
      <c r="J60" s="175">
        <f>H60/DAY(B2)</f>
        <v>18632.710357142852</v>
      </c>
      <c r="K60" s="79"/>
      <c r="L60" s="66"/>
      <c r="N60" s="87"/>
      <c r="O60" s="71"/>
    </row>
    <row r="61" spans="1:15" s="68" customFormat="1" ht="26.25">
      <c r="A61" s="935" t="s">
        <v>332</v>
      </c>
      <c r="B61" s="936"/>
      <c r="C61" s="93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02" t="s">
        <v>198</v>
      </c>
      <c r="B62" s="903"/>
      <c r="C62" s="904"/>
      <c r="D62" s="151" t="s">
        <v>142</v>
      </c>
      <c r="E62" s="95">
        <f>'27'!F62</f>
        <v>315091</v>
      </c>
      <c r="F62" s="122">
        <v>315238</v>
      </c>
      <c r="G62" s="112">
        <f t="shared" ref="G62:G63" si="5">F62-E62</f>
        <v>147</v>
      </c>
      <c r="H62" s="99">
        <f>G62+'27'!H62</f>
        <v>3138</v>
      </c>
      <c r="I62" s="118"/>
      <c r="J62" s="175">
        <f>H62/DAY(B2)</f>
        <v>112.07142857142857</v>
      </c>
      <c r="K62" s="80"/>
      <c r="L62" s="66"/>
      <c r="N62" s="87"/>
      <c r="O62" s="71"/>
    </row>
    <row r="63" spans="1:15" ht="25.5">
      <c r="A63" s="902" t="s">
        <v>199</v>
      </c>
      <c r="B63" s="903"/>
      <c r="C63" s="904"/>
      <c r="D63" s="151" t="s">
        <v>142</v>
      </c>
      <c r="E63" s="95">
        <f>'27'!F63</f>
        <v>251901</v>
      </c>
      <c r="F63" s="122">
        <v>251991</v>
      </c>
      <c r="G63" s="112">
        <f t="shared" si="5"/>
        <v>90</v>
      </c>
      <c r="H63" s="99">
        <f>G63+'27'!H63</f>
        <v>2956</v>
      </c>
      <c r="I63" s="118"/>
      <c r="J63" s="175">
        <f>H63/DAY(B2)</f>
        <v>105.57142857142857</v>
      </c>
      <c r="K63" s="69"/>
      <c r="L63" s="66"/>
      <c r="N63" s="87"/>
      <c r="O63" s="71"/>
    </row>
    <row r="64" spans="1:15" ht="26.25">
      <c r="A64" s="911" t="s">
        <v>200</v>
      </c>
      <c r="B64" s="912"/>
      <c r="C64" s="913"/>
      <c r="D64" s="151"/>
      <c r="E64" s="95">
        <f>'27'!F64</f>
        <v>0</v>
      </c>
      <c r="F64" s="122">
        <v>0</v>
      </c>
      <c r="G64" s="112">
        <f>G62+G63</f>
        <v>237</v>
      </c>
      <c r="H64" s="99">
        <f>G64+'27'!H64</f>
        <v>6094</v>
      </c>
      <c r="I64" s="118"/>
      <c r="J64" s="175">
        <f>H64/DAY(B2)</f>
        <v>217.64285714285714</v>
      </c>
      <c r="K64" s="69"/>
      <c r="L64" s="66"/>
      <c r="N64" s="87"/>
      <c r="O64" s="71"/>
    </row>
    <row r="65" spans="1:15" ht="25.5">
      <c r="A65" s="902" t="s">
        <v>201</v>
      </c>
      <c r="B65" s="903"/>
      <c r="C65" s="904"/>
      <c r="D65" s="151" t="s">
        <v>142</v>
      </c>
      <c r="E65" s="95">
        <f>'27'!F65</f>
        <v>475399</v>
      </c>
      <c r="F65" s="122">
        <v>475538</v>
      </c>
      <c r="G65" s="112">
        <f t="shared" ref="G65:G70" si="6">F65-E65</f>
        <v>139</v>
      </c>
      <c r="H65" s="99">
        <f>G65+'27'!H65</f>
        <v>3508</v>
      </c>
      <c r="I65" s="118"/>
      <c r="J65" s="175">
        <f>H65/DAY(B2)</f>
        <v>125.28571428571429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'27'!F66</f>
        <v>114312</v>
      </c>
      <c r="F66" s="122">
        <v>114349</v>
      </c>
      <c r="G66" s="112">
        <f t="shared" si="6"/>
        <v>37</v>
      </c>
      <c r="H66" s="99">
        <f>G66+'27'!H66</f>
        <v>1627</v>
      </c>
      <c r="I66" s="118"/>
      <c r="J66" s="175">
        <f>H66/DAY(B2)</f>
        <v>58.107142857142854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'27'!F67</f>
        <v>117191</v>
      </c>
      <c r="F67" s="122">
        <v>117210</v>
      </c>
      <c r="G67" s="112">
        <f t="shared" si="6"/>
        <v>19</v>
      </c>
      <c r="H67" s="99">
        <f>G67+'27'!H67</f>
        <v>643</v>
      </c>
      <c r="I67" s="118"/>
      <c r="J67" s="175">
        <f>H67/DAY(B2)</f>
        <v>22.964285714285715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'27'!F68</f>
        <v>169867</v>
      </c>
      <c r="F68" s="122">
        <v>169882</v>
      </c>
      <c r="G68" s="112">
        <f t="shared" si="6"/>
        <v>15</v>
      </c>
      <c r="H68" s="99">
        <f>G68+'27'!H68</f>
        <v>523</v>
      </c>
      <c r="I68" s="118"/>
      <c r="J68" s="175">
        <f>H68/DAY(B2)</f>
        <v>18.678571428571427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'27'!F69</f>
        <v>13146</v>
      </c>
      <c r="F69" s="122">
        <v>13169</v>
      </c>
      <c r="G69" s="112">
        <f t="shared" si="6"/>
        <v>23</v>
      </c>
      <c r="H69" s="99">
        <f>G69+'27'!H69</f>
        <v>203</v>
      </c>
      <c r="I69" s="118"/>
      <c r="J69" s="175">
        <f>H69/DAY(B2)</f>
        <v>7.25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'27'!F70</f>
        <v>11225</v>
      </c>
      <c r="F70" s="122">
        <v>11230</v>
      </c>
      <c r="G70" s="112">
        <f t="shared" si="6"/>
        <v>5</v>
      </c>
      <c r="H70" s="99">
        <f>G70+'27'!H70</f>
        <v>214</v>
      </c>
      <c r="I70" s="118"/>
      <c r="J70" s="175">
        <f>H70/DAY(B2)</f>
        <v>7.6428571428571432</v>
      </c>
      <c r="K70" s="69"/>
      <c r="L70" s="66"/>
      <c r="N70" s="87"/>
      <c r="O70" s="71"/>
    </row>
    <row r="71" spans="1:15" ht="26.25">
      <c r="A71" s="911" t="s">
        <v>208</v>
      </c>
      <c r="B71" s="912"/>
      <c r="C71" s="913"/>
      <c r="D71" s="152"/>
      <c r="E71" s="152"/>
      <c r="F71" s="152"/>
      <c r="G71" s="153">
        <f>SUM(G65:G70)</f>
        <v>238</v>
      </c>
      <c r="H71" s="99">
        <f>G71+'27'!H71</f>
        <v>6718</v>
      </c>
      <c r="I71" s="154"/>
      <c r="J71" s="175">
        <f>H71/DAY(B2)</f>
        <v>239.92857142857142</v>
      </c>
      <c r="K71" s="69"/>
      <c r="L71" s="66"/>
      <c r="N71" s="87"/>
      <c r="O71" s="71"/>
    </row>
    <row r="72" spans="1:15" s="88" customFormat="1" ht="25.5">
      <c r="A72" s="898"/>
      <c r="B72" s="88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08" t="s">
        <v>333</v>
      </c>
      <c r="B73" s="909"/>
      <c r="C73" s="910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02" t="s">
        <v>220</v>
      </c>
      <c r="B74" s="903"/>
      <c r="C74" s="904"/>
      <c r="D74" s="151" t="s">
        <v>139</v>
      </c>
      <c r="E74" s="95">
        <f>'27'!F74</f>
        <v>10997.54</v>
      </c>
      <c r="F74" s="117">
        <v>11334</v>
      </c>
      <c r="G74" s="112">
        <f t="shared" ref="G74:G78" si="7">F74-E74</f>
        <v>336.45999999999913</v>
      </c>
      <c r="H74" s="99">
        <f>G74+'27'!H74</f>
        <v>5145</v>
      </c>
      <c r="I74" s="154"/>
      <c r="J74" s="175">
        <f>H74/DAY(B2)</f>
        <v>183.75</v>
      </c>
      <c r="K74" s="69"/>
      <c r="L74" s="66"/>
      <c r="N74" s="87"/>
      <c r="O74" s="71"/>
    </row>
    <row r="75" spans="1:15" ht="25.5">
      <c r="A75" s="902" t="s">
        <v>221</v>
      </c>
      <c r="B75" s="903"/>
      <c r="C75" s="904"/>
      <c r="D75" s="151" t="s">
        <v>139</v>
      </c>
      <c r="E75" s="95">
        <f>'27'!F75</f>
        <v>73586.8</v>
      </c>
      <c r="F75" s="123">
        <v>73586.8</v>
      </c>
      <c r="G75" s="112">
        <f t="shared" si="7"/>
        <v>0</v>
      </c>
      <c r="H75" s="99">
        <f>G75+'27'!H75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899" t="s">
        <v>222</v>
      </c>
      <c r="B76" s="900"/>
      <c r="C76" s="901"/>
      <c r="D76" s="151" t="s">
        <v>139</v>
      </c>
      <c r="E76" s="95">
        <f>'27'!F76</f>
        <v>210249</v>
      </c>
      <c r="F76" s="123">
        <v>210347.5</v>
      </c>
      <c r="G76" s="112">
        <f t="shared" si="7"/>
        <v>98.5</v>
      </c>
      <c r="H76" s="99">
        <f>G76+'27'!H76</f>
        <v>2970.5</v>
      </c>
      <c r="I76" s="154"/>
      <c r="J76" s="175">
        <f>H76/DAY(B2)</f>
        <v>106.08928571428571</v>
      </c>
      <c r="K76" s="69"/>
      <c r="L76" s="66"/>
      <c r="N76" s="87"/>
      <c r="O76" s="71"/>
    </row>
    <row r="77" spans="1:15" ht="25.5">
      <c r="A77" s="899" t="s">
        <v>223</v>
      </c>
      <c r="B77" s="900"/>
      <c r="C77" s="901"/>
      <c r="D77" s="151" t="s">
        <v>139</v>
      </c>
      <c r="E77" s="95">
        <f>'27'!F77</f>
        <v>59537</v>
      </c>
      <c r="F77" s="123">
        <v>59591</v>
      </c>
      <c r="G77" s="112">
        <f t="shared" si="7"/>
        <v>54</v>
      </c>
      <c r="H77" s="99">
        <f>G77+'27'!H77</f>
        <v>1439</v>
      </c>
      <c r="I77" s="154"/>
      <c r="J77" s="175">
        <f>H77/DAY(B2)</f>
        <v>51.392857142857146</v>
      </c>
      <c r="K77" s="69"/>
      <c r="L77" s="66"/>
      <c r="N77" s="87"/>
      <c r="O77" s="71"/>
    </row>
    <row r="78" spans="1:15" ht="25.5">
      <c r="A78" s="899" t="s">
        <v>224</v>
      </c>
      <c r="B78" s="900"/>
      <c r="C78" s="901"/>
      <c r="D78" s="151" t="s">
        <v>139</v>
      </c>
      <c r="E78" s="95">
        <f>'27'!F78</f>
        <v>9564</v>
      </c>
      <c r="F78" s="123">
        <v>9564</v>
      </c>
      <c r="G78" s="112">
        <f t="shared" si="7"/>
        <v>0</v>
      </c>
      <c r="H78" s="99">
        <f>G78+'27'!H78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899" t="s">
        <v>225</v>
      </c>
      <c r="B79" s="900"/>
      <c r="C79" s="901"/>
      <c r="D79" s="151"/>
      <c r="E79" s="95">
        <f>'27'!F79</f>
        <v>0</v>
      </c>
      <c r="F79" s="123"/>
      <c r="G79" s="112">
        <f>G15-SUM(G74:G78)</f>
        <v>725.04000000000087</v>
      </c>
      <c r="H79" s="99">
        <f>G79+'27'!H79</f>
        <v>-971682.85799999977</v>
      </c>
      <c r="I79" s="118"/>
      <c r="J79" s="175"/>
      <c r="K79" s="59"/>
      <c r="L79" s="58"/>
      <c r="N79" s="87"/>
      <c r="O79" s="71"/>
    </row>
    <row r="80" spans="1:15" s="57" customFormat="1" ht="26.25">
      <c r="A80" s="911" t="s">
        <v>329</v>
      </c>
      <c r="B80" s="912"/>
      <c r="C80" s="913"/>
      <c r="D80" s="151"/>
      <c r="E80" s="117"/>
      <c r="F80" s="117"/>
      <c r="G80" s="112">
        <f>SUM(G74:G79)</f>
        <v>1214</v>
      </c>
      <c r="H80" s="99"/>
      <c r="I80" s="118"/>
      <c r="J80" s="175"/>
      <c r="K80" s="59"/>
      <c r="L80" s="58"/>
      <c r="N80" s="87"/>
      <c r="O80" s="71"/>
    </row>
    <row r="81" spans="1:15" ht="25.5">
      <c r="A81" s="915" t="s">
        <v>226</v>
      </c>
      <c r="B81" s="916"/>
      <c r="C81" s="917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'27'!F82</f>
        <v>0</v>
      </c>
      <c r="F82" s="122">
        <v>0</v>
      </c>
      <c r="G82" s="112">
        <f t="shared" ref="G82:G92" si="8">F82-E82</f>
        <v>0</v>
      </c>
      <c r="H82" s="99">
        <f>G82+'27'!H82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'27'!F83</f>
        <v>0</v>
      </c>
      <c r="F83" s="122">
        <v>0</v>
      </c>
      <c r="G83" s="112">
        <f t="shared" si="8"/>
        <v>0</v>
      </c>
      <c r="H83" s="99">
        <f>G83+'27'!H83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'27'!F84</f>
        <v>43546</v>
      </c>
      <c r="F84" s="164">
        <v>43546</v>
      </c>
      <c r="G84" s="112">
        <f t="shared" si="8"/>
        <v>0</v>
      </c>
      <c r="H84" s="99">
        <f>G84+'27'!H84</f>
        <v>-0.34999999999854481</v>
      </c>
      <c r="I84" s="545"/>
      <c r="J84" s="175">
        <f>H84/DAY(B2)</f>
        <v>-1.2499999999948028E-2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405">
        <f>'27'!F85</f>
        <v>6203</v>
      </c>
      <c r="F85" s="164">
        <v>6203</v>
      </c>
      <c r="G85" s="236">
        <f t="shared" si="8"/>
        <v>0</v>
      </c>
      <c r="H85" s="99">
        <f>G85+'27'!H85</f>
        <v>270.55000000000018</v>
      </c>
      <c r="I85" s="545"/>
      <c r="J85" s="175">
        <f>H85/DAY(B2)</f>
        <v>9.6625000000000068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'27'!F86</f>
        <v>46950.07</v>
      </c>
      <c r="F86" s="164">
        <v>46971</v>
      </c>
      <c r="G86" s="112">
        <f t="shared" si="8"/>
        <v>20.930000000000291</v>
      </c>
      <c r="H86" s="99">
        <f>G86+'27'!H86</f>
        <v>137</v>
      </c>
      <c r="I86" s="545"/>
      <c r="J86" s="175">
        <f>H86/DAY(B2)</f>
        <v>4.8928571428571432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'27'!F87</f>
        <v>37294</v>
      </c>
      <c r="F87" s="164">
        <v>37298</v>
      </c>
      <c r="G87" s="112">
        <f t="shared" si="8"/>
        <v>4</v>
      </c>
      <c r="H87" s="99">
        <f>G87+'27'!H87</f>
        <v>270</v>
      </c>
      <c r="I87" s="545">
        <f>G84+G85+G86+G87</f>
        <v>24.930000000000291</v>
      </c>
      <c r="J87" s="175">
        <f>H87/DAY(B2)</f>
        <v>9.6428571428571423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'27'!F88</f>
        <v>24728.59</v>
      </c>
      <c r="F88" s="164">
        <v>24733</v>
      </c>
      <c r="G88" s="112">
        <f t="shared" si="8"/>
        <v>4.4099999999998545</v>
      </c>
      <c r="H88" s="99">
        <f>G88+'27'!H88</f>
        <v>129.40000000000146</v>
      </c>
      <c r="I88" s="545"/>
      <c r="J88" s="175">
        <f>H88/DAY(B2)</f>
        <v>4.6214285714286234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'27'!F89</f>
        <v>29006.74</v>
      </c>
      <c r="F89" s="164">
        <v>29018.18</v>
      </c>
      <c r="G89" s="112">
        <f t="shared" si="8"/>
        <v>11.43999999999869</v>
      </c>
      <c r="H89" s="99">
        <f>G89+'27'!H89</f>
        <v>269.79000000000087</v>
      </c>
      <c r="I89" s="545">
        <f>G88+G89</f>
        <v>15.849999999998545</v>
      </c>
      <c r="J89" s="175">
        <f>H89/DAY(B2)</f>
        <v>9.635357142857174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'27'!F90</f>
        <v>74417.34</v>
      </c>
      <c r="F90" s="164">
        <v>74423.149999999994</v>
      </c>
      <c r="G90" s="112">
        <f t="shared" si="8"/>
        <v>5.8099999999976717</v>
      </c>
      <c r="H90" s="99">
        <f>G90+'27'!H90</f>
        <v>28.809999999997672</v>
      </c>
      <c r="I90" s="545">
        <f>G90</f>
        <v>5.8099999999976717</v>
      </c>
      <c r="J90" s="175">
        <f>H90/DAY(B2)</f>
        <v>1.0289285714284884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'27'!F91</f>
        <v>5618.21</v>
      </c>
      <c r="F91" s="122">
        <v>5618.21</v>
      </c>
      <c r="G91" s="112">
        <f t="shared" si="8"/>
        <v>0</v>
      </c>
      <c r="H91" s="99">
        <f>G91+'27'!H91</f>
        <v>0</v>
      </c>
      <c r="I91" s="546"/>
      <c r="J91" s="175">
        <f>H91/DAY(B2)</f>
        <v>0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'27'!F92</f>
        <v>7386.98</v>
      </c>
      <c r="F92" s="122">
        <v>7398.6</v>
      </c>
      <c r="G92" s="112">
        <f t="shared" si="8"/>
        <v>11.6200000000008</v>
      </c>
      <c r="H92" s="99">
        <f>G92+'27'!H92</f>
        <v>318.91000000000076</v>
      </c>
      <c r="I92" s="547">
        <f>G91+G92</f>
        <v>11.6200000000008</v>
      </c>
      <c r="J92" s="175">
        <f>H92/DAY(B2)</f>
        <v>11.389642857142885</v>
      </c>
      <c r="O92" s="71"/>
    </row>
    <row r="93" spans="1:15" ht="26.25">
      <c r="A93" s="905" t="s">
        <v>239</v>
      </c>
      <c r="B93" s="906"/>
      <c r="C93" s="90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5099.4799999999814</v>
      </c>
      <c r="H94" s="99">
        <f>G94+'27'!H94</f>
        <v>151737.54999999993</v>
      </c>
      <c r="I94" s="118"/>
      <c r="J94" s="175">
        <f>H94/DAY(B2)</f>
        <v>5419.1982142857114</v>
      </c>
      <c r="K94" s="69"/>
      <c r="L94" s="66"/>
      <c r="O94" s="71"/>
    </row>
    <row r="95" spans="1:15" ht="25.5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0.23400267983333528</v>
      </c>
      <c r="H95" s="99">
        <f>G95+'27'!H95</f>
        <v>7.3709728192313229</v>
      </c>
      <c r="I95" s="167"/>
      <c r="J95" s="175">
        <f>H95/DAY(B2)</f>
        <v>0.26324902925826155</v>
      </c>
      <c r="K95" s="69"/>
      <c r="L95" s="66"/>
      <c r="O95" s="71"/>
    </row>
    <row r="96" spans="1:15" ht="25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3576.9000000000233</v>
      </c>
      <c r="H96" s="99">
        <f>G96+'27'!H96</f>
        <v>96125.13</v>
      </c>
      <c r="I96" s="118"/>
      <c r="J96" s="175">
        <f>H96/DAY(B2)</f>
        <v>3433.0403571428574</v>
      </c>
      <c r="K96" s="69"/>
      <c r="L96" s="66"/>
      <c r="O96" s="71"/>
    </row>
    <row r="97" spans="1:15" ht="25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0.16413520309832874</v>
      </c>
      <c r="H97" s="99">
        <f>G97+'27'!H97</f>
        <v>4.6416633674564256</v>
      </c>
      <c r="I97" s="167"/>
      <c r="J97" s="175">
        <f>H97/DAY(B2)</f>
        <v>0.16577369169487235</v>
      </c>
      <c r="K97" s="69"/>
      <c r="L97" s="66"/>
      <c r="O97" s="71"/>
    </row>
    <row r="98" spans="1:15" ht="25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2622.8000000000466</v>
      </c>
      <c r="H98" s="99">
        <f>G98+'27'!H98</f>
        <v>77326.87</v>
      </c>
      <c r="I98" s="168"/>
      <c r="J98" s="175">
        <f>H98/DAY(B2)</f>
        <v>2761.6739285714284</v>
      </c>
      <c r="K98" s="69"/>
      <c r="L98" s="66"/>
      <c r="O98" s="71"/>
    </row>
    <row r="99" spans="1:15" ht="25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0.12035388484058863</v>
      </c>
      <c r="H99" s="99" t="s">
        <v>366</v>
      </c>
      <c r="I99" s="168"/>
      <c r="J99" s="175" t="e">
        <f>H99/DAY(B2)</f>
        <v>#VALUE!</v>
      </c>
      <c r="O99" s="71"/>
    </row>
    <row r="100" spans="1:15" ht="26.2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2568.5599999999395</v>
      </c>
      <c r="H100" s="99">
        <f>G100+'27'!H100</f>
        <v>70639.669999999984</v>
      </c>
      <c r="I100" s="118"/>
      <c r="J100" s="175">
        <f>H100/DAY(B2)</f>
        <v>2522.8453571428568</v>
      </c>
      <c r="K100" s="70"/>
      <c r="O100" s="71"/>
    </row>
    <row r="101" spans="1:15" ht="25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0.11786494374185205</v>
      </c>
      <c r="H101" s="99">
        <f>G101+'27'!H101</f>
        <v>3.4382493757157504</v>
      </c>
      <c r="I101" s="168"/>
      <c r="J101" s="175">
        <f>H101/DAY(B2)</f>
        <v>0.1227946205612768</v>
      </c>
      <c r="O101" s="71"/>
    </row>
    <row r="102" spans="1:15" ht="25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2153.3400000000256</v>
      </c>
      <c r="H102" s="99">
        <f>G102+'27'!H102</f>
        <v>61638.099999999977</v>
      </c>
      <c r="I102" s="168"/>
      <c r="J102" s="175">
        <f>H102/DAY(B2)</f>
        <v>2201.3607142857136</v>
      </c>
      <c r="O102" s="71"/>
    </row>
    <row r="103" spans="1:15" ht="25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9.8811512270333843E-2</v>
      </c>
      <c r="H103" s="99">
        <f>G103+'27'!H103</f>
        <v>2.9860032236758838</v>
      </c>
      <c r="I103" s="118"/>
      <c r="J103" s="175">
        <f>H103/DAY(B2)</f>
        <v>0.1066429722741387</v>
      </c>
      <c r="O103" s="71"/>
    </row>
    <row r="104" spans="1:15" ht="25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1379.9000000000233</v>
      </c>
      <c r="H104" s="99">
        <f>G104+'27'!H104</f>
        <v>40961.960000000021</v>
      </c>
      <c r="I104" s="118"/>
      <c r="J104" s="175">
        <f>H104/DAY(B2)</f>
        <v>1462.9271428571435</v>
      </c>
      <c r="O104" s="71"/>
    </row>
    <row r="105" spans="1:15" ht="26.25" thickBot="1">
      <c r="A105" s="895" t="s">
        <v>251</v>
      </c>
      <c r="B105" s="896"/>
      <c r="C105" s="897"/>
      <c r="D105" s="231" t="s">
        <v>23</v>
      </c>
      <c r="E105" s="185"/>
      <c r="F105" s="185"/>
      <c r="G105" s="186">
        <f>G104/G7</f>
        <v>6.3320240083699908E-2</v>
      </c>
      <c r="H105" s="99">
        <f>G105+'27'!H105</f>
        <v>1.9903676827401557</v>
      </c>
      <c r="I105" s="187"/>
      <c r="J105" s="188">
        <f>H105/DAY(B2)</f>
        <v>7.1084560097862709E-2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891" t="s">
        <v>324</v>
      </c>
      <c r="B108" s="891"/>
      <c r="C108" s="891"/>
      <c r="D108" s="891"/>
      <c r="E108" s="891"/>
      <c r="F108" s="891"/>
      <c r="G108" s="891"/>
      <c r="H108" s="891"/>
      <c r="I108" s="891"/>
      <c r="J108" s="891"/>
    </row>
    <row r="109" spans="1:15" ht="26.25">
      <c r="A109" s="918"/>
      <c r="B109" s="918"/>
    </row>
    <row r="110" spans="1:15" ht="26.25">
      <c r="A110" s="892" t="s">
        <v>165</v>
      </c>
      <c r="B110" s="893"/>
      <c r="C110" s="893"/>
      <c r="D110" s="893"/>
      <c r="E110" s="893"/>
      <c r="F110" s="893"/>
      <c r="G110" s="893"/>
      <c r="H110" s="893"/>
      <c r="I110" s="893"/>
      <c r="J110" s="894"/>
    </row>
    <row r="111" spans="1:15" ht="25.5">
      <c r="A111" s="885"/>
      <c r="B111" s="886"/>
      <c r="C111" s="887"/>
      <c r="D111" s="165"/>
      <c r="E111" s="165"/>
      <c r="F111" s="165"/>
      <c r="G111" s="165"/>
      <c r="H111" s="156"/>
      <c r="I111" s="165"/>
      <c r="J111" s="327"/>
    </row>
    <row r="112" spans="1:15" ht="25.5">
      <c r="A112" s="881" t="s">
        <v>252</v>
      </c>
      <c r="B112" s="882"/>
      <c r="C112" s="883"/>
      <c r="D112" s="146" t="s">
        <v>183</v>
      </c>
      <c r="E112" s="95">
        <f>'27'!F112</f>
        <v>19156.509999999998</v>
      </c>
      <c r="F112" s="237">
        <v>19213.769</v>
      </c>
      <c r="G112" s="112">
        <f t="shared" ref="G112:G123" si="9">F112-E112</f>
        <v>57.259000000001834</v>
      </c>
      <c r="H112" s="99">
        <f>G112+'27'!H112</f>
        <v>1702.469000000001</v>
      </c>
      <c r="I112" s="165"/>
      <c r="J112" s="328">
        <f>H112/DAY(B2)</f>
        <v>60.802464285714322</v>
      </c>
    </row>
    <row r="113" spans="1:18" ht="29.25" customHeight="1">
      <c r="A113" s="881" t="s">
        <v>253</v>
      </c>
      <c r="B113" s="882"/>
      <c r="C113" s="883"/>
      <c r="D113" s="146" t="s">
        <v>183</v>
      </c>
      <c r="E113" s="95">
        <f>'27'!F113</f>
        <v>40952.43</v>
      </c>
      <c r="F113" s="237">
        <v>41093.707000000002</v>
      </c>
      <c r="G113" s="112">
        <f t="shared" si="9"/>
        <v>141.27700000000186</v>
      </c>
      <c r="H113" s="99">
        <f>G113+'27'!H113</f>
        <v>4014.7070000000022</v>
      </c>
      <c r="I113" s="165"/>
      <c r="J113" s="328">
        <f>H113/DAY(B2)</f>
        <v>143.38239285714295</v>
      </c>
    </row>
    <row r="114" spans="1:18" ht="29.25" customHeight="1">
      <c r="A114" s="881" t="s">
        <v>254</v>
      </c>
      <c r="B114" s="882"/>
      <c r="C114" s="883"/>
      <c r="D114" s="146" t="s">
        <v>183</v>
      </c>
      <c r="E114" s="95">
        <f>'27'!F114</f>
        <v>60337.73</v>
      </c>
      <c r="F114" s="237">
        <v>60551</v>
      </c>
      <c r="G114" s="112">
        <f t="shared" si="9"/>
        <v>213.2699999999968</v>
      </c>
      <c r="H114" s="99">
        <f>G114+'27'!H114</f>
        <v>6283.2200000000012</v>
      </c>
      <c r="I114" s="165"/>
      <c r="J114" s="328">
        <f>H114/DAY(B2)</f>
        <v>224.40071428571432</v>
      </c>
    </row>
    <row r="115" spans="1:18" ht="29.25" customHeight="1">
      <c r="A115" s="881" t="s">
        <v>255</v>
      </c>
      <c r="B115" s="882"/>
      <c r="C115" s="883"/>
      <c r="D115" s="146" t="s">
        <v>183</v>
      </c>
      <c r="E115" s="95">
        <f>'27'!F115</f>
        <v>38853.629999999997</v>
      </c>
      <c r="F115" s="237">
        <v>39000.35</v>
      </c>
      <c r="G115" s="112">
        <f t="shared" si="9"/>
        <v>146.72000000000116</v>
      </c>
      <c r="H115" s="99">
        <f>G115+'27'!H115</f>
        <v>4033.4399999999951</v>
      </c>
      <c r="I115" s="165"/>
      <c r="J115" s="328">
        <f>H115/DAY(B2)</f>
        <v>144.0514285714284</v>
      </c>
    </row>
    <row r="116" spans="1:18" ht="29.25" customHeight="1">
      <c r="A116" s="888" t="s">
        <v>96</v>
      </c>
      <c r="B116" s="889"/>
      <c r="C116" s="890"/>
      <c r="D116" s="146" t="s">
        <v>183</v>
      </c>
      <c r="E116" s="95">
        <f>'27'!F116</f>
        <v>146021.28</v>
      </c>
      <c r="F116" s="237">
        <v>146397.84</v>
      </c>
      <c r="G116" s="112">
        <f t="shared" si="9"/>
        <v>376.55999999999767</v>
      </c>
      <c r="H116" s="99">
        <f>G116+'27'!H116</f>
        <v>11909.449999999983</v>
      </c>
      <c r="I116" s="165"/>
      <c r="J116" s="328">
        <f>H116/DAY(B2)</f>
        <v>425.33749999999935</v>
      </c>
      <c r="Q116" s="881"/>
      <c r="R116" s="883"/>
    </row>
    <row r="117" spans="1:18" ht="29.25" customHeight="1">
      <c r="A117" s="888" t="s">
        <v>184</v>
      </c>
      <c r="B117" s="889"/>
      <c r="C117" s="890"/>
      <c r="D117" s="146" t="s">
        <v>183</v>
      </c>
      <c r="E117" s="95">
        <f>'27'!F117</f>
        <v>90910.21</v>
      </c>
      <c r="F117" s="237">
        <v>91149.63</v>
      </c>
      <c r="G117" s="112">
        <f t="shared" si="9"/>
        <v>239.41999999999825</v>
      </c>
      <c r="H117" s="99">
        <f>G117+'27'!H117</f>
        <v>8439.6300000000047</v>
      </c>
      <c r="I117" s="165"/>
      <c r="J117" s="328">
        <f>H117/DAY(B2)</f>
        <v>301.41535714285732</v>
      </c>
      <c r="Q117" s="881"/>
      <c r="R117" s="883"/>
    </row>
    <row r="118" spans="1:18" ht="25.5">
      <c r="A118" s="880" t="s">
        <v>97</v>
      </c>
      <c r="B118" s="880"/>
      <c r="C118" s="880"/>
      <c r="D118" s="151" t="s">
        <v>183</v>
      </c>
      <c r="E118" s="95">
        <f>'27'!F118</f>
        <v>174978.71</v>
      </c>
      <c r="F118" s="237">
        <v>175593.55</v>
      </c>
      <c r="G118" s="112">
        <f t="shared" si="9"/>
        <v>614.83999999999651</v>
      </c>
      <c r="H118" s="99">
        <f>G118+'27'!H118</f>
        <v>17456.399999999994</v>
      </c>
      <c r="I118" s="165"/>
      <c r="J118" s="328">
        <f>H118/DAY(B2)</f>
        <v>623.44285714285695</v>
      </c>
      <c r="Q118" s="881"/>
      <c r="R118" s="883"/>
    </row>
    <row r="119" spans="1:18" ht="25.5">
      <c r="A119" s="880" t="s">
        <v>98</v>
      </c>
      <c r="B119" s="880"/>
      <c r="C119" s="880"/>
      <c r="D119" s="151" t="s">
        <v>183</v>
      </c>
      <c r="E119" s="95">
        <f>'27'!F119</f>
        <v>45029.45</v>
      </c>
      <c r="F119" s="237">
        <v>45072.699000000001</v>
      </c>
      <c r="G119" s="112">
        <f t="shared" si="9"/>
        <v>43.249000000003434</v>
      </c>
      <c r="H119" s="99">
        <f>G119+'27'!H119</f>
        <v>1133.5239999999976</v>
      </c>
      <c r="I119" s="165"/>
      <c r="J119" s="328">
        <f>H119/DAY(B2)</f>
        <v>40.482999999999912</v>
      </c>
    </row>
    <row r="120" spans="1:18" ht="25.5">
      <c r="A120" s="880" t="s">
        <v>99</v>
      </c>
      <c r="B120" s="880"/>
      <c r="C120" s="880"/>
      <c r="D120" s="151" t="s">
        <v>183</v>
      </c>
      <c r="E120" s="95">
        <f>'27'!F120</f>
        <v>118990.72</v>
      </c>
      <c r="F120" s="237">
        <v>119335.86</v>
      </c>
      <c r="G120" s="112">
        <f t="shared" si="9"/>
        <v>345.13999999999942</v>
      </c>
      <c r="H120" s="99">
        <f>G120+'27'!H120</f>
        <v>10898.720000000001</v>
      </c>
      <c r="I120" s="165"/>
      <c r="J120" s="328">
        <f>H120/DAY(B2)</f>
        <v>389.24000000000007</v>
      </c>
    </row>
    <row r="121" spans="1:18" ht="25.5">
      <c r="A121" s="880" t="s">
        <v>100</v>
      </c>
      <c r="B121" s="880"/>
      <c r="C121" s="880"/>
      <c r="D121" s="151" t="s">
        <v>183</v>
      </c>
      <c r="E121" s="95">
        <f>'27'!F121</f>
        <v>132842.79</v>
      </c>
      <c r="F121" s="237">
        <v>133243</v>
      </c>
      <c r="G121" s="112">
        <f t="shared" si="9"/>
        <v>400.20999999999185</v>
      </c>
      <c r="H121" s="99">
        <f>G121+'27'!H121</f>
        <v>12020.11</v>
      </c>
      <c r="I121" s="165"/>
      <c r="J121" s="328">
        <f>H121/DAY(B2)</f>
        <v>429.28964285714289</v>
      </c>
    </row>
    <row r="122" spans="1:18" ht="25.5">
      <c r="A122" s="880" t="s">
        <v>101</v>
      </c>
      <c r="B122" s="880"/>
      <c r="C122" s="880"/>
      <c r="D122" s="151" t="s">
        <v>183</v>
      </c>
      <c r="E122" s="95">
        <f>'27'!F122</f>
        <v>89630.59</v>
      </c>
      <c r="F122" s="237">
        <v>89917.43</v>
      </c>
      <c r="G122" s="112">
        <f t="shared" si="9"/>
        <v>286.83999999999651</v>
      </c>
      <c r="H122" s="99">
        <f>G122+'27'!H122</f>
        <v>8643.0599999999977</v>
      </c>
      <c r="I122" s="165"/>
      <c r="J122" s="328">
        <f>H122/DAY(B2)</f>
        <v>308.6807142857142</v>
      </c>
    </row>
    <row r="123" spans="1:18" ht="25.5">
      <c r="A123" s="880" t="s">
        <v>102</v>
      </c>
      <c r="B123" s="880"/>
      <c r="C123" s="880"/>
      <c r="D123" s="151" t="s">
        <v>183</v>
      </c>
      <c r="E123" s="95">
        <f>'27'!F123</f>
        <v>86340.94</v>
      </c>
      <c r="F123" s="237">
        <v>86638.327000000005</v>
      </c>
      <c r="G123" s="112">
        <f t="shared" si="9"/>
        <v>297.38700000000244</v>
      </c>
      <c r="H123" s="99">
        <f>G123+'27'!H123</f>
        <v>8689.3270000000048</v>
      </c>
      <c r="I123" s="165"/>
      <c r="J123" s="328">
        <f>H123/DAY(B2)</f>
        <v>310.33310714285733</v>
      </c>
    </row>
    <row r="124" spans="1:18" ht="29.25" customHeight="1">
      <c r="A124" s="885"/>
      <c r="B124" s="886"/>
      <c r="C124" s="887"/>
      <c r="D124" s="165"/>
      <c r="E124" s="95">
        <f>'27'!F124</f>
        <v>0</v>
      </c>
      <c r="F124" s="165"/>
      <c r="G124" s="327"/>
      <c r="H124" s="99">
        <f>G124+'27'!H124</f>
        <v>0</v>
      </c>
      <c r="I124" s="165"/>
      <c r="J124" s="327"/>
    </row>
    <row r="125" spans="1:18" ht="25.5">
      <c r="A125" s="787" t="s">
        <v>196</v>
      </c>
      <c r="B125" s="788"/>
      <c r="C125" s="245"/>
      <c r="D125" s="307"/>
      <c r="E125" s="308"/>
      <c r="F125" s="308"/>
      <c r="G125" s="309">
        <f>SUM(G112:G124)</f>
        <v>3162.1719999999877</v>
      </c>
      <c r="H125" s="156"/>
      <c r="I125" s="327">
        <f>G125-(G39+G53)</f>
        <v>539.37199999994118</v>
      </c>
      <c r="J125" s="327"/>
    </row>
    <row r="126" spans="1:18" ht="25.5">
      <c r="A126" s="884" t="s">
        <v>317</v>
      </c>
      <c r="B126" s="884"/>
      <c r="C126" s="884"/>
      <c r="D126" s="884"/>
      <c r="E126" s="884"/>
      <c r="F126" s="884"/>
      <c r="G126" s="884"/>
      <c r="H126" s="884"/>
      <c r="I126" s="884"/>
      <c r="J126" s="884"/>
    </row>
    <row r="127" spans="1:18" ht="25.5">
      <c r="A127" s="870"/>
      <c r="B127" s="870"/>
      <c r="C127" s="245"/>
      <c r="D127" s="307"/>
      <c r="E127" s="308"/>
      <c r="F127" s="308"/>
      <c r="G127" s="309"/>
      <c r="H127" s="99">
        <f>G127+'27'!H127</f>
        <v>0</v>
      </c>
      <c r="I127" s="165"/>
      <c r="J127" s="328">
        <f>H127/DAY(B2)</f>
        <v>0</v>
      </c>
    </row>
    <row r="128" spans="1:18" ht="29.25" customHeight="1">
      <c r="A128" s="881" t="s">
        <v>318</v>
      </c>
      <c r="B128" s="882"/>
      <c r="C128" s="883"/>
      <c r="D128" s="151" t="s">
        <v>183</v>
      </c>
      <c r="E128" s="95">
        <f>'27'!F128</f>
        <v>205312.81</v>
      </c>
      <c r="F128" s="165">
        <v>205789.98</v>
      </c>
      <c r="G128" s="112">
        <f t="shared" ref="G128:G134" si="10">F128-E128</f>
        <v>477.17000000001281</v>
      </c>
      <c r="H128" s="99">
        <f>G128+'27'!H128</f>
        <v>13904.350000000006</v>
      </c>
      <c r="I128" s="165"/>
      <c r="J128" s="328">
        <f>H128/DAY(B2)</f>
        <v>496.58392857142877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'27'!F129</f>
        <v>272.75</v>
      </c>
      <c r="F129" s="165">
        <v>376</v>
      </c>
      <c r="G129" s="112">
        <f t="shared" si="10"/>
        <v>103.25</v>
      </c>
      <c r="H129" s="99">
        <f>G129+'27'!H129</f>
        <v>4725.1400000000003</v>
      </c>
      <c r="I129" s="165"/>
      <c r="J129" s="328">
        <f>H129/DAY(B2)</f>
        <v>168.75500000000002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'27'!F130</f>
        <v>284575</v>
      </c>
      <c r="F130" s="165">
        <v>285187.59000000003</v>
      </c>
      <c r="G130" s="112">
        <f t="shared" si="10"/>
        <v>612.59000000002561</v>
      </c>
      <c r="H130" s="99">
        <f>G130+'27'!H130</f>
        <v>16372.590000000026</v>
      </c>
      <c r="I130" s="165"/>
      <c r="J130" s="328">
        <f>H130/DAY(B2)</f>
        <v>584.73535714285811</v>
      </c>
      <c r="N130" s="240"/>
      <c r="O130" s="241"/>
    </row>
    <row r="131" spans="1:15" ht="25.5">
      <c r="A131" s="881" t="s">
        <v>321</v>
      </c>
      <c r="B131" s="882"/>
      <c r="C131" s="883"/>
      <c r="D131" s="151" t="s">
        <v>183</v>
      </c>
      <c r="E131" s="95">
        <f>'27'!F131</f>
        <v>84113.16</v>
      </c>
      <c r="F131" s="165">
        <v>84216.759000000005</v>
      </c>
      <c r="G131" s="112">
        <f t="shared" si="10"/>
        <v>103.59900000000198</v>
      </c>
      <c r="H131" s="99">
        <f>G131+'27'!H131</f>
        <v>4666.1290000000008</v>
      </c>
      <c r="I131" s="165"/>
      <c r="J131" s="328">
        <f>H131/DAY(B2)</f>
        <v>166.64746428571431</v>
      </c>
      <c r="N131" s="240"/>
      <c r="O131" s="241"/>
    </row>
    <row r="132" spans="1:15" ht="25.5">
      <c r="A132" s="881" t="s">
        <v>322</v>
      </c>
      <c r="B132" s="882"/>
      <c r="C132" s="883"/>
      <c r="D132" s="151" t="s">
        <v>183</v>
      </c>
      <c r="E132" s="95">
        <f>'27'!F132</f>
        <v>66273</v>
      </c>
      <c r="F132" s="165">
        <v>66546.959000000003</v>
      </c>
      <c r="G132" s="112">
        <f t="shared" si="10"/>
        <v>273.95900000000256</v>
      </c>
      <c r="H132" s="99">
        <f>G132+'27'!H132</f>
        <v>2321.9590000000026</v>
      </c>
      <c r="I132" s="165"/>
      <c r="J132" s="328">
        <f>H132/DAY(B2)</f>
        <v>82.927107142857238</v>
      </c>
    </row>
    <row r="133" spans="1:15" ht="25.5">
      <c r="A133" s="881" t="s">
        <v>359</v>
      </c>
      <c r="B133" s="882"/>
      <c r="C133" s="883"/>
      <c r="D133" s="151" t="s">
        <v>183</v>
      </c>
      <c r="E133" s="95">
        <f>'27'!F133</f>
        <v>947746</v>
      </c>
      <c r="F133" s="165">
        <v>948297</v>
      </c>
      <c r="G133" s="112">
        <f t="shared" si="10"/>
        <v>551</v>
      </c>
      <c r="H133" s="99">
        <f>G133+'27'!H133</f>
        <v>-642072.83000000007</v>
      </c>
      <c r="I133" s="165"/>
      <c r="J133" s="328">
        <f>H133/DAY(B2)</f>
        <v>-22931.172500000004</v>
      </c>
    </row>
    <row r="134" spans="1:15" ht="25.5">
      <c r="A134" s="881" t="s">
        <v>340</v>
      </c>
      <c r="B134" s="882"/>
      <c r="C134" s="883"/>
      <c r="D134" s="151" t="s">
        <v>183</v>
      </c>
      <c r="E134" s="95">
        <f>'27'!F134</f>
        <v>92284.39</v>
      </c>
      <c r="F134" s="158">
        <v>92451.63</v>
      </c>
      <c r="G134" s="112">
        <f t="shared" si="10"/>
        <v>167.24000000000524</v>
      </c>
      <c r="H134" s="99">
        <f>G134+'27'!H134</f>
        <v>6499.6300000000047</v>
      </c>
      <c r="I134" s="165"/>
      <c r="J134" s="328">
        <f>H134/DAY(B2)</f>
        <v>232.12964285714301</v>
      </c>
    </row>
    <row r="135" spans="1:15" ht="25.5">
      <c r="A135" s="787" t="s">
        <v>196</v>
      </c>
      <c r="B135" s="788"/>
      <c r="C135" s="331"/>
      <c r="D135" s="151"/>
      <c r="E135" s="95"/>
      <c r="F135" s="165"/>
      <c r="G135" s="112">
        <f>SUM(G128:G134)</f>
        <v>2288.8080000000482</v>
      </c>
      <c r="H135" s="99">
        <f>G135+'23'!H135</f>
        <v>-624034.92699999991</v>
      </c>
      <c r="I135" s="327">
        <f>G135-(G35+G49)</f>
        <v>-376.03199999991921</v>
      </c>
      <c r="J135" s="328">
        <f>H135/DAY(B2)</f>
        <v>-22286.961678571424</v>
      </c>
    </row>
    <row r="136" spans="1:15" ht="27.75">
      <c r="A136" s="869" t="s">
        <v>325</v>
      </c>
      <c r="B136" s="869"/>
      <c r="C136" s="869"/>
      <c r="D136" s="869"/>
      <c r="E136" s="869"/>
      <c r="F136" s="869"/>
      <c r="G136" s="869"/>
      <c r="H136" s="869"/>
      <c r="I136" s="869"/>
      <c r="J136" s="869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80" t="s">
        <v>185</v>
      </c>
      <c r="B138" s="880"/>
      <c r="C138" s="880"/>
      <c r="D138" s="151" t="s">
        <v>183</v>
      </c>
      <c r="E138" s="95">
        <f>'27'!F138</f>
        <v>912455</v>
      </c>
      <c r="F138" s="147">
        <v>912560</v>
      </c>
      <c r="G138" s="112">
        <f t="shared" ref="G138:G152" si="11">F138-E138</f>
        <v>105</v>
      </c>
      <c r="H138" s="99">
        <f>G138+'27'!H138</f>
        <v>3120</v>
      </c>
      <c r="I138" s="118"/>
      <c r="J138" s="328">
        <f>H138/DAY(B2)</f>
        <v>111.42857142857143</v>
      </c>
    </row>
    <row r="139" spans="1:15" ht="25.5">
      <c r="A139" s="880" t="s">
        <v>186</v>
      </c>
      <c r="B139" s="880"/>
      <c r="C139" s="880"/>
      <c r="D139" s="151" t="s">
        <v>183</v>
      </c>
      <c r="E139" s="95">
        <f>'27'!F139</f>
        <v>936618</v>
      </c>
      <c r="F139" s="148">
        <v>936781</v>
      </c>
      <c r="G139" s="112">
        <f t="shared" si="11"/>
        <v>163</v>
      </c>
      <c r="H139" s="99">
        <f>G139+'27'!H139</f>
        <v>4421</v>
      </c>
      <c r="I139" s="118"/>
      <c r="J139" s="328">
        <f>H139/DAY(B2)</f>
        <v>157.89285714285714</v>
      </c>
    </row>
    <row r="140" spans="1:15" ht="25.5">
      <c r="A140" s="880" t="s">
        <v>187</v>
      </c>
      <c r="B140" s="880"/>
      <c r="C140" s="880"/>
      <c r="D140" s="151" t="s">
        <v>183</v>
      </c>
      <c r="E140" s="95">
        <v>3962</v>
      </c>
      <c r="F140" s="149">
        <v>3981.47</v>
      </c>
      <c r="G140" s="112">
        <f t="shared" si="11"/>
        <v>19.4699999999998</v>
      </c>
      <c r="H140" s="99">
        <f>G140+'27'!H140</f>
        <v>647.09900000000016</v>
      </c>
      <c r="I140" s="118"/>
      <c r="J140" s="328">
        <f>H140/DAY(B2)</f>
        <v>23.110678571428576</v>
      </c>
    </row>
    <row r="141" spans="1:15" ht="25.5">
      <c r="A141" s="863" t="s">
        <v>188</v>
      </c>
      <c r="B141" s="863"/>
      <c r="C141" s="863"/>
      <c r="D141" s="151" t="s">
        <v>183</v>
      </c>
      <c r="E141" s="95">
        <f>'27'!F141</f>
        <v>130391</v>
      </c>
      <c r="F141" s="149">
        <v>130613.71</v>
      </c>
      <c r="G141" s="112">
        <f t="shared" si="11"/>
        <v>222.7100000000064</v>
      </c>
      <c r="H141" s="99">
        <f>G141+'27'!H141</f>
        <v>6015.7100000000064</v>
      </c>
      <c r="I141" s="118"/>
      <c r="J141" s="328">
        <f>H141/DAY(B2)</f>
        <v>214.84678571428594</v>
      </c>
    </row>
    <row r="142" spans="1:15" ht="25.5">
      <c r="A142" s="863" t="s">
        <v>189</v>
      </c>
      <c r="B142" s="863"/>
      <c r="C142" s="863"/>
      <c r="D142" s="151" t="s">
        <v>183</v>
      </c>
      <c r="E142" s="95">
        <f>'27'!F142</f>
        <v>52866</v>
      </c>
      <c r="F142" s="148">
        <v>52936.298999999999</v>
      </c>
      <c r="G142" s="112">
        <f t="shared" si="11"/>
        <v>70.298999999999069</v>
      </c>
      <c r="H142" s="99">
        <f>G142+'27'!H142</f>
        <v>2370.7489999999962</v>
      </c>
      <c r="I142" s="140"/>
      <c r="J142" s="328">
        <f>H142/DAY(B2)</f>
        <v>84.669607142857004</v>
      </c>
    </row>
    <row r="143" spans="1:15" ht="25.5">
      <c r="A143" s="880" t="s">
        <v>91</v>
      </c>
      <c r="B143" s="880"/>
      <c r="C143" s="880"/>
      <c r="D143" s="151" t="s">
        <v>183</v>
      </c>
      <c r="E143" s="95">
        <f>'27'!F143</f>
        <v>14185</v>
      </c>
      <c r="F143" s="149">
        <v>14215.412</v>
      </c>
      <c r="G143" s="112">
        <f t="shared" si="11"/>
        <v>30.412000000000262</v>
      </c>
      <c r="H143" s="99">
        <f>G143+'27'!H143</f>
        <v>828.41200000000026</v>
      </c>
      <c r="I143" s="140"/>
      <c r="J143" s="328">
        <f>H143/DAY(B2)</f>
        <v>29.586142857142868</v>
      </c>
    </row>
    <row r="144" spans="1:15" ht="25.5">
      <c r="A144" s="863" t="s">
        <v>90</v>
      </c>
      <c r="B144" s="863"/>
      <c r="C144" s="863"/>
      <c r="D144" s="151" t="s">
        <v>183</v>
      </c>
      <c r="E144" s="95">
        <f>'27'!F144</f>
        <v>962123</v>
      </c>
      <c r="F144" s="148">
        <v>962403</v>
      </c>
      <c r="G144" s="112">
        <f t="shared" si="11"/>
        <v>280</v>
      </c>
      <c r="H144" s="99">
        <f>G144+'27'!H144</f>
        <v>6933</v>
      </c>
      <c r="I144" s="140"/>
      <c r="J144" s="328">
        <f>H144/DAY(B2)</f>
        <v>247.60714285714286</v>
      </c>
    </row>
    <row r="145" spans="1:10" ht="25.5">
      <c r="A145" s="880" t="s">
        <v>190</v>
      </c>
      <c r="B145" s="880"/>
      <c r="C145" s="880"/>
      <c r="D145" s="152" t="s">
        <v>183</v>
      </c>
      <c r="E145" s="95">
        <f>'27'!F145</f>
        <v>750103</v>
      </c>
      <c r="F145" s="149">
        <v>750182</v>
      </c>
      <c r="G145" s="112">
        <f t="shared" si="11"/>
        <v>79</v>
      </c>
      <c r="H145" s="99">
        <f>G145+'27'!H145</f>
        <v>5001</v>
      </c>
      <c r="I145" s="140"/>
      <c r="J145" s="328">
        <f>H145/DAY(B2)</f>
        <v>178.60714285714286</v>
      </c>
    </row>
    <row r="146" spans="1:10" ht="25.5">
      <c r="A146" s="914" t="s">
        <v>191</v>
      </c>
      <c r="B146" s="900"/>
      <c r="C146" s="901"/>
      <c r="D146" s="152" t="s">
        <v>183</v>
      </c>
      <c r="E146" s="95">
        <f>'27'!F146</f>
        <v>788848</v>
      </c>
      <c r="F146" s="148">
        <v>788888</v>
      </c>
      <c r="G146" s="112">
        <f t="shared" si="11"/>
        <v>40</v>
      </c>
      <c r="H146" s="99">
        <f>G146+'27'!H146</f>
        <v>1030</v>
      </c>
      <c r="I146" s="140"/>
      <c r="J146" s="328">
        <f>H146/DAY(B2)</f>
        <v>36.785714285714285</v>
      </c>
    </row>
    <row r="147" spans="1:10" ht="25.5">
      <c r="A147" s="863" t="s">
        <v>192</v>
      </c>
      <c r="B147" s="863"/>
      <c r="C147" s="863"/>
      <c r="D147" s="152" t="s">
        <v>183</v>
      </c>
      <c r="E147" s="95">
        <f>'27'!F147</f>
        <v>770108</v>
      </c>
      <c r="F147" s="148">
        <v>770483.04</v>
      </c>
      <c r="G147" s="112">
        <f t="shared" si="11"/>
        <v>375.04000000003725</v>
      </c>
      <c r="H147" s="99">
        <f>G147+'27'!H147</f>
        <v>10345.040000000037</v>
      </c>
      <c r="I147" s="140"/>
      <c r="J147" s="328">
        <f>H147/DAY(B2)</f>
        <v>369.46571428571559</v>
      </c>
    </row>
    <row r="148" spans="1:10" ht="25.5">
      <c r="A148" s="864" t="s">
        <v>193</v>
      </c>
      <c r="B148" s="865"/>
      <c r="C148" s="866"/>
      <c r="D148" s="123" t="s">
        <v>130</v>
      </c>
      <c r="E148" s="95">
        <f>'27'!F148</f>
        <v>805371</v>
      </c>
      <c r="F148" s="150">
        <v>805761</v>
      </c>
      <c r="G148" s="112">
        <f t="shared" si="11"/>
        <v>390</v>
      </c>
      <c r="H148" s="99">
        <f>G148+'27'!H148</f>
        <v>9348.9200000000419</v>
      </c>
      <c r="I148" s="124"/>
      <c r="J148" s="328">
        <f>H148/DAY(B2)</f>
        <v>333.89000000000152</v>
      </c>
    </row>
    <row r="149" spans="1:10" ht="25.5">
      <c r="A149" s="864" t="s">
        <v>336</v>
      </c>
      <c r="B149" s="865"/>
      <c r="C149" s="866"/>
      <c r="D149" s="227" t="s">
        <v>130</v>
      </c>
      <c r="E149" s="95">
        <f>'27'!F149</f>
        <v>214470</v>
      </c>
      <c r="F149" s="146">
        <v>215060</v>
      </c>
      <c r="G149" s="112">
        <f t="shared" si="11"/>
        <v>590</v>
      </c>
      <c r="H149" s="99">
        <f>G149+'27'!H149</f>
        <v>13768.73000000001</v>
      </c>
      <c r="I149" s="119"/>
      <c r="J149" s="328">
        <f>H149/DAY(B2)</f>
        <v>491.74035714285753</v>
      </c>
    </row>
    <row r="150" spans="1:10" ht="25.5">
      <c r="A150" s="864" t="s">
        <v>337</v>
      </c>
      <c r="B150" s="865"/>
      <c r="C150" s="866"/>
      <c r="D150" s="117" t="s">
        <v>130</v>
      </c>
      <c r="E150" s="95">
        <f>'27'!F150</f>
        <v>91467.15</v>
      </c>
      <c r="F150" s="233">
        <v>91700.32</v>
      </c>
      <c r="G150" s="112">
        <f t="shared" si="11"/>
        <v>233.17000000001281</v>
      </c>
      <c r="H150" s="99">
        <f>G150+'27'!H150</f>
        <v>9113.320000000007</v>
      </c>
      <c r="I150" s="119"/>
      <c r="J150" s="328">
        <f>H150/DAY(B2)</f>
        <v>325.47571428571456</v>
      </c>
    </row>
    <row r="151" spans="1:10" ht="25.5">
      <c r="A151" s="864" t="s">
        <v>338</v>
      </c>
      <c r="B151" s="865"/>
      <c r="C151" s="866"/>
      <c r="D151" s="117" t="s">
        <v>130</v>
      </c>
      <c r="E151" s="95">
        <f>'27'!F151</f>
        <v>174942</v>
      </c>
      <c r="F151" s="233">
        <v>175252</v>
      </c>
      <c r="G151" s="112">
        <f t="shared" si="11"/>
        <v>310</v>
      </c>
      <c r="H151" s="99">
        <f>G151+'27'!H151</f>
        <v>8522</v>
      </c>
      <c r="I151" s="119"/>
      <c r="J151" s="328">
        <f>H151/DAY(B2)</f>
        <v>304.35714285714283</v>
      </c>
    </row>
    <row r="152" spans="1:10" ht="25.5">
      <c r="A152" s="864" t="s">
        <v>339</v>
      </c>
      <c r="B152" s="865"/>
      <c r="C152" s="866"/>
      <c r="D152" s="117" t="s">
        <v>130</v>
      </c>
      <c r="E152" s="95">
        <f>'27'!F152</f>
        <v>46103</v>
      </c>
      <c r="F152" s="233">
        <v>46229</v>
      </c>
      <c r="G152" s="112">
        <f t="shared" si="11"/>
        <v>126</v>
      </c>
      <c r="H152" s="99">
        <f>G152+'27'!H152</f>
        <v>3718</v>
      </c>
      <c r="I152" s="119"/>
      <c r="J152" s="328">
        <f>H152/DAY(B2)</f>
        <v>132.78571428571428</v>
      </c>
    </row>
    <row r="153" spans="1:10" ht="25.5">
      <c r="A153" s="787" t="s">
        <v>196</v>
      </c>
      <c r="B153" s="788"/>
      <c r="C153" s="365"/>
      <c r="D153" s="358"/>
      <c r="E153" s="360"/>
      <c r="F153" s="361"/>
      <c r="G153" s="362">
        <f>SUM(G138:G152)</f>
        <v>3034.1010000000556</v>
      </c>
      <c r="H153" s="363"/>
      <c r="I153" s="119">
        <f>G153-(G38+G52)</f>
        <v>465.54100000011613</v>
      </c>
      <c r="J153" s="366"/>
    </row>
    <row r="154" spans="1:10" ht="27.75">
      <c r="A154" s="869" t="s">
        <v>344</v>
      </c>
      <c r="B154" s="869"/>
      <c r="C154" s="869"/>
      <c r="D154" s="869"/>
      <c r="E154" s="869"/>
      <c r="F154" s="869"/>
      <c r="G154" s="869"/>
      <c r="H154" s="869"/>
      <c r="I154" s="869"/>
      <c r="J154" s="869"/>
    </row>
    <row r="155" spans="1:10" ht="27.75">
      <c r="A155" s="863" t="s">
        <v>345</v>
      </c>
      <c r="B155" s="863"/>
      <c r="C155" s="863"/>
      <c r="D155" s="117" t="s">
        <v>130</v>
      </c>
      <c r="E155" s="525">
        <f>'27'!F155</f>
        <v>254128</v>
      </c>
      <c r="F155" s="526">
        <v>254659</v>
      </c>
      <c r="G155" s="112">
        <f t="shared" ref="G155:G158" si="12">F155-E155</f>
        <v>531</v>
      </c>
      <c r="H155" s="99">
        <f>G155+'27'!H155</f>
        <v>15625</v>
      </c>
      <c r="I155" s="364"/>
      <c r="J155" s="328">
        <f>H155/DAY(B2)</f>
        <v>558.03571428571433</v>
      </c>
    </row>
    <row r="156" spans="1:10" ht="25.5">
      <c r="A156" s="863" t="s">
        <v>347</v>
      </c>
      <c r="B156" s="863"/>
      <c r="C156" s="863"/>
      <c r="D156" s="117" t="s">
        <v>130</v>
      </c>
      <c r="E156" s="95">
        <f>'27'!F156</f>
        <v>32169</v>
      </c>
      <c r="F156" s="155">
        <v>32261</v>
      </c>
      <c r="G156" s="112">
        <f t="shared" si="12"/>
        <v>92</v>
      </c>
      <c r="H156" s="99">
        <f>G156+'27'!H156</f>
        <v>2581.5</v>
      </c>
      <c r="I156" s="165"/>
      <c r="J156" s="328">
        <f>H156/DAY(B2)</f>
        <v>92.196428571428569</v>
      </c>
    </row>
    <row r="157" spans="1:10" ht="25.5">
      <c r="A157" s="864" t="s">
        <v>360</v>
      </c>
      <c r="B157" s="865"/>
      <c r="C157" s="866"/>
      <c r="D157" s="117" t="s">
        <v>130</v>
      </c>
      <c r="E157" s="95">
        <f>'27'!F157</f>
        <v>663.53</v>
      </c>
      <c r="F157" s="157">
        <v>37559</v>
      </c>
      <c r="G157" s="112">
        <f t="shared" si="12"/>
        <v>36895.47</v>
      </c>
      <c r="H157" s="99"/>
      <c r="I157" s="165"/>
      <c r="J157" s="328"/>
    </row>
    <row r="158" spans="1:10" ht="25.5">
      <c r="A158" s="864" t="s">
        <v>361</v>
      </c>
      <c r="B158" s="865"/>
      <c r="C158" s="866"/>
      <c r="D158" s="117" t="s">
        <v>130</v>
      </c>
      <c r="E158" s="95">
        <f>'27'!F158</f>
        <v>1781</v>
      </c>
      <c r="F158" s="155">
        <v>1781</v>
      </c>
      <c r="G158" s="112">
        <f t="shared" si="12"/>
        <v>0</v>
      </c>
      <c r="H158" s="99"/>
      <c r="I158" s="165"/>
      <c r="J158" s="328"/>
    </row>
    <row r="159" spans="1:10" ht="25.5">
      <c r="A159" s="944"/>
      <c r="B159" s="945"/>
      <c r="C159" s="946"/>
      <c r="D159" s="117"/>
      <c r="E159" s="95"/>
      <c r="F159" s="165"/>
      <c r="G159" s="112"/>
      <c r="H159" s="99"/>
      <c r="I159" s="165"/>
      <c r="J159" s="328"/>
    </row>
    <row r="160" spans="1:10" ht="27.75">
      <c r="A160" s="869" t="s">
        <v>326</v>
      </c>
      <c r="B160" s="869"/>
      <c r="C160" s="869"/>
      <c r="D160" s="869"/>
      <c r="E160" s="869"/>
      <c r="F160" s="869"/>
      <c r="G160" s="869"/>
      <c r="H160" s="869"/>
      <c r="I160" s="869"/>
      <c r="J160" s="869"/>
    </row>
    <row r="161" spans="1:10" ht="26.25">
      <c r="A161" s="242" t="s">
        <v>92</v>
      </c>
      <c r="B161" s="243"/>
      <c r="C161" s="243"/>
      <c r="D161" s="244" t="s">
        <v>180</v>
      </c>
      <c r="E161" s="95">
        <f>'27'!F161</f>
        <v>512042.9</v>
      </c>
      <c r="F161" s="235">
        <v>512101.4</v>
      </c>
      <c r="G161" s="238">
        <f t="shared" ref="G161:G165" si="13">F161-E161</f>
        <v>58.5</v>
      </c>
      <c r="H161" s="99">
        <f>G161+'27'!H161</f>
        <v>3718.0800000000163</v>
      </c>
      <c r="I161" s="236"/>
      <c r="J161" s="239">
        <f>H161/DAY(B2)</f>
        <v>132.788571428572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'27'!F162</f>
        <v>1666.6</v>
      </c>
      <c r="F162" s="235">
        <v>1692.6</v>
      </c>
      <c r="G162" s="238">
        <f t="shared" si="13"/>
        <v>26</v>
      </c>
      <c r="H162" s="99">
        <f>G162+'27'!H162</f>
        <v>955.99999999999989</v>
      </c>
      <c r="I162" s="236"/>
      <c r="J162" s="239">
        <f>H162/DAY(B2)</f>
        <v>34.142857142857139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'27'!F163</f>
        <v>0</v>
      </c>
      <c r="F163" s="235">
        <v>0</v>
      </c>
      <c r="G163" s="238">
        <f t="shared" si="13"/>
        <v>0</v>
      </c>
      <c r="H163" s="99">
        <f>G163+'27'!H163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'27'!F164</f>
        <v>7329.2</v>
      </c>
      <c r="F164" s="235">
        <v>7331</v>
      </c>
      <c r="G164" s="238">
        <f t="shared" si="13"/>
        <v>1.8000000000001819</v>
      </c>
      <c r="H164" s="99">
        <f>G164+'27'!H164</f>
        <v>132</v>
      </c>
      <c r="I164" s="236"/>
      <c r="J164" s="239">
        <f>H164/DAY(B2)</f>
        <v>4.7142857142857144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'27'!F165</f>
        <v>32951</v>
      </c>
      <c r="F165" s="235">
        <v>32954</v>
      </c>
      <c r="G165" s="238">
        <f t="shared" si="13"/>
        <v>3</v>
      </c>
      <c r="H165" s="99">
        <f>G165+'27'!H165</f>
        <v>173.91199999999662</v>
      </c>
      <c r="I165" s="236"/>
      <c r="J165" s="239">
        <f>H165/DAY(B2)</f>
        <v>6.211142857142737</v>
      </c>
    </row>
    <row r="166" spans="1:10" ht="26.25">
      <c r="A166" s="870"/>
      <c r="B166" s="870"/>
      <c r="C166" s="246"/>
      <c r="D166" s="244" t="s">
        <v>180</v>
      </c>
      <c r="E166" s="95">
        <f>'27'!F166</f>
        <v>0</v>
      </c>
      <c r="F166" s="165"/>
      <c r="G166" s="165"/>
      <c r="H166" s="99">
        <f>G166+'27'!H166</f>
        <v>0</v>
      </c>
      <c r="I166" s="165"/>
      <c r="J166" s="239">
        <f>H166/DAY(B2)</f>
        <v>0</v>
      </c>
    </row>
    <row r="167" spans="1:10" ht="26.25">
      <c r="A167" s="870"/>
      <c r="B167" s="870"/>
      <c r="C167" s="246"/>
      <c r="D167" s="244" t="s">
        <v>180</v>
      </c>
      <c r="E167" s="95">
        <f>'27'!F167</f>
        <v>0</v>
      </c>
      <c r="F167" s="165"/>
      <c r="G167" s="165"/>
      <c r="H167" s="99">
        <f>G167+'27'!H167</f>
        <v>0</v>
      </c>
      <c r="I167" s="165"/>
      <c r="J167" s="239">
        <f>H167/DAY(B2)</f>
        <v>0</v>
      </c>
    </row>
    <row r="168" spans="1:10" ht="26.25">
      <c r="A168" s="870"/>
      <c r="B168" s="870"/>
      <c r="C168" s="246"/>
      <c r="D168" s="244" t="s">
        <v>180</v>
      </c>
      <c r="E168" s="95">
        <f>'27'!F168</f>
        <v>0</v>
      </c>
      <c r="F168" s="165"/>
      <c r="G168" s="165"/>
      <c r="H168" s="99">
        <f>G168+'27'!H168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71" t="s">
        <v>330</v>
      </c>
      <c r="B171" s="872"/>
      <c r="C171" s="872"/>
      <c r="D171" s="872"/>
      <c r="E171" s="872"/>
      <c r="F171" s="872"/>
      <c r="G171" s="872"/>
      <c r="H171" s="872"/>
      <c r="I171" s="872"/>
      <c r="J171" s="873"/>
    </row>
    <row r="172" spans="1:10" ht="25.5">
      <c r="A172" s="878"/>
      <c r="B172" s="879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789" t="s">
        <v>209</v>
      </c>
      <c r="B173" s="790"/>
      <c r="C173" s="333"/>
      <c r="D173" s="228" t="s">
        <v>142</v>
      </c>
      <c r="E173" s="95">
        <f>'27'!F173</f>
        <v>8612</v>
      </c>
      <c r="F173" s="155">
        <v>8612</v>
      </c>
      <c r="G173" s="155">
        <f>F173-E173</f>
        <v>0</v>
      </c>
      <c r="H173" s="99">
        <f>G173+'27'!H173</f>
        <v>30</v>
      </c>
      <c r="I173" s="155"/>
      <c r="J173" s="178">
        <f>H173/DAY(B2)</f>
        <v>1.0714285714285714</v>
      </c>
    </row>
    <row r="174" spans="1:10" ht="25.5">
      <c r="A174" s="789" t="s">
        <v>75</v>
      </c>
      <c r="B174" s="790"/>
      <c r="C174" s="333"/>
      <c r="D174" s="228" t="s">
        <v>142</v>
      </c>
      <c r="E174" s="95">
        <f>'27'!F174</f>
        <v>43371</v>
      </c>
      <c r="F174" s="157">
        <v>43380</v>
      </c>
      <c r="G174" s="155">
        <f t="shared" ref="G174:G175" si="14">F174-E174</f>
        <v>9</v>
      </c>
      <c r="H174" s="99">
        <f>G174+'27'!H174</f>
        <v>330</v>
      </c>
      <c r="I174" s="155"/>
      <c r="J174" s="178">
        <f>H174/DAY(B2)</f>
        <v>11.785714285714286</v>
      </c>
    </row>
    <row r="175" spans="1:10" ht="25.5">
      <c r="A175" s="789" t="s">
        <v>76</v>
      </c>
      <c r="B175" s="802"/>
      <c r="C175" s="790"/>
      <c r="D175" s="228" t="s">
        <v>142</v>
      </c>
      <c r="E175" s="95">
        <f>'27'!F175</f>
        <v>26229</v>
      </c>
      <c r="F175" s="155">
        <v>26246</v>
      </c>
      <c r="G175" s="155">
        <f t="shared" si="14"/>
        <v>17</v>
      </c>
      <c r="H175" s="99">
        <f>G175+'27'!H175</f>
        <v>425</v>
      </c>
      <c r="I175" s="155"/>
      <c r="J175" s="178">
        <f>H175/DAY(B2)</f>
        <v>15.178571428571429</v>
      </c>
    </row>
    <row r="176" spans="1:10" ht="25.5">
      <c r="A176" s="787" t="s">
        <v>196</v>
      </c>
      <c r="B176" s="788"/>
      <c r="C176" s="400"/>
      <c r="D176" s="228" t="s">
        <v>142</v>
      </c>
      <c r="E176" s="95"/>
      <c r="F176" s="155"/>
      <c r="G176" s="155">
        <f>SUM(G173:G175)</f>
        <v>26</v>
      </c>
      <c r="H176" s="99">
        <f>G176+'27'!H176</f>
        <v>785</v>
      </c>
      <c r="I176" s="155"/>
      <c r="J176" s="178">
        <f>H176/DAY(B2)</f>
        <v>28.035714285714285</v>
      </c>
    </row>
    <row r="177" spans="1:10" ht="25.5">
      <c r="A177" s="789" t="s">
        <v>77</v>
      </c>
      <c r="B177" s="790"/>
      <c r="C177" s="333"/>
      <c r="D177" s="228" t="s">
        <v>142</v>
      </c>
      <c r="E177" s="95"/>
      <c r="F177" s="155"/>
      <c r="G177" s="155"/>
      <c r="H177" s="99">
        <f>G177+'27'!H177</f>
        <v>0</v>
      </c>
      <c r="I177" s="155"/>
      <c r="J177" s="178">
        <f>H177/DAY(B2)</f>
        <v>0</v>
      </c>
    </row>
    <row r="178" spans="1:10" ht="25.5">
      <c r="A178" s="789" t="s">
        <v>210</v>
      </c>
      <c r="B178" s="790"/>
      <c r="C178" s="333"/>
      <c r="D178" s="228" t="s">
        <v>142</v>
      </c>
      <c r="E178" s="95">
        <f>'27'!F178</f>
        <v>110017</v>
      </c>
      <c r="F178" s="155">
        <v>110104</v>
      </c>
      <c r="G178" s="155">
        <f>F178-E178</f>
        <v>87</v>
      </c>
      <c r="H178" s="99">
        <f>G178+'27'!H178</f>
        <v>3105</v>
      </c>
      <c r="I178" s="155"/>
      <c r="J178" s="178">
        <f>H178/DAY(B2)</f>
        <v>110.89285714285714</v>
      </c>
    </row>
    <row r="179" spans="1:10" ht="25.5">
      <c r="A179" s="789" t="s">
        <v>211</v>
      </c>
      <c r="B179" s="790"/>
      <c r="C179" s="333"/>
      <c r="D179" s="228" t="s">
        <v>142</v>
      </c>
      <c r="E179" s="95">
        <f>'27'!F179</f>
        <v>37501</v>
      </c>
      <c r="F179" s="155">
        <v>37501</v>
      </c>
      <c r="G179" s="155">
        <f t="shared" ref="G179:G180" si="15">F179-E179</f>
        <v>0</v>
      </c>
      <c r="H179" s="99">
        <f>G179+'27'!H179</f>
        <v>0</v>
      </c>
      <c r="I179" s="155"/>
      <c r="J179" s="178">
        <f>H179/DAY(B2)</f>
        <v>0</v>
      </c>
    </row>
    <row r="180" spans="1:10" ht="25.5">
      <c r="A180" s="789" t="s">
        <v>212</v>
      </c>
      <c r="B180" s="790"/>
      <c r="C180" s="333"/>
      <c r="D180" s="228" t="s">
        <v>142</v>
      </c>
      <c r="E180" s="95">
        <f>'27'!F180</f>
        <v>7682</v>
      </c>
      <c r="F180" s="155">
        <v>7692</v>
      </c>
      <c r="G180" s="155">
        <f t="shared" si="15"/>
        <v>10</v>
      </c>
      <c r="H180" s="99">
        <f>G180+'27'!H180</f>
        <v>129</v>
      </c>
      <c r="I180" s="155"/>
      <c r="J180" s="178">
        <f>H180/DAY(B2)</f>
        <v>4.6071428571428568</v>
      </c>
    </row>
    <row r="181" spans="1:10" ht="25.5">
      <c r="A181" s="876" t="s">
        <v>108</v>
      </c>
      <c r="B181" s="877"/>
      <c r="C181" s="400"/>
      <c r="D181" s="228" t="s">
        <v>142</v>
      </c>
      <c r="E181" s="95"/>
      <c r="F181" s="155"/>
      <c r="G181" s="155">
        <f>SUM(G178:G180)</f>
        <v>97</v>
      </c>
      <c r="H181" s="99">
        <f>G181+'27'!H181</f>
        <v>3234</v>
      </c>
      <c r="I181" s="155"/>
      <c r="J181" s="178">
        <f>H181/DAY(B2)</f>
        <v>115.5</v>
      </c>
    </row>
    <row r="182" spans="1:10" ht="25.5">
      <c r="A182" s="789" t="s">
        <v>213</v>
      </c>
      <c r="B182" s="790"/>
      <c r="C182" s="333"/>
      <c r="D182" s="228" t="s">
        <v>142</v>
      </c>
      <c r="E182" s="95"/>
      <c r="F182" s="155"/>
      <c r="G182" s="155"/>
      <c r="H182" s="99">
        <f>G182+'27'!H182</f>
        <v>0</v>
      </c>
      <c r="I182" s="155"/>
      <c r="J182" s="178">
        <f>H182/DAY(B2)</f>
        <v>0</v>
      </c>
    </row>
    <row r="183" spans="1:10" ht="25.5">
      <c r="A183" s="789" t="s">
        <v>214</v>
      </c>
      <c r="B183" s="790"/>
      <c r="C183" s="334"/>
      <c r="D183" s="228" t="s">
        <v>142</v>
      </c>
      <c r="E183" s="95">
        <f>'27'!F183</f>
        <v>18609</v>
      </c>
      <c r="F183" s="157">
        <v>18636</v>
      </c>
      <c r="G183" s="157">
        <f>F183-E183</f>
        <v>27</v>
      </c>
      <c r="H183" s="99">
        <f>G183+'27'!H183</f>
        <v>258</v>
      </c>
      <c r="I183" s="155"/>
      <c r="J183" s="178">
        <f>H183/DAY(B2)</f>
        <v>9.2142857142857135</v>
      </c>
    </row>
    <row r="184" spans="1:10" ht="25.5">
      <c r="A184" s="789" t="s">
        <v>215</v>
      </c>
      <c r="B184" s="790"/>
      <c r="C184" s="334"/>
      <c r="D184" s="228" t="s">
        <v>142</v>
      </c>
      <c r="E184" s="95">
        <f>'27'!F184</f>
        <v>13216</v>
      </c>
      <c r="F184" s="157">
        <v>13222</v>
      </c>
      <c r="G184" s="157">
        <f t="shared" ref="G184:G185" si="16">F184-E184</f>
        <v>6</v>
      </c>
      <c r="H184" s="99">
        <f>G184+'27'!H184</f>
        <v>242</v>
      </c>
      <c r="I184" s="155"/>
      <c r="J184" s="178">
        <f>H184/DAY(B2)</f>
        <v>8.6428571428571423</v>
      </c>
    </row>
    <row r="185" spans="1:10" ht="25.5">
      <c r="A185" s="789" t="s">
        <v>216</v>
      </c>
      <c r="B185" s="790"/>
      <c r="C185" s="334"/>
      <c r="D185" s="228" t="s">
        <v>142</v>
      </c>
      <c r="E185" s="95">
        <f>'27'!F185</f>
        <v>2532</v>
      </c>
      <c r="F185" s="157">
        <v>2532</v>
      </c>
      <c r="G185" s="157">
        <f t="shared" si="16"/>
        <v>0</v>
      </c>
      <c r="H185" s="99">
        <f>G185+'27'!H185</f>
        <v>2532</v>
      </c>
      <c r="I185" s="155"/>
      <c r="J185" s="178">
        <f>H185/DAY(B2)</f>
        <v>90.428571428571431</v>
      </c>
    </row>
    <row r="186" spans="1:10" ht="25.5">
      <c r="A186" s="787" t="s">
        <v>196</v>
      </c>
      <c r="B186" s="788"/>
      <c r="C186" s="399"/>
      <c r="D186" s="228" t="s">
        <v>142</v>
      </c>
      <c r="E186" s="95"/>
      <c r="F186" s="157"/>
      <c r="G186" s="157">
        <f>SUM(G183:G185)</f>
        <v>33</v>
      </c>
      <c r="H186" s="99">
        <f>G186+'27'!H186</f>
        <v>3032</v>
      </c>
      <c r="I186" s="157"/>
      <c r="J186" s="178">
        <f>H186/DAY(B2)</f>
        <v>108.28571428571429</v>
      </c>
    </row>
    <row r="187" spans="1:10" ht="25.5">
      <c r="A187" s="867" t="s">
        <v>217</v>
      </c>
      <c r="B187" s="868"/>
      <c r="C187" s="333"/>
      <c r="D187" s="230" t="s">
        <v>142</v>
      </c>
      <c r="E187" s="95">
        <f>'27'!F187</f>
        <v>0</v>
      </c>
      <c r="F187" s="159"/>
      <c r="G187" s="377">
        <f>G62+G19</f>
        <v>207</v>
      </c>
      <c r="H187" s="99">
        <f>G187+'27'!H187</f>
        <v>4725</v>
      </c>
      <c r="I187" s="158"/>
      <c r="J187" s="179">
        <f>H187/DAY(B2)</f>
        <v>168.75</v>
      </c>
    </row>
    <row r="188" spans="1:10" ht="25.5">
      <c r="A188" s="867" t="s">
        <v>218</v>
      </c>
      <c r="B188" s="868"/>
      <c r="C188" s="333"/>
      <c r="D188" s="230" t="s">
        <v>142</v>
      </c>
      <c r="E188" s="95">
        <f>'27'!F188</f>
        <v>0</v>
      </c>
      <c r="F188" s="159"/>
      <c r="G188" s="377">
        <f>G65+G66+G67+G69+G70</f>
        <v>223</v>
      </c>
      <c r="H188" s="99">
        <f>G188+'27'!H188</f>
        <v>2699</v>
      </c>
      <c r="I188" s="158"/>
      <c r="J188" s="179">
        <f>H188/DAY(B2)</f>
        <v>96.392857142857139</v>
      </c>
    </row>
    <row r="189" spans="1:10" ht="25.5">
      <c r="A189" s="867" t="s">
        <v>219</v>
      </c>
      <c r="B189" s="868"/>
      <c r="C189" s="333"/>
      <c r="D189" s="230" t="s">
        <v>142</v>
      </c>
      <c r="E189" s="95">
        <f>'27'!F189</f>
        <v>0</v>
      </c>
      <c r="F189" s="157"/>
      <c r="G189" s="376">
        <f>G181</f>
        <v>97</v>
      </c>
      <c r="H189" s="99">
        <f>G189+'27'!H189</f>
        <v>1113</v>
      </c>
      <c r="I189" s="158"/>
      <c r="J189" s="179">
        <f>H189/DAY(B2)</f>
        <v>39.75</v>
      </c>
    </row>
    <row r="190" spans="1:10" ht="25.5">
      <c r="A190" s="874"/>
      <c r="B190" s="875"/>
      <c r="C190" s="398"/>
      <c r="D190" s="395"/>
      <c r="E190" s="395" t="s">
        <v>207</v>
      </c>
      <c r="F190" s="395"/>
      <c r="G190" s="395"/>
      <c r="H190" s="396"/>
      <c r="I190" s="395"/>
      <c r="J190" s="397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4:B184"/>
    <mergeCell ref="A182:B182"/>
    <mergeCell ref="A183:B183"/>
    <mergeCell ref="A180:B180"/>
    <mergeCell ref="A181:B181"/>
    <mergeCell ref="A175:C175"/>
    <mergeCell ref="A177:B177"/>
    <mergeCell ref="A178:B178"/>
    <mergeCell ref="A179:B179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R1701"/>
  <sheetViews>
    <sheetView view="pageBreakPreview" topLeftCell="A127" zoomScale="55" zoomScaleNormal="78" zoomScaleSheetLayoutView="55" workbookViewId="0">
      <selection activeCell="F149" sqref="F149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19" t="s">
        <v>115</v>
      </c>
      <c r="B1" s="920"/>
      <c r="C1" s="920"/>
      <c r="D1" s="920"/>
      <c r="E1" s="920"/>
      <c r="F1" s="920"/>
      <c r="G1" s="920"/>
      <c r="H1" s="920"/>
      <c r="I1" s="920"/>
      <c r="J1" s="921"/>
    </row>
    <row r="2" spans="1:15" s="57" customFormat="1" ht="23.25">
      <c r="A2" s="191" t="s">
        <v>372</v>
      </c>
      <c r="B2" s="262">
        <v>44955</v>
      </c>
      <c r="C2" s="348" t="s">
        <v>67</v>
      </c>
      <c r="D2" s="218">
        <v>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27</v>
      </c>
      <c r="E3" s="928" t="s">
        <v>119</v>
      </c>
      <c r="F3" s="929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 customHeight="1">
      <c r="A6" s="922" t="s">
        <v>128</v>
      </c>
      <c r="B6" s="923"/>
      <c r="C6" s="92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>
      <c r="A7" s="194" t="s">
        <v>129</v>
      </c>
      <c r="B7" s="195"/>
      <c r="C7" s="195"/>
      <c r="D7" s="151" t="s">
        <v>130</v>
      </c>
      <c r="E7" s="95">
        <f>'28'!F7</f>
        <v>554830</v>
      </c>
      <c r="F7" s="95">
        <v>577428.9</v>
      </c>
      <c r="G7" s="112">
        <f>F7-E7</f>
        <v>22598.900000000023</v>
      </c>
      <c r="H7" s="99">
        <f>G7+'28'!H7</f>
        <v>599809.9</v>
      </c>
      <c r="I7" s="113">
        <f>'1'!I7</f>
        <v>12000</v>
      </c>
      <c r="J7" s="175">
        <f>H7/DAY(B2)</f>
        <v>20683.100000000002</v>
      </c>
      <c r="K7" s="172">
        <v>1375467</v>
      </c>
      <c r="L7" s="66"/>
      <c r="N7" s="87"/>
      <c r="O7" s="71"/>
    </row>
    <row r="8" spans="1:15" ht="21.95" customHeight="1" thickBot="1">
      <c r="A8" s="196" t="s">
        <v>131</v>
      </c>
      <c r="B8" s="197"/>
      <c r="C8" s="198"/>
      <c r="D8" s="224" t="s">
        <v>24</v>
      </c>
      <c r="E8" s="95">
        <f>'28'!F8</f>
        <v>746581</v>
      </c>
      <c r="F8" s="114">
        <v>769775.3</v>
      </c>
      <c r="G8" s="115">
        <f>F8-E8</f>
        <v>23194.300000000047</v>
      </c>
      <c r="H8" s="99">
        <f>G8+'28'!H8</f>
        <v>611918.30000000005</v>
      </c>
      <c r="I8" s="116"/>
      <c r="J8" s="175">
        <f>H8/DAY(B2)</f>
        <v>21100.631034482762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>
      <c r="A9" s="199" t="s">
        <v>132</v>
      </c>
      <c r="B9" s="200"/>
      <c r="C9" s="200"/>
      <c r="D9" s="151" t="s">
        <v>130</v>
      </c>
      <c r="E9" s="95">
        <f>'28'!F9</f>
        <v>4786470.7</v>
      </c>
      <c r="F9" s="468">
        <v>4798621.5</v>
      </c>
      <c r="G9" s="112">
        <f>F9-E9</f>
        <v>12150.799999999814</v>
      </c>
      <c r="H9" s="99">
        <f>G9+'28'!H9</f>
        <v>382015.59999999963</v>
      </c>
      <c r="I9" s="124">
        <f>I7-J7</f>
        <v>-8683.1000000000022</v>
      </c>
      <c r="J9" s="175">
        <f>H9/DAY(B2)</f>
        <v>13172.951724137918</v>
      </c>
      <c r="K9" s="79">
        <f>K8-100</f>
        <v>1715817</v>
      </c>
      <c r="L9" s="66"/>
      <c r="N9" s="87"/>
      <c r="O9" s="71"/>
    </row>
    <row r="10" spans="1:15" ht="21.95" customHeight="1">
      <c r="A10" s="194" t="s">
        <v>133</v>
      </c>
      <c r="B10" s="195"/>
      <c r="C10" s="195"/>
      <c r="D10" s="151" t="s">
        <v>130</v>
      </c>
      <c r="E10" s="95">
        <f>'28'!F10</f>
        <v>4262369.9000000004</v>
      </c>
      <c r="F10" s="353">
        <v>4273007.5</v>
      </c>
      <c r="G10" s="112">
        <f t="shared" ref="G10:G12" si="0">F10-E10</f>
        <v>10637.599999999627</v>
      </c>
      <c r="H10" s="99">
        <f>G10+'28'!H10</f>
        <v>202971.20000000019</v>
      </c>
      <c r="I10" s="282"/>
      <c r="J10" s="175">
        <f>H10/DAY(B2)</f>
        <v>6999.0068965517303</v>
      </c>
      <c r="K10" s="79"/>
      <c r="L10" s="66"/>
      <c r="N10" s="87"/>
      <c r="O10" s="71"/>
    </row>
    <row r="11" spans="1:15" ht="21.95" customHeight="1">
      <c r="A11" s="194" t="s">
        <v>134</v>
      </c>
      <c r="B11" s="195"/>
      <c r="C11" s="195"/>
      <c r="D11" s="151" t="s">
        <v>130</v>
      </c>
      <c r="E11" s="95">
        <f>'28'!F11</f>
        <v>38700</v>
      </c>
      <c r="F11" s="95">
        <v>38700</v>
      </c>
      <c r="G11" s="112">
        <f t="shared" si="0"/>
        <v>0</v>
      </c>
      <c r="H11" s="99">
        <f>G11+'28'!H11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1.95" customHeight="1">
      <c r="A12" s="194" t="s">
        <v>135</v>
      </c>
      <c r="B12" s="195"/>
      <c r="C12" s="195"/>
      <c r="D12" s="151" t="s">
        <v>130</v>
      </c>
      <c r="E12" s="95">
        <f>'28'!F12</f>
        <v>40550</v>
      </c>
      <c r="F12" s="117">
        <v>40550</v>
      </c>
      <c r="G12" s="112">
        <f t="shared" si="0"/>
        <v>0</v>
      </c>
      <c r="H12" s="99">
        <f>G12+'28'!H12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1.9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22788.399999999441</v>
      </c>
      <c r="H13" s="99">
        <f>G13+'28'!H13</f>
        <v>584986.79999999981</v>
      </c>
      <c r="I13" s="120">
        <f>G7-G13</f>
        <v>-189.49999999941792</v>
      </c>
      <c r="J13" s="175">
        <f>H13/DAY(B2)</f>
        <v>20171.958620689649</v>
      </c>
      <c r="K13" s="79"/>
      <c r="L13" s="66"/>
      <c r="N13" s="87"/>
      <c r="O13" s="71"/>
    </row>
    <row r="14" spans="1:15" ht="26.25">
      <c r="A14" s="925" t="s">
        <v>137</v>
      </c>
      <c r="B14" s="926"/>
      <c r="C14" s="92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>
      <c r="A15" s="345" t="s">
        <v>138</v>
      </c>
      <c r="B15" s="205"/>
      <c r="C15" s="205"/>
      <c r="D15" s="151" t="s">
        <v>139</v>
      </c>
      <c r="E15" s="95">
        <f>'28'!F15</f>
        <v>2285225</v>
      </c>
      <c r="F15" s="468">
        <v>2286258.1</v>
      </c>
      <c r="G15" s="112">
        <f>(F15-E15)</f>
        <v>1033.1000000000931</v>
      </c>
      <c r="H15" s="99">
        <f>G15+'28'!H15</f>
        <v>32956.742000000086</v>
      </c>
      <c r="I15" s="113">
        <f>'1'!I15</f>
        <v>800</v>
      </c>
      <c r="J15" s="175">
        <f>H15/DAY(B2)</f>
        <v>1136.4393793103477</v>
      </c>
      <c r="K15" s="79"/>
      <c r="L15" s="66"/>
      <c r="N15" s="87"/>
      <c r="O15" s="71"/>
    </row>
    <row r="16" spans="1:15" ht="21.9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-336.4393793103477</v>
      </c>
      <c r="J16" s="176"/>
      <c r="K16" s="79"/>
      <c r="L16" s="66"/>
      <c r="N16" s="87"/>
      <c r="O16" s="71"/>
    </row>
    <row r="17" spans="1:15" ht="26.25">
      <c r="A17" s="925" t="s">
        <v>140</v>
      </c>
      <c r="B17" s="926"/>
      <c r="C17" s="92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02" t="s">
        <v>141</v>
      </c>
      <c r="B18" s="903"/>
      <c r="C18" s="904"/>
      <c r="D18" s="151" t="s">
        <v>142</v>
      </c>
      <c r="E18" s="95">
        <f>'28'!F18</f>
        <v>24</v>
      </c>
      <c r="F18" s="122">
        <v>25</v>
      </c>
      <c r="G18" s="119">
        <f>F18*10</f>
        <v>250</v>
      </c>
      <c r="H18" s="99">
        <f>G18+'28'!H18</f>
        <v>6290</v>
      </c>
      <c r="I18" s="113">
        <f>'1'!I18</f>
        <v>65</v>
      </c>
      <c r="J18" s="175">
        <f>H18/DAY(B2)</f>
        <v>216.89655172413794</v>
      </c>
      <c r="K18" s="79"/>
      <c r="L18" s="66"/>
      <c r="N18" s="87"/>
      <c r="O18" s="71"/>
    </row>
    <row r="19" spans="1:15" ht="25.5">
      <c r="A19" s="902" t="s">
        <v>69</v>
      </c>
      <c r="B19" s="903"/>
      <c r="C19" s="904"/>
      <c r="D19" s="151" t="s">
        <v>142</v>
      </c>
      <c r="E19" s="95">
        <f>'28'!F19</f>
        <v>171152</v>
      </c>
      <c r="F19" s="122">
        <v>171218</v>
      </c>
      <c r="G19" s="112">
        <f t="shared" ref="G19" si="1">F19-E19</f>
        <v>66</v>
      </c>
      <c r="H19" s="99">
        <f>G19+'28'!H19</f>
        <v>1653</v>
      </c>
      <c r="I19" s="335"/>
      <c r="J19" s="175">
        <f>H19/DAY(B2)</f>
        <v>57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316</v>
      </c>
      <c r="H20" s="99">
        <f>G20+'28'!H20</f>
        <v>7943</v>
      </c>
      <c r="I20" s="336">
        <f>I18-J20</f>
        <v>-208.89655172413791</v>
      </c>
      <c r="J20" s="175">
        <f>H20/DAY(B2)</f>
        <v>273.89655172413791</v>
      </c>
      <c r="K20" s="79"/>
      <c r="L20" s="66"/>
      <c r="N20" s="87"/>
      <c r="O20" s="71"/>
    </row>
    <row r="21" spans="1:15" ht="26.25">
      <c r="A21" s="925" t="s">
        <v>144</v>
      </c>
      <c r="B21" s="926"/>
      <c r="C21" s="92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'28'!F22</f>
        <v>2970</v>
      </c>
      <c r="F22" s="122">
        <v>2970</v>
      </c>
      <c r="G22" s="119">
        <f t="shared" ref="G22" si="2">(F22-E22)</f>
        <v>0</v>
      </c>
      <c r="H22" s="99">
        <f>G22+'28'!H22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'28'!F23</f>
        <v>2000</v>
      </c>
      <c r="F23" s="122">
        <v>2000</v>
      </c>
      <c r="G23" s="119">
        <v>0</v>
      </c>
      <c r="H23" s="99">
        <f>G23+'28'!H23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'28'!F24</f>
        <v>4970</v>
      </c>
      <c r="F24" s="128">
        <v>4970</v>
      </c>
      <c r="G24" s="119">
        <v>0</v>
      </c>
      <c r="H24" s="99">
        <f>G24+'28'!H24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30" t="s">
        <v>149</v>
      </c>
      <c r="B25" s="931"/>
      <c r="C25" s="93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23194.300000000047</v>
      </c>
      <c r="F27" s="136">
        <v>9</v>
      </c>
      <c r="G27" s="137">
        <f>E27*F27</f>
        <v>208748.70000000042</v>
      </c>
      <c r="H27" s="99">
        <f>G27+'28'!H27</f>
        <v>5737418.9000000004</v>
      </c>
      <c r="I27" s="138"/>
      <c r="J27" s="175">
        <f>H27/DAY(B2)</f>
        <v>197842.03103448276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1033.1000000000931</v>
      </c>
      <c r="F28" s="136">
        <v>70</v>
      </c>
      <c r="G28" s="137">
        <f>E28*F28</f>
        <v>72317.000000006519</v>
      </c>
      <c r="H28" s="99">
        <f>G28+'28'!H28</f>
        <v>2268374.150000005</v>
      </c>
      <c r="I28" s="140"/>
      <c r="J28" s="175">
        <f>H28/DAY(B2)</f>
        <v>78219.798275862238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G29+'28'!H29</f>
        <v>6900</v>
      </c>
      <c r="I29" s="140"/>
      <c r="J29" s="175">
        <f>H29/DAY(B2)</f>
        <v>237.93103448275863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66</v>
      </c>
      <c r="F30" s="136">
        <v>151</v>
      </c>
      <c r="G30" s="137">
        <f>E30*F30</f>
        <v>9966</v>
      </c>
      <c r="H30" s="99">
        <f>G30+'28'!H30</f>
        <v>249603</v>
      </c>
      <c r="I30" s="140"/>
      <c r="J30" s="175">
        <f>H30/DAY(B2)</f>
        <v>8607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250</v>
      </c>
      <c r="F31" s="136">
        <v>80</v>
      </c>
      <c r="G31" s="137">
        <f>E31*F31</f>
        <v>20000</v>
      </c>
      <c r="H31" s="99">
        <f>G31+'28'!H31</f>
        <v>513400</v>
      </c>
      <c r="I31" s="140"/>
      <c r="J31" s="175">
        <f>H31/DAY(B2)</f>
        <v>17703.448275862069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311031.70000000694</v>
      </c>
      <c r="H32" s="99">
        <f>G32+'28'!H32</f>
        <v>8775696.0500000063</v>
      </c>
      <c r="I32" s="144"/>
      <c r="J32" s="175">
        <f>H32/DAY(B2)</f>
        <v>302610.20862068987</v>
      </c>
      <c r="K32" s="63"/>
      <c r="L32" s="89"/>
      <c r="N32" s="87"/>
      <c r="O32" s="71"/>
    </row>
    <row r="33" spans="1:15" ht="25.5" customHeight="1">
      <c r="A33" s="933" t="s">
        <v>331</v>
      </c>
      <c r="B33" s="934"/>
      <c r="C33" s="93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'28'!F35</f>
        <v>522175.27</v>
      </c>
      <c r="F35" s="145">
        <v>524842.55000000005</v>
      </c>
      <c r="G35" s="112">
        <f t="shared" ref="G35:G46" si="3">F35-E35</f>
        <v>2667.2800000000279</v>
      </c>
      <c r="H35" s="99">
        <f>G35+'28'!H35</f>
        <v>70324.560000000056</v>
      </c>
      <c r="I35" s="95"/>
      <c r="J35" s="175">
        <f>H35/DAY(B2)</f>
        <v>2424.9848275862087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'28'!F36</f>
        <v>378901</v>
      </c>
      <c r="F36" s="145">
        <v>379732.59</v>
      </c>
      <c r="G36" s="112">
        <f t="shared" si="3"/>
        <v>831.59000000002561</v>
      </c>
      <c r="H36" s="99">
        <f>G36+'28'!H36</f>
        <v>25643.690000000002</v>
      </c>
      <c r="I36" s="95"/>
      <c r="J36" s="175">
        <f>H36/DAY(B2)</f>
        <v>884.26517241379315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'28'!F37</f>
        <v>379231.39</v>
      </c>
      <c r="F37" s="145">
        <v>380724.95</v>
      </c>
      <c r="G37" s="112">
        <f t="shared" si="3"/>
        <v>1493.5599999999977</v>
      </c>
      <c r="H37" s="99">
        <f>G37+'28'!H37</f>
        <v>42455.080000000016</v>
      </c>
      <c r="I37" s="95"/>
      <c r="J37" s="175">
        <f>H37/DAY(B2)</f>
        <v>1463.9682758620695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'28'!F38</f>
        <v>868869.59</v>
      </c>
      <c r="F38" s="108">
        <v>871703.03</v>
      </c>
      <c r="G38" s="112">
        <f t="shared" si="3"/>
        <v>2833.4400000000605</v>
      </c>
      <c r="H38" s="99">
        <f>G38+'28'!H38</f>
        <v>72025.680000000051</v>
      </c>
      <c r="I38" s="95"/>
      <c r="J38" s="175">
        <f>H38/DAY(B2)</f>
        <v>2483.6441379310363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'28'!F39</f>
        <v>697616.87</v>
      </c>
      <c r="F39" s="145">
        <v>700483.59</v>
      </c>
      <c r="G39" s="112">
        <f t="shared" si="3"/>
        <v>2866.7199999999721</v>
      </c>
      <c r="H39" s="99">
        <f>G39+'28'!H39</f>
        <v>80193.589999999967</v>
      </c>
      <c r="I39" s="95"/>
      <c r="J39" s="175">
        <f>H39/DAY(B2)</f>
        <v>2765.2962068965508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'28'!F40</f>
        <v>217134.09</v>
      </c>
      <c r="F40" s="145">
        <v>217341.73</v>
      </c>
      <c r="G40" s="112">
        <f t="shared" si="3"/>
        <v>207.64000000001397</v>
      </c>
      <c r="H40" s="99">
        <f>G40+'28'!H40</f>
        <v>7655.3800000000047</v>
      </c>
      <c r="I40" s="95"/>
      <c r="J40" s="175">
        <f>H40/DAY(B2)</f>
        <v>263.97862068965532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'28'!F41</f>
        <v>420212.5</v>
      </c>
      <c r="F41" s="145">
        <v>420212.5</v>
      </c>
      <c r="G41" s="112">
        <f t="shared" si="3"/>
        <v>0</v>
      </c>
      <c r="H41" s="99">
        <f>G41+'28'!H41</f>
        <v>-1.0000000009313226E-2</v>
      </c>
      <c r="I41" s="95"/>
      <c r="J41" s="175">
        <f>H41/DAY(B2)</f>
        <v>-3.4482758652804225E-4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'28'!F42</f>
        <v>970677.43</v>
      </c>
      <c r="F42" s="145">
        <v>970677.43</v>
      </c>
      <c r="G42" s="112">
        <f t="shared" si="3"/>
        <v>0</v>
      </c>
      <c r="H42" s="99">
        <f>G42+'28'!H42</f>
        <v>49722.930000000051</v>
      </c>
      <c r="I42" s="95"/>
      <c r="J42" s="175">
        <f>H42/DAY(B2)</f>
        <v>1714.58379310345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'28'!F43</f>
        <v>422444</v>
      </c>
      <c r="F43" s="145">
        <v>422444</v>
      </c>
      <c r="G43" s="112">
        <f t="shared" si="3"/>
        <v>0</v>
      </c>
      <c r="H43" s="99">
        <f>G43+'28'!H43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'28'!F44</f>
        <v>0</v>
      </c>
      <c r="F44" s="145">
        <v>0</v>
      </c>
      <c r="G44" s="112">
        <f t="shared" si="3"/>
        <v>0</v>
      </c>
      <c r="H44" s="99">
        <f>G44+'28'!H44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'28'!F45</f>
        <v>0</v>
      </c>
      <c r="F45" s="145">
        <v>0</v>
      </c>
      <c r="G45" s="112">
        <f t="shared" si="3"/>
        <v>0</v>
      </c>
      <c r="H45" s="99">
        <f>G45+'28'!H45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'28'!F46</f>
        <v>0</v>
      </c>
      <c r="F46" s="145">
        <v>0</v>
      </c>
      <c r="G46" s="112">
        <f t="shared" si="3"/>
        <v>0</v>
      </c>
      <c r="H46" s="99">
        <f>G46+'28'!H46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10900.230000000098</v>
      </c>
      <c r="H47" s="99">
        <f>G47+'28'!H47</f>
        <v>348020.90000000014</v>
      </c>
      <c r="I47" s="95"/>
      <c r="J47" s="175">
        <f>H47/DAY(B2)</f>
        <v>12000.720689655178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'28'!F49</f>
        <v>821346.07</v>
      </c>
      <c r="F49" s="145">
        <v>821817.91</v>
      </c>
      <c r="G49" s="112">
        <f t="shared" ref="G49:G58" si="4">F49-E49</f>
        <v>471.84000000008382</v>
      </c>
      <c r="H49" s="99">
        <f>G49+'28'!H49</f>
        <v>15313.760000000009</v>
      </c>
      <c r="I49" s="95"/>
      <c r="J49" s="175">
        <f>H49/DAY(B2)</f>
        <v>528.06068965517272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'28'!F50</f>
        <v>537979</v>
      </c>
      <c r="F50" s="145">
        <v>539313.59</v>
      </c>
      <c r="G50" s="112">
        <f t="shared" si="4"/>
        <v>1334.5899999999674</v>
      </c>
      <c r="H50" s="99">
        <f>G50+'28'!H50</f>
        <v>38160.589999999967</v>
      </c>
      <c r="I50" s="95"/>
      <c r="J50" s="175">
        <f>H50/DAY(B2)</f>
        <v>1315.8824137931024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'28'!F51</f>
        <v>156958.44</v>
      </c>
      <c r="F51" s="145">
        <v>156958.44</v>
      </c>
      <c r="G51" s="112">
        <f t="shared" si="4"/>
        <v>0</v>
      </c>
      <c r="H51" s="99">
        <f>G51+'28'!H51</f>
        <v>0.44000000000232831</v>
      </c>
      <c r="I51" s="95"/>
      <c r="J51" s="175">
        <f>H51/DAY(B2)</f>
        <v>1.5172413793183735E-2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'28'!F52</f>
        <v>1457.43</v>
      </c>
      <c r="F52" s="145">
        <v>1457</v>
      </c>
      <c r="G52" s="112">
        <f t="shared" si="4"/>
        <v>-0.43000000000006366</v>
      </c>
      <c r="H52" s="99">
        <f>G52+'28'!H52</f>
        <v>1447</v>
      </c>
      <c r="I52" s="95"/>
      <c r="J52" s="175">
        <f>H52/DAY(B2)</f>
        <v>49.896551724137929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'28'!F53</f>
        <v>630355.03</v>
      </c>
      <c r="F53" s="145">
        <v>630355</v>
      </c>
      <c r="G53" s="112">
        <f t="shared" si="4"/>
        <v>-3.0000000027939677E-2</v>
      </c>
      <c r="H53" s="99">
        <f>G53+'28'!H53</f>
        <v>-3.0000000027939677E-2</v>
      </c>
      <c r="I53" s="95"/>
      <c r="J53" s="175">
        <f>H53/DAY(B2)</f>
        <v>-1.0344827595841267E-3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'28'!F54</f>
        <v>123249.49</v>
      </c>
      <c r="F54" s="145">
        <v>123528.57</v>
      </c>
      <c r="G54" s="112">
        <f t="shared" si="4"/>
        <v>279.08000000000175</v>
      </c>
      <c r="H54" s="99">
        <f>G54+'28'!H54</f>
        <v>8931.4400000000023</v>
      </c>
      <c r="I54" s="95"/>
      <c r="J54" s="175">
        <f>H54/DAY(B2)</f>
        <v>307.98068965517251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'28'!F55</f>
        <v>594304.75</v>
      </c>
      <c r="F55" s="145">
        <v>594304.75</v>
      </c>
      <c r="G55" s="112">
        <f t="shared" si="4"/>
        <v>0</v>
      </c>
      <c r="H55" s="99">
        <f>G55+'28'!H55</f>
        <v>17969.119999999995</v>
      </c>
      <c r="I55" s="95"/>
      <c r="J55" s="175">
        <f>H55/DAY(B2)</f>
        <v>619.62482758620672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'28'!F56</f>
        <v>363659.3</v>
      </c>
      <c r="F56" s="145">
        <v>367606.79</v>
      </c>
      <c r="G56" s="112">
        <f t="shared" si="4"/>
        <v>3947.4899999999907</v>
      </c>
      <c r="H56" s="99">
        <f>G56+'28'!H56</f>
        <v>32380.579999999958</v>
      </c>
      <c r="I56" s="95"/>
      <c r="J56" s="175">
        <f>H56/DAY(B2)</f>
        <v>1116.5717241379296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'28'!F57</f>
        <v>700071.35</v>
      </c>
      <c r="F57" s="145">
        <v>702665.59</v>
      </c>
      <c r="G57" s="112">
        <f t="shared" si="4"/>
        <v>2594.2399999999907</v>
      </c>
      <c r="H57" s="99">
        <f>G57+'28'!H57</f>
        <v>71832.589999999967</v>
      </c>
      <c r="I57" s="95"/>
      <c r="J57" s="175">
        <f>H57/DAY(B2)</f>
        <v>2476.9858620689643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'28'!F58</f>
        <v>93747.009000000005</v>
      </c>
      <c r="F58" s="145">
        <v>94024</v>
      </c>
      <c r="G58" s="112">
        <f t="shared" si="4"/>
        <v>276.99099999999453</v>
      </c>
      <c r="H58" s="99">
        <f>G58+'28'!H58</f>
        <v>7463.5010000000038</v>
      </c>
      <c r="I58" s="95"/>
      <c r="J58" s="175">
        <f>H58/DAY(B2)</f>
        <v>257.362103448276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8903.7710000000006</v>
      </c>
      <c r="H59" s="99">
        <f>G59+'28'!H59</f>
        <v>193498.99099999989</v>
      </c>
      <c r="I59" s="95">
        <f>G7-G60</f>
        <v>2794.8989999999249</v>
      </c>
      <c r="J59" s="175">
        <f>H59/DAY(B2)</f>
        <v>6672.3789999999963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19804.001000000098</v>
      </c>
      <c r="H60" s="99">
        <f>G60+'28'!H60</f>
        <v>541519.89099999995</v>
      </c>
      <c r="I60" s="95">
        <f>G13-G60</f>
        <v>2984.3989999993428</v>
      </c>
      <c r="J60" s="175">
        <f>H60/DAY(B2)</f>
        <v>18673.09968965517</v>
      </c>
      <c r="K60" s="79"/>
      <c r="L60" s="66"/>
      <c r="N60" s="87"/>
      <c r="O60" s="71"/>
    </row>
    <row r="61" spans="1:15" s="68" customFormat="1" ht="26.25">
      <c r="A61" s="935" t="s">
        <v>332</v>
      </c>
      <c r="B61" s="936"/>
      <c r="C61" s="93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02" t="s">
        <v>198</v>
      </c>
      <c r="B62" s="903"/>
      <c r="C62" s="904"/>
      <c r="D62" s="151" t="s">
        <v>142</v>
      </c>
      <c r="E62" s="95">
        <f>'28'!F62</f>
        <v>315238</v>
      </c>
      <c r="F62" s="122">
        <v>315403</v>
      </c>
      <c r="G62" s="112">
        <f t="shared" ref="G62:G63" si="5">F62-E62</f>
        <v>165</v>
      </c>
      <c r="H62" s="99">
        <f>G62+'28'!H62</f>
        <v>3303</v>
      </c>
      <c r="I62" s="118"/>
      <c r="J62" s="175">
        <f>H62/DAY(B2)</f>
        <v>113.89655172413794</v>
      </c>
      <c r="K62" s="80"/>
      <c r="L62" s="66"/>
      <c r="N62" s="87"/>
      <c r="O62" s="71"/>
    </row>
    <row r="63" spans="1:15" ht="25.5">
      <c r="A63" s="902" t="s">
        <v>199</v>
      </c>
      <c r="B63" s="903"/>
      <c r="C63" s="904"/>
      <c r="D63" s="151" t="s">
        <v>142</v>
      </c>
      <c r="E63" s="95">
        <f>'28'!F63</f>
        <v>251991</v>
      </c>
      <c r="F63" s="122">
        <v>252094</v>
      </c>
      <c r="G63" s="112">
        <f t="shared" si="5"/>
        <v>103</v>
      </c>
      <c r="H63" s="99">
        <f>G63+'28'!H63</f>
        <v>3059</v>
      </c>
      <c r="I63" s="118"/>
      <c r="J63" s="175">
        <f>H63/DAY(B2)</f>
        <v>105.48275862068965</v>
      </c>
      <c r="K63" s="69"/>
      <c r="L63" s="66"/>
      <c r="N63" s="87"/>
      <c r="O63" s="71"/>
    </row>
    <row r="64" spans="1:15" ht="26.25">
      <c r="A64" s="911" t="s">
        <v>200</v>
      </c>
      <c r="B64" s="912"/>
      <c r="C64" s="913"/>
      <c r="D64" s="151"/>
      <c r="E64" s="95">
        <f>'28'!F64</f>
        <v>0</v>
      </c>
      <c r="F64" s="122"/>
      <c r="G64" s="112">
        <f>G62+G63</f>
        <v>268</v>
      </c>
      <c r="H64" s="99">
        <f>G64+'28'!H64</f>
        <v>6362</v>
      </c>
      <c r="I64" s="118"/>
      <c r="J64" s="175">
        <f>H64/DAY(B2)</f>
        <v>219.37931034482759</v>
      </c>
      <c r="K64" s="69"/>
      <c r="L64" s="66"/>
      <c r="N64" s="87"/>
      <c r="O64" s="71"/>
    </row>
    <row r="65" spans="1:15" ht="25.5">
      <c r="A65" s="902" t="s">
        <v>201</v>
      </c>
      <c r="B65" s="903"/>
      <c r="C65" s="904"/>
      <c r="D65" s="151" t="s">
        <v>142</v>
      </c>
      <c r="E65" s="95">
        <f>'28'!F65</f>
        <v>475538</v>
      </c>
      <c r="F65" s="122">
        <v>475657</v>
      </c>
      <c r="G65" s="112">
        <f t="shared" ref="G65:G70" si="6">F65-E65</f>
        <v>119</v>
      </c>
      <c r="H65" s="99">
        <f>G65+'28'!H65</f>
        <v>3627</v>
      </c>
      <c r="I65" s="118"/>
      <c r="J65" s="175">
        <f>H65/DAY(B2)</f>
        <v>125.06896551724138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'28'!F66</f>
        <v>114349</v>
      </c>
      <c r="F66" s="122">
        <v>114388</v>
      </c>
      <c r="G66" s="112">
        <f t="shared" si="6"/>
        <v>39</v>
      </c>
      <c r="H66" s="99">
        <f>G66+'28'!H66</f>
        <v>1666</v>
      </c>
      <c r="I66" s="118"/>
      <c r="J66" s="175">
        <f>H66/DAY(B2)</f>
        <v>57.448275862068968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'28'!F67</f>
        <v>117210</v>
      </c>
      <c r="F67" s="122">
        <v>117232</v>
      </c>
      <c r="G67" s="112">
        <f t="shared" si="6"/>
        <v>22</v>
      </c>
      <c r="H67" s="99">
        <f>G67+'28'!H67</f>
        <v>665</v>
      </c>
      <c r="I67" s="118"/>
      <c r="J67" s="175">
        <f>H67/DAY(B2)</f>
        <v>22.931034482758619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'28'!F68</f>
        <v>169882</v>
      </c>
      <c r="F68" s="122">
        <v>169912</v>
      </c>
      <c r="G68" s="112">
        <f t="shared" si="6"/>
        <v>30</v>
      </c>
      <c r="H68" s="99">
        <f>G68+'28'!H68</f>
        <v>553</v>
      </c>
      <c r="I68" s="118"/>
      <c r="J68" s="175">
        <f>H68/DAY(B2)</f>
        <v>19.068965517241381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'28'!F69</f>
        <v>13169</v>
      </c>
      <c r="F69" s="122">
        <v>13229</v>
      </c>
      <c r="G69" s="112">
        <f t="shared" si="6"/>
        <v>60</v>
      </c>
      <c r="H69" s="99">
        <f>G69+'28'!H69</f>
        <v>263</v>
      </c>
      <c r="I69" s="118"/>
      <c r="J69" s="175">
        <f>H69/DAY(B2)</f>
        <v>9.068965517241379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'28'!F70</f>
        <v>11230</v>
      </c>
      <c r="F70" s="122">
        <v>11238</v>
      </c>
      <c r="G70" s="112">
        <f t="shared" si="6"/>
        <v>8</v>
      </c>
      <c r="H70" s="99">
        <f>G70+'28'!H70</f>
        <v>222</v>
      </c>
      <c r="I70" s="118"/>
      <c r="J70" s="175">
        <f>H70/DAY(B2)</f>
        <v>7.6551724137931032</v>
      </c>
      <c r="K70" s="69"/>
      <c r="L70" s="66"/>
      <c r="N70" s="87"/>
      <c r="O70" s="71"/>
    </row>
    <row r="71" spans="1:15" ht="26.25">
      <c r="A71" s="911" t="s">
        <v>208</v>
      </c>
      <c r="B71" s="912"/>
      <c r="C71" s="913"/>
      <c r="D71" s="152"/>
      <c r="E71" s="95">
        <f>'28'!F71</f>
        <v>0</v>
      </c>
      <c r="F71" s="152"/>
      <c r="G71" s="153">
        <f>SUM(G65:G70)</f>
        <v>278</v>
      </c>
      <c r="H71" s="99">
        <f>G71+'28'!H71</f>
        <v>6996</v>
      </c>
      <c r="I71" s="154"/>
      <c r="J71" s="175">
        <f>H71/DAY(B2)</f>
        <v>241.24137931034483</v>
      </c>
      <c r="K71" s="69"/>
      <c r="L71" s="66"/>
      <c r="N71" s="87"/>
      <c r="O71" s="71"/>
    </row>
    <row r="72" spans="1:15" s="88" customFormat="1" ht="25.5">
      <c r="A72" s="898"/>
      <c r="B72" s="88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08" t="s">
        <v>333</v>
      </c>
      <c r="B73" s="909"/>
      <c r="C73" s="910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02" t="s">
        <v>220</v>
      </c>
      <c r="B74" s="903"/>
      <c r="C74" s="904"/>
      <c r="D74" s="151" t="s">
        <v>139</v>
      </c>
      <c r="E74" s="95">
        <f>'28'!F74</f>
        <v>11334</v>
      </c>
      <c r="F74" s="117">
        <v>11662.9</v>
      </c>
      <c r="G74" s="112">
        <f t="shared" ref="G74:G78" si="7">F74-E74</f>
        <v>328.89999999999964</v>
      </c>
      <c r="H74" s="99">
        <f>G74+'28'!H74</f>
        <v>5473.9</v>
      </c>
      <c r="I74" s="154"/>
      <c r="J74" s="175">
        <f>H74/DAY(B2)</f>
        <v>188.7551724137931</v>
      </c>
      <c r="K74" s="69"/>
      <c r="L74" s="66"/>
      <c r="N74" s="87"/>
      <c r="O74" s="71"/>
    </row>
    <row r="75" spans="1:15" ht="25.5">
      <c r="A75" s="902" t="s">
        <v>221</v>
      </c>
      <c r="B75" s="903"/>
      <c r="C75" s="904"/>
      <c r="D75" s="151" t="s">
        <v>139</v>
      </c>
      <c r="E75" s="95">
        <f>'28'!F75</f>
        <v>73586.8</v>
      </c>
      <c r="F75" s="123">
        <v>73586.8</v>
      </c>
      <c r="G75" s="112">
        <f t="shared" si="7"/>
        <v>0</v>
      </c>
      <c r="H75" s="99">
        <f>G75+'28'!H75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899" t="s">
        <v>222</v>
      </c>
      <c r="B76" s="900"/>
      <c r="C76" s="901"/>
      <c r="D76" s="151" t="s">
        <v>139</v>
      </c>
      <c r="E76" s="95">
        <f>'28'!F76</f>
        <v>210347.5</v>
      </c>
      <c r="F76" s="123">
        <v>210450</v>
      </c>
      <c r="G76" s="112">
        <f t="shared" si="7"/>
        <v>102.5</v>
      </c>
      <c r="H76" s="99">
        <f>G76+'28'!H76</f>
        <v>3073</v>
      </c>
      <c r="I76" s="154"/>
      <c r="J76" s="175">
        <f>H76/DAY(B2)</f>
        <v>105.96551724137932</v>
      </c>
      <c r="K76" s="69"/>
      <c r="L76" s="66"/>
      <c r="N76" s="87"/>
      <c r="O76" s="71"/>
    </row>
    <row r="77" spans="1:15" ht="25.5">
      <c r="A77" s="899" t="s">
        <v>223</v>
      </c>
      <c r="B77" s="900"/>
      <c r="C77" s="901"/>
      <c r="D77" s="151" t="s">
        <v>139</v>
      </c>
      <c r="E77" s="95">
        <f>'28'!F77</f>
        <v>59591</v>
      </c>
      <c r="F77" s="123">
        <v>59644.4</v>
      </c>
      <c r="G77" s="112">
        <f t="shared" si="7"/>
        <v>53.400000000001455</v>
      </c>
      <c r="H77" s="99">
        <f>G77+'28'!H77</f>
        <v>1492.4000000000015</v>
      </c>
      <c r="I77" s="154"/>
      <c r="J77" s="175">
        <f>H77/DAY(B2)</f>
        <v>51.46206896551729</v>
      </c>
      <c r="K77" s="69"/>
      <c r="L77" s="66"/>
      <c r="N77" s="87"/>
      <c r="O77" s="71"/>
    </row>
    <row r="78" spans="1:15" ht="25.5">
      <c r="A78" s="899" t="s">
        <v>224</v>
      </c>
      <c r="B78" s="900"/>
      <c r="C78" s="901"/>
      <c r="D78" s="151" t="s">
        <v>139</v>
      </c>
      <c r="E78" s="95">
        <f>'28'!F78</f>
        <v>9564</v>
      </c>
      <c r="F78" s="123">
        <v>9564</v>
      </c>
      <c r="G78" s="112">
        <f t="shared" si="7"/>
        <v>0</v>
      </c>
      <c r="H78" s="99">
        <f>G78+'28'!H78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899" t="s">
        <v>225</v>
      </c>
      <c r="B79" s="900"/>
      <c r="C79" s="901"/>
      <c r="D79" s="151"/>
      <c r="E79" s="95">
        <f>'28'!F79</f>
        <v>0</v>
      </c>
      <c r="F79" s="117">
        <v>0</v>
      </c>
      <c r="G79" s="112">
        <f>G15-SUM(G74:G78)</f>
        <v>548.30000000009204</v>
      </c>
      <c r="H79" s="99">
        <f>G79+'28'!H79</f>
        <v>-971134.55799999973</v>
      </c>
      <c r="I79" s="118"/>
      <c r="J79" s="175"/>
      <c r="K79" s="59"/>
      <c r="L79" s="58"/>
      <c r="N79" s="87"/>
      <c r="O79" s="71"/>
    </row>
    <row r="80" spans="1:15" s="57" customFormat="1" ht="26.25">
      <c r="A80" s="911" t="s">
        <v>329</v>
      </c>
      <c r="B80" s="912"/>
      <c r="C80" s="913"/>
      <c r="D80" s="151"/>
      <c r="E80" s="117"/>
      <c r="F80" s="117"/>
      <c r="G80" s="112">
        <f>SUM(G74:G79)</f>
        <v>1033.1000000000931</v>
      </c>
      <c r="H80" s="99"/>
      <c r="I80" s="118"/>
      <c r="J80" s="175"/>
      <c r="K80" s="59"/>
      <c r="L80" s="58"/>
      <c r="N80" s="87"/>
      <c r="O80" s="71"/>
    </row>
    <row r="81" spans="1:15" ht="25.5">
      <c r="A81" s="915" t="s">
        <v>226</v>
      </c>
      <c r="B81" s="916"/>
      <c r="C81" s="917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'28'!F82</f>
        <v>0</v>
      </c>
      <c r="F82" s="122">
        <v>0</v>
      </c>
      <c r="G82" s="112">
        <f t="shared" ref="G82:G92" si="8">F82-E82</f>
        <v>0</v>
      </c>
      <c r="H82" s="99">
        <f>G82+'28'!H82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'28'!F83</f>
        <v>0</v>
      </c>
      <c r="F83" s="122">
        <v>0</v>
      </c>
      <c r="G83" s="112">
        <f t="shared" si="8"/>
        <v>0</v>
      </c>
      <c r="H83" s="99">
        <f>G83+'28'!H83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'28'!F84</f>
        <v>43546</v>
      </c>
      <c r="F84" s="164">
        <v>43546</v>
      </c>
      <c r="G84" s="112">
        <f t="shared" si="8"/>
        <v>0</v>
      </c>
      <c r="H84" s="99">
        <f>G84+'28'!H84</f>
        <v>-0.34999999999854481</v>
      </c>
      <c r="I84" s="545"/>
      <c r="J84" s="175">
        <f>H84/DAY(B2)</f>
        <v>-1.2068965517191201E-2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'28'!F85</f>
        <v>6203</v>
      </c>
      <c r="F85" s="164">
        <v>6203</v>
      </c>
      <c r="G85" s="112">
        <f t="shared" si="8"/>
        <v>0</v>
      </c>
      <c r="H85" s="99">
        <f>G85+'28'!H85</f>
        <v>270.55000000000018</v>
      </c>
      <c r="I85" s="545"/>
      <c r="J85" s="175">
        <f>H85/DAY(B2)</f>
        <v>9.3293103448275918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'28'!F86</f>
        <v>46971</v>
      </c>
      <c r="F86" s="164">
        <v>46971</v>
      </c>
      <c r="G86" s="112">
        <f t="shared" si="8"/>
        <v>0</v>
      </c>
      <c r="H86" s="99">
        <f>G86+'28'!H86</f>
        <v>137</v>
      </c>
      <c r="I86" s="545"/>
      <c r="J86" s="175">
        <f>H86/DAY(B2)</f>
        <v>4.7241379310344831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'28'!F87</f>
        <v>37298</v>
      </c>
      <c r="F87" s="164">
        <v>37322</v>
      </c>
      <c r="G87" s="112">
        <f t="shared" si="8"/>
        <v>24</v>
      </c>
      <c r="H87" s="99">
        <f>G87+'28'!H87</f>
        <v>294</v>
      </c>
      <c r="I87" s="545">
        <f>G84+G85+G86+G87</f>
        <v>24</v>
      </c>
      <c r="J87" s="175">
        <f>H87/DAY(B2)</f>
        <v>10.137931034482758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'28'!F88</f>
        <v>24733</v>
      </c>
      <c r="F88" s="164">
        <v>24743</v>
      </c>
      <c r="G88" s="112">
        <f t="shared" si="8"/>
        <v>10</v>
      </c>
      <c r="H88" s="99">
        <f>G88+'28'!H88</f>
        <v>139.40000000000146</v>
      </c>
      <c r="I88" s="545"/>
      <c r="J88" s="175">
        <f>H88/DAY(B2)</f>
        <v>4.8068965517241882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'28'!F89</f>
        <v>29018.18</v>
      </c>
      <c r="F89" s="164">
        <v>29018.54</v>
      </c>
      <c r="G89" s="112">
        <f t="shared" si="8"/>
        <v>0.36000000000058208</v>
      </c>
      <c r="H89" s="99">
        <f>G89+'28'!H89</f>
        <v>270.15000000000146</v>
      </c>
      <c r="I89" s="545">
        <f>G88+G89</f>
        <v>10.360000000000582</v>
      </c>
      <c r="J89" s="175">
        <f>H89/DAY(B2)</f>
        <v>9.3155172413793608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'28'!F90</f>
        <v>74423.149999999994</v>
      </c>
      <c r="F90" s="164">
        <v>74434.570000000007</v>
      </c>
      <c r="G90" s="112">
        <f t="shared" si="8"/>
        <v>11.420000000012806</v>
      </c>
      <c r="H90" s="99">
        <f>G90+'28'!H90</f>
        <v>40.230000000010477</v>
      </c>
      <c r="I90" s="545">
        <f>G90</f>
        <v>11.420000000012806</v>
      </c>
      <c r="J90" s="175">
        <f>H90/DAY(B2)</f>
        <v>1.3872413793107061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'28'!F91</f>
        <v>5618.21</v>
      </c>
      <c r="F91" s="122">
        <v>5618</v>
      </c>
      <c r="G91" s="112">
        <f t="shared" si="8"/>
        <v>-0.21000000000003638</v>
      </c>
      <c r="H91" s="99">
        <f>G91+'28'!H91</f>
        <v>-0.21000000000003638</v>
      </c>
      <c r="I91" s="546"/>
      <c r="J91" s="175">
        <f>H91/DAY(B2)</f>
        <v>-7.2413793103460822E-3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'28'!F92</f>
        <v>7398.6</v>
      </c>
      <c r="F92" s="122">
        <v>7410.51</v>
      </c>
      <c r="G92" s="112">
        <f t="shared" si="8"/>
        <v>11.909999999999854</v>
      </c>
      <c r="H92" s="99">
        <f>G92+'28'!H92</f>
        <v>330.82000000000062</v>
      </c>
      <c r="I92" s="547">
        <f>G91+G92</f>
        <v>11.699999999999818</v>
      </c>
      <c r="J92" s="175">
        <f>H92/DAY(B2)</f>
        <v>11.407586206896573</v>
      </c>
      <c r="O92" s="71"/>
    </row>
    <row r="93" spans="1:15" ht="26.25">
      <c r="A93" s="905" t="s">
        <v>239</v>
      </c>
      <c r="B93" s="906"/>
      <c r="C93" s="90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5733.3600000001024</v>
      </c>
      <c r="H94" s="99">
        <f>G94+'28'!H94</f>
        <v>157470.91000000003</v>
      </c>
      <c r="I94" s="118"/>
      <c r="J94" s="175">
        <f>H94/DAY(B2)</f>
        <v>5430.031379310346</v>
      </c>
      <c r="K94" s="69"/>
      <c r="L94" s="66"/>
      <c r="O94" s="71"/>
    </row>
    <row r="95" spans="1:15" ht="25.5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0.25370084384638619</v>
      </c>
      <c r="H95" s="99">
        <f>G95+'28'!H95</f>
        <v>7.6246736630777088</v>
      </c>
      <c r="I95" s="167"/>
      <c r="J95" s="175">
        <f>H95/DAY(B2)</f>
        <v>0.26291978148543821</v>
      </c>
      <c r="K95" s="69"/>
      <c r="L95" s="66"/>
      <c r="O95" s="71"/>
    </row>
    <row r="96" spans="1:15" ht="25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3947.4899999999907</v>
      </c>
      <c r="H96" s="99">
        <f>G96+'28'!H96</f>
        <v>100072.62</v>
      </c>
      <c r="I96" s="118"/>
      <c r="J96" s="175">
        <f>H96/DAY(B2)</f>
        <v>3450.7799999999997</v>
      </c>
      <c r="K96" s="69"/>
      <c r="L96" s="66"/>
      <c r="O96" s="71"/>
    </row>
    <row r="97" spans="1:15" ht="25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0.174676201054033</v>
      </c>
      <c r="H97" s="99">
        <f>G97+'28'!H97</f>
        <v>4.8163395685104584</v>
      </c>
      <c r="I97" s="167"/>
      <c r="J97" s="175">
        <f>H97/DAY(B2)</f>
        <v>0.16608067477622271</v>
      </c>
      <c r="K97" s="69"/>
      <c r="L97" s="66"/>
      <c r="O97" s="71"/>
    </row>
    <row r="98" spans="1:15" ht="25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2866.6899999999441</v>
      </c>
      <c r="H98" s="99">
        <f>G98+'28'!H98</f>
        <v>80193.559999999939</v>
      </c>
      <c r="I98" s="168"/>
      <c r="J98" s="175">
        <f>H98/DAY(B2)</f>
        <v>2765.2951724137911</v>
      </c>
      <c r="K98" s="69"/>
      <c r="L98" s="66"/>
      <c r="O98" s="71"/>
    </row>
    <row r="99" spans="1:15" ht="25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0.12685086442260204</v>
      </c>
      <c r="H99" s="99" t="e">
        <f>G99+'28'!H99</f>
        <v>#VALUE!</v>
      </c>
      <c r="I99" s="168"/>
      <c r="J99" s="175" t="e">
        <f>H99/DAY(B2)</f>
        <v>#VALUE!</v>
      </c>
      <c r="O99" s="71"/>
    </row>
    <row r="100" spans="1:15" ht="26.2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2833.0100000000602</v>
      </c>
      <c r="H100" s="99">
        <f>G100+'28'!H100</f>
        <v>73472.680000000051</v>
      </c>
      <c r="I100" s="118"/>
      <c r="J100" s="175">
        <f>H100/DAY(B2)</f>
        <v>2533.540689655174</v>
      </c>
      <c r="K100" s="70"/>
      <c r="O100" s="71"/>
    </row>
    <row r="101" spans="1:15" ht="25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0.12536052639730505</v>
      </c>
      <c r="H101" s="99">
        <f>G101+'28'!H101</f>
        <v>3.5636099021130554</v>
      </c>
      <c r="I101" s="168"/>
      <c r="J101" s="175">
        <f>H101/DAY(B2)</f>
        <v>0.12288310007286397</v>
      </c>
      <c r="O101" s="71"/>
    </row>
    <row r="102" spans="1:15" ht="25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2166.179999999993</v>
      </c>
      <c r="H102" s="99">
        <f>G102+'28'!H102</f>
        <v>63804.27999999997</v>
      </c>
      <c r="I102" s="168"/>
      <c r="J102" s="175">
        <f>H102/DAY(B2)</f>
        <v>2200.1475862068955</v>
      </c>
      <c r="O102" s="71"/>
    </row>
    <row r="103" spans="1:15" ht="25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9.5853337994326757E-2</v>
      </c>
      <c r="H103" s="99">
        <f>G103+'28'!H103</f>
        <v>3.0818565616702105</v>
      </c>
      <c r="I103" s="118"/>
      <c r="J103" s="175">
        <f>H103/DAY(B2)</f>
        <v>0.10627091591966244</v>
      </c>
      <c r="O103" s="71"/>
    </row>
    <row r="104" spans="1:15" ht="25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1493.5599999999977</v>
      </c>
      <c r="H104" s="99">
        <f>G104+'28'!H104</f>
        <v>42455.520000000019</v>
      </c>
      <c r="I104" s="118"/>
      <c r="J104" s="175">
        <f>H104/DAY(B2)</f>
        <v>1463.9834482758627</v>
      </c>
      <c r="O104" s="71"/>
    </row>
    <row r="105" spans="1:15" ht="26.25" thickBot="1">
      <c r="A105" s="895" t="s">
        <v>251</v>
      </c>
      <c r="B105" s="896"/>
      <c r="C105" s="897"/>
      <c r="D105" s="231" t="s">
        <v>23</v>
      </c>
      <c r="E105" s="185"/>
      <c r="F105" s="185"/>
      <c r="G105" s="186">
        <f>G104/G7</f>
        <v>6.608994243082611E-2</v>
      </c>
      <c r="H105" s="99">
        <f>G105+'28'!H105</f>
        <v>2.0564576251709816</v>
      </c>
      <c r="I105" s="187"/>
      <c r="J105" s="188">
        <f>H105/DAY(B2)</f>
        <v>7.091233190244764E-2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891" t="s">
        <v>324</v>
      </c>
      <c r="B108" s="891"/>
      <c r="C108" s="891"/>
      <c r="D108" s="891"/>
      <c r="E108" s="891"/>
      <c r="F108" s="891"/>
      <c r="G108" s="891"/>
      <c r="H108" s="891"/>
      <c r="I108" s="891"/>
      <c r="J108" s="891"/>
    </row>
    <row r="109" spans="1:15" ht="26.25">
      <c r="A109" s="918"/>
      <c r="B109" s="918"/>
    </row>
    <row r="110" spans="1:15" ht="26.25">
      <c r="A110" s="892" t="s">
        <v>165</v>
      </c>
      <c r="B110" s="893"/>
      <c r="C110" s="893"/>
      <c r="D110" s="893"/>
      <c r="E110" s="893"/>
      <c r="F110" s="893"/>
      <c r="G110" s="893"/>
      <c r="H110" s="893"/>
      <c r="I110" s="893"/>
      <c r="J110" s="894"/>
    </row>
    <row r="111" spans="1:15" ht="25.5">
      <c r="A111" s="885"/>
      <c r="B111" s="886"/>
      <c r="C111" s="887"/>
      <c r="D111" s="165"/>
      <c r="E111" s="165"/>
      <c r="F111" s="165"/>
      <c r="G111" s="165"/>
      <c r="H111" s="156"/>
      <c r="I111" s="165"/>
      <c r="J111" s="327"/>
    </row>
    <row r="112" spans="1:15" ht="25.5">
      <c r="A112" s="881" t="s">
        <v>252</v>
      </c>
      <c r="B112" s="882"/>
      <c r="C112" s="883"/>
      <c r="D112" s="146" t="s">
        <v>183</v>
      </c>
      <c r="E112" s="237">
        <f>'28'!F112</f>
        <v>19213.769</v>
      </c>
      <c r="F112" s="237">
        <v>19275.2</v>
      </c>
      <c r="G112" s="112">
        <f t="shared" ref="G112" si="9">F112-E112</f>
        <v>61.431000000000495</v>
      </c>
      <c r="H112" s="99">
        <f>G112+'28'!H112</f>
        <v>1763.9000000000015</v>
      </c>
      <c r="I112" s="165"/>
      <c r="J112" s="328">
        <f>H112/DAY(B2)</f>
        <v>60.824137931034535</v>
      </c>
    </row>
    <row r="113" spans="1:18" ht="25.5">
      <c r="A113" s="881" t="s">
        <v>253</v>
      </c>
      <c r="B113" s="882"/>
      <c r="C113" s="883"/>
      <c r="D113" s="146" t="s">
        <v>183</v>
      </c>
      <c r="E113" s="237">
        <f>'28'!F113</f>
        <v>41093.707000000002</v>
      </c>
      <c r="F113" s="237">
        <v>41231</v>
      </c>
      <c r="G113" s="112">
        <f t="shared" ref="G113:G123" si="10">F113-E113</f>
        <v>137.29299999999785</v>
      </c>
      <c r="H113" s="99">
        <f>G113+'28'!H113</f>
        <v>4152</v>
      </c>
      <c r="I113" s="165"/>
      <c r="J113" s="328">
        <f>H113/DAY(B2)</f>
        <v>143.17241379310346</v>
      </c>
    </row>
    <row r="114" spans="1:18" ht="25.5">
      <c r="A114" s="881" t="s">
        <v>254</v>
      </c>
      <c r="B114" s="882"/>
      <c r="C114" s="883"/>
      <c r="D114" s="146" t="s">
        <v>183</v>
      </c>
      <c r="E114" s="237">
        <f>'28'!F114</f>
        <v>60551</v>
      </c>
      <c r="F114" s="237">
        <v>60776.79</v>
      </c>
      <c r="G114" s="112">
        <f t="shared" si="10"/>
        <v>225.79000000000087</v>
      </c>
      <c r="H114" s="99">
        <f>G114+'28'!H114</f>
        <v>6509.010000000002</v>
      </c>
      <c r="I114" s="165"/>
      <c r="J114" s="328">
        <f>H114/DAY(B2)</f>
        <v>224.44862068965523</v>
      </c>
    </row>
    <row r="115" spans="1:18" ht="25.5">
      <c r="A115" s="881" t="s">
        <v>255</v>
      </c>
      <c r="B115" s="882"/>
      <c r="C115" s="883"/>
      <c r="D115" s="146" t="s">
        <v>183</v>
      </c>
      <c r="E115" s="237">
        <f>'28'!F115</f>
        <v>39000.35</v>
      </c>
      <c r="F115" s="237">
        <v>39133.22</v>
      </c>
      <c r="G115" s="112">
        <f t="shared" si="10"/>
        <v>132.87000000000262</v>
      </c>
      <c r="H115" s="99">
        <f>G115+'28'!H115</f>
        <v>4166.3099999999977</v>
      </c>
      <c r="I115" s="165"/>
      <c r="J115" s="328">
        <f>H115/DAY(B2)</f>
        <v>143.66586206896542</v>
      </c>
    </row>
    <row r="116" spans="1:18" ht="25.5">
      <c r="A116" s="888" t="s">
        <v>96</v>
      </c>
      <c r="B116" s="889"/>
      <c r="C116" s="890"/>
      <c r="D116" s="146" t="s">
        <v>183</v>
      </c>
      <c r="E116" s="237">
        <f>'28'!F116</f>
        <v>146397.84</v>
      </c>
      <c r="F116" s="237">
        <v>146950</v>
      </c>
      <c r="G116" s="112">
        <f t="shared" si="10"/>
        <v>552.16000000000349</v>
      </c>
      <c r="H116" s="99">
        <f>G116+'28'!H116</f>
        <v>12461.609999999986</v>
      </c>
      <c r="I116" s="165"/>
      <c r="J116" s="328">
        <f>H116/DAY(B2)</f>
        <v>429.7106896551719</v>
      </c>
      <c r="Q116" s="881" t="s">
        <v>311</v>
      </c>
      <c r="R116" s="883"/>
    </row>
    <row r="117" spans="1:18" ht="25.5">
      <c r="A117" s="888" t="s">
        <v>184</v>
      </c>
      <c r="B117" s="889"/>
      <c r="C117" s="890"/>
      <c r="D117" s="146" t="s">
        <v>183</v>
      </c>
      <c r="E117" s="237">
        <f>'28'!F117</f>
        <v>91149.63</v>
      </c>
      <c r="F117" s="237">
        <v>91440</v>
      </c>
      <c r="G117" s="112">
        <f t="shared" si="10"/>
        <v>290.36999999999534</v>
      </c>
      <c r="H117" s="99">
        <f>G117+'28'!H117</f>
        <v>8730</v>
      </c>
      <c r="I117" s="165"/>
      <c r="J117" s="328">
        <f>H117/DAY(B2)</f>
        <v>301.0344827586207</v>
      </c>
      <c r="Q117" s="881" t="s">
        <v>312</v>
      </c>
      <c r="R117" s="883"/>
    </row>
    <row r="118" spans="1:18" ht="25.5">
      <c r="A118" s="880" t="s">
        <v>97</v>
      </c>
      <c r="B118" s="880"/>
      <c r="C118" s="880"/>
      <c r="D118" s="151" t="s">
        <v>183</v>
      </c>
      <c r="E118" s="237">
        <f>'28'!F118</f>
        <v>175593.55</v>
      </c>
      <c r="F118" s="237">
        <v>176221.75</v>
      </c>
      <c r="G118" s="112">
        <f t="shared" si="10"/>
        <v>628.20000000001164</v>
      </c>
      <c r="H118" s="99">
        <f>G118+'28'!H118</f>
        <v>18084.600000000006</v>
      </c>
      <c r="I118" s="165"/>
      <c r="J118" s="328">
        <f>H118/DAY(B2)</f>
        <v>623.60689655172439</v>
      </c>
      <c r="Q118" s="881" t="s">
        <v>311</v>
      </c>
      <c r="R118" s="883"/>
    </row>
    <row r="119" spans="1:18" ht="25.5">
      <c r="A119" s="880" t="s">
        <v>98</v>
      </c>
      <c r="B119" s="880"/>
      <c r="C119" s="880"/>
      <c r="D119" s="151" t="s">
        <v>183</v>
      </c>
      <c r="E119" s="237">
        <f>'28'!F119</f>
        <v>45072.699000000001</v>
      </c>
      <c r="F119" s="237">
        <v>45116</v>
      </c>
      <c r="G119" s="112">
        <f t="shared" si="10"/>
        <v>43.300999999999476</v>
      </c>
      <c r="H119" s="99">
        <f>G119+'28'!H119</f>
        <v>1176.8249999999971</v>
      </c>
      <c r="I119" s="165"/>
      <c r="J119" s="328">
        <f>H119/DAY(B2)</f>
        <v>40.580172413793001</v>
      </c>
    </row>
    <row r="120" spans="1:18" ht="25.5">
      <c r="A120" s="880" t="s">
        <v>99</v>
      </c>
      <c r="B120" s="880"/>
      <c r="C120" s="880"/>
      <c r="D120" s="151" t="s">
        <v>183</v>
      </c>
      <c r="E120" s="237">
        <f>'28'!F120</f>
        <v>119335.86</v>
      </c>
      <c r="F120" s="237">
        <v>119713.84</v>
      </c>
      <c r="G120" s="112">
        <f t="shared" si="10"/>
        <v>377.97999999999593</v>
      </c>
      <c r="H120" s="99">
        <f>G120+'28'!H120</f>
        <v>11276.699999999997</v>
      </c>
      <c r="I120" s="165"/>
      <c r="J120" s="328">
        <f>H120/DAY(B2)</f>
        <v>388.85172413793094</v>
      </c>
    </row>
    <row r="121" spans="1:18" ht="25.5">
      <c r="A121" s="880" t="s">
        <v>100</v>
      </c>
      <c r="B121" s="880"/>
      <c r="C121" s="880"/>
      <c r="D121" s="151" t="s">
        <v>183</v>
      </c>
      <c r="E121" s="237">
        <f>'28'!F121</f>
        <v>133243</v>
      </c>
      <c r="F121" s="237">
        <v>133666.68</v>
      </c>
      <c r="G121" s="112">
        <f t="shared" si="10"/>
        <v>423.67999999999302</v>
      </c>
      <c r="H121" s="99">
        <f>G121+'28'!H121</f>
        <v>12443.789999999994</v>
      </c>
      <c r="I121" s="165"/>
      <c r="J121" s="328">
        <f>H121/DAY(B2)</f>
        <v>429.09620689655151</v>
      </c>
    </row>
    <row r="122" spans="1:18" ht="25.5">
      <c r="A122" s="880" t="s">
        <v>101</v>
      </c>
      <c r="B122" s="880"/>
      <c r="C122" s="880"/>
      <c r="D122" s="151" t="s">
        <v>183</v>
      </c>
      <c r="E122" s="237">
        <f>'28'!F122</f>
        <v>89917.43</v>
      </c>
      <c r="F122" s="237">
        <v>90242</v>
      </c>
      <c r="G122" s="112">
        <f t="shared" si="10"/>
        <v>324.57000000000698</v>
      </c>
      <c r="H122" s="99">
        <f>G122+'28'!H122</f>
        <v>8967.6300000000047</v>
      </c>
      <c r="I122" s="165"/>
      <c r="J122" s="328">
        <f>H122/DAY(B2)</f>
        <v>309.22862068965532</v>
      </c>
    </row>
    <row r="123" spans="1:18" ht="25.5">
      <c r="A123" s="880" t="s">
        <v>102</v>
      </c>
      <c r="B123" s="880"/>
      <c r="C123" s="880"/>
      <c r="D123" s="151" t="s">
        <v>183</v>
      </c>
      <c r="E123" s="237">
        <f>'28'!F123</f>
        <v>86638.327000000005</v>
      </c>
      <c r="F123" s="237">
        <v>86957.187000000005</v>
      </c>
      <c r="G123" s="112">
        <f t="shared" si="10"/>
        <v>318.86000000000058</v>
      </c>
      <c r="H123" s="99">
        <f>G123+'28'!H123</f>
        <v>9008.1870000000054</v>
      </c>
      <c r="I123" s="165"/>
      <c r="J123" s="328">
        <f>H123/DAY(B2)</f>
        <v>310.62713793103467</v>
      </c>
    </row>
    <row r="124" spans="1:18" ht="25.5">
      <c r="A124" s="885"/>
      <c r="B124" s="886"/>
      <c r="C124" s="887"/>
      <c r="D124" s="165"/>
      <c r="E124" s="95">
        <f>'28'!F124</f>
        <v>0</v>
      </c>
      <c r="F124" s="165"/>
      <c r="G124" s="327"/>
      <c r="H124" s="99">
        <f>G124+'28'!H124</f>
        <v>0</v>
      </c>
      <c r="I124" s="165"/>
      <c r="J124" s="327"/>
    </row>
    <row r="125" spans="1:18" ht="25.5">
      <c r="A125" s="787" t="s">
        <v>196</v>
      </c>
      <c r="B125" s="788"/>
      <c r="C125" s="245"/>
      <c r="D125" s="307"/>
      <c r="E125" s="308"/>
      <c r="F125" s="308"/>
      <c r="G125" s="309">
        <f>SUM(G112:G124)</f>
        <v>3516.5050000000083</v>
      </c>
      <c r="H125" s="156"/>
      <c r="I125" s="327">
        <f>G125-(G39+G53)</f>
        <v>649.81500000006417</v>
      </c>
      <c r="J125" s="327"/>
    </row>
    <row r="126" spans="1:18" ht="25.5">
      <c r="A126" s="884" t="s">
        <v>317</v>
      </c>
      <c r="B126" s="884"/>
      <c r="C126" s="884"/>
      <c r="D126" s="884"/>
      <c r="E126" s="884"/>
      <c r="F126" s="884"/>
      <c r="G126" s="884"/>
      <c r="H126" s="884"/>
      <c r="I126" s="884"/>
      <c r="J126" s="884"/>
    </row>
    <row r="127" spans="1:18" ht="25.5">
      <c r="A127" s="870"/>
      <c r="B127" s="870"/>
      <c r="C127" s="245"/>
      <c r="D127" s="307"/>
      <c r="E127" s="308"/>
      <c r="F127" s="308"/>
      <c r="G127" s="309"/>
      <c r="H127" s="99">
        <f>G127+'28'!H127</f>
        <v>0</v>
      </c>
      <c r="I127" s="165"/>
      <c r="J127" s="328">
        <f>H127/DAY(B2)</f>
        <v>0</v>
      </c>
    </row>
    <row r="128" spans="1:18" ht="25.5">
      <c r="A128" s="881" t="s">
        <v>318</v>
      </c>
      <c r="B128" s="882"/>
      <c r="C128" s="883"/>
      <c r="D128" s="151" t="s">
        <v>183</v>
      </c>
      <c r="E128" s="95">
        <f>'28'!F128</f>
        <v>205789.98</v>
      </c>
      <c r="F128" s="165">
        <v>206318.97</v>
      </c>
      <c r="G128" s="112">
        <f t="shared" ref="G128:G134" si="11">F128-E128</f>
        <v>528.98999999999069</v>
      </c>
      <c r="H128" s="99">
        <f>G128+'28'!H128</f>
        <v>14433.339999999997</v>
      </c>
      <c r="I128" s="165"/>
      <c r="J128" s="328">
        <f>H128/DAY(B2)</f>
        <v>497.70137931034469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'28'!F129</f>
        <v>376</v>
      </c>
      <c r="F129" s="165">
        <v>488.05900000000003</v>
      </c>
      <c r="G129" s="112">
        <f t="shared" si="11"/>
        <v>112.05900000000003</v>
      </c>
      <c r="H129" s="99">
        <f>G129+'28'!H129</f>
        <v>4837.1990000000005</v>
      </c>
      <c r="I129" s="165"/>
      <c r="J129" s="328">
        <f>H129/DAY(B2)</f>
        <v>166.79996551724139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'28'!F130</f>
        <v>285187.59000000003</v>
      </c>
      <c r="F130" s="464">
        <v>285954.23</v>
      </c>
      <c r="G130" s="112">
        <f t="shared" si="11"/>
        <v>766.63999999995576</v>
      </c>
      <c r="H130" s="99">
        <f>G130+'28'!H130</f>
        <v>17139.229999999981</v>
      </c>
      <c r="I130" s="165"/>
      <c r="J130" s="328">
        <f>H130/DAY(B2)</f>
        <v>591.00793103448211</v>
      </c>
      <c r="N130" s="240"/>
      <c r="O130" s="241"/>
    </row>
    <row r="131" spans="1:15" ht="25.5">
      <c r="A131" s="881" t="s">
        <v>321</v>
      </c>
      <c r="B131" s="882"/>
      <c r="C131" s="883"/>
      <c r="D131" s="151" t="s">
        <v>183</v>
      </c>
      <c r="E131" s="95">
        <f>'28'!F131</f>
        <v>84216.759000000005</v>
      </c>
      <c r="F131" s="165">
        <v>84356</v>
      </c>
      <c r="G131" s="112">
        <f t="shared" si="11"/>
        <v>139.24099999999453</v>
      </c>
      <c r="H131" s="99">
        <f>G131+'28'!H131</f>
        <v>4805.3699999999953</v>
      </c>
      <c r="I131" s="165"/>
      <c r="J131" s="328">
        <f>H131/DAY(B2)</f>
        <v>165.70241379310329</v>
      </c>
      <c r="N131" s="240"/>
      <c r="O131" s="241"/>
    </row>
    <row r="132" spans="1:15" ht="25.5">
      <c r="A132" s="881" t="s">
        <v>322</v>
      </c>
      <c r="B132" s="882"/>
      <c r="C132" s="883"/>
      <c r="D132" s="151" t="s">
        <v>183</v>
      </c>
      <c r="E132" s="95">
        <f>'28'!F132</f>
        <v>66546.959000000003</v>
      </c>
      <c r="F132" s="165">
        <v>66842.535000000003</v>
      </c>
      <c r="G132" s="112">
        <f t="shared" si="11"/>
        <v>295.57600000000093</v>
      </c>
      <c r="H132" s="99">
        <f>G132+'28'!H132</f>
        <v>2617.5350000000035</v>
      </c>
      <c r="I132" s="165"/>
      <c r="J132" s="328">
        <f>H132/DAY(B2)</f>
        <v>90.259827586207024</v>
      </c>
    </row>
    <row r="133" spans="1:15" ht="25.5">
      <c r="A133" s="881" t="s">
        <v>359</v>
      </c>
      <c r="B133" s="882"/>
      <c r="C133" s="883"/>
      <c r="D133" s="151" t="s">
        <v>183</v>
      </c>
      <c r="E133" s="95">
        <f>'28'!F133</f>
        <v>948297</v>
      </c>
      <c r="F133" s="165">
        <v>948838</v>
      </c>
      <c r="G133" s="112">
        <f t="shared" si="11"/>
        <v>541</v>
      </c>
      <c r="H133" s="99">
        <f>G133+'28'!H133</f>
        <v>-641531.83000000007</v>
      </c>
      <c r="I133" s="165"/>
      <c r="J133" s="328">
        <f>H133/DAY(B2)</f>
        <v>-22121.787241379312</v>
      </c>
    </row>
    <row r="134" spans="1:15" ht="25.5">
      <c r="A134" s="881" t="s">
        <v>340</v>
      </c>
      <c r="B134" s="882"/>
      <c r="C134" s="883"/>
      <c r="D134" s="151" t="s">
        <v>183</v>
      </c>
      <c r="E134" s="95">
        <f>'28'!F134</f>
        <v>92451.63</v>
      </c>
      <c r="F134" s="165">
        <v>92715.846999999994</v>
      </c>
      <c r="G134" s="112">
        <f t="shared" si="11"/>
        <v>264.21699999998964</v>
      </c>
      <c r="H134" s="99">
        <f>G134+'28'!H134</f>
        <v>6763.8469999999943</v>
      </c>
      <c r="I134" s="165"/>
      <c r="J134" s="328">
        <f>H134/DAY(B2)</f>
        <v>233.23610344827566</v>
      </c>
    </row>
    <row r="135" spans="1:15" ht="25.5">
      <c r="A135" s="787" t="s">
        <v>196</v>
      </c>
      <c r="B135" s="788"/>
      <c r="C135" s="331"/>
      <c r="D135" s="151"/>
      <c r="E135" s="95"/>
      <c r="F135" s="165" t="s">
        <v>366</v>
      </c>
      <c r="G135" s="112">
        <f>SUM(G127:G134)</f>
        <v>2647.7229999999317</v>
      </c>
      <c r="H135" s="99">
        <f>G135+'23'!H135</f>
        <v>-623676.0120000001</v>
      </c>
      <c r="I135" s="327">
        <f>G135-(G35+G49)</f>
        <v>-491.39700000018001</v>
      </c>
      <c r="J135" s="328"/>
    </row>
    <row r="136" spans="1:15" ht="27.75">
      <c r="A136" s="869" t="s">
        <v>325</v>
      </c>
      <c r="B136" s="869"/>
      <c r="C136" s="869"/>
      <c r="D136" s="869"/>
      <c r="E136" s="869"/>
      <c r="F136" s="869"/>
      <c r="G136" s="869"/>
      <c r="H136" s="869"/>
      <c r="I136" s="869"/>
      <c r="J136" s="869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80" t="s">
        <v>185</v>
      </c>
      <c r="B138" s="880"/>
      <c r="C138" s="880"/>
      <c r="D138" s="151" t="s">
        <v>183</v>
      </c>
      <c r="E138" s="95">
        <f>'28'!F138</f>
        <v>912560</v>
      </c>
      <c r="F138" s="147">
        <v>912677</v>
      </c>
      <c r="G138" s="112">
        <f t="shared" ref="G138:G151" si="12">F138-E138</f>
        <v>117</v>
      </c>
      <c r="H138" s="99">
        <f>G138+'28'!H138</f>
        <v>3237</v>
      </c>
      <c r="I138" s="118"/>
      <c r="J138" s="328">
        <f>H138/DAY(B2)</f>
        <v>111.62068965517241</v>
      </c>
    </row>
    <row r="139" spans="1:15" ht="25.5">
      <c r="A139" s="880" t="s">
        <v>186</v>
      </c>
      <c r="B139" s="880"/>
      <c r="C139" s="880"/>
      <c r="D139" s="151" t="s">
        <v>183</v>
      </c>
      <c r="E139" s="95">
        <f>'28'!F139</f>
        <v>936781</v>
      </c>
      <c r="F139" s="148">
        <v>936931</v>
      </c>
      <c r="G139" s="112">
        <f t="shared" si="12"/>
        <v>150</v>
      </c>
      <c r="H139" s="99">
        <f>G139+'28'!H139</f>
        <v>4571</v>
      </c>
      <c r="I139" s="118"/>
      <c r="J139" s="328">
        <f>H139/DAY(B2)</f>
        <v>157.62068965517241</v>
      </c>
    </row>
    <row r="140" spans="1:15" ht="25.5">
      <c r="A140" s="880" t="s">
        <v>187</v>
      </c>
      <c r="B140" s="880"/>
      <c r="C140" s="880"/>
      <c r="D140" s="151" t="s">
        <v>183</v>
      </c>
      <c r="E140" s="95">
        <f>'28'!F140</f>
        <v>3981.47</v>
      </c>
      <c r="F140" s="149">
        <v>4000.55</v>
      </c>
      <c r="G140" s="112">
        <f t="shared" si="12"/>
        <v>19.080000000000382</v>
      </c>
      <c r="H140" s="99">
        <f>G140+'28'!H140</f>
        <v>666.17900000000054</v>
      </c>
      <c r="I140" s="118"/>
      <c r="J140" s="328">
        <f>H140/DAY(B2)</f>
        <v>22.971689655172433</v>
      </c>
    </row>
    <row r="141" spans="1:15" ht="25.5">
      <c r="A141" s="863" t="s">
        <v>188</v>
      </c>
      <c r="B141" s="863"/>
      <c r="C141" s="863"/>
      <c r="D141" s="151" t="s">
        <v>183</v>
      </c>
      <c r="E141" s="95">
        <f>'28'!F141</f>
        <v>130613.71</v>
      </c>
      <c r="F141" s="149">
        <v>130858.82</v>
      </c>
      <c r="G141" s="112">
        <f t="shared" si="12"/>
        <v>245.11000000000058</v>
      </c>
      <c r="H141" s="99">
        <f>G141+'28'!H141</f>
        <v>6260.820000000007</v>
      </c>
      <c r="I141" s="118"/>
      <c r="J141" s="328">
        <f>H141/DAY(B2)</f>
        <v>215.89034482758646</v>
      </c>
    </row>
    <row r="142" spans="1:15" ht="25.5">
      <c r="A142" s="863" t="s">
        <v>189</v>
      </c>
      <c r="B142" s="863"/>
      <c r="C142" s="863"/>
      <c r="D142" s="151" t="s">
        <v>183</v>
      </c>
      <c r="E142" s="95">
        <f>'28'!F142</f>
        <v>52936.298999999999</v>
      </c>
      <c r="F142" s="148">
        <v>53013</v>
      </c>
      <c r="G142" s="112">
        <f t="shared" si="12"/>
        <v>76.701000000000931</v>
      </c>
      <c r="H142" s="99">
        <f>G142+'28'!H142</f>
        <v>2447.4499999999971</v>
      </c>
      <c r="I142" s="140"/>
      <c r="J142" s="328">
        <f>H142/DAY(B2)</f>
        <v>84.394827586206802</v>
      </c>
    </row>
    <row r="143" spans="1:15" ht="25.5">
      <c r="A143" s="880" t="s">
        <v>91</v>
      </c>
      <c r="B143" s="880"/>
      <c r="C143" s="880"/>
      <c r="D143" s="151" t="s">
        <v>183</v>
      </c>
      <c r="E143" s="95">
        <f>'28'!F143</f>
        <v>14215.412</v>
      </c>
      <c r="F143" s="149">
        <v>14245.94</v>
      </c>
      <c r="G143" s="112">
        <f t="shared" si="12"/>
        <v>30.528000000000247</v>
      </c>
      <c r="H143" s="99">
        <f>G143+'28'!H143</f>
        <v>858.94000000000051</v>
      </c>
      <c r="I143" s="140"/>
      <c r="J143" s="328">
        <f>H143/DAY(B2)</f>
        <v>29.618620689655192</v>
      </c>
    </row>
    <row r="144" spans="1:15" ht="25.5">
      <c r="A144" s="863" t="s">
        <v>90</v>
      </c>
      <c r="B144" s="863"/>
      <c r="C144" s="863"/>
      <c r="D144" s="151" t="s">
        <v>183</v>
      </c>
      <c r="E144" s="95">
        <f>'28'!F144</f>
        <v>962403</v>
      </c>
      <c r="F144" s="149">
        <v>962671</v>
      </c>
      <c r="G144" s="112">
        <f t="shared" si="12"/>
        <v>268</v>
      </c>
      <c r="H144" s="99">
        <f>G144+'28'!H144</f>
        <v>7201</v>
      </c>
      <c r="I144" s="140"/>
      <c r="J144" s="328">
        <f>H144/DAY(B2)</f>
        <v>248.31034482758622</v>
      </c>
    </row>
    <row r="145" spans="1:10" ht="25.5">
      <c r="A145" s="880" t="s">
        <v>190</v>
      </c>
      <c r="B145" s="880"/>
      <c r="C145" s="880"/>
      <c r="D145" s="152" t="s">
        <v>183</v>
      </c>
      <c r="E145" s="95">
        <f>'28'!F145</f>
        <v>750182</v>
      </c>
      <c r="F145" s="149">
        <v>750333</v>
      </c>
      <c r="G145" s="112">
        <f t="shared" si="12"/>
        <v>151</v>
      </c>
      <c r="H145" s="99">
        <f>G145+'28'!H145</f>
        <v>5152</v>
      </c>
      <c r="I145" s="140"/>
      <c r="J145" s="328">
        <f>H145/DAY(B2)</f>
        <v>177.65517241379311</v>
      </c>
    </row>
    <row r="146" spans="1:10" ht="25.5">
      <c r="A146" s="914" t="s">
        <v>191</v>
      </c>
      <c r="B146" s="900"/>
      <c r="C146" s="901"/>
      <c r="D146" s="152" t="s">
        <v>183</v>
      </c>
      <c r="E146" s="95">
        <f>'28'!F146</f>
        <v>788888</v>
      </c>
      <c r="F146" s="148">
        <v>788924</v>
      </c>
      <c r="G146" s="112">
        <f t="shared" si="12"/>
        <v>36</v>
      </c>
      <c r="H146" s="99">
        <f>G146+'28'!H146</f>
        <v>1066</v>
      </c>
      <c r="I146" s="140"/>
      <c r="J146" s="328">
        <f>H146/DAY(B2)</f>
        <v>36.758620689655174</v>
      </c>
    </row>
    <row r="147" spans="1:10" ht="25.5">
      <c r="A147" s="863" t="s">
        <v>192</v>
      </c>
      <c r="B147" s="863"/>
      <c r="C147" s="863"/>
      <c r="D147" s="152" t="s">
        <v>183</v>
      </c>
      <c r="E147" s="95">
        <f>'28'!F147</f>
        <v>770483.04</v>
      </c>
      <c r="F147" s="148">
        <v>770893.04</v>
      </c>
      <c r="G147" s="112">
        <f t="shared" si="12"/>
        <v>410</v>
      </c>
      <c r="H147" s="99">
        <f>G147+'28'!H147</f>
        <v>10755.040000000037</v>
      </c>
      <c r="I147" s="140"/>
      <c r="J147" s="328">
        <f>H147/DAY(B2)</f>
        <v>370.86344827586333</v>
      </c>
    </row>
    <row r="148" spans="1:10" ht="25.5">
      <c r="A148" s="864" t="s">
        <v>193</v>
      </c>
      <c r="B148" s="865"/>
      <c r="C148" s="866"/>
      <c r="D148" s="123" t="s">
        <v>130</v>
      </c>
      <c r="E148" s="95">
        <f>'28'!F148</f>
        <v>805761</v>
      </c>
      <c r="F148" s="150">
        <v>806079.44</v>
      </c>
      <c r="G148" s="112">
        <f t="shared" si="12"/>
        <v>318.43999999994412</v>
      </c>
      <c r="H148" s="99">
        <f>G148+'28'!H148</f>
        <v>9667.359999999986</v>
      </c>
      <c r="I148" s="124"/>
      <c r="J148" s="328">
        <f>H148/DAY(B2)</f>
        <v>333.35724137930987</v>
      </c>
    </row>
    <row r="149" spans="1:10" ht="25.5">
      <c r="A149" s="864" t="s">
        <v>336</v>
      </c>
      <c r="B149" s="865"/>
      <c r="C149" s="866"/>
      <c r="D149" s="227" t="s">
        <v>130</v>
      </c>
      <c r="E149" s="95">
        <f>'28'!F149</f>
        <v>215060</v>
      </c>
      <c r="F149" s="146">
        <v>215690</v>
      </c>
      <c r="G149" s="112">
        <f t="shared" si="12"/>
        <v>630</v>
      </c>
      <c r="H149" s="99">
        <f>G149+'28'!H149</f>
        <v>14398.73000000001</v>
      </c>
      <c r="I149" s="119"/>
      <c r="J149" s="328">
        <f>H149/DAY(B2)</f>
        <v>496.50793103448314</v>
      </c>
    </row>
    <row r="150" spans="1:10" ht="25.5">
      <c r="A150" s="864" t="s">
        <v>337</v>
      </c>
      <c r="B150" s="865"/>
      <c r="C150" s="866"/>
      <c r="D150" s="117" t="s">
        <v>130</v>
      </c>
      <c r="E150" s="95">
        <f>'28'!F150</f>
        <v>91700.32</v>
      </c>
      <c r="F150" s="233">
        <v>91953</v>
      </c>
      <c r="G150" s="112">
        <f t="shared" si="12"/>
        <v>252.67999999999302</v>
      </c>
      <c r="H150" s="99">
        <f>G150+'28'!H150</f>
        <v>9366</v>
      </c>
      <c r="I150" s="119"/>
      <c r="J150" s="328">
        <f>H150/DAY(B2)</f>
        <v>322.9655172413793</v>
      </c>
    </row>
    <row r="151" spans="1:10" ht="25.5">
      <c r="A151" s="864" t="s">
        <v>338</v>
      </c>
      <c r="B151" s="865"/>
      <c r="C151" s="866"/>
      <c r="D151" s="117" t="s">
        <v>130</v>
      </c>
      <c r="E151" s="95">
        <f>'28'!F151</f>
        <v>175252</v>
      </c>
      <c r="F151" s="233">
        <v>175580</v>
      </c>
      <c r="G151" s="112">
        <f t="shared" si="12"/>
        <v>328</v>
      </c>
      <c r="H151" s="99">
        <f>G151+'28'!H151</f>
        <v>8850</v>
      </c>
      <c r="I151" s="119"/>
      <c r="J151" s="328">
        <f>H151/DAY(B2)</f>
        <v>305.17241379310343</v>
      </c>
    </row>
    <row r="152" spans="1:10" ht="25.5">
      <c r="A152" s="864" t="s">
        <v>339</v>
      </c>
      <c r="B152" s="865"/>
      <c r="C152" s="866"/>
      <c r="D152" s="117" t="s">
        <v>130</v>
      </c>
      <c r="E152" s="95">
        <f>'28'!F152</f>
        <v>46229</v>
      </c>
      <c r="F152" s="233">
        <v>46367.77</v>
      </c>
      <c r="G152" s="112">
        <f>F152-E152</f>
        <v>138.7699999999968</v>
      </c>
      <c r="H152" s="99">
        <f>G152+'28'!H152</f>
        <v>3856.7699999999968</v>
      </c>
      <c r="I152" s="119"/>
      <c r="J152" s="328">
        <f>H152/DAY(B2)</f>
        <v>132.99206896551712</v>
      </c>
    </row>
    <row r="153" spans="1:10" ht="25.5">
      <c r="A153" s="787" t="s">
        <v>196</v>
      </c>
      <c r="B153" s="788"/>
      <c r="C153" s="365"/>
      <c r="D153" s="358"/>
      <c r="E153" s="360"/>
      <c r="F153" s="361"/>
      <c r="G153" s="362">
        <f>SUM(G138:G152)</f>
        <v>3171.3089999999361</v>
      </c>
      <c r="H153" s="363"/>
      <c r="I153" s="119">
        <f>G153-(G38+G52)</f>
        <v>338.29899999987583</v>
      </c>
      <c r="J153" s="366"/>
    </row>
    <row r="154" spans="1:10" ht="27.75">
      <c r="A154" s="869" t="s">
        <v>344</v>
      </c>
      <c r="B154" s="869"/>
      <c r="C154" s="869"/>
      <c r="D154" s="869"/>
      <c r="E154" s="869"/>
      <c r="F154" s="869"/>
      <c r="G154" s="869"/>
      <c r="H154" s="869"/>
      <c r="I154" s="869"/>
      <c r="J154" s="869"/>
    </row>
    <row r="155" spans="1:10" ht="27.75">
      <c r="A155" s="863" t="s">
        <v>345</v>
      </c>
      <c r="B155" s="863"/>
      <c r="C155" s="863"/>
      <c r="D155" s="117" t="s">
        <v>130</v>
      </c>
      <c r="E155" s="95">
        <f>'28'!F155</f>
        <v>254659</v>
      </c>
      <c r="F155" s="388">
        <v>255261.55</v>
      </c>
      <c r="G155" s="112">
        <f t="shared" ref="G155:G158" si="13">F155-E155</f>
        <v>602.54999999998836</v>
      </c>
      <c r="H155" s="99">
        <f>G155+'28'!H155</f>
        <v>16227.549999999988</v>
      </c>
      <c r="I155" s="364"/>
      <c r="J155" s="328">
        <f>H155/DAY(B2)</f>
        <v>559.57068965517203</v>
      </c>
    </row>
    <row r="156" spans="1:10" ht="25.5">
      <c r="A156" s="863" t="s">
        <v>347</v>
      </c>
      <c r="B156" s="863"/>
      <c r="C156" s="863"/>
      <c r="D156" s="117" t="s">
        <v>130</v>
      </c>
      <c r="E156" s="95">
        <f>'28'!F156</f>
        <v>32261</v>
      </c>
      <c r="F156" s="155">
        <v>32362.187000000002</v>
      </c>
      <c r="G156" s="112">
        <f t="shared" si="13"/>
        <v>101.18700000000172</v>
      </c>
      <c r="H156" s="99">
        <f>G156+'28'!H156</f>
        <v>2682.6870000000017</v>
      </c>
      <c r="I156" s="165"/>
      <c r="J156" s="328">
        <f>H156/DAY(B2)</f>
        <v>92.506448275862127</v>
      </c>
    </row>
    <row r="157" spans="1:10" ht="25.5">
      <c r="A157" s="864" t="s">
        <v>360</v>
      </c>
      <c r="B157" s="865"/>
      <c r="C157" s="866"/>
      <c r="D157" s="117" t="s">
        <v>130</v>
      </c>
      <c r="E157" s="95">
        <f>'28'!F157</f>
        <v>37559</v>
      </c>
      <c r="F157" s="155">
        <v>37559</v>
      </c>
      <c r="G157" s="112">
        <f t="shared" si="13"/>
        <v>0</v>
      </c>
      <c r="H157" s="99">
        <f>G157+'28'!H157</f>
        <v>0</v>
      </c>
      <c r="I157" s="165"/>
      <c r="J157" s="328">
        <f>H157/DAY(B2)</f>
        <v>0</v>
      </c>
    </row>
    <row r="158" spans="1:10" ht="25.5">
      <c r="A158" s="864" t="s">
        <v>361</v>
      </c>
      <c r="B158" s="865"/>
      <c r="C158" s="866"/>
      <c r="D158" s="117" t="s">
        <v>130</v>
      </c>
      <c r="E158" s="95">
        <f>'28'!F158</f>
        <v>1781</v>
      </c>
      <c r="F158" s="155">
        <v>1782</v>
      </c>
      <c r="G158" s="112">
        <f t="shared" si="13"/>
        <v>1</v>
      </c>
      <c r="H158" s="99">
        <f>G158+'28'!H158</f>
        <v>1</v>
      </c>
      <c r="I158" s="165"/>
      <c r="J158" s="328">
        <f>H158/DAY(B2)</f>
        <v>3.4482758620689655E-2</v>
      </c>
    </row>
    <row r="159" spans="1:10" ht="25.5">
      <c r="A159" s="944"/>
      <c r="B159" s="945"/>
      <c r="C159" s="946"/>
      <c r="D159" s="117"/>
      <c r="E159" s="95"/>
      <c r="F159" s="165"/>
      <c r="G159" s="112"/>
      <c r="H159" s="99"/>
      <c r="I159" s="165"/>
      <c r="J159" s="328"/>
    </row>
    <row r="160" spans="1:10" ht="27.75">
      <c r="A160" s="869" t="s">
        <v>326</v>
      </c>
      <c r="B160" s="869"/>
      <c r="C160" s="869"/>
      <c r="D160" s="869"/>
      <c r="E160" s="869"/>
      <c r="F160" s="869"/>
      <c r="G160" s="869"/>
      <c r="H160" s="869"/>
      <c r="I160" s="869"/>
      <c r="J160" s="869"/>
    </row>
    <row r="161" spans="1:10" ht="26.25">
      <c r="A161" s="242" t="s">
        <v>92</v>
      </c>
      <c r="B161" s="243"/>
      <c r="C161" s="243"/>
      <c r="D161" s="244" t="s">
        <v>180</v>
      </c>
      <c r="E161" s="95">
        <f>'28'!F161</f>
        <v>512101.4</v>
      </c>
      <c r="F161" s="235">
        <v>512165.8</v>
      </c>
      <c r="G161" s="238">
        <f t="shared" ref="G161:G165" si="14">F161-E161</f>
        <v>64.399999999965075</v>
      </c>
      <c r="H161" s="99">
        <f>G161+'28'!H161</f>
        <v>3782.4799999999814</v>
      </c>
      <c r="I161" s="236"/>
      <c r="J161" s="239">
        <f>H161/DAY(B2)</f>
        <v>130.43034482758557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'28'!F162</f>
        <v>1692.6</v>
      </c>
      <c r="F162" s="235">
        <v>1714.1</v>
      </c>
      <c r="G162" s="238">
        <f t="shared" si="14"/>
        <v>21.5</v>
      </c>
      <c r="H162" s="99">
        <f>G162+'28'!H162</f>
        <v>977.49999999999989</v>
      </c>
      <c r="I162" s="236"/>
      <c r="J162" s="239">
        <f>H162/DAY(B2)</f>
        <v>33.706896551724135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'28'!F163</f>
        <v>0</v>
      </c>
      <c r="F163" s="235">
        <v>0</v>
      </c>
      <c r="G163" s="238">
        <f t="shared" si="14"/>
        <v>0</v>
      </c>
      <c r="H163" s="99">
        <f>G163+'28'!H163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'28'!F164</f>
        <v>7331</v>
      </c>
      <c r="F164" s="235">
        <v>7333</v>
      </c>
      <c r="G164" s="238">
        <f t="shared" si="14"/>
        <v>2</v>
      </c>
      <c r="H164" s="99">
        <f>G164+'28'!H164</f>
        <v>134</v>
      </c>
      <c r="I164" s="236"/>
      <c r="J164" s="239">
        <f>H164/DAY(B2)</f>
        <v>4.6206896551724137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'28'!F165</f>
        <v>32954</v>
      </c>
      <c r="F165" s="235">
        <v>32958</v>
      </c>
      <c r="G165" s="238">
        <f t="shared" si="14"/>
        <v>4</v>
      </c>
      <c r="H165" s="99">
        <f>G165+'28'!H165</f>
        <v>177.91199999999662</v>
      </c>
      <c r="I165" s="236"/>
      <c r="J165" s="239">
        <f>H165/DAY(B2)</f>
        <v>6.1348965517240215</v>
      </c>
    </row>
    <row r="166" spans="1:10" ht="26.25">
      <c r="A166" s="870"/>
      <c r="B166" s="870"/>
      <c r="C166" s="246"/>
      <c r="D166" s="244" t="s">
        <v>180</v>
      </c>
      <c r="E166" s="95">
        <f>'28'!F166</f>
        <v>0</v>
      </c>
      <c r="F166" s="165"/>
      <c r="G166" s="165"/>
      <c r="H166" s="99">
        <f>G166+'28'!H166</f>
        <v>0</v>
      </c>
      <c r="I166" s="165"/>
      <c r="J166" s="239">
        <f>H166/DAY(B2)</f>
        <v>0</v>
      </c>
    </row>
    <row r="167" spans="1:10" ht="26.25">
      <c r="A167" s="870"/>
      <c r="B167" s="870"/>
      <c r="C167" s="246"/>
      <c r="D167" s="244" t="s">
        <v>180</v>
      </c>
      <c r="E167" s="95">
        <f>'28'!F167</f>
        <v>0</v>
      </c>
      <c r="F167" s="165"/>
      <c r="G167" s="165"/>
      <c r="H167" s="99">
        <f>G167+'28'!H167</f>
        <v>0</v>
      </c>
      <c r="I167" s="165"/>
      <c r="J167" s="239">
        <f>H167/DAY(B2)</f>
        <v>0</v>
      </c>
    </row>
    <row r="168" spans="1:10" ht="26.25">
      <c r="A168" s="870"/>
      <c r="B168" s="870"/>
      <c r="C168" s="246"/>
      <c r="D168" s="244" t="s">
        <v>180</v>
      </c>
      <c r="E168" s="95">
        <f>'28'!F168</f>
        <v>0</v>
      </c>
      <c r="F168" s="165"/>
      <c r="G168" s="165"/>
      <c r="H168" s="99">
        <f>G168+'28'!H168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71" t="s">
        <v>330</v>
      </c>
      <c r="B171" s="872"/>
      <c r="C171" s="872"/>
      <c r="D171" s="872"/>
      <c r="E171" s="872"/>
      <c r="F171" s="872"/>
      <c r="G171" s="872"/>
      <c r="H171" s="872"/>
      <c r="I171" s="872"/>
      <c r="J171" s="873"/>
    </row>
    <row r="172" spans="1:10" ht="25.5">
      <c r="A172" s="878"/>
      <c r="B172" s="879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789" t="s">
        <v>209</v>
      </c>
      <c r="B173" s="790"/>
      <c r="C173" s="333"/>
      <c r="D173" s="228" t="s">
        <v>142</v>
      </c>
      <c r="E173" s="95">
        <f>'28'!F173</f>
        <v>8612</v>
      </c>
      <c r="F173" s="155">
        <v>8612</v>
      </c>
      <c r="G173" s="155">
        <f>F173-E173</f>
        <v>0</v>
      </c>
      <c r="H173" s="99">
        <f>G173+'28'!H173</f>
        <v>30</v>
      </c>
      <c r="I173" s="155"/>
      <c r="J173" s="178">
        <f>H173/DAY(B2)</f>
        <v>1.0344827586206897</v>
      </c>
    </row>
    <row r="174" spans="1:10" ht="25.5">
      <c r="A174" s="789" t="s">
        <v>75</v>
      </c>
      <c r="B174" s="790"/>
      <c r="C174" s="333"/>
      <c r="D174" s="228" t="s">
        <v>142</v>
      </c>
      <c r="E174" s="95">
        <f>'28'!F174</f>
        <v>43380</v>
      </c>
      <c r="F174" s="157">
        <v>43390</v>
      </c>
      <c r="G174" s="155">
        <f t="shared" ref="G174:G175" si="15">F174-E174</f>
        <v>10</v>
      </c>
      <c r="H174" s="99">
        <f>G174+'28'!H174</f>
        <v>340</v>
      </c>
      <c r="I174" s="155"/>
      <c r="J174" s="178">
        <f>H174/DAY(B2)</f>
        <v>11.724137931034482</v>
      </c>
    </row>
    <row r="175" spans="1:10" ht="25.5">
      <c r="A175" s="789" t="s">
        <v>76</v>
      </c>
      <c r="B175" s="802"/>
      <c r="C175" s="790"/>
      <c r="D175" s="228" t="s">
        <v>142</v>
      </c>
      <c r="E175" s="95">
        <f>'28'!F175</f>
        <v>26246</v>
      </c>
      <c r="F175" s="155">
        <v>26259</v>
      </c>
      <c r="G175" s="155">
        <f t="shared" si="15"/>
        <v>13</v>
      </c>
      <c r="H175" s="99">
        <f>G175+'28'!H175</f>
        <v>438</v>
      </c>
      <c r="I175" s="155"/>
      <c r="J175" s="178">
        <f>H175/DAY(B2)</f>
        <v>15.103448275862069</v>
      </c>
    </row>
    <row r="176" spans="1:10" ht="25.5">
      <c r="A176" s="787" t="s">
        <v>196</v>
      </c>
      <c r="B176" s="788"/>
      <c r="C176" s="400"/>
      <c r="D176" s="228"/>
      <c r="E176" s="95"/>
      <c r="F176" s="155"/>
      <c r="G176" s="155">
        <f>SUM(G173:G175)</f>
        <v>23</v>
      </c>
      <c r="H176" s="99">
        <f>G176+'28'!H176</f>
        <v>808</v>
      </c>
      <c r="I176" s="155"/>
      <c r="J176" s="178">
        <f>H176/DAY(B2)</f>
        <v>27.862068965517242</v>
      </c>
    </row>
    <row r="177" spans="1:10" ht="25.5">
      <c r="A177" s="789" t="s">
        <v>77</v>
      </c>
      <c r="B177" s="790"/>
      <c r="C177" s="333"/>
      <c r="D177" s="228" t="s">
        <v>142</v>
      </c>
      <c r="E177" s="95"/>
      <c r="F177" s="155"/>
      <c r="G177" s="155"/>
      <c r="H177" s="99">
        <f>G177+'28'!H177</f>
        <v>0</v>
      </c>
      <c r="I177" s="155"/>
      <c r="J177" s="178">
        <f>H177/DAY(B2)</f>
        <v>0</v>
      </c>
    </row>
    <row r="178" spans="1:10" ht="25.5">
      <c r="A178" s="789" t="s">
        <v>210</v>
      </c>
      <c r="B178" s="790"/>
      <c r="C178" s="333"/>
      <c r="D178" s="228" t="s">
        <v>142</v>
      </c>
      <c r="E178" s="95">
        <f>'28'!F178</f>
        <v>110104</v>
      </c>
      <c r="F178" s="155">
        <v>110237</v>
      </c>
      <c r="G178" s="155">
        <f>F178-E178</f>
        <v>133</v>
      </c>
      <c r="H178" s="99">
        <f>G178+'28'!H178</f>
        <v>3238</v>
      </c>
      <c r="I178" s="155"/>
      <c r="J178" s="178">
        <f>H178/DAY(B2)</f>
        <v>111.65517241379311</v>
      </c>
    </row>
    <row r="179" spans="1:10" ht="25.5">
      <c r="A179" s="789" t="s">
        <v>211</v>
      </c>
      <c r="B179" s="790"/>
      <c r="C179" s="333"/>
      <c r="D179" s="228" t="s">
        <v>142</v>
      </c>
      <c r="E179" s="95">
        <f>'28'!F179</f>
        <v>37501</v>
      </c>
      <c r="F179" s="155">
        <v>37501</v>
      </c>
      <c r="G179" s="155">
        <f t="shared" ref="G179:G180" si="16">F179-E179</f>
        <v>0</v>
      </c>
      <c r="H179" s="99">
        <f>G179+'28'!H179</f>
        <v>0</v>
      </c>
      <c r="I179" s="155"/>
      <c r="J179" s="178">
        <f>H179/DAY(B2)</f>
        <v>0</v>
      </c>
    </row>
    <row r="180" spans="1:10" ht="25.5">
      <c r="A180" s="789" t="s">
        <v>212</v>
      </c>
      <c r="B180" s="790"/>
      <c r="C180" s="333"/>
      <c r="D180" s="228" t="s">
        <v>142</v>
      </c>
      <c r="E180" s="95">
        <f>'28'!F180</f>
        <v>7692</v>
      </c>
      <c r="F180" s="155">
        <v>7692</v>
      </c>
      <c r="G180" s="155">
        <f t="shared" si="16"/>
        <v>0</v>
      </c>
      <c r="H180" s="99">
        <f>G180+'28'!H180</f>
        <v>129</v>
      </c>
      <c r="I180" s="155"/>
      <c r="J180" s="178">
        <f>H180/DAY(B2)</f>
        <v>4.4482758620689653</v>
      </c>
    </row>
    <row r="181" spans="1:10" ht="25.5">
      <c r="A181" s="876" t="s">
        <v>108</v>
      </c>
      <c r="B181" s="877"/>
      <c r="C181" s="400"/>
      <c r="D181" s="228"/>
      <c r="E181" s="95"/>
      <c r="F181" s="155"/>
      <c r="G181" s="155">
        <f>SUM(G178:G180)</f>
        <v>133</v>
      </c>
      <c r="H181" s="99">
        <f>G181+'28'!H181</f>
        <v>3367</v>
      </c>
      <c r="I181" s="155"/>
      <c r="J181" s="178">
        <f>H181/DAY(B2)</f>
        <v>116.10344827586206</v>
      </c>
    </row>
    <row r="182" spans="1:10" ht="25.5">
      <c r="A182" s="789" t="s">
        <v>213</v>
      </c>
      <c r="B182" s="790"/>
      <c r="C182" s="333"/>
      <c r="D182" s="228"/>
      <c r="E182" s="95"/>
      <c r="F182" s="155"/>
      <c r="G182" s="155"/>
      <c r="H182" s="99">
        <f>G182+'28'!H182</f>
        <v>0</v>
      </c>
      <c r="I182" s="155"/>
      <c r="J182" s="178">
        <f>H182/DAY(B2)</f>
        <v>0</v>
      </c>
    </row>
    <row r="183" spans="1:10" ht="25.5">
      <c r="A183" s="789" t="s">
        <v>214</v>
      </c>
      <c r="B183" s="790"/>
      <c r="C183" s="334"/>
      <c r="D183" s="228" t="s">
        <v>142</v>
      </c>
      <c r="E183" s="95">
        <f>'28'!F183</f>
        <v>18636</v>
      </c>
      <c r="F183" s="157">
        <v>18662</v>
      </c>
      <c r="G183" s="157">
        <f>F183-E183</f>
        <v>26</v>
      </c>
      <c r="H183" s="99">
        <f>G183+'28'!H183</f>
        <v>284</v>
      </c>
      <c r="I183" s="155"/>
      <c r="J183" s="178">
        <f>H183/DAY(B2)</f>
        <v>9.7931034482758612</v>
      </c>
    </row>
    <row r="184" spans="1:10" ht="25.5">
      <c r="A184" s="789" t="s">
        <v>215</v>
      </c>
      <c r="B184" s="790"/>
      <c r="C184" s="334"/>
      <c r="D184" s="228" t="s">
        <v>142</v>
      </c>
      <c r="E184" s="95">
        <f>'28'!F184</f>
        <v>13222</v>
      </c>
      <c r="F184" s="157">
        <v>13230</v>
      </c>
      <c r="G184" s="157">
        <f t="shared" ref="G184:G185" si="17">F184-E184</f>
        <v>8</v>
      </c>
      <c r="H184" s="99">
        <f>G184+'28'!H184</f>
        <v>250</v>
      </c>
      <c r="I184" s="155"/>
      <c r="J184" s="178">
        <f>H184/DAY(B2)</f>
        <v>8.6206896551724146</v>
      </c>
    </row>
    <row r="185" spans="1:10" ht="25.5">
      <c r="A185" s="789" t="s">
        <v>216</v>
      </c>
      <c r="B185" s="790"/>
      <c r="C185" s="334"/>
      <c r="D185" s="228" t="s">
        <v>142</v>
      </c>
      <c r="E185" s="95">
        <f>'28'!F185</f>
        <v>2532</v>
      </c>
      <c r="F185" s="157">
        <v>2532</v>
      </c>
      <c r="G185" s="157">
        <f t="shared" si="17"/>
        <v>0</v>
      </c>
      <c r="H185" s="99">
        <f>G185+'28'!H185</f>
        <v>2532</v>
      </c>
      <c r="I185" s="155"/>
      <c r="J185" s="178">
        <f>H185/DAY(B2)</f>
        <v>87.310344827586206</v>
      </c>
    </row>
    <row r="186" spans="1:10" ht="25.5">
      <c r="A186" s="787" t="s">
        <v>196</v>
      </c>
      <c r="B186" s="788"/>
      <c r="C186" s="399"/>
      <c r="D186" s="229"/>
      <c r="E186" s="95"/>
      <c r="F186" s="157"/>
      <c r="G186" s="157">
        <f>SUM(G183:G185)</f>
        <v>34</v>
      </c>
      <c r="H186" s="99">
        <f>G186+'28'!H186</f>
        <v>3066</v>
      </c>
      <c r="I186" s="157"/>
      <c r="J186" s="178">
        <f>H186/DAY(B2)</f>
        <v>105.72413793103448</v>
      </c>
    </row>
    <row r="187" spans="1:10" ht="25.5">
      <c r="A187" s="867" t="s">
        <v>217</v>
      </c>
      <c r="B187" s="868"/>
      <c r="C187" s="333"/>
      <c r="D187" s="230" t="s">
        <v>142</v>
      </c>
      <c r="E187" s="95">
        <f>'28'!F187</f>
        <v>0</v>
      </c>
      <c r="F187" s="159"/>
      <c r="G187" s="465">
        <f>G62+G19</f>
        <v>231</v>
      </c>
      <c r="H187" s="99">
        <f>G187+'28'!H187</f>
        <v>4956</v>
      </c>
      <c r="I187" s="158"/>
      <c r="J187" s="179">
        <f>H187/DAY(B2)</f>
        <v>170.89655172413794</v>
      </c>
    </row>
    <row r="188" spans="1:10" ht="25.5">
      <c r="A188" s="867" t="s">
        <v>218</v>
      </c>
      <c r="B188" s="868"/>
      <c r="C188" s="333"/>
      <c r="D188" s="230" t="s">
        <v>142</v>
      </c>
      <c r="E188" s="95">
        <f>'28'!F188</f>
        <v>0</v>
      </c>
      <c r="F188" s="159"/>
      <c r="G188" s="465">
        <f>G65+G66+G67+G69+G70</f>
        <v>248</v>
      </c>
      <c r="H188" s="99">
        <f>G188+'28'!H188</f>
        <v>2947</v>
      </c>
      <c r="I188" s="158"/>
      <c r="J188" s="179">
        <f>H188/DAY(B2)</f>
        <v>101.62068965517241</v>
      </c>
    </row>
    <row r="189" spans="1:10" ht="25.5">
      <c r="A189" s="867" t="s">
        <v>219</v>
      </c>
      <c r="B189" s="868"/>
      <c r="C189" s="333"/>
      <c r="D189" s="230" t="s">
        <v>142</v>
      </c>
      <c r="E189" s="95">
        <f>'28'!F189</f>
        <v>0</v>
      </c>
      <c r="F189" s="157"/>
      <c r="G189" s="416">
        <f>G181</f>
        <v>133</v>
      </c>
      <c r="H189" s="99">
        <f>G189+'28'!H189</f>
        <v>1246</v>
      </c>
      <c r="I189" s="158"/>
      <c r="J189" s="179">
        <f>H189/DAY(B2)</f>
        <v>42.96551724137931</v>
      </c>
    </row>
    <row r="190" spans="1:10" ht="25.5">
      <c r="A190" s="874"/>
      <c r="B190" s="875"/>
      <c r="C190" s="398"/>
      <c r="D190" s="395"/>
      <c r="E190" s="395" t="s">
        <v>207</v>
      </c>
      <c r="F190" s="395"/>
      <c r="G190" s="395"/>
      <c r="H190" s="396"/>
      <c r="I190" s="395"/>
      <c r="J190" s="397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74:C74"/>
    <mergeCell ref="A75:C75"/>
    <mergeCell ref="A76:C76"/>
    <mergeCell ref="A71:C71"/>
    <mergeCell ref="A72:B72"/>
    <mergeCell ref="A73:C73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96:C96"/>
    <mergeCell ref="A93:C93"/>
    <mergeCell ref="A94:C94"/>
    <mergeCell ref="A77:C77"/>
    <mergeCell ref="A79:C79"/>
    <mergeCell ref="A80:C80"/>
    <mergeCell ref="A81:C81"/>
    <mergeCell ref="A95:C95"/>
    <mergeCell ref="A78:C78"/>
    <mergeCell ref="A97:C97"/>
    <mergeCell ref="A98:C98"/>
    <mergeCell ref="A99:C99"/>
    <mergeCell ref="A100:C100"/>
    <mergeCell ref="A101:C101"/>
    <mergeCell ref="A121:C121"/>
    <mergeCell ref="A122:C122"/>
    <mergeCell ref="A124:C124"/>
    <mergeCell ref="A125:B125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03:C103"/>
    <mergeCell ref="A104:C104"/>
    <mergeCell ref="A105:C105"/>
    <mergeCell ref="A108:J108"/>
    <mergeCell ref="A110:J110"/>
    <mergeCell ref="A126:J126"/>
    <mergeCell ref="Q116:R116"/>
    <mergeCell ref="A117:C117"/>
    <mergeCell ref="Q117:R117"/>
    <mergeCell ref="A118:C118"/>
    <mergeCell ref="Q118:R118"/>
    <mergeCell ref="A119:C119"/>
    <mergeCell ref="A120:C120"/>
    <mergeCell ref="A134:C134"/>
    <mergeCell ref="A140:C140"/>
    <mergeCell ref="A141:C141"/>
    <mergeCell ref="A142:C142"/>
    <mergeCell ref="A160:J160"/>
    <mergeCell ref="A166:B166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135:B135"/>
    <mergeCell ref="A168:B168"/>
    <mergeCell ref="A167:B167"/>
    <mergeCell ref="A171:J171"/>
    <mergeCell ref="A172:B172"/>
    <mergeCell ref="A188:B188"/>
    <mergeCell ref="A189:B189"/>
    <mergeCell ref="A190:B190"/>
    <mergeCell ref="A180:B180"/>
    <mergeCell ref="A181:B181"/>
    <mergeCell ref="A185:B185"/>
    <mergeCell ref="A186:B186"/>
    <mergeCell ref="A187:B187"/>
    <mergeCell ref="A174:B174"/>
    <mergeCell ref="A176:B176"/>
    <mergeCell ref="A177:B177"/>
    <mergeCell ref="A178:B178"/>
    <mergeCell ref="A179:B179"/>
    <mergeCell ref="A184:B184"/>
    <mergeCell ref="A182:B182"/>
    <mergeCell ref="A183:B183"/>
    <mergeCell ref="A175:C175"/>
    <mergeCell ref="A173:B173"/>
  </mergeCells>
  <pageMargins left="0.22" right="0.17" top="0.14000000000000001" bottom="0.2" header="0.2" footer="0.2"/>
  <pageSetup paperSize="5" scale="21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R190"/>
  <sheetViews>
    <sheetView view="pageBreakPreview" topLeftCell="A130" zoomScale="55" zoomScaleNormal="55" zoomScaleSheetLayoutView="55" workbookViewId="0">
      <selection activeCell="F162" sqref="F162"/>
    </sheetView>
  </sheetViews>
  <sheetFormatPr defaultColWidth="22.33203125" defaultRowHeight="30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27.5546875" style="160" customWidth="1"/>
    <col min="6" max="6" width="25.77734375" style="160" customWidth="1"/>
    <col min="7" max="7" width="26.44140625" style="160" customWidth="1"/>
    <col min="8" max="8" width="29.77734375" style="161" customWidth="1"/>
    <col min="9" max="9" width="18.88671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>
      <c r="A1" s="919" t="s">
        <v>115</v>
      </c>
      <c r="B1" s="920"/>
      <c r="C1" s="920"/>
      <c r="D1" s="920"/>
      <c r="E1" s="920"/>
      <c r="F1" s="920"/>
      <c r="G1" s="920"/>
      <c r="H1" s="920"/>
      <c r="I1" s="920"/>
      <c r="J1" s="921"/>
    </row>
    <row r="2" spans="1:15" s="57" customFormat="1" ht="30.75" customHeight="1">
      <c r="A2" s="191" t="s">
        <v>373</v>
      </c>
      <c r="B2" s="262">
        <v>44956</v>
      </c>
      <c r="C2" s="348" t="s">
        <v>67</v>
      </c>
      <c r="D2" s="218">
        <v>0.5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>
      <c r="A3" s="189"/>
      <c r="B3" s="221"/>
      <c r="C3" s="348" t="s">
        <v>118</v>
      </c>
      <c r="D3" s="219">
        <v>28</v>
      </c>
      <c r="E3" s="928" t="s">
        <v>119</v>
      </c>
      <c r="F3" s="929"/>
      <c r="G3" s="101"/>
      <c r="H3" s="102"/>
      <c r="I3" s="102"/>
      <c r="J3" s="222"/>
      <c r="K3" s="61"/>
      <c r="L3" s="58"/>
    </row>
    <row r="4" spans="1:15" s="57" customFormat="1" ht="30.75" customHeight="1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>
      <c r="A6" s="922" t="s">
        <v>128</v>
      </c>
      <c r="B6" s="923"/>
      <c r="C6" s="92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>
      <c r="A7" s="194" t="s">
        <v>129</v>
      </c>
      <c r="B7" s="195"/>
      <c r="C7" s="195"/>
      <c r="D7" s="151" t="s">
        <v>130</v>
      </c>
      <c r="E7" s="95">
        <f>'29'!F7</f>
        <v>577428.9</v>
      </c>
      <c r="F7" s="95">
        <v>599225</v>
      </c>
      <c r="G7" s="112">
        <f>F7-E7</f>
        <v>21796.099999999977</v>
      </c>
      <c r="H7" s="99">
        <f>G7+'29'!H7</f>
        <v>621606</v>
      </c>
      <c r="I7" s="113">
        <f>'1'!I7</f>
        <v>12000</v>
      </c>
      <c r="J7" s="175">
        <f>H7/DAY(B2)</f>
        <v>20720.2</v>
      </c>
      <c r="K7" s="172">
        <v>1375467</v>
      </c>
      <c r="L7" s="66"/>
      <c r="N7" s="87"/>
      <c r="O7" s="71"/>
    </row>
    <row r="8" spans="1:15" ht="30.75" customHeight="1" thickBot="1">
      <c r="A8" s="196" t="s">
        <v>131</v>
      </c>
      <c r="B8" s="197"/>
      <c r="C8" s="198"/>
      <c r="D8" s="224" t="s">
        <v>24</v>
      </c>
      <c r="E8" s="114">
        <v>769775.3</v>
      </c>
      <c r="F8" s="114">
        <v>792104</v>
      </c>
      <c r="G8" s="112">
        <f>F8-E8</f>
        <v>22328.699999999953</v>
      </c>
      <c r="H8" s="99">
        <f>G8+'29'!H8</f>
        <v>634247</v>
      </c>
      <c r="I8" s="116"/>
      <c r="J8" s="175">
        <f>H8/DAY(B2)</f>
        <v>21141.566666666666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>
      <c r="A9" s="199" t="s">
        <v>132</v>
      </c>
      <c r="B9" s="200"/>
      <c r="C9" s="200"/>
      <c r="D9" s="151" t="s">
        <v>130</v>
      </c>
      <c r="E9" s="95">
        <f>'29'!F9</f>
        <v>4798621.5</v>
      </c>
      <c r="F9" s="468">
        <v>4810415.9000000004</v>
      </c>
      <c r="G9" s="357">
        <f>F9-E9</f>
        <v>11794.400000000373</v>
      </c>
      <c r="H9" s="99">
        <f>G9+'29'!H9</f>
        <v>393810</v>
      </c>
      <c r="I9" s="124">
        <f>I7-J7</f>
        <v>-8720.2000000000007</v>
      </c>
      <c r="J9" s="175">
        <f>H9/DAY(B2)</f>
        <v>13127</v>
      </c>
      <c r="K9" s="79">
        <f>K8-100</f>
        <v>1715817</v>
      </c>
      <c r="L9" s="66"/>
      <c r="N9" s="87"/>
      <c r="O9" s="71"/>
    </row>
    <row r="10" spans="1:15" ht="30.75" customHeight="1">
      <c r="A10" s="194" t="s">
        <v>133</v>
      </c>
      <c r="B10" s="195"/>
      <c r="C10" s="195"/>
      <c r="D10" s="151" t="s">
        <v>130</v>
      </c>
      <c r="E10" s="95">
        <f>'29'!F10</f>
        <v>4273007.5</v>
      </c>
      <c r="F10" s="353">
        <v>4282264</v>
      </c>
      <c r="G10" s="112">
        <f t="shared" ref="G10:G12" si="0">F10-E10</f>
        <v>9256.5</v>
      </c>
      <c r="H10" s="99">
        <f>G10+'29'!H10</f>
        <v>212227.70000000019</v>
      </c>
      <c r="I10" s="282"/>
      <c r="J10" s="175">
        <f>H10/DAY(B2)</f>
        <v>7074.2566666666726</v>
      </c>
      <c r="K10" s="79"/>
      <c r="L10" s="66"/>
      <c r="N10" s="87"/>
      <c r="O10" s="71"/>
    </row>
    <row r="11" spans="1:15" ht="30.75" customHeight="1">
      <c r="A11" s="194" t="s">
        <v>134</v>
      </c>
      <c r="B11" s="195"/>
      <c r="C11" s="195"/>
      <c r="D11" s="151" t="s">
        <v>130</v>
      </c>
      <c r="E11" s="95">
        <f>'29'!F11</f>
        <v>38700</v>
      </c>
      <c r="F11" s="95">
        <v>38700</v>
      </c>
      <c r="G11" s="112">
        <f t="shared" si="0"/>
        <v>0</v>
      </c>
      <c r="H11" s="99">
        <f>G11+'29'!H11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0.75" customHeight="1">
      <c r="A12" s="194" t="s">
        <v>135</v>
      </c>
      <c r="B12" s="195"/>
      <c r="C12" s="195"/>
      <c r="D12" s="151" t="s">
        <v>130</v>
      </c>
      <c r="E12" s="95">
        <f>'29'!F12</f>
        <v>40550</v>
      </c>
      <c r="F12" s="117">
        <v>40550</v>
      </c>
      <c r="G12" s="112">
        <f t="shared" si="0"/>
        <v>0</v>
      </c>
      <c r="H12" s="99">
        <f>G12+'29'!H12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21050.900000000373</v>
      </c>
      <c r="H13" s="99">
        <f>G13+'29'!H13</f>
        <v>606037.70000000019</v>
      </c>
      <c r="I13" s="120">
        <f>G7-G13</f>
        <v>745.19999999960419</v>
      </c>
      <c r="J13" s="175">
        <f>H13/DAY(B2)</f>
        <v>20201.256666666672</v>
      </c>
      <c r="K13" s="79"/>
      <c r="L13" s="66"/>
      <c r="N13" s="87"/>
      <c r="O13" s="71" t="s">
        <v>371</v>
      </c>
    </row>
    <row r="14" spans="1:15" ht="30.75" customHeight="1">
      <c r="A14" s="925" t="s">
        <v>137</v>
      </c>
      <c r="B14" s="926"/>
      <c r="C14" s="92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>
      <c r="A15" s="345" t="s">
        <v>138</v>
      </c>
      <c r="B15" s="205"/>
      <c r="C15" s="205"/>
      <c r="D15" s="151" t="s">
        <v>139</v>
      </c>
      <c r="E15" s="468">
        <v>2286258.1</v>
      </c>
      <c r="F15" s="468">
        <v>2287362.753</v>
      </c>
      <c r="G15" s="112">
        <f>(F15-E15)</f>
        <v>1104.6529999999329</v>
      </c>
      <c r="H15" s="99">
        <f>G15+'29'!H15</f>
        <v>34061.395000000019</v>
      </c>
      <c r="I15" s="113">
        <f>'1'!I15</f>
        <v>800</v>
      </c>
      <c r="J15" s="175">
        <f>H15/DAY(B2)</f>
        <v>1135.3798333333339</v>
      </c>
      <c r="K15" s="79"/>
      <c r="L15" s="66"/>
      <c r="N15" s="87"/>
      <c r="O15" s="71"/>
    </row>
    <row r="16" spans="1:15" ht="30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-335.37983333333386</v>
      </c>
      <c r="J16" s="176"/>
      <c r="K16" s="79"/>
      <c r="L16" s="66"/>
      <c r="N16" s="87"/>
      <c r="O16" s="71"/>
    </row>
    <row r="17" spans="1:15" ht="30.75" customHeight="1">
      <c r="A17" s="925" t="s">
        <v>140</v>
      </c>
      <c r="B17" s="926"/>
      <c r="C17" s="92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>
      <c r="A18" s="902" t="s">
        <v>141</v>
      </c>
      <c r="B18" s="903"/>
      <c r="C18" s="904"/>
      <c r="D18" s="151" t="s">
        <v>142</v>
      </c>
      <c r="E18" s="95">
        <f>'29'!F18</f>
        <v>25</v>
      </c>
      <c r="F18" s="122">
        <v>28</v>
      </c>
      <c r="G18" s="119">
        <f>F18*10</f>
        <v>280</v>
      </c>
      <c r="H18" s="99">
        <f>G18+'29'!H18</f>
        <v>6570</v>
      </c>
      <c r="I18" s="113">
        <f>'1'!I18</f>
        <v>65</v>
      </c>
      <c r="J18" s="175">
        <f>H18/DAY(B2)</f>
        <v>219</v>
      </c>
      <c r="K18" s="79"/>
      <c r="L18" s="66"/>
      <c r="N18" s="87"/>
      <c r="O18" s="71"/>
    </row>
    <row r="19" spans="1:15" ht="30.75" customHeight="1">
      <c r="A19" s="902" t="s">
        <v>69</v>
      </c>
      <c r="B19" s="903"/>
      <c r="C19" s="904"/>
      <c r="D19" s="151" t="s">
        <v>142</v>
      </c>
      <c r="E19" s="122">
        <v>171218</v>
      </c>
      <c r="F19" s="122">
        <v>171259</v>
      </c>
      <c r="G19" s="112">
        <f t="shared" ref="G19" si="1">F19-E19</f>
        <v>41</v>
      </c>
      <c r="H19" s="99">
        <f>G19+'29'!H19</f>
        <v>1694</v>
      </c>
      <c r="I19" s="335"/>
      <c r="J19" s="175">
        <f>H19/DAY(B2)</f>
        <v>56.466666666666669</v>
      </c>
      <c r="K19" s="79"/>
      <c r="L19" s="66"/>
      <c r="N19" s="87"/>
      <c r="O19" s="71"/>
    </row>
    <row r="20" spans="1:15" ht="30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321</v>
      </c>
      <c r="H20" s="99">
        <f>G20+'29'!H20</f>
        <v>8264</v>
      </c>
      <c r="I20" s="336">
        <f>I18-J20</f>
        <v>-210.46666666666664</v>
      </c>
      <c r="J20" s="175">
        <f>H20/DAY(B2)</f>
        <v>275.46666666666664</v>
      </c>
      <c r="K20" s="79"/>
      <c r="L20" s="66"/>
      <c r="N20" s="87"/>
      <c r="O20" s="71"/>
    </row>
    <row r="21" spans="1:15" ht="30.75" customHeight="1">
      <c r="A21" s="925" t="s">
        <v>144</v>
      </c>
      <c r="B21" s="926"/>
      <c r="C21" s="92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>
      <c r="A22" s="345" t="s">
        <v>145</v>
      </c>
      <c r="B22" s="205"/>
      <c r="C22" s="205"/>
      <c r="D22" s="151" t="s">
        <v>146</v>
      </c>
      <c r="E22" s="95">
        <f>'29'!F22</f>
        <v>2970</v>
      </c>
      <c r="F22" s="122">
        <v>2970</v>
      </c>
      <c r="G22" s="119">
        <f t="shared" ref="G22" si="2">(F22-E22)</f>
        <v>0</v>
      </c>
      <c r="H22" s="99">
        <f>G22+'29'!H22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>
      <c r="A23" s="345" t="s">
        <v>147</v>
      </c>
      <c r="B23" s="205"/>
      <c r="C23" s="205"/>
      <c r="D23" s="151" t="s">
        <v>146</v>
      </c>
      <c r="E23" s="95">
        <f>'29'!F23</f>
        <v>2000</v>
      </c>
      <c r="F23" s="122">
        <v>2000</v>
      </c>
      <c r="G23" s="119">
        <v>0</v>
      </c>
      <c r="H23" s="99">
        <f>G23+'29'!H23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>
      <c r="A24" s="206" t="s">
        <v>148</v>
      </c>
      <c r="B24" s="207"/>
      <c r="C24" s="207"/>
      <c r="D24" s="146" t="s">
        <v>146</v>
      </c>
      <c r="E24" s="95">
        <f>'29'!F24</f>
        <v>4970</v>
      </c>
      <c r="F24" s="128">
        <v>4970</v>
      </c>
      <c r="G24" s="119">
        <v>0</v>
      </c>
      <c r="H24" s="99">
        <f>G24+'29'!H24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>
      <c r="A25" s="930" t="s">
        <v>149</v>
      </c>
      <c r="B25" s="931"/>
      <c r="C25" s="93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>
      <c r="A27" s="208" t="s">
        <v>5</v>
      </c>
      <c r="B27" s="209"/>
      <c r="C27" s="210"/>
      <c r="D27" s="226" t="s">
        <v>24</v>
      </c>
      <c r="E27" s="135">
        <f>G8</f>
        <v>22328.699999999953</v>
      </c>
      <c r="F27" s="136">
        <v>9</v>
      </c>
      <c r="G27" s="137">
        <f>E27*F27</f>
        <v>200958.29999999958</v>
      </c>
      <c r="H27" s="99">
        <f>G27+'29'!H27</f>
        <v>5938377.2000000002</v>
      </c>
      <c r="I27" s="138"/>
      <c r="J27" s="175">
        <f>H27/DAY(B2)</f>
        <v>197945.90666666668</v>
      </c>
      <c r="K27" s="63"/>
      <c r="L27" s="89"/>
      <c r="N27" s="87"/>
      <c r="O27" s="71"/>
    </row>
    <row r="28" spans="1:15" s="88" customFormat="1" ht="30.75" customHeight="1">
      <c r="A28" s="208" t="s">
        <v>152</v>
      </c>
      <c r="B28" s="209"/>
      <c r="C28" s="210"/>
      <c r="D28" s="226" t="s">
        <v>153</v>
      </c>
      <c r="E28" s="139">
        <f>G15</f>
        <v>1104.6529999999329</v>
      </c>
      <c r="F28" s="136">
        <v>70</v>
      </c>
      <c r="G28" s="137">
        <f>E28*F28</f>
        <v>77325.709999995306</v>
      </c>
      <c r="H28" s="99">
        <f>G28+'29'!H28</f>
        <v>2345699.8600000003</v>
      </c>
      <c r="I28" s="140"/>
      <c r="J28" s="175">
        <f>H28/DAY(B2)</f>
        <v>78189.99533333334</v>
      </c>
      <c r="K28" s="63"/>
      <c r="L28" s="89"/>
      <c r="N28" s="87"/>
      <c r="O28" s="71"/>
    </row>
    <row r="29" spans="1:15" s="88" customFormat="1" ht="30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G29+'29'!H29</f>
        <v>6900</v>
      </c>
      <c r="I29" s="140"/>
      <c r="J29" s="175">
        <f>H29/DAY(B2)</f>
        <v>230</v>
      </c>
      <c r="K29" s="63"/>
      <c r="L29" s="89"/>
      <c r="N29" s="87"/>
      <c r="O29" s="71"/>
    </row>
    <row r="30" spans="1:15" s="88" customFormat="1" ht="30.75" customHeight="1">
      <c r="A30" s="208" t="s">
        <v>156</v>
      </c>
      <c r="B30" s="209"/>
      <c r="C30" s="210"/>
      <c r="D30" s="226" t="s">
        <v>157</v>
      </c>
      <c r="E30" s="141">
        <f>G19</f>
        <v>41</v>
      </c>
      <c r="F30" s="136">
        <v>151</v>
      </c>
      <c r="G30" s="137">
        <f>E30*F30</f>
        <v>6191</v>
      </c>
      <c r="H30" s="99">
        <f>G30+'29'!H30</f>
        <v>255794</v>
      </c>
      <c r="I30" s="140"/>
      <c r="J30" s="175">
        <f>H30/DAY(B2)</f>
        <v>8526.4666666666672</v>
      </c>
      <c r="K30" s="63"/>
      <c r="L30" s="89"/>
      <c r="N30" s="87"/>
      <c r="O30" s="71"/>
    </row>
    <row r="31" spans="1:15" s="88" customFormat="1" ht="30.75" customHeight="1">
      <c r="A31" s="208" t="s">
        <v>158</v>
      </c>
      <c r="B31" s="209"/>
      <c r="C31" s="210"/>
      <c r="D31" s="226" t="s">
        <v>142</v>
      </c>
      <c r="E31" s="141">
        <f>G18</f>
        <v>280</v>
      </c>
      <c r="F31" s="136">
        <v>80</v>
      </c>
      <c r="G31" s="137">
        <f>E31*F31</f>
        <v>22400</v>
      </c>
      <c r="H31" s="99">
        <f>G31+'29'!H31</f>
        <v>535800</v>
      </c>
      <c r="I31" s="140"/>
      <c r="J31" s="175">
        <f>H31/DAY(B2)</f>
        <v>17860</v>
      </c>
      <c r="K31" s="63"/>
      <c r="L31" s="89"/>
      <c r="N31" s="87"/>
      <c r="O31" s="71"/>
    </row>
    <row r="32" spans="1:15" s="88" customFormat="1" ht="30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306875.00999999489</v>
      </c>
      <c r="H32" s="99">
        <f>G32+'29'!H32</f>
        <v>9082571.0600000005</v>
      </c>
      <c r="I32" s="144"/>
      <c r="J32" s="175">
        <f>H32/DAY(B2)</f>
        <v>302752.36866666668</v>
      </c>
      <c r="K32" s="63"/>
      <c r="L32" s="89"/>
      <c r="N32" s="87"/>
      <c r="O32" s="71"/>
    </row>
    <row r="33" spans="1:15" ht="30.75" customHeight="1">
      <c r="A33" s="933" t="s">
        <v>331</v>
      </c>
      <c r="B33" s="934"/>
      <c r="C33" s="93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>
      <c r="A35" s="194" t="s">
        <v>161</v>
      </c>
      <c r="B35" s="195"/>
      <c r="C35" s="195"/>
      <c r="D35" s="151" t="s">
        <v>130</v>
      </c>
      <c r="E35" s="95">
        <f>'29'!F35</f>
        <v>524842.55000000005</v>
      </c>
      <c r="F35" s="145">
        <v>527307</v>
      </c>
      <c r="G35" s="112">
        <f t="shared" ref="G35:G46" si="3">F35-E35</f>
        <v>2464.4499999999534</v>
      </c>
      <c r="H35" s="99">
        <f>G35+'29'!H35</f>
        <v>72789.010000000009</v>
      </c>
      <c r="I35" s="95"/>
      <c r="J35" s="175">
        <f>H35/DAY(B2)</f>
        <v>2426.3003333333336</v>
      </c>
      <c r="K35" s="79"/>
      <c r="L35" s="66"/>
      <c r="N35" s="87"/>
      <c r="O35" s="71"/>
    </row>
    <row r="36" spans="1:15" ht="30.75" customHeight="1">
      <c r="A36" s="194" t="s">
        <v>162</v>
      </c>
      <c r="B36" s="195"/>
      <c r="C36" s="195"/>
      <c r="D36" s="151" t="s">
        <v>130</v>
      </c>
      <c r="E36" s="145">
        <v>379732.59</v>
      </c>
      <c r="F36" s="145">
        <v>380620.89</v>
      </c>
      <c r="G36" s="112">
        <f t="shared" si="3"/>
        <v>888.29999999998836</v>
      </c>
      <c r="H36" s="99">
        <f>G36+'29'!H36</f>
        <v>26531.989999999991</v>
      </c>
      <c r="I36" s="95"/>
      <c r="J36" s="175">
        <f>H36/DAY(B2)</f>
        <v>884.39966666666635</v>
      </c>
      <c r="K36" s="79"/>
      <c r="L36" s="66"/>
      <c r="N36" s="87"/>
      <c r="O36" s="344"/>
    </row>
    <row r="37" spans="1:15" ht="30.75" customHeight="1">
      <c r="A37" s="194" t="s">
        <v>163</v>
      </c>
      <c r="B37" s="195"/>
      <c r="C37" s="195"/>
      <c r="D37" s="151" t="s">
        <v>130</v>
      </c>
      <c r="E37" s="95">
        <f>'29'!F37</f>
        <v>380724.95</v>
      </c>
      <c r="F37" s="145">
        <v>382147.35</v>
      </c>
      <c r="G37" s="112">
        <f t="shared" si="3"/>
        <v>1422.3999999999651</v>
      </c>
      <c r="H37" s="99">
        <f>G37+'29'!H37</f>
        <v>43877.479999999981</v>
      </c>
      <c r="I37" s="95"/>
      <c r="J37" s="175">
        <f>H37/DAY(B2)</f>
        <v>1462.582666666666</v>
      </c>
      <c r="K37" s="79"/>
      <c r="L37" s="66"/>
      <c r="N37" s="87"/>
      <c r="O37" s="234"/>
    </row>
    <row r="38" spans="1:15" ht="30.75" customHeight="1">
      <c r="A38" s="194" t="s">
        <v>164</v>
      </c>
      <c r="B38" s="195"/>
      <c r="C38" s="195"/>
      <c r="D38" s="151" t="s">
        <v>130</v>
      </c>
      <c r="E38" s="95">
        <f>'29'!F38</f>
        <v>871703.03</v>
      </c>
      <c r="F38" s="108">
        <v>874436.48</v>
      </c>
      <c r="G38" s="112">
        <f t="shared" si="3"/>
        <v>2733.4499999999534</v>
      </c>
      <c r="H38" s="99">
        <f>G38+'29'!H38</f>
        <v>74759.13</v>
      </c>
      <c r="I38" s="95"/>
      <c r="J38" s="175">
        <f>H38/DAY(B2)</f>
        <v>2491.971</v>
      </c>
      <c r="K38" s="79"/>
      <c r="L38" s="66"/>
      <c r="N38" s="87"/>
      <c r="O38" s="71"/>
    </row>
    <row r="39" spans="1:15" ht="30.75" customHeight="1">
      <c r="A39" s="194" t="s">
        <v>165</v>
      </c>
      <c r="B39" s="195"/>
      <c r="C39" s="195"/>
      <c r="D39" s="151" t="s">
        <v>130</v>
      </c>
      <c r="E39" s="95">
        <f>'29'!F39</f>
        <v>700483.59</v>
      </c>
      <c r="F39" s="145">
        <v>703295.59</v>
      </c>
      <c r="G39" s="112">
        <f t="shared" si="3"/>
        <v>2812</v>
      </c>
      <c r="H39" s="99">
        <f>G39+'29'!H39</f>
        <v>83005.589999999967</v>
      </c>
      <c r="I39" s="95"/>
      <c r="J39" s="175">
        <f>H39/DAY(B2)</f>
        <v>2766.8529999999987</v>
      </c>
      <c r="K39" s="79"/>
      <c r="L39" s="66"/>
      <c r="N39" s="87"/>
      <c r="O39" s="71"/>
    </row>
    <row r="40" spans="1:15" ht="30.75" customHeight="1">
      <c r="A40" s="215" t="s">
        <v>166</v>
      </c>
      <c r="B40" s="216"/>
      <c r="C40" s="216"/>
      <c r="D40" s="151" t="s">
        <v>130</v>
      </c>
      <c r="E40" s="95">
        <f>'29'!F40</f>
        <v>217341.73</v>
      </c>
      <c r="F40" s="145">
        <v>217537.89</v>
      </c>
      <c r="G40" s="112">
        <f t="shared" si="3"/>
        <v>196.16000000000349</v>
      </c>
      <c r="H40" s="99">
        <f>G40+'29'!H40</f>
        <v>7851.5400000000081</v>
      </c>
      <c r="I40" s="95"/>
      <c r="J40" s="175">
        <f>H40/DAY(B2)</f>
        <v>261.71800000000025</v>
      </c>
      <c r="K40" s="80"/>
      <c r="L40" s="66"/>
      <c r="N40" s="87"/>
      <c r="O40" s="71"/>
    </row>
    <row r="41" spans="1:15" ht="30.75" customHeight="1">
      <c r="A41" s="194" t="s">
        <v>167</v>
      </c>
      <c r="B41" s="195"/>
      <c r="C41" s="195"/>
      <c r="D41" s="151" t="s">
        <v>130</v>
      </c>
      <c r="E41" s="95">
        <f>'29'!F41</f>
        <v>420212.5</v>
      </c>
      <c r="F41" s="145">
        <v>420212.5</v>
      </c>
      <c r="G41" s="112">
        <f t="shared" si="3"/>
        <v>0</v>
      </c>
      <c r="H41" s="99">
        <f>G41+'29'!H41</f>
        <v>-1.0000000009313226E-2</v>
      </c>
      <c r="I41" s="95"/>
      <c r="J41" s="175">
        <f>H41/DAY(B2)</f>
        <v>-3.3333333364377418E-4</v>
      </c>
      <c r="K41" s="79"/>
      <c r="L41" s="66"/>
      <c r="N41" s="87"/>
      <c r="O41" s="71"/>
    </row>
    <row r="42" spans="1:15" ht="30.75" customHeight="1">
      <c r="A42" s="194" t="s">
        <v>168</v>
      </c>
      <c r="B42" s="195"/>
      <c r="C42" s="195"/>
      <c r="D42" s="151" t="s">
        <v>130</v>
      </c>
      <c r="E42" s="95">
        <f>'29'!F42</f>
        <v>970677.43</v>
      </c>
      <c r="F42" s="145">
        <v>970677.43</v>
      </c>
      <c r="G42" s="112">
        <f t="shared" si="3"/>
        <v>0</v>
      </c>
      <c r="H42" s="99">
        <f>G42+'29'!H42</f>
        <v>49722.930000000051</v>
      </c>
      <c r="I42" s="95"/>
      <c r="J42" s="175">
        <f>H42/DAY(B2)</f>
        <v>1657.4310000000016</v>
      </c>
      <c r="K42" s="79"/>
      <c r="L42" s="66"/>
      <c r="N42" s="87"/>
      <c r="O42" s="71"/>
    </row>
    <row r="43" spans="1:15" ht="30.75" customHeight="1">
      <c r="A43" s="194" t="s">
        <v>169</v>
      </c>
      <c r="B43" s="195"/>
      <c r="C43" s="195"/>
      <c r="D43" s="151" t="s">
        <v>130</v>
      </c>
      <c r="E43" s="95">
        <f>'29'!F43</f>
        <v>422444</v>
      </c>
      <c r="F43" s="145">
        <v>422444</v>
      </c>
      <c r="G43" s="112">
        <f t="shared" si="3"/>
        <v>0</v>
      </c>
      <c r="H43" s="99">
        <f>G43+'29'!H43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30.75" customHeight="1">
      <c r="A44" s="194" t="s">
        <v>170</v>
      </c>
      <c r="B44" s="195"/>
      <c r="C44" s="195"/>
      <c r="D44" s="151" t="s">
        <v>130</v>
      </c>
      <c r="E44" s="95">
        <f>'29'!F44</f>
        <v>0</v>
      </c>
      <c r="F44" s="145">
        <v>0</v>
      </c>
      <c r="G44" s="112">
        <f t="shared" si="3"/>
        <v>0</v>
      </c>
      <c r="H44" s="99">
        <f>G44+'29'!H44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>
      <c r="A45" s="194" t="s">
        <v>171</v>
      </c>
      <c r="B45" s="195"/>
      <c r="C45" s="195"/>
      <c r="D45" s="151" t="s">
        <v>130</v>
      </c>
      <c r="E45" s="95">
        <f>'29'!F45</f>
        <v>0</v>
      </c>
      <c r="F45" s="145">
        <v>0</v>
      </c>
      <c r="G45" s="112">
        <f t="shared" si="3"/>
        <v>0</v>
      </c>
      <c r="H45" s="99">
        <f>G45+'29'!H45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>
      <c r="A46" s="194" t="s">
        <v>172</v>
      </c>
      <c r="B46" s="195"/>
      <c r="C46" s="195"/>
      <c r="D46" s="151" t="s">
        <v>130</v>
      </c>
      <c r="E46" s="95">
        <f>'29'!F46</f>
        <v>0</v>
      </c>
      <c r="F46" s="145">
        <v>0</v>
      </c>
      <c r="G46" s="112">
        <f t="shared" si="3"/>
        <v>0</v>
      </c>
      <c r="H46" s="99">
        <f>G46+'29'!H46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10516.759999999864</v>
      </c>
      <c r="H47" s="99">
        <f>G47+'29'!H47</f>
        <v>358537.66000000003</v>
      </c>
      <c r="I47" s="95"/>
      <c r="J47" s="175">
        <f>H47/DAY(B2)</f>
        <v>11951.255333333334</v>
      </c>
      <c r="K47" s="79"/>
      <c r="L47" s="66"/>
      <c r="N47" s="87"/>
      <c r="O47" s="71"/>
    </row>
    <row r="48" spans="1:15" ht="30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>
      <c r="A49" s="194" t="s">
        <v>161</v>
      </c>
      <c r="B49" s="217"/>
      <c r="C49" s="217"/>
      <c r="D49" s="151" t="s">
        <v>130</v>
      </c>
      <c r="E49" s="95">
        <f>'29'!F49</f>
        <v>821817.91</v>
      </c>
      <c r="F49" s="145">
        <v>822337.11</v>
      </c>
      <c r="G49" s="112">
        <f t="shared" ref="G49:G58" si="4">F49-E49</f>
        <v>519.19999999995343</v>
      </c>
      <c r="H49" s="99">
        <f>G49+'29'!H49</f>
        <v>15832.959999999963</v>
      </c>
      <c r="I49" s="95"/>
      <c r="J49" s="175">
        <f>H49/DAY(B2)</f>
        <v>527.76533333333214</v>
      </c>
      <c r="K49" s="79"/>
      <c r="L49" s="66"/>
      <c r="N49" s="87"/>
      <c r="O49" s="71"/>
    </row>
    <row r="50" spans="1:15" ht="30.75" customHeight="1">
      <c r="A50" s="194" t="s">
        <v>175</v>
      </c>
      <c r="B50" s="217"/>
      <c r="C50" s="217"/>
      <c r="D50" s="151" t="s">
        <v>130</v>
      </c>
      <c r="E50" s="95">
        <f>'29'!F50</f>
        <v>539313.59</v>
      </c>
      <c r="F50" s="145">
        <v>540459.82999999996</v>
      </c>
      <c r="G50" s="112">
        <f t="shared" si="4"/>
        <v>1146.2399999999907</v>
      </c>
      <c r="H50" s="99">
        <f>G50+'29'!H50</f>
        <v>39306.829999999958</v>
      </c>
      <c r="I50" s="95"/>
      <c r="J50" s="175">
        <f>H50/DAY(B2)</f>
        <v>1310.2276666666653</v>
      </c>
      <c r="K50" s="79"/>
      <c r="L50" s="66"/>
      <c r="N50" s="87"/>
      <c r="O50" s="71"/>
    </row>
    <row r="51" spans="1:15" ht="30.75" customHeight="1">
      <c r="A51" s="194" t="s">
        <v>163</v>
      </c>
      <c r="B51" s="217"/>
      <c r="C51" s="217"/>
      <c r="D51" s="151" t="s">
        <v>130</v>
      </c>
      <c r="E51" s="95">
        <f>'29'!F51</f>
        <v>156958.44</v>
      </c>
      <c r="F51" s="145">
        <v>156958</v>
      </c>
      <c r="G51" s="112">
        <f t="shared" si="4"/>
        <v>-0.44000000000232831</v>
      </c>
      <c r="H51" s="99">
        <f>G51+'29'!H51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>
      <c r="A52" s="194" t="s">
        <v>176</v>
      </c>
      <c r="B52" s="217"/>
      <c r="C52" s="217"/>
      <c r="D52" s="151" t="s">
        <v>130</v>
      </c>
      <c r="E52" s="95">
        <f>'29'!F52</f>
        <v>1457</v>
      </c>
      <c r="F52" s="145">
        <v>1457.43</v>
      </c>
      <c r="G52" s="112">
        <f t="shared" si="4"/>
        <v>0.43000000000006366</v>
      </c>
      <c r="H52" s="99">
        <f>G52+'29'!H52</f>
        <v>1447.43</v>
      </c>
      <c r="I52" s="95"/>
      <c r="J52" s="175">
        <f>H52/DAY(B2)</f>
        <v>48.247666666666667</v>
      </c>
      <c r="K52" s="79"/>
      <c r="L52" s="66"/>
      <c r="N52" s="87"/>
      <c r="O52" s="71"/>
    </row>
    <row r="53" spans="1:15" ht="30.75" customHeight="1">
      <c r="A53" s="194" t="s">
        <v>165</v>
      </c>
      <c r="B53" s="217"/>
      <c r="C53" s="217"/>
      <c r="D53" s="151" t="s">
        <v>130</v>
      </c>
      <c r="E53" s="95">
        <f>'29'!F53</f>
        <v>630355</v>
      </c>
      <c r="F53" s="418">
        <v>630355</v>
      </c>
      <c r="G53" s="112">
        <f t="shared" si="4"/>
        <v>0</v>
      </c>
      <c r="H53" s="99">
        <f>G53+'29'!H53</f>
        <v>-3.0000000027939677E-2</v>
      </c>
      <c r="I53" s="95"/>
      <c r="J53" s="175">
        <f>H53/DAY(B2)</f>
        <v>-1.0000000009313225E-3</v>
      </c>
      <c r="K53" s="79"/>
      <c r="L53" s="66"/>
      <c r="N53" s="87"/>
      <c r="O53" s="71"/>
    </row>
    <row r="54" spans="1:15" ht="30.75" customHeight="1">
      <c r="A54" s="194" t="s">
        <v>177</v>
      </c>
      <c r="B54" s="217"/>
      <c r="C54" s="217"/>
      <c r="D54" s="151" t="s">
        <v>130</v>
      </c>
      <c r="E54" s="95">
        <f>'29'!F54</f>
        <v>123528.57</v>
      </c>
      <c r="F54" s="418">
        <v>123806.69</v>
      </c>
      <c r="G54" s="112">
        <f t="shared" si="4"/>
        <v>278.11999999999534</v>
      </c>
      <c r="H54" s="99">
        <f>G54+'29'!H54</f>
        <v>9209.5599999999977</v>
      </c>
      <c r="I54" s="95"/>
      <c r="J54" s="175">
        <f>H54/DAY(B2)</f>
        <v>306.98533333333324</v>
      </c>
      <c r="K54" s="79"/>
      <c r="L54" s="66"/>
      <c r="N54" s="87"/>
      <c r="O54" s="71"/>
    </row>
    <row r="55" spans="1:15" ht="30.75" customHeight="1">
      <c r="A55" s="194" t="s">
        <v>178</v>
      </c>
      <c r="B55" s="217"/>
      <c r="C55" s="217"/>
      <c r="D55" s="151" t="s">
        <v>130</v>
      </c>
      <c r="E55" s="95">
        <f>'29'!F55</f>
        <v>594304.75</v>
      </c>
      <c r="F55" s="418">
        <v>594304.75</v>
      </c>
      <c r="G55" s="112">
        <f t="shared" si="4"/>
        <v>0</v>
      </c>
      <c r="H55" s="99">
        <f>G55+'29'!H55</f>
        <v>17969.119999999995</v>
      </c>
      <c r="I55" s="95"/>
      <c r="J55" s="175">
        <f>H55/DAY(B2)</f>
        <v>598.97066666666649</v>
      </c>
      <c r="K55" s="79"/>
      <c r="L55" s="66"/>
      <c r="N55" s="87"/>
      <c r="O55" s="71"/>
    </row>
    <row r="56" spans="1:15" ht="30.75" customHeight="1">
      <c r="A56" s="194" t="s">
        <v>179</v>
      </c>
      <c r="B56" s="217"/>
      <c r="C56" s="217"/>
      <c r="D56" s="151" t="s">
        <v>180</v>
      </c>
      <c r="E56" s="95">
        <f>'29'!F56</f>
        <v>367606.79</v>
      </c>
      <c r="F56" s="418">
        <v>370876.51</v>
      </c>
      <c r="G56" s="112">
        <f t="shared" si="4"/>
        <v>3269.7200000000303</v>
      </c>
      <c r="H56" s="99">
        <f>G56+'29'!H56</f>
        <v>35650.299999999988</v>
      </c>
      <c r="I56" s="95"/>
      <c r="J56" s="175">
        <f>H56/DAY(B2)</f>
        <v>1188.343333333333</v>
      </c>
      <c r="K56" s="78"/>
      <c r="L56" s="66"/>
      <c r="N56" s="87"/>
      <c r="O56" s="71"/>
    </row>
    <row r="57" spans="1:15" ht="30.75" customHeight="1">
      <c r="A57" s="194" t="s">
        <v>169</v>
      </c>
      <c r="B57" s="217"/>
      <c r="C57" s="217"/>
      <c r="D57" s="151" t="s">
        <v>130</v>
      </c>
      <c r="E57" s="95">
        <f>'29'!F57</f>
        <v>702665.59</v>
      </c>
      <c r="F57" s="418">
        <v>705108.31</v>
      </c>
      <c r="G57" s="112">
        <f t="shared" si="4"/>
        <v>2442.7200000000885</v>
      </c>
      <c r="H57" s="99">
        <f>G57+'29'!H57</f>
        <v>74275.310000000056</v>
      </c>
      <c r="I57" s="95"/>
      <c r="J57" s="175">
        <f>H57/DAY(B2)</f>
        <v>2475.8436666666685</v>
      </c>
      <c r="K57" s="79"/>
      <c r="L57" s="66"/>
      <c r="N57" s="87"/>
      <c r="O57" s="71"/>
    </row>
    <row r="58" spans="1:15" ht="30.75" customHeight="1">
      <c r="A58" s="194" t="s">
        <v>181</v>
      </c>
      <c r="B58" s="217"/>
      <c r="C58" s="217"/>
      <c r="D58" s="151" t="s">
        <v>130</v>
      </c>
      <c r="E58" s="95">
        <f>'29'!F58</f>
        <v>94024</v>
      </c>
      <c r="F58" s="418">
        <v>94292</v>
      </c>
      <c r="G58" s="112">
        <f t="shared" si="4"/>
        <v>268</v>
      </c>
      <c r="H58" s="99">
        <f>G58+'29'!H58</f>
        <v>7731.5010000000038</v>
      </c>
      <c r="I58" s="95"/>
      <c r="J58" s="175">
        <f>H58/DAY(B2)</f>
        <v>257.71670000000012</v>
      </c>
      <c r="K58" s="79"/>
      <c r="L58" s="66"/>
      <c r="N58" s="87"/>
      <c r="O58" s="71"/>
    </row>
    <row r="59" spans="1:15" ht="30.75" customHeight="1">
      <c r="A59" s="201" t="s">
        <v>173</v>
      </c>
      <c r="B59" s="202"/>
      <c r="C59" s="202"/>
      <c r="D59" s="146"/>
      <c r="E59" s="146"/>
      <c r="F59" s="227"/>
      <c r="G59" s="119">
        <f>G49+G50+G51+G52+G53+G54+G55+G56+G57+G58</f>
        <v>7923.9900000000562</v>
      </c>
      <c r="H59" s="99">
        <f>G59+'29'!H59</f>
        <v>201422.98099999994</v>
      </c>
      <c r="I59" s="95">
        <f>G7-G60</f>
        <v>3355.3500000000568</v>
      </c>
      <c r="J59" s="175">
        <f>H59/DAY(B2)</f>
        <v>6714.0993666666645</v>
      </c>
      <c r="K59" s="79"/>
      <c r="L59" s="66"/>
      <c r="N59" s="87"/>
      <c r="O59" s="71"/>
    </row>
    <row r="60" spans="1:15" ht="30.75" customHeight="1">
      <c r="A60" s="194"/>
      <c r="B60" s="195"/>
      <c r="C60" s="195"/>
      <c r="D60" s="146" t="s">
        <v>182</v>
      </c>
      <c r="E60" s="146"/>
      <c r="F60" s="227"/>
      <c r="G60" s="119">
        <f>G47+G59</f>
        <v>18440.74999999992</v>
      </c>
      <c r="H60" s="99">
        <f>G60+'29'!H60</f>
        <v>559960.64099999983</v>
      </c>
      <c r="I60" s="95">
        <f>G13-G60</f>
        <v>2610.1500000004526</v>
      </c>
      <c r="J60" s="175">
        <f>H60/DAY(B2)</f>
        <v>18665.354699999993</v>
      </c>
      <c r="K60" s="79"/>
      <c r="L60" s="66"/>
      <c r="N60" s="87"/>
      <c r="O60" s="71"/>
    </row>
    <row r="61" spans="1:15" s="68" customFormat="1" ht="30.75" customHeight="1">
      <c r="A61" s="935" t="s">
        <v>332</v>
      </c>
      <c r="B61" s="936"/>
      <c r="C61" s="937"/>
      <c r="D61" s="339"/>
      <c r="E61" s="339"/>
      <c r="F61" s="340"/>
      <c r="G61" s="340" t="s">
        <v>207</v>
      </c>
      <c r="H61" s="339"/>
      <c r="I61" s="339"/>
      <c r="J61" s="341"/>
      <c r="K61" s="69"/>
      <c r="L61" s="67"/>
      <c r="N61" s="87"/>
      <c r="O61" s="71"/>
    </row>
    <row r="62" spans="1:15" ht="30.75" customHeight="1">
      <c r="A62" s="902" t="s">
        <v>198</v>
      </c>
      <c r="B62" s="903"/>
      <c r="C62" s="904"/>
      <c r="D62" s="151" t="s">
        <v>142</v>
      </c>
      <c r="E62" s="95">
        <f>'29'!F62</f>
        <v>315403</v>
      </c>
      <c r="F62" s="150">
        <v>315512</v>
      </c>
      <c r="G62" s="112">
        <f t="shared" ref="G62:G63" si="5">F62-E62</f>
        <v>109</v>
      </c>
      <c r="H62" s="99">
        <f>G62+'29'!H62</f>
        <v>3412</v>
      </c>
      <c r="I62" s="118"/>
      <c r="J62" s="175">
        <f>H62/DAY(B2)</f>
        <v>113.73333333333333</v>
      </c>
      <c r="K62" s="80"/>
      <c r="L62" s="66"/>
      <c r="N62" s="87"/>
      <c r="O62" s="71"/>
    </row>
    <row r="63" spans="1:15" ht="30.75" customHeight="1">
      <c r="A63" s="902" t="s">
        <v>199</v>
      </c>
      <c r="B63" s="903"/>
      <c r="C63" s="904"/>
      <c r="D63" s="151" t="s">
        <v>142</v>
      </c>
      <c r="E63" s="95">
        <f>'29'!F63</f>
        <v>252094</v>
      </c>
      <c r="F63" s="150">
        <v>252234</v>
      </c>
      <c r="G63" s="112">
        <f t="shared" si="5"/>
        <v>140</v>
      </c>
      <c r="H63" s="99">
        <f>G63+'29'!H63</f>
        <v>3199</v>
      </c>
      <c r="I63" s="118"/>
      <c r="J63" s="175">
        <f>H63/DAY(B2)</f>
        <v>106.63333333333334</v>
      </c>
      <c r="K63" s="69"/>
      <c r="L63" s="66"/>
      <c r="N63" s="87"/>
      <c r="O63" s="71"/>
    </row>
    <row r="64" spans="1:15" ht="30.75" customHeight="1">
      <c r="A64" s="911" t="s">
        <v>200</v>
      </c>
      <c r="B64" s="912"/>
      <c r="C64" s="913"/>
      <c r="D64" s="151"/>
      <c r="E64" s="95">
        <f>'29'!F64</f>
        <v>0</v>
      </c>
      <c r="F64" s="150"/>
      <c r="G64" s="112">
        <f>G62+G63</f>
        <v>249</v>
      </c>
      <c r="H64" s="99">
        <f>G64+'29'!H64</f>
        <v>6611</v>
      </c>
      <c r="I64" s="118"/>
      <c r="J64" s="175">
        <f>H64/DAY(B2)</f>
        <v>220.36666666666667</v>
      </c>
      <c r="K64" s="69"/>
      <c r="L64" s="66"/>
      <c r="N64" s="87"/>
      <c r="O64" s="71"/>
    </row>
    <row r="65" spans="1:15" ht="30.75" customHeight="1">
      <c r="A65" s="902" t="s">
        <v>201</v>
      </c>
      <c r="B65" s="903"/>
      <c r="C65" s="904"/>
      <c r="D65" s="151" t="s">
        <v>142</v>
      </c>
      <c r="E65" s="95">
        <f>'29'!F65</f>
        <v>475657</v>
      </c>
      <c r="F65" s="150">
        <v>475766</v>
      </c>
      <c r="G65" s="112">
        <f t="shared" ref="G65:G70" si="6">F65-E65</f>
        <v>109</v>
      </c>
      <c r="H65" s="99">
        <f>G65+'29'!H65</f>
        <v>3736</v>
      </c>
      <c r="I65" s="118"/>
      <c r="J65" s="175">
        <f>H65/DAY(B2)</f>
        <v>124.53333333333333</v>
      </c>
      <c r="K65" s="69"/>
      <c r="L65" s="66"/>
      <c r="N65" s="87"/>
      <c r="O65" s="71"/>
    </row>
    <row r="66" spans="1:15" ht="30.75" customHeight="1">
      <c r="A66" s="345" t="s">
        <v>202</v>
      </c>
      <c r="B66" s="346"/>
      <c r="C66" s="346"/>
      <c r="D66" s="151" t="s">
        <v>142</v>
      </c>
      <c r="E66" s="95">
        <f>'29'!F66</f>
        <v>114388</v>
      </c>
      <c r="F66" s="150">
        <v>114426</v>
      </c>
      <c r="G66" s="112">
        <f t="shared" si="6"/>
        <v>38</v>
      </c>
      <c r="H66" s="99">
        <f>G66+'29'!H66</f>
        <v>1704</v>
      </c>
      <c r="I66" s="118"/>
      <c r="J66" s="175">
        <f>H66/DAY(B2)</f>
        <v>56.8</v>
      </c>
      <c r="K66" s="78"/>
      <c r="L66" s="66"/>
      <c r="N66" s="87"/>
      <c r="O66" s="71"/>
    </row>
    <row r="67" spans="1:15" ht="30.75" customHeight="1">
      <c r="A67" s="345" t="s">
        <v>203</v>
      </c>
      <c r="B67" s="346"/>
      <c r="C67" s="346"/>
      <c r="D67" s="151" t="s">
        <v>142</v>
      </c>
      <c r="E67" s="95">
        <f>'29'!F67</f>
        <v>117232</v>
      </c>
      <c r="F67" s="150">
        <v>117260</v>
      </c>
      <c r="G67" s="112">
        <f t="shared" si="6"/>
        <v>28</v>
      </c>
      <c r="H67" s="99">
        <f>G67+'29'!H67</f>
        <v>693</v>
      </c>
      <c r="I67" s="118"/>
      <c r="J67" s="175">
        <f>H67/DAY(B2)</f>
        <v>23.1</v>
      </c>
      <c r="K67" s="81"/>
      <c r="L67" s="66"/>
      <c r="N67" s="87"/>
      <c r="O67" s="71"/>
    </row>
    <row r="68" spans="1:15" ht="30.75" customHeight="1">
      <c r="A68" s="345" t="s">
        <v>204</v>
      </c>
      <c r="B68" s="346"/>
      <c r="C68" s="346"/>
      <c r="D68" s="151" t="s">
        <v>142</v>
      </c>
      <c r="E68" s="95">
        <f>'29'!F68</f>
        <v>169912</v>
      </c>
      <c r="F68" s="150">
        <v>169923</v>
      </c>
      <c r="G68" s="112">
        <f t="shared" si="6"/>
        <v>11</v>
      </c>
      <c r="H68" s="99">
        <f>G68+'29'!H68</f>
        <v>564</v>
      </c>
      <c r="I68" s="118"/>
      <c r="J68" s="175">
        <f>H68/DAY(B2)</f>
        <v>18.8</v>
      </c>
      <c r="K68" s="69"/>
      <c r="L68" s="66"/>
      <c r="N68" s="87"/>
      <c r="O68" s="71"/>
    </row>
    <row r="69" spans="1:15" ht="30.75" customHeight="1">
      <c r="A69" s="345" t="s">
        <v>205</v>
      </c>
      <c r="B69" s="346"/>
      <c r="C69" s="346"/>
      <c r="D69" s="151" t="s">
        <v>142</v>
      </c>
      <c r="E69" s="95">
        <f>'29'!F69</f>
        <v>13229</v>
      </c>
      <c r="F69" s="150">
        <v>13239</v>
      </c>
      <c r="G69" s="112">
        <f t="shared" si="6"/>
        <v>10</v>
      </c>
      <c r="H69" s="99">
        <f>G69+'29'!H69</f>
        <v>273</v>
      </c>
      <c r="I69" s="118"/>
      <c r="J69" s="175">
        <f>H69/DAY(B2)</f>
        <v>9.1</v>
      </c>
      <c r="K69" s="69"/>
      <c r="L69" s="66"/>
      <c r="N69" s="87"/>
      <c r="O69" s="71"/>
    </row>
    <row r="70" spans="1:15" ht="30.75" customHeight="1">
      <c r="A70" s="345" t="s">
        <v>206</v>
      </c>
      <c r="B70" s="346"/>
      <c r="C70" s="346"/>
      <c r="D70" s="151" t="s">
        <v>142</v>
      </c>
      <c r="E70" s="95">
        <f>'29'!F70</f>
        <v>11238</v>
      </c>
      <c r="F70" s="150">
        <v>11249</v>
      </c>
      <c r="G70" s="112">
        <f t="shared" si="6"/>
        <v>11</v>
      </c>
      <c r="H70" s="99">
        <f>G70+'29'!H70</f>
        <v>233</v>
      </c>
      <c r="I70" s="118"/>
      <c r="J70" s="175">
        <f>H70/DAY(B2)</f>
        <v>7.7666666666666666</v>
      </c>
      <c r="K70" s="69"/>
      <c r="L70" s="66"/>
      <c r="N70" s="87"/>
      <c r="O70" s="71"/>
    </row>
    <row r="71" spans="1:15" ht="30.75" customHeight="1">
      <c r="A71" s="911" t="s">
        <v>208</v>
      </c>
      <c r="B71" s="912"/>
      <c r="C71" s="913"/>
      <c r="D71" s="152"/>
      <c r="E71" s="152"/>
      <c r="F71" s="152"/>
      <c r="G71" s="153">
        <f>SUM(G65:G70)</f>
        <v>207</v>
      </c>
      <c r="H71" s="99">
        <f>G71+'29'!H71</f>
        <v>7203</v>
      </c>
      <c r="I71" s="154"/>
      <c r="J71" s="175">
        <f>H71/DAY(B2)</f>
        <v>240.1</v>
      </c>
      <c r="K71" s="69"/>
      <c r="L71" s="66"/>
      <c r="N71" s="87"/>
      <c r="O71" s="71"/>
    </row>
    <row r="72" spans="1:15" s="88" customFormat="1" ht="30.75" customHeight="1">
      <c r="A72" s="898"/>
      <c r="B72" s="88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>
      <c r="A73" s="908" t="s">
        <v>333</v>
      </c>
      <c r="B73" s="909"/>
      <c r="C73" s="910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>
      <c r="A74" s="902" t="s">
        <v>220</v>
      </c>
      <c r="B74" s="903"/>
      <c r="C74" s="904"/>
      <c r="D74" s="151" t="s">
        <v>139</v>
      </c>
      <c r="E74" s="95">
        <f>'29'!F74</f>
        <v>11662.9</v>
      </c>
      <c r="F74" s="123">
        <v>11928</v>
      </c>
      <c r="G74" s="112">
        <f t="shared" ref="G74:G78" si="7">F74-E74</f>
        <v>265.10000000000036</v>
      </c>
      <c r="H74" s="99">
        <f>G74+'29'!H74</f>
        <v>5739</v>
      </c>
      <c r="I74" s="154"/>
      <c r="J74" s="175">
        <f>H74/DAY(B2)</f>
        <v>191.3</v>
      </c>
      <c r="K74" s="69"/>
      <c r="L74" s="66"/>
      <c r="N74" s="87"/>
      <c r="O74" s="71"/>
    </row>
    <row r="75" spans="1:15" ht="30.75" customHeight="1">
      <c r="A75" s="902" t="s">
        <v>221</v>
      </c>
      <c r="B75" s="903"/>
      <c r="C75" s="904"/>
      <c r="D75" s="151" t="s">
        <v>139</v>
      </c>
      <c r="E75" s="95">
        <f>'29'!F75</f>
        <v>73586.8</v>
      </c>
      <c r="F75" s="123">
        <v>73586.8</v>
      </c>
      <c r="G75" s="112">
        <f t="shared" si="7"/>
        <v>0</v>
      </c>
      <c r="H75" s="99">
        <f>G75+'29'!H75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>
      <c r="A76" s="899" t="s">
        <v>222</v>
      </c>
      <c r="B76" s="900"/>
      <c r="C76" s="901"/>
      <c r="D76" s="151" t="s">
        <v>139</v>
      </c>
      <c r="E76" s="95">
        <f>'29'!F76</f>
        <v>210450</v>
      </c>
      <c r="F76" s="123">
        <v>210560</v>
      </c>
      <c r="G76" s="112">
        <f t="shared" si="7"/>
        <v>110</v>
      </c>
      <c r="H76" s="99">
        <f>G76+'29'!H76</f>
        <v>3183</v>
      </c>
      <c r="I76" s="154"/>
      <c r="J76" s="175">
        <f>H76/DAY(B2)</f>
        <v>106.1</v>
      </c>
      <c r="K76" s="69"/>
      <c r="L76" s="66"/>
      <c r="N76" s="87"/>
      <c r="O76" s="71"/>
    </row>
    <row r="77" spans="1:15" ht="30.75" customHeight="1">
      <c r="A77" s="899" t="s">
        <v>223</v>
      </c>
      <c r="B77" s="900"/>
      <c r="C77" s="901"/>
      <c r="D77" s="151" t="s">
        <v>139</v>
      </c>
      <c r="E77" s="95">
        <f>'29'!F77</f>
        <v>59644.4</v>
      </c>
      <c r="F77" s="123">
        <v>59702</v>
      </c>
      <c r="G77" s="112">
        <f t="shared" si="7"/>
        <v>57.599999999998545</v>
      </c>
      <c r="H77" s="99">
        <f>G77+'29'!H77</f>
        <v>1550</v>
      </c>
      <c r="I77" s="154"/>
      <c r="J77" s="175">
        <f>H77/DAY(B2)</f>
        <v>51.666666666666664</v>
      </c>
      <c r="K77" s="69"/>
      <c r="L77" s="66"/>
      <c r="N77" s="87"/>
      <c r="O77" s="71"/>
    </row>
    <row r="78" spans="1:15" ht="30.75" customHeight="1">
      <c r="A78" s="899" t="s">
        <v>224</v>
      </c>
      <c r="B78" s="900"/>
      <c r="C78" s="901"/>
      <c r="D78" s="151" t="s">
        <v>139</v>
      </c>
      <c r="E78" s="95">
        <f>'29'!F78</f>
        <v>9564</v>
      </c>
      <c r="F78" s="123">
        <v>9564</v>
      </c>
      <c r="G78" s="112">
        <f t="shared" si="7"/>
        <v>0</v>
      </c>
      <c r="H78" s="99">
        <f>G78+'29'!H78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30.75" customHeight="1">
      <c r="A79" s="899" t="s">
        <v>225</v>
      </c>
      <c r="B79" s="900"/>
      <c r="C79" s="901"/>
      <c r="D79" s="151"/>
      <c r="E79" s="95">
        <f>'29'!F79</f>
        <v>0</v>
      </c>
      <c r="F79" s="117"/>
      <c r="G79" s="112">
        <f>G15-SUM(G74:G78)</f>
        <v>671.95299999993404</v>
      </c>
      <c r="H79" s="99">
        <f>G79+'29'!H79</f>
        <v>-970462.60499999975</v>
      </c>
      <c r="I79" s="118"/>
      <c r="J79" s="175"/>
      <c r="K79" s="59"/>
      <c r="L79" s="58"/>
      <c r="N79" s="87"/>
      <c r="O79" s="71"/>
    </row>
    <row r="80" spans="1:15" s="57" customFormat="1" ht="30.75" customHeight="1">
      <c r="A80" s="911" t="s">
        <v>329</v>
      </c>
      <c r="B80" s="912"/>
      <c r="C80" s="913"/>
      <c r="D80" s="151"/>
      <c r="E80" s="117"/>
      <c r="F80" s="117"/>
      <c r="G80" s="112">
        <f>SUM(G74:G79)</f>
        <v>1104.6529999999329</v>
      </c>
      <c r="H80" s="99"/>
      <c r="I80" s="118"/>
      <c r="J80" s="175"/>
      <c r="K80" s="59"/>
      <c r="L80" s="58"/>
      <c r="N80" s="87"/>
      <c r="O80" s="71"/>
    </row>
    <row r="81" spans="1:15" ht="30.75" customHeight="1">
      <c r="A81" s="915" t="s">
        <v>226</v>
      </c>
      <c r="B81" s="916"/>
      <c r="C81" s="917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>
      <c r="A82" s="345" t="s">
        <v>227</v>
      </c>
      <c r="B82" s="346"/>
      <c r="C82" s="346"/>
      <c r="D82" s="151" t="s">
        <v>228</v>
      </c>
      <c r="E82" s="95">
        <f>'29'!F82</f>
        <v>0</v>
      </c>
      <c r="F82" s="122">
        <v>0</v>
      </c>
      <c r="G82" s="112">
        <f t="shared" ref="G82:G92" si="8">F82-E82</f>
        <v>0</v>
      </c>
      <c r="H82" s="99">
        <f>G82+'29'!H82</f>
        <v>0</v>
      </c>
      <c r="I82" s="545"/>
      <c r="J82" s="175">
        <f>H82/DAY(B2)</f>
        <v>0</v>
      </c>
      <c r="O82" s="71"/>
    </row>
    <row r="83" spans="1:15" ht="30.75" customHeight="1">
      <c r="A83" s="345" t="s">
        <v>229</v>
      </c>
      <c r="B83" s="346"/>
      <c r="C83" s="346"/>
      <c r="D83" s="151" t="s">
        <v>228</v>
      </c>
      <c r="E83" s="95">
        <f>'29'!F83</f>
        <v>0</v>
      </c>
      <c r="F83" s="122">
        <v>0</v>
      </c>
      <c r="G83" s="112">
        <f t="shared" si="8"/>
        <v>0</v>
      </c>
      <c r="H83" s="99">
        <f>G83+'29'!H83</f>
        <v>0</v>
      </c>
      <c r="I83" s="545"/>
      <c r="J83" s="175">
        <f>H83/DAY(B2)</f>
        <v>0</v>
      </c>
      <c r="O83" s="71"/>
    </row>
    <row r="84" spans="1:15" ht="30.75" customHeight="1">
      <c r="A84" s="345" t="s">
        <v>230</v>
      </c>
      <c r="B84" s="346"/>
      <c r="C84" s="346"/>
      <c r="D84" s="151" t="s">
        <v>228</v>
      </c>
      <c r="E84" s="95">
        <f>'29'!F84</f>
        <v>43546</v>
      </c>
      <c r="F84" s="164">
        <v>43546</v>
      </c>
      <c r="G84" s="112">
        <f t="shared" si="8"/>
        <v>0</v>
      </c>
      <c r="H84" s="99">
        <f>G84+'29'!H84</f>
        <v>-0.34999999999854481</v>
      </c>
      <c r="I84" s="545"/>
      <c r="J84" s="175">
        <f>H84/DAY(B2)</f>
        <v>-1.1666666666618161E-2</v>
      </c>
      <c r="O84" s="71"/>
    </row>
    <row r="85" spans="1:15" ht="30.75" customHeight="1">
      <c r="A85" s="345" t="s">
        <v>231</v>
      </c>
      <c r="B85" s="346"/>
      <c r="C85" s="346"/>
      <c r="D85" s="151" t="s">
        <v>228</v>
      </c>
      <c r="E85" s="120">
        <f>'29'!F85</f>
        <v>6203</v>
      </c>
      <c r="F85" s="150">
        <v>6203</v>
      </c>
      <c r="G85" s="112">
        <f t="shared" si="8"/>
        <v>0</v>
      </c>
      <c r="H85" s="99">
        <f>G85+'29'!H85</f>
        <v>270.55000000000018</v>
      </c>
      <c r="I85" s="545"/>
      <c r="J85" s="175">
        <f>H85/DAY(B2)</f>
        <v>9.0183333333333398</v>
      </c>
      <c r="O85" s="71"/>
    </row>
    <row r="86" spans="1:15" ht="30.75" customHeight="1">
      <c r="A86" s="345" t="s">
        <v>232</v>
      </c>
      <c r="B86" s="346"/>
      <c r="C86" s="346"/>
      <c r="D86" s="151" t="s">
        <v>228</v>
      </c>
      <c r="E86" s="95">
        <f>'29'!F86</f>
        <v>46971</v>
      </c>
      <c r="F86" s="164">
        <v>46971</v>
      </c>
      <c r="G86" s="112">
        <f t="shared" si="8"/>
        <v>0</v>
      </c>
      <c r="H86" s="99">
        <f>G86+'29'!H86</f>
        <v>137</v>
      </c>
      <c r="I86" s="545"/>
      <c r="J86" s="175">
        <f>H86/DAY(B2)</f>
        <v>4.5666666666666664</v>
      </c>
      <c r="O86" s="71"/>
    </row>
    <row r="87" spans="1:15" ht="30.75" customHeight="1">
      <c r="A87" s="345" t="s">
        <v>233</v>
      </c>
      <c r="B87" s="346"/>
      <c r="C87" s="346"/>
      <c r="D87" s="151" t="s">
        <v>228</v>
      </c>
      <c r="E87" s="95">
        <f>'29'!F87</f>
        <v>37322</v>
      </c>
      <c r="F87" s="164">
        <v>37346</v>
      </c>
      <c r="G87" s="112">
        <f t="shared" si="8"/>
        <v>24</v>
      </c>
      <c r="H87" s="99">
        <f>G87+'29'!H87</f>
        <v>318</v>
      </c>
      <c r="I87" s="544">
        <f>G84+G85+G86+G87</f>
        <v>24</v>
      </c>
      <c r="J87" s="175">
        <f>H87/DAY(B2)</f>
        <v>10.6</v>
      </c>
      <c r="O87" s="71"/>
    </row>
    <row r="88" spans="1:15" ht="30.75" customHeight="1">
      <c r="A88" s="345" t="s">
        <v>234</v>
      </c>
      <c r="B88" s="346"/>
      <c r="C88" s="346"/>
      <c r="D88" s="151" t="s">
        <v>228</v>
      </c>
      <c r="E88" s="95">
        <f>'29'!F88</f>
        <v>24743</v>
      </c>
      <c r="F88" s="164">
        <v>24753</v>
      </c>
      <c r="G88" s="112">
        <f t="shared" si="8"/>
        <v>10</v>
      </c>
      <c r="H88" s="99">
        <f>G88+'29'!H88</f>
        <v>149.40000000000146</v>
      </c>
      <c r="I88" s="544"/>
      <c r="J88" s="175">
        <f>H88/DAY(B2)</f>
        <v>4.9800000000000484</v>
      </c>
      <c r="O88" s="71"/>
    </row>
    <row r="89" spans="1:15" ht="30.75" customHeight="1">
      <c r="A89" s="345" t="s">
        <v>235</v>
      </c>
      <c r="B89" s="346"/>
      <c r="C89" s="346"/>
      <c r="D89" s="151" t="s">
        <v>228</v>
      </c>
      <c r="E89" s="95">
        <f>'29'!F89</f>
        <v>29018.54</v>
      </c>
      <c r="F89" s="164">
        <v>29023</v>
      </c>
      <c r="G89" s="112">
        <f t="shared" si="8"/>
        <v>4.4599999999991269</v>
      </c>
      <c r="H89" s="99">
        <f>G89+'29'!H89</f>
        <v>274.61000000000058</v>
      </c>
      <c r="I89" s="544">
        <f>G88+G89</f>
        <v>14.459999999999127</v>
      </c>
      <c r="J89" s="175">
        <f>H89/DAY(B2)</f>
        <v>9.1536666666666857</v>
      </c>
      <c r="O89" s="71"/>
    </row>
    <row r="90" spans="1:15" ht="30.75" customHeight="1">
      <c r="A90" s="345" t="s">
        <v>236</v>
      </c>
      <c r="B90" s="346"/>
      <c r="C90" s="346"/>
      <c r="D90" s="151" t="s">
        <v>228</v>
      </c>
      <c r="E90" s="95">
        <f>'29'!F90</f>
        <v>74434.570000000007</v>
      </c>
      <c r="F90" s="164">
        <v>74442</v>
      </c>
      <c r="G90" s="112">
        <f t="shared" si="8"/>
        <v>7.4299999999930151</v>
      </c>
      <c r="H90" s="99">
        <f>G90+'29'!H90</f>
        <v>47.660000000003492</v>
      </c>
      <c r="I90" s="544">
        <f>G90</f>
        <v>7.4299999999930151</v>
      </c>
      <c r="J90" s="175">
        <f>H90/DAY(B2)</f>
        <v>1.588666666666783</v>
      </c>
      <c r="O90" s="71"/>
    </row>
    <row r="91" spans="1:15" ht="30.75" customHeight="1">
      <c r="A91" s="345" t="s">
        <v>237</v>
      </c>
      <c r="B91" s="346"/>
      <c r="C91" s="346"/>
      <c r="D91" s="151" t="s">
        <v>228</v>
      </c>
      <c r="E91" s="95">
        <f>'29'!F91</f>
        <v>5618</v>
      </c>
      <c r="F91" s="122">
        <v>5618</v>
      </c>
      <c r="G91" s="112">
        <f t="shared" si="8"/>
        <v>0</v>
      </c>
      <c r="H91" s="99">
        <f>G91+'29'!H91</f>
        <v>-0.21000000000003638</v>
      </c>
      <c r="I91" s="554"/>
      <c r="J91" s="175">
        <f>H91/DAY(B2)</f>
        <v>-7.0000000000012127E-3</v>
      </c>
      <c r="O91" s="71"/>
    </row>
    <row r="92" spans="1:15" ht="30.75" customHeight="1">
      <c r="A92" s="345" t="s">
        <v>238</v>
      </c>
      <c r="B92" s="346"/>
      <c r="C92" s="346"/>
      <c r="D92" s="151" t="s">
        <v>228</v>
      </c>
      <c r="E92" s="95">
        <f>'29'!F92</f>
        <v>7410.51</v>
      </c>
      <c r="F92" s="122">
        <v>7420</v>
      </c>
      <c r="G92" s="112">
        <f t="shared" si="8"/>
        <v>9.4899999999997817</v>
      </c>
      <c r="H92" s="99">
        <f>G92+'29'!H92</f>
        <v>340.3100000000004</v>
      </c>
      <c r="I92" s="555">
        <f>G91+G92</f>
        <v>9.4899999999997817</v>
      </c>
      <c r="J92" s="175">
        <f>H92/DAY(B2)</f>
        <v>11.34366666666668</v>
      </c>
      <c r="O92" s="71"/>
    </row>
    <row r="93" spans="1:15" ht="30.75" customHeight="1">
      <c r="A93" s="905" t="s">
        <v>239</v>
      </c>
      <c r="B93" s="906"/>
      <c r="C93" s="90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5426.3699999999953</v>
      </c>
      <c r="H94" s="99">
        <f>G94+'29'!H94</f>
        <v>162897.28000000003</v>
      </c>
      <c r="I94" s="118"/>
      <c r="J94" s="175">
        <f>H94/DAY(B2)</f>
        <v>5429.909333333334</v>
      </c>
      <c r="K94" s="69"/>
      <c r="L94" s="66"/>
      <c r="O94" s="71"/>
    </row>
    <row r="95" spans="1:15" ht="30.75" customHeight="1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0.24896059386771033</v>
      </c>
      <c r="H95" s="99">
        <f>G95+'29'!H95</f>
        <v>7.8736342569454187</v>
      </c>
      <c r="I95" s="167"/>
      <c r="J95" s="175">
        <f>H95/DAY(B2)</f>
        <v>0.26245447523151394</v>
      </c>
      <c r="K95" s="69"/>
      <c r="L95" s="66"/>
      <c r="O95" s="71"/>
    </row>
    <row r="96" spans="1:15" ht="30.75" customHeight="1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3269.7200000000303</v>
      </c>
      <c r="H96" s="99">
        <f>G96+'29'!H96</f>
        <v>103342.34000000003</v>
      </c>
      <c r="I96" s="118"/>
      <c r="J96" s="175">
        <f>H96/DAY(B2)</f>
        <v>3444.7446666666674</v>
      </c>
      <c r="K96" s="69"/>
      <c r="L96" s="66"/>
      <c r="O96" s="71"/>
    </row>
    <row r="97" spans="1:15" ht="30.75" customHeight="1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0.15001399332908336</v>
      </c>
      <c r="H97" s="99">
        <f>G97+'29'!H97</f>
        <v>4.9663535618395418</v>
      </c>
      <c r="I97" s="167"/>
      <c r="J97" s="175">
        <f>H97/DAY(B2)</f>
        <v>0.16554511872798472</v>
      </c>
      <c r="K97" s="69"/>
      <c r="L97" s="66"/>
      <c r="O97" s="71"/>
    </row>
    <row r="98" spans="1:15" ht="30.75" customHeight="1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2812</v>
      </c>
      <c r="H98" s="99">
        <f>G98+'29'!H98</f>
        <v>83005.559999999939</v>
      </c>
      <c r="I98" s="168"/>
      <c r="J98" s="175">
        <f>H98/DAY(B2)</f>
        <v>2766.851999999998</v>
      </c>
      <c r="K98" s="69"/>
      <c r="L98" s="66"/>
      <c r="O98" s="71"/>
    </row>
    <row r="99" spans="1:15" ht="30.75" customHeight="1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0.12901390615752373</v>
      </c>
      <c r="H99" s="99" t="e">
        <f>G99+'29'!H99</f>
        <v>#VALUE!</v>
      </c>
      <c r="I99" s="168"/>
      <c r="J99" s="175" t="e">
        <f>H99/DAY(B2)</f>
        <v>#VALUE!</v>
      </c>
      <c r="O99" s="71"/>
    </row>
    <row r="100" spans="1:15" ht="30.75" customHeight="1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2733.8799999999537</v>
      </c>
      <c r="H100" s="99">
        <f>G100+'29'!H100</f>
        <v>76206.559999999998</v>
      </c>
      <c r="I100" s="118"/>
      <c r="J100" s="175">
        <f>H100/DAY(B2)</f>
        <v>2540.2186666666666</v>
      </c>
      <c r="K100" s="70"/>
      <c r="O100" s="71"/>
    </row>
    <row r="101" spans="1:15" ht="30.75" customHeight="1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0.12542977872187944</v>
      </c>
      <c r="H101" s="99">
        <f>G101+'29'!H101</f>
        <v>3.6890396808349348</v>
      </c>
      <c r="I101" s="168"/>
      <c r="J101" s="175">
        <f>H101/DAY(B2)</f>
        <v>0.1229679893611645</v>
      </c>
      <c r="O101" s="71"/>
    </row>
    <row r="102" spans="1:15" ht="30.75" customHeight="1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2034.539999999979</v>
      </c>
      <c r="H102" s="99">
        <f>G102+'29'!H102</f>
        <v>65838.819999999949</v>
      </c>
      <c r="I102" s="168"/>
      <c r="J102" s="175">
        <f>H102/DAY(B2)</f>
        <v>2194.6273333333315</v>
      </c>
      <c r="O102" s="71"/>
    </row>
    <row r="103" spans="1:15" ht="30.75" customHeight="1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9.3344222131481372E-2</v>
      </c>
      <c r="H103" s="99">
        <f>G103+'29'!H103</f>
        <v>3.1752007838016918</v>
      </c>
      <c r="I103" s="118"/>
      <c r="J103" s="175">
        <f>H103/DAY(B2)</f>
        <v>0.10584002612672307</v>
      </c>
      <c r="O103" s="71"/>
    </row>
    <row r="104" spans="1:15" ht="30.75" customHeight="1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1421.9599999999627</v>
      </c>
      <c r="H104" s="99">
        <f>G104+'29'!H104</f>
        <v>43877.479999999981</v>
      </c>
      <c r="I104" s="118"/>
      <c r="J104" s="175">
        <f>H104/DAY(B2)</f>
        <v>1462.582666666666</v>
      </c>
      <c r="O104" s="71"/>
    </row>
    <row r="105" spans="1:15" ht="30.75" customHeight="1" thickBot="1">
      <c r="A105" s="895" t="s">
        <v>251</v>
      </c>
      <c r="B105" s="896"/>
      <c r="C105" s="897"/>
      <c r="D105" s="231" t="s">
        <v>23</v>
      </c>
      <c r="E105" s="185"/>
      <c r="F105" s="185"/>
      <c r="G105" s="186">
        <f>G104/G7</f>
        <v>6.5239194167762318E-2</v>
      </c>
      <c r="H105" s="99">
        <f>G105+'29'!H105</f>
        <v>2.121696819338744</v>
      </c>
      <c r="I105" s="187"/>
      <c r="J105" s="188">
        <f>H105/DAY(B2)</f>
        <v>7.0723227311291464E-2</v>
      </c>
      <c r="O105" s="71"/>
    </row>
    <row r="106" spans="1:15" ht="30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>
      <c r="A108" s="891" t="s">
        <v>324</v>
      </c>
      <c r="B108" s="891"/>
      <c r="C108" s="891"/>
      <c r="D108" s="891"/>
      <c r="E108" s="891"/>
      <c r="F108" s="891"/>
      <c r="G108" s="891"/>
      <c r="H108" s="891"/>
      <c r="I108" s="891"/>
      <c r="J108" s="891"/>
    </row>
    <row r="109" spans="1:15" ht="30.75" customHeight="1">
      <c r="A109" s="918"/>
      <c r="B109" s="918"/>
    </row>
    <row r="110" spans="1:15" ht="30.75" customHeight="1">
      <c r="A110" s="892" t="s">
        <v>165</v>
      </c>
      <c r="B110" s="893"/>
      <c r="C110" s="893"/>
      <c r="D110" s="893"/>
      <c r="E110" s="893"/>
      <c r="F110" s="893"/>
      <c r="G110" s="893"/>
      <c r="H110" s="893"/>
      <c r="I110" s="893"/>
      <c r="J110" s="894"/>
    </row>
    <row r="111" spans="1:15" ht="30.75" customHeight="1">
      <c r="A111" s="885"/>
      <c r="B111" s="886"/>
      <c r="C111" s="887"/>
      <c r="D111" s="165"/>
      <c r="E111" s="165"/>
      <c r="F111" s="165"/>
      <c r="G111" s="165"/>
      <c r="H111" s="156"/>
      <c r="I111" s="165"/>
      <c r="J111" s="327"/>
    </row>
    <row r="112" spans="1:15" ht="30.75" customHeight="1">
      <c r="A112" s="881" t="s">
        <v>252</v>
      </c>
      <c r="B112" s="882"/>
      <c r="C112" s="883"/>
      <c r="D112" s="146" t="s">
        <v>183</v>
      </c>
      <c r="E112" s="95">
        <f>'29'!F112</f>
        <v>19275.2</v>
      </c>
      <c r="F112" s="237">
        <v>19336.726999999999</v>
      </c>
      <c r="G112" s="112">
        <f t="shared" ref="G112:G123" si="9">F112-E112</f>
        <v>61.526999999998225</v>
      </c>
      <c r="H112" s="99">
        <f>G112+'29'!H112</f>
        <v>1825.4269999999997</v>
      </c>
      <c r="I112" s="165"/>
      <c r="J112" s="328">
        <f>H112/DAY(B2)</f>
        <v>60.847566666666658</v>
      </c>
    </row>
    <row r="113" spans="1:18" ht="30.75" customHeight="1">
      <c r="A113" s="881" t="s">
        <v>253</v>
      </c>
      <c r="B113" s="882"/>
      <c r="C113" s="883"/>
      <c r="D113" s="146" t="s">
        <v>183</v>
      </c>
      <c r="E113" s="95">
        <f>'29'!F113</f>
        <v>41231</v>
      </c>
      <c r="F113" s="237">
        <v>41375.730000000003</v>
      </c>
      <c r="G113" s="112">
        <f t="shared" si="9"/>
        <v>144.7300000000032</v>
      </c>
      <c r="H113" s="99">
        <f>G113+'29'!H113</f>
        <v>4296.7300000000032</v>
      </c>
      <c r="I113" s="165"/>
      <c r="J113" s="328">
        <f>H113/DAY(B2)</f>
        <v>143.22433333333345</v>
      </c>
    </row>
    <row r="114" spans="1:18" ht="30.75" customHeight="1">
      <c r="A114" s="881" t="s">
        <v>254</v>
      </c>
      <c r="B114" s="882"/>
      <c r="C114" s="883"/>
      <c r="D114" s="146" t="s">
        <v>183</v>
      </c>
      <c r="E114" s="95">
        <f>'29'!F114</f>
        <v>60776.79</v>
      </c>
      <c r="F114" s="237">
        <v>61000.87</v>
      </c>
      <c r="G114" s="112">
        <f t="shared" si="9"/>
        <v>224.08000000000175</v>
      </c>
      <c r="H114" s="99">
        <f>G114+'29'!H114</f>
        <v>6733.0900000000038</v>
      </c>
      <c r="I114" s="165"/>
      <c r="J114" s="328">
        <f>H114/DAY(B2)</f>
        <v>224.43633333333347</v>
      </c>
    </row>
    <row r="115" spans="1:18" ht="30.75" customHeight="1">
      <c r="A115" s="881" t="s">
        <v>255</v>
      </c>
      <c r="B115" s="882"/>
      <c r="C115" s="883"/>
      <c r="D115" s="146" t="s">
        <v>183</v>
      </c>
      <c r="E115" s="95">
        <f>'29'!F115</f>
        <v>39133.22</v>
      </c>
      <c r="F115" s="237">
        <v>39293</v>
      </c>
      <c r="G115" s="112">
        <f t="shared" si="9"/>
        <v>159.77999999999884</v>
      </c>
      <c r="H115" s="99">
        <f>G115+'29'!H115</f>
        <v>4326.0899999999965</v>
      </c>
      <c r="I115" s="165"/>
      <c r="J115" s="328">
        <f>H115/DAY(B2)</f>
        <v>144.20299999999989</v>
      </c>
    </row>
    <row r="116" spans="1:18" ht="30.75" customHeight="1">
      <c r="A116" s="888" t="s">
        <v>96</v>
      </c>
      <c r="B116" s="889"/>
      <c r="C116" s="890"/>
      <c r="D116" s="146" t="s">
        <v>183</v>
      </c>
      <c r="E116" s="95">
        <f>'29'!F116</f>
        <v>146950</v>
      </c>
      <c r="F116" s="237">
        <v>147459</v>
      </c>
      <c r="G116" s="112">
        <f t="shared" si="9"/>
        <v>509</v>
      </c>
      <c r="H116" s="99">
        <f>G116+'29'!H116</f>
        <v>12970.609999999986</v>
      </c>
      <c r="I116" s="165"/>
      <c r="J116" s="328">
        <f>H116/DAY(B2)</f>
        <v>432.35366666666619</v>
      </c>
      <c r="Q116" s="881" t="s">
        <v>311</v>
      </c>
      <c r="R116" s="883"/>
    </row>
    <row r="117" spans="1:18" ht="30.75" customHeight="1">
      <c r="A117" s="888" t="s">
        <v>184</v>
      </c>
      <c r="B117" s="889"/>
      <c r="C117" s="890"/>
      <c r="D117" s="146" t="s">
        <v>183</v>
      </c>
      <c r="E117" s="95">
        <f>'29'!F117</f>
        <v>91440</v>
      </c>
      <c r="F117" s="237">
        <v>91697</v>
      </c>
      <c r="G117" s="112">
        <f t="shared" si="9"/>
        <v>257</v>
      </c>
      <c r="H117" s="99">
        <f>G117+'29'!H117</f>
        <v>8987</v>
      </c>
      <c r="I117" s="165"/>
      <c r="J117" s="328">
        <f>H117/DAY(B2)</f>
        <v>299.56666666666666</v>
      </c>
      <c r="Q117" s="881" t="s">
        <v>312</v>
      </c>
      <c r="R117" s="883"/>
    </row>
    <row r="118" spans="1:18" ht="30.75" customHeight="1">
      <c r="A118" s="880" t="s">
        <v>97</v>
      </c>
      <c r="B118" s="880"/>
      <c r="C118" s="880"/>
      <c r="D118" s="151" t="s">
        <v>183</v>
      </c>
      <c r="E118" s="95">
        <f>'29'!F118</f>
        <v>176221.75</v>
      </c>
      <c r="F118" s="237">
        <v>176849</v>
      </c>
      <c r="G118" s="112">
        <f t="shared" si="9"/>
        <v>627.25</v>
      </c>
      <c r="H118" s="99">
        <f>G118+'29'!H118</f>
        <v>18711.850000000006</v>
      </c>
      <c r="I118" s="165"/>
      <c r="J118" s="328">
        <f>H118/DAY(B2)</f>
        <v>623.72833333333358</v>
      </c>
      <c r="Q118" s="881" t="s">
        <v>311</v>
      </c>
      <c r="R118" s="883"/>
    </row>
    <row r="119" spans="1:18" ht="30.75" customHeight="1">
      <c r="A119" s="880" t="s">
        <v>98</v>
      </c>
      <c r="B119" s="880"/>
      <c r="C119" s="880"/>
      <c r="D119" s="151" t="s">
        <v>183</v>
      </c>
      <c r="E119" s="95">
        <f>'29'!F119</f>
        <v>45116</v>
      </c>
      <c r="F119" s="237">
        <v>45156.91</v>
      </c>
      <c r="G119" s="112">
        <f t="shared" si="9"/>
        <v>40.910000000003492</v>
      </c>
      <c r="H119" s="99">
        <f>G119+'29'!H119</f>
        <v>1217.7350000000006</v>
      </c>
      <c r="I119" s="165"/>
      <c r="J119" s="328">
        <f>H119/DAY(B2)</f>
        <v>40.591166666666687</v>
      </c>
    </row>
    <row r="120" spans="1:18" ht="30.75" customHeight="1">
      <c r="A120" s="880" t="s">
        <v>99</v>
      </c>
      <c r="B120" s="880"/>
      <c r="C120" s="880"/>
      <c r="D120" s="151" t="s">
        <v>183</v>
      </c>
      <c r="E120" s="95">
        <f>'29'!F120</f>
        <v>119713.84</v>
      </c>
      <c r="F120" s="237">
        <v>120082.48</v>
      </c>
      <c r="G120" s="112">
        <f t="shared" si="9"/>
        <v>368.63999999999942</v>
      </c>
      <c r="H120" s="99">
        <f>G120+'29'!H120</f>
        <v>11645.339999999997</v>
      </c>
      <c r="I120" s="165"/>
      <c r="J120" s="328">
        <f>H120/DAY(B2)</f>
        <v>388.17799999999988</v>
      </c>
    </row>
    <row r="121" spans="1:18" ht="30.75" customHeight="1">
      <c r="A121" s="880" t="s">
        <v>100</v>
      </c>
      <c r="B121" s="880"/>
      <c r="C121" s="880"/>
      <c r="D121" s="151" t="s">
        <v>183</v>
      </c>
      <c r="E121" s="95">
        <f>'29'!F121</f>
        <v>133666.68</v>
      </c>
      <c r="F121" s="237">
        <v>134121.72</v>
      </c>
      <c r="G121" s="112">
        <f t="shared" si="9"/>
        <v>455.04000000000815</v>
      </c>
      <c r="H121" s="99">
        <f>G121+'29'!H121</f>
        <v>12898.830000000002</v>
      </c>
      <c r="I121" s="165"/>
      <c r="J121" s="328">
        <f>H121/DAY(B2)</f>
        <v>429.96100000000007</v>
      </c>
    </row>
    <row r="122" spans="1:18" ht="30.75" customHeight="1">
      <c r="A122" s="880" t="s">
        <v>101</v>
      </c>
      <c r="B122" s="880"/>
      <c r="C122" s="880"/>
      <c r="D122" s="151" t="s">
        <v>183</v>
      </c>
      <c r="E122" s="95">
        <f>'29'!F122</f>
        <v>90242</v>
      </c>
      <c r="F122" s="237">
        <v>90583</v>
      </c>
      <c r="G122" s="112">
        <f t="shared" si="9"/>
        <v>341</v>
      </c>
      <c r="H122" s="99">
        <f>G122+'29'!H122</f>
        <v>9308.6300000000047</v>
      </c>
      <c r="I122" s="165"/>
      <c r="J122" s="328">
        <f>H122/DAY(B2)</f>
        <v>310.28766666666684</v>
      </c>
    </row>
    <row r="123" spans="1:18" ht="30.75" customHeight="1">
      <c r="A123" s="880" t="s">
        <v>102</v>
      </c>
      <c r="B123" s="880"/>
      <c r="C123" s="880"/>
      <c r="D123" s="151" t="s">
        <v>183</v>
      </c>
      <c r="E123" s="95">
        <f>'29'!F123</f>
        <v>86957.187000000005</v>
      </c>
      <c r="F123" s="237">
        <v>87269</v>
      </c>
      <c r="G123" s="112">
        <f t="shared" si="9"/>
        <v>311.81299999999464</v>
      </c>
      <c r="H123" s="99">
        <f>G123+'29'!H123</f>
        <v>9320</v>
      </c>
      <c r="I123" s="165"/>
      <c r="J123" s="328">
        <f>H123/DAY(B2)</f>
        <v>310.66666666666669</v>
      </c>
    </row>
    <row r="124" spans="1:18" ht="30.75" customHeight="1">
      <c r="A124" s="885"/>
      <c r="B124" s="886"/>
      <c r="C124" s="887"/>
      <c r="D124" s="165"/>
      <c r="E124" s="95">
        <f>'29'!F124</f>
        <v>0</v>
      </c>
      <c r="F124" s="165"/>
      <c r="G124" s="327"/>
      <c r="H124" s="99">
        <f>G124+'29'!H124</f>
        <v>0</v>
      </c>
      <c r="I124" s="165"/>
      <c r="J124" s="327"/>
    </row>
    <row r="125" spans="1:18" ht="30.75" customHeight="1">
      <c r="A125" s="787" t="s">
        <v>196</v>
      </c>
      <c r="B125" s="788"/>
      <c r="C125" s="245"/>
      <c r="D125" s="307"/>
      <c r="E125" s="308"/>
      <c r="F125" s="308"/>
      <c r="G125" s="309">
        <f>SUM(G112:G124)</f>
        <v>3500.7700000000077</v>
      </c>
      <c r="H125" s="156"/>
      <c r="I125" s="327">
        <f>G125-(G39+G53)</f>
        <v>688.77000000000771</v>
      </c>
      <c r="J125" s="327"/>
    </row>
    <row r="126" spans="1:18" ht="30.75" customHeight="1">
      <c r="A126" s="884" t="s">
        <v>317</v>
      </c>
      <c r="B126" s="884"/>
      <c r="C126" s="884"/>
      <c r="D126" s="884"/>
      <c r="E126" s="884"/>
      <c r="F126" s="884"/>
      <c r="G126" s="884"/>
      <c r="H126" s="884"/>
      <c r="I126" s="884"/>
      <c r="J126" s="884"/>
    </row>
    <row r="127" spans="1:18" ht="30.75" customHeight="1">
      <c r="A127" s="870"/>
      <c r="B127" s="870"/>
      <c r="C127" s="245"/>
      <c r="D127" s="307"/>
      <c r="E127" s="308"/>
      <c r="F127" s="308"/>
      <c r="G127" s="309"/>
      <c r="H127" s="99">
        <f>G127+'29'!H127</f>
        <v>0</v>
      </c>
      <c r="I127" s="165"/>
      <c r="J127" s="328">
        <f>H127/DAY(B2)</f>
        <v>0</v>
      </c>
    </row>
    <row r="128" spans="1:18" ht="30.75" customHeight="1">
      <c r="A128" s="881" t="s">
        <v>318</v>
      </c>
      <c r="B128" s="882"/>
      <c r="C128" s="883"/>
      <c r="D128" s="151" t="s">
        <v>183</v>
      </c>
      <c r="E128" s="95">
        <f>'29'!F128</f>
        <v>206318.97</v>
      </c>
      <c r="F128" s="165">
        <v>206823.03</v>
      </c>
      <c r="G128" s="112">
        <f t="shared" ref="G128:G134" si="10">F128-E128</f>
        <v>504.05999999999767</v>
      </c>
      <c r="H128" s="99">
        <f>G128+'29'!H128</f>
        <v>14937.399999999994</v>
      </c>
      <c r="I128" s="165"/>
      <c r="J128" s="328">
        <f>H128/DAY(B2)</f>
        <v>497.91333333333313</v>
      </c>
    </row>
    <row r="129" spans="1:15" ht="30.75" customHeight="1">
      <c r="A129" s="329" t="s">
        <v>319</v>
      </c>
      <c r="B129" s="330"/>
      <c r="C129" s="331"/>
      <c r="D129" s="151" t="s">
        <v>183</v>
      </c>
      <c r="E129" s="95">
        <f>'29'!F129</f>
        <v>488.05900000000003</v>
      </c>
      <c r="F129" s="165">
        <v>617.55999999999995</v>
      </c>
      <c r="G129" s="112">
        <f t="shared" si="10"/>
        <v>129.50099999999992</v>
      </c>
      <c r="H129" s="99">
        <f>G129+'29'!H129</f>
        <v>4966.7000000000007</v>
      </c>
      <c r="I129" s="165"/>
      <c r="J129" s="328">
        <f>H129/DAY(B2)</f>
        <v>165.5566666666667</v>
      </c>
      <c r="N129" s="240"/>
      <c r="O129" s="241"/>
    </row>
    <row r="130" spans="1:15" ht="30.75" customHeight="1">
      <c r="A130" s="329" t="s">
        <v>320</v>
      </c>
      <c r="B130" s="330"/>
      <c r="C130" s="331"/>
      <c r="D130" s="151" t="s">
        <v>183</v>
      </c>
      <c r="E130" s="95">
        <f>'29'!F130</f>
        <v>285954.23</v>
      </c>
      <c r="F130" s="165">
        <v>288548.27</v>
      </c>
      <c r="G130" s="112">
        <f t="shared" si="10"/>
        <v>2594.0400000000373</v>
      </c>
      <c r="H130" s="99">
        <f>G130+'29'!H130</f>
        <v>19733.270000000019</v>
      </c>
      <c r="I130" s="165"/>
      <c r="J130" s="328">
        <f>H130/DAY(B2)</f>
        <v>657.77566666666723</v>
      </c>
      <c r="N130" s="240"/>
      <c r="O130" s="241"/>
    </row>
    <row r="131" spans="1:15" ht="30.75" customHeight="1">
      <c r="A131" s="881" t="s">
        <v>321</v>
      </c>
      <c r="B131" s="882"/>
      <c r="C131" s="883"/>
      <c r="D131" s="151" t="s">
        <v>183</v>
      </c>
      <c r="E131" s="95">
        <f>'29'!F131</f>
        <v>84356</v>
      </c>
      <c r="F131" s="165">
        <v>84506.27</v>
      </c>
      <c r="G131" s="112">
        <f t="shared" si="10"/>
        <v>150.27000000000407</v>
      </c>
      <c r="H131" s="99">
        <f>G131+'29'!H131</f>
        <v>4955.6399999999994</v>
      </c>
      <c r="I131" s="165"/>
      <c r="J131" s="328">
        <f>H131/DAY(B2)</f>
        <v>165.18799999999999</v>
      </c>
      <c r="N131" s="240"/>
      <c r="O131" s="241"/>
    </row>
    <row r="132" spans="1:15" ht="30.75" customHeight="1">
      <c r="A132" s="881" t="s">
        <v>322</v>
      </c>
      <c r="B132" s="882"/>
      <c r="C132" s="883"/>
      <c r="D132" s="151" t="s">
        <v>183</v>
      </c>
      <c r="E132" s="120">
        <f>'29'!F132</f>
        <v>66842.535000000003</v>
      </c>
      <c r="F132" s="464">
        <v>67129</v>
      </c>
      <c r="G132" s="112">
        <f t="shared" si="10"/>
        <v>286.46499999999651</v>
      </c>
      <c r="H132" s="99">
        <f>G132+'29'!H132</f>
        <v>2904</v>
      </c>
      <c r="I132" s="165"/>
      <c r="J132" s="328">
        <f>H132/DAY(B2)</f>
        <v>96.8</v>
      </c>
    </row>
    <row r="133" spans="1:15" ht="30.75" customHeight="1">
      <c r="A133" s="881" t="s">
        <v>359</v>
      </c>
      <c r="B133" s="882"/>
      <c r="C133" s="883"/>
      <c r="D133" s="151" t="s">
        <v>183</v>
      </c>
      <c r="E133" s="95">
        <f>'29'!F133</f>
        <v>948838</v>
      </c>
      <c r="F133" s="165">
        <v>949454</v>
      </c>
      <c r="G133" s="112">
        <f t="shared" si="10"/>
        <v>616</v>
      </c>
      <c r="H133" s="99">
        <f>G133+'29'!H133</f>
        <v>-640915.83000000007</v>
      </c>
      <c r="I133" s="165"/>
      <c r="J133" s="328">
        <f>H133/DAY(B2)</f>
        <v>-21363.861000000001</v>
      </c>
    </row>
    <row r="134" spans="1:15" ht="30.75" customHeight="1">
      <c r="A134" s="881" t="s">
        <v>340</v>
      </c>
      <c r="B134" s="882"/>
      <c r="C134" s="883"/>
      <c r="D134" s="151" t="s">
        <v>183</v>
      </c>
      <c r="E134" s="95">
        <f>'29'!F134</f>
        <v>92715.846999999994</v>
      </c>
      <c r="F134" s="466">
        <v>92974.79</v>
      </c>
      <c r="G134" s="112">
        <f t="shared" si="10"/>
        <v>258.9429999999993</v>
      </c>
      <c r="H134" s="99">
        <f>G134+'29'!H134</f>
        <v>7022.7899999999936</v>
      </c>
      <c r="I134" s="165"/>
      <c r="J134" s="328">
        <f>H134/DAY(B2)</f>
        <v>234.09299999999979</v>
      </c>
    </row>
    <row r="135" spans="1:15" ht="30.75" customHeight="1">
      <c r="A135" s="787" t="s">
        <v>196</v>
      </c>
      <c r="B135" s="788"/>
      <c r="C135" s="331"/>
      <c r="D135" s="151"/>
      <c r="E135" s="95"/>
      <c r="F135" s="165"/>
      <c r="G135" s="112">
        <f>SUM(G128:G134)</f>
        <v>4539.279000000035</v>
      </c>
      <c r="H135" s="99">
        <f>G135+'23'!H135</f>
        <v>-621784.45600000001</v>
      </c>
      <c r="I135" s="327">
        <f>G135-(G35+G49)</f>
        <v>1555.6290000001281</v>
      </c>
      <c r="J135" s="328">
        <f>H135/DAY(B2)</f>
        <v>-20726.148533333333</v>
      </c>
    </row>
    <row r="136" spans="1:15" ht="30.75" customHeight="1">
      <c r="A136" s="869" t="s">
        <v>325</v>
      </c>
      <c r="B136" s="869"/>
      <c r="C136" s="869"/>
      <c r="D136" s="869"/>
      <c r="E136" s="869"/>
      <c r="F136" s="869"/>
      <c r="G136" s="869"/>
      <c r="H136" s="869"/>
      <c r="I136" s="869"/>
      <c r="J136" s="869"/>
    </row>
    <row r="137" spans="1:15" ht="30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0.75" customHeight="1">
      <c r="A138" s="880" t="s">
        <v>185</v>
      </c>
      <c r="B138" s="880"/>
      <c r="C138" s="880"/>
      <c r="D138" s="151" t="s">
        <v>183</v>
      </c>
      <c r="E138" s="95">
        <f>'29'!F138</f>
        <v>912677</v>
      </c>
      <c r="F138" s="147">
        <v>912798</v>
      </c>
      <c r="G138" s="112">
        <f t="shared" ref="G138:G152" si="11">F138-E138</f>
        <v>121</v>
      </c>
      <c r="H138" s="99">
        <f>G138+'29'!H138</f>
        <v>3358</v>
      </c>
      <c r="I138" s="118"/>
      <c r="J138" s="328">
        <f>H138/DAY(B2)</f>
        <v>111.93333333333334</v>
      </c>
    </row>
    <row r="139" spans="1:15" ht="30.75" customHeight="1">
      <c r="A139" s="880" t="s">
        <v>186</v>
      </c>
      <c r="B139" s="880"/>
      <c r="C139" s="880"/>
      <c r="D139" s="151" t="s">
        <v>183</v>
      </c>
      <c r="E139" s="95">
        <f>'29'!F139</f>
        <v>936931</v>
      </c>
      <c r="F139" s="148">
        <v>937087</v>
      </c>
      <c r="G139" s="112">
        <f t="shared" si="11"/>
        <v>156</v>
      </c>
      <c r="H139" s="99">
        <f>G139+'29'!H139</f>
        <v>4727</v>
      </c>
      <c r="I139" s="118"/>
      <c r="J139" s="328">
        <f>H139/DAY(B2)</f>
        <v>157.56666666666666</v>
      </c>
    </row>
    <row r="140" spans="1:15" ht="30.75" customHeight="1">
      <c r="A140" s="880" t="s">
        <v>187</v>
      </c>
      <c r="B140" s="880"/>
      <c r="C140" s="880"/>
      <c r="D140" s="151" t="s">
        <v>183</v>
      </c>
      <c r="E140" s="95">
        <f>'29'!F140</f>
        <v>4000.55</v>
      </c>
      <c r="F140" s="149">
        <v>4016.51</v>
      </c>
      <c r="G140" s="112">
        <f t="shared" si="11"/>
        <v>15.960000000000036</v>
      </c>
      <c r="H140" s="99">
        <f>G140+'29'!H140</f>
        <v>682.13900000000058</v>
      </c>
      <c r="I140" s="118"/>
      <c r="J140" s="328">
        <f>H140/DAY(B2)</f>
        <v>22.737966666666686</v>
      </c>
    </row>
    <row r="141" spans="1:15" ht="30.75" customHeight="1">
      <c r="A141" s="863" t="s">
        <v>188</v>
      </c>
      <c r="B141" s="863"/>
      <c r="C141" s="863"/>
      <c r="D141" s="151" t="s">
        <v>183</v>
      </c>
      <c r="E141" s="95">
        <f>'29'!F141</f>
        <v>130858.82</v>
      </c>
      <c r="F141" s="149">
        <v>131042</v>
      </c>
      <c r="G141" s="112">
        <f t="shared" si="11"/>
        <v>183.17999999999302</v>
      </c>
      <c r="H141" s="99">
        <f>G141+'29'!H141</f>
        <v>6444</v>
      </c>
      <c r="I141" s="118"/>
      <c r="J141" s="328">
        <f>H141/DAY(B2)</f>
        <v>214.8</v>
      </c>
    </row>
    <row r="142" spans="1:15" ht="30.75" customHeight="1">
      <c r="A142" s="863" t="s">
        <v>189</v>
      </c>
      <c r="B142" s="863"/>
      <c r="C142" s="863"/>
      <c r="D142" s="151" t="s">
        <v>183</v>
      </c>
      <c r="E142" s="95">
        <f>'29'!F142</f>
        <v>53013</v>
      </c>
      <c r="F142" s="148">
        <v>53100.135000000002</v>
      </c>
      <c r="G142" s="112">
        <f t="shared" si="11"/>
        <v>87.135000000002037</v>
      </c>
      <c r="H142" s="99">
        <f>G142+'29'!H142</f>
        <v>2534.5849999999991</v>
      </c>
      <c r="I142" s="140"/>
      <c r="J142" s="328">
        <f>H142/DAY(B2)</f>
        <v>84.486166666666634</v>
      </c>
    </row>
    <row r="143" spans="1:15" ht="30.75" customHeight="1">
      <c r="A143" s="880" t="s">
        <v>91</v>
      </c>
      <c r="B143" s="880"/>
      <c r="C143" s="880"/>
      <c r="D143" s="151" t="s">
        <v>183</v>
      </c>
      <c r="E143" s="95">
        <f>'29'!F143</f>
        <v>14245.94</v>
      </c>
      <c r="F143" s="149">
        <v>14279.6</v>
      </c>
      <c r="G143" s="112">
        <f t="shared" si="11"/>
        <v>33.659999999999854</v>
      </c>
      <c r="H143" s="99">
        <f>G143+'29'!H143</f>
        <v>892.60000000000036</v>
      </c>
      <c r="I143" s="140"/>
      <c r="J143" s="328">
        <f>H143/DAY(B2)</f>
        <v>29.753333333333345</v>
      </c>
    </row>
    <row r="144" spans="1:15" ht="30.75" customHeight="1">
      <c r="A144" s="863" t="s">
        <v>90</v>
      </c>
      <c r="B144" s="863"/>
      <c r="C144" s="863"/>
      <c r="D144" s="151" t="s">
        <v>183</v>
      </c>
      <c r="E144" s="95">
        <f>'29'!F144</f>
        <v>962671</v>
      </c>
      <c r="F144" s="149">
        <v>962958</v>
      </c>
      <c r="G144" s="112">
        <f t="shared" si="11"/>
        <v>287</v>
      </c>
      <c r="H144" s="99">
        <f>G144+'29'!H144</f>
        <v>7488</v>
      </c>
      <c r="I144" s="140"/>
      <c r="J144" s="328">
        <f>H144/DAY(B2)</f>
        <v>249.6</v>
      </c>
    </row>
    <row r="145" spans="1:10" ht="30.75" customHeight="1">
      <c r="A145" s="880" t="s">
        <v>190</v>
      </c>
      <c r="B145" s="880"/>
      <c r="C145" s="880"/>
      <c r="D145" s="152" t="s">
        <v>183</v>
      </c>
      <c r="E145" s="149">
        <v>750333</v>
      </c>
      <c r="F145" s="149">
        <v>750539</v>
      </c>
      <c r="G145" s="112">
        <f t="shared" si="11"/>
        <v>206</v>
      </c>
      <c r="H145" s="99">
        <f>G145+'29'!H145</f>
        <v>5358</v>
      </c>
      <c r="I145" s="140"/>
      <c r="J145" s="328">
        <f>H145/DAY(B2)</f>
        <v>178.6</v>
      </c>
    </row>
    <row r="146" spans="1:10" ht="30.75" customHeight="1">
      <c r="A146" s="914" t="s">
        <v>191</v>
      </c>
      <c r="B146" s="900"/>
      <c r="C146" s="901"/>
      <c r="D146" s="152" t="s">
        <v>183</v>
      </c>
      <c r="E146" s="95">
        <f>'29'!F146</f>
        <v>788924</v>
      </c>
      <c r="F146" s="148">
        <v>788980</v>
      </c>
      <c r="G146" s="112">
        <f t="shared" si="11"/>
        <v>56</v>
      </c>
      <c r="H146" s="99">
        <f>G146+'29'!H146</f>
        <v>1122</v>
      </c>
      <c r="I146" s="140"/>
      <c r="J146" s="328">
        <f>H146/DAY(B2)</f>
        <v>37.4</v>
      </c>
    </row>
    <row r="147" spans="1:10" ht="30.75" customHeight="1">
      <c r="A147" s="863" t="s">
        <v>192</v>
      </c>
      <c r="B147" s="863"/>
      <c r="C147" s="863"/>
      <c r="D147" s="152" t="s">
        <v>183</v>
      </c>
      <c r="E147" s="95">
        <f>'29'!F147</f>
        <v>770893.04</v>
      </c>
      <c r="F147" s="148">
        <v>771288.24</v>
      </c>
      <c r="G147" s="112">
        <f t="shared" si="11"/>
        <v>395.19999999995343</v>
      </c>
      <c r="H147" s="99">
        <f>G147+'29'!H147</f>
        <v>11150.239999999991</v>
      </c>
      <c r="I147" s="140"/>
      <c r="J147" s="328">
        <f>H147/DAY(B2)</f>
        <v>371.67466666666638</v>
      </c>
    </row>
    <row r="148" spans="1:10" ht="30.75" customHeight="1">
      <c r="A148" s="864" t="s">
        <v>193</v>
      </c>
      <c r="B148" s="865"/>
      <c r="C148" s="866"/>
      <c r="D148" s="123" t="s">
        <v>130</v>
      </c>
      <c r="E148" s="95">
        <f>'29'!F148</f>
        <v>806079.44</v>
      </c>
      <c r="F148" s="150">
        <v>806391.2</v>
      </c>
      <c r="G148" s="112">
        <f t="shared" si="11"/>
        <v>311.76000000000931</v>
      </c>
      <c r="H148" s="99">
        <f>G148+'29'!H148</f>
        <v>9979.1199999999953</v>
      </c>
      <c r="I148" s="124"/>
      <c r="J148" s="328">
        <f>H148/DAY(B2)</f>
        <v>332.63733333333317</v>
      </c>
    </row>
    <row r="149" spans="1:10" ht="30.75" customHeight="1">
      <c r="A149" s="864" t="s">
        <v>336</v>
      </c>
      <c r="B149" s="865"/>
      <c r="C149" s="866"/>
      <c r="D149" s="227" t="s">
        <v>130</v>
      </c>
      <c r="E149" s="146">
        <v>215690</v>
      </c>
      <c r="F149" s="146">
        <v>216310</v>
      </c>
      <c r="G149" s="112">
        <f t="shared" si="11"/>
        <v>620</v>
      </c>
      <c r="H149" s="99">
        <f>G149+'29'!H149</f>
        <v>15018.73000000001</v>
      </c>
      <c r="I149" s="119"/>
      <c r="J149" s="328">
        <f>H149/DAY(B2)</f>
        <v>500.62433333333371</v>
      </c>
    </row>
    <row r="150" spans="1:10" ht="30.75" customHeight="1">
      <c r="A150" s="864" t="s">
        <v>337</v>
      </c>
      <c r="B150" s="865"/>
      <c r="C150" s="866"/>
      <c r="D150" s="117" t="s">
        <v>130</v>
      </c>
      <c r="E150" s="95">
        <f>'29'!F150</f>
        <v>91953</v>
      </c>
      <c r="F150" s="233">
        <v>94875</v>
      </c>
      <c r="G150" s="112">
        <f t="shared" si="11"/>
        <v>2922</v>
      </c>
      <c r="H150" s="99">
        <f>G150+'29'!H150</f>
        <v>12288</v>
      </c>
      <c r="I150" s="119"/>
      <c r="J150" s="328">
        <f>H150/DAY(B2)</f>
        <v>409.6</v>
      </c>
    </row>
    <row r="151" spans="1:10" ht="30.75" customHeight="1">
      <c r="A151" s="864" t="s">
        <v>338</v>
      </c>
      <c r="B151" s="865"/>
      <c r="C151" s="866"/>
      <c r="D151" s="117" t="s">
        <v>130</v>
      </c>
      <c r="E151" s="95">
        <f>'29'!F151</f>
        <v>175580</v>
      </c>
      <c r="F151" s="233">
        <v>175892</v>
      </c>
      <c r="G151" s="112">
        <f t="shared" si="11"/>
        <v>312</v>
      </c>
      <c r="H151" s="99">
        <f>G151+'29'!H151</f>
        <v>9162</v>
      </c>
      <c r="I151" s="119"/>
      <c r="J151" s="328">
        <f>H151/DAY(B2)</f>
        <v>305.39999999999998</v>
      </c>
    </row>
    <row r="152" spans="1:10" ht="30.75" customHeight="1">
      <c r="A152" s="864" t="s">
        <v>339</v>
      </c>
      <c r="B152" s="865"/>
      <c r="C152" s="866"/>
      <c r="D152" s="117" t="s">
        <v>130</v>
      </c>
      <c r="E152" s="95">
        <f>'29'!F152</f>
        <v>46367.77</v>
      </c>
      <c r="F152" s="233">
        <v>46501</v>
      </c>
      <c r="G152" s="112">
        <f t="shared" si="11"/>
        <v>133.2300000000032</v>
      </c>
      <c r="H152" s="99">
        <f>G152+'29'!H152</f>
        <v>3990</v>
      </c>
      <c r="I152" s="119"/>
      <c r="J152" s="328">
        <f>H152/DAY(B2)</f>
        <v>133</v>
      </c>
    </row>
    <row r="153" spans="1:10" ht="30.75" customHeight="1">
      <c r="A153" s="787" t="s">
        <v>196</v>
      </c>
      <c r="B153" s="788"/>
      <c r="C153" s="365"/>
      <c r="D153" s="358"/>
      <c r="E153" s="360"/>
      <c r="F153" s="361"/>
      <c r="G153" s="362">
        <f>SUM(G138:G152)</f>
        <v>5840.1249999999609</v>
      </c>
      <c r="H153" s="363"/>
      <c r="I153" s="119">
        <f>G153-(G38+G52)</f>
        <v>3106.2450000000072</v>
      </c>
      <c r="J153" s="366"/>
    </row>
    <row r="154" spans="1:10" ht="30.75" customHeight="1">
      <c r="A154" s="869" t="s">
        <v>344</v>
      </c>
      <c r="B154" s="869"/>
      <c r="C154" s="869"/>
      <c r="D154" s="869"/>
      <c r="E154" s="869"/>
      <c r="F154" s="869"/>
      <c r="G154" s="869"/>
      <c r="H154" s="869"/>
      <c r="I154" s="869"/>
      <c r="J154" s="869"/>
    </row>
    <row r="155" spans="1:10" ht="30.75" customHeight="1">
      <c r="A155" s="863" t="s">
        <v>345</v>
      </c>
      <c r="B155" s="863"/>
      <c r="C155" s="863"/>
      <c r="D155" s="117" t="s">
        <v>130</v>
      </c>
      <c r="E155" s="95">
        <f>'29'!F155</f>
        <v>255261.55</v>
      </c>
      <c r="F155" s="374">
        <v>255803.83</v>
      </c>
      <c r="G155" s="112">
        <f t="shared" ref="G155:G158" si="12">F155-E155</f>
        <v>542.27999999999884</v>
      </c>
      <c r="H155" s="99">
        <f>G155+'29'!H155</f>
        <v>16769.829999999987</v>
      </c>
      <c r="I155" s="364"/>
      <c r="J155" s="328">
        <f>H155/DAY(B2)</f>
        <v>558.99433333333286</v>
      </c>
    </row>
    <row r="156" spans="1:10" ht="30.75" customHeight="1">
      <c r="A156" s="863" t="s">
        <v>347</v>
      </c>
      <c r="B156" s="863"/>
      <c r="C156" s="863"/>
      <c r="D156" s="117" t="s">
        <v>130</v>
      </c>
      <c r="E156" s="95">
        <f>'29'!F156</f>
        <v>32362.187000000002</v>
      </c>
      <c r="F156" s="155">
        <v>32459</v>
      </c>
      <c r="G156" s="112">
        <f t="shared" si="12"/>
        <v>96.812999999998283</v>
      </c>
      <c r="H156" s="99">
        <f>G156+'29'!H156</f>
        <v>2779.5</v>
      </c>
      <c r="I156" s="165"/>
      <c r="J156" s="328">
        <f>H156/DAY(B2)</f>
        <v>92.65</v>
      </c>
    </row>
    <row r="157" spans="1:10" ht="30.75" customHeight="1">
      <c r="A157" s="864" t="s">
        <v>360</v>
      </c>
      <c r="B157" s="865"/>
      <c r="C157" s="866"/>
      <c r="D157" s="117" t="s">
        <v>130</v>
      </c>
      <c r="E157" s="95">
        <f>'29'!F157</f>
        <v>37559</v>
      </c>
      <c r="F157" s="155">
        <v>37559</v>
      </c>
      <c r="G157" s="112">
        <f t="shared" si="12"/>
        <v>0</v>
      </c>
      <c r="H157" s="99">
        <f>G157+'29'!H157</f>
        <v>0</v>
      </c>
      <c r="I157" s="165"/>
      <c r="J157" s="328">
        <f>H157/DAY(B2)</f>
        <v>0</v>
      </c>
    </row>
    <row r="158" spans="1:10" ht="30.75" customHeight="1">
      <c r="A158" s="864" t="s">
        <v>361</v>
      </c>
      <c r="B158" s="865"/>
      <c r="C158" s="866"/>
      <c r="D158" s="117" t="s">
        <v>130</v>
      </c>
      <c r="E158" s="95">
        <f>'29'!F158</f>
        <v>1782</v>
      </c>
      <c r="F158" s="155">
        <v>1783</v>
      </c>
      <c r="G158" s="112">
        <f t="shared" si="12"/>
        <v>1</v>
      </c>
      <c r="H158" s="99">
        <f>G158+'29'!H158</f>
        <v>2</v>
      </c>
      <c r="I158" s="165"/>
      <c r="J158" s="328">
        <f>H158/DAY(B2)</f>
        <v>6.6666666666666666E-2</v>
      </c>
    </row>
    <row r="159" spans="1:10" ht="30.75" customHeight="1">
      <c r="A159" s="944"/>
      <c r="B159" s="945"/>
      <c r="C159" s="946"/>
      <c r="D159" s="117"/>
      <c r="E159" s="95"/>
      <c r="F159" s="165"/>
      <c r="G159" s="112"/>
      <c r="H159" s="99"/>
      <c r="I159" s="165"/>
      <c r="J159" s="328"/>
    </row>
    <row r="160" spans="1:10" ht="30.75" customHeight="1">
      <c r="A160" s="869"/>
      <c r="B160" s="869"/>
      <c r="C160" s="869"/>
      <c r="D160" s="869"/>
      <c r="E160" s="869"/>
      <c r="F160" s="869"/>
      <c r="G160" s="869"/>
      <c r="H160" s="869"/>
      <c r="I160" s="869"/>
      <c r="J160" s="869"/>
    </row>
    <row r="161" spans="1:10" ht="30.75" customHeight="1">
      <c r="A161" s="242" t="s">
        <v>92</v>
      </c>
      <c r="B161" s="243"/>
      <c r="C161" s="243"/>
      <c r="D161" s="244" t="s">
        <v>180</v>
      </c>
      <c r="E161" s="95">
        <f>'29'!F161</f>
        <v>512165.8</v>
      </c>
      <c r="F161" s="235">
        <v>512296.36</v>
      </c>
      <c r="G161" s="238">
        <f t="shared" ref="G161:G165" si="13">F161-E161</f>
        <v>130.55999999999767</v>
      </c>
      <c r="H161" s="99">
        <f>G161+'29'!H161</f>
        <v>3913.039999999979</v>
      </c>
      <c r="I161" s="236"/>
      <c r="J161" s="239">
        <f>H161/DAY(B2)</f>
        <v>130.43466666666598</v>
      </c>
    </row>
    <row r="162" spans="1:10" ht="30.75" customHeight="1">
      <c r="A162" s="242" t="s">
        <v>93</v>
      </c>
      <c r="B162" s="243"/>
      <c r="C162" s="243"/>
      <c r="D162" s="244" t="s">
        <v>180</v>
      </c>
      <c r="E162" s="95">
        <f>'29'!F162</f>
        <v>1714.1</v>
      </c>
      <c r="F162" s="235">
        <v>1748.7</v>
      </c>
      <c r="G162" s="238">
        <f t="shared" si="13"/>
        <v>34.600000000000136</v>
      </c>
      <c r="H162" s="99">
        <f>G162+'29'!H162</f>
        <v>1012.1</v>
      </c>
      <c r="I162" s="236"/>
      <c r="J162" s="239">
        <f>H162/DAY(B2)</f>
        <v>33.736666666666665</v>
      </c>
    </row>
    <row r="163" spans="1:10" ht="30.75" customHeight="1">
      <c r="A163" s="242" t="s">
        <v>197</v>
      </c>
      <c r="B163" s="243"/>
      <c r="C163" s="243"/>
      <c r="D163" s="244" t="s">
        <v>180</v>
      </c>
      <c r="E163" s="95">
        <f>'29'!F163</f>
        <v>0</v>
      </c>
      <c r="F163" s="235">
        <v>0</v>
      </c>
      <c r="G163" s="238">
        <f t="shared" si="13"/>
        <v>0</v>
      </c>
      <c r="H163" s="99">
        <f>G163+'29'!H163</f>
        <v>0</v>
      </c>
      <c r="I163" s="236"/>
      <c r="J163" s="239">
        <f>H163/DAY(B2)</f>
        <v>0</v>
      </c>
    </row>
    <row r="164" spans="1:10" ht="30.75" customHeight="1">
      <c r="A164" s="242" t="s">
        <v>197</v>
      </c>
      <c r="B164" s="243"/>
      <c r="C164" s="243"/>
      <c r="D164" s="244" t="s">
        <v>180</v>
      </c>
      <c r="E164" s="95">
        <f>'29'!F164</f>
        <v>7333</v>
      </c>
      <c r="F164" s="235">
        <v>7334</v>
      </c>
      <c r="G164" s="238">
        <f t="shared" si="13"/>
        <v>1</v>
      </c>
      <c r="H164" s="99">
        <f>G164+'29'!H164</f>
        <v>135</v>
      </c>
      <c r="I164" s="236"/>
      <c r="J164" s="239">
        <f>H164/DAY(B2)</f>
        <v>4.5</v>
      </c>
    </row>
    <row r="165" spans="1:10" ht="30.75" customHeight="1">
      <c r="A165" s="242" t="s">
        <v>309</v>
      </c>
      <c r="B165" s="243"/>
      <c r="C165" s="243"/>
      <c r="D165" s="244" t="s">
        <v>180</v>
      </c>
      <c r="E165" s="95">
        <f>'29'!F165</f>
        <v>32958</v>
      </c>
      <c r="F165" s="235">
        <v>32966.300000000003</v>
      </c>
      <c r="G165" s="238">
        <f t="shared" si="13"/>
        <v>8.3000000000029104</v>
      </c>
      <c r="H165" s="99">
        <f>G165+'29'!H165</f>
        <v>186.21199999999953</v>
      </c>
      <c r="I165" s="236"/>
      <c r="J165" s="239">
        <f>H165/DAY(B2)</f>
        <v>6.207066666666651</v>
      </c>
    </row>
    <row r="166" spans="1:10" ht="30.75" customHeight="1">
      <c r="A166" s="870"/>
      <c r="B166" s="870"/>
      <c r="C166" s="246"/>
      <c r="D166" s="244" t="s">
        <v>180</v>
      </c>
      <c r="E166" s="95">
        <f>'29'!F166</f>
        <v>0</v>
      </c>
      <c r="F166" s="165"/>
      <c r="G166" s="165"/>
      <c r="H166" s="99">
        <f>G166+'29'!H166</f>
        <v>0</v>
      </c>
      <c r="I166" s="165"/>
      <c r="J166" s="239">
        <f>H166/DAY(B2)</f>
        <v>0</v>
      </c>
    </row>
    <row r="167" spans="1:10" ht="30.75" customHeight="1">
      <c r="A167" s="870"/>
      <c r="B167" s="870"/>
      <c r="C167" s="246"/>
      <c r="D167" s="244" t="s">
        <v>180</v>
      </c>
      <c r="E167" s="95">
        <f>'29'!F167</f>
        <v>0</v>
      </c>
      <c r="F167" s="165"/>
      <c r="G167" s="165"/>
      <c r="H167" s="99">
        <f>G167+'29'!H167</f>
        <v>0</v>
      </c>
      <c r="I167" s="165"/>
      <c r="J167" s="239">
        <f>H167/DAY(B2)</f>
        <v>0</v>
      </c>
    </row>
    <row r="168" spans="1:10" ht="30.75" customHeight="1">
      <c r="A168" s="870"/>
      <c r="B168" s="870"/>
      <c r="C168" s="246"/>
      <c r="D168" s="244" t="s">
        <v>180</v>
      </c>
      <c r="E168" s="95">
        <f>'29'!F168</f>
        <v>0</v>
      </c>
      <c r="F168" s="165"/>
      <c r="G168" s="165"/>
      <c r="H168" s="99">
        <f>G168+'29'!H168</f>
        <v>0</v>
      </c>
      <c r="I168" s="165"/>
      <c r="J168" s="239">
        <f>H168/DAY(B2)</f>
        <v>0</v>
      </c>
    </row>
    <row r="171" spans="1:10" ht="30.75" customHeight="1">
      <c r="A171" s="871" t="s">
        <v>330</v>
      </c>
      <c r="B171" s="872"/>
      <c r="C171" s="872"/>
      <c r="D171" s="872"/>
      <c r="E171" s="872"/>
      <c r="F171" s="872"/>
      <c r="G171" s="872"/>
      <c r="H171" s="872"/>
      <c r="I171" s="872"/>
      <c r="J171" s="873"/>
    </row>
    <row r="172" spans="1:10" ht="30.75" customHeight="1">
      <c r="A172" s="878"/>
      <c r="B172" s="879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>
      <c r="A173" s="789" t="s">
        <v>209</v>
      </c>
      <c r="B173" s="790"/>
      <c r="C173" s="333"/>
      <c r="D173" s="228" t="s">
        <v>142</v>
      </c>
      <c r="E173" s="95">
        <f>'29'!F173</f>
        <v>8612</v>
      </c>
      <c r="F173" s="155">
        <v>8612</v>
      </c>
      <c r="G173" s="155">
        <f>F173-E173</f>
        <v>0</v>
      </c>
      <c r="H173" s="99">
        <f>G173+'29'!H173</f>
        <v>30</v>
      </c>
      <c r="I173" s="155"/>
      <c r="J173" s="178">
        <f>H173/DAY(B2)</f>
        <v>1</v>
      </c>
    </row>
    <row r="174" spans="1:10" ht="30.75" customHeight="1">
      <c r="A174" s="789" t="s">
        <v>75</v>
      </c>
      <c r="B174" s="790"/>
      <c r="C174" s="333"/>
      <c r="D174" s="228" t="s">
        <v>142</v>
      </c>
      <c r="E174" s="95">
        <f>'29'!F174</f>
        <v>43390</v>
      </c>
      <c r="F174" s="157">
        <v>43403</v>
      </c>
      <c r="G174" s="155">
        <f t="shared" ref="G174:G175" si="14">F174-E174</f>
        <v>13</v>
      </c>
      <c r="H174" s="99">
        <f>G174+'29'!H174</f>
        <v>353</v>
      </c>
      <c r="I174" s="155"/>
      <c r="J174" s="178">
        <f>H174/DAY(B2)</f>
        <v>11.766666666666667</v>
      </c>
    </row>
    <row r="175" spans="1:10" ht="30.75" customHeight="1">
      <c r="A175" s="789" t="s">
        <v>76</v>
      </c>
      <c r="B175" s="802"/>
      <c r="C175" s="790"/>
      <c r="D175" s="228" t="s">
        <v>142</v>
      </c>
      <c r="E175" s="95">
        <f>'29'!F175</f>
        <v>26259</v>
      </c>
      <c r="F175" s="155">
        <v>26273</v>
      </c>
      <c r="G175" s="155">
        <f t="shared" si="14"/>
        <v>14</v>
      </c>
      <c r="H175" s="99">
        <f>G175+'29'!H175</f>
        <v>452</v>
      </c>
      <c r="I175" s="155"/>
      <c r="J175" s="178">
        <f>H175/DAY(B2)</f>
        <v>15.066666666666666</v>
      </c>
    </row>
    <row r="176" spans="1:10" ht="30.75" customHeight="1">
      <c r="A176" s="787" t="s">
        <v>196</v>
      </c>
      <c r="B176" s="788"/>
      <c r="C176" s="400"/>
      <c r="D176" s="228" t="s">
        <v>142</v>
      </c>
      <c r="E176" s="95"/>
      <c r="F176" s="155"/>
      <c r="G176" s="155">
        <f>SUM(G173:G175)</f>
        <v>27</v>
      </c>
      <c r="H176" s="99">
        <f>G176+'29'!H176</f>
        <v>835</v>
      </c>
      <c r="I176" s="155"/>
      <c r="J176" s="178">
        <f>H176/DAY(B2)</f>
        <v>27.833333333333332</v>
      </c>
    </row>
    <row r="177" spans="1:10" ht="30.75" customHeight="1">
      <c r="A177" s="789" t="s">
        <v>77</v>
      </c>
      <c r="B177" s="790"/>
      <c r="C177" s="333"/>
      <c r="D177" s="228" t="s">
        <v>142</v>
      </c>
      <c r="E177" s="95"/>
      <c r="F177" s="155"/>
      <c r="G177" s="155"/>
      <c r="H177" s="99">
        <f>G177+'29'!H177</f>
        <v>0</v>
      </c>
      <c r="I177" s="155"/>
      <c r="J177" s="178">
        <f>H177/DAY(B2)</f>
        <v>0</v>
      </c>
    </row>
    <row r="178" spans="1:10" ht="30.75" customHeight="1">
      <c r="A178" s="789" t="s">
        <v>210</v>
      </c>
      <c r="B178" s="790"/>
      <c r="C178" s="333"/>
      <c r="D178" s="228" t="s">
        <v>142</v>
      </c>
      <c r="E178" s="95">
        <f>'29'!F178</f>
        <v>110237</v>
      </c>
      <c r="F178" s="155">
        <v>110309</v>
      </c>
      <c r="G178" s="155">
        <f>F178-E178</f>
        <v>72</v>
      </c>
      <c r="H178" s="99">
        <f>G178+'29'!H178</f>
        <v>3310</v>
      </c>
      <c r="I178" s="155"/>
      <c r="J178" s="178">
        <f>H178/DAY(B2)</f>
        <v>110.33333333333333</v>
      </c>
    </row>
    <row r="179" spans="1:10" ht="30.75" customHeight="1">
      <c r="A179" s="789" t="s">
        <v>211</v>
      </c>
      <c r="B179" s="790"/>
      <c r="C179" s="333"/>
      <c r="D179" s="228" t="s">
        <v>142</v>
      </c>
      <c r="E179" s="95">
        <f>'29'!F179</f>
        <v>37501</v>
      </c>
      <c r="F179" s="155">
        <v>37501</v>
      </c>
      <c r="G179" s="155">
        <f t="shared" ref="G179:G180" si="15">F179-E179</f>
        <v>0</v>
      </c>
      <c r="H179" s="99">
        <f>G179+'29'!H179</f>
        <v>0</v>
      </c>
      <c r="I179" s="155"/>
      <c r="J179" s="178">
        <f>H179/DAY(B2)</f>
        <v>0</v>
      </c>
    </row>
    <row r="180" spans="1:10" ht="30.75" customHeight="1">
      <c r="A180" s="789" t="s">
        <v>212</v>
      </c>
      <c r="B180" s="790"/>
      <c r="C180" s="333"/>
      <c r="D180" s="228" t="s">
        <v>142</v>
      </c>
      <c r="E180" s="95">
        <f>'29'!F180</f>
        <v>7692</v>
      </c>
      <c r="F180" s="155">
        <v>7696</v>
      </c>
      <c r="G180" s="155">
        <f t="shared" si="15"/>
        <v>4</v>
      </c>
      <c r="H180" s="99">
        <f>G180+'29'!H180</f>
        <v>133</v>
      </c>
      <c r="I180" s="155"/>
      <c r="J180" s="178">
        <f>H180/DAY(B2)</f>
        <v>4.4333333333333336</v>
      </c>
    </row>
    <row r="181" spans="1:10" ht="30.75" customHeight="1">
      <c r="A181" s="876" t="s">
        <v>108</v>
      </c>
      <c r="B181" s="877"/>
      <c r="C181" s="400"/>
      <c r="D181" s="228" t="s">
        <v>142</v>
      </c>
      <c r="E181" s="95"/>
      <c r="F181" s="155"/>
      <c r="G181" s="155">
        <f>SUM(G178:G180)</f>
        <v>76</v>
      </c>
      <c r="H181" s="99">
        <f>G181+'29'!H181</f>
        <v>3443</v>
      </c>
      <c r="I181" s="155"/>
      <c r="J181" s="178">
        <f>H181/DAY(B2)</f>
        <v>114.76666666666667</v>
      </c>
    </row>
    <row r="182" spans="1:10" ht="30.75" customHeight="1">
      <c r="A182" s="789" t="s">
        <v>213</v>
      </c>
      <c r="B182" s="790"/>
      <c r="C182" s="333"/>
      <c r="D182" s="228" t="s">
        <v>142</v>
      </c>
      <c r="E182" s="95"/>
      <c r="F182" s="155"/>
      <c r="G182" s="155"/>
      <c r="H182" s="99">
        <f>G182+'29'!H182</f>
        <v>0</v>
      </c>
      <c r="I182" s="155"/>
      <c r="J182" s="178">
        <f>H182/DAY(B2)</f>
        <v>0</v>
      </c>
    </row>
    <row r="183" spans="1:10" ht="30.75" customHeight="1">
      <c r="A183" s="789" t="s">
        <v>214</v>
      </c>
      <c r="B183" s="790"/>
      <c r="C183" s="334"/>
      <c r="D183" s="228" t="s">
        <v>142</v>
      </c>
      <c r="E183" s="95">
        <f>'29'!F183</f>
        <v>18662</v>
      </c>
      <c r="F183" s="157">
        <v>18688</v>
      </c>
      <c r="G183" s="157">
        <f>F183-E183</f>
        <v>26</v>
      </c>
      <c r="H183" s="99">
        <f>G183+'29'!H183</f>
        <v>310</v>
      </c>
      <c r="I183" s="155"/>
      <c r="J183" s="178">
        <f>H183/DAY(B2)</f>
        <v>10.333333333333334</v>
      </c>
    </row>
    <row r="184" spans="1:10" ht="30.75" customHeight="1">
      <c r="A184" s="789" t="s">
        <v>215</v>
      </c>
      <c r="B184" s="790"/>
      <c r="C184" s="334"/>
      <c r="D184" s="228" t="s">
        <v>142</v>
      </c>
      <c r="E184" s="95">
        <f>'29'!F184</f>
        <v>13230</v>
      </c>
      <c r="F184" s="157">
        <v>13239</v>
      </c>
      <c r="G184" s="157">
        <f t="shared" ref="G184:G185" si="16">F184-E184</f>
        <v>9</v>
      </c>
      <c r="H184" s="99">
        <f>G184+'29'!H184</f>
        <v>259</v>
      </c>
      <c r="I184" s="155"/>
      <c r="J184" s="178">
        <f>H184/DAY(B2)</f>
        <v>8.6333333333333329</v>
      </c>
    </row>
    <row r="185" spans="1:10" ht="30.75" customHeight="1">
      <c r="A185" s="789" t="s">
        <v>216</v>
      </c>
      <c r="B185" s="790"/>
      <c r="C185" s="334"/>
      <c r="D185" s="228" t="s">
        <v>142</v>
      </c>
      <c r="E185" s="95">
        <f>'29'!F185</f>
        <v>2532</v>
      </c>
      <c r="F185" s="157"/>
      <c r="G185" s="157">
        <f t="shared" si="16"/>
        <v>-2532</v>
      </c>
      <c r="H185" s="99">
        <f>G185+'29'!H185</f>
        <v>0</v>
      </c>
      <c r="I185" s="155"/>
      <c r="J185" s="178">
        <f>H185/DAY(B2)</f>
        <v>0</v>
      </c>
    </row>
    <row r="186" spans="1:10" ht="30.75" customHeight="1">
      <c r="A186" s="787" t="s">
        <v>196</v>
      </c>
      <c r="B186" s="788"/>
      <c r="C186" s="399"/>
      <c r="D186" s="228" t="s">
        <v>142</v>
      </c>
      <c r="E186" s="95"/>
      <c r="F186" s="157"/>
      <c r="G186" s="157">
        <f>SUM(G183:G185)</f>
        <v>-2497</v>
      </c>
      <c r="H186" s="99">
        <f>G186+'29'!H186</f>
        <v>569</v>
      </c>
      <c r="I186" s="157"/>
      <c r="J186" s="178">
        <f>H186/DAY(B2)</f>
        <v>18.966666666666665</v>
      </c>
    </row>
    <row r="187" spans="1:10" ht="30.75" customHeight="1">
      <c r="A187" s="867" t="s">
        <v>217</v>
      </c>
      <c r="B187" s="868"/>
      <c r="C187" s="333"/>
      <c r="D187" s="228" t="s">
        <v>142</v>
      </c>
      <c r="E187" s="95"/>
      <c r="F187" s="159"/>
      <c r="G187" s="159">
        <f>G62+G19</f>
        <v>150</v>
      </c>
      <c r="H187" s="99">
        <f>G187+'29'!H187</f>
        <v>5106</v>
      </c>
      <c r="I187" s="158"/>
      <c r="J187" s="179">
        <f>H187/DAY(B2)</f>
        <v>170.2</v>
      </c>
    </row>
    <row r="188" spans="1:10" ht="30.75" customHeight="1">
      <c r="A188" s="867" t="s">
        <v>218</v>
      </c>
      <c r="B188" s="868"/>
      <c r="C188" s="333"/>
      <c r="D188" s="230" t="s">
        <v>142</v>
      </c>
      <c r="E188" s="95"/>
      <c r="F188" s="159"/>
      <c r="G188" s="159">
        <f>G65+G66+G67+G69+G70</f>
        <v>196</v>
      </c>
      <c r="H188" s="99">
        <f>G188+'29'!H188</f>
        <v>3143</v>
      </c>
      <c r="I188" s="158"/>
      <c r="J188" s="179">
        <f>H188/DAY(B2)</f>
        <v>104.76666666666667</v>
      </c>
    </row>
    <row r="189" spans="1:10" ht="30.75" customHeight="1">
      <c r="A189" s="867" t="s">
        <v>219</v>
      </c>
      <c r="B189" s="868"/>
      <c r="C189" s="333"/>
      <c r="D189" s="230" t="s">
        <v>142</v>
      </c>
      <c r="E189" s="95"/>
      <c r="F189" s="157"/>
      <c r="G189" s="157">
        <f>G181</f>
        <v>76</v>
      </c>
      <c r="H189" s="99">
        <f>G189+'29'!H189</f>
        <v>1322</v>
      </c>
      <c r="I189" s="158"/>
      <c r="J189" s="179">
        <f>H189/DAY(B2)</f>
        <v>44.06666666666667</v>
      </c>
    </row>
    <row r="190" spans="1:10" ht="30.75" customHeight="1">
      <c r="A190" s="874"/>
      <c r="B190" s="875"/>
      <c r="C190" s="398"/>
      <c r="D190" s="395"/>
      <c r="E190" s="395"/>
      <c r="F190" s="395"/>
      <c r="G190" s="395"/>
      <c r="H190" s="396"/>
      <c r="I190" s="395"/>
      <c r="J190" s="397"/>
    </row>
  </sheetData>
  <mergeCells count="115">
    <mergeCell ref="A96:C96"/>
    <mergeCell ref="A150:C150"/>
    <mergeCell ref="A151:C151"/>
    <mergeCell ref="A152:C152"/>
    <mergeCell ref="A97:C97"/>
    <mergeCell ref="A18:C18"/>
    <mergeCell ref="A1:J1"/>
    <mergeCell ref="E3:F3"/>
    <mergeCell ref="A6:C6"/>
    <mergeCell ref="A14:C14"/>
    <mergeCell ref="A17:C17"/>
    <mergeCell ref="A25:C25"/>
    <mergeCell ref="A74:C74"/>
    <mergeCell ref="A73:C73"/>
    <mergeCell ref="A71:C71"/>
    <mergeCell ref="A72:B72"/>
    <mergeCell ref="A119:C119"/>
    <mergeCell ref="A120:C120"/>
    <mergeCell ref="A121:C121"/>
    <mergeCell ref="A122:C122"/>
    <mergeCell ref="A124:C124"/>
    <mergeCell ref="A125:B125"/>
    <mergeCell ref="A126:J126"/>
    <mergeCell ref="A127:B127"/>
    <mergeCell ref="A76:C76"/>
    <mergeCell ref="A77:C77"/>
    <mergeCell ref="A79:C79"/>
    <mergeCell ref="A80:C80"/>
    <mergeCell ref="A78:C78"/>
    <mergeCell ref="A81:C81"/>
    <mergeCell ref="A95:C95"/>
    <mergeCell ref="A94:C94"/>
    <mergeCell ref="A93:C93"/>
    <mergeCell ref="A19:C19"/>
    <mergeCell ref="A21:C21"/>
    <mergeCell ref="A64:C64"/>
    <mergeCell ref="A65:C65"/>
    <mergeCell ref="A33:C33"/>
    <mergeCell ref="A61:C61"/>
    <mergeCell ref="A62:C62"/>
    <mergeCell ref="A63:C63"/>
    <mergeCell ref="A75:C75"/>
    <mergeCell ref="A123:C123"/>
    <mergeCell ref="A136:J136"/>
    <mergeCell ref="A138:C138"/>
    <mergeCell ref="A139:C139"/>
    <mergeCell ref="A140:C140"/>
    <mergeCell ref="A128:C128"/>
    <mergeCell ref="A131:C131"/>
    <mergeCell ref="A132:C132"/>
    <mergeCell ref="A133:C133"/>
    <mergeCell ref="A134:C134"/>
    <mergeCell ref="A135:B135"/>
    <mergeCell ref="A104:C104"/>
    <mergeCell ref="A105:C105"/>
    <mergeCell ref="A108:J108"/>
    <mergeCell ref="A110:J110"/>
    <mergeCell ref="A111:C111"/>
    <mergeCell ref="A98:C98"/>
    <mergeCell ref="A99:C99"/>
    <mergeCell ref="A100:C100"/>
    <mergeCell ref="A101:C101"/>
    <mergeCell ref="A103:C103"/>
    <mergeCell ref="A102:C102"/>
    <mergeCell ref="A109:B109"/>
    <mergeCell ref="Q116:R116"/>
    <mergeCell ref="A117:C117"/>
    <mergeCell ref="Q117:R117"/>
    <mergeCell ref="A118:C118"/>
    <mergeCell ref="Q118:R118"/>
    <mergeCell ref="A112:C112"/>
    <mergeCell ref="A113:C113"/>
    <mergeCell ref="A114:C114"/>
    <mergeCell ref="A115:C115"/>
    <mergeCell ref="A116:C116"/>
    <mergeCell ref="A141:C141"/>
    <mergeCell ref="A142:C142"/>
    <mergeCell ref="A160:J160"/>
    <mergeCell ref="A166:B166"/>
    <mergeCell ref="A167:B167"/>
    <mergeCell ref="A146:C146"/>
    <mergeCell ref="A175:C175"/>
    <mergeCell ref="A148:C148"/>
    <mergeCell ref="A149:C149"/>
    <mergeCell ref="A168:B168"/>
    <mergeCell ref="A171:J171"/>
    <mergeCell ref="A172:B172"/>
    <mergeCell ref="A143:C143"/>
    <mergeCell ref="A144:C144"/>
    <mergeCell ref="A145:C145"/>
    <mergeCell ref="A173:B173"/>
    <mergeCell ref="A174:B174"/>
    <mergeCell ref="A147:C147"/>
    <mergeCell ref="A154:J154"/>
    <mergeCell ref="A155:C155"/>
    <mergeCell ref="A156:C156"/>
    <mergeCell ref="A153:B153"/>
    <mergeCell ref="A157:C157"/>
    <mergeCell ref="A158:C158"/>
    <mergeCell ref="A159:C159"/>
    <mergeCell ref="A176:B176"/>
    <mergeCell ref="A177:B177"/>
    <mergeCell ref="A178:B178"/>
    <mergeCell ref="A188:B188"/>
    <mergeCell ref="A189:B189"/>
    <mergeCell ref="A190:B190"/>
    <mergeCell ref="A179:B179"/>
    <mergeCell ref="A180:B180"/>
    <mergeCell ref="A185:B185"/>
    <mergeCell ref="A186:B186"/>
    <mergeCell ref="A187:B187"/>
    <mergeCell ref="A183:B183"/>
    <mergeCell ref="A184:B184"/>
    <mergeCell ref="A181:B181"/>
    <mergeCell ref="A182:B182"/>
  </mergeCells>
  <pageMargins left="0.23622047244094491" right="0.15748031496062992" top="0.15748031496062992" bottom="0.19685039370078741" header="0.19685039370078741" footer="0.19685039370078741"/>
  <pageSetup paperSize="9" scale="14" fitToHeight="2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R320"/>
  <sheetViews>
    <sheetView view="pageBreakPreview" zoomScale="53" zoomScaleNormal="75" zoomScaleSheetLayoutView="53" workbookViewId="0">
      <selection activeCell="N40" sqref="N40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25.77734375" style="160" customWidth="1"/>
    <col min="6" max="6" width="30" style="413" customWidth="1"/>
    <col min="7" max="7" width="28.88671875" style="413" customWidth="1"/>
    <col min="8" max="8" width="29.109375" style="161" customWidth="1"/>
    <col min="9" max="9" width="23.5546875" style="413" customWidth="1"/>
    <col min="10" max="10" width="24" style="161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19" t="s">
        <v>115</v>
      </c>
      <c r="B1" s="920"/>
      <c r="C1" s="920"/>
      <c r="D1" s="920"/>
      <c r="E1" s="920"/>
      <c r="F1" s="920"/>
      <c r="G1" s="920"/>
      <c r="H1" s="920"/>
      <c r="I1" s="920"/>
      <c r="J1" s="921"/>
    </row>
    <row r="2" spans="1:15" s="57" customFormat="1" ht="23.25">
      <c r="A2" s="191" t="s">
        <v>378</v>
      </c>
      <c r="B2" s="262">
        <v>44926</v>
      </c>
      <c r="C2" s="348" t="s">
        <v>67</v>
      </c>
      <c r="D2" s="218">
        <v>0.5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31</v>
      </c>
      <c r="E3" s="928" t="s">
        <v>119</v>
      </c>
      <c r="F3" s="929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>
      <c r="A5" s="193" t="s">
        <v>121</v>
      </c>
      <c r="B5" s="98"/>
      <c r="C5" s="98"/>
      <c r="D5" s="146" t="s">
        <v>122</v>
      </c>
      <c r="E5" s="106" t="s">
        <v>110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22" t="s">
        <v>128</v>
      </c>
      <c r="B6" s="923"/>
      <c r="C6" s="92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6.25" thickBot="1">
      <c r="A7" s="982" t="s">
        <v>129</v>
      </c>
      <c r="B7" s="983"/>
      <c r="C7" s="984"/>
      <c r="D7" s="151" t="s">
        <v>130</v>
      </c>
      <c r="E7" s="95">
        <v>599225</v>
      </c>
      <c r="F7" s="95">
        <v>622799</v>
      </c>
      <c r="G7" s="112">
        <f>F7-E7</f>
        <v>23574</v>
      </c>
      <c r="H7" s="99">
        <f>G7+'30'!H7</f>
        <v>645180</v>
      </c>
      <c r="I7" s="113">
        <f>'1'!I7</f>
        <v>12000</v>
      </c>
      <c r="J7" s="175">
        <f>H7/DAY(B2)</f>
        <v>20812.258064516129</v>
      </c>
      <c r="K7" s="172">
        <v>1375467</v>
      </c>
      <c r="L7" s="66"/>
      <c r="N7" s="87">
        <f>F7-'1'!E7</f>
        <v>-354001</v>
      </c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114">
        <v>792104</v>
      </c>
      <c r="F8" s="114">
        <v>816110</v>
      </c>
      <c r="G8" s="115">
        <f>F8-E8</f>
        <v>24006</v>
      </c>
      <c r="H8" s="99">
        <f>G8+'30'!H8</f>
        <v>658253</v>
      </c>
      <c r="I8" s="116"/>
      <c r="J8" s="175">
        <f>H8/DAY(B2)</f>
        <v>21233.967741935485</v>
      </c>
      <c r="K8" s="172">
        <v>1715917</v>
      </c>
      <c r="L8" s="76">
        <v>1728480</v>
      </c>
      <c r="M8" s="87">
        <f>L8-K8</f>
        <v>12563</v>
      </c>
      <c r="N8" s="87">
        <f>F8-'1'!E8</f>
        <v>658253</v>
      </c>
      <c r="O8" s="71"/>
    </row>
    <row r="9" spans="1:15" ht="25.5">
      <c r="A9" s="985" t="s">
        <v>132</v>
      </c>
      <c r="B9" s="986"/>
      <c r="C9" s="987"/>
      <c r="D9" s="151" t="s">
        <v>130</v>
      </c>
      <c r="E9" s="468">
        <v>4810415.9000000004</v>
      </c>
      <c r="F9" s="468">
        <v>4825099</v>
      </c>
      <c r="G9" s="112">
        <f>F9-E9</f>
        <v>14683.099999999627</v>
      </c>
      <c r="H9" s="99">
        <f>G9+'30'!H9</f>
        <v>408493.09999999963</v>
      </c>
      <c r="I9" s="124">
        <f>I7-J7</f>
        <v>-8812.2580645161288</v>
      </c>
      <c r="J9" s="175">
        <f>H9/DAY(B2)</f>
        <v>13177.196774193537</v>
      </c>
      <c r="K9" s="79">
        <f>K8-100</f>
        <v>1715817</v>
      </c>
      <c r="L9" s="66"/>
      <c r="N9" s="87"/>
      <c r="O9" s="71"/>
    </row>
    <row r="10" spans="1:15" ht="25.5">
      <c r="A10" s="982" t="s">
        <v>133</v>
      </c>
      <c r="B10" s="983"/>
      <c r="C10" s="984"/>
      <c r="D10" s="151" t="s">
        <v>130</v>
      </c>
      <c r="E10" s="353">
        <v>4282264</v>
      </c>
      <c r="F10" s="353">
        <v>4290534</v>
      </c>
      <c r="G10" s="112">
        <f t="shared" ref="G10:G12" si="0">F10-E10</f>
        <v>8270</v>
      </c>
      <c r="H10" s="99">
        <f>G10+'30'!H10</f>
        <v>220497.70000000019</v>
      </c>
      <c r="I10" s="120"/>
      <c r="J10" s="175">
        <f>H10/DAY(B2)</f>
        <v>7112.8290322580706</v>
      </c>
      <c r="K10" s="79"/>
      <c r="L10" s="66"/>
      <c r="N10" s="87"/>
      <c r="O10" s="71"/>
    </row>
    <row r="11" spans="1:15" ht="25.5">
      <c r="A11" s="982" t="s">
        <v>134</v>
      </c>
      <c r="B11" s="983"/>
      <c r="C11" s="984"/>
      <c r="D11" s="151" t="s">
        <v>130</v>
      </c>
      <c r="E11" s="95">
        <v>38700</v>
      </c>
      <c r="F11" s="95">
        <v>38700</v>
      </c>
      <c r="G11" s="112">
        <f t="shared" si="0"/>
        <v>0</v>
      </c>
      <c r="H11" s="99">
        <f>G11+'30'!H11</f>
        <v>0</v>
      </c>
      <c r="I11" s="120"/>
      <c r="J11" s="175">
        <f>H11/DAY(B2)</f>
        <v>0</v>
      </c>
      <c r="K11" s="79"/>
      <c r="L11" s="66"/>
      <c r="N11" s="87"/>
      <c r="O11" s="71"/>
    </row>
    <row r="12" spans="1:15" ht="25.5">
      <c r="A12" s="982" t="s">
        <v>135</v>
      </c>
      <c r="B12" s="983"/>
      <c r="C12" s="984"/>
      <c r="D12" s="151" t="s">
        <v>130</v>
      </c>
      <c r="E12" s="117">
        <v>40550</v>
      </c>
      <c r="F12" s="117">
        <v>40550</v>
      </c>
      <c r="G12" s="112">
        <f t="shared" si="0"/>
        <v>0</v>
      </c>
      <c r="H12" s="99">
        <f>G12+'30'!H12</f>
        <v>0</v>
      </c>
      <c r="I12" s="120"/>
      <c r="J12" s="175">
        <f>H12/DAY(B2)</f>
        <v>0</v>
      </c>
      <c r="K12" s="79"/>
      <c r="L12" s="66"/>
      <c r="N12" s="87"/>
      <c r="O12" s="71"/>
    </row>
    <row r="13" spans="1:15" ht="21.9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22953.099999999627</v>
      </c>
      <c r="H13" s="99">
        <f>G13+'30'!H13</f>
        <v>628990.79999999981</v>
      </c>
      <c r="I13" s="120">
        <f>G7-G13</f>
        <v>620.90000000037253</v>
      </c>
      <c r="J13" s="175">
        <f>H13/DAY(B2)</f>
        <v>20290.025806451606</v>
      </c>
      <c r="K13" s="79"/>
      <c r="L13" s="66"/>
      <c r="N13" s="87"/>
      <c r="O13" s="71"/>
    </row>
    <row r="14" spans="1:15" ht="26.25">
      <c r="A14" s="925" t="s">
        <v>137</v>
      </c>
      <c r="B14" s="926"/>
      <c r="C14" s="92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>
      <c r="A15" s="902" t="s">
        <v>138</v>
      </c>
      <c r="B15" s="903"/>
      <c r="C15" s="904"/>
      <c r="D15" s="151" t="s">
        <v>139</v>
      </c>
      <c r="E15" s="468">
        <v>2287362.753</v>
      </c>
      <c r="F15" s="468">
        <v>2288473.7149999999</v>
      </c>
      <c r="G15" s="112">
        <f>(F15-E15)</f>
        <v>1110.9619999998249</v>
      </c>
      <c r="H15" s="99">
        <f>G15+'30'!H15</f>
        <v>35172.356999999844</v>
      </c>
      <c r="I15" s="113">
        <f>'1'!I15</f>
        <v>800</v>
      </c>
      <c r="J15" s="175">
        <f>H15/DAY(B2)</f>
        <v>1134.5921612903176</v>
      </c>
      <c r="K15" s="79"/>
      <c r="L15" s="66"/>
      <c r="N15" s="87">
        <f>F15-'1'!E15</f>
        <v>35172.356999999844</v>
      </c>
      <c r="O15" s="71"/>
    </row>
    <row r="16" spans="1:15" ht="21.95" customHeight="1">
      <c r="A16" s="979"/>
      <c r="B16" s="980"/>
      <c r="C16" s="981"/>
      <c r="D16" s="152"/>
      <c r="E16" s="123"/>
      <c r="F16" s="123"/>
      <c r="G16" s="112"/>
      <c r="H16" s="124"/>
      <c r="I16" s="113">
        <f>'1'!I16</f>
        <v>-377.14199999999255</v>
      </c>
      <c r="J16" s="559">
        <f>H16/DAY(B2)</f>
        <v>0</v>
      </c>
      <c r="K16" s="79"/>
      <c r="L16" s="66"/>
      <c r="N16" s="87"/>
      <c r="O16" s="71"/>
    </row>
    <row r="17" spans="1:15" ht="26.25">
      <c r="A17" s="925" t="s">
        <v>140</v>
      </c>
      <c r="B17" s="926"/>
      <c r="C17" s="92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02" t="s">
        <v>141</v>
      </c>
      <c r="B18" s="903"/>
      <c r="C18" s="904"/>
      <c r="D18" s="151" t="s">
        <v>142</v>
      </c>
      <c r="E18" s="122">
        <v>28</v>
      </c>
      <c r="F18" s="164">
        <v>13</v>
      </c>
      <c r="G18" s="119">
        <f>F18*10</f>
        <v>130</v>
      </c>
      <c r="H18" s="99">
        <f>G18+'30'!H18</f>
        <v>6700</v>
      </c>
      <c r="I18" s="113">
        <f>'1'!I18</f>
        <v>65</v>
      </c>
      <c r="J18" s="175">
        <f>H18/DAY(B2)</f>
        <v>216.12903225806451</v>
      </c>
      <c r="K18" s="79"/>
      <c r="L18" s="66"/>
      <c r="N18" s="87"/>
      <c r="O18" s="71"/>
    </row>
    <row r="19" spans="1:15" ht="25.5">
      <c r="A19" s="902" t="s">
        <v>69</v>
      </c>
      <c r="B19" s="903"/>
      <c r="C19" s="904"/>
      <c r="D19" s="151" t="s">
        <v>142</v>
      </c>
      <c r="E19" s="122">
        <v>171259</v>
      </c>
      <c r="F19" s="122">
        <v>171323</v>
      </c>
      <c r="G19" s="112">
        <f t="shared" ref="G19" si="1">F19-E19</f>
        <v>64</v>
      </c>
      <c r="H19" s="99">
        <f>G19+'30'!H19</f>
        <v>1758</v>
      </c>
      <c r="I19" s="123"/>
      <c r="J19" s="175">
        <f>H19/DAY(B2)</f>
        <v>56.70967741935484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194</v>
      </c>
      <c r="H20" s="99">
        <f>G20+'30'!H20</f>
        <v>8458</v>
      </c>
      <c r="I20" s="336">
        <f>I18-J20</f>
        <v>-207.83870967741933</v>
      </c>
      <c r="J20" s="175">
        <f>H20/DAY(B2)</f>
        <v>272.83870967741933</v>
      </c>
      <c r="K20" s="79"/>
      <c r="L20" s="66"/>
      <c r="N20" s="87"/>
      <c r="O20" s="71"/>
    </row>
    <row r="21" spans="1:15" ht="26.25">
      <c r="A21" s="925" t="s">
        <v>144</v>
      </c>
      <c r="B21" s="926"/>
      <c r="C21" s="92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122">
        <v>2970</v>
      </c>
      <c r="F22" s="122">
        <v>2970</v>
      </c>
      <c r="G22" s="119">
        <f t="shared" ref="G22" si="2">(F22-E22)</f>
        <v>0</v>
      </c>
      <c r="H22" s="99">
        <f>G22+'30'!H22</f>
        <v>0</v>
      </c>
      <c r="I22" s="95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122">
        <v>2000</v>
      </c>
      <c r="F23" s="122">
        <v>2000</v>
      </c>
      <c r="G23" s="119">
        <v>0</v>
      </c>
      <c r="H23" s="99">
        <f>G23+'30'!H23</f>
        <v>0</v>
      </c>
      <c r="I23" s="95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128">
        <v>4970</v>
      </c>
      <c r="F24" s="128">
        <v>4970</v>
      </c>
      <c r="G24" s="119">
        <v>0</v>
      </c>
      <c r="H24" s="99">
        <f>G24+'30'!H24</f>
        <v>0</v>
      </c>
      <c r="I24" s="95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30" t="s">
        <v>149</v>
      </c>
      <c r="B25" s="931"/>
      <c r="C25" s="93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6">
        <v>23574</v>
      </c>
      <c r="F27" s="136">
        <v>9</v>
      </c>
      <c r="G27" s="137">
        <f>E27*F27</f>
        <v>212166</v>
      </c>
      <c r="H27" s="99">
        <f>G27+'30'!H27</f>
        <v>6150543.2000000002</v>
      </c>
      <c r="I27" s="138"/>
      <c r="J27" s="175">
        <f>H27/DAY(B2)</f>
        <v>198404.61935483871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6">
        <v>1111</v>
      </c>
      <c r="F28" s="136">
        <v>70</v>
      </c>
      <c r="G28" s="137">
        <f>E28*F28</f>
        <v>77770</v>
      </c>
      <c r="H28" s="99">
        <f>G28+'30'!H28</f>
        <v>2423469.8600000003</v>
      </c>
      <c r="I28" s="528"/>
      <c r="J28" s="175">
        <f>H28/DAY(B2)</f>
        <v>78176.447096774209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36">
        <v>0</v>
      </c>
      <c r="F29" s="136">
        <v>69</v>
      </c>
      <c r="G29" s="137">
        <f>E29*F29</f>
        <v>0</v>
      </c>
      <c r="H29" s="99">
        <f>G29+'30'!H29</f>
        <v>6900</v>
      </c>
      <c r="I29" s="528"/>
      <c r="J29" s="175">
        <f>H29/DAY(B2)</f>
        <v>222.58064516129033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36">
        <v>64</v>
      </c>
      <c r="F30" s="136">
        <v>151</v>
      </c>
      <c r="G30" s="137">
        <f>E30*F30</f>
        <v>9664</v>
      </c>
      <c r="H30" s="99">
        <f>G30+'30'!H30</f>
        <v>265458</v>
      </c>
      <c r="I30" s="528"/>
      <c r="J30" s="175">
        <f>H30/DAY(B2)</f>
        <v>8563.1612903225814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36">
        <v>130</v>
      </c>
      <c r="F31" s="136">
        <v>80</v>
      </c>
      <c r="G31" s="137">
        <f>E31*F31</f>
        <v>10400</v>
      </c>
      <c r="H31" s="99">
        <f>G31+'30'!H31</f>
        <v>546200</v>
      </c>
      <c r="I31" s="528"/>
      <c r="J31" s="175">
        <f>H31/DAY(B2)</f>
        <v>17619.354838709678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310000</v>
      </c>
      <c r="H32" s="99">
        <f>G32+'30'!H32</f>
        <v>9392571.0600000005</v>
      </c>
      <c r="I32" s="144"/>
      <c r="J32" s="175">
        <f>H32/DAY(B2)</f>
        <v>302986.16322580649</v>
      </c>
      <c r="K32" s="63"/>
      <c r="L32" s="89"/>
      <c r="N32" s="87"/>
      <c r="O32" s="71"/>
    </row>
    <row r="33" spans="1:15" ht="25.5" customHeight="1">
      <c r="A33" s="933" t="s">
        <v>331</v>
      </c>
      <c r="B33" s="934"/>
      <c r="C33" s="934"/>
      <c r="D33" s="337"/>
      <c r="E33" s="337"/>
      <c r="F33" s="529"/>
      <c r="G33" s="529"/>
      <c r="H33" s="529"/>
      <c r="I33" s="529"/>
      <c r="J33" s="530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145">
        <v>527307</v>
      </c>
      <c r="F35" s="145">
        <v>530056</v>
      </c>
      <c r="G35" s="112">
        <f t="shared" ref="G35:G46" si="3">F35-E35</f>
        <v>2749</v>
      </c>
      <c r="H35" s="99">
        <f>G35+'30'!H35</f>
        <v>75538.010000000009</v>
      </c>
      <c r="I35" s="95"/>
      <c r="J35" s="175">
        <f>H35/DAY(B2)</f>
        <v>2436.7100000000005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145">
        <v>380620.89</v>
      </c>
      <c r="F36" s="145">
        <v>381821</v>
      </c>
      <c r="G36" s="112">
        <f t="shared" si="3"/>
        <v>1200.109999999986</v>
      </c>
      <c r="H36" s="99">
        <f>G36+'30'!H36</f>
        <v>27732.099999999977</v>
      </c>
      <c r="I36" s="95"/>
      <c r="J36" s="175">
        <f>H36/DAY(B2)</f>
        <v>894.58387096774118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145">
        <v>382147.35</v>
      </c>
      <c r="F37" s="145">
        <v>383619</v>
      </c>
      <c r="G37" s="112">
        <f t="shared" si="3"/>
        <v>1471.6500000000233</v>
      </c>
      <c r="H37" s="99">
        <f>G37+'30'!H37</f>
        <v>45349.130000000005</v>
      </c>
      <c r="I37" s="95"/>
      <c r="J37" s="175">
        <f>H37/DAY(B2)</f>
        <v>1462.8751612903227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108">
        <v>874436.48</v>
      </c>
      <c r="F38" s="108">
        <v>877127</v>
      </c>
      <c r="G38" s="112">
        <f t="shared" si="3"/>
        <v>2690.5200000000186</v>
      </c>
      <c r="H38" s="99">
        <f>G38+'30'!H38</f>
        <v>77449.650000000023</v>
      </c>
      <c r="I38" s="95"/>
      <c r="J38" s="175">
        <f>H38/DAY(B2)</f>
        <v>2498.3758064516137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145">
        <v>703295.59</v>
      </c>
      <c r="F39" s="145">
        <v>706136</v>
      </c>
      <c r="G39" s="112">
        <f t="shared" si="3"/>
        <v>2840.4100000000326</v>
      </c>
      <c r="H39" s="99">
        <f>G39+'30'!H39</f>
        <v>85846</v>
      </c>
      <c r="I39" s="95"/>
      <c r="J39" s="175">
        <f>H39/DAY(B2)</f>
        <v>2769.2258064516127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145">
        <v>217537.89</v>
      </c>
      <c r="F40" s="145">
        <v>217792</v>
      </c>
      <c r="G40" s="112">
        <f t="shared" si="3"/>
        <v>254.10999999998603</v>
      </c>
      <c r="H40" s="99">
        <f>G40+'30'!H40</f>
        <v>8105.6499999999942</v>
      </c>
      <c r="I40" s="95"/>
      <c r="J40" s="175">
        <f>H40/DAY(B2)</f>
        <v>261.47258064516109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145">
        <v>420212.5</v>
      </c>
      <c r="F41" s="145">
        <v>420212.51</v>
      </c>
      <c r="G41" s="112">
        <f t="shared" si="3"/>
        <v>1.0000000009313226E-2</v>
      </c>
      <c r="H41" s="99">
        <f>G41+'30'!H41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145">
        <v>970677.43</v>
      </c>
      <c r="F42" s="145">
        <v>973062.63</v>
      </c>
      <c r="G42" s="112">
        <f t="shared" si="3"/>
        <v>2385.1999999999534</v>
      </c>
      <c r="H42" s="99">
        <f>G42+'30'!H42</f>
        <v>52108.130000000005</v>
      </c>
      <c r="I42" s="95"/>
      <c r="J42" s="175">
        <f>H42/DAY(B2)</f>
        <v>1680.9074193548388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145">
        <v>422444</v>
      </c>
      <c r="F43" s="145">
        <v>422444</v>
      </c>
      <c r="G43" s="112">
        <f t="shared" si="3"/>
        <v>0</v>
      </c>
      <c r="H43" s="99">
        <f>G43+'30'!H43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145">
        <v>0</v>
      </c>
      <c r="F44" s="145">
        <v>0</v>
      </c>
      <c r="G44" s="112">
        <f t="shared" si="3"/>
        <v>0</v>
      </c>
      <c r="H44" s="99">
        <f>G44+'30'!H44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145">
        <v>0</v>
      </c>
      <c r="F45" s="145">
        <v>0</v>
      </c>
      <c r="G45" s="112">
        <f t="shared" si="3"/>
        <v>0</v>
      </c>
      <c r="H45" s="99">
        <f>G45+'30'!H45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145">
        <v>0</v>
      </c>
      <c r="F46" s="145">
        <v>0</v>
      </c>
      <c r="G46" s="112">
        <f t="shared" si="3"/>
        <v>0</v>
      </c>
      <c r="H46" s="99">
        <f>G46+'30'!H46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13591.010000000009</v>
      </c>
      <c r="H47" s="99">
        <f>G47+'30'!H47</f>
        <v>372128.67000000004</v>
      </c>
      <c r="I47" s="95"/>
      <c r="J47" s="175">
        <f>H47/DAY(B2)</f>
        <v>12004.150645161291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145">
        <v>822337.11</v>
      </c>
      <c r="F49" s="145">
        <v>822912</v>
      </c>
      <c r="G49" s="112">
        <f t="shared" ref="G49:G58" si="4">F49-E49</f>
        <v>574.89000000001397</v>
      </c>
      <c r="H49" s="99">
        <f>G49+'30'!H49</f>
        <v>16407.849999999977</v>
      </c>
      <c r="I49" s="95"/>
      <c r="J49" s="175">
        <f>H49/DAY(B2)</f>
        <v>529.28548387096703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145">
        <v>540459.82999999996</v>
      </c>
      <c r="F50" s="145">
        <v>541974</v>
      </c>
      <c r="G50" s="112">
        <f t="shared" si="4"/>
        <v>1514.1700000000419</v>
      </c>
      <c r="H50" s="99">
        <f>G50+'30'!H50</f>
        <v>40821</v>
      </c>
      <c r="I50" s="95"/>
      <c r="J50" s="175">
        <f>H50/DAY(B2)</f>
        <v>1316.8064516129032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145">
        <v>156958</v>
      </c>
      <c r="F51" s="145">
        <v>156958</v>
      </c>
      <c r="G51" s="112">
        <f t="shared" si="4"/>
        <v>0</v>
      </c>
      <c r="H51" s="99">
        <f>G51+'30'!H51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145">
        <v>1457.43</v>
      </c>
      <c r="F52" s="145">
        <v>1457</v>
      </c>
      <c r="G52" s="112">
        <f t="shared" si="4"/>
        <v>-0.43000000000006366</v>
      </c>
      <c r="H52" s="99">
        <f>G52+'30'!H52</f>
        <v>1447</v>
      </c>
      <c r="I52" s="95"/>
      <c r="J52" s="175">
        <f>H52/DAY(B2)</f>
        <v>46.677419354838712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418">
        <v>630355</v>
      </c>
      <c r="F53" s="145">
        <v>630355.03</v>
      </c>
      <c r="G53" s="112">
        <f t="shared" si="4"/>
        <v>3.0000000027939677E-2</v>
      </c>
      <c r="H53" s="99">
        <f>G53+'30'!H53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418">
        <v>123806.69</v>
      </c>
      <c r="F54" s="145">
        <v>124114.21</v>
      </c>
      <c r="G54" s="112">
        <f t="shared" si="4"/>
        <v>307.52000000000407</v>
      </c>
      <c r="H54" s="99">
        <f>G54+'30'!H54</f>
        <v>9517.0800000000017</v>
      </c>
      <c r="I54" s="95"/>
      <c r="J54" s="175">
        <f>H54/DAY(B2)</f>
        <v>307.00258064516134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418">
        <v>594304.75</v>
      </c>
      <c r="F55" s="145">
        <v>594304.75</v>
      </c>
      <c r="G55" s="112">
        <f t="shared" si="4"/>
        <v>0</v>
      </c>
      <c r="H55" s="99">
        <f>G55+'30'!H55</f>
        <v>17969.119999999995</v>
      </c>
      <c r="I55" s="95"/>
      <c r="J55" s="175">
        <f>H55/DAY(B2)</f>
        <v>579.64903225806438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418">
        <v>370876.51</v>
      </c>
      <c r="F56" s="145">
        <v>373120</v>
      </c>
      <c r="G56" s="112">
        <f t="shared" si="4"/>
        <v>2243.4899999999907</v>
      </c>
      <c r="H56" s="99">
        <f>G56+'30'!H56</f>
        <v>37893.789999999979</v>
      </c>
      <c r="I56" s="95"/>
      <c r="J56" s="175">
        <f>H56/DAY(B2)</f>
        <v>1222.3803225806446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418">
        <v>705108.31</v>
      </c>
      <c r="F57" s="145">
        <v>707698</v>
      </c>
      <c r="G57" s="112">
        <f t="shared" si="4"/>
        <v>2589.6899999999441</v>
      </c>
      <c r="H57" s="99">
        <f>G57+'30'!H57</f>
        <v>76865</v>
      </c>
      <c r="I57" s="95"/>
      <c r="J57" s="175">
        <f>H57/DAY(B2)</f>
        <v>2479.516129032258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418">
        <v>94292</v>
      </c>
      <c r="F58" s="145">
        <v>94569.82</v>
      </c>
      <c r="G58" s="112">
        <f t="shared" si="4"/>
        <v>277.82000000000698</v>
      </c>
      <c r="H58" s="99">
        <f>G58+'30'!H58</f>
        <v>8009.3210000000108</v>
      </c>
      <c r="I58" s="95"/>
      <c r="J58" s="175">
        <f>H58/DAY(B2)</f>
        <v>258.36519354838742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227"/>
      <c r="F59" s="146"/>
      <c r="G59" s="119">
        <f>G49+G50+G51+G52+G53+G54+G55+G56+G57+G58</f>
        <v>7507.1800000000294</v>
      </c>
      <c r="H59" s="99">
        <f>G59+'30'!H59</f>
        <v>208930.16099999996</v>
      </c>
      <c r="I59" s="95">
        <f>G7-G60</f>
        <v>2475.8099999999613</v>
      </c>
      <c r="J59" s="175">
        <f>H59/DAY(B2)</f>
        <v>6739.6826129032243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227"/>
      <c r="F60" s="146"/>
      <c r="G60" s="119">
        <f>G47+G59</f>
        <v>21098.190000000039</v>
      </c>
      <c r="H60" s="99">
        <f>G60+'30'!H60</f>
        <v>581058.83099999989</v>
      </c>
      <c r="I60" s="95">
        <f>G13-G60</f>
        <v>1854.9099999995888</v>
      </c>
      <c r="J60" s="175">
        <f>H60/DAY(B2)</f>
        <v>18743.833258064511</v>
      </c>
      <c r="K60" s="79"/>
      <c r="L60" s="66"/>
      <c r="N60" s="87"/>
      <c r="O60" s="71"/>
    </row>
    <row r="61" spans="1:15" s="68" customFormat="1" ht="26.25">
      <c r="A61" s="935" t="s">
        <v>332</v>
      </c>
      <c r="B61" s="936"/>
      <c r="C61" s="937"/>
      <c r="D61" s="339"/>
      <c r="E61" s="340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02" t="s">
        <v>198</v>
      </c>
      <c r="B62" s="903"/>
      <c r="C62" s="904"/>
      <c r="D62" s="151" t="s">
        <v>142</v>
      </c>
      <c r="E62" s="150">
        <v>315512</v>
      </c>
      <c r="F62" s="122">
        <v>315677</v>
      </c>
      <c r="G62" s="112">
        <f t="shared" ref="G62:G63" si="5">F62-E62</f>
        <v>165</v>
      </c>
      <c r="H62" s="99">
        <f>G62+'30'!H62</f>
        <v>3577</v>
      </c>
      <c r="I62" s="95"/>
      <c r="J62" s="175">
        <f>H62/DAY(B2)</f>
        <v>115.38709677419355</v>
      </c>
      <c r="K62" s="80"/>
      <c r="L62" s="66"/>
      <c r="N62" s="87"/>
      <c r="O62" s="71"/>
    </row>
    <row r="63" spans="1:15" ht="25.5">
      <c r="A63" s="902" t="s">
        <v>199</v>
      </c>
      <c r="B63" s="903"/>
      <c r="C63" s="904"/>
      <c r="D63" s="151" t="s">
        <v>142</v>
      </c>
      <c r="E63" s="150">
        <v>252234</v>
      </c>
      <c r="F63" s="164">
        <v>252324</v>
      </c>
      <c r="G63" s="112">
        <f t="shared" si="5"/>
        <v>90</v>
      </c>
      <c r="H63" s="99">
        <f>G63+'30'!H63</f>
        <v>3289</v>
      </c>
      <c r="I63" s="95"/>
      <c r="J63" s="175">
        <f>H63/DAY(B2)</f>
        <v>106.09677419354838</v>
      </c>
      <c r="K63" s="69"/>
      <c r="L63" s="66"/>
      <c r="N63" s="87"/>
      <c r="O63" s="71"/>
    </row>
    <row r="64" spans="1:15" ht="26.25">
      <c r="A64" s="911" t="s">
        <v>200</v>
      </c>
      <c r="B64" s="912"/>
      <c r="C64" s="913"/>
      <c r="D64" s="151"/>
      <c r="E64" s="150"/>
      <c r="F64" s="122"/>
      <c r="G64" s="112">
        <f>G62+G63</f>
        <v>255</v>
      </c>
      <c r="H64" s="99">
        <f>G64+'30'!H64</f>
        <v>6866</v>
      </c>
      <c r="I64" s="95"/>
      <c r="J64" s="175">
        <f>H64/DAY(B2)</f>
        <v>221.48387096774192</v>
      </c>
      <c r="K64" s="69"/>
      <c r="L64" s="66"/>
      <c r="N64" s="87"/>
      <c r="O64" s="71"/>
    </row>
    <row r="65" spans="1:15" ht="25.5">
      <c r="A65" s="902" t="s">
        <v>201</v>
      </c>
      <c r="B65" s="903"/>
      <c r="C65" s="904"/>
      <c r="D65" s="151" t="s">
        <v>142</v>
      </c>
      <c r="E65" s="150">
        <v>475766</v>
      </c>
      <c r="F65" s="122">
        <v>475903</v>
      </c>
      <c r="G65" s="112">
        <f t="shared" ref="G65:G70" si="6">F65-E65</f>
        <v>137</v>
      </c>
      <c r="H65" s="99">
        <f>G65+'30'!H65</f>
        <v>3873</v>
      </c>
      <c r="I65" s="95"/>
      <c r="J65" s="175">
        <f>H65/DAY(B2)</f>
        <v>124.93548387096774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150">
        <v>114426</v>
      </c>
      <c r="F66" s="122">
        <v>114466</v>
      </c>
      <c r="G66" s="112">
        <f t="shared" si="6"/>
        <v>40</v>
      </c>
      <c r="H66" s="99">
        <f>G66+'30'!H66</f>
        <v>1744</v>
      </c>
      <c r="I66" s="95"/>
      <c r="J66" s="175">
        <f>H66/DAY(B2)</f>
        <v>56.258064516129032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150">
        <v>117260</v>
      </c>
      <c r="F67" s="122" t="s">
        <v>207</v>
      </c>
      <c r="G67" s="112" t="e">
        <f t="shared" si="6"/>
        <v>#VALUE!</v>
      </c>
      <c r="H67" s="99" t="e">
        <f>G67+'30'!H67</f>
        <v>#VALUE!</v>
      </c>
      <c r="I67" s="95"/>
      <c r="J67" s="175" t="e">
        <f>H67/DAY(B2)</f>
        <v>#VALUE!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150">
        <v>169923</v>
      </c>
      <c r="F68" s="122">
        <v>169950</v>
      </c>
      <c r="G68" s="112">
        <f t="shared" si="6"/>
        <v>27</v>
      </c>
      <c r="H68" s="99">
        <f>G68+'30'!H68</f>
        <v>591</v>
      </c>
      <c r="I68" s="95"/>
      <c r="J68" s="175">
        <f>H68/DAY(B2)</f>
        <v>19.06451612903226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150">
        <v>13239</v>
      </c>
      <c r="F69" s="122">
        <v>13246</v>
      </c>
      <c r="G69" s="112">
        <f t="shared" si="6"/>
        <v>7</v>
      </c>
      <c r="H69" s="99">
        <f>G69+'30'!H69</f>
        <v>280</v>
      </c>
      <c r="I69" s="95"/>
      <c r="J69" s="175">
        <f>H69/DAY(B2)</f>
        <v>9.0322580645161299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150">
        <v>11249</v>
      </c>
      <c r="F70" s="122">
        <v>11016</v>
      </c>
      <c r="G70" s="112">
        <f t="shared" si="6"/>
        <v>-233</v>
      </c>
      <c r="H70" s="99">
        <f>G70+'30'!H70</f>
        <v>0</v>
      </c>
      <c r="I70" s="95"/>
      <c r="J70" s="175">
        <f>H70/DAY(B2)</f>
        <v>0</v>
      </c>
      <c r="K70" s="69"/>
      <c r="L70" s="66"/>
      <c r="N70" s="87"/>
      <c r="O70" s="71"/>
    </row>
    <row r="71" spans="1:15" ht="26.25">
      <c r="A71" s="911" t="s">
        <v>208</v>
      </c>
      <c r="B71" s="912"/>
      <c r="C71" s="913"/>
      <c r="D71" s="152"/>
      <c r="E71" s="152"/>
      <c r="F71" s="152"/>
      <c r="G71" s="153" t="e">
        <f>SUM(G65:G70)</f>
        <v>#VALUE!</v>
      </c>
      <c r="H71" s="99" t="e">
        <f>G71+'30'!H71</f>
        <v>#VALUE!</v>
      </c>
      <c r="I71" s="531"/>
      <c r="J71" s="175" t="e">
        <f>H71/DAY(B2)</f>
        <v>#VALUE!</v>
      </c>
      <c r="K71" s="69"/>
      <c r="L71" s="66"/>
      <c r="N71" s="87"/>
      <c r="O71" s="71"/>
    </row>
    <row r="72" spans="1:15" s="88" customFormat="1" ht="25.5">
      <c r="A72" s="898"/>
      <c r="B72" s="883"/>
      <c r="C72" s="347"/>
      <c r="D72" s="180"/>
      <c r="E72" s="180"/>
      <c r="F72" s="411"/>
      <c r="G72" s="411"/>
      <c r="H72" s="181"/>
      <c r="I72" s="411"/>
      <c r="J72" s="532"/>
      <c r="N72" s="87"/>
      <c r="O72" s="71"/>
    </row>
    <row r="73" spans="1:15" ht="26.25">
      <c r="A73" s="908" t="s">
        <v>333</v>
      </c>
      <c r="B73" s="909"/>
      <c r="C73" s="910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02" t="s">
        <v>220</v>
      </c>
      <c r="B74" s="903"/>
      <c r="C74" s="904"/>
      <c r="D74" s="151" t="s">
        <v>139</v>
      </c>
      <c r="E74" s="123">
        <v>11928</v>
      </c>
      <c r="F74" s="123">
        <v>12262</v>
      </c>
      <c r="G74" s="112">
        <f t="shared" ref="G74:G78" si="7">F74-E74</f>
        <v>334</v>
      </c>
      <c r="H74" s="99">
        <f>G74+'30'!H74</f>
        <v>6073</v>
      </c>
      <c r="I74" s="531"/>
      <c r="J74" s="175">
        <f>H74/DAY(B2)</f>
        <v>195.90322580645162</v>
      </c>
      <c r="K74" s="69"/>
      <c r="L74" s="66"/>
      <c r="N74" s="87"/>
      <c r="O74" s="71"/>
    </row>
    <row r="75" spans="1:15" ht="25.5">
      <c r="A75" s="902" t="s">
        <v>221</v>
      </c>
      <c r="B75" s="903"/>
      <c r="C75" s="904"/>
      <c r="D75" s="151" t="s">
        <v>139</v>
      </c>
      <c r="E75" s="123">
        <v>73586.8</v>
      </c>
      <c r="F75" s="123">
        <v>73586.8</v>
      </c>
      <c r="G75" s="112">
        <f t="shared" si="7"/>
        <v>0</v>
      </c>
      <c r="H75" s="99">
        <f>G75+'30'!H75</f>
        <v>0</v>
      </c>
      <c r="I75" s="531"/>
      <c r="J75" s="175">
        <f>H75/DAY(B2)</f>
        <v>0</v>
      </c>
      <c r="K75" s="69"/>
      <c r="L75" s="66"/>
      <c r="N75" s="87"/>
      <c r="O75" s="71"/>
    </row>
    <row r="76" spans="1:15" ht="25.5">
      <c r="A76" s="899" t="s">
        <v>222</v>
      </c>
      <c r="B76" s="900"/>
      <c r="C76" s="901"/>
      <c r="D76" s="151" t="s">
        <v>139</v>
      </c>
      <c r="E76" s="123">
        <v>210560</v>
      </c>
      <c r="F76" s="123">
        <v>210660</v>
      </c>
      <c r="G76" s="112">
        <f t="shared" si="7"/>
        <v>100</v>
      </c>
      <c r="H76" s="99">
        <f>G76+'30'!H76</f>
        <v>3283</v>
      </c>
      <c r="I76" s="531"/>
      <c r="J76" s="175">
        <f>H76/DAY(B2)</f>
        <v>105.90322580645162</v>
      </c>
      <c r="K76" s="69"/>
      <c r="L76" s="66"/>
      <c r="N76" s="87"/>
      <c r="O76" s="71"/>
    </row>
    <row r="77" spans="1:15" ht="25.5">
      <c r="A77" s="899" t="s">
        <v>223</v>
      </c>
      <c r="B77" s="900"/>
      <c r="C77" s="901"/>
      <c r="D77" s="151" t="s">
        <v>139</v>
      </c>
      <c r="E77" s="123">
        <v>59702</v>
      </c>
      <c r="F77" s="409">
        <v>59761</v>
      </c>
      <c r="G77" s="112">
        <f t="shared" si="7"/>
        <v>59</v>
      </c>
      <c r="H77" s="99">
        <f>G77+'30'!H77</f>
        <v>1609</v>
      </c>
      <c r="I77" s="531"/>
      <c r="J77" s="175">
        <f>H77/DAY(B2)</f>
        <v>51.903225806451616</v>
      </c>
      <c r="K77" s="69"/>
      <c r="L77" s="66"/>
      <c r="N77" s="87"/>
      <c r="O77" s="71"/>
    </row>
    <row r="78" spans="1:15" ht="25.5">
      <c r="A78" s="899" t="s">
        <v>224</v>
      </c>
      <c r="B78" s="900"/>
      <c r="C78" s="901"/>
      <c r="D78" s="151" t="s">
        <v>139</v>
      </c>
      <c r="E78" s="123">
        <v>9564</v>
      </c>
      <c r="F78" s="409">
        <v>9564</v>
      </c>
      <c r="G78" s="112">
        <f t="shared" si="7"/>
        <v>0</v>
      </c>
      <c r="H78" s="99">
        <f>G78+'30'!H78</f>
        <v>0</v>
      </c>
      <c r="I78" s="95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899" t="s">
        <v>225</v>
      </c>
      <c r="B79" s="900"/>
      <c r="C79" s="901"/>
      <c r="D79" s="151"/>
      <c r="E79" s="117"/>
      <c r="F79" s="123"/>
      <c r="G79" s="112">
        <f>G15-SUM(G74:G78)</f>
        <v>617.96199999982491</v>
      </c>
      <c r="H79" s="99">
        <f>G79+'30'!H79</f>
        <v>-969844.64299999992</v>
      </c>
      <c r="I79" s="95"/>
      <c r="J79" s="175"/>
      <c r="K79" s="59"/>
      <c r="L79" s="58"/>
      <c r="N79" s="87"/>
      <c r="O79" s="71"/>
    </row>
    <row r="80" spans="1:15" s="57" customFormat="1" ht="26.25">
      <c r="A80" s="911" t="s">
        <v>329</v>
      </c>
      <c r="B80" s="912"/>
      <c r="C80" s="913"/>
      <c r="D80" s="151"/>
      <c r="E80" s="117"/>
      <c r="F80" s="117"/>
      <c r="G80" s="112">
        <f>SUM(G74:G79)</f>
        <v>1110.9619999998249</v>
      </c>
      <c r="H80" s="99"/>
      <c r="I80" s="95"/>
      <c r="J80" s="175"/>
      <c r="K80" s="59"/>
      <c r="L80" s="58"/>
      <c r="N80" s="87"/>
      <c r="O80" s="71"/>
    </row>
    <row r="81" spans="1:15" ht="25.5">
      <c r="A81" s="915" t="s">
        <v>226</v>
      </c>
      <c r="B81" s="916"/>
      <c r="C81" s="917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122">
        <v>0</v>
      </c>
      <c r="F82" s="122">
        <v>0</v>
      </c>
      <c r="G82" s="112">
        <f t="shared" ref="G82:G92" si="8">F82-E82</f>
        <v>0</v>
      </c>
      <c r="H82" s="99">
        <f>G82+'30'!H131</f>
        <v>4955.6399999999994</v>
      </c>
      <c r="I82" s="545"/>
      <c r="J82" s="175">
        <f>H82/DAY(B2)</f>
        <v>159.85935483870966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122">
        <v>0</v>
      </c>
      <c r="F83" s="122">
        <v>0</v>
      </c>
      <c r="G83" s="112">
        <f t="shared" si="8"/>
        <v>0</v>
      </c>
      <c r="H83" s="99">
        <f>G83+'30'!H83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164">
        <v>43546</v>
      </c>
      <c r="F84" s="164">
        <v>43546</v>
      </c>
      <c r="G84" s="112">
        <f t="shared" si="8"/>
        <v>0</v>
      </c>
      <c r="H84" s="99">
        <f>G84+'30'!H84</f>
        <v>-0.34999999999854481</v>
      </c>
      <c r="I84" s="545"/>
      <c r="J84" s="175">
        <f>H84/DAY(B2)</f>
        <v>-1.1290322580598219E-2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150">
        <v>6203</v>
      </c>
      <c r="F85" s="164">
        <v>6213</v>
      </c>
      <c r="G85" s="112">
        <f t="shared" si="8"/>
        <v>10</v>
      </c>
      <c r="H85" s="99">
        <f>G85+'30'!H85</f>
        <v>280.55000000000018</v>
      </c>
      <c r="I85" s="545"/>
      <c r="J85" s="175">
        <f>H85/DAY(B2)</f>
        <v>9.050000000000006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164">
        <v>46971</v>
      </c>
      <c r="F86" s="164">
        <v>46971</v>
      </c>
      <c r="G86" s="112">
        <f t="shared" si="8"/>
        <v>0</v>
      </c>
      <c r="H86" s="99">
        <f>G86+'30'!H86</f>
        <v>137</v>
      </c>
      <c r="I86" s="545"/>
      <c r="J86" s="175">
        <f>H86/DAY(B2)</f>
        <v>4.419354838709677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164">
        <v>37346</v>
      </c>
      <c r="F87" s="164">
        <v>37364</v>
      </c>
      <c r="G87" s="112">
        <f t="shared" si="8"/>
        <v>18</v>
      </c>
      <c r="H87" s="99">
        <f>G87+'30'!H87</f>
        <v>336</v>
      </c>
      <c r="I87" s="545">
        <f>G84+G85+G86+G87</f>
        <v>28</v>
      </c>
      <c r="J87" s="175">
        <f>H87/DAY(B2)</f>
        <v>10.838709677419354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164">
        <v>24753</v>
      </c>
      <c r="F88" s="164">
        <v>24762</v>
      </c>
      <c r="G88" s="112">
        <f t="shared" si="8"/>
        <v>9</v>
      </c>
      <c r="H88" s="99">
        <f>G88+'30'!H88</f>
        <v>158.40000000000146</v>
      </c>
      <c r="I88" s="545"/>
      <c r="J88" s="175">
        <f>H88/DAY(B2)</f>
        <v>5.1096774193548855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164">
        <v>29023</v>
      </c>
      <c r="F89" s="164">
        <v>29028</v>
      </c>
      <c r="G89" s="112">
        <f t="shared" si="8"/>
        <v>5</v>
      </c>
      <c r="H89" s="99">
        <f>G89+'30'!H89</f>
        <v>279.61000000000058</v>
      </c>
      <c r="I89" s="545">
        <f>G88+G89</f>
        <v>14</v>
      </c>
      <c r="J89" s="175">
        <f>H89/DAY(B2)</f>
        <v>9.0196774193548581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164">
        <v>74442</v>
      </c>
      <c r="F90" s="164">
        <v>74448</v>
      </c>
      <c r="G90" s="112">
        <f>F90-E90</f>
        <v>6</v>
      </c>
      <c r="H90" s="99">
        <f>G90+'30'!H90</f>
        <v>53.660000000003492</v>
      </c>
      <c r="I90" s="545">
        <f>G90</f>
        <v>6</v>
      </c>
      <c r="J90" s="175">
        <f>H90/DAY(B2)</f>
        <v>1.7309677419355964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122">
        <v>5618</v>
      </c>
      <c r="F91" s="122">
        <v>5618.21</v>
      </c>
      <c r="G91" s="112">
        <f t="shared" si="8"/>
        <v>0.21000000000003638</v>
      </c>
      <c r="H91" s="99">
        <f>G91+'30'!H91</f>
        <v>0</v>
      </c>
      <c r="I91" s="546"/>
      <c r="J91" s="175">
        <f>H91/DAY(B2)</f>
        <v>0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122">
        <v>7420</v>
      </c>
      <c r="F92" s="122">
        <v>7432.28</v>
      </c>
      <c r="G92" s="112">
        <f t="shared" si="8"/>
        <v>12.279999999999745</v>
      </c>
      <c r="H92" s="99">
        <f>G92+'30'!H92</f>
        <v>352.59000000000015</v>
      </c>
      <c r="I92" s="547">
        <f>G91+G92</f>
        <v>12.489999999999782</v>
      </c>
      <c r="J92" s="175">
        <f>H92/DAY(B2)</f>
        <v>11.37387096774194</v>
      </c>
      <c r="O92" s="71"/>
    </row>
    <row r="93" spans="1:15" ht="26.25">
      <c r="A93" s="905"/>
      <c r="B93" s="906"/>
      <c r="C93" s="90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5913.5799999999581</v>
      </c>
      <c r="H94" s="99">
        <f>G94+'30'!H94</f>
        <v>168810.86</v>
      </c>
      <c r="I94" s="95"/>
      <c r="J94" s="175">
        <f>H94/DAY(B2)</f>
        <v>5445.5116129032258</v>
      </c>
      <c r="K94" s="69"/>
      <c r="L94" s="66"/>
      <c r="O94" s="71"/>
    </row>
    <row r="95" spans="1:15" ht="25.5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0.25085178586578255</v>
      </c>
      <c r="H95" s="99">
        <f>G95+'30'!H95</f>
        <v>8.1244860428112009</v>
      </c>
      <c r="I95" s="533"/>
      <c r="J95" s="175">
        <f>H95/DAY(B2)</f>
        <v>0.26208019492939355</v>
      </c>
      <c r="K95" s="69"/>
      <c r="L95" s="66"/>
      <c r="O95" s="71"/>
    </row>
    <row r="96" spans="1:15" ht="25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4628.6999999999534</v>
      </c>
      <c r="H96" s="99">
        <f>G96+'30'!H96</f>
        <v>107971.03999999998</v>
      </c>
      <c r="I96" s="95"/>
      <c r="J96" s="175">
        <f>H96/DAY(B2)</f>
        <v>3482.9367741935475</v>
      </c>
      <c r="K96" s="69"/>
      <c r="L96" s="66"/>
      <c r="O96" s="71"/>
    </row>
    <row r="97" spans="1:15" ht="25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0.19634767116314386</v>
      </c>
      <c r="H97" s="99">
        <f>G97+'30'!H97</f>
        <v>5.1627012330026858</v>
      </c>
      <c r="I97" s="533"/>
      <c r="J97" s="175">
        <f>H97/DAY(B2)</f>
        <v>0.16653874945169955</v>
      </c>
      <c r="K97" s="69"/>
      <c r="L97" s="66"/>
      <c r="O97" s="71"/>
    </row>
    <row r="98" spans="1:15" ht="25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2840.4400000000605</v>
      </c>
      <c r="H98" s="99">
        <f>G98+'30'!H98</f>
        <v>85846</v>
      </c>
      <c r="I98" s="512"/>
      <c r="J98" s="175">
        <f>H98/DAY(B2)</f>
        <v>2769.2258064516127</v>
      </c>
      <c r="K98" s="69"/>
      <c r="L98" s="66"/>
      <c r="O98" s="71"/>
    </row>
    <row r="99" spans="1:15" ht="25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0.12049037074743618</v>
      </c>
      <c r="H99" s="99" t="e">
        <f>G99+'30'!H99</f>
        <v>#VALUE!</v>
      </c>
      <c r="I99" s="512"/>
      <c r="J99" s="175" t="e">
        <f>H99/DAY(B2)</f>
        <v>#VALUE!</v>
      </c>
      <c r="O99" s="71"/>
    </row>
    <row r="100" spans="1:15" ht="26.2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2690.0900000000183</v>
      </c>
      <c r="H100" s="99">
        <f>G100+'30'!H100</f>
        <v>78896.650000000023</v>
      </c>
      <c r="I100" s="95"/>
      <c r="J100" s="175">
        <f>H100/DAY(B2)</f>
        <v>2545.0532258064522</v>
      </c>
      <c r="K100" s="70"/>
      <c r="O100" s="71"/>
    </row>
    <row r="101" spans="1:15" ht="25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0.11411258165775932</v>
      </c>
      <c r="H101" s="99">
        <f>G101+'30'!H101</f>
        <v>3.8031522624926941</v>
      </c>
      <c r="I101" s="512"/>
      <c r="J101" s="175">
        <f>H101/DAY(B2)</f>
        <v>0.12268233104815142</v>
      </c>
      <c r="O101" s="71"/>
    </row>
    <row r="102" spans="1:15" ht="25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2714.2800000000279</v>
      </c>
      <c r="H102" s="99">
        <f>G102+'30'!H102</f>
        <v>68553.099999999977</v>
      </c>
      <c r="I102" s="512"/>
      <c r="J102" s="175">
        <f>H102/DAY(B2)</f>
        <v>2211.3903225806444</v>
      </c>
      <c r="O102" s="71"/>
    </row>
    <row r="103" spans="1:15" ht="25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0.11513871214049495</v>
      </c>
      <c r="H103" s="99">
        <f>G103+'30'!H103</f>
        <v>3.2903394959421868</v>
      </c>
      <c r="I103" s="95"/>
      <c r="J103" s="175">
        <f>H103/DAY(B2)</f>
        <v>0.10613998374007054</v>
      </c>
      <c r="O103" s="71"/>
    </row>
    <row r="104" spans="1:15" ht="25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1471.6500000000233</v>
      </c>
      <c r="H104" s="99">
        <f>G104+'30'!H104</f>
        <v>45349.130000000005</v>
      </c>
      <c r="I104" s="95"/>
      <c r="J104" s="175">
        <f>H104/DAY(B2)</f>
        <v>1462.8751612903227</v>
      </c>
      <c r="O104" s="71"/>
    </row>
    <row r="105" spans="1:15" ht="26.25" thickBot="1">
      <c r="A105" s="895" t="s">
        <v>251</v>
      </c>
      <c r="B105" s="896"/>
      <c r="C105" s="897"/>
      <c r="D105" s="231" t="s">
        <v>23</v>
      </c>
      <c r="E105" s="185"/>
      <c r="F105" s="185"/>
      <c r="G105" s="186">
        <f>G104/G7</f>
        <v>6.2426826164419413E-2</v>
      </c>
      <c r="H105" s="99">
        <f>G105+'30'!H105</f>
        <v>2.1841236455031634</v>
      </c>
      <c r="I105" s="185"/>
      <c r="J105" s="188">
        <f>H105/DAY(B2)</f>
        <v>7.0455601467843978E-2</v>
      </c>
      <c r="O105" s="71"/>
    </row>
    <row r="106" spans="1:15" ht="25.5">
      <c r="A106" s="105"/>
      <c r="B106" s="96"/>
      <c r="C106" s="96"/>
      <c r="D106" s="169"/>
      <c r="E106" s="169"/>
      <c r="F106" s="412"/>
      <c r="G106" s="412"/>
      <c r="H106" s="170"/>
      <c r="I106" s="412"/>
      <c r="J106" s="170"/>
      <c r="O106" s="71"/>
    </row>
    <row r="107" spans="1:15" ht="26.25"/>
    <row r="108" spans="1:15" ht="27.75">
      <c r="A108" s="891" t="s">
        <v>324</v>
      </c>
      <c r="B108" s="891"/>
      <c r="C108" s="891"/>
      <c r="D108" s="891"/>
      <c r="E108" s="891"/>
      <c r="F108" s="891"/>
      <c r="G108" s="891"/>
      <c r="H108" s="891"/>
      <c r="I108" s="891"/>
      <c r="J108" s="891"/>
    </row>
    <row r="109" spans="1:15" ht="26.25">
      <c r="A109" s="918"/>
      <c r="B109" s="918"/>
    </row>
    <row r="110" spans="1:15" ht="26.25">
      <c r="A110" s="892" t="s">
        <v>165</v>
      </c>
      <c r="B110" s="893"/>
      <c r="C110" s="893"/>
      <c r="D110" s="893"/>
      <c r="E110" s="893"/>
      <c r="F110" s="893"/>
      <c r="G110" s="893"/>
      <c r="H110" s="893"/>
      <c r="I110" s="893"/>
      <c r="J110" s="894"/>
    </row>
    <row r="111" spans="1:15" ht="25.5">
      <c r="A111" s="885"/>
      <c r="B111" s="886"/>
      <c r="C111" s="887"/>
      <c r="D111" s="165"/>
      <c r="E111" s="165"/>
      <c r="F111" s="155"/>
      <c r="G111" s="155"/>
      <c r="H111" s="156"/>
      <c r="I111" s="155"/>
      <c r="J111" s="156"/>
    </row>
    <row r="112" spans="1:15" ht="25.5">
      <c r="A112" s="881" t="s">
        <v>252</v>
      </c>
      <c r="B112" s="882"/>
      <c r="C112" s="883"/>
      <c r="D112" s="146" t="s">
        <v>183</v>
      </c>
      <c r="E112" s="237">
        <v>19336.726999999999</v>
      </c>
      <c r="F112" s="237">
        <v>19397</v>
      </c>
      <c r="G112" s="112">
        <f t="shared" ref="G112:G123" si="9">F112-E112</f>
        <v>60.273000000001048</v>
      </c>
      <c r="H112" s="99">
        <f>G112+'30'!H112</f>
        <v>1885.7000000000007</v>
      </c>
      <c r="I112" s="155"/>
      <c r="J112" s="328">
        <f>H112/DAY(B2)</f>
        <v>60.829032258064537</v>
      </c>
    </row>
    <row r="113" spans="1:18" ht="25.5">
      <c r="A113" s="881" t="s">
        <v>253</v>
      </c>
      <c r="B113" s="882"/>
      <c r="C113" s="883"/>
      <c r="D113" s="146" t="s">
        <v>183</v>
      </c>
      <c r="E113" s="237">
        <v>41375.730000000003</v>
      </c>
      <c r="F113" s="237">
        <v>41519.949999999997</v>
      </c>
      <c r="G113" s="112">
        <f t="shared" si="9"/>
        <v>144.21999999999389</v>
      </c>
      <c r="H113" s="99">
        <f>G113+'30'!H113</f>
        <v>4440.9499999999971</v>
      </c>
      <c r="I113" s="155"/>
      <c r="J113" s="328">
        <f>H113/DAY(B2)</f>
        <v>143.25645161290313</v>
      </c>
    </row>
    <row r="114" spans="1:18" ht="25.5">
      <c r="A114" s="881" t="s">
        <v>254</v>
      </c>
      <c r="B114" s="882"/>
      <c r="C114" s="883"/>
      <c r="D114" s="146" t="s">
        <v>183</v>
      </c>
      <c r="E114" s="237">
        <v>61000.87</v>
      </c>
      <c r="F114" s="237">
        <v>61218</v>
      </c>
      <c r="G114" s="112">
        <f t="shared" si="9"/>
        <v>217.12999999999738</v>
      </c>
      <c r="H114" s="99">
        <f>G114+'30'!H114</f>
        <v>6950.2200000000012</v>
      </c>
      <c r="I114" s="155"/>
      <c r="J114" s="328">
        <f>H114/DAY(B2)</f>
        <v>224.20064516129037</v>
      </c>
    </row>
    <row r="115" spans="1:18" ht="25.5">
      <c r="A115" s="881" t="s">
        <v>255</v>
      </c>
      <c r="B115" s="882"/>
      <c r="C115" s="883"/>
      <c r="D115" s="146" t="s">
        <v>183</v>
      </c>
      <c r="E115" s="237">
        <v>39293</v>
      </c>
      <c r="F115" s="237">
        <v>39459</v>
      </c>
      <c r="G115" s="112">
        <f t="shared" si="9"/>
        <v>166</v>
      </c>
      <c r="H115" s="99">
        <f>G115+'30'!H115</f>
        <v>4492.0899999999965</v>
      </c>
      <c r="I115" s="155"/>
      <c r="J115" s="328">
        <f>H115/DAY(B2)</f>
        <v>144.90612903225795</v>
      </c>
    </row>
    <row r="116" spans="1:18" ht="25.5">
      <c r="A116" s="888" t="s">
        <v>96</v>
      </c>
      <c r="B116" s="889"/>
      <c r="C116" s="890"/>
      <c r="D116" s="146" t="s">
        <v>183</v>
      </c>
      <c r="E116" s="237">
        <v>147459</v>
      </c>
      <c r="F116" s="237">
        <v>147930</v>
      </c>
      <c r="G116" s="112">
        <f t="shared" si="9"/>
        <v>471</v>
      </c>
      <c r="H116" s="99">
        <f>G116+'30'!H116</f>
        <v>13441.609999999986</v>
      </c>
      <c r="I116" s="155"/>
      <c r="J116" s="328">
        <f>H116/DAY(B2)</f>
        <v>433.60032258064473</v>
      </c>
      <c r="Q116" s="881"/>
      <c r="R116" s="883"/>
    </row>
    <row r="117" spans="1:18" ht="25.5">
      <c r="A117" s="888" t="s">
        <v>184</v>
      </c>
      <c r="B117" s="889"/>
      <c r="C117" s="890"/>
      <c r="D117" s="146" t="s">
        <v>183</v>
      </c>
      <c r="E117" s="237">
        <v>91697</v>
      </c>
      <c r="F117" s="237">
        <v>91989.399000000005</v>
      </c>
      <c r="G117" s="112">
        <f t="shared" si="9"/>
        <v>292.39900000000489</v>
      </c>
      <c r="H117" s="99">
        <f>G117+'30'!H117</f>
        <v>9279.3990000000049</v>
      </c>
      <c r="I117" s="155"/>
      <c r="J117" s="328">
        <f>H117/DAY(B2)</f>
        <v>299.3354516129034</v>
      </c>
      <c r="Q117" s="881"/>
      <c r="R117" s="883"/>
    </row>
    <row r="118" spans="1:18" ht="25.5">
      <c r="A118" s="880" t="s">
        <v>97</v>
      </c>
      <c r="B118" s="880"/>
      <c r="C118" s="880"/>
      <c r="D118" s="151" t="s">
        <v>183</v>
      </c>
      <c r="E118" s="237">
        <v>176849</v>
      </c>
      <c r="F118" s="237">
        <v>177532.53</v>
      </c>
      <c r="G118" s="112">
        <f t="shared" si="9"/>
        <v>683.52999999999884</v>
      </c>
      <c r="H118" s="99">
        <f>G118+'30'!H118</f>
        <v>19395.380000000005</v>
      </c>
      <c r="I118" s="155"/>
      <c r="J118" s="328">
        <f>H118/DAY(B2)</f>
        <v>625.65741935483891</v>
      </c>
      <c r="Q118" s="881"/>
      <c r="R118" s="883"/>
    </row>
    <row r="119" spans="1:18" ht="25.5">
      <c r="A119" s="880" t="s">
        <v>98</v>
      </c>
      <c r="B119" s="880"/>
      <c r="C119" s="880"/>
      <c r="D119" s="151" t="s">
        <v>183</v>
      </c>
      <c r="E119" s="237">
        <v>45156.91</v>
      </c>
      <c r="F119" s="237">
        <v>45193</v>
      </c>
      <c r="G119" s="112">
        <f t="shared" si="9"/>
        <v>36.089999999996508</v>
      </c>
      <c r="H119" s="99">
        <f>G119+'30'!H119</f>
        <v>1253.8249999999971</v>
      </c>
      <c r="I119" s="155"/>
      <c r="J119" s="328">
        <f>H119/DAY(B2)</f>
        <v>40.445967741935391</v>
      </c>
    </row>
    <row r="120" spans="1:18" ht="25.5">
      <c r="A120" s="880" t="s">
        <v>99</v>
      </c>
      <c r="B120" s="880"/>
      <c r="C120" s="880"/>
      <c r="D120" s="151" t="s">
        <v>183</v>
      </c>
      <c r="E120" s="237">
        <v>120082.48</v>
      </c>
      <c r="F120" s="237">
        <v>120444</v>
      </c>
      <c r="G120" s="112">
        <f t="shared" si="9"/>
        <v>361.52000000000407</v>
      </c>
      <c r="H120" s="99">
        <f>G120+'30'!H120</f>
        <v>12006.86</v>
      </c>
      <c r="I120" s="155"/>
      <c r="J120" s="328">
        <f>H120/DAY(B2)</f>
        <v>387.31806451612903</v>
      </c>
    </row>
    <row r="121" spans="1:18" ht="25.5">
      <c r="A121" s="880" t="s">
        <v>100</v>
      </c>
      <c r="B121" s="880"/>
      <c r="C121" s="880"/>
      <c r="D121" s="151" t="s">
        <v>183</v>
      </c>
      <c r="E121" s="237">
        <v>134121.72</v>
      </c>
      <c r="F121" s="237">
        <v>134563</v>
      </c>
      <c r="G121" s="112">
        <f t="shared" si="9"/>
        <v>441.27999999999884</v>
      </c>
      <c r="H121" s="99">
        <f>G121+'30'!H121</f>
        <v>13340.11</v>
      </c>
      <c r="I121" s="155"/>
      <c r="J121" s="328">
        <f>H121/DAY(B2)</f>
        <v>430.32612903225811</v>
      </c>
    </row>
    <row r="122" spans="1:18" ht="25.5">
      <c r="A122" s="880" t="s">
        <v>101</v>
      </c>
      <c r="B122" s="880"/>
      <c r="C122" s="880"/>
      <c r="D122" s="151" t="s">
        <v>183</v>
      </c>
      <c r="E122" s="237">
        <v>90583</v>
      </c>
      <c r="F122" s="237">
        <v>90877</v>
      </c>
      <c r="G122" s="112">
        <f t="shared" si="9"/>
        <v>294</v>
      </c>
      <c r="H122" s="99">
        <f>G122+'30'!H122</f>
        <v>9602.6300000000047</v>
      </c>
      <c r="I122" s="155"/>
      <c r="J122" s="328">
        <f>H122/DAY(B2)</f>
        <v>309.76225806451629</v>
      </c>
    </row>
    <row r="123" spans="1:18" ht="25.5">
      <c r="A123" s="880" t="s">
        <v>348</v>
      </c>
      <c r="B123" s="880"/>
      <c r="C123" s="880"/>
      <c r="D123" s="151" t="s">
        <v>183</v>
      </c>
      <c r="E123" s="237">
        <v>87269</v>
      </c>
      <c r="F123" s="237">
        <v>87579</v>
      </c>
      <c r="G123" s="112">
        <f t="shared" si="9"/>
        <v>310</v>
      </c>
      <c r="H123" s="99">
        <f>G123+'30'!H123</f>
        <v>9630</v>
      </c>
      <c r="I123" s="155"/>
      <c r="J123" s="328">
        <f>H123/DAY(B2)</f>
        <v>310.64516129032256</v>
      </c>
    </row>
    <row r="124" spans="1:18" ht="25.5">
      <c r="A124" s="885"/>
      <c r="B124" s="886"/>
      <c r="C124" s="887"/>
      <c r="D124" s="165"/>
      <c r="E124" s="165"/>
      <c r="F124" s="155"/>
      <c r="G124" s="156"/>
      <c r="H124" s="99">
        <f>G124+'30'!H124</f>
        <v>0</v>
      </c>
      <c r="I124" s="155"/>
      <c r="J124" s="156"/>
    </row>
    <row r="125" spans="1:18" ht="25.5">
      <c r="A125" s="787" t="s">
        <v>196</v>
      </c>
      <c r="B125" s="978"/>
      <c r="C125" s="788"/>
      <c r="D125" s="307"/>
      <c r="E125" s="308"/>
      <c r="F125" s="308"/>
      <c r="G125" s="309">
        <f>SUM(G112:G124)</f>
        <v>3477.4419999999955</v>
      </c>
      <c r="H125" s="156"/>
      <c r="I125" s="156">
        <f>G125-(G39+G53)</f>
        <v>637.00199999993492</v>
      </c>
      <c r="J125" s="156"/>
    </row>
    <row r="126" spans="1:18" ht="25.5">
      <c r="A126" s="884" t="s">
        <v>317</v>
      </c>
      <c r="B126" s="884"/>
      <c r="C126" s="884"/>
      <c r="D126" s="884"/>
      <c r="E126" s="884"/>
      <c r="F126" s="884"/>
      <c r="G126" s="884"/>
      <c r="H126" s="884"/>
      <c r="I126" s="884"/>
      <c r="J126" s="884"/>
    </row>
    <row r="127" spans="1:18" ht="25.5">
      <c r="A127" s="870"/>
      <c r="B127" s="870"/>
      <c r="C127" s="245"/>
      <c r="D127" s="307"/>
      <c r="E127" s="308"/>
      <c r="F127" s="308"/>
      <c r="G127" s="309"/>
      <c r="H127" s="99">
        <f>G127+'30'!H127</f>
        <v>0</v>
      </c>
      <c r="I127" s="155"/>
      <c r="J127" s="328">
        <f>H127/DAY(B2)</f>
        <v>0</v>
      </c>
    </row>
    <row r="128" spans="1:18" ht="25.5">
      <c r="A128" s="881" t="s">
        <v>318</v>
      </c>
      <c r="B128" s="882"/>
      <c r="C128" s="883"/>
      <c r="D128" s="151" t="s">
        <v>183</v>
      </c>
      <c r="E128" s="165">
        <v>206823.03</v>
      </c>
      <c r="F128" s="155">
        <v>207289</v>
      </c>
      <c r="G128" s="112">
        <f t="shared" ref="G128:G134" si="10">F128-E128</f>
        <v>465.97000000000116</v>
      </c>
      <c r="H128" s="99">
        <f>G128+'30'!H128</f>
        <v>15403.369999999995</v>
      </c>
      <c r="I128" s="155"/>
      <c r="J128" s="328">
        <f>H128/DAY(B2)</f>
        <v>496.88290322580627</v>
      </c>
    </row>
    <row r="129" spans="1:15" ht="25.5">
      <c r="A129" s="329" t="s">
        <v>319</v>
      </c>
      <c r="B129" s="330"/>
      <c r="C129" s="331"/>
      <c r="D129" s="151" t="s">
        <v>183</v>
      </c>
      <c r="E129" s="165">
        <v>617.55999999999995</v>
      </c>
      <c r="F129" s="155">
        <v>734</v>
      </c>
      <c r="G129" s="112">
        <f t="shared" si="10"/>
        <v>116.44000000000005</v>
      </c>
      <c r="H129" s="99">
        <f>G129+'30'!H129</f>
        <v>5083.1400000000012</v>
      </c>
      <c r="I129" s="155"/>
      <c r="J129" s="328">
        <f>H129/DAY(B2)</f>
        <v>163.97225806451618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165">
        <v>288548.27</v>
      </c>
      <c r="F130" s="424">
        <v>288722</v>
      </c>
      <c r="G130" s="551">
        <f t="shared" si="10"/>
        <v>173.72999999998137</v>
      </c>
      <c r="H130" s="99">
        <f>G130+'30'!H130</f>
        <v>19907</v>
      </c>
      <c r="I130" s="155"/>
      <c r="J130" s="328">
        <f>H130/DAY(B2)</f>
        <v>642.16129032258061</v>
      </c>
      <c r="N130" s="240"/>
      <c r="O130" s="241"/>
    </row>
    <row r="131" spans="1:15" ht="25.5">
      <c r="A131" s="881" t="s">
        <v>321</v>
      </c>
      <c r="B131" s="882"/>
      <c r="C131" s="883"/>
      <c r="D131" s="151" t="s">
        <v>183</v>
      </c>
      <c r="E131" s="165">
        <v>84506.27</v>
      </c>
      <c r="F131" s="156">
        <v>84703.83</v>
      </c>
      <c r="G131" s="112">
        <f t="shared" si="10"/>
        <v>197.55999999999767</v>
      </c>
      <c r="H131" s="99">
        <f>G131+'30'!H131</f>
        <v>5153.1999999999971</v>
      </c>
      <c r="I131" s="155"/>
      <c r="J131" s="328">
        <f>H131/DAY(B2)</f>
        <v>166.23225806451603</v>
      </c>
      <c r="N131" s="240"/>
      <c r="O131" s="241"/>
    </row>
    <row r="132" spans="1:15" ht="25.5">
      <c r="A132" s="881" t="s">
        <v>322</v>
      </c>
      <c r="B132" s="882"/>
      <c r="C132" s="883"/>
      <c r="D132" s="151" t="s">
        <v>183</v>
      </c>
      <c r="E132" s="464">
        <v>67129</v>
      </c>
      <c r="F132" s="155">
        <v>67447</v>
      </c>
      <c r="G132" s="112">
        <f t="shared" si="10"/>
        <v>318</v>
      </c>
      <c r="H132" s="99">
        <f>G132+'30'!H132</f>
        <v>3222</v>
      </c>
      <c r="I132" s="155"/>
      <c r="J132" s="328">
        <f>H132/DAY(B2)</f>
        <v>103.93548387096774</v>
      </c>
    </row>
    <row r="133" spans="1:15" ht="25.5">
      <c r="A133" s="881" t="s">
        <v>359</v>
      </c>
      <c r="B133" s="882"/>
      <c r="C133" s="883"/>
      <c r="D133" s="151" t="s">
        <v>183</v>
      </c>
      <c r="E133" s="165">
        <v>949454</v>
      </c>
      <c r="F133" s="155">
        <v>950147</v>
      </c>
      <c r="G133" s="112">
        <f t="shared" si="10"/>
        <v>693</v>
      </c>
      <c r="H133" s="99">
        <f>G133+'30'!H133</f>
        <v>-640222.83000000007</v>
      </c>
      <c r="I133" s="155"/>
      <c r="J133" s="328">
        <f>H133/DAY(B2)</f>
        <v>-20652.349354838712</v>
      </c>
    </row>
    <row r="134" spans="1:15" ht="25.5">
      <c r="A134" s="881" t="s">
        <v>340</v>
      </c>
      <c r="B134" s="882"/>
      <c r="C134" s="883"/>
      <c r="D134" s="151" t="s">
        <v>183</v>
      </c>
      <c r="E134" s="466">
        <v>92974.79</v>
      </c>
      <c r="F134" s="155">
        <v>93233.5</v>
      </c>
      <c r="G134" s="112">
        <f t="shared" si="10"/>
        <v>258.7100000000064</v>
      </c>
      <c r="H134" s="99">
        <f>G134+'30'!H134</f>
        <v>7281.5</v>
      </c>
      <c r="I134" s="155"/>
      <c r="J134" s="328">
        <f>H134/DAY(B2)</f>
        <v>234.88709677419354</v>
      </c>
    </row>
    <row r="135" spans="1:15" ht="25.5">
      <c r="A135" s="787" t="s">
        <v>196</v>
      </c>
      <c r="B135" s="978"/>
      <c r="C135" s="788"/>
      <c r="D135" s="151"/>
      <c r="E135" s="165"/>
      <c r="F135" s="155"/>
      <c r="G135" s="112">
        <f>SUM(G128:G134)</f>
        <v>2223.4099999999867</v>
      </c>
      <c r="H135" s="99">
        <f>G135+'23'!H135</f>
        <v>-624100.32499999995</v>
      </c>
      <c r="I135" s="156">
        <f>G135-(G35+G49)</f>
        <v>-1100.4800000000273</v>
      </c>
      <c r="J135" s="328"/>
    </row>
    <row r="136" spans="1:15" ht="27.75">
      <c r="A136" s="869" t="s">
        <v>325</v>
      </c>
      <c r="B136" s="869"/>
      <c r="C136" s="869"/>
      <c r="D136" s="869"/>
      <c r="E136" s="869"/>
      <c r="F136" s="869"/>
      <c r="G136" s="869"/>
      <c r="H136" s="869"/>
      <c r="I136" s="869"/>
      <c r="J136" s="869"/>
    </row>
    <row r="137" spans="1:15" ht="26.25">
      <c r="A137" s="245"/>
      <c r="B137" s="246"/>
      <c r="C137" s="246"/>
      <c r="D137" s="165"/>
      <c r="E137" s="165"/>
      <c r="F137" s="155"/>
      <c r="G137" s="155"/>
      <c r="H137" s="156"/>
      <c r="I137" s="155"/>
      <c r="J137" s="156"/>
    </row>
    <row r="138" spans="1:15" ht="25.5">
      <c r="A138" s="880" t="s">
        <v>185</v>
      </c>
      <c r="B138" s="880"/>
      <c r="C138" s="880"/>
      <c r="D138" s="151" t="s">
        <v>183</v>
      </c>
      <c r="E138" s="147">
        <v>912798</v>
      </c>
      <c r="F138" s="147">
        <v>912911</v>
      </c>
      <c r="G138" s="112">
        <f t="shared" ref="G138:G152" si="11">F138-E138</f>
        <v>113</v>
      </c>
      <c r="H138" s="99">
        <f>G138+'30'!H138</f>
        <v>3471</v>
      </c>
      <c r="I138" s="95"/>
      <c r="J138" s="328">
        <f>H138/DAY(B2)</f>
        <v>111.96774193548387</v>
      </c>
    </row>
    <row r="139" spans="1:15" ht="25.5">
      <c r="A139" s="880" t="s">
        <v>186</v>
      </c>
      <c r="B139" s="880"/>
      <c r="C139" s="880"/>
      <c r="D139" s="151" t="s">
        <v>183</v>
      </c>
      <c r="E139" s="148">
        <v>937087</v>
      </c>
      <c r="F139" s="148">
        <v>937258</v>
      </c>
      <c r="G139" s="112">
        <f t="shared" si="11"/>
        <v>171</v>
      </c>
      <c r="H139" s="99">
        <f>G139+'30'!H139</f>
        <v>4898</v>
      </c>
      <c r="I139" s="95"/>
      <c r="J139" s="328">
        <f>H139/DAY(B2)</f>
        <v>158</v>
      </c>
    </row>
    <row r="140" spans="1:15" ht="25.5">
      <c r="A140" s="880" t="s">
        <v>187</v>
      </c>
      <c r="B140" s="880"/>
      <c r="C140" s="880"/>
      <c r="D140" s="151" t="s">
        <v>183</v>
      </c>
      <c r="E140" s="149">
        <v>4016.51</v>
      </c>
      <c r="F140" s="149">
        <v>4764</v>
      </c>
      <c r="G140" s="112">
        <f t="shared" si="11"/>
        <v>747.48999999999978</v>
      </c>
      <c r="H140" s="99">
        <f>G140+'30'!H140</f>
        <v>1429.6290000000004</v>
      </c>
      <c r="I140" s="95"/>
      <c r="J140" s="328">
        <f>H140/DAY(B2)</f>
        <v>46.117064516129041</v>
      </c>
    </row>
    <row r="141" spans="1:15" ht="25.5">
      <c r="A141" s="863" t="s">
        <v>188</v>
      </c>
      <c r="B141" s="863"/>
      <c r="C141" s="863"/>
      <c r="D141" s="151" t="s">
        <v>183</v>
      </c>
      <c r="E141" s="149">
        <v>131042</v>
      </c>
      <c r="F141" s="149">
        <v>131320</v>
      </c>
      <c r="G141" s="112">
        <f t="shared" si="11"/>
        <v>278</v>
      </c>
      <c r="H141" s="99">
        <f>G141+'30'!H141</f>
        <v>6722</v>
      </c>
      <c r="I141" s="95"/>
      <c r="J141" s="328">
        <f>H141/DAY(B2)</f>
        <v>216.83870967741936</v>
      </c>
    </row>
    <row r="142" spans="1:15" ht="25.5">
      <c r="A142" s="863" t="s">
        <v>189</v>
      </c>
      <c r="B142" s="863"/>
      <c r="C142" s="863"/>
      <c r="D142" s="151" t="s">
        <v>183</v>
      </c>
      <c r="E142" s="148">
        <v>53100.135000000002</v>
      </c>
      <c r="F142" s="148">
        <v>53191</v>
      </c>
      <c r="G142" s="112">
        <f t="shared" si="11"/>
        <v>90.864999999997963</v>
      </c>
      <c r="H142" s="99">
        <f>G142+'30'!H142</f>
        <v>2625.4499999999971</v>
      </c>
      <c r="I142" s="528"/>
      <c r="J142" s="328">
        <f>H142/DAY(B2)</f>
        <v>84.691935483870878</v>
      </c>
    </row>
    <row r="143" spans="1:15" ht="25.5">
      <c r="A143" s="880" t="s">
        <v>91</v>
      </c>
      <c r="B143" s="880"/>
      <c r="C143" s="880"/>
      <c r="D143" s="151" t="s">
        <v>183</v>
      </c>
      <c r="E143" s="149">
        <v>14279.6</v>
      </c>
      <c r="F143" s="149">
        <v>14312</v>
      </c>
      <c r="G143" s="112">
        <f t="shared" si="11"/>
        <v>32.399999999999636</v>
      </c>
      <c r="H143" s="99">
        <f>G143+'30'!H143</f>
        <v>925</v>
      </c>
      <c r="I143" s="528"/>
      <c r="J143" s="328">
        <f>H143/DAY(B2)</f>
        <v>29.838709677419356</v>
      </c>
    </row>
    <row r="144" spans="1:15" ht="25.5">
      <c r="A144" s="863" t="s">
        <v>90</v>
      </c>
      <c r="B144" s="863"/>
      <c r="C144" s="863"/>
      <c r="D144" s="151" t="s">
        <v>183</v>
      </c>
      <c r="E144" s="149">
        <v>962958</v>
      </c>
      <c r="F144" s="149">
        <v>963226</v>
      </c>
      <c r="G144" s="112">
        <f t="shared" si="11"/>
        <v>268</v>
      </c>
      <c r="H144" s="99">
        <f>G144+'30'!H144</f>
        <v>7756</v>
      </c>
      <c r="I144" s="528"/>
      <c r="J144" s="328">
        <f>H144/DAY(B2)</f>
        <v>250.19354838709677</v>
      </c>
    </row>
    <row r="145" spans="1:11" ht="25.5">
      <c r="A145" s="880" t="s">
        <v>190</v>
      </c>
      <c r="B145" s="880"/>
      <c r="C145" s="880"/>
      <c r="D145" s="152" t="s">
        <v>183</v>
      </c>
      <c r="E145" s="149">
        <v>750539</v>
      </c>
      <c r="F145" s="149">
        <v>750733</v>
      </c>
      <c r="G145" s="112">
        <f t="shared" si="11"/>
        <v>194</v>
      </c>
      <c r="H145" s="99">
        <f>G145+'30'!H145</f>
        <v>5552</v>
      </c>
      <c r="I145" s="528"/>
      <c r="J145" s="328">
        <f>H145/DAY(B2)</f>
        <v>179.09677419354838</v>
      </c>
    </row>
    <row r="146" spans="1:11" ht="25.5">
      <c r="A146" s="914" t="s">
        <v>191</v>
      </c>
      <c r="B146" s="900"/>
      <c r="C146" s="901"/>
      <c r="D146" s="152" t="s">
        <v>183</v>
      </c>
      <c r="E146" s="148">
        <v>788980</v>
      </c>
      <c r="F146" s="148">
        <v>789025</v>
      </c>
      <c r="G146" s="112">
        <f t="shared" si="11"/>
        <v>45</v>
      </c>
      <c r="H146" s="99">
        <f>G146+'30'!H146</f>
        <v>1167</v>
      </c>
      <c r="I146" s="528"/>
      <c r="J146" s="328">
        <f>H146/DAY(B2)</f>
        <v>37.645161290322584</v>
      </c>
    </row>
    <row r="147" spans="1:11" ht="25.5">
      <c r="A147" s="863" t="s">
        <v>192</v>
      </c>
      <c r="B147" s="863"/>
      <c r="C147" s="863"/>
      <c r="D147" s="152" t="s">
        <v>183</v>
      </c>
      <c r="E147" s="148">
        <v>771288.24</v>
      </c>
      <c r="F147" s="148">
        <v>771656.88</v>
      </c>
      <c r="G147" s="112">
        <f t="shared" si="11"/>
        <v>368.64000000001397</v>
      </c>
      <c r="H147" s="99">
        <f>G147+'30'!H147</f>
        <v>11518.880000000005</v>
      </c>
      <c r="I147" s="528"/>
      <c r="J147" s="328">
        <f>H147/DAY(B2)</f>
        <v>371.57677419354854</v>
      </c>
    </row>
    <row r="148" spans="1:11" ht="25.5">
      <c r="A148" s="864" t="s">
        <v>193</v>
      </c>
      <c r="B148" s="865"/>
      <c r="C148" s="866"/>
      <c r="D148" s="123" t="s">
        <v>130</v>
      </c>
      <c r="E148" s="150">
        <v>806391.2</v>
      </c>
      <c r="F148" s="150">
        <v>806820.24</v>
      </c>
      <c r="G148" s="112">
        <f t="shared" si="11"/>
        <v>429.04000000003725</v>
      </c>
      <c r="H148" s="99">
        <f>G148+'30'!H148</f>
        <v>10408.160000000033</v>
      </c>
      <c r="I148" s="124"/>
      <c r="J148" s="328">
        <f>H148/DAY(B2)</f>
        <v>335.74709677419457</v>
      </c>
    </row>
    <row r="149" spans="1:11" ht="25.5">
      <c r="A149" s="864" t="s">
        <v>336</v>
      </c>
      <c r="B149" s="865"/>
      <c r="C149" s="866"/>
      <c r="D149" s="227" t="s">
        <v>130</v>
      </c>
      <c r="E149" s="146">
        <v>216310</v>
      </c>
      <c r="F149" s="146">
        <v>216896</v>
      </c>
      <c r="G149" s="112">
        <f t="shared" si="11"/>
        <v>586</v>
      </c>
      <c r="H149" s="99">
        <f>G149+'30'!H149</f>
        <v>15604.73000000001</v>
      </c>
      <c r="I149" s="119"/>
      <c r="J149" s="328">
        <f>H149/DAY(B2)</f>
        <v>503.37838709677453</v>
      </c>
    </row>
    <row r="150" spans="1:11" ht="25.5">
      <c r="A150" s="864" t="s">
        <v>337</v>
      </c>
      <c r="B150" s="865"/>
      <c r="C150" s="866"/>
      <c r="D150" s="117" t="s">
        <v>130</v>
      </c>
      <c r="E150" s="233">
        <v>94875</v>
      </c>
      <c r="F150" s="233">
        <v>94978</v>
      </c>
      <c r="G150" s="112">
        <f t="shared" si="11"/>
        <v>103</v>
      </c>
      <c r="H150" s="99">
        <f>G150+'30'!H150</f>
        <v>12391</v>
      </c>
      <c r="I150" s="119"/>
      <c r="J150" s="328">
        <f>H150/DAY(B2)</f>
        <v>399.70967741935482</v>
      </c>
    </row>
    <row r="151" spans="1:11" ht="25.5">
      <c r="A151" s="864" t="s">
        <v>338</v>
      </c>
      <c r="B151" s="865"/>
      <c r="C151" s="866"/>
      <c r="D151" s="117" t="s">
        <v>130</v>
      </c>
      <c r="E151" s="233">
        <v>175892</v>
      </c>
      <c r="F151" s="233">
        <v>176175</v>
      </c>
      <c r="G151" s="112">
        <f t="shared" si="11"/>
        <v>283</v>
      </c>
      <c r="H151" s="99">
        <f>G151+'30'!H151</f>
        <v>9445</v>
      </c>
      <c r="I151" s="119"/>
      <c r="J151" s="328">
        <f>H151/DAY(B2)</f>
        <v>304.67741935483872</v>
      </c>
    </row>
    <row r="152" spans="1:11" ht="25.5">
      <c r="A152" s="864" t="s">
        <v>339</v>
      </c>
      <c r="B152" s="865"/>
      <c r="C152" s="866"/>
      <c r="D152" s="117" t="s">
        <v>130</v>
      </c>
      <c r="E152" s="233">
        <v>46501</v>
      </c>
      <c r="F152" s="233">
        <v>46632</v>
      </c>
      <c r="G152" s="112">
        <f t="shared" si="11"/>
        <v>131</v>
      </c>
      <c r="H152" s="99">
        <f>G152+'30'!H152</f>
        <v>4121</v>
      </c>
      <c r="I152" s="119"/>
      <c r="J152" s="328">
        <f>H152/DAY(B2)</f>
        <v>132.93548387096774</v>
      </c>
    </row>
    <row r="153" spans="1:11" ht="25.5">
      <c r="A153" s="787" t="s">
        <v>196</v>
      </c>
      <c r="B153" s="978"/>
      <c r="C153" s="788"/>
      <c r="D153" s="358"/>
      <c r="E153" s="361"/>
      <c r="F153" s="361"/>
      <c r="G153" s="362">
        <f>SUM(G138:G152)</f>
        <v>3840.4350000000486</v>
      </c>
      <c r="H153" s="363"/>
      <c r="I153" s="119">
        <f>G153-(G38+G52)</f>
        <v>1150.3450000000303</v>
      </c>
      <c r="J153" s="366"/>
    </row>
    <row r="154" spans="1:11" ht="27.75">
      <c r="A154" s="869" t="s">
        <v>344</v>
      </c>
      <c r="B154" s="869"/>
      <c r="C154" s="869"/>
      <c r="D154" s="869"/>
      <c r="E154" s="869"/>
      <c r="F154" s="869"/>
      <c r="G154" s="869"/>
      <c r="H154" s="869"/>
      <c r="I154" s="869"/>
      <c r="J154" s="869"/>
    </row>
    <row r="155" spans="1:11" ht="27.75">
      <c r="A155" s="863" t="s">
        <v>345</v>
      </c>
      <c r="B155" s="863"/>
      <c r="C155" s="863"/>
      <c r="D155" s="117" t="s">
        <v>130</v>
      </c>
      <c r="E155" s="374">
        <v>255803.83</v>
      </c>
      <c r="F155" s="388">
        <v>256352</v>
      </c>
      <c r="G155" s="112">
        <f t="shared" ref="G155:G158" si="12">F155-E155</f>
        <v>548.17000000001281</v>
      </c>
      <c r="H155" s="99">
        <f>G155+'30'!H155</f>
        <v>17318</v>
      </c>
      <c r="I155" s="364"/>
      <c r="J155" s="328">
        <f>H155/DAY(B2)</f>
        <v>558.64516129032256</v>
      </c>
    </row>
    <row r="156" spans="1:11" ht="25.5">
      <c r="A156" s="863" t="s">
        <v>347</v>
      </c>
      <c r="B156" s="863"/>
      <c r="C156" s="863"/>
      <c r="D156" s="117" t="s">
        <v>130</v>
      </c>
      <c r="E156" s="155">
        <v>32459</v>
      </c>
      <c r="F156" s="155">
        <v>32559</v>
      </c>
      <c r="G156" s="112">
        <f t="shared" si="12"/>
        <v>100</v>
      </c>
      <c r="H156" s="99">
        <f>G156+'30'!H156</f>
        <v>2879.5</v>
      </c>
      <c r="I156" s="155"/>
      <c r="J156" s="328">
        <f>H156/DAY(B2)</f>
        <v>92.887096774193552</v>
      </c>
    </row>
    <row r="157" spans="1:11" ht="25.5">
      <c r="A157" s="864" t="s">
        <v>360</v>
      </c>
      <c r="B157" s="865"/>
      <c r="C157" s="866"/>
      <c r="D157" s="117" t="s">
        <v>130</v>
      </c>
      <c r="E157" s="155">
        <v>37559</v>
      </c>
      <c r="F157" s="95">
        <v>37559</v>
      </c>
      <c r="G157" s="112">
        <f t="shared" si="12"/>
        <v>0</v>
      </c>
      <c r="H157" s="99">
        <f>G157+'30'!H157</f>
        <v>0</v>
      </c>
      <c r="I157" s="99"/>
      <c r="J157" s="155"/>
      <c r="K157" s="328"/>
    </row>
    <row r="158" spans="1:11" ht="25.5">
      <c r="A158" s="864" t="s">
        <v>361</v>
      </c>
      <c r="B158" s="865"/>
      <c r="C158" s="866"/>
      <c r="D158" s="117" t="s">
        <v>130</v>
      </c>
      <c r="E158" s="155">
        <v>1783</v>
      </c>
      <c r="F158" s="155">
        <v>1783</v>
      </c>
      <c r="G158" s="112">
        <f t="shared" si="12"/>
        <v>0</v>
      </c>
      <c r="H158" s="99">
        <f>G158+'30'!H158</f>
        <v>2</v>
      </c>
      <c r="I158" s="155"/>
      <c r="J158" s="328"/>
    </row>
    <row r="159" spans="1:11" ht="25.5">
      <c r="A159" s="944"/>
      <c r="B159" s="945"/>
      <c r="C159" s="946"/>
      <c r="D159" s="117"/>
      <c r="E159" s="165"/>
      <c r="F159" s="155"/>
      <c r="G159" s="112"/>
      <c r="H159" s="99"/>
      <c r="I159" s="155"/>
      <c r="J159" s="328"/>
    </row>
    <row r="160" spans="1:11" ht="27.75">
      <c r="A160" s="869" t="s">
        <v>326</v>
      </c>
      <c r="B160" s="869"/>
      <c r="C160" s="869"/>
      <c r="D160" s="869"/>
      <c r="E160" s="869"/>
      <c r="F160" s="869"/>
      <c r="G160" s="869"/>
      <c r="H160" s="869"/>
      <c r="I160" s="869"/>
      <c r="J160" s="869"/>
    </row>
    <row r="161" spans="1:10" ht="26.25">
      <c r="A161" s="242" t="s">
        <v>92</v>
      </c>
      <c r="B161" s="243"/>
      <c r="C161" s="243"/>
      <c r="D161" s="244" t="s">
        <v>180</v>
      </c>
      <c r="E161" s="235">
        <v>512296.36</v>
      </c>
      <c r="F161" s="235">
        <v>512445</v>
      </c>
      <c r="G161" s="238">
        <f t="shared" ref="G161:G165" si="13">F161-E161</f>
        <v>148.64000000001397</v>
      </c>
      <c r="H161" s="99">
        <f>G161+'30'!H161</f>
        <v>4061.679999999993</v>
      </c>
      <c r="I161" s="236"/>
      <c r="J161" s="239">
        <f>H161/DAY(B2)</f>
        <v>131.02193548387075</v>
      </c>
    </row>
    <row r="162" spans="1:10" ht="26.25">
      <c r="A162" s="242" t="s">
        <v>93</v>
      </c>
      <c r="B162" s="243"/>
      <c r="C162" s="243"/>
      <c r="D162" s="244" t="s">
        <v>180</v>
      </c>
      <c r="E162" s="235">
        <v>1748.7</v>
      </c>
      <c r="F162" s="235">
        <v>1787</v>
      </c>
      <c r="G162" s="238">
        <f t="shared" si="13"/>
        <v>38.299999999999955</v>
      </c>
      <c r="H162" s="99">
        <f>G162+'30'!H162</f>
        <v>1050.4000000000001</v>
      </c>
      <c r="I162" s="236"/>
      <c r="J162" s="239">
        <f>H162/DAY(B2)</f>
        <v>33.883870967741942</v>
      </c>
    </row>
    <row r="163" spans="1:10" ht="26.25">
      <c r="A163" s="242" t="s">
        <v>197</v>
      </c>
      <c r="B163" s="243"/>
      <c r="C163" s="243"/>
      <c r="D163" s="244" t="s">
        <v>180</v>
      </c>
      <c r="E163" s="235">
        <v>0</v>
      </c>
      <c r="F163" s="235">
        <v>0</v>
      </c>
      <c r="G163" s="238">
        <f t="shared" si="13"/>
        <v>0</v>
      </c>
      <c r="H163" s="99">
        <f>G163+'30'!H163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235">
        <v>7334</v>
      </c>
      <c r="F164" s="235">
        <v>7337</v>
      </c>
      <c r="G164" s="238">
        <f t="shared" si="13"/>
        <v>3</v>
      </c>
      <c r="H164" s="99">
        <f>G164+'30'!H164</f>
        <v>138</v>
      </c>
      <c r="I164" s="236"/>
      <c r="J164" s="239">
        <f>H164/DAY(B2)</f>
        <v>4.4516129032258061</v>
      </c>
    </row>
    <row r="165" spans="1:10" ht="26.25">
      <c r="A165" s="242" t="s">
        <v>309</v>
      </c>
      <c r="B165" s="243"/>
      <c r="C165" s="243"/>
      <c r="D165" s="244" t="s">
        <v>180</v>
      </c>
      <c r="E165" s="235">
        <v>32966.300000000003</v>
      </c>
      <c r="F165" s="235">
        <v>32974.519999999997</v>
      </c>
      <c r="G165" s="238">
        <f t="shared" si="13"/>
        <v>8.2199999999938882</v>
      </c>
      <c r="H165" s="99">
        <f>G165+'30'!H165</f>
        <v>194.43199999999342</v>
      </c>
      <c r="I165" s="236"/>
      <c r="J165" s="239">
        <f>H165/DAY(B2)</f>
        <v>6.271999999999788</v>
      </c>
    </row>
    <row r="166" spans="1:10" ht="26.25">
      <c r="A166" s="870"/>
      <c r="B166" s="870"/>
      <c r="C166" s="246"/>
      <c r="D166" s="244" t="s">
        <v>180</v>
      </c>
      <c r="E166" s="165"/>
      <c r="F166" s="155"/>
      <c r="G166" s="155"/>
      <c r="H166" s="99">
        <f>G166+'30'!H166</f>
        <v>0</v>
      </c>
      <c r="I166" s="155"/>
      <c r="J166" s="239">
        <f>H166/DAY(B2)</f>
        <v>0</v>
      </c>
    </row>
    <row r="167" spans="1:10" ht="26.25">
      <c r="A167" s="870"/>
      <c r="B167" s="870"/>
      <c r="C167" s="246"/>
      <c r="D167" s="244" t="s">
        <v>180</v>
      </c>
      <c r="E167" s="165"/>
      <c r="F167" s="155"/>
      <c r="G167" s="155"/>
      <c r="H167" s="99">
        <f>G167+'30'!H167</f>
        <v>0</v>
      </c>
      <c r="I167" s="155"/>
      <c r="J167" s="239">
        <f>H167/DAY(B2)</f>
        <v>0</v>
      </c>
    </row>
    <row r="168" spans="1:10" ht="26.25">
      <c r="A168" s="870"/>
      <c r="B168" s="870"/>
      <c r="C168" s="246"/>
      <c r="D168" s="244" t="s">
        <v>180</v>
      </c>
      <c r="E168" s="165"/>
      <c r="F168" s="155"/>
      <c r="G168" s="155"/>
      <c r="H168" s="99">
        <f>G168+'30'!H168</f>
        <v>0</v>
      </c>
      <c r="I168" s="155"/>
      <c r="J168" s="239">
        <f>H168/DAY(B2)</f>
        <v>0</v>
      </c>
    </row>
    <row r="169" spans="1:10" ht="26.25"/>
    <row r="170" spans="1:10" ht="26.25"/>
    <row r="171" spans="1:10" ht="27.75">
      <c r="A171" s="871" t="s">
        <v>330</v>
      </c>
      <c r="B171" s="872"/>
      <c r="C171" s="872"/>
      <c r="D171" s="872"/>
      <c r="E171" s="872"/>
      <c r="F171" s="872"/>
      <c r="G171" s="872"/>
      <c r="H171" s="872"/>
      <c r="I171" s="872"/>
      <c r="J171" s="873"/>
    </row>
    <row r="172" spans="1:10" ht="25.5">
      <c r="A172" s="878"/>
      <c r="B172" s="879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789" t="s">
        <v>209</v>
      </c>
      <c r="B173" s="790"/>
      <c r="C173" s="333"/>
      <c r="D173" s="228" t="s">
        <v>142</v>
      </c>
      <c r="E173" s="155">
        <v>8612</v>
      </c>
      <c r="F173" s="424">
        <v>8612</v>
      </c>
      <c r="G173" s="155">
        <f>F173-E173</f>
        <v>0</v>
      </c>
      <c r="H173" s="99">
        <f>G173+'30'!H173</f>
        <v>30</v>
      </c>
      <c r="I173" s="155"/>
      <c r="J173" s="178">
        <f>H173/DAY(B2)</f>
        <v>0.967741935483871</v>
      </c>
    </row>
    <row r="174" spans="1:10" ht="25.5">
      <c r="A174" s="789" t="s">
        <v>75</v>
      </c>
      <c r="B174" s="790"/>
      <c r="C174" s="333"/>
      <c r="D174" s="228" t="s">
        <v>142</v>
      </c>
      <c r="E174" s="157">
        <v>43403</v>
      </c>
      <c r="F174" s="157">
        <v>43414</v>
      </c>
      <c r="G174" s="155">
        <f t="shared" ref="G174:G175" si="14">F174-E174</f>
        <v>11</v>
      </c>
      <c r="H174" s="99">
        <f>G174+'30'!H174</f>
        <v>364</v>
      </c>
      <c r="I174" s="155"/>
      <c r="J174" s="178">
        <f>H174/DAY(B2)</f>
        <v>11.741935483870968</v>
      </c>
    </row>
    <row r="175" spans="1:10" ht="25.5">
      <c r="A175" s="789" t="s">
        <v>76</v>
      </c>
      <c r="B175" s="802"/>
      <c r="C175" s="790"/>
      <c r="D175" s="228" t="s">
        <v>142</v>
      </c>
      <c r="E175" s="155">
        <v>26273</v>
      </c>
      <c r="F175" s="155">
        <v>26287</v>
      </c>
      <c r="G175" s="155">
        <f t="shared" si="14"/>
        <v>14</v>
      </c>
      <c r="H175" s="99">
        <f>G175+'30'!H175</f>
        <v>466</v>
      </c>
      <c r="I175" s="155"/>
      <c r="J175" s="178">
        <f>H175/DAY(B2)</f>
        <v>15.03225806451613</v>
      </c>
    </row>
    <row r="176" spans="1:10" ht="25.5">
      <c r="A176" s="787" t="s">
        <v>196</v>
      </c>
      <c r="B176" s="978"/>
      <c r="C176" s="788"/>
      <c r="D176" s="228" t="s">
        <v>142</v>
      </c>
      <c r="E176" s="155"/>
      <c r="F176" s="155"/>
      <c r="G176" s="155">
        <f>SUM(G173:G175)</f>
        <v>25</v>
      </c>
      <c r="H176" s="99">
        <f>G176+'30'!H176</f>
        <v>860</v>
      </c>
      <c r="I176" s="155"/>
      <c r="J176" s="178">
        <f>H176/DAY(B2)</f>
        <v>27.741935483870968</v>
      </c>
    </row>
    <row r="177" spans="1:10" ht="25.5">
      <c r="A177" s="789" t="s">
        <v>77</v>
      </c>
      <c r="B177" s="790"/>
      <c r="C177" s="333"/>
      <c r="D177" s="228" t="s">
        <v>142</v>
      </c>
      <c r="E177" s="155"/>
      <c r="F177" s="155"/>
      <c r="G177" s="155"/>
      <c r="H177" s="99">
        <f>G177+'30'!H177</f>
        <v>0</v>
      </c>
      <c r="I177" s="155"/>
      <c r="J177" s="178">
        <f>H177/DAY(B2)</f>
        <v>0</v>
      </c>
    </row>
    <row r="178" spans="1:10" ht="25.5">
      <c r="A178" s="789" t="s">
        <v>210</v>
      </c>
      <c r="B178" s="790"/>
      <c r="C178" s="333"/>
      <c r="D178" s="228" t="s">
        <v>142</v>
      </c>
      <c r="E178" s="155">
        <v>110309</v>
      </c>
      <c r="F178" s="155">
        <v>110391</v>
      </c>
      <c r="G178" s="155">
        <f>F178-E178</f>
        <v>82</v>
      </c>
      <c r="H178" s="99">
        <f>G178+'30'!H178</f>
        <v>3392</v>
      </c>
      <c r="I178" s="155"/>
      <c r="J178" s="178">
        <f>H178/DAY(B2)</f>
        <v>109.41935483870968</v>
      </c>
    </row>
    <row r="179" spans="1:10" ht="25.5">
      <c r="A179" s="789" t="s">
        <v>211</v>
      </c>
      <c r="B179" s="790"/>
      <c r="C179" s="333"/>
      <c r="D179" s="228" t="s">
        <v>142</v>
      </c>
      <c r="E179" s="155">
        <v>37501</v>
      </c>
      <c r="F179" s="157">
        <v>37501</v>
      </c>
      <c r="G179" s="155">
        <f t="shared" ref="G179:G180" si="15">F179-E179</f>
        <v>0</v>
      </c>
      <c r="H179" s="99">
        <f>G179+'30'!H179</f>
        <v>0</v>
      </c>
      <c r="I179" s="155"/>
      <c r="J179" s="178">
        <f>H179/DAY(B2)</f>
        <v>0</v>
      </c>
    </row>
    <row r="180" spans="1:10" ht="25.5">
      <c r="A180" s="789" t="s">
        <v>212</v>
      </c>
      <c r="B180" s="790"/>
      <c r="C180" s="333"/>
      <c r="D180" s="228" t="s">
        <v>142</v>
      </c>
      <c r="E180" s="155">
        <v>7696</v>
      </c>
      <c r="F180" s="157">
        <v>7701</v>
      </c>
      <c r="G180" s="155">
        <f t="shared" si="15"/>
        <v>5</v>
      </c>
      <c r="H180" s="99">
        <f>G180+'30'!H180</f>
        <v>138</v>
      </c>
      <c r="I180" s="155"/>
      <c r="J180" s="178">
        <f>H180/DAY(B2)</f>
        <v>4.4516129032258061</v>
      </c>
    </row>
    <row r="181" spans="1:10" ht="25.5">
      <c r="A181" s="876" t="s">
        <v>108</v>
      </c>
      <c r="B181" s="877"/>
      <c r="C181" s="400"/>
      <c r="D181" s="228" t="s">
        <v>142</v>
      </c>
      <c r="E181" s="155"/>
      <c r="F181" s="157"/>
      <c r="G181" s="155">
        <f>SUM(G178:G180)</f>
        <v>87</v>
      </c>
      <c r="H181" s="99">
        <f>G181+'30'!H181</f>
        <v>3530</v>
      </c>
      <c r="I181" s="155"/>
      <c r="J181" s="178">
        <f>H181/DAY(B2)</f>
        <v>113.87096774193549</v>
      </c>
    </row>
    <row r="182" spans="1:10" ht="25.5">
      <c r="A182" s="789" t="s">
        <v>213</v>
      </c>
      <c r="B182" s="790"/>
      <c r="C182" s="333"/>
      <c r="D182" s="228" t="s">
        <v>142</v>
      </c>
      <c r="E182" s="155"/>
      <c r="F182" s="155"/>
      <c r="G182" s="155"/>
      <c r="H182" s="99">
        <f>G182+'30'!H182</f>
        <v>0</v>
      </c>
      <c r="I182" s="155"/>
      <c r="J182" s="178">
        <f>H182/DAY(B2)</f>
        <v>0</v>
      </c>
    </row>
    <row r="183" spans="1:10" ht="25.5">
      <c r="A183" s="789" t="s">
        <v>214</v>
      </c>
      <c r="B183" s="790"/>
      <c r="C183" s="334"/>
      <c r="D183" s="228" t="s">
        <v>142</v>
      </c>
      <c r="E183" s="157">
        <v>18688</v>
      </c>
      <c r="F183" s="157">
        <v>18692</v>
      </c>
      <c r="G183" s="157">
        <f>F183-E183</f>
        <v>4</v>
      </c>
      <c r="H183" s="99">
        <f>G183+'30'!H183</f>
        <v>314</v>
      </c>
      <c r="I183" s="155"/>
      <c r="J183" s="178">
        <f>H183/DAY(B2)</f>
        <v>10.129032258064516</v>
      </c>
    </row>
    <row r="184" spans="1:10" ht="25.5">
      <c r="A184" s="789" t="s">
        <v>215</v>
      </c>
      <c r="B184" s="790"/>
      <c r="C184" s="334"/>
      <c r="D184" s="228" t="s">
        <v>142</v>
      </c>
      <c r="E184" s="157">
        <v>13239</v>
      </c>
      <c r="F184" s="157">
        <v>13246</v>
      </c>
      <c r="G184" s="157">
        <f t="shared" ref="G184:G185" si="16">F184-E184</f>
        <v>7</v>
      </c>
      <c r="H184" s="99">
        <f>G184+'30'!H184</f>
        <v>266</v>
      </c>
      <c r="I184" s="155"/>
      <c r="J184" s="178">
        <f>H184/DAY(B2)</f>
        <v>8.5806451612903221</v>
      </c>
    </row>
    <row r="185" spans="1:10" ht="25.5">
      <c r="A185" s="789" t="s">
        <v>216</v>
      </c>
      <c r="B185" s="790"/>
      <c r="C185" s="334"/>
      <c r="D185" s="228" t="s">
        <v>142</v>
      </c>
      <c r="E185" s="157"/>
      <c r="F185" s="157"/>
      <c r="G185" s="157">
        <f t="shared" si="16"/>
        <v>0</v>
      </c>
      <c r="H185" s="99">
        <f>G185+'30'!H185</f>
        <v>0</v>
      </c>
      <c r="I185" s="155"/>
      <c r="J185" s="178">
        <f>H185/DAY(B2)</f>
        <v>0</v>
      </c>
    </row>
    <row r="186" spans="1:10" ht="25.5">
      <c r="A186" s="787" t="s">
        <v>196</v>
      </c>
      <c r="B186" s="788"/>
      <c r="C186" s="399"/>
      <c r="D186" s="228" t="s">
        <v>142</v>
      </c>
      <c r="E186" s="157"/>
      <c r="F186" s="157"/>
      <c r="G186" s="157">
        <f>SUM(G183:G185)</f>
        <v>11</v>
      </c>
      <c r="H186" s="99">
        <f>G186+'30'!H186</f>
        <v>580</v>
      </c>
      <c r="I186" s="157"/>
      <c r="J186" s="178">
        <f>H186/DAY(B2)</f>
        <v>18.70967741935484</v>
      </c>
    </row>
    <row r="187" spans="1:10" ht="25.5">
      <c r="A187" s="867" t="s">
        <v>217</v>
      </c>
      <c r="B187" s="868"/>
      <c r="C187" s="333"/>
      <c r="D187" s="230" t="s">
        <v>142</v>
      </c>
      <c r="E187" s="159"/>
      <c r="F187" s="159"/>
      <c r="G187" s="377">
        <f>G62+G19</f>
        <v>229</v>
      </c>
      <c r="H187" s="99">
        <f>G187+'30'!H187</f>
        <v>5335</v>
      </c>
      <c r="I187" s="157"/>
      <c r="J187" s="179">
        <f>H187/DAY(B2)</f>
        <v>172.09677419354838</v>
      </c>
    </row>
    <row r="188" spans="1:10" ht="25.5">
      <c r="A188" s="867" t="s">
        <v>218</v>
      </c>
      <c r="B188" s="868"/>
      <c r="C188" s="333"/>
      <c r="D188" s="230" t="s">
        <v>142</v>
      </c>
      <c r="E188" s="159"/>
      <c r="F188" s="159"/>
      <c r="G188" s="377" t="e">
        <f>G65+G66+G67+G69+G70</f>
        <v>#VALUE!</v>
      </c>
      <c r="H188" s="99" t="e">
        <f>G188+'30'!H188</f>
        <v>#VALUE!</v>
      </c>
      <c r="I188" s="157"/>
      <c r="J188" s="179" t="e">
        <f>H188/DAY(B2)</f>
        <v>#VALUE!</v>
      </c>
    </row>
    <row r="189" spans="1:10" ht="25.5">
      <c r="A189" s="867" t="s">
        <v>219</v>
      </c>
      <c r="B189" s="868"/>
      <c r="C189" s="333"/>
      <c r="D189" s="230" t="s">
        <v>142</v>
      </c>
      <c r="E189" s="157"/>
      <c r="F189" s="157"/>
      <c r="G189" s="527">
        <f>G181</f>
        <v>87</v>
      </c>
      <c r="H189" s="99">
        <f>G189+'30'!H189</f>
        <v>1409</v>
      </c>
      <c r="I189" s="157"/>
      <c r="J189" s="179">
        <f>H189/DAY(B2)</f>
        <v>45.451612903225808</v>
      </c>
    </row>
    <row r="190" spans="1:10" ht="25.5">
      <c r="A190" s="874"/>
      <c r="B190" s="875"/>
      <c r="C190" s="398"/>
      <c r="D190" s="395"/>
      <c r="E190" s="395"/>
      <c r="F190" s="414"/>
      <c r="G190" s="414"/>
      <c r="H190" s="396"/>
      <c r="I190" s="414"/>
      <c r="J190" s="534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271" ht="26.25"/>
    <row r="272" ht="26.25"/>
    <row r="273" ht="26.25"/>
    <row r="274" ht="26.25"/>
    <row r="275" ht="26.25"/>
    <row r="276" ht="26.25"/>
    <row r="277" ht="26.25"/>
    <row r="278" ht="26.25"/>
    <row r="279" ht="26.25"/>
    <row r="280" ht="26.25"/>
    <row r="281" ht="26.25"/>
    <row r="282" ht="26.25"/>
    <row r="283" ht="26.25"/>
    <row r="284" ht="26.25"/>
    <row r="285" ht="26.25"/>
    <row r="286" ht="26.25"/>
    <row r="287" ht="26.25"/>
    <row r="288" ht="26.25"/>
    <row r="289" ht="26.25"/>
    <row r="290" ht="26.25"/>
    <row r="291" ht="26.25"/>
    <row r="292" ht="26.25"/>
    <row r="293" ht="26.25"/>
    <row r="294" ht="26.25"/>
    <row r="295" ht="26.25"/>
    <row r="296" ht="26.25"/>
    <row r="297" ht="26.25"/>
    <row r="298" ht="26.25"/>
    <row r="299" ht="26.25"/>
    <row r="300" ht="26.25"/>
    <row r="301" ht="26.25"/>
    <row r="302" ht="26.25"/>
    <row r="303" ht="26.25"/>
    <row r="304" ht="26.25"/>
    <row r="305" ht="26.25"/>
    <row r="306" ht="26.25"/>
    <row r="307" ht="26.25"/>
    <row r="308" ht="26.25"/>
    <row r="309" ht="26.25"/>
    <row r="310" ht="26.25"/>
    <row r="311" ht="26.25"/>
    <row r="312" ht="26.25"/>
    <row r="313" ht="26.25"/>
    <row r="314" ht="26.25"/>
    <row r="315" ht="26.25"/>
    <row r="316" ht="26.25"/>
    <row r="317" ht="26.25"/>
    <row r="318" ht="26.25"/>
    <row r="319" ht="26.25"/>
    <row r="320" ht="26.25"/>
  </sheetData>
  <mergeCells count="122">
    <mergeCell ref="A65:C65"/>
    <mergeCell ref="A71:C71"/>
    <mergeCell ref="A72:B72"/>
    <mergeCell ref="A78:C78"/>
    <mergeCell ref="A97:C97"/>
    <mergeCell ref="A98:C98"/>
    <mergeCell ref="A81:C81"/>
    <mergeCell ref="A95:C95"/>
    <mergeCell ref="A96:C96"/>
    <mergeCell ref="A93:C93"/>
    <mergeCell ref="A94:C94"/>
    <mergeCell ref="A76:C76"/>
    <mergeCell ref="A77:C77"/>
    <mergeCell ref="A79:C79"/>
    <mergeCell ref="A80:C80"/>
    <mergeCell ref="A73:C73"/>
    <mergeCell ref="A74:C74"/>
    <mergeCell ref="A75:C75"/>
    <mergeCell ref="A133:C133"/>
    <mergeCell ref="A102:C102"/>
    <mergeCell ref="A150:C150"/>
    <mergeCell ref="A151:C151"/>
    <mergeCell ref="A152:C152"/>
    <mergeCell ref="A100:C100"/>
    <mergeCell ref="A101:C101"/>
    <mergeCell ref="A103:C103"/>
    <mergeCell ref="A104:C104"/>
    <mergeCell ref="A122:C122"/>
    <mergeCell ref="A117:C117"/>
    <mergeCell ref="A1:J1"/>
    <mergeCell ref="A6:C6"/>
    <mergeCell ref="A14:C14"/>
    <mergeCell ref="A17:C17"/>
    <mergeCell ref="A18:C18"/>
    <mergeCell ref="A19:C19"/>
    <mergeCell ref="A21:C21"/>
    <mergeCell ref="A64:C64"/>
    <mergeCell ref="A25:C25"/>
    <mergeCell ref="A33:C33"/>
    <mergeCell ref="A61:C61"/>
    <mergeCell ref="A62:C62"/>
    <mergeCell ref="A63:C63"/>
    <mergeCell ref="E3:F3"/>
    <mergeCell ref="A15:C15"/>
    <mergeCell ref="A16:C16"/>
    <mergeCell ref="A7:C7"/>
    <mergeCell ref="A9:C9"/>
    <mergeCell ref="A10:C10"/>
    <mergeCell ref="A11:C11"/>
    <mergeCell ref="A12:C12"/>
    <mergeCell ref="A99:C99"/>
    <mergeCell ref="Q116:R116"/>
    <mergeCell ref="Q117:R117"/>
    <mergeCell ref="A118:C118"/>
    <mergeCell ref="Q118:R118"/>
    <mergeCell ref="A123:C123"/>
    <mergeCell ref="A132:C132"/>
    <mergeCell ref="A125:C125"/>
    <mergeCell ref="A166:B166"/>
    <mergeCell ref="A136:J136"/>
    <mergeCell ref="A153:C153"/>
    <mergeCell ref="A119:C119"/>
    <mergeCell ref="A145:C145"/>
    <mergeCell ref="A146:C146"/>
    <mergeCell ref="A147:C147"/>
    <mergeCell ref="A148:C148"/>
    <mergeCell ref="A149:C149"/>
    <mergeCell ref="A143:C143"/>
    <mergeCell ref="A138:C138"/>
    <mergeCell ref="A139:C139"/>
    <mergeCell ref="A140:C140"/>
    <mergeCell ref="A141:C141"/>
    <mergeCell ref="A144:C144"/>
    <mergeCell ref="A142:C142"/>
    <mergeCell ref="A157:C157"/>
    <mergeCell ref="A131:C131"/>
    <mergeCell ref="A174:B174"/>
    <mergeCell ref="A160:J160"/>
    <mergeCell ref="A105:C105"/>
    <mergeCell ref="A108:J108"/>
    <mergeCell ref="A110:J110"/>
    <mergeCell ref="A111:C111"/>
    <mergeCell ref="A112:C112"/>
    <mergeCell ref="A113:C113"/>
    <mergeCell ref="A114:C114"/>
    <mergeCell ref="A115:C115"/>
    <mergeCell ref="A116:C116"/>
    <mergeCell ref="A134:C134"/>
    <mergeCell ref="A135:C135"/>
    <mergeCell ref="A124:C124"/>
    <mergeCell ref="A126:J126"/>
    <mergeCell ref="A127:B127"/>
    <mergeCell ref="A128:C128"/>
    <mergeCell ref="A167:B167"/>
    <mergeCell ref="A168:B168"/>
    <mergeCell ref="A109:B109"/>
    <mergeCell ref="A120:C120"/>
    <mergeCell ref="A121:C121"/>
    <mergeCell ref="A158:C158"/>
    <mergeCell ref="A159:C159"/>
    <mergeCell ref="A176:C176"/>
    <mergeCell ref="A154:J154"/>
    <mergeCell ref="A155:C155"/>
    <mergeCell ref="A156:C156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75:C175"/>
    <mergeCell ref="A171:J171"/>
    <mergeCell ref="A172:B172"/>
    <mergeCell ref="A173:B173"/>
  </mergeCells>
  <pageMargins left="0.22" right="0.17" top="0.14000000000000001" bottom="0.2" header="0.2" footer="0.2"/>
  <pageSetup paperSize="5" scale="21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>
      <c r="A1" s="760"/>
      <c r="B1" s="760"/>
      <c r="C1" s="760"/>
      <c r="D1" s="760"/>
      <c r="E1" s="760"/>
      <c r="F1" s="760"/>
      <c r="G1" s="760"/>
      <c r="H1" s="760"/>
      <c r="I1" s="760"/>
      <c r="J1" s="760"/>
      <c r="K1" s="760"/>
      <c r="L1" s="760"/>
      <c r="M1" s="760"/>
      <c r="N1" s="760"/>
      <c r="O1" s="760"/>
    </row>
    <row r="2" spans="1:15" ht="28.5" customHeight="1">
      <c r="A2" s="1" t="s">
        <v>0</v>
      </c>
      <c r="B2" s="1" t="s">
        <v>0</v>
      </c>
      <c r="C2" s="264" t="s">
        <v>1</v>
      </c>
      <c r="D2" s="4" t="s">
        <v>4</v>
      </c>
      <c r="E2" s="762" t="s">
        <v>6</v>
      </c>
      <c r="F2" s="762"/>
      <c r="G2" s="762"/>
      <c r="H2" s="768" t="s">
        <v>14</v>
      </c>
      <c r="I2" s="768"/>
      <c r="J2" s="768"/>
      <c r="K2" s="264" t="s">
        <v>15</v>
      </c>
      <c r="L2" s="768" t="s">
        <v>16</v>
      </c>
      <c r="M2" s="768"/>
      <c r="N2" s="768"/>
      <c r="O2" s="264" t="s">
        <v>17</v>
      </c>
    </row>
    <row r="3" spans="1:15" s="15" customFormat="1" ht="38.25">
      <c r="A3" s="6"/>
      <c r="B3" s="1"/>
      <c r="C3" s="7"/>
      <c r="D3" s="10" t="s">
        <v>23</v>
      </c>
      <c r="E3" s="11" t="s">
        <v>28</v>
      </c>
      <c r="F3" s="11" t="s">
        <v>25</v>
      </c>
      <c r="G3" s="11" t="s">
        <v>26</v>
      </c>
      <c r="H3" s="12" t="s">
        <v>39</v>
      </c>
      <c r="I3" s="12" t="s">
        <v>40</v>
      </c>
      <c r="J3" s="12" t="s">
        <v>41</v>
      </c>
      <c r="K3" s="12"/>
      <c r="L3" s="12" t="s">
        <v>42</v>
      </c>
      <c r="M3" s="12" t="s">
        <v>43</v>
      </c>
      <c r="N3" s="12" t="s">
        <v>256</v>
      </c>
      <c r="O3" s="12"/>
    </row>
    <row r="4" spans="1:15">
      <c r="A4" s="16">
        <v>1</v>
      </c>
      <c r="B4" s="17">
        <v>1</v>
      </c>
      <c r="C4" s="18"/>
      <c r="D4" s="19">
        <f>'1'!F8</f>
        <v>179221</v>
      </c>
      <c r="E4" s="19">
        <f>'1'!G97</f>
        <v>0.20634844400882035</v>
      </c>
      <c r="F4" s="19">
        <f>'1'!F142</f>
        <v>50679.46</v>
      </c>
      <c r="G4" s="21">
        <f>E4*F4</f>
        <v>10457.62771420725</v>
      </c>
      <c r="H4" s="19">
        <f>'1'!G68</f>
        <v>20</v>
      </c>
      <c r="I4" s="19">
        <f>'1'!G69</f>
        <v>13</v>
      </c>
      <c r="J4" s="19">
        <f>'1'!G70</f>
        <v>10</v>
      </c>
      <c r="K4" s="23">
        <f>H4+I4</f>
        <v>33</v>
      </c>
      <c r="L4" s="19">
        <f>'1'!G71</f>
        <v>214</v>
      </c>
      <c r="M4" s="19">
        <f>'1'!G72</f>
        <v>0</v>
      </c>
      <c r="N4" s="19">
        <v>0</v>
      </c>
      <c r="O4" s="23">
        <f>L4+M4+N4</f>
        <v>214</v>
      </c>
    </row>
    <row r="5" spans="1:15">
      <c r="A5" s="16">
        <v>2</v>
      </c>
      <c r="B5" s="26">
        <v>2</v>
      </c>
      <c r="C5" s="26"/>
      <c r="D5" s="19">
        <f>'2'!F8</f>
        <v>200094</v>
      </c>
      <c r="E5" s="19">
        <f>'2'!G96</f>
        <v>4203.2700000000768</v>
      </c>
      <c r="F5" s="19">
        <f>'2'!F123</f>
        <v>78667.899999999994</v>
      </c>
      <c r="G5" s="21">
        <f t="shared" ref="G5:G18" si="0">E5*F5</f>
        <v>330662424.03300601</v>
      </c>
      <c r="H5" s="19">
        <f>'2'!G68</f>
        <v>4</v>
      </c>
      <c r="I5" s="19">
        <f>'2'!G69</f>
        <v>8</v>
      </c>
      <c r="J5" s="19">
        <f>'2'!G70</f>
        <v>7</v>
      </c>
      <c r="K5" s="23">
        <f t="shared" ref="K5:K18" si="1">H5+I5</f>
        <v>12</v>
      </c>
      <c r="L5" s="19">
        <f>'2'!G71</f>
        <v>178</v>
      </c>
      <c r="M5" s="19">
        <f>'2'!G72</f>
        <v>0</v>
      </c>
      <c r="N5" s="19">
        <v>0</v>
      </c>
      <c r="O5" s="23">
        <f t="shared" ref="O5:O18" si="2">L5+M5+N5</f>
        <v>178</v>
      </c>
    </row>
    <row r="6" spans="1:15">
      <c r="A6" s="16">
        <v>3</v>
      </c>
      <c r="B6" s="26">
        <v>3</v>
      </c>
      <c r="C6" s="26"/>
      <c r="D6" s="19">
        <f>'4'!F8</f>
        <v>243127</v>
      </c>
      <c r="E6" s="19">
        <f>'3'!G96</f>
        <v>4668.1099999999278</v>
      </c>
      <c r="F6" s="19">
        <f>'3'!F123</f>
        <v>78960</v>
      </c>
      <c r="G6" s="21">
        <f t="shared" si="0"/>
        <v>368593965.5999943</v>
      </c>
      <c r="H6" s="19">
        <f>'4'!G68</f>
        <v>30</v>
      </c>
      <c r="I6" s="19">
        <f>'4'!G69</f>
        <v>0</v>
      </c>
      <c r="J6" s="19">
        <f>'4'!G70</f>
        <v>7</v>
      </c>
      <c r="K6" s="23">
        <f t="shared" si="1"/>
        <v>30</v>
      </c>
      <c r="L6" s="19">
        <f>'4'!G71</f>
        <v>177</v>
      </c>
      <c r="M6" s="19">
        <f>'4'!G72</f>
        <v>0</v>
      </c>
      <c r="N6" s="19">
        <v>0</v>
      </c>
      <c r="O6" s="23">
        <f t="shared" si="2"/>
        <v>177</v>
      </c>
    </row>
    <row r="7" spans="1:15">
      <c r="A7" s="16">
        <v>4</v>
      </c>
      <c r="B7" s="27">
        <v>4</v>
      </c>
      <c r="C7" s="27"/>
      <c r="D7" s="19">
        <f>'3'!F8</f>
        <v>221931</v>
      </c>
      <c r="E7" s="19">
        <f>'4'!G96</f>
        <v>4497.0600000000559</v>
      </c>
      <c r="F7" s="19">
        <f>'1'!F142</f>
        <v>50679.46</v>
      </c>
      <c r="G7" s="21">
        <f t="shared" si="0"/>
        <v>227908572.38760284</v>
      </c>
      <c r="H7" s="19">
        <f>'3'!G68</f>
        <v>24</v>
      </c>
      <c r="I7" s="19">
        <f>'3'!G69</f>
        <v>7</v>
      </c>
      <c r="J7" s="19">
        <f>'3'!G70</f>
        <v>7</v>
      </c>
      <c r="K7" s="23">
        <f t="shared" si="1"/>
        <v>31</v>
      </c>
      <c r="L7" s="19">
        <f>'3'!G71</f>
        <v>200</v>
      </c>
      <c r="M7" s="19">
        <f>'3'!G72</f>
        <v>0</v>
      </c>
      <c r="N7" s="19">
        <v>0</v>
      </c>
      <c r="O7" s="23">
        <f t="shared" si="2"/>
        <v>200</v>
      </c>
    </row>
    <row r="8" spans="1:1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50679.46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>
      <c r="A9" s="16">
        <v>6</v>
      </c>
      <c r="B9" s="17">
        <v>6</v>
      </c>
      <c r="C9" s="26"/>
      <c r="D9" s="19">
        <f>'6'!F8</f>
        <v>284791</v>
      </c>
      <c r="E9" s="19">
        <f>'6'!G96</f>
        <v>4307</v>
      </c>
      <c r="F9" s="19">
        <f>'1'!F142</f>
        <v>50679.46</v>
      </c>
      <c r="G9" s="21">
        <f t="shared" si="0"/>
        <v>218276434.22</v>
      </c>
      <c r="H9" s="19">
        <f>'6'!G68</f>
        <v>21</v>
      </c>
      <c r="I9" s="19">
        <f>'6'!G69</f>
        <v>4</v>
      </c>
      <c r="J9" s="19">
        <f>'6'!G70</f>
        <v>11</v>
      </c>
      <c r="K9" s="23">
        <f t="shared" si="1"/>
        <v>25</v>
      </c>
      <c r="L9" s="19">
        <f>'6'!G71</f>
        <v>228</v>
      </c>
      <c r="M9" s="19">
        <f>'6'!G72</f>
        <v>0</v>
      </c>
      <c r="N9" s="19">
        <v>0</v>
      </c>
      <c r="O9" s="23">
        <f t="shared" si="2"/>
        <v>228</v>
      </c>
    </row>
    <row r="10" spans="1:15">
      <c r="A10" s="16">
        <v>7</v>
      </c>
      <c r="B10" s="26">
        <v>7</v>
      </c>
      <c r="C10" s="27"/>
      <c r="D10" s="19">
        <f>'7'!F8</f>
        <v>306372</v>
      </c>
      <c r="E10" s="19">
        <f>'7'!G96</f>
        <v>4797</v>
      </c>
      <c r="F10" s="19">
        <f>'1'!F142</f>
        <v>50679.46</v>
      </c>
      <c r="G10" s="21">
        <f t="shared" si="0"/>
        <v>243109369.62</v>
      </c>
      <c r="H10" s="19">
        <f>'7'!G68</f>
        <v>24</v>
      </c>
      <c r="I10" s="19">
        <f>'7'!G69</f>
        <v>5</v>
      </c>
      <c r="J10" s="19">
        <f>'7'!G70</f>
        <v>5</v>
      </c>
      <c r="K10" s="23">
        <f t="shared" si="1"/>
        <v>29</v>
      </c>
      <c r="L10" s="19">
        <f>'7'!G71</f>
        <v>197</v>
      </c>
      <c r="M10" s="19">
        <f>'7'!G72</f>
        <v>0</v>
      </c>
      <c r="N10" s="19">
        <v>0</v>
      </c>
      <c r="O10" s="23">
        <f t="shared" si="2"/>
        <v>197</v>
      </c>
    </row>
    <row r="11" spans="1:15">
      <c r="A11" s="16">
        <v>8</v>
      </c>
      <c r="B11" s="26">
        <v>8</v>
      </c>
      <c r="C11" s="18"/>
      <c r="D11" s="19">
        <f>'8'!F8</f>
        <v>327970</v>
      </c>
      <c r="E11" s="19">
        <f>'8'!G96</f>
        <v>4796</v>
      </c>
      <c r="F11" s="19">
        <f>'1'!F142</f>
        <v>50679.46</v>
      </c>
      <c r="G11" s="21">
        <f t="shared" si="0"/>
        <v>243058690.16</v>
      </c>
      <c r="H11" s="19">
        <f>'8'!G68</f>
        <v>17</v>
      </c>
      <c r="I11" s="19">
        <f>'8'!G69</f>
        <v>4</v>
      </c>
      <c r="J11" s="19">
        <f>'8'!G70</f>
        <v>14</v>
      </c>
      <c r="K11" s="23">
        <f t="shared" si="1"/>
        <v>21</v>
      </c>
      <c r="L11" s="19">
        <f>'8'!G71</f>
        <v>614</v>
      </c>
      <c r="M11" s="19">
        <f>'8'!G72</f>
        <v>0</v>
      </c>
      <c r="N11" s="19">
        <v>0</v>
      </c>
      <c r="O11" s="23">
        <f t="shared" si="2"/>
        <v>614</v>
      </c>
    </row>
    <row r="12" spans="1:15">
      <c r="A12" s="16">
        <v>9</v>
      </c>
      <c r="B12" s="27">
        <v>9</v>
      </c>
      <c r="C12" s="26"/>
      <c r="D12" s="19">
        <f>'9'!F8</f>
        <v>348443</v>
      </c>
      <c r="E12" s="19">
        <f>'9'!G96</f>
        <v>3941.3099999999977</v>
      </c>
      <c r="F12" s="19">
        <f>'1'!F142</f>
        <v>50679.46</v>
      </c>
      <c r="G12" s="21">
        <f t="shared" si="0"/>
        <v>199743462.49259987</v>
      </c>
      <c r="H12" s="19">
        <f>'9'!G68</f>
        <v>15</v>
      </c>
      <c r="I12" s="19">
        <f>'9'!G69</f>
        <v>1</v>
      </c>
      <c r="J12" s="19">
        <f>'9'!G70</f>
        <v>7</v>
      </c>
      <c r="K12" s="23">
        <f t="shared" si="1"/>
        <v>16</v>
      </c>
      <c r="L12" s="19">
        <f>'9'!G71</f>
        <v>656</v>
      </c>
      <c r="M12" s="19">
        <f>'9'!G72</f>
        <v>0</v>
      </c>
      <c r="N12" s="19">
        <v>0</v>
      </c>
      <c r="O12" s="23">
        <f t="shared" si="2"/>
        <v>656</v>
      </c>
    </row>
    <row r="13" spans="1:15">
      <c r="A13" s="16">
        <v>10</v>
      </c>
      <c r="B13" s="27">
        <v>10</v>
      </c>
      <c r="C13" s="26"/>
      <c r="D13" s="19">
        <f>'10'!F8</f>
        <v>370199</v>
      </c>
      <c r="E13" s="19">
        <f>'10'!G96</f>
        <v>4480.539999999979</v>
      </c>
      <c r="F13" s="19">
        <f>'1'!F142</f>
        <v>50679.46</v>
      </c>
      <c r="G13" s="21">
        <f t="shared" si="0"/>
        <v>227071347.70839894</v>
      </c>
      <c r="H13" s="19">
        <f>'10'!G68</f>
        <v>21</v>
      </c>
      <c r="I13" s="19">
        <f>'10'!G69</f>
        <v>5</v>
      </c>
      <c r="J13" s="19">
        <f>'10'!G70</f>
        <v>2</v>
      </c>
      <c r="K13" s="23">
        <f t="shared" si="1"/>
        <v>26</v>
      </c>
      <c r="L13" s="19">
        <f>'10'!G71</f>
        <v>214</v>
      </c>
      <c r="M13" s="19">
        <f>'10'!G72</f>
        <v>0</v>
      </c>
      <c r="N13" s="19">
        <v>0</v>
      </c>
      <c r="O13" s="23">
        <f t="shared" si="2"/>
        <v>214</v>
      </c>
    </row>
    <row r="14" spans="1:15">
      <c r="A14" s="16">
        <v>11</v>
      </c>
      <c r="B14" s="17">
        <v>11</v>
      </c>
      <c r="C14" s="27"/>
      <c r="D14" s="19">
        <f>'11'!F8</f>
        <v>391983</v>
      </c>
      <c r="E14" s="19">
        <f>'11'!G96</f>
        <v>4569.710000000021</v>
      </c>
      <c r="F14" s="19">
        <f>'1'!F142</f>
        <v>50679.46</v>
      </c>
      <c r="G14" s="21">
        <f t="shared" si="0"/>
        <v>231590435.15660107</v>
      </c>
      <c r="H14" s="19">
        <f>'11'!G68</f>
        <v>21</v>
      </c>
      <c r="I14" s="19">
        <f>'11'!G69</f>
        <v>3</v>
      </c>
      <c r="J14" s="19">
        <f>'11'!G70</f>
        <v>2</v>
      </c>
      <c r="K14" s="23">
        <f t="shared" si="1"/>
        <v>24</v>
      </c>
      <c r="L14" s="19">
        <f>'11'!G71</f>
        <v>242</v>
      </c>
      <c r="M14" s="19">
        <f>'11'!G72</f>
        <v>0</v>
      </c>
      <c r="N14" s="19">
        <v>0</v>
      </c>
      <c r="O14" s="23">
        <f t="shared" si="2"/>
        <v>242</v>
      </c>
    </row>
    <row r="15" spans="1:15">
      <c r="A15" s="16">
        <v>12</v>
      </c>
      <c r="B15" s="26">
        <v>12</v>
      </c>
      <c r="C15" s="27"/>
      <c r="D15" s="19">
        <f>'12'!F8</f>
        <v>413419</v>
      </c>
      <c r="E15" s="19">
        <f>'12'!G96</f>
        <v>3166.2000000000698</v>
      </c>
      <c r="F15" s="19">
        <f>'1'!F142</f>
        <v>50679.46</v>
      </c>
      <c r="G15" s="20">
        <f t="shared" si="0"/>
        <v>160461306.25200355</v>
      </c>
      <c r="H15" s="19">
        <f>'12'!G68</f>
        <v>15</v>
      </c>
      <c r="I15" s="19">
        <f>'12'!G69</f>
        <v>4</v>
      </c>
      <c r="J15" s="19">
        <f>'12'!G70</f>
        <v>2</v>
      </c>
      <c r="K15" s="23">
        <f t="shared" si="1"/>
        <v>19</v>
      </c>
      <c r="L15" s="19">
        <f>'12'!G71</f>
        <v>139</v>
      </c>
      <c r="M15" s="19">
        <f>'12'!G72</f>
        <v>0</v>
      </c>
      <c r="N15" s="19">
        <v>0</v>
      </c>
      <c r="O15" s="23">
        <f t="shared" si="2"/>
        <v>139</v>
      </c>
    </row>
    <row r="16" spans="1:15">
      <c r="A16" s="16">
        <v>13</v>
      </c>
      <c r="B16" s="26">
        <v>13</v>
      </c>
      <c r="C16" s="26"/>
      <c r="D16" s="19">
        <f>'13'!F8</f>
        <v>435534</v>
      </c>
      <c r="E16" s="19">
        <f>'13'!G96</f>
        <v>2810.3799999999464</v>
      </c>
      <c r="F16" s="19">
        <f>'1'!F142</f>
        <v>50679.46</v>
      </c>
      <c r="G16" s="20">
        <f t="shared" si="0"/>
        <v>142428540.79479727</v>
      </c>
      <c r="H16" s="19">
        <f>'13'!G68</f>
        <v>13</v>
      </c>
      <c r="I16" s="19">
        <f>'13'!G69</f>
        <v>4</v>
      </c>
      <c r="J16" s="19">
        <f>'13'!G70</f>
        <v>26</v>
      </c>
      <c r="K16" s="23">
        <f t="shared" si="1"/>
        <v>17</v>
      </c>
      <c r="L16" s="19">
        <f>'13'!G71</f>
        <v>270</v>
      </c>
      <c r="M16" s="19">
        <f>'13'!G72</f>
        <v>0</v>
      </c>
      <c r="N16" s="19">
        <v>0</v>
      </c>
      <c r="O16" s="23">
        <f t="shared" si="2"/>
        <v>270</v>
      </c>
    </row>
    <row r="17" spans="1:15">
      <c r="A17" s="16">
        <v>14</v>
      </c>
      <c r="B17" s="17">
        <v>14</v>
      </c>
      <c r="C17" s="27"/>
      <c r="D17" s="19">
        <f>'14'!F8</f>
        <v>456430</v>
      </c>
      <c r="E17" s="19">
        <f>'14'!G96</f>
        <v>2290.109999999986</v>
      </c>
      <c r="F17" s="19">
        <f>'1'!F142</f>
        <v>50679.46</v>
      </c>
      <c r="G17" s="20">
        <f t="shared" si="0"/>
        <v>116061538.1405993</v>
      </c>
      <c r="H17" s="19">
        <f>'14'!G68</f>
        <v>12</v>
      </c>
      <c r="I17" s="19">
        <f>'14'!G69</f>
        <v>2</v>
      </c>
      <c r="J17" s="19">
        <f>'14'!G71</f>
        <v>239</v>
      </c>
      <c r="K17" s="23">
        <f t="shared" si="1"/>
        <v>14</v>
      </c>
      <c r="L17" s="19">
        <f>'14'!G72</f>
        <v>0</v>
      </c>
      <c r="M17" s="19">
        <f>'14'!G73</f>
        <v>0</v>
      </c>
      <c r="N17" s="19">
        <v>0</v>
      </c>
      <c r="O17" s="23">
        <f t="shared" si="2"/>
        <v>0</v>
      </c>
    </row>
    <row r="18" spans="1:15">
      <c r="A18" s="16">
        <v>15</v>
      </c>
      <c r="B18" s="26">
        <v>15</v>
      </c>
      <c r="C18" s="18"/>
      <c r="D18" s="19">
        <f>'15'!F8</f>
        <v>477058.8</v>
      </c>
      <c r="E18" s="19">
        <f>'15'!G96</f>
        <v>2576.7100000000792</v>
      </c>
      <c r="F18" s="19">
        <f>'1'!F142</f>
        <v>50679.46</v>
      </c>
      <c r="G18" s="20">
        <f t="shared" si="0"/>
        <v>130586271.37660401</v>
      </c>
      <c r="H18" s="19">
        <f>'15'!G68</f>
        <v>33</v>
      </c>
      <c r="I18" s="19">
        <f>'15'!G69</f>
        <v>4</v>
      </c>
      <c r="J18" s="19">
        <f>'15'!G71</f>
        <v>211</v>
      </c>
      <c r="K18" s="23">
        <f t="shared" si="1"/>
        <v>37</v>
      </c>
      <c r="L18" s="19">
        <f>'15'!G72</f>
        <v>0</v>
      </c>
      <c r="M18" s="19">
        <f>'15'!G73</f>
        <v>0</v>
      </c>
      <c r="N18" s="19">
        <v>0</v>
      </c>
      <c r="O18" s="23">
        <f t="shared" si="2"/>
        <v>0</v>
      </c>
    </row>
    <row r="20" spans="1:1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R183"/>
  <sheetViews>
    <sheetView zoomScale="50" zoomScaleNormal="50" workbookViewId="0">
      <selection activeCell="Q117" sqref="Q117:R120"/>
    </sheetView>
  </sheetViews>
  <sheetFormatPr defaultColWidth="22.33203125" defaultRowHeight="33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7" ht="33" customHeight="1">
      <c r="A1" s="919" t="s">
        <v>115</v>
      </c>
      <c r="B1" s="920"/>
      <c r="C1" s="920"/>
      <c r="D1" s="920"/>
      <c r="E1" s="920"/>
      <c r="F1" s="920"/>
      <c r="G1" s="920"/>
      <c r="H1" s="920"/>
      <c r="I1" s="920"/>
      <c r="J1" s="921"/>
    </row>
    <row r="2" spans="1:17" s="57" customFormat="1" ht="33" customHeight="1">
      <c r="A2" s="191" t="s">
        <v>303</v>
      </c>
      <c r="B2" s="262">
        <v>44439</v>
      </c>
      <c r="C2" s="324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7" s="57" customFormat="1" ht="33" customHeight="1">
      <c r="A3" s="189"/>
      <c r="B3" s="221"/>
      <c r="C3" s="324" t="s">
        <v>118</v>
      </c>
      <c r="D3" s="219">
        <v>28</v>
      </c>
      <c r="E3" s="928" t="s">
        <v>119</v>
      </c>
      <c r="F3" s="929"/>
      <c r="G3" s="101"/>
      <c r="H3" s="102"/>
      <c r="I3" s="102"/>
      <c r="J3" s="222"/>
      <c r="K3" s="61"/>
      <c r="L3" s="58"/>
    </row>
    <row r="4" spans="1:17" s="57" customFormat="1" ht="33" customHeight="1">
      <c r="A4" s="192"/>
      <c r="B4" s="223"/>
      <c r="C4" s="324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7" ht="33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7" ht="33" customHeight="1">
      <c r="A6" s="922" t="s">
        <v>128</v>
      </c>
      <c r="B6" s="923"/>
      <c r="C6" s="924"/>
      <c r="D6" s="110"/>
      <c r="E6" s="110"/>
      <c r="F6" s="110"/>
      <c r="G6" s="110"/>
      <c r="H6" s="111"/>
      <c r="I6" s="111"/>
      <c r="J6" s="174"/>
      <c r="K6" s="78"/>
      <c r="L6" s="66"/>
    </row>
    <row r="7" spans="1:17" ht="33" customHeight="1" thickBot="1">
      <c r="A7" s="194" t="s">
        <v>129</v>
      </c>
      <c r="B7" s="195"/>
      <c r="C7" s="195"/>
      <c r="D7" s="151" t="s">
        <v>130</v>
      </c>
      <c r="E7" s="95"/>
      <c r="F7" s="95"/>
      <c r="G7" s="112">
        <f>F7-E7</f>
        <v>0</v>
      </c>
      <c r="H7" s="99">
        <f>G7+'30'!H7</f>
        <v>621606</v>
      </c>
      <c r="I7" s="113">
        <f>'1'!I7</f>
        <v>12000</v>
      </c>
      <c r="J7" s="175">
        <f>H7/DAY(B2)</f>
        <v>20051.806451612902</v>
      </c>
      <c r="K7" s="172">
        <v>1375467</v>
      </c>
      <c r="L7" s="66"/>
      <c r="N7" s="87"/>
      <c r="O7" s="71"/>
    </row>
    <row r="8" spans="1:17" ht="33" customHeight="1" thickBot="1">
      <c r="A8" s="196" t="s">
        <v>131</v>
      </c>
      <c r="B8" s="197"/>
      <c r="C8" s="198"/>
      <c r="D8" s="224" t="s">
        <v>24</v>
      </c>
      <c r="E8" s="95"/>
      <c r="F8" s="114"/>
      <c r="G8" s="115">
        <f>F8-E8</f>
        <v>0</v>
      </c>
      <c r="H8" s="99">
        <f>G8+'30'!H8</f>
        <v>634247</v>
      </c>
      <c r="I8" s="116"/>
      <c r="J8" s="175">
        <f>H8/DAY(B2)</f>
        <v>20459.580645161292</v>
      </c>
      <c r="K8" s="172">
        <v>1715917</v>
      </c>
      <c r="L8" s="76">
        <v>1728480</v>
      </c>
      <c r="M8" s="87">
        <f>L8-K8</f>
        <v>12563</v>
      </c>
      <c r="N8" s="87"/>
      <c r="O8" s="71"/>
      <c r="Q8" s="523"/>
    </row>
    <row r="9" spans="1:17" ht="33" customHeight="1">
      <c r="A9" s="194" t="s">
        <v>134</v>
      </c>
      <c r="B9" s="200"/>
      <c r="C9" s="200"/>
      <c r="D9" s="151" t="s">
        <v>130</v>
      </c>
      <c r="E9" s="95"/>
      <c r="F9" s="117"/>
      <c r="G9" s="112">
        <f>F9-E9</f>
        <v>0</v>
      </c>
      <c r="H9" s="99">
        <f>G9+'30'!H9</f>
        <v>393810</v>
      </c>
      <c r="I9" s="124"/>
      <c r="J9" s="175">
        <f>H9/DAY(B2)</f>
        <v>12703.548387096775</v>
      </c>
      <c r="K9" s="79">
        <f>K8-100</f>
        <v>1715817</v>
      </c>
      <c r="L9" s="66"/>
      <c r="N9" s="87"/>
      <c r="O9" s="71"/>
      <c r="Q9" s="524"/>
    </row>
    <row r="10" spans="1:17" ht="33" customHeight="1">
      <c r="A10" s="194" t="s">
        <v>135</v>
      </c>
      <c r="B10" s="195"/>
      <c r="C10" s="195"/>
      <c r="D10" s="151" t="s">
        <v>130</v>
      </c>
      <c r="E10" s="95"/>
      <c r="F10" s="117"/>
      <c r="G10" s="112"/>
      <c r="H10" s="99">
        <f>G10+'30'!H10</f>
        <v>212227.70000000019</v>
      </c>
      <c r="I10" s="282"/>
      <c r="J10" s="175"/>
      <c r="K10" s="79"/>
      <c r="L10" s="66"/>
      <c r="N10" s="87"/>
      <c r="O10" s="71"/>
      <c r="Q10" s="66"/>
    </row>
    <row r="11" spans="1:17" ht="33" customHeight="1">
      <c r="A11" s="201" t="s">
        <v>136</v>
      </c>
      <c r="B11" s="202"/>
      <c r="C11" s="202"/>
      <c r="D11" s="151" t="s">
        <v>130</v>
      </c>
      <c r="E11" s="95"/>
      <c r="F11" s="95"/>
      <c r="G11" s="112">
        <f>G7+G9+G10</f>
        <v>0</v>
      </c>
      <c r="H11" s="99">
        <f>G11+'30'!H11</f>
        <v>0</v>
      </c>
      <c r="I11" s="282"/>
      <c r="J11" s="175"/>
      <c r="K11" s="79"/>
      <c r="L11" s="66"/>
      <c r="N11" s="87"/>
      <c r="O11" s="71"/>
    </row>
    <row r="12" spans="1:17" ht="33" customHeight="1">
      <c r="A12" s="199" t="s">
        <v>132</v>
      </c>
      <c r="B12" s="195"/>
      <c r="C12" s="195"/>
      <c r="D12" s="151" t="s">
        <v>130</v>
      </c>
      <c r="E12" s="95"/>
      <c r="F12" s="117"/>
      <c r="G12" s="112"/>
      <c r="H12" s="99">
        <f>G12+'30'!H12</f>
        <v>0</v>
      </c>
      <c r="I12" s="282"/>
      <c r="J12" s="175"/>
      <c r="K12" s="79"/>
      <c r="L12" s="66"/>
      <c r="N12" s="87"/>
      <c r="O12" s="71"/>
    </row>
    <row r="13" spans="1:17" ht="33" customHeight="1">
      <c r="A13" s="194" t="s">
        <v>133</v>
      </c>
      <c r="B13" s="195"/>
      <c r="C13" s="195"/>
      <c r="D13" s="151"/>
      <c r="E13" s="95"/>
      <c r="F13" s="117"/>
      <c r="G13" s="112"/>
      <c r="H13" s="99"/>
      <c r="I13" s="282"/>
      <c r="J13" s="175"/>
      <c r="K13" s="79"/>
      <c r="L13" s="66"/>
      <c r="N13" s="87"/>
      <c r="O13" s="71"/>
    </row>
    <row r="14" spans="1:17" ht="33" customHeight="1">
      <c r="A14" s="201" t="s">
        <v>136</v>
      </c>
      <c r="B14" s="522"/>
      <c r="C14" s="522"/>
      <c r="D14" s="151"/>
      <c r="E14" s="95"/>
      <c r="F14" s="95"/>
      <c r="G14" s="119">
        <f>G9+G10+G11+G12</f>
        <v>0</v>
      </c>
      <c r="H14" s="99">
        <f>G14+'30'!H13</f>
        <v>606037.70000000019</v>
      </c>
      <c r="I14" s="120">
        <f>G7-G14</f>
        <v>0</v>
      </c>
      <c r="J14" s="175">
        <f>H14/DAY(B2)</f>
        <v>19549.603225806459</v>
      </c>
      <c r="K14" s="79"/>
      <c r="L14" s="66"/>
      <c r="N14" s="87"/>
      <c r="O14" s="71"/>
    </row>
    <row r="15" spans="1:17" ht="33" customHeight="1">
      <c r="A15" s="925" t="s">
        <v>137</v>
      </c>
      <c r="B15" s="926"/>
      <c r="C15" s="927"/>
      <c r="D15" s="111"/>
      <c r="E15" s="111"/>
      <c r="F15" s="111"/>
      <c r="G15" s="121"/>
      <c r="H15" s="111"/>
      <c r="I15" s="111"/>
      <c r="J15" s="174"/>
      <c r="K15" s="80"/>
      <c r="L15" s="66"/>
      <c r="N15" s="87"/>
      <c r="O15" s="71"/>
    </row>
    <row r="16" spans="1:17" ht="33" customHeight="1">
      <c r="A16" s="322" t="s">
        <v>138</v>
      </c>
      <c r="B16" s="205"/>
      <c r="C16" s="205"/>
      <c r="D16" s="151" t="s">
        <v>139</v>
      </c>
      <c r="E16" s="123">
        <v>1755781</v>
      </c>
      <c r="F16" s="123">
        <v>1756530</v>
      </c>
      <c r="G16" s="112">
        <f>(F16-E16)</f>
        <v>749</v>
      </c>
      <c r="H16" s="99">
        <f>G16+'30'!H15</f>
        <v>34810.395000000019</v>
      </c>
      <c r="I16" s="113">
        <f>'1'!I15</f>
        <v>800</v>
      </c>
      <c r="J16" s="175">
        <f>H16/DAY(B2)</f>
        <v>1122.9159677419361</v>
      </c>
      <c r="K16" s="79"/>
      <c r="L16" s="66"/>
      <c r="N16" s="87"/>
      <c r="O16" s="71"/>
    </row>
    <row r="17" spans="1:15" ht="33" customHeight="1">
      <c r="A17" s="203"/>
      <c r="B17" s="204"/>
      <c r="C17" s="204"/>
      <c r="D17" s="152"/>
      <c r="E17" s="123"/>
      <c r="F17" s="123"/>
      <c r="G17" s="112"/>
      <c r="H17" s="124"/>
      <c r="I17" s="120">
        <f>I16-J16</f>
        <v>-322.91596774193613</v>
      </c>
      <c r="J17" s="176"/>
      <c r="K17" s="79"/>
      <c r="L17" s="66"/>
      <c r="N17" s="87"/>
      <c r="O17" s="71"/>
    </row>
    <row r="18" spans="1:15" ht="33" customHeight="1">
      <c r="A18" s="925" t="s">
        <v>140</v>
      </c>
      <c r="B18" s="926"/>
      <c r="C18" s="927"/>
      <c r="D18" s="111"/>
      <c r="E18" s="111"/>
      <c r="F18" s="111"/>
      <c r="G18" s="125"/>
      <c r="H18" s="111"/>
      <c r="I18" s="111"/>
      <c r="J18" s="174"/>
      <c r="K18" s="79"/>
      <c r="L18" s="66"/>
      <c r="N18" s="87"/>
      <c r="O18" s="71"/>
    </row>
    <row r="19" spans="1:15" ht="33" customHeight="1">
      <c r="A19" s="902" t="s">
        <v>141</v>
      </c>
      <c r="B19" s="903"/>
      <c r="C19" s="904"/>
      <c r="D19" s="151" t="s">
        <v>142</v>
      </c>
      <c r="E19" s="95">
        <f>'30'!F18</f>
        <v>28</v>
      </c>
      <c r="F19" s="122">
        <v>14</v>
      </c>
      <c r="G19" s="119">
        <f>F19*10</f>
        <v>140</v>
      </c>
      <c r="H19" s="99">
        <f>G19+'30'!H18</f>
        <v>6710</v>
      </c>
      <c r="I19" s="113">
        <f>'1'!I18</f>
        <v>65</v>
      </c>
      <c r="J19" s="175">
        <f>H19/DAY(B2)</f>
        <v>216.45161290322579</v>
      </c>
      <c r="K19" s="79"/>
      <c r="L19" s="66"/>
      <c r="N19" s="87"/>
      <c r="O19" s="71"/>
    </row>
    <row r="20" spans="1:15" ht="33" customHeight="1">
      <c r="A20" s="902" t="s">
        <v>69</v>
      </c>
      <c r="B20" s="903"/>
      <c r="C20" s="904"/>
      <c r="D20" s="151" t="s">
        <v>142</v>
      </c>
      <c r="E20" s="95">
        <f>'30'!F19</f>
        <v>171259</v>
      </c>
      <c r="F20" s="122">
        <v>145338</v>
      </c>
      <c r="G20" s="112">
        <f t="shared" ref="G20" si="0">F20-E20</f>
        <v>-25921</v>
      </c>
      <c r="H20" s="99">
        <f>G20+'30'!H19</f>
        <v>-24227</v>
      </c>
      <c r="I20" s="335"/>
      <c r="J20" s="175">
        <f>H20/DAY(B2)</f>
        <v>-781.51612903225805</v>
      </c>
      <c r="K20" s="79"/>
      <c r="L20" s="66"/>
      <c r="N20" s="87"/>
      <c r="O20" s="71"/>
    </row>
    <row r="21" spans="1:15" ht="33" customHeight="1">
      <c r="A21" s="201" t="s">
        <v>143</v>
      </c>
      <c r="B21" s="202"/>
      <c r="C21" s="202"/>
      <c r="D21" s="126"/>
      <c r="E21" s="126"/>
      <c r="F21" s="126"/>
      <c r="G21" s="127">
        <f>G19+G20</f>
        <v>-25781</v>
      </c>
      <c r="H21" s="99">
        <f>G21+'30'!H20</f>
        <v>-17517</v>
      </c>
      <c r="I21" s="336">
        <f>I19-J21</f>
        <v>630.06451612903231</v>
      </c>
      <c r="J21" s="175">
        <f>H21/DAY(B2)</f>
        <v>-565.06451612903231</v>
      </c>
      <c r="K21" s="79"/>
      <c r="L21" s="66"/>
      <c r="N21" s="87"/>
      <c r="O21" s="71"/>
    </row>
    <row r="22" spans="1:15" ht="33" customHeight="1">
      <c r="A22" s="925" t="s">
        <v>144</v>
      </c>
      <c r="B22" s="926"/>
      <c r="C22" s="927"/>
      <c r="D22" s="111"/>
      <c r="E22" s="111"/>
      <c r="F22" s="111"/>
      <c r="G22" s="121"/>
      <c r="H22" s="111"/>
      <c r="I22" s="111"/>
      <c r="J22" s="174"/>
      <c r="K22" s="79"/>
      <c r="L22" s="66"/>
      <c r="N22" s="87"/>
      <c r="O22" s="71"/>
    </row>
    <row r="23" spans="1:15" ht="33" customHeight="1">
      <c r="A23" s="322" t="s">
        <v>145</v>
      </c>
      <c r="B23" s="205"/>
      <c r="C23" s="205"/>
      <c r="D23" s="151" t="s">
        <v>146</v>
      </c>
      <c r="E23" s="122">
        <f>'30'!F22</f>
        <v>2970</v>
      </c>
      <c r="F23" s="122">
        <v>2970</v>
      </c>
      <c r="G23" s="119">
        <f t="shared" ref="G23" si="1">(F23-E23)</f>
        <v>0</v>
      </c>
      <c r="H23" s="99">
        <f>'30'!H22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3" customHeight="1">
      <c r="A24" s="322" t="s">
        <v>147</v>
      </c>
      <c r="B24" s="205"/>
      <c r="C24" s="205"/>
      <c r="D24" s="151" t="s">
        <v>146</v>
      </c>
      <c r="E24" s="122">
        <f>'30'!F23</f>
        <v>2000</v>
      </c>
      <c r="F24" s="122">
        <v>2000</v>
      </c>
      <c r="G24" s="119">
        <v>0</v>
      </c>
      <c r="H24" s="99">
        <f>'30'!H23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ht="33" customHeight="1">
      <c r="A25" s="206" t="s">
        <v>148</v>
      </c>
      <c r="B25" s="207"/>
      <c r="C25" s="207"/>
      <c r="D25" s="146" t="s">
        <v>146</v>
      </c>
      <c r="E25" s="122">
        <f>'30'!F24</f>
        <v>4970</v>
      </c>
      <c r="F25" s="128">
        <v>4970</v>
      </c>
      <c r="G25" s="119">
        <v>0</v>
      </c>
      <c r="H25" s="99">
        <f>'30'!H24</f>
        <v>0</v>
      </c>
      <c r="I25" s="118"/>
      <c r="J25" s="175">
        <f>H25/DAY(B2)</f>
        <v>0</v>
      </c>
      <c r="K25" s="79"/>
      <c r="L25" s="66"/>
      <c r="N25" s="87"/>
      <c r="O25" s="71"/>
    </row>
    <row r="26" spans="1:15" s="88" customFormat="1" ht="33" customHeight="1">
      <c r="A26" s="930" t="s">
        <v>149</v>
      </c>
      <c r="B26" s="931"/>
      <c r="C26" s="932"/>
      <c r="D26" s="110"/>
      <c r="E26" s="110"/>
      <c r="F26" s="110"/>
      <c r="G26" s="129"/>
      <c r="H26" s="130"/>
      <c r="I26" s="131"/>
      <c r="J26" s="177"/>
      <c r="K26" s="63"/>
      <c r="L26" s="89"/>
      <c r="N26" s="87"/>
      <c r="O26" s="71"/>
    </row>
    <row r="27" spans="1:15" s="88" customFormat="1" ht="33" customHeight="1">
      <c r="A27" s="208" t="s">
        <v>150</v>
      </c>
      <c r="B27" s="209"/>
      <c r="C27" s="210"/>
      <c r="D27" s="225" t="s">
        <v>151</v>
      </c>
      <c r="E27" s="132"/>
      <c r="F27" s="132"/>
      <c r="G27" s="133"/>
      <c r="H27" s="99"/>
      <c r="I27" s="134"/>
      <c r="J27" s="175"/>
      <c r="K27" s="64"/>
      <c r="L27" s="89"/>
      <c r="N27" s="87"/>
      <c r="O27" s="71"/>
    </row>
    <row r="28" spans="1:15" s="88" customFormat="1" ht="33" customHeight="1">
      <c r="A28" s="208" t="s">
        <v>5</v>
      </c>
      <c r="B28" s="209"/>
      <c r="C28" s="210"/>
      <c r="D28" s="226" t="s">
        <v>24</v>
      </c>
      <c r="E28" s="135">
        <f>G8</f>
        <v>0</v>
      </c>
      <c r="F28" s="136">
        <v>9</v>
      </c>
      <c r="G28" s="137">
        <f>E28*F28</f>
        <v>0</v>
      </c>
      <c r="H28" s="99">
        <f>G28+'30'!H27</f>
        <v>5938377.2000000002</v>
      </c>
      <c r="I28" s="138"/>
      <c r="J28" s="175">
        <f>H28/DAY(B2)</f>
        <v>191560.55483870968</v>
      </c>
      <c r="K28" s="63"/>
      <c r="L28" s="89"/>
      <c r="N28" s="87"/>
      <c r="O28" s="71"/>
    </row>
    <row r="29" spans="1:15" s="88" customFormat="1" ht="33" customHeight="1">
      <c r="A29" s="208" t="s">
        <v>152</v>
      </c>
      <c r="B29" s="209"/>
      <c r="C29" s="210"/>
      <c r="D29" s="226" t="s">
        <v>153</v>
      </c>
      <c r="E29" s="139">
        <f>G16</f>
        <v>749</v>
      </c>
      <c r="F29" s="136">
        <v>52</v>
      </c>
      <c r="G29" s="137">
        <f>E29*F29</f>
        <v>38948</v>
      </c>
      <c r="H29" s="99">
        <f>G29+'30'!H28</f>
        <v>2384647.8600000003</v>
      </c>
      <c r="I29" s="140"/>
      <c r="J29" s="175">
        <f>H29/DAY(B2)</f>
        <v>76924.124516129043</v>
      </c>
      <c r="K29" s="63"/>
      <c r="L29" s="89"/>
      <c r="N29" s="87"/>
      <c r="O29" s="71"/>
    </row>
    <row r="30" spans="1:15" s="88" customFormat="1" ht="33" customHeight="1">
      <c r="A30" s="208" t="s">
        <v>154</v>
      </c>
      <c r="B30" s="209"/>
      <c r="C30" s="210"/>
      <c r="D30" s="226" t="s">
        <v>155</v>
      </c>
      <c r="E30" s="141">
        <f>G25</f>
        <v>0</v>
      </c>
      <c r="F30" s="136">
        <v>69</v>
      </c>
      <c r="G30" s="137">
        <f>E30*F30</f>
        <v>0</v>
      </c>
      <c r="H30" s="99">
        <f>G30+'30'!H29</f>
        <v>6900</v>
      </c>
      <c r="I30" s="140"/>
      <c r="J30" s="175">
        <f>H30/DAY(B2)</f>
        <v>222.58064516129033</v>
      </c>
      <c r="K30" s="63"/>
      <c r="L30" s="89"/>
      <c r="N30" s="87"/>
      <c r="O30" s="71"/>
    </row>
    <row r="31" spans="1:15" s="88" customFormat="1" ht="33" customHeight="1">
      <c r="A31" s="208" t="s">
        <v>156</v>
      </c>
      <c r="B31" s="209"/>
      <c r="C31" s="210"/>
      <c r="D31" s="226" t="s">
        <v>157</v>
      </c>
      <c r="E31" s="141">
        <f>G20</f>
        <v>-25921</v>
      </c>
      <c r="F31" s="136">
        <v>146</v>
      </c>
      <c r="G31" s="137">
        <f>E31*F31</f>
        <v>-3784466</v>
      </c>
      <c r="H31" s="99">
        <f>G31+'30'!H30</f>
        <v>-3528672</v>
      </c>
      <c r="I31" s="140"/>
      <c r="J31" s="175">
        <f>H31/DAY(B2)</f>
        <v>-113828.12903225806</v>
      </c>
      <c r="K31" s="63"/>
      <c r="L31" s="89"/>
      <c r="N31" s="87"/>
      <c r="O31" s="71"/>
    </row>
    <row r="32" spans="1:15" s="88" customFormat="1" ht="33" customHeight="1">
      <c r="A32" s="208" t="s">
        <v>158</v>
      </c>
      <c r="B32" s="209"/>
      <c r="C32" s="210"/>
      <c r="D32" s="226" t="s">
        <v>142</v>
      </c>
      <c r="E32" s="141">
        <f>G19</f>
        <v>140</v>
      </c>
      <c r="F32" s="136">
        <v>80</v>
      </c>
      <c r="G32" s="137">
        <f>E32*F32</f>
        <v>11200</v>
      </c>
      <c r="H32" s="99">
        <f>G32+'30'!H31</f>
        <v>547000</v>
      </c>
      <c r="I32" s="140"/>
      <c r="J32" s="175">
        <f>H32/DAY(B2)</f>
        <v>17645.16129032258</v>
      </c>
      <c r="K32" s="63"/>
      <c r="L32" s="89"/>
      <c r="N32" s="87"/>
      <c r="O32" s="71"/>
    </row>
    <row r="33" spans="1:15" s="88" customFormat="1" ht="33" customHeight="1">
      <c r="A33" s="211" t="s">
        <v>159</v>
      </c>
      <c r="B33" s="212"/>
      <c r="C33" s="213"/>
      <c r="D33" s="142"/>
      <c r="E33" s="142"/>
      <c r="F33" s="142"/>
      <c r="G33" s="143">
        <f>G28+G29+G30+G31+G32</f>
        <v>-3734318</v>
      </c>
      <c r="H33" s="99">
        <f>G33+'30'!H32</f>
        <v>5348253.0600000005</v>
      </c>
      <c r="I33" s="144"/>
      <c r="J33" s="175">
        <f>H33/DAY(B2)</f>
        <v>172524.29225806452</v>
      </c>
      <c r="K33" s="63"/>
      <c r="L33" s="89"/>
      <c r="N33" s="87"/>
      <c r="O33" s="71"/>
    </row>
    <row r="34" spans="1:15" ht="33" customHeight="1">
      <c r="A34" s="933" t="s">
        <v>331</v>
      </c>
      <c r="B34" s="934"/>
      <c r="C34" s="934"/>
      <c r="D34" s="337"/>
      <c r="E34" s="337"/>
      <c r="F34" s="337"/>
      <c r="G34" s="337"/>
      <c r="H34" s="337"/>
      <c r="I34" s="337"/>
      <c r="J34" s="338"/>
      <c r="K34" s="79"/>
      <c r="L34" s="66"/>
      <c r="N34" s="87"/>
      <c r="O34" s="71"/>
    </row>
    <row r="35" spans="1:15" ht="33" customHeight="1">
      <c r="A35" s="214" t="s">
        <v>160</v>
      </c>
      <c r="B35" s="326"/>
      <c r="C35" s="326"/>
      <c r="D35" s="111"/>
      <c r="E35" s="110"/>
      <c r="F35" s="110"/>
      <c r="G35" s="111"/>
      <c r="H35" s="111"/>
      <c r="I35" s="111"/>
      <c r="J35" s="174"/>
      <c r="K35" s="79"/>
      <c r="L35" s="66"/>
      <c r="N35" s="87"/>
      <c r="O35" s="71"/>
    </row>
    <row r="36" spans="1:15" ht="33" customHeight="1">
      <c r="A36" s="194" t="s">
        <v>161</v>
      </c>
      <c r="B36" s="195"/>
      <c r="C36" s="195"/>
      <c r="D36" s="151" t="s">
        <v>130</v>
      </c>
      <c r="E36" s="145">
        <v>1058597</v>
      </c>
      <c r="F36" s="145">
        <v>1058597</v>
      </c>
      <c r="G36" s="112">
        <f t="shared" ref="G36:G47" si="2">F36-E36</f>
        <v>0</v>
      </c>
      <c r="H36" s="99">
        <f>G36+'30'!H35</f>
        <v>72789.010000000009</v>
      </c>
      <c r="I36" s="95"/>
      <c r="J36" s="175">
        <f>H36/DAY(B2)</f>
        <v>2348.0325806451615</v>
      </c>
      <c r="K36" s="79"/>
      <c r="L36" s="66"/>
      <c r="N36" s="87"/>
      <c r="O36" s="71"/>
    </row>
    <row r="37" spans="1:15" ht="33" customHeight="1">
      <c r="A37" s="194" t="s">
        <v>162</v>
      </c>
      <c r="B37" s="195"/>
      <c r="C37" s="195"/>
      <c r="D37" s="151" t="s">
        <v>130</v>
      </c>
      <c r="E37" s="145">
        <v>1165</v>
      </c>
      <c r="F37" s="145">
        <v>1833</v>
      </c>
      <c r="G37" s="112">
        <f t="shared" si="2"/>
        <v>668</v>
      </c>
      <c r="H37" s="99">
        <f>G37+'30'!H36</f>
        <v>27199.989999999991</v>
      </c>
      <c r="I37" s="95"/>
      <c r="J37" s="175">
        <f>H37/DAY(B2)</f>
        <v>877.41903225806425</v>
      </c>
      <c r="K37" s="79"/>
      <c r="L37" s="66"/>
      <c r="N37" s="87"/>
      <c r="O37" s="344"/>
    </row>
    <row r="38" spans="1:15" ht="33" customHeight="1">
      <c r="A38" s="194" t="s">
        <v>163</v>
      </c>
      <c r="B38" s="195"/>
      <c r="C38" s="195"/>
      <c r="D38" s="151" t="s">
        <v>130</v>
      </c>
      <c r="E38" s="145">
        <v>1612</v>
      </c>
      <c r="F38" s="145">
        <v>2775</v>
      </c>
      <c r="G38" s="112">
        <f t="shared" si="2"/>
        <v>1163</v>
      </c>
      <c r="H38" s="99">
        <f>G38+'30'!H37</f>
        <v>45040.479999999981</v>
      </c>
      <c r="I38" s="95"/>
      <c r="J38" s="175">
        <f>H38/DAY(B2)</f>
        <v>1452.9187096774187</v>
      </c>
      <c r="K38" s="79"/>
      <c r="L38" s="66"/>
      <c r="N38" s="87"/>
      <c r="O38" s="234"/>
    </row>
    <row r="39" spans="1:15" ht="33" customHeight="1">
      <c r="A39" s="194" t="s">
        <v>164</v>
      </c>
      <c r="B39" s="195"/>
      <c r="C39" s="195"/>
      <c r="D39" s="151" t="s">
        <v>130</v>
      </c>
      <c r="E39" s="108">
        <v>3155</v>
      </c>
      <c r="F39" s="108">
        <v>4823</v>
      </c>
      <c r="G39" s="112">
        <f t="shared" si="2"/>
        <v>1668</v>
      </c>
      <c r="H39" s="99">
        <f>G39+'30'!H38</f>
        <v>76427.13</v>
      </c>
      <c r="I39" s="95"/>
      <c r="J39" s="175">
        <f>H39/DAY(B2)</f>
        <v>2465.391290322581</v>
      </c>
      <c r="K39" s="79"/>
      <c r="L39" s="66"/>
      <c r="N39" s="87"/>
      <c r="O39" s="71"/>
    </row>
    <row r="40" spans="1:15" ht="33" customHeight="1">
      <c r="A40" s="194" t="s">
        <v>165</v>
      </c>
      <c r="B40" s="195"/>
      <c r="C40" s="195"/>
      <c r="D40" s="151" t="s">
        <v>130</v>
      </c>
      <c r="E40" s="145">
        <v>634029</v>
      </c>
      <c r="F40" s="145">
        <v>637915</v>
      </c>
      <c r="G40" s="112">
        <f t="shared" si="2"/>
        <v>3886</v>
      </c>
      <c r="H40" s="99">
        <f>G40+'30'!H39</f>
        <v>86891.589999999967</v>
      </c>
      <c r="I40" s="95"/>
      <c r="J40" s="175">
        <f>H40/DAY(B2)</f>
        <v>2802.9545161290312</v>
      </c>
      <c r="K40" s="79"/>
      <c r="L40" s="66"/>
      <c r="N40" s="87"/>
      <c r="O40" s="71"/>
    </row>
    <row r="41" spans="1:15" ht="33" customHeight="1">
      <c r="A41" s="215" t="s">
        <v>166</v>
      </c>
      <c r="B41" s="216"/>
      <c r="C41" s="216"/>
      <c r="D41" s="151" t="s">
        <v>130</v>
      </c>
      <c r="E41" s="145">
        <v>34221</v>
      </c>
      <c r="F41" s="145">
        <v>34599</v>
      </c>
      <c r="G41" s="112">
        <f t="shared" si="2"/>
        <v>378</v>
      </c>
      <c r="H41" s="99">
        <f>G41+'30'!H40</f>
        <v>8229.5400000000081</v>
      </c>
      <c r="I41" s="95"/>
      <c r="J41" s="175">
        <f>H41/DAY(B2)</f>
        <v>265.46903225806477</v>
      </c>
      <c r="K41" s="80"/>
      <c r="L41" s="66"/>
      <c r="N41" s="87"/>
      <c r="O41" s="71"/>
    </row>
    <row r="42" spans="1:15" ht="33" customHeight="1">
      <c r="A42" s="194" t="s">
        <v>167</v>
      </c>
      <c r="B42" s="195"/>
      <c r="C42" s="195"/>
      <c r="D42" s="151" t="s">
        <v>130</v>
      </c>
      <c r="E42" s="145">
        <v>433281.79</v>
      </c>
      <c r="F42" s="145">
        <v>433281.79</v>
      </c>
      <c r="G42" s="112">
        <f t="shared" si="2"/>
        <v>0</v>
      </c>
      <c r="H42" s="99">
        <f>G42+'30'!H41</f>
        <v>-1.0000000009313226E-2</v>
      </c>
      <c r="I42" s="95"/>
      <c r="J42" s="175">
        <f>H42/DAY(B2)</f>
        <v>-3.2258064546171694E-4</v>
      </c>
      <c r="K42" s="79"/>
      <c r="L42" s="66"/>
      <c r="N42" s="87"/>
      <c r="O42" s="71"/>
    </row>
    <row r="43" spans="1:15" ht="33" customHeight="1">
      <c r="A43" s="194" t="s">
        <v>168</v>
      </c>
      <c r="B43" s="195"/>
      <c r="C43" s="195"/>
      <c r="D43" s="151" t="s">
        <v>130</v>
      </c>
      <c r="E43" s="145">
        <v>170507</v>
      </c>
      <c r="F43" s="145">
        <v>175112</v>
      </c>
      <c r="G43" s="112">
        <f t="shared" si="2"/>
        <v>4605</v>
      </c>
      <c r="H43" s="99">
        <f>G43+'30'!H42</f>
        <v>54327.930000000051</v>
      </c>
      <c r="I43" s="95"/>
      <c r="J43" s="175">
        <f>H43/DAY(B2)</f>
        <v>1752.5138709677435</v>
      </c>
      <c r="K43" s="79"/>
      <c r="L43" s="66"/>
      <c r="N43" s="87"/>
      <c r="O43" s="71"/>
    </row>
    <row r="44" spans="1:15" ht="33" customHeight="1">
      <c r="A44" s="194" t="s">
        <v>169</v>
      </c>
      <c r="B44" s="195"/>
      <c r="C44" s="195"/>
      <c r="D44" s="151" t="s">
        <v>130</v>
      </c>
      <c r="E44" s="145">
        <v>1287250</v>
      </c>
      <c r="F44" s="145">
        <v>1289745</v>
      </c>
      <c r="G44" s="112">
        <f t="shared" si="2"/>
        <v>2495</v>
      </c>
      <c r="H44" s="99">
        <f>G44+'30'!H43</f>
        <v>2495</v>
      </c>
      <c r="I44" s="95"/>
      <c r="J44" s="175">
        <f>H44/DAY(B2)</f>
        <v>80.483870967741936</v>
      </c>
      <c r="K44" s="79"/>
      <c r="L44" s="66"/>
      <c r="N44" s="87"/>
      <c r="O44" s="71"/>
    </row>
    <row r="45" spans="1:15" ht="33" customHeight="1">
      <c r="A45" s="194" t="s">
        <v>170</v>
      </c>
      <c r="B45" s="195"/>
      <c r="C45" s="195"/>
      <c r="D45" s="151" t="s">
        <v>130</v>
      </c>
      <c r="E45" s="145">
        <v>0</v>
      </c>
      <c r="F45" s="145">
        <v>0</v>
      </c>
      <c r="G45" s="112">
        <f t="shared" si="2"/>
        <v>0</v>
      </c>
      <c r="H45" s="99">
        <f>G45+'30'!H44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3" customHeight="1">
      <c r="A46" s="194" t="s">
        <v>171</v>
      </c>
      <c r="B46" s="195"/>
      <c r="C46" s="195"/>
      <c r="D46" s="151" t="s">
        <v>130</v>
      </c>
      <c r="E46" s="145">
        <v>614</v>
      </c>
      <c r="F46" s="145">
        <v>614</v>
      </c>
      <c r="G46" s="112">
        <f t="shared" si="2"/>
        <v>0</v>
      </c>
      <c r="H46" s="99">
        <f>G46+'30'!H45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3" customHeight="1">
      <c r="A47" s="194" t="s">
        <v>172</v>
      </c>
      <c r="B47" s="195"/>
      <c r="C47" s="195"/>
      <c r="D47" s="151" t="s">
        <v>130</v>
      </c>
      <c r="E47" s="145">
        <v>187</v>
      </c>
      <c r="F47" s="145">
        <v>187</v>
      </c>
      <c r="G47" s="112">
        <f t="shared" si="2"/>
        <v>0</v>
      </c>
      <c r="H47" s="99">
        <f>G47+'30'!H46</f>
        <v>0</v>
      </c>
      <c r="I47" s="95"/>
      <c r="J47" s="175">
        <f>H47/DAY(B2)</f>
        <v>0</v>
      </c>
      <c r="K47" s="79"/>
      <c r="L47" s="66"/>
      <c r="N47" s="87"/>
      <c r="O47" s="71"/>
    </row>
    <row r="48" spans="1:15" ht="33" customHeight="1">
      <c r="A48" s="201" t="s">
        <v>173</v>
      </c>
      <c r="B48" s="202"/>
      <c r="C48" s="202"/>
      <c r="D48" s="109"/>
      <c r="E48" s="146"/>
      <c r="F48" s="146"/>
      <c r="G48" s="119">
        <f>G36+G37+G38+G39+G40+G41+G42+G43+G44+G45+G46+G47</f>
        <v>14863</v>
      </c>
      <c r="H48" s="99">
        <f>G48+'30'!H47</f>
        <v>373400.66000000003</v>
      </c>
      <c r="I48" s="95"/>
      <c r="J48" s="175">
        <f>H48/DAY(B2)</f>
        <v>12045.182580645162</v>
      </c>
      <c r="K48" s="79"/>
      <c r="L48" s="66"/>
      <c r="N48" s="87"/>
      <c r="O48" s="71"/>
    </row>
    <row r="49" spans="1:15" ht="33" customHeight="1">
      <c r="A49" s="214" t="s">
        <v>174</v>
      </c>
      <c r="B49" s="326"/>
      <c r="C49" s="326"/>
      <c r="D49" s="111"/>
      <c r="E49" s="110"/>
      <c r="F49" s="110"/>
      <c r="G49" s="111"/>
      <c r="H49" s="111"/>
      <c r="I49" s="111"/>
      <c r="J49" s="174"/>
      <c r="K49" s="79"/>
      <c r="L49" s="66"/>
      <c r="N49" s="87"/>
      <c r="O49" s="71"/>
    </row>
    <row r="50" spans="1:15" ht="33" customHeight="1">
      <c r="A50" s="194" t="s">
        <v>161</v>
      </c>
      <c r="B50" s="217"/>
      <c r="C50" s="217"/>
      <c r="D50" s="151" t="s">
        <v>130</v>
      </c>
      <c r="E50" s="95">
        <f>'30'!F49</f>
        <v>822337.11</v>
      </c>
      <c r="F50" s="145">
        <v>419822</v>
      </c>
      <c r="G50" s="112">
        <f t="shared" ref="G50:G59" si="3">F50-E50</f>
        <v>-402515.11</v>
      </c>
      <c r="H50" s="99">
        <f>G50+'30'!H49</f>
        <v>-386682.15</v>
      </c>
      <c r="I50" s="95"/>
      <c r="J50" s="175">
        <f>H50/DAY(B2)</f>
        <v>-12473.617741935484</v>
      </c>
      <c r="K50" s="79"/>
      <c r="L50" s="66"/>
      <c r="N50" s="87"/>
      <c r="O50" s="71"/>
    </row>
    <row r="51" spans="1:15" ht="33" customHeight="1">
      <c r="A51" s="194" t="s">
        <v>175</v>
      </c>
      <c r="B51" s="217"/>
      <c r="C51" s="217"/>
      <c r="D51" s="151" t="s">
        <v>130</v>
      </c>
      <c r="E51" s="95">
        <f>'30'!F50</f>
        <v>540459.82999999996</v>
      </c>
      <c r="F51" s="145">
        <v>607298</v>
      </c>
      <c r="G51" s="112">
        <f t="shared" si="3"/>
        <v>66838.170000000042</v>
      </c>
      <c r="H51" s="99">
        <f>G51+'30'!H50</f>
        <v>106145</v>
      </c>
      <c r="I51" s="95"/>
      <c r="J51" s="175">
        <f>H51/DAY(B2)</f>
        <v>3424.0322580645161</v>
      </c>
      <c r="K51" s="79"/>
      <c r="L51" s="66"/>
      <c r="N51" s="87"/>
      <c r="O51" s="71"/>
    </row>
    <row r="52" spans="1:15" ht="33" customHeight="1">
      <c r="A52" s="194" t="s">
        <v>163</v>
      </c>
      <c r="B52" s="217"/>
      <c r="C52" s="217"/>
      <c r="D52" s="151" t="s">
        <v>130</v>
      </c>
      <c r="E52" s="95">
        <f>'30'!F51</f>
        <v>156958</v>
      </c>
      <c r="F52" s="145">
        <v>144640</v>
      </c>
      <c r="G52" s="112">
        <f t="shared" si="3"/>
        <v>-12318</v>
      </c>
      <c r="H52" s="99">
        <f>G52+'30'!H51</f>
        <v>-12318</v>
      </c>
      <c r="I52" s="95"/>
      <c r="J52" s="175">
        <f>H52/DAY(B2)</f>
        <v>-397.35483870967744</v>
      </c>
      <c r="K52" s="79"/>
      <c r="L52" s="66"/>
      <c r="N52" s="87"/>
      <c r="O52" s="71"/>
    </row>
    <row r="53" spans="1:15" ht="33" customHeight="1">
      <c r="A53" s="194" t="s">
        <v>176</v>
      </c>
      <c r="B53" s="217"/>
      <c r="C53" s="217"/>
      <c r="D53" s="151" t="s">
        <v>130</v>
      </c>
      <c r="E53" s="95">
        <f>'30'!F52</f>
        <v>1457.43</v>
      </c>
      <c r="F53" s="145">
        <v>539606</v>
      </c>
      <c r="G53" s="112">
        <f t="shared" si="3"/>
        <v>538148.56999999995</v>
      </c>
      <c r="H53" s="99">
        <f>G53+'30'!H52</f>
        <v>539596</v>
      </c>
      <c r="I53" s="95"/>
      <c r="J53" s="175">
        <f>H53/DAY(B2)</f>
        <v>17406.322580645163</v>
      </c>
      <c r="K53" s="79"/>
      <c r="L53" s="66"/>
      <c r="N53" s="87"/>
      <c r="O53" s="71"/>
    </row>
    <row r="54" spans="1:15" ht="33" customHeight="1">
      <c r="A54" s="194" t="s">
        <v>165</v>
      </c>
      <c r="B54" s="217"/>
      <c r="C54" s="217"/>
      <c r="D54" s="151" t="s">
        <v>130</v>
      </c>
      <c r="E54" s="95">
        <f>'30'!F53</f>
        <v>630355</v>
      </c>
      <c r="F54" s="145">
        <v>434232</v>
      </c>
      <c r="G54" s="112">
        <f t="shared" si="3"/>
        <v>-196123</v>
      </c>
      <c r="H54" s="99">
        <f>G54+'30'!H53</f>
        <v>-196123.03000000003</v>
      </c>
      <c r="I54" s="95"/>
      <c r="J54" s="175">
        <f>H54/DAY(B2)</f>
        <v>-6326.5493548387103</v>
      </c>
      <c r="K54" s="79"/>
      <c r="L54" s="66"/>
      <c r="N54" s="87"/>
      <c r="O54" s="71"/>
    </row>
    <row r="55" spans="1:15" ht="33" customHeight="1">
      <c r="A55" s="194" t="s">
        <v>177</v>
      </c>
      <c r="B55" s="217"/>
      <c r="C55" s="217"/>
      <c r="D55" s="151" t="s">
        <v>130</v>
      </c>
      <c r="E55" s="95">
        <f>'30'!F54</f>
        <v>123806.69</v>
      </c>
      <c r="F55" s="145">
        <v>14967</v>
      </c>
      <c r="G55" s="112">
        <f t="shared" si="3"/>
        <v>-108839.69</v>
      </c>
      <c r="H55" s="99">
        <f>G55+'30'!H54</f>
        <v>-99630.13</v>
      </c>
      <c r="I55" s="95"/>
      <c r="J55" s="175">
        <f>H55/DAY(B2)</f>
        <v>-3213.8751612903229</v>
      </c>
      <c r="K55" s="79"/>
      <c r="L55" s="66"/>
      <c r="N55" s="87"/>
      <c r="O55" s="71"/>
    </row>
    <row r="56" spans="1:15" ht="33" customHeight="1">
      <c r="A56" s="194" t="s">
        <v>178</v>
      </c>
      <c r="B56" s="217"/>
      <c r="C56" s="217"/>
      <c r="D56" s="151" t="s">
        <v>130</v>
      </c>
      <c r="E56" s="95">
        <f>'30'!F55</f>
        <v>594304.75</v>
      </c>
      <c r="F56" s="145">
        <v>306268.99</v>
      </c>
      <c r="G56" s="112">
        <f t="shared" si="3"/>
        <v>-288035.76</v>
      </c>
      <c r="H56" s="99">
        <f>G56+'30'!H55</f>
        <v>-270066.64</v>
      </c>
      <c r="I56" s="95"/>
      <c r="J56" s="175">
        <f>H56/DAY(B2)</f>
        <v>-8711.8270967741937</v>
      </c>
      <c r="K56" s="79"/>
      <c r="L56" s="66"/>
      <c r="N56" s="87"/>
      <c r="O56" s="71"/>
    </row>
    <row r="57" spans="1:15" ht="33" customHeight="1">
      <c r="A57" s="194" t="s">
        <v>179</v>
      </c>
      <c r="B57" s="217"/>
      <c r="C57" s="217"/>
      <c r="D57" s="151" t="s">
        <v>180</v>
      </c>
      <c r="E57" s="95">
        <f>'30'!F56</f>
        <v>370876.51</v>
      </c>
      <c r="F57" s="145">
        <v>661019</v>
      </c>
      <c r="G57" s="112">
        <f t="shared" si="3"/>
        <v>290142.49</v>
      </c>
      <c r="H57" s="99">
        <f>G57+'30'!H56</f>
        <v>325792.78999999998</v>
      </c>
      <c r="I57" s="95"/>
      <c r="J57" s="175">
        <f>H57/DAY(B2)</f>
        <v>10509.444838709676</v>
      </c>
      <c r="K57" s="78"/>
      <c r="L57" s="66"/>
      <c r="N57" s="87"/>
      <c r="O57" s="71"/>
    </row>
    <row r="58" spans="1:15" ht="33" customHeight="1">
      <c r="A58" s="194" t="s">
        <v>169</v>
      </c>
      <c r="B58" s="217"/>
      <c r="C58" s="217"/>
      <c r="D58" s="151" t="s">
        <v>130</v>
      </c>
      <c r="E58" s="95">
        <f>'30'!F57</f>
        <v>705108.31</v>
      </c>
      <c r="F58" s="145">
        <v>7711</v>
      </c>
      <c r="G58" s="112">
        <f t="shared" si="3"/>
        <v>-697397.31</v>
      </c>
      <c r="H58" s="99">
        <f>G58+'30'!H57</f>
        <v>-623122</v>
      </c>
      <c r="I58" s="95"/>
      <c r="J58" s="175">
        <f>H58/DAY(B2)</f>
        <v>-20100.709677419356</v>
      </c>
      <c r="K58" s="79"/>
      <c r="L58" s="66"/>
      <c r="N58" s="87"/>
      <c r="O58" s="71"/>
    </row>
    <row r="59" spans="1:15" ht="33" customHeight="1">
      <c r="A59" s="194" t="s">
        <v>181</v>
      </c>
      <c r="B59" s="217"/>
      <c r="C59" s="217"/>
      <c r="D59" s="151" t="s">
        <v>130</v>
      </c>
      <c r="E59" s="95">
        <f>'30'!F58</f>
        <v>94292</v>
      </c>
      <c r="F59" s="145">
        <v>66014</v>
      </c>
      <c r="G59" s="112">
        <f t="shared" si="3"/>
        <v>-28278</v>
      </c>
      <c r="H59" s="99">
        <f>G59+'30'!H58</f>
        <v>-20546.498999999996</v>
      </c>
      <c r="I59" s="95"/>
      <c r="J59" s="175">
        <f>H59/DAY(B2)</f>
        <v>-662.79029032258052</v>
      </c>
      <c r="K59" s="79"/>
      <c r="L59" s="66"/>
      <c r="N59" s="87"/>
      <c r="O59" s="71"/>
    </row>
    <row r="60" spans="1:15" ht="33" customHeight="1">
      <c r="A60" s="201" t="s">
        <v>173</v>
      </c>
      <c r="B60" s="202"/>
      <c r="C60" s="202"/>
      <c r="D60" s="146"/>
      <c r="E60" s="146"/>
      <c r="F60" s="146"/>
      <c r="G60" s="119">
        <f>G50+G51+G52+G53+G54+G55+G56+G57+G58+G59</f>
        <v>-838377.64000000013</v>
      </c>
      <c r="H60" s="99">
        <f>G60+'30'!H59</f>
        <v>-636954.65900000022</v>
      </c>
      <c r="I60" s="95">
        <f>G7-G61</f>
        <v>823514.64000000013</v>
      </c>
      <c r="J60" s="175">
        <f>H60/DAY(B2)</f>
        <v>-20546.924483870975</v>
      </c>
      <c r="K60" s="79"/>
      <c r="L60" s="66"/>
      <c r="N60" s="87"/>
      <c r="O60" s="71"/>
    </row>
    <row r="61" spans="1:15" ht="33" customHeight="1">
      <c r="A61" s="194"/>
      <c r="B61" s="195"/>
      <c r="C61" s="195"/>
      <c r="D61" s="146" t="s">
        <v>182</v>
      </c>
      <c r="E61" s="146"/>
      <c r="F61" s="146"/>
      <c r="G61" s="119">
        <f>G48+G60</f>
        <v>-823514.64000000013</v>
      </c>
      <c r="H61" s="99">
        <f>G61+'30'!H60</f>
        <v>-263553.9990000003</v>
      </c>
      <c r="I61" s="95">
        <f>G14-G61</f>
        <v>823514.64000000013</v>
      </c>
      <c r="J61" s="175">
        <f>H61/DAY(B2)</f>
        <v>-8501.7419032258167</v>
      </c>
      <c r="K61" s="79"/>
      <c r="L61" s="66"/>
      <c r="N61" s="87"/>
      <c r="O61" s="71"/>
    </row>
    <row r="62" spans="1:15" s="68" customFormat="1" ht="33" customHeight="1">
      <c r="A62" s="935" t="s">
        <v>332</v>
      </c>
      <c r="B62" s="936"/>
      <c r="C62" s="937"/>
      <c r="D62" s="339"/>
      <c r="E62" s="339"/>
      <c r="F62" s="339"/>
      <c r="G62" s="340"/>
      <c r="H62" s="339"/>
      <c r="I62" s="339"/>
      <c r="J62" s="341"/>
      <c r="K62" s="69"/>
      <c r="L62" s="67"/>
      <c r="N62" s="87"/>
      <c r="O62" s="71"/>
    </row>
    <row r="63" spans="1:15" ht="33" customHeight="1">
      <c r="A63" s="902" t="s">
        <v>198</v>
      </c>
      <c r="B63" s="903"/>
      <c r="C63" s="904"/>
      <c r="D63" s="151" t="s">
        <v>142</v>
      </c>
      <c r="E63" s="95">
        <f>'30'!F93</f>
        <v>0</v>
      </c>
      <c r="F63" s="122">
        <v>253452</v>
      </c>
      <c r="G63" s="112">
        <f t="shared" ref="G63:G64" si="4">F63-E63</f>
        <v>253452</v>
      </c>
      <c r="H63" s="99">
        <f>G63+'30'!H93</f>
        <v>253452</v>
      </c>
      <c r="I63" s="118"/>
      <c r="J63" s="175">
        <f>H63/DAY(B2)</f>
        <v>8175.8709677419356</v>
      </c>
      <c r="K63" s="80"/>
      <c r="L63" s="66"/>
      <c r="N63" s="87"/>
      <c r="O63" s="71"/>
    </row>
    <row r="64" spans="1:15" ht="33" customHeight="1">
      <c r="A64" s="902" t="s">
        <v>199</v>
      </c>
      <c r="B64" s="903"/>
      <c r="C64" s="904"/>
      <c r="D64" s="151" t="s">
        <v>142</v>
      </c>
      <c r="E64" s="95">
        <f>'30'!F94</f>
        <v>0</v>
      </c>
      <c r="F64" s="122">
        <v>197659</v>
      </c>
      <c r="G64" s="112">
        <f t="shared" si="4"/>
        <v>197659</v>
      </c>
      <c r="H64" s="99">
        <f>G64+'30'!H94</f>
        <v>360556.28</v>
      </c>
      <c r="I64" s="118"/>
      <c r="J64" s="175">
        <f>H64/DAY(B2)</f>
        <v>11630.847741935484</v>
      </c>
      <c r="K64" s="69"/>
      <c r="L64" s="66"/>
      <c r="N64" s="87"/>
      <c r="O64" s="71"/>
    </row>
    <row r="65" spans="1:15" ht="33" customHeight="1">
      <c r="A65" s="911" t="s">
        <v>200</v>
      </c>
      <c r="B65" s="912"/>
      <c r="C65" s="913"/>
      <c r="D65" s="151"/>
      <c r="E65" s="122"/>
      <c r="F65" s="122"/>
      <c r="G65" s="112">
        <f>G63+G64</f>
        <v>451111</v>
      </c>
      <c r="H65" s="99">
        <f>G65+'30'!H95</f>
        <v>451118.87363425695</v>
      </c>
      <c r="I65" s="118"/>
      <c r="J65" s="175">
        <f>H65/DAY(B2)</f>
        <v>14552.22173013732</v>
      </c>
      <c r="K65" s="69"/>
      <c r="L65" s="66"/>
      <c r="N65" s="87"/>
      <c r="O65" s="71"/>
    </row>
    <row r="66" spans="1:15" ht="33" customHeight="1">
      <c r="A66" s="902" t="s">
        <v>201</v>
      </c>
      <c r="B66" s="903"/>
      <c r="C66" s="904"/>
      <c r="D66" s="151" t="s">
        <v>142</v>
      </c>
      <c r="E66" s="95">
        <f>'30'!F96</f>
        <v>0</v>
      </c>
      <c r="F66" s="122">
        <v>421019</v>
      </c>
      <c r="G66" s="112">
        <f t="shared" ref="G66:G71" si="5">F66-E66</f>
        <v>421019</v>
      </c>
      <c r="H66" s="99">
        <f>G66+'30'!H96</f>
        <v>524361.34000000008</v>
      </c>
      <c r="I66" s="118"/>
      <c r="J66" s="175">
        <f>H66/DAY(B2)</f>
        <v>16914.881935483874</v>
      </c>
      <c r="K66" s="69"/>
      <c r="L66" s="66"/>
      <c r="N66" s="87"/>
      <c r="O66" s="71"/>
    </row>
    <row r="67" spans="1:15" ht="33" customHeight="1">
      <c r="A67" s="322" t="s">
        <v>202</v>
      </c>
      <c r="B67" s="323"/>
      <c r="C67" s="323"/>
      <c r="D67" s="151" t="s">
        <v>142</v>
      </c>
      <c r="E67" s="95">
        <f>'30'!F97</f>
        <v>0</v>
      </c>
      <c r="F67" s="122">
        <v>104636</v>
      </c>
      <c r="G67" s="112">
        <f t="shared" si="5"/>
        <v>104636</v>
      </c>
      <c r="H67" s="99">
        <f>G67+'30'!H97</f>
        <v>104640.96635356185</v>
      </c>
      <c r="I67" s="118"/>
      <c r="J67" s="175">
        <f>H67/DAY(B2)</f>
        <v>3375.5150436632853</v>
      </c>
      <c r="K67" s="78"/>
      <c r="L67" s="66"/>
      <c r="N67" s="87"/>
      <c r="O67" s="71"/>
    </row>
    <row r="68" spans="1:15" ht="33" customHeight="1">
      <c r="A68" s="322" t="s">
        <v>203</v>
      </c>
      <c r="B68" s="323"/>
      <c r="C68" s="323"/>
      <c r="D68" s="151" t="s">
        <v>142</v>
      </c>
      <c r="E68" s="95">
        <f>'30'!F98</f>
        <v>0</v>
      </c>
      <c r="F68" s="122">
        <v>100370</v>
      </c>
      <c r="G68" s="112">
        <f t="shared" si="5"/>
        <v>100370</v>
      </c>
      <c r="H68" s="99">
        <f>G68+'30'!H98</f>
        <v>183375.55999999994</v>
      </c>
      <c r="I68" s="118"/>
      <c r="J68" s="175">
        <f>H68/DAY(B2)</f>
        <v>5915.3406451612882</v>
      </c>
      <c r="K68" s="81"/>
      <c r="L68" s="66"/>
      <c r="N68" s="87"/>
      <c r="O68" s="71"/>
    </row>
    <row r="69" spans="1:15" ht="33" customHeight="1">
      <c r="A69" s="322" t="s">
        <v>204</v>
      </c>
      <c r="B69" s="323"/>
      <c r="C69" s="323"/>
      <c r="D69" s="151" t="s">
        <v>142</v>
      </c>
      <c r="E69" s="95">
        <f>'30'!F99</f>
        <v>0</v>
      </c>
      <c r="F69" s="122">
        <v>152135</v>
      </c>
      <c r="G69" s="112">
        <f t="shared" si="5"/>
        <v>152135</v>
      </c>
      <c r="H69" s="99" t="e">
        <f>G69+'30'!H99</f>
        <v>#VALUE!</v>
      </c>
      <c r="I69" s="118"/>
      <c r="J69" s="175" t="e">
        <f>H69/DAY(B2)</f>
        <v>#VALUE!</v>
      </c>
      <c r="K69" s="69"/>
      <c r="L69" s="66"/>
      <c r="N69" s="87"/>
      <c r="O69" s="71"/>
    </row>
    <row r="70" spans="1:15" ht="33" customHeight="1">
      <c r="A70" s="322" t="s">
        <v>205</v>
      </c>
      <c r="B70" s="323"/>
      <c r="C70" s="323"/>
      <c r="D70" s="151" t="s">
        <v>142</v>
      </c>
      <c r="E70" s="95">
        <f>'30'!F100</f>
        <v>0</v>
      </c>
      <c r="F70" s="122">
        <v>8645</v>
      </c>
      <c r="G70" s="112">
        <f t="shared" si="5"/>
        <v>8645</v>
      </c>
      <c r="H70" s="99">
        <f>G70+'30'!H100</f>
        <v>84851.56</v>
      </c>
      <c r="I70" s="118"/>
      <c r="J70" s="175">
        <f>H70/DAY(B2)</f>
        <v>2737.1470967741934</v>
      </c>
      <c r="K70" s="69"/>
      <c r="L70" s="66"/>
      <c r="N70" s="87"/>
      <c r="O70" s="71"/>
    </row>
    <row r="71" spans="1:15" ht="33" customHeight="1">
      <c r="A71" s="322" t="s">
        <v>206</v>
      </c>
      <c r="B71" s="323"/>
      <c r="C71" s="323"/>
      <c r="D71" s="151" t="s">
        <v>142</v>
      </c>
      <c r="E71" s="95">
        <f>'30'!F101</f>
        <v>0</v>
      </c>
      <c r="F71" s="122">
        <v>6373</v>
      </c>
      <c r="G71" s="112">
        <f t="shared" si="5"/>
        <v>6373</v>
      </c>
      <c r="H71" s="99">
        <f>G71+'30'!H101</f>
        <v>6376.6890396808349</v>
      </c>
      <c r="I71" s="118"/>
      <c r="J71" s="175">
        <f>H71/DAY(B2)</f>
        <v>205.69964644131724</v>
      </c>
      <c r="K71" s="69"/>
      <c r="L71" s="66"/>
      <c r="N71" s="87"/>
      <c r="O71" s="71"/>
    </row>
    <row r="72" spans="1:15" ht="33" customHeight="1">
      <c r="A72" s="911" t="s">
        <v>208</v>
      </c>
      <c r="B72" s="912"/>
      <c r="C72" s="913"/>
      <c r="D72" s="152"/>
      <c r="E72" s="152"/>
      <c r="F72" s="152"/>
      <c r="G72" s="153">
        <f>SUM(G66:G71)</f>
        <v>793178</v>
      </c>
      <c r="H72" s="99">
        <f>G72+'30'!H102</f>
        <v>859016.82</v>
      </c>
      <c r="I72" s="154"/>
      <c r="J72" s="175">
        <f>H72/DAY(B2)</f>
        <v>27710.219999999998</v>
      </c>
      <c r="K72" s="69"/>
      <c r="L72" s="66"/>
      <c r="N72" s="87"/>
      <c r="O72" s="71"/>
    </row>
    <row r="73" spans="1:15" s="88" customFormat="1" ht="33" customHeight="1">
      <c r="A73" s="898"/>
      <c r="B73" s="883"/>
      <c r="C73" s="321"/>
      <c r="D73" s="180"/>
      <c r="E73" s="180" t="s">
        <v>207</v>
      </c>
      <c r="F73" s="180"/>
      <c r="G73" s="180"/>
      <c r="H73" s="181"/>
      <c r="I73" s="180"/>
      <c r="J73" s="182"/>
      <c r="N73" s="87"/>
      <c r="O73" s="71"/>
    </row>
    <row r="74" spans="1:15" ht="33" customHeight="1">
      <c r="A74" s="908" t="s">
        <v>333</v>
      </c>
      <c r="B74" s="909"/>
      <c r="C74" s="910"/>
      <c r="D74" s="339"/>
      <c r="E74" s="339"/>
      <c r="F74" s="339"/>
      <c r="G74" s="342"/>
      <c r="H74" s="342"/>
      <c r="I74" s="342"/>
      <c r="J74" s="343"/>
      <c r="K74" s="69"/>
      <c r="L74" s="66"/>
      <c r="N74" s="87"/>
      <c r="O74" s="71"/>
    </row>
    <row r="75" spans="1:15" ht="33" customHeight="1">
      <c r="A75" s="902" t="s">
        <v>220</v>
      </c>
      <c r="B75" s="903"/>
      <c r="C75" s="904"/>
      <c r="D75" s="151" t="s">
        <v>139</v>
      </c>
      <c r="E75" s="95">
        <f>'30'!F124</f>
        <v>0</v>
      </c>
      <c r="F75" s="117">
        <v>856352</v>
      </c>
      <c r="G75" s="112">
        <f t="shared" ref="G75:G79" si="6">F75-E75</f>
        <v>856352</v>
      </c>
      <c r="H75" s="99">
        <f>G75+'30'!H124</f>
        <v>856352</v>
      </c>
      <c r="I75" s="154"/>
      <c r="J75" s="175">
        <f>H75/DAY(B2)</f>
        <v>27624.258064516129</v>
      </c>
      <c r="K75" s="69"/>
      <c r="L75" s="66"/>
      <c r="N75" s="87"/>
      <c r="O75" s="71"/>
    </row>
    <row r="76" spans="1:15" ht="33" customHeight="1">
      <c r="A76" s="902" t="s">
        <v>221</v>
      </c>
      <c r="B76" s="903"/>
      <c r="C76" s="904"/>
      <c r="D76" s="151" t="s">
        <v>139</v>
      </c>
      <c r="E76" s="95">
        <f>'30'!F125</f>
        <v>0</v>
      </c>
      <c r="F76" s="232">
        <v>73583.399999999994</v>
      </c>
      <c r="G76" s="112">
        <f t="shared" si="6"/>
        <v>73583.399999999994</v>
      </c>
      <c r="H76" s="99">
        <f>G76+'30'!H125</f>
        <v>73583.399999999994</v>
      </c>
      <c r="I76" s="154"/>
      <c r="J76" s="175">
        <f>H76/DAY(B2)</f>
        <v>2373.6580645161289</v>
      </c>
      <c r="K76" s="69"/>
      <c r="L76" s="66"/>
      <c r="N76" s="87"/>
      <c r="O76" s="71"/>
    </row>
    <row r="77" spans="1:15" ht="33" customHeight="1">
      <c r="A77" s="899" t="s">
        <v>222</v>
      </c>
      <c r="B77" s="900"/>
      <c r="C77" s="901"/>
      <c r="D77" s="151" t="s">
        <v>139</v>
      </c>
      <c r="E77" s="95">
        <f>'30'!F126</f>
        <v>0</v>
      </c>
      <c r="F77" s="117">
        <v>154077</v>
      </c>
      <c r="G77" s="112">
        <f t="shared" si="6"/>
        <v>154077</v>
      </c>
      <c r="H77" s="99">
        <f>G77+'30'!H126</f>
        <v>154077</v>
      </c>
      <c r="I77" s="154"/>
      <c r="J77" s="175">
        <f>H77/DAY(B2)</f>
        <v>4970.2258064516127</v>
      </c>
      <c r="K77" s="69"/>
      <c r="L77" s="66"/>
      <c r="N77" s="87"/>
      <c r="O77" s="71"/>
    </row>
    <row r="78" spans="1:15" ht="33" customHeight="1">
      <c r="A78" s="899" t="s">
        <v>223</v>
      </c>
      <c r="B78" s="900"/>
      <c r="C78" s="901"/>
      <c r="D78" s="151" t="s">
        <v>139</v>
      </c>
      <c r="E78" s="95">
        <f>'30'!F127</f>
        <v>0</v>
      </c>
      <c r="F78" s="232">
        <v>34629</v>
      </c>
      <c r="G78" s="112">
        <f t="shared" si="6"/>
        <v>34629</v>
      </c>
      <c r="H78" s="99">
        <f>G78+'30'!H127</f>
        <v>34629</v>
      </c>
      <c r="I78" s="154"/>
      <c r="J78" s="175">
        <f>H78/DAY(B2)</f>
        <v>1117.0645161290322</v>
      </c>
      <c r="K78" s="69"/>
      <c r="L78" s="66"/>
      <c r="N78" s="87"/>
      <c r="O78" s="71"/>
    </row>
    <row r="79" spans="1:15" ht="33" customHeight="1">
      <c r="A79" s="899" t="s">
        <v>224</v>
      </c>
      <c r="B79" s="900"/>
      <c r="C79" s="901"/>
      <c r="D79" s="151" t="s">
        <v>139</v>
      </c>
      <c r="E79" s="95">
        <f>'30'!F128</f>
        <v>206823.03</v>
      </c>
      <c r="F79" s="232">
        <v>9180</v>
      </c>
      <c r="G79" s="112">
        <f t="shared" si="6"/>
        <v>-197643.03</v>
      </c>
      <c r="H79" s="99">
        <f>G79+'30'!H128</f>
        <v>-182705.63</v>
      </c>
      <c r="I79" s="118"/>
      <c r="J79" s="175">
        <f>H79/DAY(B2)</f>
        <v>-5893.7300000000005</v>
      </c>
      <c r="K79" s="69"/>
      <c r="L79" s="66"/>
      <c r="N79" s="87"/>
      <c r="O79" s="71"/>
    </row>
    <row r="80" spans="1:15" s="57" customFormat="1" ht="33" customHeight="1">
      <c r="A80" s="899" t="s">
        <v>225</v>
      </c>
      <c r="B80" s="900"/>
      <c r="C80" s="901"/>
      <c r="D80" s="151"/>
      <c r="E80" s="117"/>
      <c r="F80" s="117"/>
      <c r="G80" s="112">
        <f>G16-SUM(G75:G79)</f>
        <v>-920249.36999999988</v>
      </c>
      <c r="H80" s="99">
        <f>G80+'30'!H129</f>
        <v>-915282.66999999993</v>
      </c>
      <c r="I80" s="118"/>
      <c r="J80" s="175"/>
      <c r="K80" s="59"/>
      <c r="L80" s="58"/>
      <c r="N80" s="87"/>
      <c r="O80" s="71"/>
    </row>
    <row r="81" spans="1:15" s="57" customFormat="1" ht="33" customHeight="1">
      <c r="A81" s="911" t="s">
        <v>329</v>
      </c>
      <c r="B81" s="912"/>
      <c r="C81" s="913"/>
      <c r="D81" s="151"/>
      <c r="E81" s="117"/>
      <c r="F81" s="117"/>
      <c r="G81" s="112">
        <f>SUM(G75:G80)</f>
        <v>749</v>
      </c>
      <c r="H81" s="99"/>
      <c r="I81" s="118"/>
      <c r="J81" s="175"/>
      <c r="K81" s="59"/>
      <c r="L81" s="58"/>
      <c r="N81" s="87"/>
      <c r="O81" s="71"/>
    </row>
    <row r="82" spans="1:15" ht="33" customHeight="1">
      <c r="A82" s="915" t="s">
        <v>226</v>
      </c>
      <c r="B82" s="916"/>
      <c r="C82" s="917"/>
      <c r="D82" s="110"/>
      <c r="E82" s="110"/>
      <c r="F82" s="110"/>
      <c r="G82" s="163"/>
      <c r="H82" s="163"/>
      <c r="I82" s="163"/>
      <c r="J82" s="184"/>
      <c r="O82" s="71"/>
    </row>
    <row r="83" spans="1:15" ht="33" customHeight="1">
      <c r="A83" s="322" t="s">
        <v>227</v>
      </c>
      <c r="B83" s="323"/>
      <c r="C83" s="323"/>
      <c r="D83" s="151" t="s">
        <v>228</v>
      </c>
      <c r="E83" s="95">
        <f>'30'!F131</f>
        <v>84506.27</v>
      </c>
      <c r="F83" s="122"/>
      <c r="G83" s="112">
        <f t="shared" ref="G83:G93" si="7">F83-E83</f>
        <v>-84506.27</v>
      </c>
      <c r="H83" s="99">
        <f>G83+'30'!H131</f>
        <v>-79550.63</v>
      </c>
      <c r="I83" s="118"/>
      <c r="J83" s="175">
        <f>H83/DAY(B2)</f>
        <v>-2566.1493548387098</v>
      </c>
      <c r="O83" s="71"/>
    </row>
    <row r="84" spans="1:15" ht="33" customHeight="1">
      <c r="A84" s="322" t="s">
        <v>229</v>
      </c>
      <c r="B84" s="323"/>
      <c r="C84" s="323"/>
      <c r="D84" s="151" t="s">
        <v>228</v>
      </c>
      <c r="E84" s="95">
        <f>'30'!F132</f>
        <v>67129</v>
      </c>
      <c r="F84" s="122"/>
      <c r="G84" s="112">
        <f t="shared" si="7"/>
        <v>-67129</v>
      </c>
      <c r="H84" s="99">
        <f>G84+'30'!H132</f>
        <v>-64225</v>
      </c>
      <c r="I84" s="118"/>
      <c r="J84" s="175">
        <f>H84/DAY(B2)</f>
        <v>-2071.7741935483873</v>
      </c>
      <c r="O84" s="71"/>
    </row>
    <row r="85" spans="1:15" ht="33" customHeight="1">
      <c r="A85" s="322" t="s">
        <v>230</v>
      </c>
      <c r="B85" s="323"/>
      <c r="C85" s="323"/>
      <c r="D85" s="151" t="s">
        <v>228</v>
      </c>
      <c r="E85" s="95">
        <f>'30'!F133</f>
        <v>949454</v>
      </c>
      <c r="F85" s="164">
        <v>40922</v>
      </c>
      <c r="G85" s="112">
        <f t="shared" si="7"/>
        <v>-908532</v>
      </c>
      <c r="H85" s="99">
        <f>G85+'30'!H133</f>
        <v>-1549447.83</v>
      </c>
      <c r="I85" s="118"/>
      <c r="J85" s="175">
        <f>H85/DAY(B2)</f>
        <v>-49982.188064516129</v>
      </c>
      <c r="O85" s="71"/>
    </row>
    <row r="86" spans="1:15" ht="33" customHeight="1">
      <c r="A86" s="322" t="s">
        <v>231</v>
      </c>
      <c r="B86" s="323"/>
      <c r="C86" s="323"/>
      <c r="D86" s="151" t="s">
        <v>228</v>
      </c>
      <c r="E86" s="95">
        <f>'30'!F134</f>
        <v>92974.79</v>
      </c>
      <c r="F86" s="164">
        <v>856</v>
      </c>
      <c r="G86" s="112">
        <f t="shared" si="7"/>
        <v>-92118.79</v>
      </c>
      <c r="H86" s="99">
        <f>G86+'30'!H134</f>
        <v>-85096</v>
      </c>
      <c r="I86" s="118">
        <f>G83+G84+G85+G86</f>
        <v>-1152286.06</v>
      </c>
      <c r="J86" s="175">
        <f>H86/DAY(B2)</f>
        <v>-2745.0322580645161</v>
      </c>
      <c r="O86" s="71"/>
    </row>
    <row r="87" spans="1:15" ht="33" customHeight="1">
      <c r="A87" s="322" t="s">
        <v>232</v>
      </c>
      <c r="B87" s="323"/>
      <c r="C87" s="323"/>
      <c r="D87" s="151" t="s">
        <v>228</v>
      </c>
      <c r="E87" s="95">
        <f>'30'!F135</f>
        <v>0</v>
      </c>
      <c r="F87" s="164">
        <v>42822</v>
      </c>
      <c r="G87" s="112">
        <f t="shared" si="7"/>
        <v>42822</v>
      </c>
      <c r="H87" s="99">
        <f>G87+'30'!H135</f>
        <v>-578962.45600000001</v>
      </c>
      <c r="I87" s="118"/>
      <c r="J87" s="175">
        <f>H87/DAY(B2)</f>
        <v>-18676.208258064515</v>
      </c>
      <c r="O87" s="71"/>
    </row>
    <row r="88" spans="1:15" ht="33" customHeight="1">
      <c r="A88" s="322" t="s">
        <v>233</v>
      </c>
      <c r="B88" s="323"/>
      <c r="C88" s="323"/>
      <c r="D88" s="151" t="s">
        <v>228</v>
      </c>
      <c r="E88" s="95">
        <f>'30'!F136</f>
        <v>0</v>
      </c>
      <c r="F88" s="164">
        <v>32928</v>
      </c>
      <c r="G88" s="112">
        <f t="shared" si="7"/>
        <v>32928</v>
      </c>
      <c r="H88" s="99">
        <f>G88+'30'!H136</f>
        <v>32928</v>
      </c>
      <c r="I88" s="118"/>
      <c r="J88" s="175">
        <f>H88/DAY(B2)</f>
        <v>1062.1935483870968</v>
      </c>
      <c r="O88" s="71"/>
    </row>
    <row r="89" spans="1:15" ht="33" customHeight="1">
      <c r="A89" s="322" t="s">
        <v>234</v>
      </c>
      <c r="B89" s="323"/>
      <c r="C89" s="323"/>
      <c r="D89" s="151" t="s">
        <v>228</v>
      </c>
      <c r="E89" s="95">
        <f>'30'!F137</f>
        <v>0</v>
      </c>
      <c r="F89" s="164">
        <v>23356.43</v>
      </c>
      <c r="G89" s="112">
        <f t="shared" si="7"/>
        <v>23356.43</v>
      </c>
      <c r="H89" s="99">
        <f>G89+'30'!H137</f>
        <v>23356.43</v>
      </c>
      <c r="I89" s="118">
        <f>G87+G88+G89</f>
        <v>99106.43</v>
      </c>
      <c r="J89" s="175">
        <f>H89/DAY(B2)</f>
        <v>753.43322580645167</v>
      </c>
      <c r="O89" s="71"/>
    </row>
    <row r="90" spans="1:15" ht="33" customHeight="1">
      <c r="A90" s="322" t="s">
        <v>235</v>
      </c>
      <c r="B90" s="323"/>
      <c r="C90" s="323"/>
      <c r="D90" s="151" t="s">
        <v>228</v>
      </c>
      <c r="E90" s="95">
        <f>'30'!F138</f>
        <v>912798</v>
      </c>
      <c r="F90" s="164">
        <v>25132.959999999999</v>
      </c>
      <c r="G90" s="112">
        <f t="shared" si="7"/>
        <v>-887665.04</v>
      </c>
      <c r="H90" s="99">
        <f>G90+'30'!H138</f>
        <v>-884307.04</v>
      </c>
      <c r="I90" s="118"/>
      <c r="J90" s="175">
        <f>H90/DAY(B2)</f>
        <v>-28526.033548387099</v>
      </c>
      <c r="O90" s="71"/>
    </row>
    <row r="91" spans="1:15" ht="33" customHeight="1">
      <c r="A91" s="322" t="s">
        <v>236</v>
      </c>
      <c r="B91" s="323"/>
      <c r="C91" s="323"/>
      <c r="D91" s="151" t="s">
        <v>228</v>
      </c>
      <c r="E91" s="95">
        <f>'30'!F139</f>
        <v>937087</v>
      </c>
      <c r="F91" s="164">
        <v>70524.55</v>
      </c>
      <c r="G91" s="112">
        <f t="shared" si="7"/>
        <v>-866562.45</v>
      </c>
      <c r="H91" s="99">
        <f>G91+'30'!H139</f>
        <v>-861835.45</v>
      </c>
      <c r="I91" s="118">
        <f>G90+G91</f>
        <v>-1754227.49</v>
      </c>
      <c r="J91" s="175">
        <f>H91/DAY(B2)</f>
        <v>-27801.143548387096</v>
      </c>
      <c r="O91" s="71"/>
    </row>
    <row r="92" spans="1:15" ht="33" customHeight="1">
      <c r="A92" s="322" t="s">
        <v>237</v>
      </c>
      <c r="B92" s="323"/>
      <c r="C92" s="323"/>
      <c r="D92" s="151" t="s">
        <v>228</v>
      </c>
      <c r="E92" s="95">
        <f>'30'!F140</f>
        <v>4016.51</v>
      </c>
      <c r="F92" s="122">
        <v>2627.98</v>
      </c>
      <c r="G92" s="112">
        <f t="shared" si="7"/>
        <v>-1388.5300000000002</v>
      </c>
      <c r="H92" s="99">
        <f>G92+'30'!H140</f>
        <v>-706.39099999999962</v>
      </c>
      <c r="I92" s="165"/>
      <c r="J92" s="175">
        <f>H92/DAY(B2)</f>
        <v>-22.78680645161289</v>
      </c>
      <c r="O92" s="71"/>
    </row>
    <row r="93" spans="1:15" ht="33" customHeight="1">
      <c r="A93" s="322" t="s">
        <v>238</v>
      </c>
      <c r="B93" s="323"/>
      <c r="C93" s="323"/>
      <c r="D93" s="151" t="s">
        <v>228</v>
      </c>
      <c r="E93" s="95">
        <f>'30'!F141</f>
        <v>131042</v>
      </c>
      <c r="F93" s="122">
        <v>4754</v>
      </c>
      <c r="G93" s="112">
        <f t="shared" si="7"/>
        <v>-126288</v>
      </c>
      <c r="H93" s="99">
        <f>G93+'30'!H141</f>
        <v>-119844</v>
      </c>
      <c r="I93" s="165"/>
      <c r="J93" s="175">
        <f>H93/DAY(B2)</f>
        <v>-3865.9354838709678</v>
      </c>
      <c r="O93" s="71"/>
    </row>
    <row r="94" spans="1:15" ht="33" customHeight="1">
      <c r="A94" s="905" t="s">
        <v>239</v>
      </c>
      <c r="B94" s="906"/>
      <c r="C94" s="907"/>
      <c r="D94" s="111"/>
      <c r="E94" s="111"/>
      <c r="F94" s="111"/>
      <c r="G94" s="121"/>
      <c r="H94" s="121"/>
      <c r="I94" s="121"/>
      <c r="J94" s="183"/>
      <c r="K94" s="69"/>
      <c r="L94" s="66"/>
      <c r="O94" s="71"/>
    </row>
    <row r="95" spans="1:15" ht="33" customHeight="1">
      <c r="A95" s="902" t="s">
        <v>240</v>
      </c>
      <c r="B95" s="903"/>
      <c r="C95" s="904"/>
      <c r="D95" s="151" t="s">
        <v>130</v>
      </c>
      <c r="E95" s="151"/>
      <c r="F95" s="151"/>
      <c r="G95" s="99">
        <f>G36+G44+G50+G58</f>
        <v>-1097417.42</v>
      </c>
      <c r="H95" s="99">
        <f>G95+'30'!H143</f>
        <v>-1096524.8199999998</v>
      </c>
      <c r="I95" s="118"/>
      <c r="J95" s="175">
        <f>H95/DAY(B2)</f>
        <v>-35371.768387096767</v>
      </c>
      <c r="K95" s="69"/>
      <c r="L95" s="66"/>
      <c r="O95" s="71"/>
    </row>
    <row r="96" spans="1:15" ht="33" customHeight="1">
      <c r="A96" s="902" t="s">
        <v>241</v>
      </c>
      <c r="B96" s="903"/>
      <c r="C96" s="904"/>
      <c r="D96" s="151" t="s">
        <v>23</v>
      </c>
      <c r="E96" s="146"/>
      <c r="F96" s="146"/>
      <c r="G96" s="166" t="e">
        <f>G95/G7</f>
        <v>#DIV/0!</v>
      </c>
      <c r="H96" s="99" t="e">
        <f>G96+'30'!H144</f>
        <v>#DIV/0!</v>
      </c>
      <c r="I96" s="167"/>
      <c r="J96" s="175" t="e">
        <f>H96/DAY(B2)</f>
        <v>#DIV/0!</v>
      </c>
      <c r="K96" s="69"/>
      <c r="L96" s="66"/>
      <c r="O96" s="71"/>
    </row>
    <row r="97" spans="1:15" ht="33" customHeight="1">
      <c r="A97" s="902" t="s">
        <v>242</v>
      </c>
      <c r="B97" s="903"/>
      <c r="C97" s="904"/>
      <c r="D97" s="151" t="s">
        <v>130</v>
      </c>
      <c r="E97" s="95"/>
      <c r="F97" s="95"/>
      <c r="G97" s="99">
        <f>G42+G43+G56+G57</f>
        <v>6711.7299999999814</v>
      </c>
      <c r="H97" s="99">
        <f>G97+'30'!H145</f>
        <v>12069.729999999981</v>
      </c>
      <c r="I97" s="118"/>
      <c r="J97" s="175">
        <f>H97/DAY(B2)</f>
        <v>389.34612903225747</v>
      </c>
      <c r="K97" s="69"/>
      <c r="L97" s="66"/>
      <c r="O97" s="71"/>
    </row>
    <row r="98" spans="1:15" ht="33" customHeight="1">
      <c r="A98" s="902" t="s">
        <v>243</v>
      </c>
      <c r="B98" s="903"/>
      <c r="C98" s="904"/>
      <c r="D98" s="151" t="s">
        <v>23</v>
      </c>
      <c r="E98" s="95"/>
      <c r="F98" s="95"/>
      <c r="G98" s="166" t="e">
        <f>G97/G7</f>
        <v>#DIV/0!</v>
      </c>
      <c r="H98" s="99" t="e">
        <f>G98+'30'!H146</f>
        <v>#DIV/0!</v>
      </c>
      <c r="I98" s="167"/>
      <c r="J98" s="175" t="e">
        <f>H98/DAY(B2)</f>
        <v>#DIV/0!</v>
      </c>
      <c r="K98" s="69"/>
      <c r="L98" s="66"/>
      <c r="O98" s="71"/>
    </row>
    <row r="99" spans="1:15" ht="33" customHeight="1">
      <c r="A99" s="902" t="s">
        <v>244</v>
      </c>
      <c r="B99" s="903"/>
      <c r="C99" s="904"/>
      <c r="D99" s="151" t="s">
        <v>130</v>
      </c>
      <c r="E99" s="95"/>
      <c r="F99" s="95"/>
      <c r="G99" s="99">
        <f>G40+G54</f>
        <v>-192237</v>
      </c>
      <c r="H99" s="99">
        <f>G99+'30'!H147</f>
        <v>-181086.76</v>
      </c>
      <c r="I99" s="168"/>
      <c r="J99" s="175">
        <f>H99/DAY(B2)</f>
        <v>-5841.5083870967746</v>
      </c>
      <c r="K99" s="69"/>
      <c r="L99" s="66"/>
      <c r="O99" s="71"/>
    </row>
    <row r="100" spans="1:15" ht="33" customHeight="1">
      <c r="A100" s="902" t="s">
        <v>245</v>
      </c>
      <c r="B100" s="903"/>
      <c r="C100" s="904"/>
      <c r="D100" s="151" t="s">
        <v>23</v>
      </c>
      <c r="E100" s="95"/>
      <c r="F100" s="95"/>
      <c r="G100" s="166" t="e">
        <f>G99/G7</f>
        <v>#DIV/0!</v>
      </c>
      <c r="H100" s="99" t="e">
        <f>G100+'30'!H148</f>
        <v>#DIV/0!</v>
      </c>
      <c r="I100" s="168"/>
      <c r="J100" s="175" t="e">
        <f>H100/DAY(B2)</f>
        <v>#DIV/0!</v>
      </c>
      <c r="O100" s="71"/>
    </row>
    <row r="101" spans="1:15" ht="33" customHeight="1">
      <c r="A101" s="902" t="s">
        <v>246</v>
      </c>
      <c r="B101" s="903"/>
      <c r="C101" s="904"/>
      <c r="D101" s="151" t="s">
        <v>180</v>
      </c>
      <c r="E101" s="95"/>
      <c r="F101" s="95"/>
      <c r="G101" s="99">
        <f>G39+G53</f>
        <v>539816.56999999995</v>
      </c>
      <c r="H101" s="99">
        <f>G101+'30'!H149</f>
        <v>554835.29999999993</v>
      </c>
      <c r="I101" s="118"/>
      <c r="J101" s="175">
        <f>H101/DAY(B2)</f>
        <v>17897.912903225802</v>
      </c>
      <c r="K101" s="70"/>
      <c r="O101" s="71"/>
    </row>
    <row r="102" spans="1:15" ht="33" customHeight="1">
      <c r="A102" s="902" t="s">
        <v>247</v>
      </c>
      <c r="B102" s="903"/>
      <c r="C102" s="904"/>
      <c r="D102" s="151" t="s">
        <v>23</v>
      </c>
      <c r="E102" s="95"/>
      <c r="F102" s="95"/>
      <c r="G102" s="166" t="e">
        <f>G101/G7</f>
        <v>#DIV/0!</v>
      </c>
      <c r="H102" s="99" t="e">
        <f>G102+'30'!H150</f>
        <v>#DIV/0!</v>
      </c>
      <c r="I102" s="168"/>
      <c r="J102" s="175" t="e">
        <f>H102/DAY(B2)</f>
        <v>#DIV/0!</v>
      </c>
      <c r="O102" s="71"/>
    </row>
    <row r="103" spans="1:15" ht="33" customHeight="1">
      <c r="A103" s="902" t="s">
        <v>248</v>
      </c>
      <c r="B103" s="903"/>
      <c r="C103" s="904"/>
      <c r="D103" s="151" t="s">
        <v>180</v>
      </c>
      <c r="E103" s="95"/>
      <c r="F103" s="95"/>
      <c r="G103" s="99">
        <f>G37+G51</f>
        <v>67506.170000000042</v>
      </c>
      <c r="H103" s="99">
        <f>G103+'30'!H156</f>
        <v>70285.670000000042</v>
      </c>
      <c r="I103" s="168"/>
      <c r="J103" s="175">
        <f>H103/DAY(B2)</f>
        <v>2267.2796774193562</v>
      </c>
      <c r="O103" s="71"/>
    </row>
    <row r="104" spans="1:15" ht="33" customHeight="1">
      <c r="A104" s="902" t="s">
        <v>249</v>
      </c>
      <c r="B104" s="903"/>
      <c r="C104" s="904"/>
      <c r="D104" s="151" t="s">
        <v>23</v>
      </c>
      <c r="E104" s="95"/>
      <c r="F104" s="95"/>
      <c r="G104" s="166" t="e">
        <f>G103/G7</f>
        <v>#DIV/0!</v>
      </c>
      <c r="H104" s="99" t="e">
        <f>G104+'30'!H160</f>
        <v>#DIV/0!</v>
      </c>
      <c r="I104" s="118"/>
      <c r="J104" s="175" t="e">
        <f>H104/DAY(B2)</f>
        <v>#DIV/0!</v>
      </c>
      <c r="O104" s="71"/>
    </row>
    <row r="105" spans="1:15" ht="33" customHeight="1">
      <c r="A105" s="902" t="s">
        <v>250</v>
      </c>
      <c r="B105" s="903"/>
      <c r="C105" s="904"/>
      <c r="D105" s="151" t="s">
        <v>180</v>
      </c>
      <c r="E105" s="95"/>
      <c r="F105" s="95"/>
      <c r="G105" s="99">
        <f>G38+G52</f>
        <v>-11155</v>
      </c>
      <c r="H105" s="99">
        <f>G105+'30'!H161</f>
        <v>-7241.960000000021</v>
      </c>
      <c r="I105" s="118"/>
      <c r="J105" s="175">
        <f>H105/DAY(B2)</f>
        <v>-233.61161290322647</v>
      </c>
      <c r="O105" s="71"/>
    </row>
    <row r="106" spans="1:15" ht="33" customHeight="1" thickBot="1">
      <c r="A106" s="895" t="s">
        <v>251</v>
      </c>
      <c r="B106" s="896"/>
      <c r="C106" s="897"/>
      <c r="D106" s="231" t="s">
        <v>23</v>
      </c>
      <c r="E106" s="185"/>
      <c r="F106" s="185"/>
      <c r="G106" s="186" t="e">
        <f>G105/G7</f>
        <v>#DIV/0!</v>
      </c>
      <c r="H106" s="99" t="e">
        <f>G106+'30'!H162</f>
        <v>#DIV/0!</v>
      </c>
      <c r="I106" s="187"/>
      <c r="J106" s="188" t="e">
        <f>H106/DAY(B2)</f>
        <v>#DIV/0!</v>
      </c>
      <c r="O106" s="71"/>
    </row>
    <row r="107" spans="1:15" ht="33" customHeight="1">
      <c r="A107" s="105"/>
      <c r="B107" s="96"/>
      <c r="C107" s="96"/>
      <c r="D107" s="169"/>
      <c r="E107" s="169"/>
      <c r="F107" s="169"/>
      <c r="G107" s="169"/>
      <c r="H107" s="170"/>
      <c r="I107" s="169"/>
      <c r="J107" s="171"/>
      <c r="O107" s="71"/>
    </row>
    <row r="109" spans="1:15" ht="33" customHeight="1">
      <c r="A109" s="891" t="s">
        <v>324</v>
      </c>
      <c r="B109" s="891"/>
      <c r="C109" s="891"/>
      <c r="D109" s="891"/>
      <c r="E109" s="891"/>
      <c r="F109" s="891"/>
      <c r="G109" s="891"/>
      <c r="H109" s="891"/>
      <c r="I109" s="891"/>
      <c r="J109" s="891"/>
    </row>
    <row r="110" spans="1:15" ht="33" customHeight="1">
      <c r="A110" s="918"/>
      <c r="B110" s="918"/>
    </row>
    <row r="111" spans="1:15" ht="33" customHeight="1">
      <c r="A111" s="892" t="s">
        <v>165</v>
      </c>
      <c r="B111" s="893"/>
      <c r="C111" s="893"/>
      <c r="D111" s="893"/>
      <c r="E111" s="893"/>
      <c r="F111" s="893"/>
      <c r="G111" s="893"/>
      <c r="H111" s="893"/>
      <c r="I111" s="893"/>
      <c r="J111" s="894"/>
    </row>
    <row r="112" spans="1:15" ht="33" customHeight="1">
      <c r="A112" s="885"/>
      <c r="B112" s="886"/>
      <c r="C112" s="887"/>
      <c r="D112" s="165"/>
      <c r="E112" s="165"/>
      <c r="F112" s="165"/>
      <c r="G112" s="165"/>
      <c r="H112" s="156"/>
      <c r="I112" s="165"/>
      <c r="J112" s="327"/>
    </row>
    <row r="113" spans="1:18" ht="33" customHeight="1">
      <c r="A113" s="881" t="s">
        <v>252</v>
      </c>
      <c r="B113" s="882"/>
      <c r="C113" s="883"/>
      <c r="D113" s="146" t="s">
        <v>183</v>
      </c>
      <c r="E113" s="237">
        <v>0</v>
      </c>
      <c r="F113" s="237">
        <v>38434</v>
      </c>
      <c r="G113" s="112">
        <f t="shared" ref="G113:G124" si="8">F113-E113</f>
        <v>38434</v>
      </c>
      <c r="H113" s="99">
        <f>G113+'30'!H169</f>
        <v>38434</v>
      </c>
      <c r="I113" s="165"/>
      <c r="J113" s="328" t="e">
        <f t="shared" ref="J113:J124" si="9">H113/DAY(B32)</f>
        <v>#DIV/0!</v>
      </c>
    </row>
    <row r="114" spans="1:18" ht="33" customHeight="1">
      <c r="A114" s="881" t="s">
        <v>253</v>
      </c>
      <c r="B114" s="882"/>
      <c r="C114" s="883"/>
      <c r="D114" s="146" t="s">
        <v>183</v>
      </c>
      <c r="E114" s="237">
        <v>0</v>
      </c>
      <c r="F114" s="237">
        <v>94790</v>
      </c>
      <c r="G114" s="112">
        <f t="shared" si="8"/>
        <v>94790</v>
      </c>
      <c r="H114" s="99">
        <f>G114+'30'!H170</f>
        <v>94790</v>
      </c>
      <c r="I114" s="165"/>
      <c r="J114" s="328" t="e">
        <f t="shared" si="9"/>
        <v>#DIV/0!</v>
      </c>
    </row>
    <row r="115" spans="1:18" ht="33" customHeight="1">
      <c r="A115" s="881" t="s">
        <v>254</v>
      </c>
      <c r="B115" s="882"/>
      <c r="C115" s="883"/>
      <c r="D115" s="146" t="s">
        <v>183</v>
      </c>
      <c r="E115" s="237">
        <v>0</v>
      </c>
      <c r="F115" s="237">
        <v>44933</v>
      </c>
      <c r="G115" s="112">
        <f t="shared" si="8"/>
        <v>44933</v>
      </c>
      <c r="H115" s="99">
        <f>G115+'30'!H171</f>
        <v>44933</v>
      </c>
      <c r="I115" s="165"/>
      <c r="J115" s="328" t="e">
        <f t="shared" si="9"/>
        <v>#DIV/0!</v>
      </c>
    </row>
    <row r="116" spans="1:18" ht="33" customHeight="1">
      <c r="A116" s="881" t="s">
        <v>255</v>
      </c>
      <c r="B116" s="882"/>
      <c r="C116" s="883"/>
      <c r="D116" s="146" t="s">
        <v>183</v>
      </c>
      <c r="E116" s="237">
        <v>0</v>
      </c>
      <c r="F116" s="237">
        <v>6560</v>
      </c>
      <c r="G116" s="112">
        <f t="shared" si="8"/>
        <v>6560</v>
      </c>
      <c r="H116" s="99">
        <f>G116+'30'!H172</f>
        <v>6560</v>
      </c>
      <c r="I116" s="165"/>
      <c r="J116" s="328" t="e">
        <f t="shared" si="9"/>
        <v>#DIV/0!</v>
      </c>
    </row>
    <row r="117" spans="1:18" ht="33" customHeight="1">
      <c r="A117" s="888" t="s">
        <v>96</v>
      </c>
      <c r="B117" s="889"/>
      <c r="C117" s="890"/>
      <c r="D117" s="146" t="s">
        <v>183</v>
      </c>
      <c r="E117" s="237">
        <v>0</v>
      </c>
      <c r="F117" s="237">
        <v>44933</v>
      </c>
      <c r="G117" s="112">
        <f t="shared" si="8"/>
        <v>44933</v>
      </c>
      <c r="H117" s="99">
        <f>G117+'30'!H173</f>
        <v>44963</v>
      </c>
      <c r="I117" s="165"/>
      <c r="J117" s="328" t="e">
        <f t="shared" si="9"/>
        <v>#DIV/0!</v>
      </c>
      <c r="Q117" s="881"/>
      <c r="R117" s="883"/>
    </row>
    <row r="118" spans="1:18" ht="33" customHeight="1">
      <c r="A118" s="888" t="s">
        <v>184</v>
      </c>
      <c r="B118" s="889"/>
      <c r="C118" s="890"/>
      <c r="D118" s="146" t="s">
        <v>183</v>
      </c>
      <c r="E118" s="237">
        <v>0</v>
      </c>
      <c r="F118" s="237">
        <v>44933</v>
      </c>
      <c r="G118" s="112">
        <f t="shared" si="8"/>
        <v>44933</v>
      </c>
      <c r="H118" s="99">
        <f>G118+'30'!H174</f>
        <v>45286</v>
      </c>
      <c r="I118" s="165"/>
      <c r="J118" s="328" t="e">
        <f t="shared" si="9"/>
        <v>#DIV/0!</v>
      </c>
      <c r="Q118" s="881"/>
      <c r="R118" s="883"/>
    </row>
    <row r="119" spans="1:18" ht="33" customHeight="1">
      <c r="A119" s="880" t="s">
        <v>97</v>
      </c>
      <c r="B119" s="880"/>
      <c r="C119" s="880"/>
      <c r="D119" s="151" t="s">
        <v>183</v>
      </c>
      <c r="E119" s="237">
        <v>0</v>
      </c>
      <c r="F119" s="237">
        <v>44933</v>
      </c>
      <c r="G119" s="112">
        <f t="shared" si="8"/>
        <v>44933</v>
      </c>
      <c r="H119" s="99">
        <f>G119+'30'!H175</f>
        <v>45385</v>
      </c>
      <c r="I119" s="165"/>
      <c r="J119" s="328" t="e">
        <f t="shared" si="9"/>
        <v>#DIV/0!</v>
      </c>
      <c r="Q119" s="881"/>
      <c r="R119" s="883"/>
    </row>
    <row r="120" spans="1:18" ht="33" customHeight="1">
      <c r="A120" s="880" t="s">
        <v>98</v>
      </c>
      <c r="B120" s="880"/>
      <c r="C120" s="880"/>
      <c r="D120" s="151" t="s">
        <v>183</v>
      </c>
      <c r="E120" s="237">
        <v>0</v>
      </c>
      <c r="F120" s="237">
        <v>44933</v>
      </c>
      <c r="G120" s="112">
        <f t="shared" si="8"/>
        <v>44933</v>
      </c>
      <c r="H120" s="99">
        <f>G120+'30'!H176</f>
        <v>45768</v>
      </c>
      <c r="I120" s="165"/>
      <c r="J120" s="328" t="e">
        <f t="shared" si="9"/>
        <v>#DIV/0!</v>
      </c>
    </row>
    <row r="121" spans="1:18" ht="33" customHeight="1">
      <c r="A121" s="880" t="s">
        <v>99</v>
      </c>
      <c r="B121" s="880"/>
      <c r="C121" s="880"/>
      <c r="D121" s="151" t="s">
        <v>183</v>
      </c>
      <c r="E121" s="237">
        <v>0</v>
      </c>
      <c r="F121" s="237">
        <v>44933</v>
      </c>
      <c r="G121" s="112">
        <f t="shared" si="8"/>
        <v>44933</v>
      </c>
      <c r="H121" s="99">
        <f>G121+'30'!H177</f>
        <v>44933</v>
      </c>
      <c r="I121" s="165"/>
      <c r="J121" s="328" t="e">
        <f t="shared" si="9"/>
        <v>#DIV/0!</v>
      </c>
    </row>
    <row r="122" spans="1:18" ht="33" customHeight="1">
      <c r="A122" s="880" t="s">
        <v>100</v>
      </c>
      <c r="B122" s="880"/>
      <c r="C122" s="880"/>
      <c r="D122" s="151" t="s">
        <v>183</v>
      </c>
      <c r="E122" s="237">
        <v>0</v>
      </c>
      <c r="F122" s="237">
        <v>44933</v>
      </c>
      <c r="G122" s="112">
        <f t="shared" si="8"/>
        <v>44933</v>
      </c>
      <c r="H122" s="99">
        <f>G122+'30'!H178</f>
        <v>48243</v>
      </c>
      <c r="I122" s="165"/>
      <c r="J122" s="328" t="e">
        <f t="shared" si="9"/>
        <v>#DIV/0!</v>
      </c>
    </row>
    <row r="123" spans="1:18" ht="33" customHeight="1">
      <c r="A123" s="880" t="s">
        <v>101</v>
      </c>
      <c r="B123" s="880"/>
      <c r="C123" s="880"/>
      <c r="D123" s="151" t="s">
        <v>183</v>
      </c>
      <c r="E123" s="237">
        <v>0</v>
      </c>
      <c r="F123" s="237">
        <v>44933</v>
      </c>
      <c r="G123" s="112">
        <f t="shared" si="8"/>
        <v>44933</v>
      </c>
      <c r="H123" s="99">
        <f>G123+'30'!H179</f>
        <v>44933</v>
      </c>
      <c r="I123" s="165"/>
      <c r="J123" s="328" t="e">
        <f t="shared" si="9"/>
        <v>#DIV/0!</v>
      </c>
    </row>
    <row r="124" spans="1:18" ht="33" customHeight="1">
      <c r="A124" s="880" t="s">
        <v>102</v>
      </c>
      <c r="B124" s="880"/>
      <c r="C124" s="880"/>
      <c r="D124" s="151" t="s">
        <v>183</v>
      </c>
      <c r="E124" s="237">
        <v>0</v>
      </c>
      <c r="F124" s="237">
        <v>44933</v>
      </c>
      <c r="G124" s="112">
        <f t="shared" si="8"/>
        <v>44933</v>
      </c>
      <c r="H124" s="99">
        <f>G124+'30'!H180</f>
        <v>45066</v>
      </c>
      <c r="I124" s="165"/>
      <c r="J124" s="328" t="e">
        <f t="shared" si="9"/>
        <v>#DIV/0!</v>
      </c>
    </row>
    <row r="125" spans="1:18" ht="33" customHeight="1">
      <c r="A125" s="885"/>
      <c r="B125" s="886"/>
      <c r="C125" s="887"/>
      <c r="D125" s="165"/>
      <c r="E125" s="165"/>
      <c r="F125" s="165"/>
      <c r="G125" s="327"/>
      <c r="H125" s="156"/>
      <c r="I125" s="165"/>
      <c r="J125" s="327"/>
    </row>
    <row r="126" spans="1:18" ht="33" customHeight="1">
      <c r="A126" s="870"/>
      <c r="B126" s="870"/>
      <c r="C126" s="245"/>
      <c r="D126" s="307"/>
      <c r="E126" s="308"/>
      <c r="F126" s="308"/>
      <c r="G126" s="309"/>
      <c r="H126" s="156"/>
      <c r="I126" s="165"/>
      <c r="J126" s="327"/>
    </row>
    <row r="127" spans="1:18" ht="33" customHeight="1">
      <c r="A127" s="884" t="s">
        <v>317</v>
      </c>
      <c r="B127" s="884"/>
      <c r="C127" s="884"/>
      <c r="D127" s="884"/>
      <c r="E127" s="884"/>
      <c r="F127" s="884"/>
      <c r="G127" s="884"/>
      <c r="H127" s="884"/>
      <c r="I127" s="884"/>
      <c r="J127" s="884"/>
    </row>
    <row r="128" spans="1:18" ht="33" customHeight="1">
      <c r="A128" s="870"/>
      <c r="B128" s="870"/>
      <c r="C128" s="245"/>
      <c r="D128" s="307"/>
      <c r="E128" s="308"/>
      <c r="F128" s="308"/>
      <c r="G128" s="309"/>
      <c r="H128" s="99">
        <f>G128+'30'!H184</f>
        <v>259</v>
      </c>
      <c r="I128" s="165"/>
      <c r="J128" s="328" t="e">
        <f t="shared" ref="J128:J136" si="10">H128/DAY(B47)</f>
        <v>#DIV/0!</v>
      </c>
    </row>
    <row r="129" spans="1:15" ht="33" customHeight="1">
      <c r="A129" s="881" t="s">
        <v>318</v>
      </c>
      <c r="B129" s="882"/>
      <c r="C129" s="883"/>
      <c r="D129" s="151" t="s">
        <v>183</v>
      </c>
      <c r="E129" s="95">
        <f>'30'!F185</f>
        <v>0</v>
      </c>
      <c r="F129" s="165"/>
      <c r="G129" s="112">
        <f t="shared" ref="G129:G134" si="11">F129-E129</f>
        <v>0</v>
      </c>
      <c r="H129" s="99">
        <f>G129+'30'!H185</f>
        <v>0</v>
      </c>
      <c r="I129" s="165"/>
      <c r="J129" s="328" t="e">
        <f t="shared" si="10"/>
        <v>#DIV/0!</v>
      </c>
    </row>
    <row r="130" spans="1:15" ht="33" customHeight="1">
      <c r="A130" s="329" t="s">
        <v>319</v>
      </c>
      <c r="B130" s="330"/>
      <c r="C130" s="331"/>
      <c r="D130" s="151" t="s">
        <v>183</v>
      </c>
      <c r="E130" s="95">
        <f>'30'!F186</f>
        <v>0</v>
      </c>
      <c r="F130" s="165"/>
      <c r="G130" s="112">
        <f t="shared" si="11"/>
        <v>0</v>
      </c>
      <c r="H130" s="99">
        <f>G130+'30'!H186</f>
        <v>569</v>
      </c>
      <c r="I130" s="165"/>
      <c r="J130" s="328" t="e">
        <f t="shared" si="10"/>
        <v>#DIV/0!</v>
      </c>
      <c r="N130" s="240"/>
      <c r="O130" s="241"/>
    </row>
    <row r="131" spans="1:15" ht="33" customHeight="1">
      <c r="A131" s="329" t="s">
        <v>320</v>
      </c>
      <c r="B131" s="330"/>
      <c r="C131" s="331"/>
      <c r="D131" s="151" t="s">
        <v>183</v>
      </c>
      <c r="E131" s="95">
        <f>'30'!F187</f>
        <v>0</v>
      </c>
      <c r="F131" s="165"/>
      <c r="G131" s="112">
        <f t="shared" si="11"/>
        <v>0</v>
      </c>
      <c r="H131" s="99">
        <f>G131+'30'!H187</f>
        <v>5106</v>
      </c>
      <c r="I131" s="165"/>
      <c r="J131" s="328" t="e">
        <f t="shared" si="10"/>
        <v>#DIV/0!</v>
      </c>
      <c r="N131" s="240"/>
      <c r="O131" s="241"/>
    </row>
    <row r="132" spans="1:15" ht="33" customHeight="1">
      <c r="A132" s="881" t="s">
        <v>321</v>
      </c>
      <c r="B132" s="882"/>
      <c r="C132" s="883"/>
      <c r="D132" s="151" t="s">
        <v>183</v>
      </c>
      <c r="E132" s="95">
        <f>'30'!F188</f>
        <v>0</v>
      </c>
      <c r="F132" s="165"/>
      <c r="G132" s="112">
        <f t="shared" si="11"/>
        <v>0</v>
      </c>
      <c r="H132" s="99">
        <f>G132+'30'!H188</f>
        <v>3143</v>
      </c>
      <c r="I132" s="165"/>
      <c r="J132" s="328" t="e">
        <f t="shared" si="10"/>
        <v>#DIV/0!</v>
      </c>
      <c r="N132" s="240"/>
      <c r="O132" s="241"/>
    </row>
    <row r="133" spans="1:15" ht="33" customHeight="1">
      <c r="A133" s="881" t="s">
        <v>322</v>
      </c>
      <c r="B133" s="882"/>
      <c r="C133" s="883"/>
      <c r="D133" s="151" t="s">
        <v>183</v>
      </c>
      <c r="E133" s="95">
        <f>'30'!F189</f>
        <v>0</v>
      </c>
      <c r="F133" s="165"/>
      <c r="G133" s="112">
        <f t="shared" si="11"/>
        <v>0</v>
      </c>
      <c r="H133" s="99">
        <f>G133+'30'!H189</f>
        <v>1322</v>
      </c>
      <c r="I133" s="165"/>
      <c r="J133" s="328" t="e">
        <f t="shared" si="10"/>
        <v>#DIV/0!</v>
      </c>
    </row>
    <row r="134" spans="1:15" ht="33" customHeight="1">
      <c r="A134" s="881" t="s">
        <v>323</v>
      </c>
      <c r="B134" s="882"/>
      <c r="C134" s="883"/>
      <c r="D134" s="151" t="s">
        <v>183</v>
      </c>
      <c r="E134" s="95">
        <f>'30'!F190</f>
        <v>0</v>
      </c>
      <c r="F134" s="165"/>
      <c r="G134" s="112">
        <f t="shared" si="11"/>
        <v>0</v>
      </c>
      <c r="H134" s="99">
        <f>G134+'30'!H190</f>
        <v>0</v>
      </c>
      <c r="I134" s="165"/>
      <c r="J134" s="328" t="e">
        <f t="shared" si="10"/>
        <v>#DIV/0!</v>
      </c>
    </row>
    <row r="135" spans="1:15" ht="33" customHeight="1">
      <c r="A135" s="885"/>
      <c r="B135" s="886"/>
      <c r="C135" s="887"/>
      <c r="D135" s="151"/>
      <c r="E135" s="95"/>
      <c r="F135" s="165"/>
      <c r="G135" s="112"/>
      <c r="H135" s="99">
        <f>G135+'30'!H191</f>
        <v>0</v>
      </c>
      <c r="I135" s="165"/>
      <c r="J135" s="328" t="e">
        <f t="shared" si="10"/>
        <v>#DIV/0!</v>
      </c>
    </row>
    <row r="136" spans="1:15" ht="33" customHeight="1">
      <c r="A136" s="885"/>
      <c r="B136" s="886"/>
      <c r="C136" s="887"/>
      <c r="D136" s="151"/>
      <c r="E136" s="95"/>
      <c r="F136" s="165"/>
      <c r="G136" s="112"/>
      <c r="H136" s="99">
        <f>G136+'30'!H192</f>
        <v>0</v>
      </c>
      <c r="I136" s="165"/>
      <c r="J136" s="328" t="e">
        <f t="shared" si="10"/>
        <v>#DIV/0!</v>
      </c>
    </row>
    <row r="137" spans="1:15" ht="33" customHeight="1">
      <c r="A137" s="869" t="s">
        <v>325</v>
      </c>
      <c r="B137" s="869"/>
      <c r="C137" s="869"/>
      <c r="D137" s="869"/>
      <c r="E137" s="869"/>
      <c r="F137" s="869"/>
      <c r="G137" s="869"/>
      <c r="H137" s="869"/>
      <c r="I137" s="869"/>
      <c r="J137" s="869"/>
    </row>
    <row r="138" spans="1:15" ht="33" customHeight="1">
      <c r="A138" s="245"/>
      <c r="B138" s="246"/>
      <c r="C138" s="246"/>
      <c r="D138" s="165"/>
      <c r="E138" s="165"/>
      <c r="F138" s="165"/>
      <c r="G138" s="165"/>
      <c r="H138" s="156"/>
      <c r="I138" s="165"/>
      <c r="J138" s="327"/>
    </row>
    <row r="139" spans="1:15" ht="33" customHeight="1">
      <c r="A139" s="880" t="s">
        <v>185</v>
      </c>
      <c r="B139" s="880"/>
      <c r="C139" s="880"/>
      <c r="D139" s="151" t="s">
        <v>183</v>
      </c>
      <c r="E139" s="95">
        <f>'30'!F195</f>
        <v>0</v>
      </c>
      <c r="F139" s="147">
        <v>857022</v>
      </c>
      <c r="G139" s="112">
        <f t="shared" ref="G139:G151" si="12">F139-E139</f>
        <v>857022</v>
      </c>
      <c r="H139" s="99">
        <f>G139+'30'!H195</f>
        <v>857022</v>
      </c>
      <c r="I139" s="118"/>
      <c r="J139" s="328" t="e">
        <f>H139/DAY(B78)</f>
        <v>#DIV/0!</v>
      </c>
    </row>
    <row r="140" spans="1:15" ht="33" customHeight="1">
      <c r="A140" s="880" t="s">
        <v>186</v>
      </c>
      <c r="B140" s="880"/>
      <c r="C140" s="880"/>
      <c r="D140" s="151" t="s">
        <v>183</v>
      </c>
      <c r="E140" s="95">
        <f>'30'!F196</f>
        <v>0</v>
      </c>
      <c r="F140" s="148">
        <v>886051</v>
      </c>
      <c r="G140" s="112">
        <f t="shared" si="12"/>
        <v>886051</v>
      </c>
      <c r="H140" s="99">
        <f>G140+'30'!H196</f>
        <v>886051</v>
      </c>
      <c r="I140" s="118"/>
      <c r="J140" s="328" t="e">
        <f>H140/DAY(B78)</f>
        <v>#DIV/0!</v>
      </c>
    </row>
    <row r="141" spans="1:15" ht="33" customHeight="1">
      <c r="A141" s="880" t="s">
        <v>187</v>
      </c>
      <c r="B141" s="880"/>
      <c r="C141" s="880"/>
      <c r="D141" s="151" t="s">
        <v>183</v>
      </c>
      <c r="E141" s="95">
        <f>'30'!F197</f>
        <v>0</v>
      </c>
      <c r="F141" s="149">
        <v>88776</v>
      </c>
      <c r="G141" s="112">
        <f t="shared" si="12"/>
        <v>88776</v>
      </c>
      <c r="H141" s="99">
        <f>G141+'30'!H197</f>
        <v>88776</v>
      </c>
      <c r="I141" s="118"/>
      <c r="J141" s="328" t="e">
        <f>H141/DAY(B78)</f>
        <v>#DIV/0!</v>
      </c>
    </row>
    <row r="142" spans="1:15" ht="33" customHeight="1">
      <c r="A142" s="863" t="s">
        <v>188</v>
      </c>
      <c r="B142" s="863"/>
      <c r="C142" s="863"/>
      <c r="D142" s="151" t="s">
        <v>183</v>
      </c>
      <c r="E142" s="95">
        <f>'30'!F198</f>
        <v>0</v>
      </c>
      <c r="F142" s="149">
        <v>26308</v>
      </c>
      <c r="G142" s="112">
        <f t="shared" si="12"/>
        <v>26308</v>
      </c>
      <c r="H142" s="99">
        <f>G142+'30'!H198</f>
        <v>26308</v>
      </c>
      <c r="I142" s="118"/>
      <c r="J142" s="328" t="e">
        <f>H142/DAY(B78)</f>
        <v>#DIV/0!</v>
      </c>
    </row>
    <row r="143" spans="1:15" ht="33" customHeight="1">
      <c r="A143" s="863" t="s">
        <v>189</v>
      </c>
      <c r="B143" s="863"/>
      <c r="C143" s="863"/>
      <c r="D143" s="151" t="s">
        <v>183</v>
      </c>
      <c r="E143" s="95">
        <f>'30'!F199</f>
        <v>0</v>
      </c>
      <c r="F143" s="148">
        <v>13277</v>
      </c>
      <c r="G143" s="112">
        <f t="shared" si="12"/>
        <v>13277</v>
      </c>
      <c r="H143" s="99">
        <f>G143+'30'!H199</f>
        <v>13277</v>
      </c>
      <c r="I143" s="140"/>
      <c r="J143" s="328" t="e">
        <f>H143/DAY(B78)</f>
        <v>#DIV/0!</v>
      </c>
    </row>
    <row r="144" spans="1:15" ht="33" customHeight="1">
      <c r="A144" s="880" t="s">
        <v>190</v>
      </c>
      <c r="B144" s="880"/>
      <c r="C144" s="880"/>
      <c r="D144" s="151" t="s">
        <v>183</v>
      </c>
      <c r="E144" s="95">
        <f>'30'!F200</f>
        <v>0</v>
      </c>
      <c r="F144" s="149">
        <v>708289</v>
      </c>
      <c r="G144" s="112">
        <f t="shared" si="12"/>
        <v>708289</v>
      </c>
      <c r="H144" s="99">
        <f>G144+'30'!H200</f>
        <v>708289</v>
      </c>
      <c r="I144" s="140"/>
      <c r="J144" s="328" t="e">
        <f>H144/DAY(B78)</f>
        <v>#DIV/0!</v>
      </c>
    </row>
    <row r="145" spans="1:10" ht="33" customHeight="1">
      <c r="A145" s="914" t="s">
        <v>191</v>
      </c>
      <c r="B145" s="900"/>
      <c r="C145" s="901"/>
      <c r="D145" s="151" t="s">
        <v>183</v>
      </c>
      <c r="E145" s="95">
        <f>'30'!F201</f>
        <v>0</v>
      </c>
      <c r="F145" s="149">
        <v>682413</v>
      </c>
      <c r="G145" s="112">
        <f t="shared" si="12"/>
        <v>682413</v>
      </c>
      <c r="H145" s="99">
        <f>G145+'30'!H201</f>
        <v>682413</v>
      </c>
      <c r="I145" s="140"/>
      <c r="J145" s="328" t="e">
        <f>H145/DAY(B78)</f>
        <v>#DIV/0!</v>
      </c>
    </row>
    <row r="146" spans="1:10" ht="33" customHeight="1">
      <c r="A146" s="863" t="s">
        <v>90</v>
      </c>
      <c r="B146" s="863"/>
      <c r="C146" s="863"/>
      <c r="D146" s="152" t="s">
        <v>183</v>
      </c>
      <c r="E146" s="95">
        <f>'30'!F202</f>
        <v>0</v>
      </c>
      <c r="F146" s="149">
        <v>845049</v>
      </c>
      <c r="G146" s="112">
        <f t="shared" si="12"/>
        <v>845049</v>
      </c>
      <c r="H146" s="99">
        <f>G146+'30'!H202</f>
        <v>845049</v>
      </c>
      <c r="I146" s="140"/>
      <c r="J146" s="328" t="e">
        <f>H146/DAY(B78)</f>
        <v>#DIV/0!</v>
      </c>
    </row>
    <row r="147" spans="1:10" ht="33" customHeight="1">
      <c r="A147" s="863" t="s">
        <v>192</v>
      </c>
      <c r="B147" s="863"/>
      <c r="C147" s="863"/>
      <c r="D147" s="152" t="s">
        <v>183</v>
      </c>
      <c r="E147" s="95">
        <f>'30'!F203</f>
        <v>0</v>
      </c>
      <c r="F147" s="148">
        <v>564298</v>
      </c>
      <c r="G147" s="112">
        <f t="shared" si="12"/>
        <v>564298</v>
      </c>
      <c r="H147" s="99">
        <f>G147+'30'!H203</f>
        <v>564298</v>
      </c>
      <c r="I147" s="140"/>
      <c r="J147" s="328" t="e">
        <f>H147/DAY(B78)</f>
        <v>#DIV/0!</v>
      </c>
    </row>
    <row r="148" spans="1:10" ht="33" customHeight="1">
      <c r="A148" s="863" t="s">
        <v>193</v>
      </c>
      <c r="B148" s="863"/>
      <c r="C148" s="863"/>
      <c r="D148" s="152" t="s">
        <v>183</v>
      </c>
      <c r="E148" s="95">
        <f>'30'!F204</f>
        <v>0</v>
      </c>
      <c r="F148" s="148">
        <v>654178</v>
      </c>
      <c r="G148" s="112">
        <f t="shared" si="12"/>
        <v>654178</v>
      </c>
      <c r="H148" s="99">
        <f>G148+'30'!H204</f>
        <v>654178</v>
      </c>
      <c r="I148" s="140"/>
      <c r="J148" s="328" t="e">
        <f>H148/DAY(B78)</f>
        <v>#DIV/0!</v>
      </c>
    </row>
    <row r="149" spans="1:10" ht="33" customHeight="1">
      <c r="A149" s="863" t="s">
        <v>91</v>
      </c>
      <c r="B149" s="863"/>
      <c r="C149" s="863"/>
      <c r="D149" s="123" t="s">
        <v>130</v>
      </c>
      <c r="E149" s="95">
        <f>'30'!F205</f>
        <v>0</v>
      </c>
      <c r="F149" s="150">
        <v>109925</v>
      </c>
      <c r="G149" s="112">
        <f t="shared" si="12"/>
        <v>109925</v>
      </c>
      <c r="H149" s="99">
        <f>G149+'30'!H205</f>
        <v>109925</v>
      </c>
      <c r="I149" s="124"/>
      <c r="J149" s="328" t="e">
        <f>H149/DAY(B78)</f>
        <v>#DIV/0!</v>
      </c>
    </row>
    <row r="150" spans="1:10" ht="33" customHeight="1">
      <c r="A150" s="863" t="s">
        <v>194</v>
      </c>
      <c r="B150" s="863"/>
      <c r="C150" s="863"/>
      <c r="D150" s="227" t="s">
        <v>130</v>
      </c>
      <c r="E150" s="95">
        <f>'30'!F206</f>
        <v>0</v>
      </c>
      <c r="F150" s="146">
        <v>44323</v>
      </c>
      <c r="G150" s="112">
        <f t="shared" si="12"/>
        <v>44323</v>
      </c>
      <c r="H150" s="99">
        <f>G150+'30'!H206</f>
        <v>44323</v>
      </c>
      <c r="I150" s="119"/>
      <c r="J150" s="328" t="e">
        <f>H150/DAY(B78)</f>
        <v>#DIV/0!</v>
      </c>
    </row>
    <row r="151" spans="1:10" ht="33" customHeight="1">
      <c r="A151" s="325" t="s">
        <v>195</v>
      </c>
      <c r="B151" s="190"/>
      <c r="C151" s="190"/>
      <c r="D151" s="117" t="s">
        <v>130</v>
      </c>
      <c r="E151" s="95">
        <f>'30'!F207</f>
        <v>0</v>
      </c>
      <c r="F151" s="233">
        <v>570379</v>
      </c>
      <c r="G151" s="112">
        <f t="shared" si="12"/>
        <v>570379</v>
      </c>
      <c r="H151" s="99">
        <f>G151+'30'!H207</f>
        <v>570379</v>
      </c>
      <c r="I151" s="119"/>
      <c r="J151" s="328" t="e">
        <f>H151/DAY(B78)</f>
        <v>#DIV/0!</v>
      </c>
    </row>
    <row r="153" spans="1:10" ht="33" customHeight="1">
      <c r="A153" s="869" t="s">
        <v>326</v>
      </c>
      <c r="B153" s="869"/>
      <c r="C153" s="869"/>
      <c r="D153" s="869"/>
      <c r="E153" s="869"/>
      <c r="F153" s="869"/>
      <c r="G153" s="869"/>
      <c r="H153" s="869"/>
      <c r="I153" s="869"/>
      <c r="J153" s="869"/>
    </row>
    <row r="154" spans="1:10" ht="33" customHeight="1">
      <c r="A154" s="242" t="s">
        <v>92</v>
      </c>
      <c r="B154" s="243"/>
      <c r="C154" s="243"/>
      <c r="D154" s="244" t="s">
        <v>180</v>
      </c>
      <c r="E154" s="95">
        <f>'30'!F210</f>
        <v>0</v>
      </c>
      <c r="F154" s="235">
        <v>463315</v>
      </c>
      <c r="G154" s="238">
        <f t="shared" ref="G154:G158" si="13">F154-E154</f>
        <v>463315</v>
      </c>
      <c r="H154" s="99">
        <f>G154+'30'!H210</f>
        <v>463315</v>
      </c>
      <c r="I154" s="236"/>
      <c r="J154" s="239" t="e">
        <f>H154/DAY(B93)</f>
        <v>#DIV/0!</v>
      </c>
    </row>
    <row r="155" spans="1:10" ht="33" customHeight="1">
      <c r="A155" s="242" t="s">
        <v>93</v>
      </c>
      <c r="B155" s="243"/>
      <c r="C155" s="243"/>
      <c r="D155" s="244" t="s">
        <v>180</v>
      </c>
      <c r="E155" s="95">
        <f>'30'!F211</f>
        <v>0</v>
      </c>
      <c r="F155" s="235">
        <v>83899</v>
      </c>
      <c r="G155" s="238">
        <f t="shared" si="13"/>
        <v>83899</v>
      </c>
      <c r="H155" s="99">
        <f>G155+'30'!H211</f>
        <v>83899</v>
      </c>
      <c r="I155" s="236"/>
      <c r="J155" s="239" t="e">
        <f>H155/DAY(B93)</f>
        <v>#DIV/0!</v>
      </c>
    </row>
    <row r="156" spans="1:10" ht="33" customHeight="1">
      <c r="A156" s="242" t="s">
        <v>197</v>
      </c>
      <c r="B156" s="243"/>
      <c r="C156" s="243"/>
      <c r="D156" s="244" t="s">
        <v>180</v>
      </c>
      <c r="E156" s="95">
        <f>'30'!F213</f>
        <v>0</v>
      </c>
      <c r="F156" s="235">
        <v>69089</v>
      </c>
      <c r="G156" s="238">
        <f t="shared" si="13"/>
        <v>69089</v>
      </c>
      <c r="H156" s="99">
        <f>G156+'30'!H213</f>
        <v>69089</v>
      </c>
      <c r="I156" s="236"/>
      <c r="J156" s="239" t="e">
        <f>H156/DAY(B93)</f>
        <v>#DIV/0!</v>
      </c>
    </row>
    <row r="157" spans="1:10" ht="33" customHeight="1">
      <c r="A157" s="242" t="s">
        <v>197</v>
      </c>
      <c r="B157" s="243"/>
      <c r="C157" s="243"/>
      <c r="D157" s="244" t="s">
        <v>180</v>
      </c>
      <c r="E157" s="95">
        <f>'30'!F214</f>
        <v>0</v>
      </c>
      <c r="F157" s="235">
        <v>3611</v>
      </c>
      <c r="G157" s="238">
        <f t="shared" si="13"/>
        <v>3611</v>
      </c>
      <c r="H157" s="99">
        <f>G157+'30'!H214</f>
        <v>3611</v>
      </c>
      <c r="I157" s="236"/>
      <c r="J157" s="239" t="e">
        <f>H157/DAY(B93)</f>
        <v>#DIV/0!</v>
      </c>
    </row>
    <row r="158" spans="1:10" ht="33" customHeight="1">
      <c r="A158" s="242" t="s">
        <v>309</v>
      </c>
      <c r="B158" s="243"/>
      <c r="C158" s="243"/>
      <c r="D158" s="244" t="s">
        <v>180</v>
      </c>
      <c r="E158" s="95">
        <f>'30'!F215</f>
        <v>0</v>
      </c>
      <c r="F158" s="235">
        <v>28746</v>
      </c>
      <c r="G158" s="238">
        <f t="shared" si="13"/>
        <v>28746</v>
      </c>
      <c r="H158" s="99">
        <f>G158+'30'!H215</f>
        <v>28746</v>
      </c>
      <c r="I158" s="236"/>
      <c r="J158" s="239" t="e">
        <f>H158/DAY(B93)</f>
        <v>#DIV/0!</v>
      </c>
    </row>
    <row r="159" spans="1:10" ht="33" customHeight="1">
      <c r="A159" s="870" t="s">
        <v>328</v>
      </c>
      <c r="B159" s="870"/>
      <c r="C159" s="246"/>
      <c r="D159" s="244" t="s">
        <v>180</v>
      </c>
      <c r="E159" s="165"/>
      <c r="F159" s="165"/>
      <c r="G159" s="165"/>
      <c r="H159" s="156"/>
      <c r="I159" s="165"/>
      <c r="J159" s="327"/>
    </row>
    <row r="160" spans="1:10" ht="33" customHeight="1">
      <c r="A160" s="870" t="s">
        <v>327</v>
      </c>
      <c r="B160" s="870"/>
      <c r="C160" s="246"/>
      <c r="D160" s="244" t="s">
        <v>180</v>
      </c>
      <c r="E160" s="165"/>
      <c r="F160" s="165"/>
      <c r="G160" s="165"/>
      <c r="H160" s="156"/>
      <c r="I160" s="165"/>
      <c r="J160" s="327"/>
    </row>
    <row r="161" spans="1:10" ht="33" customHeight="1">
      <c r="A161" s="870" t="s">
        <v>328</v>
      </c>
      <c r="B161" s="870"/>
      <c r="C161" s="246"/>
      <c r="D161" s="244" t="s">
        <v>180</v>
      </c>
      <c r="E161" s="165"/>
      <c r="F161" s="165"/>
      <c r="G161" s="165"/>
      <c r="H161" s="156"/>
      <c r="I161" s="165"/>
      <c r="J161" s="327"/>
    </row>
    <row r="164" spans="1:10" ht="33" customHeight="1">
      <c r="A164" s="871" t="s">
        <v>330</v>
      </c>
      <c r="B164" s="872"/>
      <c r="C164" s="872"/>
      <c r="D164" s="872"/>
      <c r="E164" s="872"/>
      <c r="F164" s="872"/>
      <c r="G164" s="872"/>
      <c r="H164" s="872"/>
      <c r="I164" s="872"/>
      <c r="J164" s="873"/>
    </row>
    <row r="165" spans="1:10" ht="33" customHeight="1">
      <c r="A165" s="878"/>
      <c r="B165" s="879"/>
      <c r="C165" s="332"/>
      <c r="D165" s="228"/>
      <c r="E165" s="155"/>
      <c r="F165" s="155"/>
      <c r="G165" s="155"/>
      <c r="H165" s="156"/>
      <c r="I165" s="155"/>
      <c r="J165" s="178"/>
    </row>
    <row r="166" spans="1:10" ht="33" customHeight="1">
      <c r="A166" s="789" t="s">
        <v>209</v>
      </c>
      <c r="B166" s="790"/>
      <c r="C166" s="333"/>
      <c r="D166" s="228" t="s">
        <v>142</v>
      </c>
      <c r="E166" s="155">
        <f>'30'!F222</f>
        <v>0</v>
      </c>
      <c r="F166" s="155">
        <v>7961</v>
      </c>
      <c r="G166" s="155">
        <f>F166-E166</f>
        <v>7961</v>
      </c>
      <c r="H166" s="99">
        <f>G166+'30'!H222</f>
        <v>7961</v>
      </c>
      <c r="I166" s="155"/>
      <c r="J166" s="178" t="e">
        <f>H166/DAY(B94)</f>
        <v>#DIV/0!</v>
      </c>
    </row>
    <row r="167" spans="1:10" ht="33" customHeight="1">
      <c r="A167" s="789" t="s">
        <v>75</v>
      </c>
      <c r="B167" s="790"/>
      <c r="C167" s="333"/>
      <c r="D167" s="228" t="s">
        <v>142</v>
      </c>
      <c r="E167" s="155">
        <f>'30'!F223</f>
        <v>0</v>
      </c>
      <c r="F167" s="157">
        <v>36765</v>
      </c>
      <c r="G167" s="155">
        <f t="shared" ref="G167:G168" si="14">F167-E167</f>
        <v>36765</v>
      </c>
      <c r="H167" s="99">
        <f>G167+'30'!H223</f>
        <v>36765</v>
      </c>
      <c r="I167" s="155"/>
      <c r="J167" s="178" t="e">
        <f>H167/DAY(B94)</f>
        <v>#DIV/0!</v>
      </c>
    </row>
    <row r="168" spans="1:10" ht="33" customHeight="1">
      <c r="A168" s="789" t="s">
        <v>76</v>
      </c>
      <c r="B168" s="802"/>
      <c r="C168" s="790"/>
      <c r="D168" s="228" t="s">
        <v>142</v>
      </c>
      <c r="E168" s="155">
        <f>'30'!F224</f>
        <v>0</v>
      </c>
      <c r="F168" s="155">
        <v>20214</v>
      </c>
      <c r="G168" s="155">
        <f t="shared" si="14"/>
        <v>20214</v>
      </c>
      <c r="H168" s="99">
        <f>G168+'30'!H224</f>
        <v>20214</v>
      </c>
      <c r="I168" s="155"/>
      <c r="J168" s="178" t="e">
        <f>H168/DAY(B94)</f>
        <v>#DIV/0!</v>
      </c>
    </row>
    <row r="169" spans="1:10" ht="33" customHeight="1">
      <c r="A169" s="789" t="s">
        <v>196</v>
      </c>
      <c r="B169" s="790"/>
      <c r="C169" s="333"/>
      <c r="D169" s="228"/>
      <c r="E169" s="155"/>
      <c r="F169" s="155"/>
      <c r="G169" s="155">
        <f>SUM(G166:G168)</f>
        <v>64940</v>
      </c>
      <c r="H169" s="99">
        <f>G169+'30'!H225</f>
        <v>64940</v>
      </c>
      <c r="I169" s="155"/>
      <c r="J169" s="178" t="e">
        <f>H169/DAY(B94)</f>
        <v>#DIV/0!</v>
      </c>
    </row>
    <row r="170" spans="1:10" ht="33" customHeight="1">
      <c r="A170" s="789" t="s">
        <v>77</v>
      </c>
      <c r="B170" s="790"/>
      <c r="C170" s="333"/>
      <c r="D170" s="228" t="s">
        <v>142</v>
      </c>
      <c r="E170" s="155"/>
      <c r="F170" s="155"/>
      <c r="G170" s="155"/>
      <c r="H170" s="99">
        <f>G170+'30'!H226</f>
        <v>0</v>
      </c>
      <c r="I170" s="155"/>
      <c r="J170" s="178"/>
    </row>
    <row r="171" spans="1:10" ht="33" customHeight="1">
      <c r="A171" s="789" t="s">
        <v>210</v>
      </c>
      <c r="B171" s="790"/>
      <c r="C171" s="333"/>
      <c r="D171" s="228" t="s">
        <v>142</v>
      </c>
      <c r="E171" s="155">
        <f>'30'!F227</f>
        <v>0</v>
      </c>
      <c r="F171" s="155">
        <v>69524</v>
      </c>
      <c r="G171" s="155">
        <f>F171-E171</f>
        <v>69524</v>
      </c>
      <c r="H171" s="99">
        <f>G171+'30'!H227</f>
        <v>69524</v>
      </c>
      <c r="I171" s="155"/>
      <c r="J171" s="178" t="e">
        <f>H171/DAY(B94)</f>
        <v>#DIV/0!</v>
      </c>
    </row>
    <row r="172" spans="1:10" ht="33" customHeight="1">
      <c r="A172" s="789" t="s">
        <v>211</v>
      </c>
      <c r="B172" s="790"/>
      <c r="C172" s="333"/>
      <c r="D172" s="228" t="s">
        <v>142</v>
      </c>
      <c r="E172" s="155">
        <f>'30'!F228</f>
        <v>0</v>
      </c>
      <c r="F172" s="155">
        <v>33886</v>
      </c>
      <c r="G172" s="155">
        <f t="shared" ref="G172:G173" si="15">F172-E172</f>
        <v>33886</v>
      </c>
      <c r="H172" s="99">
        <f>G172+'30'!H228</f>
        <v>33886</v>
      </c>
      <c r="I172" s="155"/>
      <c r="J172" s="178" t="e">
        <f>H172/DAY(B94)</f>
        <v>#DIV/0!</v>
      </c>
    </row>
    <row r="173" spans="1:10" ht="33" customHeight="1">
      <c r="A173" s="789" t="s">
        <v>212</v>
      </c>
      <c r="B173" s="790"/>
      <c r="C173" s="333"/>
      <c r="D173" s="228" t="s">
        <v>142</v>
      </c>
      <c r="E173" s="155">
        <f>'30'!F229</f>
        <v>0</v>
      </c>
      <c r="F173" s="155">
        <v>4788</v>
      </c>
      <c r="G173" s="155">
        <f t="shared" si="15"/>
        <v>4788</v>
      </c>
      <c r="H173" s="99">
        <f>G173+'30'!H229</f>
        <v>4788</v>
      </c>
      <c r="I173" s="155"/>
      <c r="J173" s="178" t="e">
        <f>H173/DAY(B94)</f>
        <v>#DIV/0!</v>
      </c>
    </row>
    <row r="174" spans="1:10" ht="33" customHeight="1">
      <c r="A174" s="867" t="s">
        <v>108</v>
      </c>
      <c r="B174" s="868"/>
      <c r="C174" s="333"/>
      <c r="D174" s="228"/>
      <c r="E174" s="155"/>
      <c r="F174" s="155"/>
      <c r="G174" s="155">
        <f>SUM(G171:G173)</f>
        <v>108198</v>
      </c>
      <c r="H174" s="99">
        <f>G174+'30'!H230</f>
        <v>108198</v>
      </c>
      <c r="I174" s="155"/>
      <c r="J174" s="178" t="e">
        <f>H174/DAY(B94)</f>
        <v>#DIV/0!</v>
      </c>
    </row>
    <row r="175" spans="1:10" ht="33" customHeight="1">
      <c r="A175" s="789" t="s">
        <v>213</v>
      </c>
      <c r="B175" s="790"/>
      <c r="C175" s="333"/>
      <c r="D175" s="228"/>
      <c r="E175" s="155"/>
      <c r="F175" s="155"/>
      <c r="G175" s="155"/>
      <c r="H175" s="99">
        <f>G175+'30'!H231</f>
        <v>0</v>
      </c>
      <c r="I175" s="155"/>
      <c r="J175" s="178" t="e">
        <f>H175/DAY(B94)</f>
        <v>#DIV/0!</v>
      </c>
    </row>
    <row r="176" spans="1:10" ht="33" customHeight="1">
      <c r="A176" s="789" t="s">
        <v>214</v>
      </c>
      <c r="B176" s="790"/>
      <c r="C176" s="334"/>
      <c r="D176" s="228" t="s">
        <v>142</v>
      </c>
      <c r="E176" s="155">
        <f>'30'!F232</f>
        <v>0</v>
      </c>
      <c r="F176" s="157">
        <v>13038</v>
      </c>
      <c r="G176" s="157">
        <f>F176-E176</f>
        <v>13038</v>
      </c>
      <c r="H176" s="99">
        <f>G176+'30'!H232</f>
        <v>13038</v>
      </c>
      <c r="I176" s="155"/>
      <c r="J176" s="178" t="e">
        <f>H176/DAY(B94)</f>
        <v>#DIV/0!</v>
      </c>
    </row>
    <row r="177" spans="1:10" ht="33" customHeight="1">
      <c r="A177" s="789" t="s">
        <v>215</v>
      </c>
      <c r="B177" s="790"/>
      <c r="C177" s="334"/>
      <c r="D177" s="228" t="s">
        <v>142</v>
      </c>
      <c r="E177" s="155">
        <f>'30'!F233</f>
        <v>0</v>
      </c>
      <c r="F177" s="157">
        <v>9126</v>
      </c>
      <c r="G177" s="157">
        <f t="shared" ref="G177:G178" si="16">F177-E177</f>
        <v>9126</v>
      </c>
      <c r="H177" s="99">
        <f>G177+'30'!H233</f>
        <v>9126</v>
      </c>
      <c r="I177" s="155"/>
      <c r="J177" s="178" t="e">
        <f>H177/DAY(B94)</f>
        <v>#DIV/0!</v>
      </c>
    </row>
    <row r="178" spans="1:10" ht="33" customHeight="1">
      <c r="A178" s="789" t="s">
        <v>216</v>
      </c>
      <c r="B178" s="790"/>
      <c r="C178" s="334"/>
      <c r="D178" s="228" t="s">
        <v>142</v>
      </c>
      <c r="E178" s="157"/>
      <c r="F178" s="157"/>
      <c r="G178" s="157">
        <f t="shared" si="16"/>
        <v>0</v>
      </c>
      <c r="H178" s="99">
        <f>G178+'30'!H234</f>
        <v>0</v>
      </c>
      <c r="I178" s="155"/>
      <c r="J178" s="178" t="e">
        <f>H178/DAY(B94)</f>
        <v>#DIV/0!</v>
      </c>
    </row>
    <row r="179" spans="1:10" ht="33" customHeight="1">
      <c r="A179" s="789" t="s">
        <v>196</v>
      </c>
      <c r="B179" s="790"/>
      <c r="C179" s="334"/>
      <c r="D179" s="229"/>
      <c r="E179" s="157"/>
      <c r="F179" s="157"/>
      <c r="G179" s="157">
        <f>SUM(G176:G178)</f>
        <v>22164</v>
      </c>
      <c r="H179" s="99">
        <f>G179+'30'!H235</f>
        <v>22164</v>
      </c>
      <c r="I179" s="157"/>
      <c r="J179" s="178" t="e">
        <f>H179/DAY(B94)</f>
        <v>#DIV/0!</v>
      </c>
    </row>
    <row r="180" spans="1:10" ht="33" customHeight="1">
      <c r="A180" s="867" t="s">
        <v>217</v>
      </c>
      <c r="B180" s="868"/>
      <c r="C180" s="333"/>
      <c r="D180" s="230" t="s">
        <v>142</v>
      </c>
      <c r="E180" s="159"/>
      <c r="F180" s="159"/>
      <c r="G180" s="159">
        <f>SUM(G111+G154)</f>
        <v>463315</v>
      </c>
      <c r="H180" s="99">
        <f>G180+'30'!H236</f>
        <v>463315</v>
      </c>
      <c r="I180" s="158"/>
      <c r="J180" s="179" t="e">
        <f>H180/DAY(B94)</f>
        <v>#DIV/0!</v>
      </c>
    </row>
    <row r="181" spans="1:10" ht="33" customHeight="1">
      <c r="A181" s="867" t="s">
        <v>218</v>
      </c>
      <c r="B181" s="868"/>
      <c r="C181" s="333"/>
      <c r="D181" s="230" t="s">
        <v>142</v>
      </c>
      <c r="E181" s="159"/>
      <c r="F181" s="159"/>
      <c r="G181" s="159">
        <f>SUM(G157,G158,G159,G161,G162)</f>
        <v>32357</v>
      </c>
      <c r="H181" s="99">
        <f>G181+'30'!H237</f>
        <v>32357</v>
      </c>
      <c r="I181" s="158"/>
      <c r="J181" s="179" t="e">
        <f>H181/DAY(B94)</f>
        <v>#DIV/0!</v>
      </c>
    </row>
    <row r="182" spans="1:10" ht="33" customHeight="1">
      <c r="A182" s="867" t="s">
        <v>219</v>
      </c>
      <c r="B182" s="868"/>
      <c r="C182" s="333"/>
      <c r="D182" s="230" t="s">
        <v>142</v>
      </c>
      <c r="E182" s="157"/>
      <c r="F182" s="157"/>
      <c r="G182" s="157">
        <f>SUM(G174)</f>
        <v>108198</v>
      </c>
      <c r="H182" s="99">
        <f>G182+'30'!H238</f>
        <v>108198</v>
      </c>
      <c r="I182" s="158"/>
      <c r="J182" s="179" t="e">
        <f>H182/DAY(B94)</f>
        <v>#DIV/0!</v>
      </c>
    </row>
    <row r="183" spans="1:10" ht="33" customHeight="1">
      <c r="A183" s="867"/>
      <c r="B183" s="868"/>
      <c r="C183" s="333"/>
      <c r="D183" s="180"/>
      <c r="E183" s="180" t="s">
        <v>207</v>
      </c>
      <c r="F183" s="180"/>
      <c r="G183" s="180"/>
      <c r="H183" s="181"/>
      <c r="I183" s="180"/>
      <c r="J183" s="182"/>
    </row>
  </sheetData>
  <mergeCells count="105">
    <mergeCell ref="A1:J1"/>
    <mergeCell ref="E3:F3"/>
    <mergeCell ref="A6:C6"/>
    <mergeCell ref="A15:C15"/>
    <mergeCell ref="A18:C18"/>
    <mergeCell ref="A19:C19"/>
    <mergeCell ref="A73:B73"/>
    <mergeCell ref="A74:C74"/>
    <mergeCell ref="A64:C64"/>
    <mergeCell ref="A65:C65"/>
    <mergeCell ref="A66:C66"/>
    <mergeCell ref="A72:C72"/>
    <mergeCell ref="A63:C63"/>
    <mergeCell ref="A62:C62"/>
    <mergeCell ref="A20:C20"/>
    <mergeCell ref="A22:C22"/>
    <mergeCell ref="A26:C26"/>
    <mergeCell ref="A34:C34"/>
    <mergeCell ref="A99:C99"/>
    <mergeCell ref="A100:C100"/>
    <mergeCell ref="A101:C101"/>
    <mergeCell ref="A102:C102"/>
    <mergeCell ref="A103:C103"/>
    <mergeCell ref="A104:C104"/>
    <mergeCell ref="A77:C77"/>
    <mergeCell ref="A95:C95"/>
    <mergeCell ref="A96:C96"/>
    <mergeCell ref="A97:C97"/>
    <mergeCell ref="A98:C98"/>
    <mergeCell ref="A105:C105"/>
    <mergeCell ref="A106:C106"/>
    <mergeCell ref="A119:C119"/>
    <mergeCell ref="A120:C120"/>
    <mergeCell ref="A121:C121"/>
    <mergeCell ref="A122:C122"/>
    <mergeCell ref="A109:J109"/>
    <mergeCell ref="A110:B110"/>
    <mergeCell ref="A113:C113"/>
    <mergeCell ref="A114:C114"/>
    <mergeCell ref="Q117:R117"/>
    <mergeCell ref="Q118:R118"/>
    <mergeCell ref="Q119:R119"/>
    <mergeCell ref="A132:C132"/>
    <mergeCell ref="A129:C129"/>
    <mergeCell ref="A123:C123"/>
    <mergeCell ref="A124:C124"/>
    <mergeCell ref="A126:B126"/>
    <mergeCell ref="A128:B128"/>
    <mergeCell ref="A145:C145"/>
    <mergeCell ref="A134:C134"/>
    <mergeCell ref="A133:C133"/>
    <mergeCell ref="A139:C139"/>
    <mergeCell ref="A140:C140"/>
    <mergeCell ref="A141:C141"/>
    <mergeCell ref="A142:C142"/>
    <mergeCell ref="A143:C143"/>
    <mergeCell ref="A144:C144"/>
    <mergeCell ref="A167:B167"/>
    <mergeCell ref="A168:C168"/>
    <mergeCell ref="A169:B169"/>
    <mergeCell ref="A170:B170"/>
    <mergeCell ref="A160:B160"/>
    <mergeCell ref="A161:B161"/>
    <mergeCell ref="A75:C75"/>
    <mergeCell ref="A76:C76"/>
    <mergeCell ref="A78:C78"/>
    <mergeCell ref="A79:C79"/>
    <mergeCell ref="A80:C80"/>
    <mergeCell ref="A115:C115"/>
    <mergeCell ref="A116:C116"/>
    <mergeCell ref="A117:C117"/>
    <mergeCell ref="A118:C118"/>
    <mergeCell ref="A153:J153"/>
    <mergeCell ref="A159:B159"/>
    <mergeCell ref="A146:C146"/>
    <mergeCell ref="A147:C147"/>
    <mergeCell ref="A148:C148"/>
    <mergeCell ref="A149:C149"/>
    <mergeCell ref="A150:C150"/>
    <mergeCell ref="A127:J127"/>
    <mergeCell ref="A137:J137"/>
    <mergeCell ref="A183:B183"/>
    <mergeCell ref="A164:J164"/>
    <mergeCell ref="A81:C81"/>
    <mergeCell ref="A125:C125"/>
    <mergeCell ref="A135:C135"/>
    <mergeCell ref="A136:C136"/>
    <mergeCell ref="A112:C112"/>
    <mergeCell ref="A94:C94"/>
    <mergeCell ref="A111:J111"/>
    <mergeCell ref="A82:C82"/>
    <mergeCell ref="A177:B177"/>
    <mergeCell ref="A178:B178"/>
    <mergeCell ref="A179:B179"/>
    <mergeCell ref="A180:B180"/>
    <mergeCell ref="A181:B181"/>
    <mergeCell ref="A182:B182"/>
    <mergeCell ref="A171:B171"/>
    <mergeCell ref="A172:B172"/>
    <mergeCell ref="A173:B173"/>
    <mergeCell ref="A174:B174"/>
    <mergeCell ref="A175:B175"/>
    <mergeCell ref="A176:B176"/>
    <mergeCell ref="A165:B165"/>
    <mergeCell ref="A166:B166"/>
  </mergeCells>
  <pageMargins left="0.7" right="0.7" top="0.75" bottom="0.75" header="0.3" footer="0.3"/>
  <pageSetup orientation="portrait" horizontalDpi="4294967295" verticalDpi="4294967295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C3:D21"/>
  <sheetViews>
    <sheetView topLeftCell="A5" workbookViewId="0">
      <selection activeCell="B2" sqref="B2:E23"/>
    </sheetView>
  </sheetViews>
  <sheetFormatPr defaultRowHeight="15.75"/>
  <cols>
    <col min="4" max="4" width="10.5546875" customWidth="1"/>
  </cols>
  <sheetData>
    <row r="3" spans="3:4">
      <c r="C3" s="756" t="s">
        <v>0</v>
      </c>
      <c r="D3" s="756" t="s">
        <v>305</v>
      </c>
    </row>
    <row r="4" spans="3:4">
      <c r="C4" s="757">
        <v>44927</v>
      </c>
      <c r="D4" s="756">
        <v>21364</v>
      </c>
    </row>
    <row r="5" spans="3:4">
      <c r="C5" s="757">
        <v>44928</v>
      </c>
      <c r="D5" s="758">
        <v>20873</v>
      </c>
    </row>
    <row r="6" spans="3:4">
      <c r="C6" s="757">
        <v>44929</v>
      </c>
      <c r="D6" s="758">
        <v>21837</v>
      </c>
    </row>
    <row r="7" spans="3:4">
      <c r="C7" s="757">
        <v>44930</v>
      </c>
      <c r="D7" s="758">
        <v>21196</v>
      </c>
    </row>
    <row r="8" spans="3:4">
      <c r="C8" s="757">
        <v>44931</v>
      </c>
      <c r="D8" s="758">
        <v>21078</v>
      </c>
    </row>
    <row r="9" spans="3:4">
      <c r="C9" s="757">
        <v>44932</v>
      </c>
      <c r="D9" s="758">
        <v>20586</v>
      </c>
    </row>
    <row r="10" spans="3:4">
      <c r="C10" s="757">
        <v>44933</v>
      </c>
      <c r="D10" s="758">
        <v>21581</v>
      </c>
    </row>
    <row r="11" spans="3:4">
      <c r="C11" s="757">
        <v>44934</v>
      </c>
      <c r="D11" s="758">
        <v>21598</v>
      </c>
    </row>
    <row r="12" spans="3:4">
      <c r="C12" s="757">
        <v>44935</v>
      </c>
      <c r="D12" s="758">
        <v>20473</v>
      </c>
    </row>
    <row r="13" spans="3:4">
      <c r="C13" s="757">
        <v>44936</v>
      </c>
      <c r="D13" s="758">
        <v>21756</v>
      </c>
    </row>
    <row r="14" spans="3:4">
      <c r="C14" s="757">
        <v>44937</v>
      </c>
      <c r="D14" s="758">
        <v>21784</v>
      </c>
    </row>
    <row r="15" spans="3:4">
      <c r="C15" s="757">
        <v>44938</v>
      </c>
      <c r="D15" s="758">
        <v>21436</v>
      </c>
    </row>
    <row r="16" spans="3:4">
      <c r="C16" s="757">
        <v>44939</v>
      </c>
      <c r="D16" s="758">
        <v>22115</v>
      </c>
    </row>
    <row r="17" spans="3:4">
      <c r="C17" s="757">
        <v>44940</v>
      </c>
      <c r="D17" s="758">
        <v>20896</v>
      </c>
    </row>
    <row r="18" spans="3:4">
      <c r="C18" s="757">
        <v>44941</v>
      </c>
      <c r="D18" s="758">
        <v>20628.799999999988</v>
      </c>
    </row>
    <row r="19" spans="3:4">
      <c r="C19" s="757">
        <v>44942</v>
      </c>
      <c r="D19" s="758">
        <v>21502.200000000012</v>
      </c>
    </row>
    <row r="20" spans="3:4">
      <c r="C20" s="757">
        <v>44943</v>
      </c>
      <c r="D20" s="758">
        <v>20053</v>
      </c>
    </row>
    <row r="21" spans="3:4">
      <c r="C21" s="757">
        <v>44944</v>
      </c>
      <c r="D21" s="758">
        <v>20452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"/>
  <sheetViews>
    <sheetView workbookViewId="0"/>
  </sheetViews>
  <sheetFormatPr defaultRowHeight="15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42</vt:i4>
      </vt:variant>
      <vt:variant>
        <vt:lpstr>Named Ranges</vt:lpstr>
      </vt:variant>
      <vt:variant>
        <vt:i4>28</vt:i4>
      </vt:variant>
    </vt:vector>
  </HeadingPairs>
  <TitlesOfParts>
    <vt:vector size="70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 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Sheet2</vt:lpstr>
      <vt:lpstr>Sheet3</vt:lpstr>
      <vt:lpstr>Sheet4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 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 Appa</cp:lastModifiedBy>
  <cp:revision/>
  <cp:lastPrinted>2023-01-19T03:12:10Z</cp:lastPrinted>
  <dcterms:created xsi:type="dcterms:W3CDTF">2013-11-14T06:06:34Z</dcterms:created>
  <dcterms:modified xsi:type="dcterms:W3CDTF">2023-02-01T03:02:27Z</dcterms:modified>
</cp:coreProperties>
</file>