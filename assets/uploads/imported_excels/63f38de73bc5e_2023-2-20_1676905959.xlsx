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EXTRAS\"/>
    </mc:Choice>
  </mc:AlternateContent>
  <xr:revisionPtr revIDLastSave="0" documentId="13_ncr:1_{D960FC38-A637-48EB-BDFE-19B31FECA593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1" l="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0" i="22" s="1"/>
  <c r="E31" i="21"/>
  <c r="E32" i="21"/>
  <c r="O5" i="4"/>
  <c r="O6" i="4"/>
  <c r="O7" i="4"/>
  <c r="O8" i="4"/>
  <c r="P8" i="4" s="1"/>
  <c r="O9" i="4"/>
  <c r="P9" i="4" s="1"/>
  <c r="O10" i="4"/>
  <c r="O11" i="4"/>
  <c r="P11" i="4" s="1"/>
  <c r="O12" i="4"/>
  <c r="P12" i="4" s="1"/>
  <c r="O13" i="4"/>
  <c r="O14" i="4"/>
  <c r="O15" i="4"/>
  <c r="O16" i="4"/>
  <c r="P16" i="4" s="1"/>
  <c r="O17" i="4"/>
  <c r="O18" i="4"/>
  <c r="O19" i="4"/>
  <c r="P19" i="4" s="1"/>
  <c r="O20" i="4"/>
  <c r="P20" i="4" s="1"/>
  <c r="O21" i="4"/>
  <c r="P21" i="4" s="1"/>
  <c r="O22" i="4"/>
  <c r="O23" i="4"/>
  <c r="O24" i="4"/>
  <c r="P24" i="4" s="1"/>
  <c r="O25" i="4"/>
  <c r="O26" i="4"/>
  <c r="O27" i="4"/>
  <c r="P27" i="4" s="1"/>
  <c r="O28" i="4"/>
  <c r="V34" i="2" s="1"/>
  <c r="O29" i="4"/>
  <c r="O30" i="4"/>
  <c r="O31" i="4"/>
  <c r="O32" i="4"/>
  <c r="P32" i="4" s="1"/>
  <c r="O33" i="4"/>
  <c r="O34" i="4"/>
  <c r="P5" i="4"/>
  <c r="P6" i="4"/>
  <c r="P7" i="4"/>
  <c r="P10" i="4"/>
  <c r="P13" i="4"/>
  <c r="P14" i="4"/>
  <c r="P15" i="4"/>
  <c r="P17" i="4"/>
  <c r="P18" i="4"/>
  <c r="P22" i="4"/>
  <c r="P23" i="4"/>
  <c r="P25" i="4"/>
  <c r="P26" i="4"/>
  <c r="P29" i="4"/>
  <c r="P30" i="4"/>
  <c r="P31" i="4"/>
  <c r="P33" i="4"/>
  <c r="P34" i="4"/>
  <c r="E11" i="6"/>
  <c r="E12" i="6"/>
  <c r="E13" i="6"/>
  <c r="E14" i="6"/>
  <c r="E15" i="6"/>
  <c r="F16" i="2" s="1"/>
  <c r="E16" i="6"/>
  <c r="F17" i="2" s="1"/>
  <c r="E17" i="6"/>
  <c r="F18" i="2" s="1"/>
  <c r="E18" i="6"/>
  <c r="E19" i="6"/>
  <c r="E20" i="6"/>
  <c r="E21" i="6"/>
  <c r="E22" i="6"/>
  <c r="E23" i="6"/>
  <c r="E24" i="6"/>
  <c r="E25" i="6"/>
  <c r="F26" i="2" s="1"/>
  <c r="E26" i="6"/>
  <c r="F27" i="2" s="1"/>
  <c r="E27" i="6"/>
  <c r="E28" i="6"/>
  <c r="E29" i="6"/>
  <c r="E30" i="6"/>
  <c r="E31" i="6"/>
  <c r="F32" i="2" s="1"/>
  <c r="E32" i="6"/>
  <c r="F33" i="2" s="1"/>
  <c r="E33" i="6"/>
  <c r="F34" i="2" s="1"/>
  <c r="E34" i="6"/>
  <c r="F35" i="2" s="1"/>
  <c r="E35" i="6"/>
  <c r="E36" i="6"/>
  <c r="E37" i="6"/>
  <c r="E38" i="6"/>
  <c r="E39" i="6"/>
  <c r="E40" i="6"/>
  <c r="K11" i="6"/>
  <c r="K12" i="6"/>
  <c r="K13" i="6"/>
  <c r="K14" i="6"/>
  <c r="K15" i="6"/>
  <c r="K16" i="6"/>
  <c r="K17" i="6"/>
  <c r="K18" i="6"/>
  <c r="N19" i="2" s="1"/>
  <c r="K19" i="6"/>
  <c r="K20" i="6"/>
  <c r="K21" i="6"/>
  <c r="K22" i="6"/>
  <c r="K23" i="6"/>
  <c r="K24" i="6"/>
  <c r="N25" i="2" s="1"/>
  <c r="K25" i="6"/>
  <c r="N26" i="2" s="1"/>
  <c r="K26" i="6"/>
  <c r="N27" i="2" s="1"/>
  <c r="K27" i="6"/>
  <c r="K28" i="6"/>
  <c r="K29" i="6"/>
  <c r="K30" i="6"/>
  <c r="K31" i="6"/>
  <c r="K32" i="6"/>
  <c r="K33" i="6"/>
  <c r="K34" i="6"/>
  <c r="N35" i="2" s="1"/>
  <c r="K35" i="6"/>
  <c r="K36" i="6"/>
  <c r="K37" i="6"/>
  <c r="K38" i="6"/>
  <c r="K39" i="6"/>
  <c r="K40" i="6"/>
  <c r="I11" i="6"/>
  <c r="I12" i="6"/>
  <c r="I13" i="6"/>
  <c r="I14" i="6"/>
  <c r="I15" i="6"/>
  <c r="M16" i="2" s="1"/>
  <c r="I16" i="6"/>
  <c r="M17" i="2" s="1"/>
  <c r="I17" i="6"/>
  <c r="I18" i="6"/>
  <c r="M19" i="2" s="1"/>
  <c r="I19" i="6"/>
  <c r="I20" i="6"/>
  <c r="I21" i="6"/>
  <c r="I22" i="6"/>
  <c r="I23" i="6"/>
  <c r="M24" i="2" s="1"/>
  <c r="I24" i="6"/>
  <c r="M25" i="2" s="1"/>
  <c r="I25" i="6"/>
  <c r="I26" i="6"/>
  <c r="M27" i="2" s="1"/>
  <c r="I27" i="6"/>
  <c r="I28" i="6"/>
  <c r="I29" i="6"/>
  <c r="I30" i="6"/>
  <c r="I31" i="6"/>
  <c r="M32" i="2" s="1"/>
  <c r="I32" i="6"/>
  <c r="M33" i="2" s="1"/>
  <c r="I33" i="6"/>
  <c r="I34" i="6"/>
  <c r="M35" i="2" s="1"/>
  <c r="I35" i="6"/>
  <c r="I36" i="6"/>
  <c r="I37" i="6"/>
  <c r="I38" i="6"/>
  <c r="I39" i="6"/>
  <c r="M40" i="2" s="1"/>
  <c r="I40" i="6"/>
  <c r="G11" i="6"/>
  <c r="G12" i="6"/>
  <c r="G13" i="6"/>
  <c r="G14" i="6"/>
  <c r="L15" i="2" s="1"/>
  <c r="G15" i="6"/>
  <c r="L16" i="2" s="1"/>
  <c r="G16" i="6"/>
  <c r="G17" i="6"/>
  <c r="G18" i="6"/>
  <c r="L19" i="2" s="1"/>
  <c r="G19" i="6"/>
  <c r="G20" i="6"/>
  <c r="G21" i="6"/>
  <c r="G22" i="6"/>
  <c r="L23" i="2" s="1"/>
  <c r="G23" i="6"/>
  <c r="L24" i="2" s="1"/>
  <c r="G24" i="6"/>
  <c r="G25" i="6"/>
  <c r="G26" i="6"/>
  <c r="L27" i="2" s="1"/>
  <c r="G27" i="6"/>
  <c r="G28" i="6"/>
  <c r="G29" i="6"/>
  <c r="G30" i="6"/>
  <c r="L31" i="2" s="1"/>
  <c r="G31" i="6"/>
  <c r="L32" i="2" s="1"/>
  <c r="G32" i="6"/>
  <c r="G33" i="6"/>
  <c r="G34" i="6"/>
  <c r="L35" i="2" s="1"/>
  <c r="G35" i="6"/>
  <c r="G36" i="6"/>
  <c r="G37" i="6"/>
  <c r="G38" i="6"/>
  <c r="L39" i="2" s="1"/>
  <c r="G39" i="6"/>
  <c r="L40" i="2" s="1"/>
  <c r="G40" i="6"/>
  <c r="L11" i="2"/>
  <c r="L12" i="2"/>
  <c r="L13" i="2"/>
  <c r="L14" i="2"/>
  <c r="L17" i="2"/>
  <c r="L18" i="2"/>
  <c r="L20" i="2"/>
  <c r="L21" i="2"/>
  <c r="L22" i="2"/>
  <c r="L25" i="2"/>
  <c r="L26" i="2"/>
  <c r="L28" i="2"/>
  <c r="L29" i="2"/>
  <c r="L30" i="2"/>
  <c r="L33" i="2"/>
  <c r="L34" i="2"/>
  <c r="L36" i="2"/>
  <c r="L37" i="2"/>
  <c r="L38" i="2"/>
  <c r="G3" i="22"/>
  <c r="G27" i="2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M48" i="4"/>
  <c r="P43" i="4"/>
  <c r="P35" i="4"/>
  <c r="P36" i="4"/>
  <c r="P37" i="4"/>
  <c r="P4" i="4"/>
  <c r="X11" i="2"/>
  <c r="X27" i="2"/>
  <c r="X35" i="2"/>
  <c r="X10" i="2"/>
  <c r="V40" i="2"/>
  <c r="G32" i="22" s="1"/>
  <c r="C40" i="6"/>
  <c r="V39" i="2"/>
  <c r="G31" i="22" s="1"/>
  <c r="N40" i="2"/>
  <c r="F40" i="2"/>
  <c r="I32" i="22" s="1"/>
  <c r="C39" i="6"/>
  <c r="V38" i="2"/>
  <c r="G30" i="22" s="1"/>
  <c r="N39" i="2"/>
  <c r="M39" i="2"/>
  <c r="F39" i="2"/>
  <c r="C38" i="6"/>
  <c r="V37" i="2"/>
  <c r="G29" i="22" s="1"/>
  <c r="N38" i="2"/>
  <c r="M38" i="2"/>
  <c r="F38" i="2"/>
  <c r="H38" i="2" s="1"/>
  <c r="C37" i="6"/>
  <c r="V36" i="2"/>
  <c r="G28" i="22" s="1"/>
  <c r="N37" i="2"/>
  <c r="M37" i="2"/>
  <c r="F37" i="2"/>
  <c r="C36" i="6"/>
  <c r="V33" i="2"/>
  <c r="G25" i="22" s="1"/>
  <c r="V35" i="2"/>
  <c r="N34" i="2"/>
  <c r="N36" i="2"/>
  <c r="M34" i="2"/>
  <c r="M36" i="2"/>
  <c r="F36" i="2"/>
  <c r="H36" i="2" s="1"/>
  <c r="C35" i="6"/>
  <c r="C34" i="6"/>
  <c r="C33" i="6"/>
  <c r="V32" i="2"/>
  <c r="G24" i="22" s="1"/>
  <c r="N33" i="2"/>
  <c r="C32" i="6"/>
  <c r="V31" i="2"/>
  <c r="G23" i="22" s="1"/>
  <c r="N32" i="2"/>
  <c r="C31" i="6"/>
  <c r="V30" i="2"/>
  <c r="G22" i="22" s="1"/>
  <c r="N31" i="2"/>
  <c r="M31" i="2"/>
  <c r="F31" i="2"/>
  <c r="I23" i="22" s="1"/>
  <c r="C30" i="6"/>
  <c r="V29" i="2"/>
  <c r="G21" i="22" s="1"/>
  <c r="N30" i="2"/>
  <c r="M30" i="2"/>
  <c r="F30" i="2"/>
  <c r="C29" i="6"/>
  <c r="V27" i="2"/>
  <c r="G19" i="22" s="1"/>
  <c r="V28" i="2"/>
  <c r="G20" i="22" s="1"/>
  <c r="N28" i="2"/>
  <c r="N29" i="2"/>
  <c r="Q29" i="2" s="1"/>
  <c r="M28" i="2"/>
  <c r="M29" i="2"/>
  <c r="F28" i="2"/>
  <c r="F29" i="2"/>
  <c r="I21" i="22" s="1"/>
  <c r="G22" i="4"/>
  <c r="E22" i="4"/>
  <c r="C22" i="4"/>
  <c r="G21" i="4"/>
  <c r="E21" i="4"/>
  <c r="C21" i="4"/>
  <c r="C28" i="6"/>
  <c r="C27" i="6"/>
  <c r="C26" i="6"/>
  <c r="V25" i="2"/>
  <c r="G17" i="22" s="1"/>
  <c r="M26" i="2"/>
  <c r="C25" i="6"/>
  <c r="V23" i="2"/>
  <c r="G15" i="22" s="1"/>
  <c r="V24" i="2"/>
  <c r="G16" i="22" s="1"/>
  <c r="N24" i="2"/>
  <c r="F24" i="2"/>
  <c r="H24" i="2" s="1"/>
  <c r="F25" i="2"/>
  <c r="H25" i="2" s="1"/>
  <c r="C24" i="6"/>
  <c r="C23" i="6"/>
  <c r="V22" i="2"/>
  <c r="G14" i="22" s="1"/>
  <c r="N23" i="2"/>
  <c r="M23" i="2"/>
  <c r="F23" i="2"/>
  <c r="H23" i="2" s="1"/>
  <c r="C22" i="6"/>
  <c r="V19" i="2"/>
  <c r="X19" i="2" s="1"/>
  <c r="V20" i="2"/>
  <c r="G12" i="22" s="1"/>
  <c r="V21" i="2"/>
  <c r="G13" i="22" s="1"/>
  <c r="N20" i="2"/>
  <c r="N21" i="2"/>
  <c r="N22" i="2"/>
  <c r="M20" i="2"/>
  <c r="M21" i="2"/>
  <c r="M22" i="2"/>
  <c r="F20" i="2"/>
  <c r="F21" i="2"/>
  <c r="F22" i="2"/>
  <c r="C21" i="6"/>
  <c r="C20" i="6"/>
  <c r="C19" i="6"/>
  <c r="F19" i="2"/>
  <c r="H19" i="2" s="1"/>
  <c r="C18" i="6"/>
  <c r="V17" i="2"/>
  <c r="G9" i="22" s="1"/>
  <c r="N18" i="2"/>
  <c r="Q18" i="2" s="1"/>
  <c r="M18" i="2"/>
  <c r="C17" i="6"/>
  <c r="V15" i="2"/>
  <c r="G7" i="22" s="1"/>
  <c r="V16" i="2"/>
  <c r="G8" i="22" s="1"/>
  <c r="N16" i="2"/>
  <c r="N41" i="2" s="1"/>
  <c r="I46" i="2" s="1"/>
  <c r="L46" i="2" s="1"/>
  <c r="N17" i="2"/>
  <c r="C15" i="6"/>
  <c r="C16" i="6"/>
  <c r="V12" i="2"/>
  <c r="G4" i="22" s="1"/>
  <c r="V13" i="2"/>
  <c r="G5" i="22" s="1"/>
  <c r="V14" i="2"/>
  <c r="G6" i="22" s="1"/>
  <c r="N13" i="2"/>
  <c r="N14" i="2"/>
  <c r="N15" i="2"/>
  <c r="M13" i="2"/>
  <c r="M14" i="2"/>
  <c r="M15" i="2"/>
  <c r="F13" i="2"/>
  <c r="F14" i="2"/>
  <c r="F15" i="2"/>
  <c r="C14" i="6"/>
  <c r="C13" i="6"/>
  <c r="C12" i="6"/>
  <c r="V11" i="2"/>
  <c r="N12" i="2"/>
  <c r="M12" i="2"/>
  <c r="F12" i="2"/>
  <c r="C11" i="6"/>
  <c r="M4" i="4"/>
  <c r="M5" i="4"/>
  <c r="M6" i="4"/>
  <c r="M7" i="4"/>
  <c r="N11" i="2"/>
  <c r="M11" i="2"/>
  <c r="F11" i="2"/>
  <c r="K10" i="6"/>
  <c r="I10" i="6"/>
  <c r="G10" i="6"/>
  <c r="E10" i="6"/>
  <c r="C10" i="6"/>
  <c r="N10" i="2"/>
  <c r="M10" i="2"/>
  <c r="L10" i="2"/>
  <c r="F10" i="2"/>
  <c r="G4" i="4"/>
  <c r="E4" i="4"/>
  <c r="C4" i="4"/>
  <c r="K31" i="22"/>
  <c r="K32" i="22"/>
  <c r="I31" i="22"/>
  <c r="B31" i="22"/>
  <c r="B32" i="22"/>
  <c r="B31" i="21"/>
  <c r="B32" i="21"/>
  <c r="H39" i="2"/>
  <c r="P39" i="4"/>
  <c r="G17" i="4"/>
  <c r="P40" i="4"/>
  <c r="P41" i="4"/>
  <c r="P42" i="4"/>
  <c r="H40" i="2"/>
  <c r="K20" i="22"/>
  <c r="K21" i="22"/>
  <c r="K22" i="22"/>
  <c r="K23" i="22"/>
  <c r="K24" i="22"/>
  <c r="K25" i="22"/>
  <c r="K26" i="22"/>
  <c r="K27" i="22"/>
  <c r="K28" i="22"/>
  <c r="K29" i="22"/>
  <c r="K30" i="22"/>
  <c r="C35" i="4"/>
  <c r="I30" i="22"/>
  <c r="I29" i="22"/>
  <c r="I22" i="22"/>
  <c r="I20" i="22"/>
  <c r="C31" i="4"/>
  <c r="G28" i="4"/>
  <c r="G29" i="4"/>
  <c r="G30" i="4"/>
  <c r="G31" i="4"/>
  <c r="G33" i="4"/>
  <c r="G35" i="4"/>
  <c r="E28" i="4"/>
  <c r="E29" i="4"/>
  <c r="E30" i="4"/>
  <c r="E31" i="4"/>
  <c r="E33" i="4"/>
  <c r="E35" i="4"/>
  <c r="C28" i="4"/>
  <c r="C29" i="4"/>
  <c r="C30" i="4"/>
  <c r="C33" i="4"/>
  <c r="I30" i="4"/>
  <c r="G8" i="4"/>
  <c r="G12" i="4"/>
  <c r="G13" i="4"/>
  <c r="G14" i="4"/>
  <c r="G15" i="4"/>
  <c r="G16" i="4"/>
  <c r="G24" i="4"/>
  <c r="G26" i="4"/>
  <c r="E8" i="4"/>
  <c r="E12" i="4"/>
  <c r="E13" i="4"/>
  <c r="E14" i="4"/>
  <c r="E15" i="4"/>
  <c r="E16" i="4"/>
  <c r="E17" i="4"/>
  <c r="E24" i="4"/>
  <c r="E26" i="4"/>
  <c r="C8" i="4"/>
  <c r="C12" i="4"/>
  <c r="C13" i="4"/>
  <c r="C14" i="4"/>
  <c r="C15" i="4"/>
  <c r="C16" i="4"/>
  <c r="C17" i="4"/>
  <c r="C24" i="4"/>
  <c r="C26" i="4"/>
  <c r="AC9" i="4"/>
  <c r="AC10" i="4"/>
  <c r="O11" i="2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Q38" i="2"/>
  <c r="E3" i="22"/>
  <c r="G2" i="21"/>
  <c r="O10" i="2"/>
  <c r="I2" i="22"/>
  <c r="H30" i="2"/>
  <c r="Q22" i="2"/>
  <c r="I14" i="22"/>
  <c r="I15" i="22"/>
  <c r="H21" i="2"/>
  <c r="Q20" i="2"/>
  <c r="H20" i="2"/>
  <c r="I7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2" i="22"/>
  <c r="H28" i="2"/>
  <c r="H22" i="2"/>
  <c r="I19" i="10"/>
  <c r="E20" i="10"/>
  <c r="D25" i="10"/>
  <c r="F25" i="10"/>
  <c r="F32" i="10"/>
  <c r="H25" i="10"/>
  <c r="I25" i="10"/>
  <c r="I32" i="10"/>
  <c r="F18" i="10"/>
  <c r="H15" i="2"/>
  <c r="O21" i="2"/>
  <c r="O22" i="2"/>
  <c r="O30" i="2"/>
  <c r="Q30" i="2"/>
  <c r="I13" i="22"/>
  <c r="F25" i="18"/>
  <c r="F29" i="18"/>
  <c r="F21" i="11"/>
  <c r="F23" i="11"/>
  <c r="F24" i="11"/>
  <c r="F2" i="21"/>
  <c r="I21" i="4"/>
  <c r="I12" i="4"/>
  <c r="L23" i="4"/>
  <c r="N23" i="4"/>
  <c r="L17" i="4"/>
  <c r="N17" i="4"/>
  <c r="L13" i="4"/>
  <c r="N13" i="4"/>
  <c r="L10" i="4"/>
  <c r="N10" i="4"/>
  <c r="L31" i="4"/>
  <c r="N31" i="4"/>
  <c r="L28" i="4"/>
  <c r="N28" i="4"/>
  <c r="L16" i="4"/>
  <c r="N16" i="4"/>
  <c r="L14" i="4"/>
  <c r="N14" i="4"/>
  <c r="L27" i="4"/>
  <c r="N27" i="4"/>
  <c r="L34" i="4"/>
  <c r="N34" i="4"/>
  <c r="L30" i="4"/>
  <c r="N30" i="4"/>
  <c r="L18" i="4"/>
  <c r="N18" i="4"/>
  <c r="L21" i="4"/>
  <c r="N21" i="4"/>
  <c r="L29" i="4"/>
  <c r="N29" i="4"/>
  <c r="L24" i="4"/>
  <c r="N24" i="4"/>
  <c r="L12" i="4"/>
  <c r="N12" i="4"/>
  <c r="L11" i="4"/>
  <c r="N11" i="4"/>
  <c r="L32" i="4"/>
  <c r="N32" i="4"/>
  <c r="L26" i="4"/>
  <c r="N26" i="4"/>
  <c r="L25" i="4"/>
  <c r="N25" i="4"/>
  <c r="L19" i="4"/>
  <c r="N19" i="4"/>
  <c r="L20" i="4"/>
  <c r="N20" i="4"/>
  <c r="L33" i="4"/>
  <c r="N33" i="4"/>
  <c r="L15" i="4"/>
  <c r="N15" i="4"/>
  <c r="Q21" i="2"/>
  <c r="Q10" i="2"/>
  <c r="E2" i="21"/>
  <c r="J2" i="21"/>
  <c r="Q11" i="2"/>
  <c r="J30" i="21"/>
  <c r="H10" i="2"/>
  <c r="E2" i="22"/>
  <c r="Q44" i="4"/>
  <c r="AC44" i="4"/>
  <c r="K48" i="4" s="1"/>
  <c r="L48" i="4" s="1"/>
  <c r="L9" i="4"/>
  <c r="N9" i="4"/>
  <c r="AC43" i="4"/>
  <c r="I9" i="4"/>
  <c r="J22" i="21" l="1"/>
  <c r="G26" i="22"/>
  <c r="X34" i="2"/>
  <c r="G11" i="22"/>
  <c r="V18" i="2"/>
  <c r="V26" i="2"/>
  <c r="X33" i="2"/>
  <c r="X25" i="2"/>
  <c r="X17" i="2"/>
  <c r="P28" i="4"/>
  <c r="X40" i="2"/>
  <c r="X32" i="2"/>
  <c r="X24" i="2"/>
  <c r="X16" i="2"/>
  <c r="X39" i="2"/>
  <c r="X31" i="2"/>
  <c r="X23" i="2"/>
  <c r="X15" i="2"/>
  <c r="X38" i="2"/>
  <c r="X30" i="2"/>
  <c r="X22" i="2"/>
  <c r="X14" i="2"/>
  <c r="X37" i="2"/>
  <c r="X29" i="2"/>
  <c r="X21" i="2"/>
  <c r="X13" i="2"/>
  <c r="X36" i="2"/>
  <c r="X28" i="2"/>
  <c r="X20" i="2"/>
  <c r="X12" i="2"/>
  <c r="H35" i="2"/>
  <c r="I27" i="22"/>
  <c r="I10" i="22"/>
  <c r="H18" i="2"/>
  <c r="H33" i="2"/>
  <c r="I25" i="22"/>
  <c r="I9" i="22"/>
  <c r="H17" i="2"/>
  <c r="H26" i="2"/>
  <c r="I18" i="22"/>
  <c r="I24" i="22"/>
  <c r="H32" i="2"/>
  <c r="F41" i="2"/>
  <c r="H34" i="2"/>
  <c r="I26" i="22"/>
  <c r="H27" i="2"/>
  <c r="I19" i="22"/>
  <c r="I17" i="22"/>
  <c r="I28" i="22"/>
  <c r="H29" i="2"/>
  <c r="I16" i="22"/>
  <c r="H31" i="2"/>
  <c r="I11" i="22"/>
  <c r="J21" i="21"/>
  <c r="Q28" i="2"/>
  <c r="O28" i="2"/>
  <c r="Q37" i="2"/>
  <c r="O29" i="2"/>
  <c r="E14" i="22"/>
  <c r="J25" i="21"/>
  <c r="O33" i="2"/>
  <c r="Q33" i="2"/>
  <c r="O25" i="2"/>
  <c r="Q25" i="2"/>
  <c r="O17" i="2"/>
  <c r="E9" i="22"/>
  <c r="Q17" i="2"/>
  <c r="M41" i="2"/>
  <c r="I45" i="2" s="1"/>
  <c r="L45" i="2" s="1"/>
  <c r="J17" i="21"/>
  <c r="Q26" i="2"/>
  <c r="E25" i="22"/>
  <c r="E28" i="22"/>
  <c r="J13" i="21"/>
  <c r="E22" i="22"/>
  <c r="O37" i="2"/>
  <c r="E29" i="22"/>
  <c r="Q35" i="2"/>
  <c r="E27" i="22"/>
  <c r="O35" i="2"/>
  <c r="Q27" i="2"/>
  <c r="O27" i="2"/>
  <c r="E11" i="22"/>
  <c r="Q19" i="2"/>
  <c r="O19" i="2"/>
  <c r="E12" i="22"/>
  <c r="J12" i="21"/>
  <c r="Q40" i="2"/>
  <c r="E32" i="22"/>
  <c r="O40" i="2"/>
  <c r="Q32" i="2"/>
  <c r="O32" i="2"/>
  <c r="E24" i="22"/>
  <c r="O24" i="2"/>
  <c r="Q24" i="2"/>
  <c r="O16" i="2"/>
  <c r="Q16" i="2"/>
  <c r="O39" i="2"/>
  <c r="Q39" i="2"/>
  <c r="E31" i="22"/>
  <c r="Q31" i="2"/>
  <c r="O31" i="2"/>
  <c r="O23" i="2"/>
  <c r="Q23" i="2"/>
  <c r="O36" i="2"/>
  <c r="Q36" i="2"/>
  <c r="O20" i="2"/>
  <c r="E26" i="22"/>
  <c r="J26" i="21"/>
  <c r="E10" i="22"/>
  <c r="J10" i="21"/>
  <c r="E13" i="22"/>
  <c r="J3" i="21"/>
  <c r="Q34" i="2"/>
  <c r="O34" i="2"/>
  <c r="O26" i="2"/>
  <c r="E17" i="22"/>
  <c r="O18" i="2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G6" i="4"/>
  <c r="E6" i="4"/>
  <c r="C6" i="4"/>
  <c r="G9" i="4"/>
  <c r="E9" i="4"/>
  <c r="C9" i="4"/>
  <c r="Q14" i="2"/>
  <c r="O14" i="2"/>
  <c r="L8" i="4"/>
  <c r="N8" i="4" s="1"/>
  <c r="J14" i="21"/>
  <c r="I4" i="4"/>
  <c r="L4" i="4"/>
  <c r="N4" i="4" s="1"/>
  <c r="G10" i="22" l="1"/>
  <c r="M10" i="22" s="1"/>
  <c r="X18" i="2"/>
  <c r="G18" i="22"/>
  <c r="X26" i="2"/>
  <c r="E21" i="22"/>
  <c r="J9" i="21"/>
  <c r="E15" i="22"/>
  <c r="M15" i="22" s="1"/>
  <c r="J15" i="21"/>
  <c r="J24" i="21"/>
  <c r="E23" i="22"/>
  <c r="J23" i="21"/>
  <c r="E8" i="22"/>
  <c r="J8" i="21"/>
  <c r="J11" i="21"/>
  <c r="E20" i="22"/>
  <c r="M20" i="22" s="1"/>
  <c r="J20" i="21"/>
  <c r="E16" i="22"/>
  <c r="M16" i="22" s="1"/>
  <c r="J16" i="21"/>
  <c r="E19" i="22"/>
  <c r="M19" i="22" s="1"/>
  <c r="J19" i="21"/>
  <c r="E18" i="22"/>
  <c r="J18" i="21"/>
  <c r="M14" i="22"/>
  <c r="M25" i="22"/>
  <c r="M13" i="22"/>
  <c r="M11" i="22"/>
  <c r="M24" i="22"/>
  <c r="M26" i="22"/>
  <c r="M21" i="22"/>
  <c r="M9" i="22"/>
  <c r="M23" i="22"/>
  <c r="M22" i="22"/>
  <c r="M17" i="22"/>
  <c r="M12" i="22"/>
  <c r="E7" i="22"/>
  <c r="O15" i="2"/>
  <c r="Q15" i="2"/>
  <c r="E6" i="22"/>
  <c r="O13" i="2"/>
  <c r="Q13" i="2"/>
  <c r="E5" i="22"/>
  <c r="E4" i="22"/>
  <c r="Q12" i="2"/>
  <c r="O12" i="2"/>
  <c r="I8" i="22"/>
  <c r="H16" i="2"/>
  <c r="H14" i="2"/>
  <c r="I6" i="22"/>
  <c r="I5" i="22"/>
  <c r="H13" i="2"/>
  <c r="I4" i="22"/>
  <c r="H12" i="2"/>
  <c r="I3" i="22"/>
  <c r="H11" i="2"/>
  <c r="O4" i="4"/>
  <c r="N43" i="4"/>
  <c r="M3" i="22"/>
  <c r="M18" i="22" l="1"/>
  <c r="H41" i="2"/>
  <c r="M8" i="22"/>
  <c r="O41" i="2"/>
  <c r="Q41" i="2"/>
  <c r="V10" i="2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K47" i="4"/>
  <c r="X41" i="2"/>
  <c r="G2" i="22" l="1"/>
  <c r="M2" i="22" s="1"/>
  <c r="V41" i="2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<sst xmlns="http://schemas.openxmlformats.org/spreadsheetml/2006/main" count="478" uniqueCount="186">
  <si>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</si>
  <si>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</si>
  <si>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</si>
  <si>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</si>
  <si>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</si>
  <si>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</si>
  <si>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</si>
  <si>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</si>
  <si>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</si>
  <si>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</si>
  <si>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</si>
  <si>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</si>
  <si>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</si>
  <si>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</si>
  <si>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</si>
  <si>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</si>
  <si>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</si>
  <si>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</si>
  <si>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</si>
  <si>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</si>
  <si>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</si>
  <si>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</si>
  <si>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</si>
  <si>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</si>
  <si>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</si>
  <si>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</si>
  <si>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</si>
  <si>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</si>
  <si>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</si>
  <si>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</si>
  <si>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</si>
  <si>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</si>
  <si>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</si>
  <si>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</si>
  <si>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</si>
  <si>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</si>
  <si>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</si>
  <si>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</si>
  <si>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</si>
  <si>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</si>
  <si>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</si>
  <si>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</si>
  <si>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</si>
  <si>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</si>
  <si>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</si>
  <si>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</si>
  <si>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</si>
  <si>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</si>
  <si>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</si>
  <si>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</si>
  <si>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</si>
  <si>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</si>
  <si>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</si>
  <si>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</si>
  <si>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</si>
  <si>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</si>
  <si>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</si>
  <si>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</si>
  <si>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</si>
  <si>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</si>
  <si>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</si>
  <si>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</si>
  <si>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</si>
  <si>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</si>
  <si>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</si>
  <si>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</si>
  <si>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</si>
  <si>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</si>
  <si>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</si>
  <si>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</si>
  <si>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</si>
  <si>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</si>
  <si>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</si>
  <si>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</si>
  <si>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</si>
  <si>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</si>
  <si>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</si>
  <si>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</si>
  <si>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</si>
  <si>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</si>
  <si>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</si>
  <si>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</si>
  <si>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</si>
  <si>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</si>
  <si>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</si>
  <si>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</si>
  <si>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</si>
  <si>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</si>
  <si>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</si>
  <si>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</si>
  <si>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</si>
  <si>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</si>
  <si>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</si>
  <si>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</si>
  <si>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</si>
  <si>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</si>
  <si>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</si>
  <si>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</si>
  <si>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</si>
  <si>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</si>
  <si>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</si>
  <si>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</si>
  <si>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</si>
  <si>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</si>
  <si>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</si>
  <si>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</si>
  <si>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</si>
  <si>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</si>
  <si>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</si>
  <si>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</si>
  <si>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</si>
  <si>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</si>
  <si>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</si>
  <si>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</si>
  <si>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</si>
  <si>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</si>
  <si>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</si>
  <si>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</si>
  <si>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</si>
  <si>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</si>
  <si>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</si>
  <si>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</si>
  <si>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</si>
  <si>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</si>
  <si>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</si>
  <si>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</si>
  <si>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</si>
  <si>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</si>
  <si>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</si>
  <si>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</si>
  <si>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</si>
  <si>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2021</t>
  </si>
  <si>
    <t>01jours</t>
  </si>
  <si>
    <t>Estimation de la consommation d'Eau Sanitaire Dec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</si>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</sst>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82.799999999988358</c:v>
                </c:pt>
                <c:pt idx="1">
                  <c:v>102.10000000000582</c:v>
                </c:pt>
                <c:pt idx="2">
                  <c:v>99</c:v>
                </c:pt>
                <c:pt idx="3">
                  <c:v>71.19999999999709</c:v>
                </c:pt>
                <c:pt idx="4">
                  <c:v>76.69999999999709</c:v>
                </c:pt>
                <c:pt idx="5">
                  <c:v>93</c:v>
                </c:pt>
                <c:pt idx="6">
                  <c:v>93.200000000011642</c:v>
                </c:pt>
                <c:pt idx="7">
                  <c:v>75.100000000005821</c:v>
                </c:pt>
                <c:pt idx="8">
                  <c:v>77.599999999976717</c:v>
                </c:pt>
                <c:pt idx="9">
                  <c:v>71.800000000017462</c:v>
                </c:pt>
                <c:pt idx="10">
                  <c:v>62.5</c:v>
                </c:pt>
                <c:pt idx="11">
                  <c:v>58.399999999994179</c:v>
                </c:pt>
                <c:pt idx="12">
                  <c:v>54.799999999988358</c:v>
                </c:pt>
                <c:pt idx="13">
                  <c:v>66.700000000011642</c:v>
                </c:pt>
                <c:pt idx="14">
                  <c:v>79.600000000005821</c:v>
                </c:pt>
                <c:pt idx="15">
                  <c:v>85.699999999982538</c:v>
                </c:pt>
                <c:pt idx="16">
                  <c:v>79.5</c:v>
                </c:pt>
                <c:pt idx="17">
                  <c:v>66.900000000023283</c:v>
                </c:pt>
                <c:pt idx="18">
                  <c:v>66.699999999982538</c:v>
                </c:pt>
                <c:pt idx="19">
                  <c:v>66.100000000005821</c:v>
                </c:pt>
                <c:pt idx="20">
                  <c:v>57.600000000005821</c:v>
                </c:pt>
                <c:pt idx="21">
                  <c:v>45.100000000005821</c:v>
                </c:pt>
                <c:pt idx="22">
                  <c:v>65.899999999994179</c:v>
                </c:pt>
                <c:pt idx="23">
                  <c:v>53.699999999982538</c:v>
                </c:pt>
                <c:pt idx="24">
                  <c:v>58.400000000023283</c:v>
                </c:pt>
                <c:pt idx="25">
                  <c:v>70.099999999976717</c:v>
                </c:pt>
                <c:pt idx="26">
                  <c:v>62.200000000011642</c:v>
                </c:pt>
                <c:pt idx="27">
                  <c:v>38.799999999988358</c:v>
                </c:pt>
                <c:pt idx="28">
                  <c:v>61.800000000017462</c:v>
                </c:pt>
                <c:pt idx="29">
                  <c:v>80.5</c:v>
                </c:pt>
                <c:pt idx="30">
                  <c:v>41.600000000005821</c:v>
                </c:pt>
                <c:pt idx="31">
                  <c:v>8.7999999999883585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3423</c:v>
                </c:pt>
                <c:pt idx="1">
                  <c:v>3375</c:v>
                </c:pt>
                <c:pt idx="2">
                  <c:v>3397</c:v>
                </c:pt>
                <c:pt idx="3">
                  <c:v>3041</c:v>
                </c:pt>
                <c:pt idx="4">
                  <c:v>2893</c:v>
                </c:pt>
                <c:pt idx="5">
                  <c:v>2890</c:v>
                </c:pt>
                <c:pt idx="6">
                  <c:v>2901</c:v>
                </c:pt>
                <c:pt idx="7">
                  <c:v>2753</c:v>
                </c:pt>
                <c:pt idx="8">
                  <c:v>2727</c:v>
                </c:pt>
                <c:pt idx="9">
                  <c:v>2826</c:v>
                </c:pt>
                <c:pt idx="10">
                  <c:v>2681</c:v>
                </c:pt>
                <c:pt idx="11">
                  <c:v>2765</c:v>
                </c:pt>
                <c:pt idx="12">
                  <c:v>2771</c:v>
                </c:pt>
                <c:pt idx="13">
                  <c:v>2051</c:v>
                </c:pt>
                <c:pt idx="14">
                  <c:v>2489</c:v>
                </c:pt>
                <c:pt idx="15">
                  <c:v>2765</c:v>
                </c:pt>
                <c:pt idx="16">
                  <c:v>2723</c:v>
                </c:pt>
                <c:pt idx="17">
                  <c:v>2566</c:v>
                </c:pt>
                <c:pt idx="18">
                  <c:v>2664</c:v>
                </c:pt>
                <c:pt idx="19">
                  <c:v>2552</c:v>
                </c:pt>
                <c:pt idx="20">
                  <c:v>2427</c:v>
                </c:pt>
                <c:pt idx="21">
                  <c:v>2848</c:v>
                </c:pt>
                <c:pt idx="22">
                  <c:v>2702</c:v>
                </c:pt>
                <c:pt idx="23">
                  <c:v>2589</c:v>
                </c:pt>
                <c:pt idx="24">
                  <c:v>2674</c:v>
                </c:pt>
                <c:pt idx="25">
                  <c:v>2620</c:v>
                </c:pt>
                <c:pt idx="26">
                  <c:v>2582</c:v>
                </c:pt>
                <c:pt idx="27">
                  <c:v>2462</c:v>
                </c:pt>
                <c:pt idx="28">
                  <c:v>2533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5315</c:v>
                </c:pt>
                <c:pt idx="1">
                  <c:v>4977</c:v>
                </c:pt>
                <c:pt idx="2">
                  <c:v>4591</c:v>
                </c:pt>
                <c:pt idx="3">
                  <c:v>4195</c:v>
                </c:pt>
                <c:pt idx="4">
                  <c:v>4245</c:v>
                </c:pt>
                <c:pt idx="5">
                  <c:v>4030</c:v>
                </c:pt>
                <c:pt idx="6">
                  <c:v>4036</c:v>
                </c:pt>
                <c:pt idx="7">
                  <c:v>3746</c:v>
                </c:pt>
                <c:pt idx="8">
                  <c:v>3928</c:v>
                </c:pt>
                <c:pt idx="9">
                  <c:v>3807</c:v>
                </c:pt>
                <c:pt idx="10">
                  <c:v>3705</c:v>
                </c:pt>
                <c:pt idx="11">
                  <c:v>3389</c:v>
                </c:pt>
                <c:pt idx="12">
                  <c:v>3503</c:v>
                </c:pt>
                <c:pt idx="13">
                  <c:v>3453</c:v>
                </c:pt>
                <c:pt idx="14">
                  <c:v>3611</c:v>
                </c:pt>
                <c:pt idx="15">
                  <c:v>3982</c:v>
                </c:pt>
                <c:pt idx="16">
                  <c:v>3811</c:v>
                </c:pt>
                <c:pt idx="17">
                  <c:v>3589</c:v>
                </c:pt>
                <c:pt idx="18">
                  <c:v>3555</c:v>
                </c:pt>
                <c:pt idx="19">
                  <c:v>3406</c:v>
                </c:pt>
                <c:pt idx="20">
                  <c:v>3384</c:v>
                </c:pt>
                <c:pt idx="21">
                  <c:v>3407</c:v>
                </c:pt>
                <c:pt idx="22">
                  <c:v>3831</c:v>
                </c:pt>
                <c:pt idx="23">
                  <c:v>3586</c:v>
                </c:pt>
                <c:pt idx="24">
                  <c:v>3624</c:v>
                </c:pt>
                <c:pt idx="25">
                  <c:v>3598</c:v>
                </c:pt>
                <c:pt idx="26">
                  <c:v>3430</c:v>
                </c:pt>
                <c:pt idx="27">
                  <c:v>3343</c:v>
                </c:pt>
                <c:pt idx="28">
                  <c:v>3428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2185</c:v>
                </c:pt>
                <c:pt idx="1">
                  <c:v>2203</c:v>
                </c:pt>
                <c:pt idx="2">
                  <c:v>2192</c:v>
                </c:pt>
                <c:pt idx="3">
                  <c:v>1913</c:v>
                </c:pt>
                <c:pt idx="4">
                  <c:v>1983</c:v>
                </c:pt>
                <c:pt idx="5">
                  <c:v>1903</c:v>
                </c:pt>
                <c:pt idx="6">
                  <c:v>1815</c:v>
                </c:pt>
                <c:pt idx="7">
                  <c:v>1546</c:v>
                </c:pt>
                <c:pt idx="8">
                  <c:v>1887</c:v>
                </c:pt>
                <c:pt idx="9">
                  <c:v>1739</c:v>
                </c:pt>
                <c:pt idx="10">
                  <c:v>1649</c:v>
                </c:pt>
                <c:pt idx="11">
                  <c:v>1598</c:v>
                </c:pt>
                <c:pt idx="12">
                  <c:v>1617</c:v>
                </c:pt>
                <c:pt idx="13">
                  <c:v>1630</c:v>
                </c:pt>
                <c:pt idx="14">
                  <c:v>1693</c:v>
                </c:pt>
                <c:pt idx="15">
                  <c:v>1891</c:v>
                </c:pt>
                <c:pt idx="16">
                  <c:v>1680</c:v>
                </c:pt>
                <c:pt idx="17">
                  <c:v>1650</c:v>
                </c:pt>
                <c:pt idx="18">
                  <c:v>1967</c:v>
                </c:pt>
                <c:pt idx="19">
                  <c:v>1602</c:v>
                </c:pt>
                <c:pt idx="20">
                  <c:v>1517</c:v>
                </c:pt>
                <c:pt idx="21">
                  <c:v>1616</c:v>
                </c:pt>
                <c:pt idx="22">
                  <c:v>1824</c:v>
                </c:pt>
                <c:pt idx="23">
                  <c:v>1702</c:v>
                </c:pt>
                <c:pt idx="24">
                  <c:v>1776</c:v>
                </c:pt>
                <c:pt idx="25">
                  <c:v>1640</c:v>
                </c:pt>
                <c:pt idx="26">
                  <c:v>1614</c:v>
                </c:pt>
                <c:pt idx="27">
                  <c:v>1550</c:v>
                </c:pt>
                <c:pt idx="28">
                  <c:v>1607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767.98104000000001</c:v>
                </c:pt>
                <c:pt idx="1">
                  <c:v>191.99526</c:v>
                </c:pt>
                <c:pt idx="2">
                  <c:v>191.99526</c:v>
                </c:pt>
                <c:pt idx="3">
                  <c:v>255.99368000000001</c:v>
                </c:pt>
                <c:pt idx="4">
                  <c:v>543.98657000000003</c:v>
                </c:pt>
                <c:pt idx="5">
                  <c:v>223.99447000000001</c:v>
                </c:pt>
                <c:pt idx="6">
                  <c:v>95.997630000000001</c:v>
                </c:pt>
                <c:pt idx="7">
                  <c:v>383.99052</c:v>
                </c:pt>
                <c:pt idx="8">
                  <c:v>287.99288999999999</c:v>
                </c:pt>
                <c:pt idx="9">
                  <c:v>159.99605</c:v>
                </c:pt>
                <c:pt idx="10">
                  <c:v>319.99209999999999</c:v>
                </c:pt>
                <c:pt idx="11">
                  <c:v>383.99052</c:v>
                </c:pt>
                <c:pt idx="12">
                  <c:v>159.99605</c:v>
                </c:pt>
                <c:pt idx="13">
                  <c:v>511.98736000000002</c:v>
                </c:pt>
                <c:pt idx="14">
                  <c:v>63.998420000000003</c:v>
                </c:pt>
                <c:pt idx="15">
                  <c:v>223.99447000000001</c:v>
                </c:pt>
                <c:pt idx="16">
                  <c:v>191.99526</c:v>
                </c:pt>
                <c:pt idx="17">
                  <c:v>415.98973000000001</c:v>
                </c:pt>
                <c:pt idx="18">
                  <c:v>447.98894000000001</c:v>
                </c:pt>
                <c:pt idx="19">
                  <c:v>95.997630000000001</c:v>
                </c:pt>
                <c:pt idx="20">
                  <c:v>255.99368000000001</c:v>
                </c:pt>
                <c:pt idx="21">
                  <c:v>223.99447000000001</c:v>
                </c:pt>
                <c:pt idx="22">
                  <c:v>223.99447000000001</c:v>
                </c:pt>
                <c:pt idx="23">
                  <c:v>287.99288999999999</c:v>
                </c:pt>
                <c:pt idx="24">
                  <c:v>319.99209999999999</c:v>
                </c:pt>
                <c:pt idx="25">
                  <c:v>127.99684000000001</c:v>
                </c:pt>
                <c:pt idx="26">
                  <c:v>479.98815000000002</c:v>
                </c:pt>
                <c:pt idx="27">
                  <c:v>351.99131</c:v>
                </c:pt>
                <c:pt idx="28">
                  <c:v>319.99209999999999</c:v>
                </c:pt>
                <c:pt idx="29">
                  <c:v>255.99368000000001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abSelected="1" workbookViewId="0">
      <selection activeCell="W17" sqref="W17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12</v>
      </c>
      <c r="D2" s="141">
        <v>2021</v>
      </c>
      <c r="E2" s="137">
        <f>submetering!E2+submetering!F2+submetering!G2</f>
        <v>10923</v>
      </c>
      <c r="F2" s="134">
        <v>1.05</v>
      </c>
      <c r="G2" s="134">
        <f>'Consommation mensuel énergie'!V10</f>
        <v>767.98104000000001</v>
      </c>
      <c r="H2" s="134">
        <v>9.9649999999999999</v>
      </c>
      <c r="I2" s="134">
        <f>'Consommation mensuel énergie'!F10</f>
        <v>82.799999999988358</v>
      </c>
      <c r="J2" s="134">
        <v>11.4</v>
      </c>
      <c r="K2" s="137">
        <f>'Consommation mensuel énergie'!D10</f>
        <v>42</v>
      </c>
      <c r="L2" s="137">
        <f>'Consommation mensuel énergie'!E10</f>
        <v>59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12</v>
      </c>
      <c r="D3" s="141">
        <v>2021</v>
      </c>
      <c r="E3" s="137">
        <f>submetering!E3+submetering!F3+submetering!G3</f>
        <v>10555</v>
      </c>
      <c r="F3" s="134">
        <v>1.05</v>
      </c>
      <c r="G3" s="134">
        <f>'Consommation mensuel énergie'!V11</f>
        <v>191.99526</v>
      </c>
      <c r="H3" s="134">
        <v>9.9649999999999999</v>
      </c>
      <c r="I3" s="134">
        <f>'Consommation mensuel énergie'!F11</f>
        <v>102.10000000000582</v>
      </c>
      <c r="J3" s="134">
        <v>11.4</v>
      </c>
      <c r="K3" s="137">
        <f>'Consommation mensuel énergie'!D11</f>
        <v>43</v>
      </c>
      <c r="L3" s="137">
        <f>'Consommation mensuel énergie'!E11</f>
        <v>63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12</v>
      </c>
      <c r="D4" s="141">
        <v>2021</v>
      </c>
      <c r="E4" s="137">
        <f>submetering!E4+submetering!F4+submetering!G4</f>
        <v>10180</v>
      </c>
      <c r="F4" s="134">
        <v>1.05</v>
      </c>
      <c r="G4" s="134">
        <f>'Consommation mensuel énergie'!V12</f>
        <v>191.99526</v>
      </c>
      <c r="H4" s="134">
        <v>9.9649999999999999</v>
      </c>
      <c r="I4" s="134">
        <f>'Consommation mensuel énergie'!F12</f>
        <v>99</v>
      </c>
      <c r="J4" s="134">
        <v>11.4</v>
      </c>
      <c r="K4" s="137">
        <f>'Consommation mensuel énergie'!D12</f>
        <v>32</v>
      </c>
      <c r="L4" s="137">
        <f>'Consommation mensuel énergie'!E12</f>
        <v>49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12</v>
      </c>
      <c r="D5" s="141">
        <v>2021</v>
      </c>
      <c r="E5" s="137">
        <f>submetering!E5+submetering!F5+submetering!G5</f>
        <v>9149</v>
      </c>
      <c r="F5" s="134">
        <v>1.05</v>
      </c>
      <c r="G5" s="134">
        <f>'Consommation mensuel énergie'!V13</f>
        <v>255.99368000000001</v>
      </c>
      <c r="H5" s="134">
        <v>9.9649999999999999</v>
      </c>
      <c r="I5" s="134">
        <f>'Consommation mensuel énergie'!F13</f>
        <v>71.19999999999709</v>
      </c>
      <c r="J5" s="134">
        <v>11.4</v>
      </c>
      <c r="K5" s="137">
        <f>'Consommation mensuel énergie'!D13</f>
        <v>39</v>
      </c>
      <c r="L5" s="137">
        <f>'Consommation mensuel énergie'!E13</f>
        <v>71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12</v>
      </c>
      <c r="D6" s="141">
        <v>2021</v>
      </c>
      <c r="E6" s="137">
        <f>submetering!E6+submetering!F6+submetering!G6</f>
        <v>9121</v>
      </c>
      <c r="F6" s="134">
        <v>1.05</v>
      </c>
      <c r="G6" s="134">
        <f>'Consommation mensuel énergie'!V14</f>
        <v>543.98657000000003</v>
      </c>
      <c r="H6" s="134">
        <v>9.9649999999999999</v>
      </c>
      <c r="I6" s="134">
        <f>'Consommation mensuel énergie'!F14</f>
        <v>76.69999999999709</v>
      </c>
      <c r="J6" s="134">
        <v>11.4</v>
      </c>
      <c r="K6" s="137">
        <f>'Consommation mensuel énergie'!D14</f>
        <v>26</v>
      </c>
      <c r="L6" s="137">
        <f>'Consommation mensuel énergie'!E14</f>
        <v>37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12</v>
      </c>
      <c r="D7" s="141">
        <v>2021</v>
      </c>
      <c r="E7" s="137">
        <f>submetering!E7+submetering!F7+submetering!G7</f>
        <v>8823</v>
      </c>
      <c r="F7" s="134">
        <v>1.05</v>
      </c>
      <c r="G7" s="134">
        <f>'Consommation mensuel énergie'!V15</f>
        <v>223.99447000000001</v>
      </c>
      <c r="H7" s="134">
        <v>9.9649999999999999</v>
      </c>
      <c r="I7" s="134">
        <f>'Consommation mensuel énergie'!F15</f>
        <v>93</v>
      </c>
      <c r="J7" s="134">
        <v>11.4</v>
      </c>
      <c r="K7" s="137">
        <f>'Consommation mensuel énergie'!D15</f>
        <v>19</v>
      </c>
      <c r="L7" s="137">
        <f>'Consommation mensuel énergie'!E15</f>
        <v>27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12</v>
      </c>
      <c r="D8" s="141">
        <v>2021</v>
      </c>
      <c r="E8" s="137">
        <f>submetering!E8+submetering!F8+submetering!G8</f>
        <v>8752</v>
      </c>
      <c r="F8" s="134">
        <v>1.05</v>
      </c>
      <c r="G8" s="134">
        <f>'Consommation mensuel énergie'!V16</f>
        <v>95.997630000000001</v>
      </c>
      <c r="H8" s="134">
        <v>9.9649999999999999</v>
      </c>
      <c r="I8" s="134">
        <f>'Consommation mensuel énergie'!F16</f>
        <v>93.200000000011642</v>
      </c>
      <c r="J8" s="134">
        <v>11.4</v>
      </c>
      <c r="K8" s="137">
        <f>'Consommation mensuel énergie'!D16</f>
        <v>15</v>
      </c>
      <c r="L8" s="137">
        <f>'Consommation mensuel énergie'!E16</f>
        <v>21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12</v>
      </c>
      <c r="D9" s="141">
        <v>2021</v>
      </c>
      <c r="E9" s="137">
        <f>submetering!E9+submetering!F9+submetering!G9</f>
        <v>8045</v>
      </c>
      <c r="F9" s="134">
        <v>1.05</v>
      </c>
      <c r="G9" s="134">
        <f>'Consommation mensuel énergie'!V17</f>
        <v>383.99052</v>
      </c>
      <c r="H9" s="134">
        <v>9.9649999999999999</v>
      </c>
      <c r="I9" s="134">
        <f>'Consommation mensuel énergie'!F17</f>
        <v>75.100000000005821</v>
      </c>
      <c r="J9" s="134">
        <v>11.4</v>
      </c>
      <c r="K9" s="137">
        <f>'Consommation mensuel énergie'!D17</f>
        <v>8</v>
      </c>
      <c r="L9" s="137">
        <f>'Consommation mensuel énergie'!E17</f>
        <v>12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12</v>
      </c>
      <c r="D10" s="141">
        <v>2021</v>
      </c>
      <c r="E10" s="137">
        <f>submetering!E10+submetering!F10+submetering!G10</f>
        <v>8542</v>
      </c>
      <c r="F10" s="134">
        <v>1.05</v>
      </c>
      <c r="G10" s="134">
        <f>'Consommation mensuel énergie'!V18</f>
        <v>287.99288999999999</v>
      </c>
      <c r="H10" s="134">
        <v>9.9649999999999999</v>
      </c>
      <c r="I10" s="134">
        <f>'Consommation mensuel énergie'!F18</f>
        <v>77.599999999976717</v>
      </c>
      <c r="J10" s="134">
        <v>11.4</v>
      </c>
      <c r="K10" s="137">
        <f>'Consommation mensuel énergie'!D18</f>
        <v>11</v>
      </c>
      <c r="L10" s="137">
        <f>'Consommation mensuel énergie'!E18</f>
        <v>16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12</v>
      </c>
      <c r="D11" s="141">
        <v>2021</v>
      </c>
      <c r="E11" s="137">
        <f>submetering!E11+submetering!F11+submetering!G11</f>
        <v>8372</v>
      </c>
      <c r="F11" s="134">
        <v>1.05</v>
      </c>
      <c r="G11" s="134">
        <f>'Consommation mensuel énergie'!V19</f>
        <v>159.99605</v>
      </c>
      <c r="H11" s="134">
        <v>9.9649999999999999</v>
      </c>
      <c r="I11" s="134">
        <f>'Consommation mensuel énergie'!F19</f>
        <v>71.800000000017462</v>
      </c>
      <c r="J11" s="134">
        <v>11.4</v>
      </c>
      <c r="K11" s="137">
        <f>'Consommation mensuel énergie'!D19</f>
        <v>14</v>
      </c>
      <c r="L11" s="137">
        <f>'Consommation mensuel énergie'!E19</f>
        <v>24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12</v>
      </c>
      <c r="D12" s="141">
        <v>2021</v>
      </c>
      <c r="E12" s="137">
        <f>submetering!E12+submetering!F12+submetering!G12</f>
        <v>8035</v>
      </c>
      <c r="F12" s="134">
        <v>1.05</v>
      </c>
      <c r="G12" s="134">
        <f>'Consommation mensuel énergie'!V20</f>
        <v>319.99209999999999</v>
      </c>
      <c r="H12" s="134">
        <v>9.9649999999999999</v>
      </c>
      <c r="I12" s="134">
        <f>'Consommation mensuel énergie'!F20</f>
        <v>62.5</v>
      </c>
      <c r="J12" s="134">
        <v>11.4</v>
      </c>
      <c r="K12" s="137">
        <f>'Consommation mensuel énergie'!D20</f>
        <v>28</v>
      </c>
      <c r="L12" s="137">
        <f>'Consommation mensuel énergie'!E20</f>
        <v>55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12</v>
      </c>
      <c r="D13" s="141">
        <v>2021</v>
      </c>
      <c r="E13" s="137">
        <f>submetering!E13+submetering!F13+submetering!G13</f>
        <v>7752</v>
      </c>
      <c r="F13" s="134">
        <v>1.05</v>
      </c>
      <c r="G13" s="134">
        <f>'Consommation mensuel énergie'!V21</f>
        <v>383.99052</v>
      </c>
      <c r="H13" s="134">
        <v>9.9649999999999999</v>
      </c>
      <c r="I13" s="134">
        <f>'Consommation mensuel énergie'!F21</f>
        <v>58.399999999994179</v>
      </c>
      <c r="J13" s="134">
        <v>11.4</v>
      </c>
      <c r="K13" s="137">
        <f>'Consommation mensuel énergie'!D21</f>
        <v>14</v>
      </c>
      <c r="L13" s="137">
        <f>'Consommation mensuel énergie'!E21</f>
        <v>24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12</v>
      </c>
      <c r="D14" s="141">
        <v>2021</v>
      </c>
      <c r="E14" s="137">
        <f>submetering!E14+submetering!F14+submetering!G14</f>
        <v>7891</v>
      </c>
      <c r="F14" s="134">
        <v>1.05</v>
      </c>
      <c r="G14" s="134">
        <f>'Consommation mensuel énergie'!V22</f>
        <v>159.99605</v>
      </c>
      <c r="H14" s="134">
        <v>9.9649999999999999</v>
      </c>
      <c r="I14" s="134">
        <f>'Consommation mensuel énergie'!F22</f>
        <v>54.799999999988358</v>
      </c>
      <c r="J14" s="134">
        <v>11.4</v>
      </c>
      <c r="K14" s="137">
        <f>'Consommation mensuel énergie'!D22</f>
        <v>12</v>
      </c>
      <c r="L14" s="137">
        <f>'Consommation mensuel énergie'!E22</f>
        <v>23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12</v>
      </c>
      <c r="D15" s="141">
        <v>2021</v>
      </c>
      <c r="E15" s="137">
        <f>submetering!E15+submetering!F15+submetering!G15</f>
        <v>7134</v>
      </c>
      <c r="F15" s="134">
        <v>1.05</v>
      </c>
      <c r="G15" s="134">
        <f>'Consommation mensuel énergie'!V23</f>
        <v>511.98736000000002</v>
      </c>
      <c r="H15" s="134">
        <v>9.9649999999999999</v>
      </c>
      <c r="I15" s="134">
        <f>'Consommation mensuel énergie'!F23</f>
        <v>66.700000000011642</v>
      </c>
      <c r="J15" s="134">
        <v>11.4</v>
      </c>
      <c r="K15" s="137">
        <f>'Consommation mensuel énergie'!D23</f>
        <v>11</v>
      </c>
      <c r="L15" s="137">
        <f>'Consommation mensuel énergie'!E23</f>
        <v>22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12</v>
      </c>
      <c r="D16" s="141">
        <v>2021</v>
      </c>
      <c r="E16" s="137">
        <f>submetering!E16+submetering!F16+submetering!G16</f>
        <v>7793</v>
      </c>
      <c r="F16" s="134">
        <v>1.05</v>
      </c>
      <c r="G16" s="134">
        <f>'Consommation mensuel énergie'!V24</f>
        <v>63.998420000000003</v>
      </c>
      <c r="H16" s="134">
        <v>9.9649999999999999</v>
      </c>
      <c r="I16" s="134">
        <f>'Consommation mensuel énergie'!F24</f>
        <v>79.600000000005821</v>
      </c>
      <c r="J16" s="134">
        <v>11.4</v>
      </c>
      <c r="K16" s="137">
        <f>'Consommation mensuel énergie'!D24</f>
        <v>11</v>
      </c>
      <c r="L16" s="137">
        <f>'Consommation mensuel énergie'!E24</f>
        <v>20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12</v>
      </c>
      <c r="D17" s="141">
        <v>2021</v>
      </c>
      <c r="E17" s="137">
        <f>submetering!E17+submetering!F17+submetering!G17</f>
        <v>8638</v>
      </c>
      <c r="F17" s="134">
        <v>1.05</v>
      </c>
      <c r="G17" s="134">
        <f>'Consommation mensuel énergie'!V25</f>
        <v>223.99447000000001</v>
      </c>
      <c r="H17" s="134">
        <v>9.9649999999999999</v>
      </c>
      <c r="I17" s="134">
        <f>'Consommation mensuel énergie'!F25</f>
        <v>85.699999999982538</v>
      </c>
      <c r="J17" s="134">
        <v>11.4</v>
      </c>
      <c r="K17" s="137">
        <f>'Consommation mensuel énergie'!D25</f>
        <v>19</v>
      </c>
      <c r="L17" s="137">
        <f>'Consommation mensuel énergie'!E25</f>
        <v>31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12</v>
      </c>
      <c r="D18" s="141">
        <v>2021</v>
      </c>
      <c r="E18" s="137">
        <f>submetering!E18+submetering!F18+submetering!G18</f>
        <v>8214</v>
      </c>
      <c r="F18" s="134">
        <v>1.05</v>
      </c>
      <c r="G18" s="134">
        <f>'Consommation mensuel énergie'!V26</f>
        <v>191.99526</v>
      </c>
      <c r="H18" s="134">
        <v>9.9649999999999999</v>
      </c>
      <c r="I18" s="134">
        <f>'Consommation mensuel énergie'!F26</f>
        <v>79.5</v>
      </c>
      <c r="J18" s="134">
        <v>11.4</v>
      </c>
      <c r="K18" s="137">
        <f>'Consommation mensuel énergie'!D26</f>
        <v>22</v>
      </c>
      <c r="L18" s="137">
        <f>'Consommation mensuel énergie'!E26</f>
        <v>38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12</v>
      </c>
      <c r="D19" s="141">
        <v>2021</v>
      </c>
      <c r="E19" s="137">
        <f>submetering!E19+submetering!F19+submetering!G19</f>
        <v>7805</v>
      </c>
      <c r="F19" s="134">
        <v>1.05</v>
      </c>
      <c r="G19" s="134">
        <f>'Consommation mensuel énergie'!V27</f>
        <v>415.98973000000001</v>
      </c>
      <c r="H19" s="134">
        <v>9.9649999999999999</v>
      </c>
      <c r="I19" s="134">
        <f>'Consommation mensuel énergie'!F27</f>
        <v>66.900000000023283</v>
      </c>
      <c r="J19" s="134">
        <v>11.4</v>
      </c>
      <c r="K19" s="137">
        <f>'Consommation mensuel énergie'!D27</f>
        <v>21</v>
      </c>
      <c r="L19" s="137">
        <f>'Consommation mensuel énergie'!E27</f>
        <v>38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12</v>
      </c>
      <c r="D20" s="141">
        <v>2021</v>
      </c>
      <c r="E20" s="137">
        <f>submetering!E20+submetering!F20+submetering!G20</f>
        <v>8186</v>
      </c>
      <c r="F20" s="134">
        <v>1.05</v>
      </c>
      <c r="G20" s="134">
        <f>'Consommation mensuel énergie'!V28</f>
        <v>447.98894000000001</v>
      </c>
      <c r="H20" s="134">
        <v>9.9649999999999999</v>
      </c>
      <c r="I20" s="134">
        <f>'Consommation mensuel énergie'!F28</f>
        <v>66.699999999982538</v>
      </c>
      <c r="J20" s="134">
        <v>11.4</v>
      </c>
      <c r="K20" s="137">
        <f>'Consommation mensuel énergie'!D28</f>
        <v>18</v>
      </c>
      <c r="L20" s="137">
        <f>'Consommation mensuel énergie'!E28</f>
        <v>26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12</v>
      </c>
      <c r="D21" s="141">
        <v>2021</v>
      </c>
      <c r="E21" s="137">
        <f>submetering!E21+submetering!F21+submetering!G21</f>
        <v>7560</v>
      </c>
      <c r="F21" s="134">
        <v>1.05</v>
      </c>
      <c r="G21" s="134">
        <f>'Consommation mensuel énergie'!V29</f>
        <v>95.997630000000001</v>
      </c>
      <c r="H21" s="134">
        <v>9.9649999999999999</v>
      </c>
      <c r="I21" s="134">
        <f>'Consommation mensuel énergie'!F29</f>
        <v>66.100000000005821</v>
      </c>
      <c r="J21" s="134">
        <v>11.4</v>
      </c>
      <c r="K21" s="137">
        <f>'Consommation mensuel énergie'!D29</f>
        <v>8</v>
      </c>
      <c r="L21" s="137">
        <f>'Consommation mensuel énergie'!E29</f>
        <v>14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12</v>
      </c>
      <c r="D22" s="141">
        <v>2021</v>
      </c>
      <c r="E22" s="137">
        <f>submetering!E22+submetering!F22+submetering!G22</f>
        <v>7328</v>
      </c>
      <c r="F22" s="134">
        <v>1.05</v>
      </c>
      <c r="G22" s="134">
        <f>'Consommation mensuel énergie'!V30</f>
        <v>255.99368000000001</v>
      </c>
      <c r="H22" s="134">
        <v>9.9649999999999999</v>
      </c>
      <c r="I22" s="134">
        <f>'Consommation mensuel énergie'!F30</f>
        <v>57.600000000005821</v>
      </c>
      <c r="J22" s="134">
        <v>11.4</v>
      </c>
      <c r="K22" s="137">
        <f>'Consommation mensuel énergie'!D30</f>
        <v>11</v>
      </c>
      <c r="L22" s="137">
        <f>'Consommation mensuel énergie'!E30</f>
        <v>16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12</v>
      </c>
      <c r="D23" s="141">
        <v>2021</v>
      </c>
      <c r="E23" s="137">
        <f>submetering!E23+submetering!F23+submetering!G23</f>
        <v>7871</v>
      </c>
      <c r="F23" s="134">
        <v>1.05</v>
      </c>
      <c r="G23" s="134">
        <f>'Consommation mensuel énergie'!V31</f>
        <v>223.99447000000001</v>
      </c>
      <c r="H23" s="134">
        <v>9.9649999999999999</v>
      </c>
      <c r="I23" s="134">
        <f>'Consommation mensuel énergie'!F31</f>
        <v>45.100000000005821</v>
      </c>
      <c r="J23" s="134">
        <v>11.4</v>
      </c>
      <c r="K23" s="137">
        <f>'Consommation mensuel énergie'!D31</f>
        <v>11</v>
      </c>
      <c r="L23" s="137">
        <f>'Consommation mensuel énergie'!E31</f>
        <v>18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12</v>
      </c>
      <c r="D24" s="141">
        <v>2021</v>
      </c>
      <c r="E24" s="137">
        <f>submetering!E24+submetering!F24+submetering!G24</f>
        <v>8357</v>
      </c>
      <c r="F24" s="134">
        <v>1.05</v>
      </c>
      <c r="G24" s="134">
        <f>'Consommation mensuel énergie'!V32</f>
        <v>223.99447000000001</v>
      </c>
      <c r="H24" s="134">
        <v>9.9649999999999999</v>
      </c>
      <c r="I24" s="134">
        <f>'Consommation mensuel énergie'!F32</f>
        <v>65.899999999994179</v>
      </c>
      <c r="J24" s="134">
        <v>11.4</v>
      </c>
      <c r="K24" s="137">
        <f>'Consommation mensuel énergie'!D32</f>
        <v>18</v>
      </c>
      <c r="L24" s="137">
        <f>'Consommation mensuel énergie'!E32</f>
        <v>33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12</v>
      </c>
      <c r="D25" s="141">
        <v>2021</v>
      </c>
      <c r="E25" s="137">
        <f>submetering!E25+submetering!F25+submetering!G25</f>
        <v>7877</v>
      </c>
      <c r="F25" s="134">
        <v>1.05</v>
      </c>
      <c r="G25" s="134">
        <f>'Consommation mensuel énergie'!V33</f>
        <v>287.99288999999999</v>
      </c>
      <c r="H25" s="134">
        <v>9.9649999999999999</v>
      </c>
      <c r="I25" s="134">
        <f>'Consommation mensuel énergie'!F33</f>
        <v>53.699999999982538</v>
      </c>
      <c r="J25" s="134">
        <v>11.4</v>
      </c>
      <c r="K25" s="137">
        <f>'Consommation mensuel énergie'!D33</f>
        <v>22</v>
      </c>
      <c r="L25" s="137">
        <f>'Consommation mensuel énergie'!E33</f>
        <v>33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12</v>
      </c>
      <c r="D26" s="141">
        <v>2021</v>
      </c>
      <c r="E26" s="137">
        <f>submetering!E26+submetering!F26+submetering!G26</f>
        <v>8074</v>
      </c>
      <c r="F26" s="134">
        <v>1.05</v>
      </c>
      <c r="G26" s="134">
        <f>'Consommation mensuel énergie'!V34</f>
        <v>319.99209999999999</v>
      </c>
      <c r="H26" s="134">
        <v>9.9649999999999999</v>
      </c>
      <c r="I26" s="134">
        <f>'Consommation mensuel énergie'!F34</f>
        <v>58.400000000023283</v>
      </c>
      <c r="J26" s="134">
        <v>11.4</v>
      </c>
      <c r="K26" s="137">
        <f>'Consommation mensuel énergie'!D34</f>
        <v>30</v>
      </c>
      <c r="L26" s="137">
        <f>'Consommation mensuel énergie'!E34</f>
        <v>44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12</v>
      </c>
      <c r="D27" s="141">
        <v>2021</v>
      </c>
      <c r="E27" s="137">
        <f>submetering!E27+submetering!F27+submetering!G27</f>
        <v>7858</v>
      </c>
      <c r="F27" s="134">
        <v>1.05</v>
      </c>
      <c r="G27" s="134">
        <f>'Consommation mensuel énergie'!V35</f>
        <v>127.99684000000001</v>
      </c>
      <c r="H27" s="134">
        <v>9.9649999999999999</v>
      </c>
      <c r="I27" s="134">
        <f>'Consommation mensuel énergie'!F35</f>
        <v>70.099999999976717</v>
      </c>
      <c r="J27" s="134">
        <v>11.4</v>
      </c>
      <c r="K27" s="137">
        <f>'Consommation mensuel énergie'!D35</f>
        <v>21</v>
      </c>
      <c r="L27" s="137">
        <f>'Consommation mensuel énergie'!E35</f>
        <v>43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12</v>
      </c>
      <c r="D28" s="141">
        <v>2021</v>
      </c>
      <c r="E28" s="137">
        <f>submetering!E28+submetering!F28+submetering!G28</f>
        <v>7626</v>
      </c>
      <c r="F28" s="134">
        <v>1.05</v>
      </c>
      <c r="G28" s="134">
        <f>'Consommation mensuel énergie'!V36</f>
        <v>479.98815000000002</v>
      </c>
      <c r="H28" s="134">
        <v>9.9649999999999999</v>
      </c>
      <c r="I28" s="134">
        <f>'Consommation mensuel énergie'!F36</f>
        <v>62.200000000011642</v>
      </c>
      <c r="J28" s="134">
        <v>11.4</v>
      </c>
      <c r="K28" s="137">
        <f>'Consommation mensuel énergie'!D36</f>
        <v>11</v>
      </c>
      <c r="L28" s="137">
        <f>'Consommation mensuel énergie'!E36</f>
        <v>25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12</v>
      </c>
      <c r="D29" s="141">
        <v>2021</v>
      </c>
      <c r="E29" s="137">
        <f>submetering!E29+submetering!F29+submetering!G29</f>
        <v>7355</v>
      </c>
      <c r="F29" s="134">
        <v>1.05</v>
      </c>
      <c r="G29" s="134">
        <f>'Consommation mensuel énergie'!V37</f>
        <v>351.99131</v>
      </c>
      <c r="H29" s="134">
        <v>9.9649999999999999</v>
      </c>
      <c r="I29" s="134">
        <f>'Consommation mensuel énergie'!F37</f>
        <v>38.799999999988358</v>
      </c>
      <c r="J29" s="134">
        <v>11.4</v>
      </c>
      <c r="K29" s="137">
        <f>'Consommation mensuel énergie'!D37</f>
        <v>19</v>
      </c>
      <c r="L29" s="137">
        <f>'Consommation mensuel énergie'!E37</f>
        <v>43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12</v>
      </c>
      <c r="D30" s="141">
        <v>2021</v>
      </c>
      <c r="E30" s="137">
        <f>submetering!E30+submetering!F30+submetering!G30</f>
        <v>7568</v>
      </c>
      <c r="F30" s="134">
        <v>1.05</v>
      </c>
      <c r="G30" s="134">
        <f>'Consommation mensuel énergie'!V38</f>
        <v>319.99209999999999</v>
      </c>
      <c r="H30" s="134">
        <v>9.9649999999999999</v>
      </c>
      <c r="I30" s="134">
        <f>'Consommation mensuel énergie'!F38</f>
        <v>61.800000000017462</v>
      </c>
      <c r="J30" s="134">
        <v>11.4</v>
      </c>
      <c r="K30" s="137">
        <f>'Consommation mensuel énergie'!D38</f>
        <v>32</v>
      </c>
      <c r="L30" s="137">
        <f>'Consommation mensuel énergie'!E38</f>
        <v>28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12</v>
      </c>
      <c r="D31" s="141">
        <v>2021</v>
      </c>
      <c r="E31" s="137">
        <f>submetering!E31+submetering!F31+submetering!G31</f>
        <v>7532</v>
      </c>
      <c r="F31" s="134">
        <v>1.05</v>
      </c>
      <c r="G31" s="134">
        <f>'Consommation mensuel énergie'!V39</f>
        <v>255.99368000000001</v>
      </c>
      <c r="H31" s="134">
        <v>9.9649999999999999</v>
      </c>
      <c r="I31" s="134">
        <f>'Consommation mensuel énergie'!F39</f>
        <v>80.5</v>
      </c>
      <c r="J31" s="134">
        <v>11.4</v>
      </c>
      <c r="K31" s="137">
        <f>'Consommation mensuel énergie'!D39</f>
        <v>19</v>
      </c>
      <c r="L31" s="137">
        <f>'Consommation mensuel énergie'!E39</f>
        <v>44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12</v>
      </c>
      <c r="D32" s="141">
        <v>2021</v>
      </c>
      <c r="E32" s="137">
        <f>submetering!E32+submetering!F32+submetering!G32</f>
        <v>7638</v>
      </c>
      <c r="F32" s="134">
        <v>1.05</v>
      </c>
      <c r="G32" s="134">
        <f>'Consommation mensuel énergie'!V40</f>
        <v>351.99131</v>
      </c>
      <c r="H32" s="134">
        <v>9.9649999999999999</v>
      </c>
      <c r="I32" s="134">
        <f>'Consommation mensuel énergie'!F40</f>
        <v>41.600000000005821</v>
      </c>
      <c r="J32" s="134">
        <v>11.4</v>
      </c>
      <c r="K32" s="137">
        <f>'Consommation mensuel énergie'!D40</f>
        <v>14</v>
      </c>
      <c r="L32" s="137">
        <f>'Consommation mensuel énergie'!E40</f>
        <v>32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H2" sqref="H2:H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12</v>
      </c>
      <c r="D2" s="141">
        <v>2021</v>
      </c>
      <c r="E2" s="137">
        <f>'Consommation mensuel énergie'!L10</f>
        <v>3423</v>
      </c>
      <c r="F2" s="137">
        <f>'Consommation mensuel énergie'!M10</f>
        <v>5315</v>
      </c>
      <c r="G2" s="137">
        <f>'Consommation mensuel énergie'!N10</f>
        <v>2185</v>
      </c>
      <c r="H2" s="137">
        <f>'Consommation mensuel énergie'!D10</f>
        <v>42</v>
      </c>
      <c r="I2" s="137">
        <f>'Consommation mensuel énergie'!E10</f>
        <v>59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12</v>
      </c>
      <c r="D3" s="141">
        <v>2021</v>
      </c>
      <c r="E3" s="137">
        <f>'Consommation mensuel énergie'!L11</f>
        <v>3375</v>
      </c>
      <c r="F3" s="137">
        <f>'Consommation mensuel énergie'!M11</f>
        <v>4977</v>
      </c>
      <c r="G3" s="137">
        <f>'Consommation mensuel énergie'!N11</f>
        <v>2203</v>
      </c>
      <c r="H3" s="137">
        <f>'Consommation mensuel énergie'!D11</f>
        <v>43</v>
      </c>
      <c r="I3" s="137">
        <f>'Consommation mensuel énergie'!E11</f>
        <v>63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12</v>
      </c>
      <c r="D4" s="141">
        <v>2021</v>
      </c>
      <c r="E4" s="137">
        <f>'Consommation mensuel énergie'!L12</f>
        <v>3397</v>
      </c>
      <c r="F4" s="137">
        <f>'Consommation mensuel énergie'!M12</f>
        <v>4591</v>
      </c>
      <c r="G4" s="137">
        <f>'Consommation mensuel énergie'!N12</f>
        <v>2192</v>
      </c>
      <c r="H4" s="137">
        <f>'Consommation mensuel énergie'!D12</f>
        <v>32</v>
      </c>
      <c r="I4" s="137">
        <f>'Consommation mensuel énergie'!E12</f>
        <v>49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12</v>
      </c>
      <c r="D5" s="141">
        <v>2021</v>
      </c>
      <c r="E5" s="137">
        <f>'Consommation mensuel énergie'!L13</f>
        <v>3041</v>
      </c>
      <c r="F5" s="137">
        <f>'Consommation mensuel énergie'!M13</f>
        <v>4195</v>
      </c>
      <c r="G5" s="137">
        <f>'Consommation mensuel énergie'!N13</f>
        <v>1913</v>
      </c>
      <c r="H5" s="137">
        <f>'Consommation mensuel énergie'!D13</f>
        <v>39</v>
      </c>
      <c r="I5" s="137">
        <f>'Consommation mensuel énergie'!E13</f>
        <v>71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12</v>
      </c>
      <c r="D6" s="141">
        <v>2021</v>
      </c>
      <c r="E6" s="137">
        <f>'Consommation mensuel énergie'!L14</f>
        <v>2893</v>
      </c>
      <c r="F6" s="137">
        <f>'Consommation mensuel énergie'!M14</f>
        <v>4245</v>
      </c>
      <c r="G6" s="137">
        <f>'Consommation mensuel énergie'!N14</f>
        <v>1983</v>
      </c>
      <c r="H6" s="137">
        <f>'Consommation mensuel énergie'!D14</f>
        <v>26</v>
      </c>
      <c r="I6" s="137">
        <f>'Consommation mensuel énergie'!E14</f>
        <v>37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12</v>
      </c>
      <c r="D7" s="141">
        <v>2021</v>
      </c>
      <c r="E7" s="137">
        <f>'Consommation mensuel énergie'!L15</f>
        <v>2890</v>
      </c>
      <c r="F7" s="137">
        <f>'Consommation mensuel énergie'!M15</f>
        <v>4030</v>
      </c>
      <c r="G7" s="137">
        <f>'Consommation mensuel énergie'!N15</f>
        <v>1903</v>
      </c>
      <c r="H7" s="137">
        <f>'Consommation mensuel énergie'!D15</f>
        <v>19</v>
      </c>
      <c r="I7" s="137">
        <f>'Consommation mensuel énergie'!E15</f>
        <v>27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12</v>
      </c>
      <c r="D8" s="141">
        <v>2021</v>
      </c>
      <c r="E8" s="137">
        <f>'Consommation mensuel énergie'!L16</f>
        <v>2901</v>
      </c>
      <c r="F8" s="137">
        <f>'Consommation mensuel énergie'!M16</f>
        <v>4036</v>
      </c>
      <c r="G8" s="137">
        <f>'Consommation mensuel énergie'!N16</f>
        <v>1815</v>
      </c>
      <c r="H8" s="137">
        <f>'Consommation mensuel énergie'!D16</f>
        <v>15</v>
      </c>
      <c r="I8" s="137">
        <f>'Consommation mensuel énergie'!E16</f>
        <v>21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12</v>
      </c>
      <c r="D9" s="141">
        <v>2021</v>
      </c>
      <c r="E9" s="137">
        <f>'Consommation mensuel énergie'!L17</f>
        <v>2753</v>
      </c>
      <c r="F9" s="137">
        <f>'Consommation mensuel énergie'!M17</f>
        <v>3746</v>
      </c>
      <c r="G9" s="137">
        <f>'Consommation mensuel énergie'!N17</f>
        <v>1546</v>
      </c>
      <c r="H9" s="137">
        <f>'Consommation mensuel énergie'!D17</f>
        <v>8</v>
      </c>
      <c r="I9" s="137">
        <f>'Consommation mensuel énergie'!E17</f>
        <v>12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12</v>
      </c>
      <c r="D10" s="141">
        <v>2021</v>
      </c>
      <c r="E10" s="137">
        <f>'Consommation mensuel énergie'!L18</f>
        <v>2727</v>
      </c>
      <c r="F10" s="137">
        <f>'Consommation mensuel énergie'!M18</f>
        <v>3928</v>
      </c>
      <c r="G10" s="137">
        <f>'Consommation mensuel énergie'!N18</f>
        <v>1887</v>
      </c>
      <c r="H10" s="137">
        <f>'Consommation mensuel énergie'!D18</f>
        <v>11</v>
      </c>
      <c r="I10" s="137">
        <f>'Consommation mensuel énergie'!E18</f>
        <v>16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12</v>
      </c>
      <c r="D11" s="141">
        <v>2021</v>
      </c>
      <c r="E11" s="137">
        <f>'Consommation mensuel énergie'!L19</f>
        <v>2826</v>
      </c>
      <c r="F11" s="137">
        <f>'Consommation mensuel énergie'!M19</f>
        <v>3807</v>
      </c>
      <c r="G11" s="137">
        <f>'Consommation mensuel énergie'!N19</f>
        <v>1739</v>
      </c>
      <c r="H11" s="137">
        <f>'Consommation mensuel énergie'!D19</f>
        <v>14</v>
      </c>
      <c r="I11" s="137">
        <f>'Consommation mensuel énergie'!E19</f>
        <v>24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12</v>
      </c>
      <c r="D12" s="141">
        <v>2021</v>
      </c>
      <c r="E12" s="137">
        <f>'Consommation mensuel énergie'!L20</f>
        <v>2681</v>
      </c>
      <c r="F12" s="137">
        <f>'Consommation mensuel énergie'!M20</f>
        <v>3705</v>
      </c>
      <c r="G12" s="137">
        <f>'Consommation mensuel énergie'!N20</f>
        <v>1649</v>
      </c>
      <c r="H12" s="137">
        <f>'Consommation mensuel énergie'!D20</f>
        <v>28</v>
      </c>
      <c r="I12" s="137">
        <f>'Consommation mensuel énergie'!E20</f>
        <v>55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12</v>
      </c>
      <c r="D13" s="141">
        <v>2021</v>
      </c>
      <c r="E13" s="137">
        <f>'Consommation mensuel énergie'!L21</f>
        <v>2765</v>
      </c>
      <c r="F13" s="137">
        <f>'Consommation mensuel énergie'!M21</f>
        <v>3389</v>
      </c>
      <c r="G13" s="137">
        <f>'Consommation mensuel énergie'!N21</f>
        <v>1598</v>
      </c>
      <c r="H13" s="137">
        <f>'Consommation mensuel énergie'!D21</f>
        <v>14</v>
      </c>
      <c r="I13" s="137">
        <f>'Consommation mensuel énergie'!E21</f>
        <v>24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12</v>
      </c>
      <c r="D14" s="141">
        <v>2021</v>
      </c>
      <c r="E14" s="137">
        <f>'Consommation mensuel énergie'!L22</f>
        <v>2771</v>
      </c>
      <c r="F14" s="137">
        <f>'Consommation mensuel énergie'!M22</f>
        <v>3503</v>
      </c>
      <c r="G14" s="137">
        <f>'Consommation mensuel énergie'!N22</f>
        <v>1617</v>
      </c>
      <c r="H14" s="137">
        <f>'Consommation mensuel énergie'!D22</f>
        <v>12</v>
      </c>
      <c r="I14" s="137">
        <f>'Consommation mensuel énergie'!E22</f>
        <v>23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12</v>
      </c>
      <c r="D15" s="141">
        <v>2021</v>
      </c>
      <c r="E15" s="137">
        <f>'Consommation mensuel énergie'!L23</f>
        <v>2051</v>
      </c>
      <c r="F15" s="137">
        <f>'Consommation mensuel énergie'!M23</f>
        <v>3453</v>
      </c>
      <c r="G15" s="137">
        <f>'Consommation mensuel énergie'!N23</f>
        <v>1630</v>
      </c>
      <c r="H15" s="137">
        <f>'Consommation mensuel énergie'!D23</f>
        <v>11</v>
      </c>
      <c r="I15" s="137">
        <f>'Consommation mensuel énergie'!E23</f>
        <v>22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12</v>
      </c>
      <c r="D16" s="141">
        <v>2021</v>
      </c>
      <c r="E16" s="137">
        <f>'Consommation mensuel énergie'!L24</f>
        <v>2489</v>
      </c>
      <c r="F16" s="137">
        <f>'Consommation mensuel énergie'!M24</f>
        <v>3611</v>
      </c>
      <c r="G16" s="137">
        <f>'Consommation mensuel énergie'!N24</f>
        <v>1693</v>
      </c>
      <c r="H16" s="137">
        <f>'Consommation mensuel énergie'!D24</f>
        <v>11</v>
      </c>
      <c r="I16" s="137">
        <f>'Consommation mensuel énergie'!E24</f>
        <v>20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12</v>
      </c>
      <c r="D17" s="141">
        <v>2021</v>
      </c>
      <c r="E17" s="137">
        <f>'Consommation mensuel énergie'!L25</f>
        <v>2765</v>
      </c>
      <c r="F17" s="137">
        <f>'Consommation mensuel énergie'!M25</f>
        <v>3982</v>
      </c>
      <c r="G17" s="137">
        <f>'Consommation mensuel énergie'!N25</f>
        <v>1891</v>
      </c>
      <c r="H17" s="137">
        <f>'Consommation mensuel énergie'!D25</f>
        <v>19</v>
      </c>
      <c r="I17" s="137">
        <f>'Consommation mensuel énergie'!E25</f>
        <v>31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12</v>
      </c>
      <c r="D18" s="141">
        <v>2021</v>
      </c>
      <c r="E18" s="137">
        <f>'Consommation mensuel énergie'!L26</f>
        <v>2723</v>
      </c>
      <c r="F18" s="137">
        <f>'Consommation mensuel énergie'!M26</f>
        <v>3811</v>
      </c>
      <c r="G18" s="137">
        <f>'Consommation mensuel énergie'!N26</f>
        <v>1680</v>
      </c>
      <c r="H18" s="137">
        <f>'Consommation mensuel énergie'!D26</f>
        <v>22</v>
      </c>
      <c r="I18" s="137">
        <f>'Consommation mensuel énergie'!E26</f>
        <v>38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12</v>
      </c>
      <c r="D19" s="141">
        <v>2021</v>
      </c>
      <c r="E19" s="137">
        <f>'Consommation mensuel énergie'!L27</f>
        <v>2566</v>
      </c>
      <c r="F19" s="137">
        <f>'Consommation mensuel énergie'!M27</f>
        <v>3589</v>
      </c>
      <c r="G19" s="137">
        <f>'Consommation mensuel énergie'!N27</f>
        <v>1650</v>
      </c>
      <c r="H19" s="137">
        <f>'Consommation mensuel énergie'!D27</f>
        <v>21</v>
      </c>
      <c r="I19" s="137">
        <f>'Consommation mensuel énergie'!E27</f>
        <v>38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12</v>
      </c>
      <c r="D20" s="141">
        <v>2021</v>
      </c>
      <c r="E20" s="137">
        <f>'Consommation mensuel énergie'!L28</f>
        <v>2664</v>
      </c>
      <c r="F20" s="137">
        <f>'Consommation mensuel énergie'!M28</f>
        <v>3555</v>
      </c>
      <c r="G20" s="137">
        <f>'Consommation mensuel énergie'!N28</f>
        <v>1967</v>
      </c>
      <c r="H20" s="137">
        <f>'Consommation mensuel énergie'!D28</f>
        <v>18</v>
      </c>
      <c r="I20" s="137">
        <f>'Consommation mensuel énergie'!E28</f>
        <v>26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12</v>
      </c>
      <c r="D21" s="141">
        <v>2021</v>
      </c>
      <c r="E21" s="137">
        <f>'Consommation mensuel énergie'!L29</f>
        <v>2552</v>
      </c>
      <c r="F21" s="137">
        <f>'Consommation mensuel énergie'!M29</f>
        <v>3406</v>
      </c>
      <c r="G21" s="137">
        <f>'Consommation mensuel énergie'!N29</f>
        <v>1602</v>
      </c>
      <c r="H21" s="137">
        <f>'Consommation mensuel énergie'!D29</f>
        <v>8</v>
      </c>
      <c r="I21" s="137">
        <f>'Consommation mensuel énergie'!E29</f>
        <v>14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12</v>
      </c>
      <c r="D22" s="141">
        <v>2021</v>
      </c>
      <c r="E22" s="137">
        <f>'Consommation mensuel énergie'!L30</f>
        <v>2427</v>
      </c>
      <c r="F22" s="137">
        <f>'Consommation mensuel énergie'!M30</f>
        <v>3384</v>
      </c>
      <c r="G22" s="137">
        <f>'Consommation mensuel énergie'!N30</f>
        <v>1517</v>
      </c>
      <c r="H22" s="137">
        <f>'Consommation mensuel énergie'!D30</f>
        <v>11</v>
      </c>
      <c r="I22" s="137">
        <f>'Consommation mensuel énergie'!E30</f>
        <v>16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12</v>
      </c>
      <c r="D23" s="141">
        <v>2021</v>
      </c>
      <c r="E23" s="137">
        <f>'Consommation mensuel énergie'!L31</f>
        <v>2848</v>
      </c>
      <c r="F23" s="137">
        <f>'Consommation mensuel énergie'!M31</f>
        <v>3407</v>
      </c>
      <c r="G23" s="137">
        <f>'Consommation mensuel énergie'!N31</f>
        <v>1616</v>
      </c>
      <c r="H23" s="137">
        <f>'Consommation mensuel énergie'!D31</f>
        <v>11</v>
      </c>
      <c r="I23" s="137">
        <f>'Consommation mensuel énergie'!E31</f>
        <v>18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12</v>
      </c>
      <c r="D24" s="141">
        <v>2021</v>
      </c>
      <c r="E24" s="137">
        <f>'Consommation mensuel énergie'!L32</f>
        <v>2702</v>
      </c>
      <c r="F24" s="137">
        <f>'Consommation mensuel énergie'!M32</f>
        <v>3831</v>
      </c>
      <c r="G24" s="137">
        <f>'Consommation mensuel énergie'!N32</f>
        <v>1824</v>
      </c>
      <c r="H24" s="137">
        <f>'Consommation mensuel énergie'!D32</f>
        <v>18</v>
      </c>
      <c r="I24" s="137">
        <f>'Consommation mensuel énergie'!E32</f>
        <v>33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12</v>
      </c>
      <c r="D25" s="141">
        <v>2021</v>
      </c>
      <c r="E25" s="137">
        <f>'Consommation mensuel énergie'!L33</f>
        <v>2589</v>
      </c>
      <c r="F25" s="137">
        <f>'Consommation mensuel énergie'!M33</f>
        <v>3586</v>
      </c>
      <c r="G25" s="137">
        <f>'Consommation mensuel énergie'!N33</f>
        <v>1702</v>
      </c>
      <c r="H25" s="137">
        <f>'Consommation mensuel énergie'!D33</f>
        <v>22</v>
      </c>
      <c r="I25" s="137">
        <f>'Consommation mensuel énergie'!E33</f>
        <v>33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12</v>
      </c>
      <c r="D26" s="141">
        <v>2021</v>
      </c>
      <c r="E26" s="137">
        <f>'Consommation mensuel énergie'!L34</f>
        <v>2674</v>
      </c>
      <c r="F26" s="137">
        <f>'Consommation mensuel énergie'!M34</f>
        <v>3624</v>
      </c>
      <c r="G26" s="137">
        <f>'Consommation mensuel énergie'!N34</f>
        <v>1776</v>
      </c>
      <c r="H26" s="137">
        <f>'Consommation mensuel énergie'!D34</f>
        <v>30</v>
      </c>
      <c r="I26" s="137">
        <f>'Consommation mensuel énergie'!E34</f>
        <v>44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12</v>
      </c>
      <c r="D27" s="141">
        <v>2021</v>
      </c>
      <c r="E27" s="137">
        <f>'Consommation mensuel énergie'!L35</f>
        <v>2620</v>
      </c>
      <c r="F27" s="137">
        <f>'Consommation mensuel énergie'!M35</f>
        <v>3598</v>
      </c>
      <c r="G27" s="137">
        <f>'Consommation mensuel énergie'!N35</f>
        <v>1640</v>
      </c>
      <c r="H27" s="137">
        <f>'Consommation mensuel énergie'!D35</f>
        <v>21</v>
      </c>
      <c r="I27" s="137">
        <f>'Consommation mensuel énergie'!E35</f>
        <v>43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12</v>
      </c>
      <c r="D28" s="141">
        <v>2021</v>
      </c>
      <c r="E28" s="137">
        <f>'Consommation mensuel énergie'!L36</f>
        <v>2582</v>
      </c>
      <c r="F28" s="137">
        <f>'Consommation mensuel énergie'!M36</f>
        <v>3430</v>
      </c>
      <c r="G28" s="137">
        <f>'Consommation mensuel énergie'!N36</f>
        <v>1614</v>
      </c>
      <c r="H28" s="137">
        <f>'Consommation mensuel énergie'!D36</f>
        <v>11</v>
      </c>
      <c r="I28" s="137">
        <f>'Consommation mensuel énergie'!E36</f>
        <v>25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12</v>
      </c>
      <c r="D29" s="141">
        <v>2021</v>
      </c>
      <c r="E29" s="137">
        <f>'Consommation mensuel énergie'!L37</f>
        <v>2462</v>
      </c>
      <c r="F29" s="137">
        <f>'Consommation mensuel énergie'!M37</f>
        <v>3343</v>
      </c>
      <c r="G29" s="137">
        <f>'Consommation mensuel énergie'!N37</f>
        <v>1550</v>
      </c>
      <c r="H29" s="137">
        <f>'Consommation mensuel énergie'!D37</f>
        <v>19</v>
      </c>
      <c r="I29" s="137">
        <f>'Consommation mensuel énergie'!E37</f>
        <v>43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12</v>
      </c>
      <c r="D30" s="141">
        <v>2021</v>
      </c>
      <c r="E30" s="137">
        <f>'Consommation mensuel énergie'!L38</f>
        <v>2533</v>
      </c>
      <c r="F30" s="137">
        <f>'Consommation mensuel énergie'!M38</f>
        <v>3428</v>
      </c>
      <c r="G30" s="137">
        <f>'Consommation mensuel énergie'!N38</f>
        <v>1607</v>
      </c>
      <c r="H30" s="137">
        <f>'Consommation mensuel énergie'!D38</f>
        <v>32</v>
      </c>
      <c r="I30" s="137">
        <f>'Consommation mensuel énergie'!E38</f>
        <v>28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12</v>
      </c>
      <c r="D31" s="141">
        <v>2021</v>
      </c>
      <c r="E31" s="137">
        <f>'Consommation mensuel énergie'!L39</f>
        <v>2516</v>
      </c>
      <c r="F31" s="137">
        <f>'Consommation mensuel énergie'!M39</f>
        <v>3418</v>
      </c>
      <c r="G31" s="137">
        <f>'Consommation mensuel énergie'!N39</f>
        <v>1598</v>
      </c>
      <c r="H31" s="137">
        <f>'Consommation mensuel énergie'!D39</f>
        <v>19</v>
      </c>
      <c r="I31" s="137">
        <f>'Consommation mensuel énergie'!E39</f>
        <v>44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12</v>
      </c>
      <c r="D32" s="141">
        <v>2021</v>
      </c>
      <c r="E32" s="137">
        <f>'Consommation mensuel énergie'!L40</f>
        <v>2619</v>
      </c>
      <c r="F32" s="137">
        <f>'Consommation mensuel énergie'!M40</f>
        <v>3400</v>
      </c>
      <c r="G32" s="137">
        <f>'Consommation mensuel énergie'!N40</f>
        <v>1619</v>
      </c>
      <c r="H32" s="137">
        <f>'Consommation mensuel énergie'!D40</f>
        <v>14</v>
      </c>
      <c r="I32" s="137">
        <f>'Consommation mensuel énergie'!E40</f>
        <v>32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21" activePane="bottomRight" state="frozen"/>
      <selection pane="topRight" activeCell="B21" sqref="A21:IV21"/>
      <selection pane="bottomLeft" activeCell="B21" sqref="A21:IV21"/>
      <selection pane="bottomRight" activeCell="L41" sqref="L41:N41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31"/>
      <c r="B2" s="232"/>
      <c r="C2" s="232"/>
      <c r="D2" s="232"/>
      <c r="E2" s="232"/>
      <c r="F2" s="232"/>
      <c r="G2" s="232"/>
      <c r="H2" s="233"/>
      <c r="I2" s="242" t="s">
        <v>17</v>
      </c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</row>
    <row r="3" spans="1:24" ht="15" hidden="1" customHeight="1" thickBot="1" x14ac:dyDescent="0.25"/>
    <row r="4" spans="1:24" ht="39" hidden="1" customHeight="1" thickBot="1" x14ac:dyDescent="0.25">
      <c r="A4" s="234"/>
      <c r="B4" s="234"/>
      <c r="C4" s="234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4"/>
      <c r="B5" s="234"/>
      <c r="C5" s="234"/>
      <c r="D5" s="5"/>
      <c r="E5" s="5"/>
      <c r="F5" s="5"/>
      <c r="G5" s="5"/>
      <c r="H5" s="5"/>
      <c r="I5" s="5"/>
      <c r="J5" s="5"/>
      <c r="K5" s="5"/>
      <c r="L5" s="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</row>
    <row r="6" spans="1:24" s="5" customFormat="1" ht="44.25" hidden="1" customHeight="1" thickBot="1" x14ac:dyDescent="0.25">
      <c r="A6" s="3"/>
      <c r="B6" s="3"/>
      <c r="C6" s="3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</row>
    <row r="7" spans="1:24" s="5" customFormat="1" ht="18.75" hidden="1" customHeight="1" thickBot="1" x14ac:dyDescent="0.25">
      <c r="F7" s="235"/>
      <c r="G7" s="235"/>
      <c r="H7" s="235"/>
      <c r="I7" s="235"/>
      <c r="J7" s="235"/>
      <c r="K7" s="235"/>
      <c r="L7" s="235"/>
      <c r="M7" s="235"/>
      <c r="N7" s="244"/>
      <c r="O7" s="244"/>
      <c r="P7" s="235"/>
      <c r="Q7" s="235"/>
      <c r="R7" s="235"/>
      <c r="S7" s="235"/>
      <c r="T7" s="235"/>
      <c r="U7" s="235"/>
      <c r="V7" s="235"/>
      <c r="W7" s="235"/>
      <c r="X7" s="235"/>
    </row>
    <row r="8" spans="1:24" ht="18.75" customHeight="1" thickBot="1" x14ac:dyDescent="0.25">
      <c r="A8" s="235"/>
      <c r="B8" s="246" t="s">
        <v>19</v>
      </c>
      <c r="C8" s="4"/>
      <c r="D8" s="206" t="s">
        <v>20</v>
      </c>
      <c r="E8" s="206" t="s">
        <v>21</v>
      </c>
      <c r="F8" s="229" t="s">
        <v>22</v>
      </c>
      <c r="G8" s="2"/>
      <c r="H8" s="236" t="s">
        <v>23</v>
      </c>
      <c r="I8" s="237"/>
      <c r="J8" s="238"/>
      <c r="K8" s="247" t="s">
        <v>24</v>
      </c>
      <c r="L8" s="228" t="s">
        <v>25</v>
      </c>
      <c r="M8" s="228"/>
      <c r="N8" s="228"/>
      <c r="O8" s="228" t="s">
        <v>26</v>
      </c>
      <c r="P8" s="2"/>
      <c r="Q8" s="208" t="s">
        <v>23</v>
      </c>
      <c r="R8" s="2"/>
      <c r="S8" s="208" t="s">
        <v>27</v>
      </c>
      <c r="T8" s="2"/>
      <c r="U8" s="208" t="s">
        <v>28</v>
      </c>
      <c r="V8" s="210" t="s">
        <v>29</v>
      </c>
      <c r="W8" s="2"/>
      <c r="X8" s="208" t="s">
        <v>23</v>
      </c>
    </row>
    <row r="9" spans="1:24" ht="59.25" customHeight="1" thickBot="1" x14ac:dyDescent="0.25">
      <c r="A9" s="235"/>
      <c r="B9" s="246"/>
      <c r="C9" s="4"/>
      <c r="D9" s="207"/>
      <c r="E9" s="207"/>
      <c r="F9" s="230"/>
      <c r="G9" s="2"/>
      <c r="H9" s="239"/>
      <c r="I9" s="240"/>
      <c r="J9" s="241"/>
      <c r="K9" s="248"/>
      <c r="L9" s="154" t="s">
        <v>30</v>
      </c>
      <c r="M9" s="154" t="s">
        <v>31</v>
      </c>
      <c r="N9" s="154" t="s">
        <v>32</v>
      </c>
      <c r="O9" s="245"/>
      <c r="P9" s="2"/>
      <c r="Q9" s="209"/>
      <c r="R9" s="2"/>
      <c r="S9" s="209"/>
      <c r="T9" s="2"/>
      <c r="U9" s="209"/>
      <c r="V9" s="211"/>
      <c r="W9" s="2"/>
      <c r="X9" s="209"/>
    </row>
    <row r="10" spans="1:24" ht="32.25" customHeight="1" x14ac:dyDescent="0.2">
      <c r="A10" s="2"/>
      <c r="B10" s="6">
        <v>44531</v>
      </c>
      <c r="C10" s="7"/>
      <c r="D10" s="143">
        <v>42</v>
      </c>
      <c r="E10" s="143">
        <v>59</v>
      </c>
      <c r="F10" s="13">
        <f>'Suivi EAU-ELEC'!E9</f>
        <v>82.799999999988358</v>
      </c>
      <c r="G10" s="11"/>
      <c r="H10" s="165">
        <f>F10*8.79</f>
        <v>727.81199999989758</v>
      </c>
      <c r="I10" s="166"/>
      <c r="J10" s="166"/>
      <c r="K10" s="60">
        <v>42278</v>
      </c>
      <c r="L10" s="90">
        <f>'Suivi EAU-ELEC'!G9</f>
        <v>3423</v>
      </c>
      <c r="M10" s="91">
        <f>'Suivi EAU-ELEC'!I9</f>
        <v>5315</v>
      </c>
      <c r="N10" s="91">
        <f>'Suivi EAU-ELEC'!K9</f>
        <v>2185</v>
      </c>
      <c r="O10" s="91">
        <f>L10+M10+N10</f>
        <v>10923</v>
      </c>
      <c r="P10" s="11"/>
      <c r="Q10" s="34">
        <f>L10*0.6985+M10*0.9514+N10*1.3304</f>
        <v>10354.5805</v>
      </c>
      <c r="R10" s="11"/>
      <c r="S10" s="28"/>
      <c r="T10" s="11"/>
      <c r="U10" s="28"/>
      <c r="V10" s="146">
        <f>'Suvi Gaz'!O4</f>
        <v>767.98104000000001</v>
      </c>
      <c r="W10" s="11"/>
      <c r="X10" s="34">
        <f>V10*11.565</f>
        <v>8881.7007276000004</v>
      </c>
    </row>
    <row r="11" spans="1:24" ht="32.25" customHeight="1" x14ac:dyDescent="0.2">
      <c r="A11" s="2"/>
      <c r="B11" s="6">
        <v>44532</v>
      </c>
      <c r="C11" s="7"/>
      <c r="D11" s="143">
        <v>43</v>
      </c>
      <c r="E11" s="143">
        <v>63</v>
      </c>
      <c r="F11" s="13">
        <f>'Suivi EAU-ELEC'!E10</f>
        <v>102.10000000000582</v>
      </c>
      <c r="G11" s="11"/>
      <c r="H11" s="165">
        <f t="shared" ref="H11:H21" si="0">F11*8.79</f>
        <v>897.45900000005111</v>
      </c>
      <c r="I11" s="166"/>
      <c r="J11" s="166"/>
      <c r="K11" s="60">
        <v>42279</v>
      </c>
      <c r="L11" s="90">
        <f>'Suivi EAU-ELEC'!G10</f>
        <v>3375</v>
      </c>
      <c r="M11" s="91">
        <f>'Suivi EAU-ELEC'!I10</f>
        <v>4977</v>
      </c>
      <c r="N11" s="91">
        <f>'Suivi EAU-ELEC'!K10</f>
        <v>2203</v>
      </c>
      <c r="O11" s="91">
        <f>L11+M11+N11</f>
        <v>10555</v>
      </c>
      <c r="P11" s="11"/>
      <c r="Q11" s="34">
        <f>L11*0.6985+M11*0.9514+N14*1.3304</f>
        <v>9730.7384999999995</v>
      </c>
      <c r="R11" s="11"/>
      <c r="S11" s="28"/>
      <c r="T11" s="11"/>
      <c r="U11" s="28"/>
      <c r="V11" s="146">
        <f>'Suvi Gaz'!O5</f>
        <v>191.99526</v>
      </c>
      <c r="W11" s="11"/>
      <c r="X11" s="34">
        <f t="shared" ref="X11:X40" si="1">V11*11.565</f>
        <v>2220.4251819000001</v>
      </c>
    </row>
    <row r="12" spans="1:24" ht="32.25" customHeight="1" x14ac:dyDescent="0.2">
      <c r="A12" s="2"/>
      <c r="B12" s="6">
        <v>44533</v>
      </c>
      <c r="C12" s="7"/>
      <c r="D12" s="143">
        <v>32</v>
      </c>
      <c r="E12" s="143">
        <v>49</v>
      </c>
      <c r="F12" s="13">
        <f>'Suivi EAU-ELEC'!E11</f>
        <v>99</v>
      </c>
      <c r="G12" s="11"/>
      <c r="H12" s="165">
        <f t="shared" si="0"/>
        <v>870.20999999999992</v>
      </c>
      <c r="I12" s="166"/>
      <c r="J12" s="166"/>
      <c r="K12" s="60">
        <v>42280</v>
      </c>
      <c r="L12" s="90">
        <f>'Suivi EAU-ELEC'!G11</f>
        <v>3397</v>
      </c>
      <c r="M12" s="91">
        <f>'Suivi EAU-ELEC'!I11</f>
        <v>4591</v>
      </c>
      <c r="N12" s="91">
        <f>'Suivi EAU-ELEC'!K11</f>
        <v>2192</v>
      </c>
      <c r="O12" s="91">
        <f>L12+M12+N12</f>
        <v>10180</v>
      </c>
      <c r="P12" s="11"/>
      <c r="Q12" s="34">
        <f>L12*0.6985+M12*0.9514+N12*1.3304</f>
        <v>9656.9187000000002</v>
      </c>
      <c r="R12" s="11"/>
      <c r="S12" s="28"/>
      <c r="T12" s="11"/>
      <c r="U12" s="28"/>
      <c r="V12" s="146">
        <f>'Suvi Gaz'!O6</f>
        <v>191.99526</v>
      </c>
      <c r="W12" s="11"/>
      <c r="X12" s="34">
        <f t="shared" si="1"/>
        <v>2220.4251819000001</v>
      </c>
    </row>
    <row r="13" spans="1:24" ht="32.25" customHeight="1" x14ac:dyDescent="0.2">
      <c r="A13" s="2"/>
      <c r="B13" s="6">
        <v>44534</v>
      </c>
      <c r="C13" s="7"/>
      <c r="D13" s="143">
        <v>39</v>
      </c>
      <c r="E13" s="143">
        <v>71</v>
      </c>
      <c r="F13" s="13">
        <f>'Suivi EAU-ELEC'!E12</f>
        <v>71.19999999999709</v>
      </c>
      <c r="G13" s="11"/>
      <c r="H13" s="165">
        <f t="shared" si="0"/>
        <v>625.84799999997438</v>
      </c>
      <c r="I13" s="166"/>
      <c r="J13" s="166"/>
      <c r="K13" s="60">
        <v>42281</v>
      </c>
      <c r="L13" s="90">
        <f>'Suivi EAU-ELEC'!G12</f>
        <v>3041</v>
      </c>
      <c r="M13" s="91">
        <f>'Suivi EAU-ELEC'!I12</f>
        <v>4195</v>
      </c>
      <c r="N13" s="91">
        <f>'Suivi EAU-ELEC'!K12</f>
        <v>1913</v>
      </c>
      <c r="O13" s="91">
        <f t="shared" ref="O13:O40" si="2">L13+M13+N13</f>
        <v>9149</v>
      </c>
      <c r="P13" s="11"/>
      <c r="Q13" s="34">
        <f t="shared" ref="Q13:Q40" si="3">L13*0.6985+M13*0.9514+N13*1.3304</f>
        <v>8660.3167000000012</v>
      </c>
      <c r="R13" s="11"/>
      <c r="S13" s="28"/>
      <c r="T13" s="11"/>
      <c r="U13" s="28"/>
      <c r="V13" s="146">
        <f>'Suvi Gaz'!O7</f>
        <v>255.99368000000001</v>
      </c>
      <c r="W13" s="11"/>
      <c r="X13" s="34">
        <f t="shared" si="1"/>
        <v>2960.5669091999998</v>
      </c>
    </row>
    <row r="14" spans="1:24" ht="32.25" customHeight="1" x14ac:dyDescent="0.2">
      <c r="A14" s="2"/>
      <c r="B14" s="6">
        <v>44535</v>
      </c>
      <c r="C14" s="7"/>
      <c r="D14" s="143">
        <v>26</v>
      </c>
      <c r="E14" s="143">
        <v>37</v>
      </c>
      <c r="F14" s="13">
        <f>'Suivi EAU-ELEC'!E13</f>
        <v>76.69999999999709</v>
      </c>
      <c r="G14" s="12"/>
      <c r="H14" s="165">
        <f t="shared" si="0"/>
        <v>674.1929999999744</v>
      </c>
      <c r="I14" s="166"/>
      <c r="J14" s="166"/>
      <c r="K14" s="60">
        <v>42282</v>
      </c>
      <c r="L14" s="90">
        <f>'Suivi EAU-ELEC'!G13</f>
        <v>2893</v>
      </c>
      <c r="M14" s="91">
        <f>'Suivi EAU-ELEC'!I13</f>
        <v>4245</v>
      </c>
      <c r="N14" s="91">
        <f>'Suivi EAU-ELEC'!K13</f>
        <v>1983</v>
      </c>
      <c r="O14" s="91">
        <f t="shared" si="2"/>
        <v>9121</v>
      </c>
      <c r="P14" s="12"/>
      <c r="Q14" s="34">
        <f t="shared" si="3"/>
        <v>8697.6367000000009</v>
      </c>
      <c r="R14" s="12"/>
      <c r="S14" s="28"/>
      <c r="T14" s="12"/>
      <c r="U14" s="28"/>
      <c r="V14" s="146">
        <f>'Suvi Gaz'!O8</f>
        <v>543.98657000000003</v>
      </c>
      <c r="W14" s="11"/>
      <c r="X14" s="34">
        <f t="shared" si="1"/>
        <v>6291.20468205</v>
      </c>
    </row>
    <row r="15" spans="1:24" ht="32.25" customHeight="1" x14ac:dyDescent="0.2">
      <c r="A15" s="5"/>
      <c r="B15" s="6">
        <v>44536</v>
      </c>
      <c r="C15" s="7"/>
      <c r="D15" s="143">
        <v>19</v>
      </c>
      <c r="E15" s="143">
        <v>27</v>
      </c>
      <c r="F15" s="13">
        <f>'Suivi EAU-ELEC'!E14</f>
        <v>93</v>
      </c>
      <c r="G15" s="11"/>
      <c r="H15" s="165">
        <f t="shared" si="0"/>
        <v>817.46999999999991</v>
      </c>
      <c r="I15" s="166"/>
      <c r="J15" s="166"/>
      <c r="K15" s="60">
        <v>42283</v>
      </c>
      <c r="L15" s="90">
        <f>'Suivi EAU-ELEC'!G14</f>
        <v>2890</v>
      </c>
      <c r="M15" s="91">
        <f>'Suivi EAU-ELEC'!I14</f>
        <v>4030</v>
      </c>
      <c r="N15" s="91">
        <f>'Suivi EAU-ELEC'!K14</f>
        <v>1903</v>
      </c>
      <c r="O15" s="91">
        <f t="shared" si="2"/>
        <v>8823</v>
      </c>
      <c r="P15" s="12"/>
      <c r="Q15" s="34">
        <f>L15*0.6985+M15*0.9514+N15*1.3304</f>
        <v>8384.5582000000013</v>
      </c>
      <c r="R15" s="12"/>
      <c r="S15" s="28"/>
      <c r="T15" s="12"/>
      <c r="U15" s="28"/>
      <c r="V15" s="146">
        <f>'Suvi Gaz'!O9</f>
        <v>223.99447000000001</v>
      </c>
      <c r="W15" s="11"/>
      <c r="X15" s="34">
        <f t="shared" si="1"/>
        <v>2590.49604555</v>
      </c>
    </row>
    <row r="16" spans="1:24" ht="32.25" customHeight="1" x14ac:dyDescent="0.2">
      <c r="A16" s="5"/>
      <c r="B16" s="6">
        <v>44537</v>
      </c>
      <c r="C16" s="7"/>
      <c r="D16" s="143">
        <v>15</v>
      </c>
      <c r="E16" s="143">
        <v>21</v>
      </c>
      <c r="F16" s="13">
        <f>'Suivi EAU-ELEC'!E15</f>
        <v>93.200000000011642</v>
      </c>
      <c r="G16" s="11"/>
      <c r="H16" s="165">
        <f t="shared" si="0"/>
        <v>819.22800000010227</v>
      </c>
      <c r="I16" s="166"/>
      <c r="J16" s="166"/>
      <c r="K16" s="60">
        <v>42284</v>
      </c>
      <c r="L16" s="90">
        <f>'Suivi EAU-ELEC'!G15</f>
        <v>2901</v>
      </c>
      <c r="M16" s="91">
        <f>'Suivi EAU-ELEC'!I15</f>
        <v>4036</v>
      </c>
      <c r="N16" s="91">
        <f>'Suivi EAU-ELEC'!K15</f>
        <v>1815</v>
      </c>
      <c r="O16" s="91">
        <f t="shared" si="2"/>
        <v>8752</v>
      </c>
      <c r="P16" s="11"/>
      <c r="Q16" s="34">
        <f t="shared" si="3"/>
        <v>8280.8749000000007</v>
      </c>
      <c r="R16" s="11"/>
      <c r="S16" s="28"/>
      <c r="T16" s="11"/>
      <c r="U16" s="28"/>
      <c r="V16" s="146">
        <f>'Suvi Gaz'!O10</f>
        <v>95.997630000000001</v>
      </c>
      <c r="W16" s="11"/>
      <c r="X16" s="34">
        <f t="shared" si="1"/>
        <v>1110.21259095</v>
      </c>
    </row>
    <row r="17" spans="1:24" s="5" customFormat="1" ht="32.25" customHeight="1" x14ac:dyDescent="0.2">
      <c r="A17" s="2"/>
      <c r="B17" s="6">
        <v>44538</v>
      </c>
      <c r="C17" s="7"/>
      <c r="D17" s="143">
        <v>8</v>
      </c>
      <c r="E17" s="143">
        <v>12</v>
      </c>
      <c r="F17" s="13">
        <f>'Suivi EAU-ELEC'!E16</f>
        <v>75.100000000005821</v>
      </c>
      <c r="G17" s="11"/>
      <c r="H17" s="165">
        <f t="shared" si="0"/>
        <v>660.12900000005106</v>
      </c>
      <c r="I17" s="166"/>
      <c r="J17" s="166"/>
      <c r="K17" s="60">
        <v>42285</v>
      </c>
      <c r="L17" s="90">
        <f>'Suivi EAU-ELEC'!G16</f>
        <v>2753</v>
      </c>
      <c r="M17" s="91">
        <f>'Suivi EAU-ELEC'!I16</f>
        <v>3746</v>
      </c>
      <c r="N17" s="91">
        <f>'Suivi EAU-ELEC'!K16</f>
        <v>1546</v>
      </c>
      <c r="O17" s="91">
        <f t="shared" si="2"/>
        <v>8045</v>
      </c>
      <c r="P17" s="12"/>
      <c r="Q17" s="34">
        <f t="shared" si="3"/>
        <v>7543.7133000000013</v>
      </c>
      <c r="R17" s="12"/>
      <c r="S17" s="28"/>
      <c r="T17" s="12"/>
      <c r="U17" s="28"/>
      <c r="V17" s="146">
        <f>'Suvi Gaz'!O11</f>
        <v>383.99052</v>
      </c>
      <c r="W17" s="11"/>
      <c r="X17" s="34">
        <f t="shared" si="1"/>
        <v>4440.8503638000002</v>
      </c>
    </row>
    <row r="18" spans="1:24" ht="32.25" customHeight="1" x14ac:dyDescent="0.2">
      <c r="A18" s="2"/>
      <c r="B18" s="6">
        <v>44539</v>
      </c>
      <c r="C18" s="7"/>
      <c r="D18" s="143">
        <v>11</v>
      </c>
      <c r="E18" s="143">
        <v>16</v>
      </c>
      <c r="F18" s="13">
        <f>'Suivi EAU-ELEC'!E17</f>
        <v>77.599999999976717</v>
      </c>
      <c r="G18" s="11"/>
      <c r="H18" s="165">
        <f t="shared" si="0"/>
        <v>682.10399999979529</v>
      </c>
      <c r="I18" s="166"/>
      <c r="J18" s="166"/>
      <c r="K18" s="60">
        <v>42286</v>
      </c>
      <c r="L18" s="90">
        <f>'Suivi EAU-ELEC'!G17</f>
        <v>2727</v>
      </c>
      <c r="M18" s="91">
        <f>'Suivi EAU-ELEC'!I17</f>
        <v>3928</v>
      </c>
      <c r="N18" s="91">
        <f>'Suivi EAU-ELEC'!K17</f>
        <v>1887</v>
      </c>
      <c r="O18" s="91">
        <f t="shared" si="2"/>
        <v>8542</v>
      </c>
      <c r="P18" s="12"/>
      <c r="Q18" s="34">
        <f t="shared" si="3"/>
        <v>8152.3734999999997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3330.6377728499997</v>
      </c>
    </row>
    <row r="19" spans="1:24" ht="32.25" customHeight="1" x14ac:dyDescent="0.2">
      <c r="A19" s="2"/>
      <c r="B19" s="6">
        <v>44540</v>
      </c>
      <c r="C19" s="7"/>
      <c r="D19" s="143">
        <v>14</v>
      </c>
      <c r="E19" s="143">
        <v>24</v>
      </c>
      <c r="F19" s="13">
        <f>'Suivi EAU-ELEC'!E18</f>
        <v>71.800000000017462</v>
      </c>
      <c r="G19" s="12"/>
      <c r="H19" s="165">
        <f t="shared" si="0"/>
        <v>631.12200000015343</v>
      </c>
      <c r="I19" s="166"/>
      <c r="J19" s="166"/>
      <c r="K19" s="60">
        <v>42287</v>
      </c>
      <c r="L19" s="90">
        <f>'Suivi EAU-ELEC'!G18</f>
        <v>2826</v>
      </c>
      <c r="M19" s="91">
        <f>'Suivi EAU-ELEC'!I18</f>
        <v>3807</v>
      </c>
      <c r="N19" s="91">
        <f>'Suivi EAU-ELEC'!K18</f>
        <v>1739</v>
      </c>
      <c r="O19" s="91">
        <f t="shared" si="2"/>
        <v>8372</v>
      </c>
      <c r="P19" s="12"/>
      <c r="Q19" s="34">
        <f t="shared" si="3"/>
        <v>7909.5064000000002</v>
      </c>
      <c r="R19" s="12"/>
      <c r="S19" s="28"/>
      <c r="T19" s="12"/>
      <c r="U19" s="28"/>
      <c r="V19" s="146">
        <f>'Suvi Gaz'!O13</f>
        <v>159.99605</v>
      </c>
      <c r="W19" s="11"/>
      <c r="X19" s="34">
        <f t="shared" si="1"/>
        <v>1850.3543182499998</v>
      </c>
    </row>
    <row r="20" spans="1:24" ht="32.25" customHeight="1" x14ac:dyDescent="0.2">
      <c r="A20" s="2"/>
      <c r="B20" s="6">
        <v>44541</v>
      </c>
      <c r="C20" s="7"/>
      <c r="D20" s="143">
        <v>28</v>
      </c>
      <c r="E20" s="143">
        <v>55</v>
      </c>
      <c r="F20" s="13">
        <f>'Suivi EAU-ELEC'!E19</f>
        <v>62.5</v>
      </c>
      <c r="G20" s="12"/>
      <c r="H20" s="165">
        <f t="shared" si="0"/>
        <v>549.375</v>
      </c>
      <c r="I20" s="166"/>
      <c r="J20" s="166"/>
      <c r="K20" s="60">
        <v>42288</v>
      </c>
      <c r="L20" s="90">
        <f>'Suivi EAU-ELEC'!G19</f>
        <v>2681</v>
      </c>
      <c r="M20" s="91">
        <f>'Suivi EAU-ELEC'!I19</f>
        <v>3705</v>
      </c>
      <c r="N20" s="91">
        <f>'Suivi EAU-ELEC'!K19</f>
        <v>1649</v>
      </c>
      <c r="O20" s="91">
        <f t="shared" si="2"/>
        <v>8035</v>
      </c>
      <c r="P20" s="12"/>
      <c r="Q20" s="34">
        <f t="shared" si="3"/>
        <v>7591.4450999999999</v>
      </c>
      <c r="R20" s="12"/>
      <c r="S20" s="28"/>
      <c r="T20" s="12"/>
      <c r="U20" s="28"/>
      <c r="V20" s="146">
        <f>'Suvi Gaz'!O14</f>
        <v>319.99209999999999</v>
      </c>
      <c r="W20" s="11"/>
      <c r="X20" s="34">
        <f t="shared" si="1"/>
        <v>3700.7086364999996</v>
      </c>
    </row>
    <row r="21" spans="1:24" ht="32.25" customHeight="1" x14ac:dyDescent="0.2">
      <c r="A21" s="2"/>
      <c r="B21" s="6">
        <v>44542</v>
      </c>
      <c r="C21" s="7"/>
      <c r="D21" s="143">
        <v>14</v>
      </c>
      <c r="E21" s="143">
        <v>24</v>
      </c>
      <c r="F21" s="13">
        <f>'Suivi EAU-ELEC'!E20</f>
        <v>58.399999999994179</v>
      </c>
      <c r="G21" s="12"/>
      <c r="H21" s="165">
        <f t="shared" si="0"/>
        <v>513.33599999994874</v>
      </c>
      <c r="I21" s="166"/>
      <c r="J21" s="166"/>
      <c r="K21" s="60">
        <v>42289</v>
      </c>
      <c r="L21" s="90">
        <f>'Suivi EAU-ELEC'!G20</f>
        <v>2765</v>
      </c>
      <c r="M21" s="91">
        <f>'Suivi EAU-ELEC'!I20</f>
        <v>3389</v>
      </c>
      <c r="N21" s="91">
        <f>'Suivi EAU-ELEC'!K20</f>
        <v>1598</v>
      </c>
      <c r="O21" s="91">
        <f>L21+M21+N21</f>
        <v>7752</v>
      </c>
      <c r="P21" s="12"/>
      <c r="Q21" s="34">
        <f t="shared" si="3"/>
        <v>7281.6262999999999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1"/>
        <v>4440.8503638000002</v>
      </c>
    </row>
    <row r="22" spans="1:24" ht="32.25" customHeight="1" x14ac:dyDescent="0.2">
      <c r="A22" s="2"/>
      <c r="B22" s="6">
        <v>44543</v>
      </c>
      <c r="C22" s="7"/>
      <c r="D22" s="143">
        <v>12</v>
      </c>
      <c r="E22" s="143">
        <v>23</v>
      </c>
      <c r="F22" s="13">
        <f>'Suivi EAU-ELEC'!E21</f>
        <v>54.799999999988358</v>
      </c>
      <c r="G22" s="12"/>
      <c r="H22" s="165">
        <f t="shared" ref="H22:H35" si="4">F22*8.79</f>
        <v>481.69199999989763</v>
      </c>
      <c r="I22" s="166"/>
      <c r="J22" s="166"/>
      <c r="K22" s="60">
        <v>42290</v>
      </c>
      <c r="L22" s="90">
        <f>'Suivi EAU-ELEC'!G21</f>
        <v>2771</v>
      </c>
      <c r="M22" s="91">
        <f>'Suivi EAU-ELEC'!I21</f>
        <v>3503</v>
      </c>
      <c r="N22" s="91">
        <f>'Suivi EAU-ELEC'!K21</f>
        <v>1617</v>
      </c>
      <c r="O22" s="91">
        <f t="shared" si="2"/>
        <v>7891</v>
      </c>
      <c r="P22" s="12"/>
      <c r="Q22" s="34">
        <f t="shared" si="3"/>
        <v>7419.5545000000002</v>
      </c>
      <c r="R22" s="12"/>
      <c r="S22" s="28"/>
      <c r="T22" s="12"/>
      <c r="U22" s="28"/>
      <c r="V22" s="146">
        <f>'Suvi Gaz'!O16</f>
        <v>159.99605</v>
      </c>
      <c r="W22" s="11"/>
      <c r="X22" s="34">
        <f t="shared" si="1"/>
        <v>1850.3543182499998</v>
      </c>
    </row>
    <row r="23" spans="1:24" ht="32.25" customHeight="1" x14ac:dyDescent="0.2">
      <c r="A23" s="2"/>
      <c r="B23" s="6">
        <v>44544</v>
      </c>
      <c r="C23" s="7"/>
      <c r="D23" s="143">
        <v>11</v>
      </c>
      <c r="E23" s="143">
        <v>22</v>
      </c>
      <c r="F23" s="13">
        <f>'Suivi EAU-ELEC'!E22</f>
        <v>66.700000000011642</v>
      </c>
      <c r="G23" s="14"/>
      <c r="H23" s="165">
        <f t="shared" si="4"/>
        <v>586.29300000010232</v>
      </c>
      <c r="I23" s="166"/>
      <c r="J23" s="166"/>
      <c r="K23" s="60">
        <v>42291</v>
      </c>
      <c r="L23" s="90">
        <f>'Suivi EAU-ELEC'!G22</f>
        <v>2051</v>
      </c>
      <c r="M23" s="91">
        <f>'Suivi EAU-ELEC'!I22</f>
        <v>3453</v>
      </c>
      <c r="N23" s="91">
        <f>'Suivi EAU-ELEC'!K22</f>
        <v>1630</v>
      </c>
      <c r="O23" s="91">
        <f>L23+M23+N23</f>
        <v>7134</v>
      </c>
      <c r="P23" s="12"/>
      <c r="Q23" s="34">
        <f>L23*0.6985+M23*0.9514+N23*1.3304</f>
        <v>6886.3597000000009</v>
      </c>
      <c r="R23" s="12"/>
      <c r="S23" s="28"/>
      <c r="T23" s="14"/>
      <c r="U23" s="28"/>
      <c r="V23" s="146">
        <f>'Suvi Gaz'!O17</f>
        <v>511.98736000000002</v>
      </c>
      <c r="W23" s="11"/>
      <c r="X23" s="34">
        <f t="shared" si="1"/>
        <v>5921.1338183999997</v>
      </c>
    </row>
    <row r="24" spans="1:24" ht="32.25" customHeight="1" x14ac:dyDescent="0.2">
      <c r="A24" s="2"/>
      <c r="B24" s="6">
        <v>44545</v>
      </c>
      <c r="C24" s="7"/>
      <c r="D24" s="143">
        <v>11</v>
      </c>
      <c r="E24" s="143">
        <v>20</v>
      </c>
      <c r="F24" s="13">
        <f>'Suivi EAU-ELEC'!E23</f>
        <v>79.600000000005821</v>
      </c>
      <c r="G24" s="14"/>
      <c r="H24" s="165">
        <f t="shared" si="4"/>
        <v>699.68400000005113</v>
      </c>
      <c r="I24" s="166"/>
      <c r="J24" s="166"/>
      <c r="K24" s="60">
        <v>42292</v>
      </c>
      <c r="L24" s="90">
        <f>'Suivi EAU-ELEC'!G23</f>
        <v>2489</v>
      </c>
      <c r="M24" s="91">
        <f>'Suivi EAU-ELEC'!I23</f>
        <v>3611</v>
      </c>
      <c r="N24" s="91">
        <f>'Suivi EAU-ELEC'!K23</f>
        <v>1693</v>
      </c>
      <c r="O24" s="91">
        <f>L24+M24+N24</f>
        <v>7793</v>
      </c>
      <c r="P24" s="12"/>
      <c r="Q24" s="34">
        <f>L24*0.6985+M24*0.9514+N24*1.3304</f>
        <v>7426.4390999999996</v>
      </c>
      <c r="R24" s="12"/>
      <c r="S24" s="28"/>
      <c r="T24" s="14"/>
      <c r="U24" s="28"/>
      <c r="V24" s="146">
        <f>'Suvi Gaz'!O18</f>
        <v>63.998420000000003</v>
      </c>
      <c r="W24" s="11"/>
      <c r="X24" s="34">
        <f t="shared" si="1"/>
        <v>740.14172729999996</v>
      </c>
    </row>
    <row r="25" spans="1:24" ht="32.25" customHeight="1" x14ac:dyDescent="0.2">
      <c r="A25" s="2"/>
      <c r="B25" s="6">
        <v>44546</v>
      </c>
      <c r="C25" s="7"/>
      <c r="D25" s="143">
        <v>19</v>
      </c>
      <c r="E25" s="143">
        <v>31</v>
      </c>
      <c r="F25" s="13">
        <f>'Suivi EAU-ELEC'!E24</f>
        <v>85.699999999982538</v>
      </c>
      <c r="G25" s="14"/>
      <c r="H25" s="165">
        <f t="shared" si="4"/>
        <v>753.30299999984641</v>
      </c>
      <c r="I25" s="166"/>
      <c r="J25" s="166"/>
      <c r="K25" s="60">
        <v>42293</v>
      </c>
      <c r="L25" s="90">
        <f>'Suivi EAU-ELEC'!G24</f>
        <v>2765</v>
      </c>
      <c r="M25" s="91">
        <f>'Suivi EAU-ELEC'!I24</f>
        <v>3982</v>
      </c>
      <c r="N25" s="91">
        <f>'Suivi EAU-ELEC'!K24</f>
        <v>1891</v>
      </c>
      <c r="O25" s="91">
        <f>L25+M25+N25</f>
        <v>8638</v>
      </c>
      <c r="P25" s="12"/>
      <c r="Q25" s="34">
        <f>L25*0.6985+M25*0.9514+N25*1.3304</f>
        <v>8235.6136999999999</v>
      </c>
      <c r="R25" s="12"/>
      <c r="S25" s="28"/>
      <c r="T25" s="14"/>
      <c r="U25" s="28"/>
      <c r="V25" s="146">
        <f>'Suvi Gaz'!O19</f>
        <v>223.99447000000001</v>
      </c>
      <c r="W25" s="11"/>
      <c r="X25" s="34">
        <f t="shared" si="1"/>
        <v>2590.49604555</v>
      </c>
    </row>
    <row r="26" spans="1:24" ht="32.25" customHeight="1" x14ac:dyDescent="0.2">
      <c r="A26" s="2"/>
      <c r="B26" s="6">
        <v>44547</v>
      </c>
      <c r="C26" s="7"/>
      <c r="D26" s="143">
        <v>22</v>
      </c>
      <c r="E26" s="143">
        <v>38</v>
      </c>
      <c r="F26" s="13">
        <f>'Suivi EAU-ELEC'!E25</f>
        <v>79.5</v>
      </c>
      <c r="G26" s="14"/>
      <c r="H26" s="165">
        <f t="shared" si="4"/>
        <v>698.80499999999995</v>
      </c>
      <c r="I26" s="166"/>
      <c r="J26" s="166"/>
      <c r="K26" s="60">
        <v>42294</v>
      </c>
      <c r="L26" s="90">
        <f>'Suivi EAU-ELEC'!G25</f>
        <v>2723</v>
      </c>
      <c r="M26" s="91">
        <f>'Suivi EAU-ELEC'!I25</f>
        <v>3811</v>
      </c>
      <c r="N26" s="91">
        <f>'Suivi EAU-ELEC'!K25</f>
        <v>1680</v>
      </c>
      <c r="O26" s="91">
        <f>L26+M26+N26</f>
        <v>8214</v>
      </c>
      <c r="P26" s="14"/>
      <c r="Q26" s="34">
        <f>L26*0.6985+M26*0.9514+N26*1.3304</f>
        <v>7762.8729000000003</v>
      </c>
      <c r="R26" s="14"/>
      <c r="S26" s="28"/>
      <c r="T26" s="14"/>
      <c r="U26" s="28"/>
      <c r="V26" s="146">
        <f>'Suvi Gaz'!O20</f>
        <v>191.99526</v>
      </c>
      <c r="W26" s="11"/>
      <c r="X26" s="34">
        <f t="shared" si="1"/>
        <v>2220.4251819000001</v>
      </c>
    </row>
    <row r="27" spans="1:24" ht="32.25" customHeight="1" x14ac:dyDescent="0.2">
      <c r="A27" s="2"/>
      <c r="B27" s="6">
        <v>44548</v>
      </c>
      <c r="C27" s="7"/>
      <c r="D27" s="143">
        <v>21</v>
      </c>
      <c r="E27" s="143">
        <v>38</v>
      </c>
      <c r="F27" s="13">
        <f>'Suivi EAU-ELEC'!E26</f>
        <v>66.900000000023283</v>
      </c>
      <c r="G27" s="14"/>
      <c r="H27" s="165">
        <f t="shared" si="4"/>
        <v>588.05100000020457</v>
      </c>
      <c r="I27" s="166"/>
      <c r="J27" s="166"/>
      <c r="K27" s="60">
        <v>42295</v>
      </c>
      <c r="L27" s="90">
        <f>'Suivi EAU-ELEC'!G26</f>
        <v>2566</v>
      </c>
      <c r="M27" s="91">
        <f>'Suivi EAU-ELEC'!I26</f>
        <v>3589</v>
      </c>
      <c r="N27" s="91">
        <f>'Suivi EAU-ELEC'!K26</f>
        <v>1650</v>
      </c>
      <c r="O27" s="91">
        <f t="shared" si="2"/>
        <v>7805</v>
      </c>
      <c r="P27" s="14"/>
      <c r="Q27" s="34">
        <f t="shared" si="3"/>
        <v>7402.0856000000003</v>
      </c>
      <c r="R27" s="14"/>
      <c r="S27" s="28"/>
      <c r="T27" s="14"/>
      <c r="U27" s="28"/>
      <c r="V27" s="146">
        <f>'Suvi Gaz'!O21</f>
        <v>415.98973000000001</v>
      </c>
      <c r="W27" s="11"/>
      <c r="X27" s="34">
        <f t="shared" si="1"/>
        <v>4810.9212274499996</v>
      </c>
    </row>
    <row r="28" spans="1:24" ht="32.25" customHeight="1" x14ac:dyDescent="0.2">
      <c r="A28" s="2"/>
      <c r="B28" s="6">
        <v>44549</v>
      </c>
      <c r="C28" s="7"/>
      <c r="D28" s="143">
        <v>18</v>
      </c>
      <c r="E28" s="143">
        <v>26</v>
      </c>
      <c r="F28" s="13">
        <f>'Suivi EAU-ELEC'!E27</f>
        <v>66.699999999982538</v>
      </c>
      <c r="G28" s="11"/>
      <c r="H28" s="165">
        <f t="shared" si="4"/>
        <v>586.29299999984642</v>
      </c>
      <c r="I28" s="166"/>
      <c r="J28" s="166"/>
      <c r="K28" s="60">
        <v>42296</v>
      </c>
      <c r="L28" s="90">
        <f>'Suivi EAU-ELEC'!G27</f>
        <v>2664</v>
      </c>
      <c r="M28" s="91">
        <f>'Suivi EAU-ELEC'!I27</f>
        <v>3555</v>
      </c>
      <c r="N28" s="91">
        <f>'Suivi EAU-ELEC'!K27</f>
        <v>1967</v>
      </c>
      <c r="O28" s="91">
        <f t="shared" si="2"/>
        <v>8186</v>
      </c>
      <c r="P28" s="11"/>
      <c r="Q28" s="34">
        <f>L28*0.6985+M28*0.9514+N28*1.3304</f>
        <v>7859.9277999999995</v>
      </c>
      <c r="R28" s="11"/>
      <c r="S28" s="28"/>
      <c r="T28" s="11"/>
      <c r="U28" s="28"/>
      <c r="V28" s="146">
        <f>'Suvi Gaz'!O22</f>
        <v>447.98894000000001</v>
      </c>
      <c r="W28" s="11"/>
      <c r="X28" s="34">
        <f t="shared" si="1"/>
        <v>5180.9920910999999</v>
      </c>
    </row>
    <row r="29" spans="1:24" ht="32.25" customHeight="1" x14ac:dyDescent="0.2">
      <c r="A29" s="2"/>
      <c r="B29" s="6">
        <v>44550</v>
      </c>
      <c r="C29" s="7"/>
      <c r="D29" s="143">
        <v>8</v>
      </c>
      <c r="E29" s="143">
        <v>14</v>
      </c>
      <c r="F29" s="13">
        <f>'Suivi EAU-ELEC'!E28</f>
        <v>66.100000000005821</v>
      </c>
      <c r="G29" s="11"/>
      <c r="H29" s="165">
        <f t="shared" si="4"/>
        <v>581.01900000005116</v>
      </c>
      <c r="I29" s="166"/>
      <c r="J29" s="166"/>
      <c r="K29" s="60">
        <v>42297</v>
      </c>
      <c r="L29" s="90">
        <f>'Suivi EAU-ELEC'!G28</f>
        <v>2552</v>
      </c>
      <c r="M29" s="91">
        <f>'Suivi EAU-ELEC'!I28</f>
        <v>3406</v>
      </c>
      <c r="N29" s="91">
        <f>'Suivi EAU-ELEC'!K28</f>
        <v>1602</v>
      </c>
      <c r="O29" s="91">
        <f>L29+M29+N29</f>
        <v>7560</v>
      </c>
      <c r="P29" s="11"/>
      <c r="Q29" s="34">
        <f t="shared" si="3"/>
        <v>7154.3411999999998</v>
      </c>
      <c r="R29" s="11"/>
      <c r="S29" s="28"/>
      <c r="T29" s="11"/>
      <c r="U29" s="28"/>
      <c r="V29" s="146">
        <f>'Suvi Gaz'!O23</f>
        <v>95.997630000000001</v>
      </c>
      <c r="W29" s="11"/>
      <c r="X29" s="34">
        <f t="shared" si="1"/>
        <v>1110.21259095</v>
      </c>
    </row>
    <row r="30" spans="1:24" ht="32.25" customHeight="1" x14ac:dyDescent="0.2">
      <c r="A30" s="2"/>
      <c r="B30" s="6">
        <v>44551</v>
      </c>
      <c r="C30" s="7"/>
      <c r="D30" s="143">
        <v>11</v>
      </c>
      <c r="E30" s="143">
        <v>16</v>
      </c>
      <c r="F30" s="13">
        <f>'Suivi EAU-ELEC'!E29</f>
        <v>57.600000000005821</v>
      </c>
      <c r="G30" s="11"/>
      <c r="H30" s="165">
        <f t="shared" si="4"/>
        <v>506.30400000005113</v>
      </c>
      <c r="I30" s="166"/>
      <c r="J30" s="166"/>
      <c r="K30" s="60">
        <v>42298</v>
      </c>
      <c r="L30" s="90">
        <f>'Suivi EAU-ELEC'!G29</f>
        <v>2427</v>
      </c>
      <c r="M30" s="91">
        <f>'Suivi EAU-ELEC'!I29</f>
        <v>3384</v>
      </c>
      <c r="N30" s="91">
        <f>'Suivi EAU-ELEC'!K29</f>
        <v>1517</v>
      </c>
      <c r="O30" s="91">
        <f>L30+M30+N30</f>
        <v>7328</v>
      </c>
      <c r="P30" s="11"/>
      <c r="Q30" s="34">
        <f>L30*0.6985+M30*0.9514+N30*1.3304</f>
        <v>6933.0138999999999</v>
      </c>
      <c r="R30" s="11"/>
      <c r="S30" s="28"/>
      <c r="T30" s="11"/>
      <c r="U30" s="28"/>
      <c r="V30" s="146">
        <f>'Suvi Gaz'!O24</f>
        <v>255.99368000000001</v>
      </c>
      <c r="W30" s="11"/>
      <c r="X30" s="34">
        <f t="shared" si="1"/>
        <v>2960.5669091999998</v>
      </c>
    </row>
    <row r="31" spans="1:24" ht="27.75" customHeight="1" x14ac:dyDescent="0.2">
      <c r="A31" s="2"/>
      <c r="B31" s="6">
        <v>44552</v>
      </c>
      <c r="C31" s="7"/>
      <c r="D31" s="143">
        <v>11</v>
      </c>
      <c r="E31" s="143">
        <v>18</v>
      </c>
      <c r="F31" s="13">
        <f>'Suivi EAU-ELEC'!E30</f>
        <v>45.100000000005821</v>
      </c>
      <c r="G31" s="11"/>
      <c r="H31" s="165">
        <f t="shared" si="4"/>
        <v>396.42900000005113</v>
      </c>
      <c r="I31" s="166"/>
      <c r="J31" s="166"/>
      <c r="K31" s="60">
        <v>42299</v>
      </c>
      <c r="L31" s="90">
        <f>'Suivi EAU-ELEC'!G30</f>
        <v>2848</v>
      </c>
      <c r="M31" s="91">
        <f>'Suivi EAU-ELEC'!I30</f>
        <v>3407</v>
      </c>
      <c r="N31" s="91">
        <f>'Suivi EAU-ELEC'!K30</f>
        <v>1616</v>
      </c>
      <c r="O31" s="91">
        <f>L31+M31+N31</f>
        <v>7871</v>
      </c>
      <c r="P31" s="11"/>
      <c r="Q31" s="34">
        <f>L31*0.6985+M31*0.9514+N31*1.3304</f>
        <v>7380.6741999999995</v>
      </c>
      <c r="R31" s="11"/>
      <c r="S31" s="28"/>
      <c r="T31" s="11"/>
      <c r="U31" s="28"/>
      <c r="V31" s="146">
        <f>'Suvi Gaz'!O25</f>
        <v>223.99447000000001</v>
      </c>
      <c r="W31" s="11"/>
      <c r="X31" s="34">
        <f t="shared" si="1"/>
        <v>2590.49604555</v>
      </c>
    </row>
    <row r="32" spans="1:24" ht="37.5" customHeight="1" x14ac:dyDescent="0.2">
      <c r="A32" s="2"/>
      <c r="B32" s="6">
        <v>44553</v>
      </c>
      <c r="C32" s="7"/>
      <c r="D32" s="143">
        <v>18</v>
      </c>
      <c r="E32" s="143">
        <v>33</v>
      </c>
      <c r="F32" s="13">
        <f>'Suivi EAU-ELEC'!E31</f>
        <v>65.899999999994179</v>
      </c>
      <c r="G32" s="11"/>
      <c r="H32" s="165">
        <f t="shared" si="4"/>
        <v>579.26099999994881</v>
      </c>
      <c r="I32" s="166"/>
      <c r="J32" s="166"/>
      <c r="K32" s="60">
        <v>42300</v>
      </c>
      <c r="L32" s="90">
        <f>'Suivi EAU-ELEC'!G31</f>
        <v>2702</v>
      </c>
      <c r="M32" s="91">
        <f>'Suivi EAU-ELEC'!I31</f>
        <v>3831</v>
      </c>
      <c r="N32" s="91">
        <f>'Suivi EAU-ELEC'!K31</f>
        <v>1824</v>
      </c>
      <c r="O32" s="91">
        <f t="shared" si="2"/>
        <v>8357</v>
      </c>
      <c r="P32" s="11"/>
      <c r="Q32" s="34">
        <f t="shared" si="3"/>
        <v>7958.8099999999995</v>
      </c>
      <c r="R32" s="11"/>
      <c r="S32" s="28"/>
      <c r="T32" s="11"/>
      <c r="U32" s="28"/>
      <c r="V32" s="146">
        <f>'Suvi Gaz'!O26</f>
        <v>223.99447000000001</v>
      </c>
      <c r="W32" s="11"/>
      <c r="X32" s="34">
        <f t="shared" si="1"/>
        <v>2590.49604555</v>
      </c>
    </row>
    <row r="33" spans="1:24" ht="37.5" customHeight="1" x14ac:dyDescent="0.2">
      <c r="A33" s="2"/>
      <c r="B33" s="6">
        <v>44554</v>
      </c>
      <c r="C33" s="7"/>
      <c r="D33" s="143">
        <v>22</v>
      </c>
      <c r="E33" s="143">
        <v>33</v>
      </c>
      <c r="F33" s="13">
        <f>'Suivi EAU-ELEC'!E32</f>
        <v>53.699999999982538</v>
      </c>
      <c r="G33" s="11"/>
      <c r="H33" s="165">
        <f t="shared" si="4"/>
        <v>472.02299999984643</v>
      </c>
      <c r="I33" s="166"/>
      <c r="J33" s="166"/>
      <c r="K33" s="60">
        <v>42301</v>
      </c>
      <c r="L33" s="90">
        <f>'Suivi EAU-ELEC'!G32</f>
        <v>2589</v>
      </c>
      <c r="M33" s="91">
        <f>'Suivi EAU-ELEC'!I32</f>
        <v>3586</v>
      </c>
      <c r="N33" s="91">
        <f>'Suivi EAU-ELEC'!K32</f>
        <v>1702</v>
      </c>
      <c r="O33" s="91">
        <f t="shared" si="2"/>
        <v>7877</v>
      </c>
      <c r="P33" s="11"/>
      <c r="Q33" s="34">
        <f t="shared" si="3"/>
        <v>7484.4777000000004</v>
      </c>
      <c r="R33" s="11"/>
      <c r="S33" s="28"/>
      <c r="T33" s="11"/>
      <c r="U33" s="28"/>
      <c r="V33" s="146">
        <f>'Suvi Gaz'!O27</f>
        <v>287.99288999999999</v>
      </c>
      <c r="W33" s="11"/>
      <c r="X33" s="34">
        <f t="shared" si="1"/>
        <v>3330.6377728499997</v>
      </c>
    </row>
    <row r="34" spans="1:24" ht="37.5" customHeight="1" x14ac:dyDescent="0.2">
      <c r="A34" s="2"/>
      <c r="B34" s="6">
        <v>44555</v>
      </c>
      <c r="C34" s="7"/>
      <c r="D34" s="143">
        <v>30</v>
      </c>
      <c r="E34" s="143">
        <v>44</v>
      </c>
      <c r="F34" s="13">
        <f>'Suivi EAU-ELEC'!E33</f>
        <v>58.400000000023283</v>
      </c>
      <c r="G34" s="11"/>
      <c r="H34" s="165">
        <f t="shared" si="4"/>
        <v>513.33600000020465</v>
      </c>
      <c r="I34" s="166"/>
      <c r="J34" s="166"/>
      <c r="K34" s="60">
        <v>42302</v>
      </c>
      <c r="L34" s="90">
        <f>'Suivi EAU-ELEC'!G33</f>
        <v>2674</v>
      </c>
      <c r="M34" s="91">
        <f>'Suivi EAU-ELEC'!I33</f>
        <v>3624</v>
      </c>
      <c r="N34" s="91">
        <f>'Suivi EAU-ELEC'!K33</f>
        <v>1776</v>
      </c>
      <c r="O34" s="91">
        <f t="shared" si="2"/>
        <v>8074</v>
      </c>
      <c r="P34" s="11"/>
      <c r="Q34" s="34">
        <f t="shared" si="3"/>
        <v>7678.4529999999995</v>
      </c>
      <c r="R34" s="11"/>
      <c r="S34" s="28"/>
      <c r="T34" s="11"/>
      <c r="U34" s="28"/>
      <c r="V34" s="146">
        <f>'Suvi Gaz'!O28</f>
        <v>319.99209999999999</v>
      </c>
      <c r="W34" s="11"/>
      <c r="X34" s="34">
        <f t="shared" si="1"/>
        <v>3700.7086364999996</v>
      </c>
    </row>
    <row r="35" spans="1:24" ht="33.75" customHeight="1" x14ac:dyDescent="0.2">
      <c r="A35" s="2"/>
      <c r="B35" s="6">
        <v>44556</v>
      </c>
      <c r="C35" s="7"/>
      <c r="D35" s="143">
        <v>21</v>
      </c>
      <c r="E35" s="143">
        <v>43</v>
      </c>
      <c r="F35" s="13">
        <f>'Suivi EAU-ELEC'!E34</f>
        <v>70.099999999976717</v>
      </c>
      <c r="G35" s="11"/>
      <c r="H35" s="165">
        <f t="shared" si="4"/>
        <v>616.17899999979534</v>
      </c>
      <c r="I35" s="166"/>
      <c r="J35" s="166"/>
      <c r="K35" s="60">
        <v>42303</v>
      </c>
      <c r="L35" s="90">
        <f>'Suivi EAU-ELEC'!G34</f>
        <v>2620</v>
      </c>
      <c r="M35" s="91">
        <f>'Suivi EAU-ELEC'!I34</f>
        <v>3598</v>
      </c>
      <c r="N35" s="91">
        <f>'Suivi EAU-ELEC'!K34</f>
        <v>1640</v>
      </c>
      <c r="O35" s="91">
        <f t="shared" si="2"/>
        <v>7858</v>
      </c>
      <c r="P35" s="11"/>
      <c r="Q35" s="34">
        <f t="shared" si="3"/>
        <v>7435.0632000000005</v>
      </c>
      <c r="R35" s="11"/>
      <c r="S35" s="28"/>
      <c r="T35" s="11"/>
      <c r="U35" s="28"/>
      <c r="V35" s="146">
        <f>'Suvi Gaz'!O29</f>
        <v>127.99684000000001</v>
      </c>
      <c r="W35" s="11"/>
      <c r="X35" s="34">
        <f t="shared" si="1"/>
        <v>1480.2834545999999</v>
      </c>
    </row>
    <row r="36" spans="1:24" ht="33.75" customHeight="1" x14ac:dyDescent="0.2">
      <c r="A36" s="2"/>
      <c r="B36" s="6">
        <v>44557</v>
      </c>
      <c r="C36" s="7"/>
      <c r="D36" s="143">
        <v>11</v>
      </c>
      <c r="E36" s="143">
        <v>25</v>
      </c>
      <c r="F36" s="13">
        <f>'Suivi EAU-ELEC'!E35</f>
        <v>62.200000000011642</v>
      </c>
      <c r="G36" s="11"/>
      <c r="H36" s="165">
        <f>F36*8.79</f>
        <v>546.73800000010226</v>
      </c>
      <c r="I36" s="166"/>
      <c r="J36" s="166"/>
      <c r="K36" s="60">
        <v>42304</v>
      </c>
      <c r="L36" s="90">
        <f>'Suivi EAU-ELEC'!G35</f>
        <v>2582</v>
      </c>
      <c r="M36" s="91">
        <f>'Suivi EAU-ELEC'!I35</f>
        <v>3430</v>
      </c>
      <c r="N36" s="91">
        <f>'Suivi EAU-ELEC'!K35</f>
        <v>1614</v>
      </c>
      <c r="O36" s="91">
        <f t="shared" si="2"/>
        <v>7626</v>
      </c>
      <c r="P36" s="11"/>
      <c r="Q36" s="34">
        <f t="shared" si="3"/>
        <v>7214.0946000000004</v>
      </c>
      <c r="R36" s="11"/>
      <c r="S36" s="28"/>
      <c r="T36" s="11"/>
      <c r="U36" s="28"/>
      <c r="V36" s="146">
        <f>'Suvi Gaz'!O30</f>
        <v>479.98815000000002</v>
      </c>
      <c r="W36" s="11"/>
      <c r="X36" s="34">
        <f t="shared" si="1"/>
        <v>5551.0629547500002</v>
      </c>
    </row>
    <row r="37" spans="1:24" ht="33.75" customHeight="1" x14ac:dyDescent="0.2">
      <c r="A37" s="2"/>
      <c r="B37" s="6">
        <v>44558</v>
      </c>
      <c r="C37" s="7"/>
      <c r="D37" s="143">
        <v>19</v>
      </c>
      <c r="E37" s="143">
        <v>43</v>
      </c>
      <c r="F37" s="13">
        <f>'Suivi EAU-ELEC'!E36</f>
        <v>38.799999999988358</v>
      </c>
      <c r="G37" s="11"/>
      <c r="H37" s="165">
        <f t="shared" ref="H37:H38" si="5">F37*8.79</f>
        <v>341.05199999989765</v>
      </c>
      <c r="I37" s="166"/>
      <c r="J37" s="166"/>
      <c r="K37" s="60"/>
      <c r="L37" s="90">
        <f>'Suivi EAU-ELEC'!G36</f>
        <v>2462</v>
      </c>
      <c r="M37" s="91">
        <f>'Suivi EAU-ELEC'!I36</f>
        <v>3343</v>
      </c>
      <c r="N37" s="91">
        <f>'Suivi EAU-ELEC'!K36</f>
        <v>1550</v>
      </c>
      <c r="O37" s="91">
        <f t="shared" si="2"/>
        <v>7355</v>
      </c>
      <c r="P37" s="11"/>
      <c r="Q37" s="34">
        <f t="shared" si="3"/>
        <v>6962.3572000000004</v>
      </c>
      <c r="R37" s="11"/>
      <c r="S37" s="28"/>
      <c r="T37" s="11"/>
      <c r="U37" s="28"/>
      <c r="V37" s="146">
        <f>'Suvi Gaz'!O31</f>
        <v>351.99131</v>
      </c>
      <c r="W37" s="11"/>
      <c r="X37" s="34">
        <f t="shared" si="1"/>
        <v>4070.7795001499999</v>
      </c>
    </row>
    <row r="38" spans="1:24" ht="33.75" customHeight="1" x14ac:dyDescent="0.2">
      <c r="A38" s="2"/>
      <c r="B38" s="6">
        <v>44559</v>
      </c>
      <c r="C38" s="7"/>
      <c r="D38" s="143">
        <v>32</v>
      </c>
      <c r="E38" s="143">
        <v>28</v>
      </c>
      <c r="F38" s="13">
        <f>'Suivi EAU-ELEC'!E37</f>
        <v>61.800000000017462</v>
      </c>
      <c r="G38" s="11"/>
      <c r="H38" s="165">
        <f t="shared" si="5"/>
        <v>543.22200000015346</v>
      </c>
      <c r="I38" s="166"/>
      <c r="J38" s="166"/>
      <c r="K38" s="60"/>
      <c r="L38" s="90">
        <f>'Suivi EAU-ELEC'!G37</f>
        <v>2533</v>
      </c>
      <c r="M38" s="91">
        <f>'Suivi EAU-ELEC'!I37</f>
        <v>3428</v>
      </c>
      <c r="N38" s="91">
        <f>'Suivi EAU-ELEC'!K37</f>
        <v>1607</v>
      </c>
      <c r="O38" s="91">
        <f t="shared" si="2"/>
        <v>7568</v>
      </c>
      <c r="P38" s="11"/>
      <c r="Q38" s="34">
        <f t="shared" si="3"/>
        <v>7168.6525000000001</v>
      </c>
      <c r="R38" s="11"/>
      <c r="S38" s="28"/>
      <c r="T38" s="11"/>
      <c r="U38" s="28"/>
      <c r="V38" s="146">
        <f>'Suvi Gaz'!O32</f>
        <v>319.99209999999999</v>
      </c>
      <c r="W38" s="11"/>
      <c r="X38" s="34">
        <f t="shared" si="1"/>
        <v>3700.7086364999996</v>
      </c>
    </row>
    <row r="39" spans="1:24" ht="33.75" customHeight="1" x14ac:dyDescent="0.2">
      <c r="A39" s="2"/>
      <c r="B39" s="6">
        <v>44560</v>
      </c>
      <c r="C39" s="7"/>
      <c r="D39" s="143">
        <v>19</v>
      </c>
      <c r="E39" s="143">
        <v>44</v>
      </c>
      <c r="F39" s="13">
        <f>'Suivi EAU-ELEC'!E38</f>
        <v>80.5</v>
      </c>
      <c r="G39" s="11"/>
      <c r="H39" s="165">
        <f t="shared" ref="H39" si="6">F39*8.79</f>
        <v>707.59499999999991</v>
      </c>
      <c r="I39" s="166"/>
      <c r="J39" s="166"/>
      <c r="K39" s="60"/>
      <c r="L39" s="90">
        <f>'Suivi EAU-ELEC'!G38</f>
        <v>2516</v>
      </c>
      <c r="M39" s="91">
        <f>'Suivi EAU-ELEC'!I38</f>
        <v>3418</v>
      </c>
      <c r="N39" s="91">
        <f>'Suivi EAU-ELEC'!K38</f>
        <v>1598</v>
      </c>
      <c r="O39" s="91">
        <f t="shared" si="2"/>
        <v>7532</v>
      </c>
      <c r="P39" s="11"/>
      <c r="Q39" s="34">
        <f t="shared" si="3"/>
        <v>7135.2903999999999</v>
      </c>
      <c r="R39" s="11"/>
      <c r="S39" s="28"/>
      <c r="T39" s="11"/>
      <c r="U39" s="28"/>
      <c r="V39" s="146">
        <f>'Suvi Gaz'!O33</f>
        <v>255.99368000000001</v>
      </c>
      <c r="W39" s="11"/>
      <c r="X39" s="34">
        <f t="shared" si="1"/>
        <v>2960.5669091999998</v>
      </c>
    </row>
    <row r="40" spans="1:24" ht="33.75" customHeight="1" x14ac:dyDescent="0.2">
      <c r="A40" s="2"/>
      <c r="B40" s="6">
        <v>44561</v>
      </c>
      <c r="C40" s="7"/>
      <c r="D40" s="143">
        <v>14</v>
      </c>
      <c r="E40" s="143">
        <v>32</v>
      </c>
      <c r="F40" s="13">
        <f>'Suivi EAU-ELEC'!E39</f>
        <v>41.600000000005821</v>
      </c>
      <c r="G40" s="11"/>
      <c r="H40" s="165">
        <f t="shared" ref="H40" si="7">F40*8.79</f>
        <v>365.66400000005115</v>
      </c>
      <c r="I40" s="166"/>
      <c r="J40" s="166"/>
      <c r="K40" s="60"/>
      <c r="L40" s="90">
        <f>'Suivi EAU-ELEC'!G39</f>
        <v>2619</v>
      </c>
      <c r="M40" s="91">
        <f>'Suivi EAU-ELEC'!I39</f>
        <v>3400</v>
      </c>
      <c r="N40" s="91">
        <f>'Suivi EAU-ELEC'!K39</f>
        <v>1619</v>
      </c>
      <c r="O40" s="91">
        <f t="shared" si="2"/>
        <v>7638</v>
      </c>
      <c r="P40" s="11"/>
      <c r="Q40" s="34">
        <f t="shared" si="3"/>
        <v>7218.0491000000002</v>
      </c>
      <c r="R40" s="11"/>
      <c r="S40" s="28"/>
      <c r="T40" s="11"/>
      <c r="U40" s="28"/>
      <c r="V40" s="146">
        <f>'Suvi Gaz'!O34</f>
        <v>351.99131</v>
      </c>
      <c r="W40" s="11"/>
      <c r="X40" s="34">
        <f t="shared" si="1"/>
        <v>4070.7795001499999</v>
      </c>
    </row>
    <row r="41" spans="1:24" ht="42.75" customHeight="1" x14ac:dyDescent="0.2">
      <c r="A41" s="2"/>
      <c r="B41" s="10"/>
      <c r="C41" s="10"/>
      <c r="D41" s="8">
        <f>SUM(D10:D40)</f>
        <v>621</v>
      </c>
      <c r="E41" s="8">
        <f>SUM(E10:E40)</f>
        <v>1029</v>
      </c>
      <c r="F41" s="151">
        <f>SUM(F10:F40)</f>
        <v>2165.1000000000058</v>
      </c>
      <c r="G41" s="1"/>
      <c r="H41" s="203">
        <f>SUM(H10:H40)</f>
        <v>19031.229000000054</v>
      </c>
      <c r="I41" s="204"/>
      <c r="J41" s="205"/>
      <c r="K41" s="1"/>
      <c r="L41" s="53">
        <f>SUM(L10:L40)</f>
        <v>84825</v>
      </c>
      <c r="M41" s="53">
        <f>SUM(M10:M40)</f>
        <v>117323</v>
      </c>
      <c r="N41" s="54">
        <f>SUM(N10:N40)</f>
        <v>54406</v>
      </c>
      <c r="O41" s="55">
        <f>SUM(O10:O40)</f>
        <v>256554</v>
      </c>
      <c r="P41" s="31"/>
      <c r="Q41" s="32">
        <f>SUM(Q10:Q40)</f>
        <v>242960.4191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9119.774849999998</v>
      </c>
      <c r="W41" s="31"/>
      <c r="X41" s="32">
        <f>SUM(X10:X40)</f>
        <v>105470.19614024999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83" t="s">
        <v>33</v>
      </c>
      <c r="B43" s="184"/>
      <c r="C43" s="184"/>
      <c r="D43" s="184"/>
      <c r="E43" s="184"/>
      <c r="F43" s="185"/>
      <c r="G43" s="26"/>
      <c r="H43" s="27" t="s">
        <v>34</v>
      </c>
      <c r="I43" s="195" t="s">
        <v>35</v>
      </c>
      <c r="J43" s="196"/>
      <c r="K43" s="197"/>
      <c r="L43" s="226" t="s">
        <v>36</v>
      </c>
      <c r="M43" s="227"/>
      <c r="N43" s="183" t="s">
        <v>37</v>
      </c>
      <c r="O43" s="184"/>
      <c r="P43" s="184"/>
      <c r="Q43" s="184"/>
      <c r="R43" s="184"/>
      <c r="S43" s="184"/>
      <c r="T43" s="184"/>
      <c r="U43" s="184"/>
      <c r="V43" s="184"/>
      <c r="W43" s="184"/>
      <c r="X43" s="185"/>
    </row>
    <row r="44" spans="1:24" s="18" customFormat="1" ht="29.25" customHeight="1" thickBot="1" x14ac:dyDescent="0.25">
      <c r="A44" s="220" t="s">
        <v>38</v>
      </c>
      <c r="B44" s="221"/>
      <c r="C44" s="222"/>
      <c r="D44" s="156" t="s">
        <v>30</v>
      </c>
      <c r="E44" s="156" t="s">
        <v>30</v>
      </c>
      <c r="F44" s="156" t="s">
        <v>30</v>
      </c>
      <c r="G44" s="16"/>
      <c r="H44" s="17">
        <v>0.69850000000000001</v>
      </c>
      <c r="I44" s="217">
        <f>L41</f>
        <v>84825</v>
      </c>
      <c r="J44" s="218"/>
      <c r="K44" s="219"/>
      <c r="L44" s="201">
        <f>I44*H44</f>
        <v>59250.262500000004</v>
      </c>
      <c r="M44" s="202"/>
      <c r="N44" s="174">
        <f>L44+L45+L46</f>
        <v>243253.10710000002</v>
      </c>
      <c r="O44" s="175"/>
      <c r="P44" s="175"/>
      <c r="Q44" s="175"/>
      <c r="R44" s="175"/>
      <c r="S44" s="175"/>
      <c r="T44" s="175"/>
      <c r="U44" s="175"/>
      <c r="V44" s="175"/>
      <c r="W44" s="175"/>
      <c r="X44" s="176"/>
    </row>
    <row r="45" spans="1:24" s="18" customFormat="1" ht="29.25" customHeight="1" thickBot="1" x14ac:dyDescent="0.25">
      <c r="A45" s="223"/>
      <c r="B45" s="224"/>
      <c r="C45" s="225"/>
      <c r="D45" s="155" t="s">
        <v>31</v>
      </c>
      <c r="E45" s="155" t="s">
        <v>31</v>
      </c>
      <c r="F45" s="155" t="s">
        <v>31</v>
      </c>
      <c r="G45" s="16"/>
      <c r="H45" s="19">
        <v>0.95140000000000002</v>
      </c>
      <c r="I45" s="217">
        <f>M41</f>
        <v>117323</v>
      </c>
      <c r="J45" s="218"/>
      <c r="K45" s="219"/>
      <c r="L45" s="201">
        <f>I45*H45</f>
        <v>111621.10220000001</v>
      </c>
      <c r="M45" s="202"/>
      <c r="N45" s="177"/>
      <c r="O45" s="178"/>
      <c r="P45" s="178"/>
      <c r="Q45" s="178"/>
      <c r="R45" s="178"/>
      <c r="S45" s="178"/>
      <c r="T45" s="178"/>
      <c r="U45" s="178"/>
      <c r="V45" s="178"/>
      <c r="W45" s="178"/>
      <c r="X45" s="179"/>
    </row>
    <row r="46" spans="1:24" s="18" customFormat="1" ht="24.75" customHeight="1" thickBot="1" x14ac:dyDescent="0.25">
      <c r="A46" s="223"/>
      <c r="B46" s="224"/>
      <c r="C46" s="225"/>
      <c r="D46" s="161" t="s">
        <v>32</v>
      </c>
      <c r="E46" s="161" t="s">
        <v>32</v>
      </c>
      <c r="F46" s="161" t="s">
        <v>32</v>
      </c>
      <c r="G46" s="20"/>
      <c r="H46" s="20">
        <v>1.3304</v>
      </c>
      <c r="I46" s="192">
        <f>N41</f>
        <v>54406</v>
      </c>
      <c r="J46" s="193"/>
      <c r="K46" s="194"/>
      <c r="L46" s="201">
        <f>I46*H46</f>
        <v>72381.742400000003</v>
      </c>
      <c r="M46" s="202"/>
      <c r="N46" s="180"/>
      <c r="O46" s="181"/>
      <c r="P46" s="181"/>
      <c r="Q46" s="181"/>
      <c r="R46" s="181"/>
      <c r="S46" s="181"/>
      <c r="T46" s="181"/>
      <c r="U46" s="181"/>
      <c r="V46" s="181"/>
      <c r="W46" s="181"/>
      <c r="X46" s="182"/>
    </row>
    <row r="47" spans="1:24" s="18" customFormat="1" ht="43.5" customHeight="1" thickBot="1" x14ac:dyDescent="0.25">
      <c r="A47" s="157"/>
      <c r="B47" s="158"/>
      <c r="C47" s="158"/>
      <c r="D47" s="161"/>
      <c r="E47" s="161"/>
      <c r="F47" s="161"/>
      <c r="G47" s="16"/>
      <c r="H47" s="16"/>
      <c r="I47" s="159"/>
      <c r="J47" s="160"/>
      <c r="K47" s="161"/>
      <c r="L47" s="152"/>
      <c r="M47" s="153"/>
      <c r="N47" s="198">
        <f>N44*1.3</f>
        <v>316229.03923000005</v>
      </c>
      <c r="O47" s="199"/>
      <c r="P47" s="199"/>
      <c r="Q47" s="199"/>
      <c r="R47" s="199"/>
      <c r="S47" s="199"/>
      <c r="T47" s="199"/>
      <c r="U47" s="199"/>
      <c r="V47" s="199"/>
      <c r="W47" s="199"/>
      <c r="X47" s="200"/>
    </row>
    <row r="48" spans="1:24" s="23" customFormat="1" ht="32.25" customHeight="1" thickBot="1" x14ac:dyDescent="0.25">
      <c r="A48" s="212" t="s">
        <v>39</v>
      </c>
      <c r="B48" s="213"/>
      <c r="C48" s="213"/>
      <c r="D48" s="213"/>
      <c r="E48" s="213"/>
      <c r="F48" s="214"/>
      <c r="G48" s="21"/>
      <c r="H48" s="22">
        <v>8.7899999999999991</v>
      </c>
      <c r="I48" s="212">
        <f>F41</f>
        <v>2165.1000000000058</v>
      </c>
      <c r="J48" s="213"/>
      <c r="K48" s="214"/>
      <c r="L48" s="215">
        <f>I48*H48</f>
        <v>19031.22900000005</v>
      </c>
      <c r="M48" s="216"/>
      <c r="N48" s="171">
        <f>L48</f>
        <v>19031.22900000005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3"/>
    </row>
    <row r="49" spans="1:24" s="23" customFormat="1" ht="36.75" customHeight="1" x14ac:dyDescent="0.2">
      <c r="A49" s="186" t="s">
        <v>40</v>
      </c>
      <c r="B49" s="187"/>
      <c r="C49" s="187"/>
      <c r="D49" s="187"/>
      <c r="E49" s="187"/>
      <c r="F49" s="188"/>
      <c r="G49" s="24"/>
      <c r="H49" s="25">
        <v>11.565</v>
      </c>
      <c r="I49" s="189">
        <f>V41</f>
        <v>9119.774849999998</v>
      </c>
      <c r="J49" s="190"/>
      <c r="K49" s="191"/>
      <c r="L49" s="189">
        <f>I49*H49</f>
        <v>105470.19614024997</v>
      </c>
      <c r="M49" s="191"/>
      <c r="N49" s="168">
        <f>L49</f>
        <v>105470.19614024997</v>
      </c>
      <c r="O49" s="169"/>
      <c r="P49" s="169"/>
      <c r="Q49" s="169"/>
      <c r="R49" s="169"/>
      <c r="S49" s="169"/>
      <c r="T49" s="169"/>
      <c r="U49" s="169"/>
      <c r="V49" s="169"/>
      <c r="W49" s="169"/>
      <c r="X49" s="170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J43" sqref="F43:J44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68"/>
      <c r="B1" s="269"/>
      <c r="C1" s="269"/>
      <c r="D1" s="270"/>
      <c r="E1" s="251" t="s">
        <v>41</v>
      </c>
      <c r="F1" s="252"/>
      <c r="G1" s="252"/>
      <c r="H1" s="252"/>
      <c r="I1" s="253"/>
      <c r="J1" s="260" t="s">
        <v>42</v>
      </c>
      <c r="K1" s="261"/>
      <c r="L1" s="49"/>
    </row>
    <row r="2" spans="1:12" ht="16.5" customHeight="1" x14ac:dyDescent="0.2">
      <c r="A2" s="271"/>
      <c r="B2" s="272"/>
      <c r="C2" s="272"/>
      <c r="D2" s="273"/>
      <c r="E2" s="254"/>
      <c r="F2" s="255"/>
      <c r="G2" s="255"/>
      <c r="H2" s="255"/>
      <c r="I2" s="256"/>
      <c r="J2" s="262"/>
      <c r="K2" s="263"/>
      <c r="L2" s="49"/>
    </row>
    <row r="3" spans="1:12" ht="48" customHeight="1" x14ac:dyDescent="0.2">
      <c r="A3" s="274"/>
      <c r="B3" s="275"/>
      <c r="C3" s="275"/>
      <c r="D3" s="276"/>
      <c r="E3" s="257"/>
      <c r="F3" s="258"/>
      <c r="G3" s="258"/>
      <c r="H3" s="258"/>
      <c r="I3" s="259"/>
      <c r="J3" s="264"/>
      <c r="K3" s="265"/>
      <c r="L3" s="49"/>
    </row>
    <row r="6" spans="1:12" ht="10.5" customHeight="1" x14ac:dyDescent="0.25"/>
    <row r="7" spans="1:12" ht="16.5" customHeight="1" x14ac:dyDescent="0.2">
      <c r="A7" s="249" t="s">
        <v>43</v>
      </c>
      <c r="B7" s="277" t="s">
        <v>44</v>
      </c>
      <c r="C7" s="278"/>
      <c r="D7" s="266" t="s">
        <v>45</v>
      </c>
      <c r="E7" s="266"/>
      <c r="F7" s="267" t="s">
        <v>46</v>
      </c>
      <c r="G7" s="267"/>
      <c r="H7" s="267"/>
      <c r="I7" s="267"/>
      <c r="J7" s="267"/>
      <c r="K7" s="267"/>
    </row>
    <row r="8" spans="1:12" s="29" customFormat="1" ht="28.5" customHeight="1" x14ac:dyDescent="0.2">
      <c r="A8" s="250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44531</v>
      </c>
      <c r="B9" s="116">
        <v>2560</v>
      </c>
      <c r="C9" s="115">
        <v>0</v>
      </c>
      <c r="D9" s="57">
        <v>130607.9</v>
      </c>
      <c r="E9" s="50">
        <v>82.799999999988358</v>
      </c>
      <c r="F9" s="51">
        <v>11280504</v>
      </c>
      <c r="G9" s="50">
        <v>3423</v>
      </c>
      <c r="H9" s="51">
        <v>19204667</v>
      </c>
      <c r="I9" s="50">
        <v>5315</v>
      </c>
      <c r="J9" s="51">
        <v>8427356</v>
      </c>
      <c r="K9" s="50">
        <v>2185</v>
      </c>
    </row>
    <row r="10" spans="1:12" ht="19.5" x14ac:dyDescent="0.3">
      <c r="A10" s="59">
        <v>44532</v>
      </c>
      <c r="B10" s="116">
        <v>2560</v>
      </c>
      <c r="C10" s="115">
        <f>B10-B9</f>
        <v>0</v>
      </c>
      <c r="D10" s="57">
        <v>130710</v>
      </c>
      <c r="E10" s="50">
        <f>D10-D9</f>
        <v>102.10000000000582</v>
      </c>
      <c r="F10" s="51">
        <v>11283879</v>
      </c>
      <c r="G10" s="50">
        <f>F10-F9</f>
        <v>3375</v>
      </c>
      <c r="H10" s="51">
        <v>19209644</v>
      </c>
      <c r="I10" s="50">
        <f t="shared" ref="I10:I40" si="0">H10-H9</f>
        <v>4977</v>
      </c>
      <c r="J10" s="51">
        <v>8429559</v>
      </c>
      <c r="K10" s="50">
        <f>J10-J9</f>
        <v>2203</v>
      </c>
    </row>
    <row r="11" spans="1:12" ht="19.5" x14ac:dyDescent="0.3">
      <c r="A11" s="59">
        <v>44533</v>
      </c>
      <c r="B11" s="116">
        <v>2560</v>
      </c>
      <c r="C11" s="115">
        <f>B11-B10</f>
        <v>0</v>
      </c>
      <c r="D11" s="57">
        <v>130809</v>
      </c>
      <c r="E11" s="50">
        <f t="shared" ref="E11:E40" si="1">D11-D10</f>
        <v>99</v>
      </c>
      <c r="F11" s="51">
        <v>11287276</v>
      </c>
      <c r="G11" s="50">
        <f t="shared" ref="G11:G40" si="2">F11-F10</f>
        <v>3397</v>
      </c>
      <c r="H11" s="51">
        <v>19214235</v>
      </c>
      <c r="I11" s="50">
        <f t="shared" si="0"/>
        <v>4591</v>
      </c>
      <c r="J11" s="51">
        <v>8431751</v>
      </c>
      <c r="K11" s="50">
        <f t="shared" ref="K11:K40" si="3">J11-J10</f>
        <v>2192</v>
      </c>
    </row>
    <row r="12" spans="1:12" ht="19.5" x14ac:dyDescent="0.3">
      <c r="A12" s="59">
        <v>44534</v>
      </c>
      <c r="B12" s="116">
        <v>2560</v>
      </c>
      <c r="C12" s="115">
        <f>B12-B11</f>
        <v>0</v>
      </c>
      <c r="D12" s="57">
        <v>130880.2</v>
      </c>
      <c r="E12" s="50">
        <f t="shared" si="1"/>
        <v>71.19999999999709</v>
      </c>
      <c r="F12" s="51">
        <v>11290317</v>
      </c>
      <c r="G12" s="50">
        <f t="shared" si="2"/>
        <v>3041</v>
      </c>
      <c r="H12" s="51">
        <v>19218430</v>
      </c>
      <c r="I12" s="50">
        <f t="shared" si="0"/>
        <v>4195</v>
      </c>
      <c r="J12" s="51">
        <v>8433664</v>
      </c>
      <c r="K12" s="50">
        <f t="shared" si="3"/>
        <v>1913</v>
      </c>
    </row>
    <row r="13" spans="1:12" ht="19.5" x14ac:dyDescent="0.3">
      <c r="A13" s="59">
        <v>44535</v>
      </c>
      <c r="B13" s="116">
        <v>2560</v>
      </c>
      <c r="C13" s="115">
        <f>B13-B12</f>
        <v>0</v>
      </c>
      <c r="D13" s="57">
        <v>130956.9</v>
      </c>
      <c r="E13" s="50">
        <f t="shared" si="1"/>
        <v>76.69999999999709</v>
      </c>
      <c r="F13" s="51">
        <v>11293210</v>
      </c>
      <c r="G13" s="50">
        <f t="shared" si="2"/>
        <v>2893</v>
      </c>
      <c r="H13" s="51">
        <v>19222675</v>
      </c>
      <c r="I13" s="50">
        <f t="shared" si="0"/>
        <v>4245</v>
      </c>
      <c r="J13" s="51">
        <v>8435647</v>
      </c>
      <c r="K13" s="50">
        <f t="shared" si="3"/>
        <v>1983</v>
      </c>
    </row>
    <row r="14" spans="1:12" ht="19.5" x14ac:dyDescent="0.3">
      <c r="A14" s="59">
        <v>44536</v>
      </c>
      <c r="B14" s="116">
        <v>2560</v>
      </c>
      <c r="C14" s="115">
        <f>B14-B13</f>
        <v>0</v>
      </c>
      <c r="D14" s="57">
        <v>131049.9</v>
      </c>
      <c r="E14" s="50">
        <f t="shared" si="1"/>
        <v>93</v>
      </c>
      <c r="F14" s="51">
        <v>11296100</v>
      </c>
      <c r="G14" s="50">
        <f t="shared" si="2"/>
        <v>2890</v>
      </c>
      <c r="H14" s="51">
        <v>19226705</v>
      </c>
      <c r="I14" s="50">
        <f t="shared" si="0"/>
        <v>4030</v>
      </c>
      <c r="J14" s="51">
        <v>8437550</v>
      </c>
      <c r="K14" s="50">
        <f t="shared" si="3"/>
        <v>1903</v>
      </c>
    </row>
    <row r="15" spans="1:12" ht="19.5" x14ac:dyDescent="0.3">
      <c r="A15" s="59">
        <v>44537</v>
      </c>
      <c r="B15" s="116">
        <v>2560</v>
      </c>
      <c r="C15" s="115">
        <f t="shared" ref="C15:C40" si="4">B15-B14</f>
        <v>0</v>
      </c>
      <c r="D15" s="57">
        <v>131143.1</v>
      </c>
      <c r="E15" s="50">
        <f t="shared" si="1"/>
        <v>93.200000000011642</v>
      </c>
      <c r="F15" s="51">
        <v>11299001</v>
      </c>
      <c r="G15" s="50">
        <f t="shared" si="2"/>
        <v>2901</v>
      </c>
      <c r="H15" s="51">
        <v>19230741</v>
      </c>
      <c r="I15" s="50">
        <f t="shared" si="0"/>
        <v>4036</v>
      </c>
      <c r="J15" s="51">
        <v>8439365</v>
      </c>
      <c r="K15" s="50">
        <f t="shared" si="3"/>
        <v>1815</v>
      </c>
    </row>
    <row r="16" spans="1:12" ht="19.5" x14ac:dyDescent="0.3">
      <c r="A16" s="59">
        <v>44538</v>
      </c>
      <c r="B16" s="116">
        <v>2560</v>
      </c>
      <c r="C16" s="115">
        <f t="shared" si="4"/>
        <v>0</v>
      </c>
      <c r="D16" s="57">
        <v>131218.20000000001</v>
      </c>
      <c r="E16" s="50">
        <f t="shared" si="1"/>
        <v>75.100000000005821</v>
      </c>
      <c r="F16" s="51">
        <v>11301754</v>
      </c>
      <c r="G16" s="50">
        <f t="shared" si="2"/>
        <v>2753</v>
      </c>
      <c r="H16" s="51">
        <v>19234487</v>
      </c>
      <c r="I16" s="50">
        <f t="shared" si="0"/>
        <v>3746</v>
      </c>
      <c r="J16" s="51">
        <v>8440911</v>
      </c>
      <c r="K16" s="50">
        <f t="shared" si="3"/>
        <v>1546</v>
      </c>
    </row>
    <row r="17" spans="1:29" ht="19.5" x14ac:dyDescent="0.3">
      <c r="A17" s="59">
        <v>44539</v>
      </c>
      <c r="B17" s="116">
        <v>2560</v>
      </c>
      <c r="C17" s="115">
        <f t="shared" si="4"/>
        <v>0</v>
      </c>
      <c r="D17" s="57">
        <v>131295.79999999999</v>
      </c>
      <c r="E17" s="50">
        <f t="shared" si="1"/>
        <v>77.599999999976717</v>
      </c>
      <c r="F17" s="51">
        <v>11304481</v>
      </c>
      <c r="G17" s="50">
        <f t="shared" si="2"/>
        <v>2727</v>
      </c>
      <c r="H17" s="51">
        <v>19238415</v>
      </c>
      <c r="I17" s="50">
        <f t="shared" si="0"/>
        <v>3928</v>
      </c>
      <c r="J17" s="51">
        <v>8442798</v>
      </c>
      <c r="K17" s="50">
        <f t="shared" si="3"/>
        <v>1887</v>
      </c>
    </row>
    <row r="18" spans="1:29" ht="19.5" x14ac:dyDescent="0.3">
      <c r="A18" s="59">
        <v>44540</v>
      </c>
      <c r="B18" s="116">
        <v>2560</v>
      </c>
      <c r="C18" s="115">
        <f t="shared" si="4"/>
        <v>0</v>
      </c>
      <c r="D18" s="57">
        <v>131367.6</v>
      </c>
      <c r="E18" s="50">
        <f t="shared" si="1"/>
        <v>71.800000000017462</v>
      </c>
      <c r="F18" s="51">
        <v>11307307</v>
      </c>
      <c r="G18" s="50">
        <f t="shared" si="2"/>
        <v>2826</v>
      </c>
      <c r="H18" s="51">
        <v>19242222</v>
      </c>
      <c r="I18" s="50">
        <f t="shared" si="0"/>
        <v>3807</v>
      </c>
      <c r="J18" s="51">
        <v>8444537</v>
      </c>
      <c r="K18" s="50">
        <f t="shared" si="3"/>
        <v>1739</v>
      </c>
    </row>
    <row r="19" spans="1:29" ht="19.5" x14ac:dyDescent="0.3">
      <c r="A19" s="59">
        <v>44541</v>
      </c>
      <c r="B19" s="116">
        <v>2560</v>
      </c>
      <c r="C19" s="115">
        <f t="shared" si="4"/>
        <v>0</v>
      </c>
      <c r="D19" s="57">
        <v>131430.1</v>
      </c>
      <c r="E19" s="50">
        <f t="shared" si="1"/>
        <v>62.5</v>
      </c>
      <c r="F19" s="51">
        <v>11309988</v>
      </c>
      <c r="G19" s="50">
        <f t="shared" si="2"/>
        <v>2681</v>
      </c>
      <c r="H19" s="51">
        <v>19245927</v>
      </c>
      <c r="I19" s="50">
        <f t="shared" si="0"/>
        <v>3705</v>
      </c>
      <c r="J19" s="51">
        <v>8446186</v>
      </c>
      <c r="K19" s="50">
        <f t="shared" si="3"/>
        <v>1649</v>
      </c>
    </row>
    <row r="20" spans="1:29" ht="25.5" x14ac:dyDescent="0.35">
      <c r="A20" s="59">
        <v>44542</v>
      </c>
      <c r="B20" s="116">
        <v>2560</v>
      </c>
      <c r="C20" s="115">
        <f t="shared" si="4"/>
        <v>0</v>
      </c>
      <c r="D20" s="57">
        <v>131488.5</v>
      </c>
      <c r="E20" s="50">
        <f t="shared" si="1"/>
        <v>58.399999999994179</v>
      </c>
      <c r="F20" s="51">
        <v>11312753</v>
      </c>
      <c r="G20" s="50">
        <f t="shared" si="2"/>
        <v>2765</v>
      </c>
      <c r="H20" s="51">
        <v>19249316</v>
      </c>
      <c r="I20" s="50">
        <f t="shared" si="0"/>
        <v>3389</v>
      </c>
      <c r="J20" s="51">
        <v>8447784</v>
      </c>
      <c r="K20" s="50">
        <f t="shared" si="3"/>
        <v>1598</v>
      </c>
      <c r="L20" s="117" t="s">
        <v>18</v>
      </c>
      <c r="AC20" t="s">
        <v>56</v>
      </c>
    </row>
    <row r="21" spans="1:29" ht="19.5" x14ac:dyDescent="0.3">
      <c r="A21" s="59">
        <v>44543</v>
      </c>
      <c r="B21" s="116">
        <v>2560</v>
      </c>
      <c r="C21" s="115">
        <f t="shared" si="4"/>
        <v>0</v>
      </c>
      <c r="D21" s="57">
        <v>131543.29999999999</v>
      </c>
      <c r="E21" s="50">
        <f t="shared" si="1"/>
        <v>54.799999999988358</v>
      </c>
      <c r="F21" s="51">
        <v>11315524</v>
      </c>
      <c r="G21" s="50">
        <f t="shared" si="2"/>
        <v>2771</v>
      </c>
      <c r="H21" s="51">
        <v>19252819</v>
      </c>
      <c r="I21" s="50">
        <f t="shared" si="0"/>
        <v>3503</v>
      </c>
      <c r="J21" s="51">
        <v>8449401</v>
      </c>
      <c r="K21" s="50">
        <f t="shared" si="3"/>
        <v>1617</v>
      </c>
    </row>
    <row r="22" spans="1:29" ht="19.5" x14ac:dyDescent="0.3">
      <c r="A22" s="59">
        <v>44544</v>
      </c>
      <c r="B22" s="116">
        <v>2560</v>
      </c>
      <c r="C22" s="115">
        <f t="shared" si="4"/>
        <v>0</v>
      </c>
      <c r="D22" s="57">
        <v>131610</v>
      </c>
      <c r="E22" s="50">
        <f t="shared" si="1"/>
        <v>66.700000000011642</v>
      </c>
      <c r="F22" s="51">
        <v>11317575</v>
      </c>
      <c r="G22" s="50">
        <f t="shared" si="2"/>
        <v>2051</v>
      </c>
      <c r="H22" s="51">
        <v>19256272</v>
      </c>
      <c r="I22" s="50">
        <f t="shared" si="0"/>
        <v>3453</v>
      </c>
      <c r="J22" s="51">
        <v>8451031</v>
      </c>
      <c r="K22" s="50">
        <f t="shared" si="3"/>
        <v>1630</v>
      </c>
    </row>
    <row r="23" spans="1:29" ht="19.5" x14ac:dyDescent="0.3">
      <c r="A23" s="59">
        <v>44545</v>
      </c>
      <c r="B23" s="116">
        <v>2560</v>
      </c>
      <c r="C23" s="115">
        <f t="shared" si="4"/>
        <v>0</v>
      </c>
      <c r="D23" s="57">
        <v>131689.60000000001</v>
      </c>
      <c r="E23" s="50">
        <f t="shared" si="1"/>
        <v>79.600000000005821</v>
      </c>
      <c r="F23" s="51">
        <v>11320064</v>
      </c>
      <c r="G23" s="50">
        <f t="shared" si="2"/>
        <v>2489</v>
      </c>
      <c r="H23" s="51">
        <v>19259883</v>
      </c>
      <c r="I23" s="50">
        <f t="shared" si="0"/>
        <v>3611</v>
      </c>
      <c r="J23" s="51">
        <v>8452724</v>
      </c>
      <c r="K23" s="50">
        <f t="shared" si="3"/>
        <v>1693</v>
      </c>
    </row>
    <row r="24" spans="1:29" ht="19.5" x14ac:dyDescent="0.3">
      <c r="A24" s="59">
        <v>44546</v>
      </c>
      <c r="B24" s="116">
        <v>2560</v>
      </c>
      <c r="C24" s="115">
        <f t="shared" si="4"/>
        <v>0</v>
      </c>
      <c r="D24" s="57">
        <v>131775.29999999999</v>
      </c>
      <c r="E24" s="50">
        <f t="shared" si="1"/>
        <v>85.699999999982538</v>
      </c>
      <c r="F24" s="51">
        <v>11322829</v>
      </c>
      <c r="G24" s="50">
        <f t="shared" si="2"/>
        <v>2765</v>
      </c>
      <c r="H24" s="51">
        <v>19263865</v>
      </c>
      <c r="I24" s="50">
        <f t="shared" si="0"/>
        <v>3982</v>
      </c>
      <c r="J24" s="51">
        <v>8454615</v>
      </c>
      <c r="K24" s="50">
        <f t="shared" si="3"/>
        <v>1891</v>
      </c>
    </row>
    <row r="25" spans="1:29" ht="19.5" x14ac:dyDescent="0.3">
      <c r="A25" s="59">
        <v>44547</v>
      </c>
      <c r="B25" s="116">
        <v>2560</v>
      </c>
      <c r="C25" s="115">
        <f t="shared" si="4"/>
        <v>0</v>
      </c>
      <c r="D25" s="57">
        <v>131854.79999999999</v>
      </c>
      <c r="E25" s="50">
        <f t="shared" si="1"/>
        <v>79.5</v>
      </c>
      <c r="F25" s="51">
        <v>11325552</v>
      </c>
      <c r="G25" s="50">
        <f t="shared" si="2"/>
        <v>2723</v>
      </c>
      <c r="H25" s="51">
        <v>19267676</v>
      </c>
      <c r="I25" s="50">
        <f t="shared" si="0"/>
        <v>3811</v>
      </c>
      <c r="J25" s="51">
        <v>8456295</v>
      </c>
      <c r="K25" s="50">
        <f t="shared" si="3"/>
        <v>1680</v>
      </c>
    </row>
    <row r="26" spans="1:29" ht="19.5" x14ac:dyDescent="0.3">
      <c r="A26" s="59">
        <v>44548</v>
      </c>
      <c r="B26" s="116">
        <v>2560</v>
      </c>
      <c r="C26" s="115">
        <f t="shared" si="4"/>
        <v>0</v>
      </c>
      <c r="D26" s="57">
        <v>131921.70000000001</v>
      </c>
      <c r="E26" s="50">
        <f t="shared" si="1"/>
        <v>66.900000000023283</v>
      </c>
      <c r="F26" s="51">
        <v>11328118</v>
      </c>
      <c r="G26" s="50">
        <f t="shared" si="2"/>
        <v>2566</v>
      </c>
      <c r="H26" s="51">
        <v>19271265</v>
      </c>
      <c r="I26" s="50">
        <f t="shared" si="0"/>
        <v>3589</v>
      </c>
      <c r="J26" s="51">
        <v>8457945</v>
      </c>
      <c r="K26" s="50">
        <f t="shared" si="3"/>
        <v>1650</v>
      </c>
    </row>
    <row r="27" spans="1:29" ht="19.5" x14ac:dyDescent="0.3">
      <c r="A27" s="59">
        <v>44549</v>
      </c>
      <c r="B27" s="116">
        <v>2560</v>
      </c>
      <c r="C27" s="115">
        <f t="shared" si="4"/>
        <v>0</v>
      </c>
      <c r="D27" s="57">
        <v>131988.4</v>
      </c>
      <c r="E27" s="50">
        <f t="shared" si="1"/>
        <v>66.699999999982538</v>
      </c>
      <c r="F27" s="51">
        <v>11330782</v>
      </c>
      <c r="G27" s="50">
        <f t="shared" si="2"/>
        <v>2664</v>
      </c>
      <c r="H27" s="51">
        <v>19274820</v>
      </c>
      <c r="I27" s="50">
        <f t="shared" si="0"/>
        <v>3555</v>
      </c>
      <c r="J27" s="51">
        <v>8459912</v>
      </c>
      <c r="K27" s="50">
        <f t="shared" si="3"/>
        <v>1967</v>
      </c>
    </row>
    <row r="28" spans="1:29" ht="19.5" x14ac:dyDescent="0.3">
      <c r="A28" s="59">
        <v>44550</v>
      </c>
      <c r="B28" s="116">
        <v>2560</v>
      </c>
      <c r="C28" s="115">
        <f t="shared" si="4"/>
        <v>0</v>
      </c>
      <c r="D28" s="57">
        <v>132054.5</v>
      </c>
      <c r="E28" s="50">
        <f t="shared" si="1"/>
        <v>66.100000000005821</v>
      </c>
      <c r="F28" s="51">
        <v>11333334</v>
      </c>
      <c r="G28" s="50">
        <f t="shared" si="2"/>
        <v>2552</v>
      </c>
      <c r="H28" s="51">
        <v>19278226</v>
      </c>
      <c r="I28" s="50">
        <f t="shared" si="0"/>
        <v>3406</v>
      </c>
      <c r="J28" s="51">
        <v>8461514</v>
      </c>
      <c r="K28" s="50">
        <f t="shared" si="3"/>
        <v>1602</v>
      </c>
    </row>
    <row r="29" spans="1:29" ht="19.5" x14ac:dyDescent="0.3">
      <c r="A29" s="59">
        <v>44551</v>
      </c>
      <c r="B29" s="116">
        <v>2560</v>
      </c>
      <c r="C29" s="115">
        <f t="shared" si="4"/>
        <v>0</v>
      </c>
      <c r="D29" s="57">
        <v>132112.1</v>
      </c>
      <c r="E29" s="50">
        <f t="shared" si="1"/>
        <v>57.600000000005821</v>
      </c>
      <c r="F29" s="51">
        <v>11335761</v>
      </c>
      <c r="G29" s="50">
        <f t="shared" si="2"/>
        <v>2427</v>
      </c>
      <c r="H29" s="51">
        <v>19281610</v>
      </c>
      <c r="I29" s="50">
        <f t="shared" si="0"/>
        <v>3384</v>
      </c>
      <c r="J29" s="51">
        <v>8463031</v>
      </c>
      <c r="K29" s="50">
        <f t="shared" si="3"/>
        <v>1517</v>
      </c>
    </row>
    <row r="30" spans="1:29" ht="19.5" x14ac:dyDescent="0.3">
      <c r="A30" s="59">
        <v>44552</v>
      </c>
      <c r="B30" s="116">
        <v>2560</v>
      </c>
      <c r="C30" s="115">
        <f t="shared" si="4"/>
        <v>0</v>
      </c>
      <c r="D30" s="57">
        <v>132157.20000000001</v>
      </c>
      <c r="E30" s="50">
        <f t="shared" si="1"/>
        <v>45.100000000005821</v>
      </c>
      <c r="F30" s="51">
        <v>11338609</v>
      </c>
      <c r="G30" s="50">
        <f t="shared" si="2"/>
        <v>2848</v>
      </c>
      <c r="H30" s="51">
        <v>19285017</v>
      </c>
      <c r="I30" s="50">
        <f t="shared" si="0"/>
        <v>3407</v>
      </c>
      <c r="J30" s="51">
        <v>8464647</v>
      </c>
      <c r="K30" s="50">
        <f t="shared" si="3"/>
        <v>1616</v>
      </c>
    </row>
    <row r="31" spans="1:29" ht="19.5" x14ac:dyDescent="0.3">
      <c r="A31" s="59">
        <v>44553</v>
      </c>
      <c r="B31" s="116">
        <v>2560</v>
      </c>
      <c r="C31" s="115">
        <f t="shared" si="4"/>
        <v>0</v>
      </c>
      <c r="D31" s="57">
        <v>132223.1</v>
      </c>
      <c r="E31" s="50">
        <f t="shared" si="1"/>
        <v>65.899999999994179</v>
      </c>
      <c r="F31" s="51">
        <v>11341311</v>
      </c>
      <c r="G31" s="50">
        <f t="shared" si="2"/>
        <v>2702</v>
      </c>
      <c r="H31" s="51">
        <v>19288848</v>
      </c>
      <c r="I31" s="50">
        <f t="shared" si="0"/>
        <v>3831</v>
      </c>
      <c r="J31" s="51">
        <v>8466471</v>
      </c>
      <c r="K31" s="50">
        <f t="shared" si="3"/>
        <v>1824</v>
      </c>
    </row>
    <row r="32" spans="1:29" ht="19.5" x14ac:dyDescent="0.3">
      <c r="A32" s="59">
        <v>44554</v>
      </c>
      <c r="B32" s="116">
        <v>2560</v>
      </c>
      <c r="C32" s="115">
        <f t="shared" si="4"/>
        <v>0</v>
      </c>
      <c r="D32" s="57">
        <v>132276.79999999999</v>
      </c>
      <c r="E32" s="50">
        <f t="shared" si="1"/>
        <v>53.699999999982538</v>
      </c>
      <c r="F32" s="51">
        <v>11343900</v>
      </c>
      <c r="G32" s="50">
        <f t="shared" si="2"/>
        <v>2589</v>
      </c>
      <c r="H32" s="51">
        <v>19292434</v>
      </c>
      <c r="I32" s="50">
        <f t="shared" si="0"/>
        <v>3586</v>
      </c>
      <c r="J32" s="51">
        <v>8468173</v>
      </c>
      <c r="K32" s="50">
        <f t="shared" si="3"/>
        <v>1702</v>
      </c>
    </row>
    <row r="33" spans="1:11" ht="19.5" x14ac:dyDescent="0.3">
      <c r="A33" s="59">
        <v>44555</v>
      </c>
      <c r="B33" s="116">
        <v>2560</v>
      </c>
      <c r="C33" s="115">
        <f t="shared" si="4"/>
        <v>0</v>
      </c>
      <c r="D33" s="57">
        <v>132335.20000000001</v>
      </c>
      <c r="E33" s="50">
        <f t="shared" si="1"/>
        <v>58.400000000023283</v>
      </c>
      <c r="F33" s="51">
        <v>11346574</v>
      </c>
      <c r="G33" s="50">
        <f t="shared" si="2"/>
        <v>2674</v>
      </c>
      <c r="H33" s="51">
        <v>19296058</v>
      </c>
      <c r="I33" s="50">
        <f t="shared" si="0"/>
        <v>3624</v>
      </c>
      <c r="J33" s="51">
        <v>8469949</v>
      </c>
      <c r="K33" s="50">
        <f t="shared" si="3"/>
        <v>1776</v>
      </c>
    </row>
    <row r="34" spans="1:11" ht="19.5" x14ac:dyDescent="0.3">
      <c r="A34" s="59">
        <v>44556</v>
      </c>
      <c r="B34" s="116">
        <v>2560</v>
      </c>
      <c r="C34" s="115">
        <f t="shared" si="4"/>
        <v>0</v>
      </c>
      <c r="D34" s="57">
        <v>132405.29999999999</v>
      </c>
      <c r="E34" s="50">
        <f t="shared" si="1"/>
        <v>70.099999999976717</v>
      </c>
      <c r="F34" s="51">
        <v>11349194</v>
      </c>
      <c r="G34" s="50">
        <f t="shared" si="2"/>
        <v>2620</v>
      </c>
      <c r="H34" s="51">
        <v>19299656</v>
      </c>
      <c r="I34" s="50">
        <f t="shared" si="0"/>
        <v>3598</v>
      </c>
      <c r="J34" s="51">
        <v>8471589</v>
      </c>
      <c r="K34" s="50">
        <f t="shared" si="3"/>
        <v>1640</v>
      </c>
    </row>
    <row r="35" spans="1:11" ht="19.5" x14ac:dyDescent="0.3">
      <c r="A35" s="59">
        <v>44557</v>
      </c>
      <c r="B35" s="116">
        <v>2560</v>
      </c>
      <c r="C35" s="115">
        <f t="shared" si="4"/>
        <v>0</v>
      </c>
      <c r="D35" s="57">
        <v>132467.5</v>
      </c>
      <c r="E35" s="50">
        <f t="shared" si="1"/>
        <v>62.200000000011642</v>
      </c>
      <c r="F35" s="51">
        <v>11351776</v>
      </c>
      <c r="G35" s="50">
        <f t="shared" si="2"/>
        <v>2582</v>
      </c>
      <c r="H35" s="51">
        <v>19303086</v>
      </c>
      <c r="I35" s="50">
        <f t="shared" si="0"/>
        <v>3430</v>
      </c>
      <c r="J35" s="51">
        <v>8473203</v>
      </c>
      <c r="K35" s="50">
        <f t="shared" si="3"/>
        <v>1614</v>
      </c>
    </row>
    <row r="36" spans="1:11" ht="19.5" x14ac:dyDescent="0.3">
      <c r="A36" s="59">
        <v>44558</v>
      </c>
      <c r="B36" s="116">
        <v>2560</v>
      </c>
      <c r="C36" s="115">
        <f t="shared" si="4"/>
        <v>0</v>
      </c>
      <c r="D36" s="57">
        <v>132506.29999999999</v>
      </c>
      <c r="E36" s="50">
        <f t="shared" si="1"/>
        <v>38.799999999988358</v>
      </c>
      <c r="F36" s="51">
        <v>11354238</v>
      </c>
      <c r="G36" s="50">
        <f t="shared" si="2"/>
        <v>2462</v>
      </c>
      <c r="H36" s="51">
        <v>19306429</v>
      </c>
      <c r="I36" s="50">
        <f t="shared" si="0"/>
        <v>3343</v>
      </c>
      <c r="J36" s="51">
        <v>8474753</v>
      </c>
      <c r="K36" s="50">
        <f t="shared" si="3"/>
        <v>1550</v>
      </c>
    </row>
    <row r="37" spans="1:11" ht="19.5" x14ac:dyDescent="0.3">
      <c r="A37" s="59">
        <v>44559</v>
      </c>
      <c r="B37" s="116">
        <v>2560</v>
      </c>
      <c r="C37" s="115">
        <f t="shared" si="4"/>
        <v>0</v>
      </c>
      <c r="D37" s="57">
        <v>132568.1</v>
      </c>
      <c r="E37" s="50">
        <f t="shared" si="1"/>
        <v>61.800000000017462</v>
      </c>
      <c r="F37" s="51">
        <v>11356771</v>
      </c>
      <c r="G37" s="50">
        <f t="shared" si="2"/>
        <v>2533</v>
      </c>
      <c r="H37" s="51">
        <v>19309857</v>
      </c>
      <c r="I37" s="50">
        <f t="shared" si="0"/>
        <v>3428</v>
      </c>
      <c r="J37" s="51">
        <v>8476360</v>
      </c>
      <c r="K37" s="50">
        <f t="shared" si="3"/>
        <v>1607</v>
      </c>
    </row>
    <row r="38" spans="1:11" ht="19.5" x14ac:dyDescent="0.3">
      <c r="A38" s="59">
        <v>44560</v>
      </c>
      <c r="B38" s="116">
        <v>2560</v>
      </c>
      <c r="C38" s="115">
        <f t="shared" si="4"/>
        <v>0</v>
      </c>
      <c r="D38" s="57">
        <v>132648.6</v>
      </c>
      <c r="E38" s="50">
        <f t="shared" si="1"/>
        <v>80.5</v>
      </c>
      <c r="F38" s="51">
        <v>11359287</v>
      </c>
      <c r="G38" s="50">
        <f t="shared" si="2"/>
        <v>2516</v>
      </c>
      <c r="H38" s="51">
        <v>19313275</v>
      </c>
      <c r="I38" s="50">
        <f t="shared" si="0"/>
        <v>3418</v>
      </c>
      <c r="J38" s="51">
        <v>8477958</v>
      </c>
      <c r="K38" s="50">
        <f t="shared" si="3"/>
        <v>1598</v>
      </c>
    </row>
    <row r="39" spans="1:11" ht="19.5" x14ac:dyDescent="0.3">
      <c r="A39" s="59">
        <v>44561</v>
      </c>
      <c r="B39" s="116">
        <v>2560</v>
      </c>
      <c r="C39" s="115">
        <f t="shared" si="4"/>
        <v>0</v>
      </c>
      <c r="D39" s="57">
        <v>132690.20000000001</v>
      </c>
      <c r="E39" s="50">
        <f t="shared" si="1"/>
        <v>41.600000000005821</v>
      </c>
      <c r="F39" s="51">
        <v>11361906</v>
      </c>
      <c r="G39" s="50">
        <f t="shared" si="2"/>
        <v>2619</v>
      </c>
      <c r="H39" s="51">
        <v>19316675</v>
      </c>
      <c r="I39" s="50">
        <f t="shared" si="0"/>
        <v>3400</v>
      </c>
      <c r="J39" s="51">
        <v>8479577</v>
      </c>
      <c r="K39" s="50">
        <f t="shared" si="3"/>
        <v>1619</v>
      </c>
    </row>
    <row r="40" spans="1:11" ht="19.5" x14ac:dyDescent="0.3">
      <c r="A40" s="59">
        <v>44562</v>
      </c>
      <c r="B40" s="116">
        <v>2560</v>
      </c>
      <c r="C40" s="115">
        <f t="shared" si="4"/>
        <v>0</v>
      </c>
      <c r="D40" s="57">
        <v>132699</v>
      </c>
      <c r="E40" s="50">
        <f t="shared" si="1"/>
        <v>8.7999999999883585</v>
      </c>
      <c r="F40" s="51">
        <v>11364390</v>
      </c>
      <c r="G40" s="50">
        <f t="shared" si="2"/>
        <v>2484</v>
      </c>
      <c r="H40" s="51">
        <v>19320037</v>
      </c>
      <c r="I40" s="50">
        <f t="shared" si="0"/>
        <v>3362</v>
      </c>
      <c r="J40" s="51">
        <v>8481098</v>
      </c>
      <c r="K40" s="50">
        <f t="shared" si="3"/>
        <v>1521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0:E40">
    <cfRule type="cellIs" dxfId="3" priority="6" stopIfTrue="1" operator="lessThanOrEqual">
      <formula>0</formula>
    </cfRule>
  </conditionalFormatting>
  <conditionalFormatting sqref="E10:E40">
    <cfRule type="cellIs" dxfId="2" priority="5" stopIfTrue="1" operator="lessThanOrEqual">
      <formula>0</formula>
    </cfRule>
  </conditionalFormatting>
  <conditionalFormatting sqref="E9">
    <cfRule type="cellIs" dxfId="1" priority="4" stopIfTrue="1" operator="lessThanOrEqual">
      <formula>0</formula>
    </cfRule>
  </conditionalFormatting>
  <conditionalFormatting sqref="E9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F25" activePane="bottomRight" state="frozen"/>
      <selection pane="topRight" activeCell="B1" sqref="B1"/>
      <selection pane="bottomLeft" activeCell="A4" sqref="A4"/>
      <selection pane="bottomRight" activeCell="O4" sqref="O4:O34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2" t="s">
        <v>57</v>
      </c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</row>
    <row r="2" spans="1:31" ht="41.25" customHeight="1" thickBot="1" x14ac:dyDescent="0.4">
      <c r="Q2" s="287">
        <v>803</v>
      </c>
      <c r="R2" s="288"/>
      <c r="S2" s="289"/>
      <c r="T2" s="290">
        <v>519</v>
      </c>
      <c r="U2" s="288"/>
      <c r="V2" s="289"/>
      <c r="W2" s="290">
        <v>800</v>
      </c>
      <c r="X2" s="288"/>
      <c r="Y2" s="289"/>
      <c r="Z2" s="290">
        <v>802</v>
      </c>
      <c r="AA2" s="288"/>
      <c r="AB2" s="291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44531</v>
      </c>
      <c r="B4" s="41">
        <v>61</v>
      </c>
      <c r="C4" s="39">
        <f t="shared" ref="C4" si="0">IF(AC4&gt;0,((B4-R4)+(S4-B5)),IF(B5=0, ,(B4-B5)))</f>
        <v>8</v>
      </c>
      <c r="D4" s="41">
        <v>60</v>
      </c>
      <c r="E4" s="39">
        <f t="shared" ref="E4" si="1">IF(AC4&gt;0,((D4-U4)+(V4-D5)),IF(D5=0, ,(D4-D5)))</f>
        <v>6</v>
      </c>
      <c r="F4" s="41">
        <v>62</v>
      </c>
      <c r="G4" s="39">
        <f t="shared" ref="G4" si="2">IF(AC4&gt;0,((F4-X4)+(Y4-F5)),IF(F5=0, ,(F4-F5)))</f>
        <v>6</v>
      </c>
      <c r="H4" s="41">
        <v>63</v>
      </c>
      <c r="I4" s="39">
        <f>IF(AC4&gt;0,((H4-AA4)+(AB4-H5)),IF(H5=0, ,(H4-H5)))</f>
        <v>4</v>
      </c>
      <c r="J4" s="39">
        <f>B4+D4+F4+H4</f>
        <v>246</v>
      </c>
      <c r="K4" s="39">
        <f>J4/4</f>
        <v>61.5</v>
      </c>
      <c r="L4" s="39">
        <f>IF(AC4&gt;0,((K4-AD4)+(AE4-K5)),IF(K5=0, ,(K4-K5)))</f>
        <v>6</v>
      </c>
      <c r="M4" s="148">
        <f t="shared" ref="M4:M7" si="3">6049*4</f>
        <v>24196</v>
      </c>
      <c r="N4" s="39">
        <f>L4*M4/100</f>
        <v>1451.76</v>
      </c>
      <c r="O4" s="39">
        <f>N4*0.529</f>
        <v>767.98104000000001</v>
      </c>
      <c r="P4" s="42">
        <f>O4*11.565</f>
        <v>8881.7007276000004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44532</v>
      </c>
      <c r="B5" s="41">
        <v>53</v>
      </c>
      <c r="C5" s="39">
        <f t="shared" ref="C5:C35" si="7">IF(AC5&gt;0,((B5-R5)+(S5-B6)),IF(B6=0, ,(B5-B6)))</f>
        <v>0</v>
      </c>
      <c r="D5" s="41">
        <v>54</v>
      </c>
      <c r="E5" s="39">
        <f t="shared" ref="E5:E35" si="8">IF(AC5&gt;0,((D5-U5)+(V5-D6)),IF(D6=0, ,(D5-D6)))</f>
        <v>1</v>
      </c>
      <c r="F5" s="41">
        <v>56</v>
      </c>
      <c r="G5" s="39">
        <f t="shared" ref="G5:G35" si="9">IF(AC5&gt;0,((F5-X5)+(Y5-F6)),IF(F6=0, ,(F5-F6)))</f>
        <v>2</v>
      </c>
      <c r="H5" s="41">
        <v>59</v>
      </c>
      <c r="I5" s="39">
        <f>IF(AC5&gt;0,((H5-AA5)+(AB5-H6)),IF(H6=0, ,(H5-H6)))</f>
        <v>3</v>
      </c>
      <c r="J5" s="39">
        <f>B5+D5+F5+H5</f>
        <v>222</v>
      </c>
      <c r="K5" s="39">
        <f>J5/4</f>
        <v>55.5</v>
      </c>
      <c r="L5" s="39">
        <f>IF(AC5&gt;0,((K5-AD5)+(AE5-K6)),IF(K6=0, ,(K5-K6)))</f>
        <v>1.5</v>
      </c>
      <c r="M5" s="148">
        <f t="shared" si="3"/>
        <v>24196</v>
      </c>
      <c r="N5" s="39">
        <f>L5*M5/100</f>
        <v>362.94</v>
      </c>
      <c r="O5" s="39">
        <f t="shared" ref="O5:O34" si="10">N5*0.529</f>
        <v>191.99526</v>
      </c>
      <c r="P5" s="42">
        <f t="shared" ref="P5:P34" si="11">O5*11.565</f>
        <v>2220.4251819000001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44533</v>
      </c>
      <c r="B6" s="41">
        <v>53</v>
      </c>
      <c r="C6" s="39">
        <f t="shared" si="7"/>
        <v>3</v>
      </c>
      <c r="D6" s="41">
        <v>53</v>
      </c>
      <c r="E6" s="39">
        <f t="shared" si="8"/>
        <v>1</v>
      </c>
      <c r="F6" s="41">
        <v>54</v>
      </c>
      <c r="G6" s="39">
        <f t="shared" si="9"/>
        <v>0</v>
      </c>
      <c r="H6" s="41">
        <v>56</v>
      </c>
      <c r="I6" s="39">
        <f t="shared" ref="I6:I36" si="12">IF(AC6&gt;0,((H6-AA6)+(AB6-H7)),IF(H7=0, ,(H6-H7)))</f>
        <v>2</v>
      </c>
      <c r="J6" s="39">
        <f t="shared" ref="J6:J42" si="13">B6+D6+F6+H6</f>
        <v>216</v>
      </c>
      <c r="K6" s="39">
        <f t="shared" ref="K6:K42" si="14">J6/4</f>
        <v>54</v>
      </c>
      <c r="L6" s="39">
        <f t="shared" ref="L6:L19" si="15">IF(AC6&gt;0,((K6-AD6)+(AE6-K7)),IF(K7=0, ,(K6-K7)))</f>
        <v>1.5</v>
      </c>
      <c r="M6" s="148">
        <f t="shared" si="3"/>
        <v>24196</v>
      </c>
      <c r="N6" s="39">
        <f t="shared" ref="N6:N42" si="16">L6*M6/100</f>
        <v>362.94</v>
      </c>
      <c r="O6" s="39">
        <f t="shared" si="10"/>
        <v>191.99526</v>
      </c>
      <c r="P6" s="42">
        <f t="shared" si="11"/>
        <v>2220.4251819000001</v>
      </c>
      <c r="Q6" s="39">
        <v>1894</v>
      </c>
      <c r="R6" s="39">
        <v>50</v>
      </c>
      <c r="S6" s="39">
        <v>75</v>
      </c>
      <c r="T6" s="39">
        <v>1890</v>
      </c>
      <c r="U6" s="39">
        <v>53</v>
      </c>
      <c r="V6" s="39">
        <v>80</v>
      </c>
      <c r="W6" s="39">
        <v>1890</v>
      </c>
      <c r="X6" s="39">
        <v>54</v>
      </c>
      <c r="Y6" s="39">
        <v>80</v>
      </c>
      <c r="Z6" s="39">
        <v>1890</v>
      </c>
      <c r="AA6" s="39">
        <v>55</v>
      </c>
      <c r="AB6" s="39">
        <v>80</v>
      </c>
      <c r="AC6" s="39">
        <f t="shared" si="4"/>
        <v>7564</v>
      </c>
      <c r="AD6" s="38">
        <f t="shared" si="5"/>
        <v>53</v>
      </c>
      <c r="AE6" s="38">
        <f t="shared" si="6"/>
        <v>78.75</v>
      </c>
    </row>
    <row r="7" spans="1:31" ht="32.25" customHeight="1" x14ac:dyDescent="0.3">
      <c r="A7" s="40">
        <v>44534</v>
      </c>
      <c r="B7" s="41">
        <v>75</v>
      </c>
      <c r="C7" s="39">
        <f t="shared" si="7"/>
        <v>0</v>
      </c>
      <c r="D7" s="41">
        <v>79</v>
      </c>
      <c r="E7" s="39">
        <f t="shared" si="8"/>
        <v>4</v>
      </c>
      <c r="F7" s="41">
        <v>80</v>
      </c>
      <c r="G7" s="39">
        <f t="shared" si="9"/>
        <v>4</v>
      </c>
      <c r="H7" s="41">
        <v>79</v>
      </c>
      <c r="I7" s="39">
        <f t="shared" si="12"/>
        <v>0</v>
      </c>
      <c r="J7" s="39">
        <f t="shared" si="13"/>
        <v>313</v>
      </c>
      <c r="K7" s="39">
        <f t="shared" si="14"/>
        <v>78.25</v>
      </c>
      <c r="L7" s="39">
        <f t="shared" si="15"/>
        <v>2</v>
      </c>
      <c r="M7" s="148">
        <f t="shared" si="3"/>
        <v>24196</v>
      </c>
      <c r="N7" s="39">
        <f t="shared" si="16"/>
        <v>483.92</v>
      </c>
      <c r="O7" s="39">
        <f t="shared" si="10"/>
        <v>255.99368000000001</v>
      </c>
      <c r="P7" s="42">
        <f t="shared" si="11"/>
        <v>2960.5669091999998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44535</v>
      </c>
      <c r="B8" s="41">
        <v>75</v>
      </c>
      <c r="C8" s="39">
        <f t="shared" si="7"/>
        <v>3</v>
      </c>
      <c r="D8" s="41">
        <v>75</v>
      </c>
      <c r="E8" s="39">
        <f t="shared" si="8"/>
        <v>5</v>
      </c>
      <c r="F8" s="41">
        <v>76</v>
      </c>
      <c r="G8" s="39">
        <f t="shared" si="9"/>
        <v>4</v>
      </c>
      <c r="H8" s="41">
        <v>79</v>
      </c>
      <c r="I8" s="39">
        <f t="shared" si="12"/>
        <v>5</v>
      </c>
      <c r="J8" s="39">
        <f t="shared" si="13"/>
        <v>305</v>
      </c>
      <c r="K8" s="39">
        <f t="shared" si="14"/>
        <v>76.25</v>
      </c>
      <c r="L8" s="39">
        <f t="shared" si="15"/>
        <v>4.25</v>
      </c>
      <c r="M8" s="148">
        <f>6049*4</f>
        <v>24196</v>
      </c>
      <c r="N8" s="39">
        <f t="shared" si="16"/>
        <v>1028.33</v>
      </c>
      <c r="O8" s="39">
        <f t="shared" si="10"/>
        <v>543.98657000000003</v>
      </c>
      <c r="P8" s="42">
        <f t="shared" si="11"/>
        <v>6291.20468205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44536</v>
      </c>
      <c r="B9" s="41">
        <v>72</v>
      </c>
      <c r="C9" s="39">
        <f t="shared" si="7"/>
        <v>2</v>
      </c>
      <c r="D9" s="41">
        <v>70</v>
      </c>
      <c r="E9" s="39">
        <f t="shared" si="8"/>
        <v>0</v>
      </c>
      <c r="F9" s="41">
        <v>72</v>
      </c>
      <c r="G9" s="39">
        <f t="shared" si="9"/>
        <v>2</v>
      </c>
      <c r="H9" s="41">
        <v>74</v>
      </c>
      <c r="I9" s="39">
        <f t="shared" si="12"/>
        <v>3</v>
      </c>
      <c r="J9" s="39">
        <f t="shared" si="13"/>
        <v>288</v>
      </c>
      <c r="K9" s="39">
        <f t="shared" si="14"/>
        <v>72</v>
      </c>
      <c r="L9" s="39">
        <f t="shared" si="15"/>
        <v>1.75</v>
      </c>
      <c r="M9" s="148">
        <f t="shared" ref="M9:M42" si="17">6049*4</f>
        <v>24196</v>
      </c>
      <c r="N9" s="39">
        <f t="shared" si="16"/>
        <v>423.43</v>
      </c>
      <c r="O9" s="39">
        <f t="shared" si="10"/>
        <v>223.99447000000001</v>
      </c>
      <c r="P9" s="42">
        <f t="shared" si="11"/>
        <v>2590.49604555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44537</v>
      </c>
      <c r="B10" s="41">
        <v>70</v>
      </c>
      <c r="C10" s="39">
        <f t="shared" si="7"/>
        <v>1</v>
      </c>
      <c r="D10" s="41">
        <v>70</v>
      </c>
      <c r="E10" s="39">
        <f t="shared" si="8"/>
        <v>1</v>
      </c>
      <c r="F10" s="41">
        <v>70</v>
      </c>
      <c r="G10" s="39">
        <f t="shared" si="9"/>
        <v>0</v>
      </c>
      <c r="H10" s="41">
        <v>71</v>
      </c>
      <c r="I10" s="39">
        <f t="shared" si="12"/>
        <v>1</v>
      </c>
      <c r="J10" s="39">
        <f t="shared" si="13"/>
        <v>281</v>
      </c>
      <c r="K10" s="39">
        <f t="shared" si="14"/>
        <v>70.25</v>
      </c>
      <c r="L10" s="39">
        <f t="shared" si="15"/>
        <v>0.75</v>
      </c>
      <c r="M10" s="148">
        <f t="shared" si="17"/>
        <v>24196</v>
      </c>
      <c r="N10" s="39">
        <f t="shared" si="16"/>
        <v>181.47</v>
      </c>
      <c r="O10" s="39">
        <f t="shared" si="10"/>
        <v>95.997630000000001</v>
      </c>
      <c r="P10" s="42">
        <f t="shared" si="11"/>
        <v>1110.21259095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44538</v>
      </c>
      <c r="B11" s="41">
        <v>69</v>
      </c>
      <c r="C11" s="39">
        <f t="shared" si="7"/>
        <v>4</v>
      </c>
      <c r="D11" s="41">
        <v>69</v>
      </c>
      <c r="E11" s="39">
        <f t="shared" si="8"/>
        <v>4</v>
      </c>
      <c r="F11" s="41">
        <v>70</v>
      </c>
      <c r="G11" s="39">
        <f t="shared" si="9"/>
        <v>4</v>
      </c>
      <c r="H11" s="41">
        <v>70</v>
      </c>
      <c r="I11" s="39">
        <f t="shared" si="12"/>
        <v>0</v>
      </c>
      <c r="J11" s="39">
        <f t="shared" si="13"/>
        <v>278</v>
      </c>
      <c r="K11" s="39">
        <f t="shared" si="14"/>
        <v>69.5</v>
      </c>
      <c r="L11" s="39">
        <f t="shared" si="15"/>
        <v>3</v>
      </c>
      <c r="M11" s="148">
        <f t="shared" si="17"/>
        <v>24196</v>
      </c>
      <c r="N11" s="39">
        <f t="shared" si="16"/>
        <v>725.88</v>
      </c>
      <c r="O11" s="39">
        <f t="shared" si="10"/>
        <v>383.99052</v>
      </c>
      <c r="P11" s="42">
        <f t="shared" si="11"/>
        <v>4440.8503638000002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44539</v>
      </c>
      <c r="B12" s="41">
        <v>65</v>
      </c>
      <c r="C12" s="39">
        <f t="shared" si="7"/>
        <v>2</v>
      </c>
      <c r="D12" s="41">
        <v>65</v>
      </c>
      <c r="E12" s="39">
        <f t="shared" si="8"/>
        <v>2</v>
      </c>
      <c r="F12" s="41">
        <v>66</v>
      </c>
      <c r="G12" s="39">
        <f t="shared" si="9"/>
        <v>1</v>
      </c>
      <c r="H12" s="41">
        <v>70</v>
      </c>
      <c r="I12" s="39">
        <f t="shared" si="12"/>
        <v>4</v>
      </c>
      <c r="J12" s="39">
        <f t="shared" si="13"/>
        <v>266</v>
      </c>
      <c r="K12" s="39">
        <f t="shared" si="14"/>
        <v>66.5</v>
      </c>
      <c r="L12" s="39">
        <f t="shared" si="15"/>
        <v>2.25</v>
      </c>
      <c r="M12" s="148">
        <f t="shared" si="17"/>
        <v>24196</v>
      </c>
      <c r="N12" s="39">
        <f t="shared" si="16"/>
        <v>544.41</v>
      </c>
      <c r="O12" s="39">
        <f t="shared" si="10"/>
        <v>287.99288999999999</v>
      </c>
      <c r="P12" s="42">
        <f t="shared" si="11"/>
        <v>3330.6377728499997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44540</v>
      </c>
      <c r="B13" s="41">
        <v>63</v>
      </c>
      <c r="C13" s="39">
        <f t="shared" si="7"/>
        <v>1</v>
      </c>
      <c r="D13" s="41">
        <v>63</v>
      </c>
      <c r="E13" s="39">
        <f t="shared" si="8"/>
        <v>2</v>
      </c>
      <c r="F13" s="41">
        <v>65</v>
      </c>
      <c r="G13" s="39">
        <f t="shared" si="9"/>
        <v>1</v>
      </c>
      <c r="H13" s="41">
        <v>66</v>
      </c>
      <c r="I13" s="39">
        <f t="shared" si="12"/>
        <v>1</v>
      </c>
      <c r="J13" s="39">
        <f t="shared" si="13"/>
        <v>257</v>
      </c>
      <c r="K13" s="39">
        <f t="shared" si="14"/>
        <v>64.25</v>
      </c>
      <c r="L13" s="39">
        <f t="shared" si="15"/>
        <v>1.25</v>
      </c>
      <c r="M13" s="148">
        <f t="shared" si="17"/>
        <v>24196</v>
      </c>
      <c r="N13" s="39">
        <f t="shared" si="16"/>
        <v>302.45</v>
      </c>
      <c r="O13" s="39">
        <f t="shared" si="10"/>
        <v>159.99605</v>
      </c>
      <c r="P13" s="42">
        <f t="shared" si="11"/>
        <v>1850.3543182499998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44541</v>
      </c>
      <c r="B14" s="41">
        <v>62</v>
      </c>
      <c r="C14" s="39">
        <f t="shared" si="7"/>
        <v>2</v>
      </c>
      <c r="D14" s="41">
        <v>61</v>
      </c>
      <c r="E14" s="39">
        <f t="shared" si="8"/>
        <v>1</v>
      </c>
      <c r="F14" s="41">
        <v>64</v>
      </c>
      <c r="G14" s="39">
        <f t="shared" si="9"/>
        <v>4</v>
      </c>
      <c r="H14" s="41">
        <v>65</v>
      </c>
      <c r="I14" s="39">
        <f>IF(AC14&gt;0,((H14-AA14)+(AB14-H15)),IF(H15=0, ,(H14-H15)))</f>
        <v>3</v>
      </c>
      <c r="J14" s="39">
        <f t="shared" si="13"/>
        <v>252</v>
      </c>
      <c r="K14" s="39">
        <f t="shared" si="14"/>
        <v>63</v>
      </c>
      <c r="L14" s="39">
        <f t="shared" si="15"/>
        <v>2.5</v>
      </c>
      <c r="M14" s="148">
        <f t="shared" si="17"/>
        <v>24196</v>
      </c>
      <c r="N14" s="39">
        <f t="shared" si="16"/>
        <v>604.9</v>
      </c>
      <c r="O14" s="39">
        <f t="shared" si="10"/>
        <v>319.99209999999999</v>
      </c>
      <c r="P14" s="42">
        <f t="shared" si="11"/>
        <v>3700.7086364999996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44542</v>
      </c>
      <c r="B15" s="41">
        <v>60</v>
      </c>
      <c r="C15" s="39">
        <f t="shared" si="7"/>
        <v>3</v>
      </c>
      <c r="D15" s="41">
        <v>60</v>
      </c>
      <c r="E15" s="39">
        <f t="shared" si="8"/>
        <v>5</v>
      </c>
      <c r="F15" s="41">
        <v>60</v>
      </c>
      <c r="G15" s="39">
        <f t="shared" si="9"/>
        <v>2</v>
      </c>
      <c r="H15" s="41">
        <v>62</v>
      </c>
      <c r="I15" s="39">
        <f>IF(AC15&gt;0,((H15-AA15)+(AB15-H16)),IF(H16=0, ,(H15-H16)))</f>
        <v>2</v>
      </c>
      <c r="J15" s="39">
        <f t="shared" si="13"/>
        <v>242</v>
      </c>
      <c r="K15" s="39">
        <f t="shared" si="14"/>
        <v>60.5</v>
      </c>
      <c r="L15" s="39">
        <f t="shared" si="15"/>
        <v>3</v>
      </c>
      <c r="M15" s="148">
        <f t="shared" si="17"/>
        <v>24196</v>
      </c>
      <c r="N15" s="39">
        <f t="shared" si="16"/>
        <v>725.88</v>
      </c>
      <c r="O15" s="39">
        <f t="shared" si="10"/>
        <v>383.99052</v>
      </c>
      <c r="P15" s="42">
        <f t="shared" si="11"/>
        <v>4440.8503638000002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44543</v>
      </c>
      <c r="B16" s="41">
        <v>57</v>
      </c>
      <c r="C16" s="39">
        <f t="shared" si="7"/>
        <v>2</v>
      </c>
      <c r="D16" s="41">
        <v>55</v>
      </c>
      <c r="E16" s="39">
        <f t="shared" si="8"/>
        <v>0</v>
      </c>
      <c r="F16" s="41">
        <v>58</v>
      </c>
      <c r="G16" s="39">
        <f t="shared" si="9"/>
        <v>3</v>
      </c>
      <c r="H16" s="41">
        <v>60</v>
      </c>
      <c r="I16" s="39">
        <f t="shared" si="12"/>
        <v>0</v>
      </c>
      <c r="J16" s="39">
        <f t="shared" si="13"/>
        <v>230</v>
      </c>
      <c r="K16" s="39">
        <f t="shared" si="14"/>
        <v>57.5</v>
      </c>
      <c r="L16" s="39">
        <f t="shared" si="15"/>
        <v>1.25</v>
      </c>
      <c r="M16" s="148">
        <f t="shared" si="17"/>
        <v>24196</v>
      </c>
      <c r="N16" s="39">
        <f t="shared" si="16"/>
        <v>302.45</v>
      </c>
      <c r="O16" s="39">
        <f t="shared" si="10"/>
        <v>159.99605</v>
      </c>
      <c r="P16" s="42">
        <f t="shared" si="11"/>
        <v>1850.3543182499998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44544</v>
      </c>
      <c r="B17" s="41">
        <v>55</v>
      </c>
      <c r="C17" s="39">
        <f t="shared" si="7"/>
        <v>4</v>
      </c>
      <c r="D17" s="41">
        <v>55</v>
      </c>
      <c r="E17" s="39">
        <f t="shared" si="8"/>
        <v>4</v>
      </c>
      <c r="F17" s="41">
        <v>55</v>
      </c>
      <c r="G17" s="39">
        <f t="shared" si="9"/>
        <v>3</v>
      </c>
      <c r="H17" s="41">
        <v>60</v>
      </c>
      <c r="I17" s="39">
        <f t="shared" si="12"/>
        <v>5</v>
      </c>
      <c r="J17" s="39">
        <f t="shared" si="13"/>
        <v>225</v>
      </c>
      <c r="K17" s="39">
        <f t="shared" si="14"/>
        <v>56.25</v>
      </c>
      <c r="L17" s="39">
        <f t="shared" si="15"/>
        <v>4</v>
      </c>
      <c r="M17" s="148">
        <f t="shared" si="17"/>
        <v>24196</v>
      </c>
      <c r="N17" s="39">
        <f t="shared" si="16"/>
        <v>967.84</v>
      </c>
      <c r="O17" s="39">
        <f t="shared" si="10"/>
        <v>511.98736000000002</v>
      </c>
      <c r="P17" s="42">
        <f t="shared" si="11"/>
        <v>5921.1338183999997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44545</v>
      </c>
      <c r="B18" s="41">
        <v>51</v>
      </c>
      <c r="C18" s="39">
        <f t="shared" si="7"/>
        <v>1</v>
      </c>
      <c r="D18" s="41">
        <v>51</v>
      </c>
      <c r="E18" s="39">
        <f t="shared" si="8"/>
        <v>1</v>
      </c>
      <c r="F18" s="41">
        <v>52</v>
      </c>
      <c r="G18" s="39">
        <f t="shared" si="9"/>
        <v>0</v>
      </c>
      <c r="H18" s="41">
        <v>55</v>
      </c>
      <c r="I18" s="39">
        <f t="shared" si="12"/>
        <v>0</v>
      </c>
      <c r="J18" s="39">
        <f t="shared" si="13"/>
        <v>209</v>
      </c>
      <c r="K18" s="39">
        <f t="shared" si="14"/>
        <v>52.25</v>
      </c>
      <c r="L18" s="39">
        <f t="shared" si="15"/>
        <v>0.5</v>
      </c>
      <c r="M18" s="148">
        <f t="shared" si="17"/>
        <v>24196</v>
      </c>
      <c r="N18" s="39">
        <f t="shared" si="16"/>
        <v>120.98</v>
      </c>
      <c r="O18" s="39">
        <f t="shared" si="10"/>
        <v>63.998420000000003</v>
      </c>
      <c r="P18" s="42">
        <f t="shared" si="11"/>
        <v>740.14172729999996</v>
      </c>
      <c r="Q18" s="39">
        <v>500</v>
      </c>
      <c r="R18" s="39">
        <v>50</v>
      </c>
      <c r="S18" s="39">
        <v>60</v>
      </c>
      <c r="T18" s="39">
        <v>500</v>
      </c>
      <c r="U18" s="39">
        <v>50</v>
      </c>
      <c r="V18" s="39">
        <v>60</v>
      </c>
      <c r="W18" s="39">
        <v>500</v>
      </c>
      <c r="X18" s="39">
        <v>52</v>
      </c>
      <c r="Y18" s="39">
        <v>65</v>
      </c>
      <c r="Z18" s="39">
        <v>500</v>
      </c>
      <c r="AA18" s="39">
        <v>55</v>
      </c>
      <c r="AB18" s="39">
        <v>65</v>
      </c>
      <c r="AC18" s="39">
        <f t="shared" si="4"/>
        <v>2000</v>
      </c>
      <c r="AD18" s="38">
        <f t="shared" si="5"/>
        <v>51.75</v>
      </c>
      <c r="AE18" s="38">
        <f t="shared" si="6"/>
        <v>62.5</v>
      </c>
    </row>
    <row r="19" spans="1:31" ht="32.25" customHeight="1" x14ac:dyDescent="0.3">
      <c r="A19" s="40">
        <v>44546</v>
      </c>
      <c r="B19" s="41">
        <v>60</v>
      </c>
      <c r="C19" s="39">
        <f t="shared" si="7"/>
        <v>1</v>
      </c>
      <c r="D19" s="41">
        <v>60</v>
      </c>
      <c r="E19" s="39">
        <f t="shared" si="8"/>
        <v>2</v>
      </c>
      <c r="F19" s="41">
        <v>65</v>
      </c>
      <c r="G19" s="39">
        <f t="shared" si="9"/>
        <v>2</v>
      </c>
      <c r="H19" s="41">
        <v>65</v>
      </c>
      <c r="I19" s="39">
        <f t="shared" si="12"/>
        <v>2</v>
      </c>
      <c r="J19" s="39">
        <f t="shared" si="13"/>
        <v>250</v>
      </c>
      <c r="K19" s="39">
        <f t="shared" si="14"/>
        <v>62.5</v>
      </c>
      <c r="L19" s="39">
        <f t="shared" si="15"/>
        <v>1.75</v>
      </c>
      <c r="M19" s="148">
        <f t="shared" si="17"/>
        <v>24196</v>
      </c>
      <c r="N19" s="39">
        <f t="shared" si="16"/>
        <v>423.43</v>
      </c>
      <c r="O19" s="39">
        <f t="shared" si="10"/>
        <v>223.99447000000001</v>
      </c>
      <c r="P19" s="42">
        <f t="shared" si="11"/>
        <v>2590.49604555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44547</v>
      </c>
      <c r="B20" s="41">
        <v>59</v>
      </c>
      <c r="C20" s="39">
        <f t="shared" si="7"/>
        <v>1</v>
      </c>
      <c r="D20" s="41">
        <v>58</v>
      </c>
      <c r="E20" s="39">
        <f t="shared" si="8"/>
        <v>1</v>
      </c>
      <c r="F20" s="41">
        <v>63</v>
      </c>
      <c r="G20" s="39">
        <f t="shared" si="9"/>
        <v>2</v>
      </c>
      <c r="H20" s="41">
        <v>63</v>
      </c>
      <c r="I20" s="39">
        <f t="shared" si="12"/>
        <v>2</v>
      </c>
      <c r="J20" s="39">
        <f t="shared" si="13"/>
        <v>243</v>
      </c>
      <c r="K20" s="39">
        <f t="shared" si="14"/>
        <v>60.75</v>
      </c>
      <c r="L20" s="39">
        <f t="shared" ref="L20:L42" si="18">IF(AC20&gt;0,((K20-AD20)+(AE20-K21)),IF(K21=0, ,(K20-K21)))</f>
        <v>1.5</v>
      </c>
      <c r="M20" s="148">
        <f t="shared" si="17"/>
        <v>24196</v>
      </c>
      <c r="N20" s="39">
        <f t="shared" si="16"/>
        <v>362.94</v>
      </c>
      <c r="O20" s="39">
        <f t="shared" si="10"/>
        <v>191.99526</v>
      </c>
      <c r="P20" s="42">
        <f t="shared" si="11"/>
        <v>2220.4251819000001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44548</v>
      </c>
      <c r="B21" s="41">
        <v>58</v>
      </c>
      <c r="C21" s="39">
        <f t="shared" si="7"/>
        <v>4</v>
      </c>
      <c r="D21" s="41">
        <v>57</v>
      </c>
      <c r="E21" s="39">
        <f t="shared" si="8"/>
        <v>3</v>
      </c>
      <c r="F21" s="41">
        <v>61</v>
      </c>
      <c r="G21" s="39">
        <f t="shared" si="9"/>
        <v>5</v>
      </c>
      <c r="H21" s="41">
        <v>61</v>
      </c>
      <c r="I21" s="39">
        <f t="shared" si="12"/>
        <v>1</v>
      </c>
      <c r="J21" s="39">
        <f t="shared" si="13"/>
        <v>237</v>
      </c>
      <c r="K21" s="39">
        <f t="shared" si="14"/>
        <v>59.25</v>
      </c>
      <c r="L21" s="39">
        <f>IF(AC21&gt;0,((K21-AD21)+(AE21-K22)),IF(K22=0, ,(K21-K22)))</f>
        <v>3.25</v>
      </c>
      <c r="M21" s="148">
        <f t="shared" si="17"/>
        <v>24196</v>
      </c>
      <c r="N21" s="39">
        <f t="shared" si="16"/>
        <v>786.37</v>
      </c>
      <c r="O21" s="39">
        <f t="shared" si="10"/>
        <v>415.98973000000001</v>
      </c>
      <c r="P21" s="42">
        <f t="shared" si="11"/>
        <v>4810.9212274499996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44549</v>
      </c>
      <c r="B22" s="41">
        <v>54</v>
      </c>
      <c r="C22" s="39">
        <f t="shared" si="7"/>
        <v>3</v>
      </c>
      <c r="D22" s="41">
        <v>54</v>
      </c>
      <c r="E22" s="39">
        <f t="shared" si="8"/>
        <v>3</v>
      </c>
      <c r="F22" s="41">
        <v>56</v>
      </c>
      <c r="G22" s="39">
        <f t="shared" si="9"/>
        <v>3</v>
      </c>
      <c r="H22" s="41">
        <v>60</v>
      </c>
      <c r="I22" s="39">
        <f t="shared" si="12"/>
        <v>5</v>
      </c>
      <c r="J22" s="39">
        <f t="shared" si="13"/>
        <v>224</v>
      </c>
      <c r="K22" s="39">
        <f t="shared" si="14"/>
        <v>56</v>
      </c>
      <c r="L22" s="39">
        <f>IF(AC22&gt;0,((K22-AD22)+(AE22-K23)),IF(K23=0, ,(K22-K23)))</f>
        <v>3.5</v>
      </c>
      <c r="M22" s="148">
        <f t="shared" si="17"/>
        <v>24196</v>
      </c>
      <c r="N22" s="39">
        <f t="shared" si="16"/>
        <v>846.86</v>
      </c>
      <c r="O22" s="39">
        <f t="shared" si="10"/>
        <v>447.98894000000001</v>
      </c>
      <c r="P22" s="42">
        <f t="shared" si="11"/>
        <v>5180.9920910999999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44550</v>
      </c>
      <c r="B23" s="41">
        <v>51</v>
      </c>
      <c r="C23" s="39">
        <f t="shared" si="7"/>
        <v>1</v>
      </c>
      <c r="D23" s="41">
        <v>51</v>
      </c>
      <c r="E23" s="39">
        <f t="shared" si="8"/>
        <v>1</v>
      </c>
      <c r="F23" s="41">
        <v>53</v>
      </c>
      <c r="G23" s="39">
        <f t="shared" si="9"/>
        <v>1</v>
      </c>
      <c r="H23" s="41">
        <v>55</v>
      </c>
      <c r="I23" s="39">
        <f t="shared" si="12"/>
        <v>0</v>
      </c>
      <c r="J23" s="39">
        <f t="shared" si="13"/>
        <v>210</v>
      </c>
      <c r="K23" s="39">
        <f t="shared" si="14"/>
        <v>52.5</v>
      </c>
      <c r="L23" s="39">
        <f t="shared" si="18"/>
        <v>0.75</v>
      </c>
      <c r="M23" s="148">
        <f t="shared" si="17"/>
        <v>24196</v>
      </c>
      <c r="N23" s="39">
        <f t="shared" si="16"/>
        <v>181.47</v>
      </c>
      <c r="O23" s="39">
        <f t="shared" si="10"/>
        <v>95.997630000000001</v>
      </c>
      <c r="P23" s="42">
        <f t="shared" si="11"/>
        <v>1110.21259095</v>
      </c>
      <c r="Q23" s="39">
        <v>1890</v>
      </c>
      <c r="R23" s="39">
        <v>50</v>
      </c>
      <c r="S23" s="39">
        <v>75</v>
      </c>
      <c r="T23" s="39">
        <v>1890</v>
      </c>
      <c r="U23" s="39">
        <v>50</v>
      </c>
      <c r="V23" s="39">
        <v>75</v>
      </c>
      <c r="W23" s="39">
        <v>1890</v>
      </c>
      <c r="X23" s="39">
        <v>53</v>
      </c>
      <c r="Y23" s="39">
        <v>80</v>
      </c>
      <c r="Z23" s="39">
        <v>1980</v>
      </c>
      <c r="AA23" s="39">
        <v>55</v>
      </c>
      <c r="AB23" s="39">
        <v>80</v>
      </c>
      <c r="AC23" s="39">
        <f t="shared" si="4"/>
        <v>7650</v>
      </c>
      <c r="AD23" s="38">
        <f t="shared" si="5"/>
        <v>52</v>
      </c>
      <c r="AE23" s="38">
        <f t="shared" si="6"/>
        <v>77.5</v>
      </c>
    </row>
    <row r="24" spans="1:31" ht="32.25" customHeight="1" x14ac:dyDescent="0.3">
      <c r="A24" s="40">
        <v>44551</v>
      </c>
      <c r="B24" s="41">
        <v>75</v>
      </c>
      <c r="C24" s="39">
        <f t="shared" si="7"/>
        <v>0</v>
      </c>
      <c r="D24" s="41">
        <v>75</v>
      </c>
      <c r="E24" s="39">
        <f t="shared" si="8"/>
        <v>0</v>
      </c>
      <c r="F24" s="41">
        <v>79</v>
      </c>
      <c r="G24" s="39">
        <f t="shared" si="9"/>
        <v>4</v>
      </c>
      <c r="H24" s="41">
        <v>80</v>
      </c>
      <c r="I24" s="39">
        <f t="shared" si="12"/>
        <v>4</v>
      </c>
      <c r="J24" s="39">
        <f t="shared" si="13"/>
        <v>309</v>
      </c>
      <c r="K24" s="39">
        <f t="shared" si="14"/>
        <v>77.25</v>
      </c>
      <c r="L24" s="39">
        <f t="shared" si="18"/>
        <v>2</v>
      </c>
      <c r="M24" s="148">
        <f t="shared" si="17"/>
        <v>24196</v>
      </c>
      <c r="N24" s="39">
        <f t="shared" si="16"/>
        <v>483.92</v>
      </c>
      <c r="O24" s="39">
        <f t="shared" si="10"/>
        <v>255.99368000000001</v>
      </c>
      <c r="P24" s="42">
        <f t="shared" si="11"/>
        <v>2960.5669091999998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44552</v>
      </c>
      <c r="B25" s="41">
        <v>75</v>
      </c>
      <c r="C25" s="39">
        <f t="shared" si="7"/>
        <v>4</v>
      </c>
      <c r="D25" s="41">
        <v>75</v>
      </c>
      <c r="E25" s="39">
        <f t="shared" si="8"/>
        <v>3</v>
      </c>
      <c r="F25" s="41">
        <v>75</v>
      </c>
      <c r="G25" s="39">
        <f t="shared" si="9"/>
        <v>0</v>
      </c>
      <c r="H25" s="41">
        <v>76</v>
      </c>
      <c r="I25" s="39">
        <f t="shared" si="12"/>
        <v>0</v>
      </c>
      <c r="J25" s="39">
        <f t="shared" si="13"/>
        <v>301</v>
      </c>
      <c r="K25" s="39">
        <f t="shared" si="14"/>
        <v>75.25</v>
      </c>
      <c r="L25" s="39">
        <f t="shared" si="18"/>
        <v>1.75</v>
      </c>
      <c r="M25" s="148">
        <f t="shared" si="17"/>
        <v>24196</v>
      </c>
      <c r="N25" s="39">
        <f t="shared" si="16"/>
        <v>423.43</v>
      </c>
      <c r="O25" s="39">
        <f t="shared" si="10"/>
        <v>223.99447000000001</v>
      </c>
      <c r="P25" s="42">
        <f t="shared" si="11"/>
        <v>2590.49604555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44553</v>
      </c>
      <c r="B26" s="41">
        <v>71</v>
      </c>
      <c r="C26" s="39">
        <f t="shared" si="7"/>
        <v>2</v>
      </c>
      <c r="D26" s="41">
        <v>72</v>
      </c>
      <c r="E26" s="39">
        <f t="shared" si="8"/>
        <v>2</v>
      </c>
      <c r="F26" s="41">
        <v>75</v>
      </c>
      <c r="G26" s="39">
        <f t="shared" si="9"/>
        <v>1</v>
      </c>
      <c r="H26" s="41">
        <v>76</v>
      </c>
      <c r="I26" s="39">
        <f t="shared" si="12"/>
        <v>2</v>
      </c>
      <c r="J26" s="39">
        <f t="shared" si="13"/>
        <v>294</v>
      </c>
      <c r="K26" s="39">
        <f t="shared" si="14"/>
        <v>73.5</v>
      </c>
      <c r="L26" s="39">
        <f t="shared" si="18"/>
        <v>1.75</v>
      </c>
      <c r="M26" s="148">
        <f t="shared" si="17"/>
        <v>24196</v>
      </c>
      <c r="N26" s="39">
        <f t="shared" si="16"/>
        <v>423.43</v>
      </c>
      <c r="O26" s="39">
        <f t="shared" si="10"/>
        <v>223.99447000000001</v>
      </c>
      <c r="P26" s="42">
        <f t="shared" si="11"/>
        <v>2590.49604555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44554</v>
      </c>
      <c r="B27" s="41">
        <v>69</v>
      </c>
      <c r="C27" s="39">
        <f t="shared" si="7"/>
        <v>2</v>
      </c>
      <c r="D27" s="41">
        <v>70</v>
      </c>
      <c r="E27" s="39">
        <f t="shared" si="8"/>
        <v>2</v>
      </c>
      <c r="F27" s="41">
        <v>74</v>
      </c>
      <c r="G27" s="39">
        <f t="shared" si="9"/>
        <v>3</v>
      </c>
      <c r="H27" s="41">
        <v>74</v>
      </c>
      <c r="I27" s="39">
        <f t="shared" si="12"/>
        <v>2</v>
      </c>
      <c r="J27" s="39">
        <f t="shared" si="13"/>
        <v>287</v>
      </c>
      <c r="K27" s="39">
        <f t="shared" si="14"/>
        <v>71.75</v>
      </c>
      <c r="L27" s="39">
        <f t="shared" si="18"/>
        <v>2.25</v>
      </c>
      <c r="M27" s="148">
        <f t="shared" si="17"/>
        <v>24196</v>
      </c>
      <c r="N27" s="39">
        <f t="shared" si="16"/>
        <v>544.41</v>
      </c>
      <c r="O27" s="39">
        <f t="shared" si="10"/>
        <v>287.99288999999999</v>
      </c>
      <c r="P27" s="42">
        <f t="shared" si="11"/>
        <v>3330.6377728499997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44555</v>
      </c>
      <c r="B28" s="41">
        <v>67</v>
      </c>
      <c r="C28" s="39">
        <f t="shared" si="7"/>
        <v>3</v>
      </c>
      <c r="D28" s="41">
        <v>68</v>
      </c>
      <c r="E28" s="39">
        <f t="shared" si="8"/>
        <v>4</v>
      </c>
      <c r="F28" s="41">
        <v>71</v>
      </c>
      <c r="G28" s="39">
        <f t="shared" si="9"/>
        <v>1</v>
      </c>
      <c r="H28" s="41">
        <v>72</v>
      </c>
      <c r="I28" s="39">
        <f>IF(AC28&gt;0,((H28-AA28)+(AB28-H29)),IF(H29=0, ,(H28-H29)))</f>
        <v>2</v>
      </c>
      <c r="J28" s="39">
        <f t="shared" si="13"/>
        <v>278</v>
      </c>
      <c r="K28" s="39">
        <f t="shared" si="14"/>
        <v>69.5</v>
      </c>
      <c r="L28" s="39">
        <f t="shared" si="18"/>
        <v>2.5</v>
      </c>
      <c r="M28" s="148">
        <f t="shared" si="17"/>
        <v>24196</v>
      </c>
      <c r="N28" s="39">
        <f t="shared" si="16"/>
        <v>604.9</v>
      </c>
      <c r="O28" s="39">
        <f t="shared" si="10"/>
        <v>319.99209999999999</v>
      </c>
      <c r="P28" s="42">
        <f t="shared" si="11"/>
        <v>3700.7086364999996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44556</v>
      </c>
      <c r="B29" s="41">
        <v>64</v>
      </c>
      <c r="C29" s="39">
        <f t="shared" si="7"/>
        <v>1</v>
      </c>
      <c r="D29" s="41">
        <v>64</v>
      </c>
      <c r="E29" s="39">
        <f t="shared" si="8"/>
        <v>0</v>
      </c>
      <c r="F29" s="41">
        <v>70</v>
      </c>
      <c r="G29" s="39">
        <f t="shared" si="9"/>
        <v>3</v>
      </c>
      <c r="H29" s="41">
        <v>70</v>
      </c>
      <c r="I29" s="39">
        <f t="shared" si="12"/>
        <v>0</v>
      </c>
      <c r="J29" s="39">
        <f t="shared" si="13"/>
        <v>268</v>
      </c>
      <c r="K29" s="39">
        <f t="shared" si="14"/>
        <v>67</v>
      </c>
      <c r="L29" s="39">
        <f t="shared" si="18"/>
        <v>1</v>
      </c>
      <c r="M29" s="148">
        <f t="shared" si="17"/>
        <v>24196</v>
      </c>
      <c r="N29" s="39">
        <f t="shared" si="16"/>
        <v>241.96</v>
      </c>
      <c r="O29" s="39">
        <f t="shared" si="10"/>
        <v>127.99684000000001</v>
      </c>
      <c r="P29" s="42">
        <f t="shared" si="11"/>
        <v>1480.2834545999999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44557</v>
      </c>
      <c r="B30" s="41">
        <v>63</v>
      </c>
      <c r="C30" s="39">
        <f t="shared" si="7"/>
        <v>3</v>
      </c>
      <c r="D30" s="41">
        <v>64</v>
      </c>
      <c r="E30" s="39">
        <f t="shared" si="8"/>
        <v>4</v>
      </c>
      <c r="F30" s="41">
        <v>67</v>
      </c>
      <c r="G30" s="39">
        <f t="shared" si="9"/>
        <v>3</v>
      </c>
      <c r="H30" s="41">
        <v>70</v>
      </c>
      <c r="I30" s="39">
        <f t="shared" si="12"/>
        <v>5</v>
      </c>
      <c r="J30" s="39">
        <f t="shared" si="13"/>
        <v>264</v>
      </c>
      <c r="K30" s="39">
        <f t="shared" si="14"/>
        <v>66</v>
      </c>
      <c r="L30" s="39">
        <f t="shared" si="18"/>
        <v>3.75</v>
      </c>
      <c r="M30" s="148">
        <f t="shared" si="17"/>
        <v>24196</v>
      </c>
      <c r="N30" s="39">
        <f t="shared" si="16"/>
        <v>907.35</v>
      </c>
      <c r="O30" s="39">
        <f t="shared" si="10"/>
        <v>479.98815000000002</v>
      </c>
      <c r="P30" s="42">
        <f t="shared" si="11"/>
        <v>5551.0629547500002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 x14ac:dyDescent="0.3">
      <c r="A31" s="40">
        <v>44558</v>
      </c>
      <c r="B31" s="41">
        <v>60</v>
      </c>
      <c r="C31" s="39">
        <f t="shared" si="7"/>
        <v>3</v>
      </c>
      <c r="D31" s="41">
        <v>60</v>
      </c>
      <c r="E31" s="39">
        <f t="shared" si="8"/>
        <v>3</v>
      </c>
      <c r="F31" s="41">
        <v>64</v>
      </c>
      <c r="G31" s="39">
        <f t="shared" si="9"/>
        <v>4</v>
      </c>
      <c r="H31" s="41">
        <v>65</v>
      </c>
      <c r="I31" s="39">
        <f t="shared" si="12"/>
        <v>1</v>
      </c>
      <c r="J31" s="39">
        <f t="shared" si="13"/>
        <v>249</v>
      </c>
      <c r="K31" s="39">
        <f t="shared" si="14"/>
        <v>62.25</v>
      </c>
      <c r="L31" s="39">
        <f t="shared" si="18"/>
        <v>2.75</v>
      </c>
      <c r="M31" s="148">
        <f t="shared" si="17"/>
        <v>24196</v>
      </c>
      <c r="N31" s="39">
        <f t="shared" si="16"/>
        <v>665.39</v>
      </c>
      <c r="O31" s="39">
        <f t="shared" si="10"/>
        <v>351.99131</v>
      </c>
      <c r="P31" s="42">
        <f t="shared" si="11"/>
        <v>4070.7795001499999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 x14ac:dyDescent="0.3">
      <c r="A32" s="40">
        <v>44559</v>
      </c>
      <c r="B32" s="41">
        <v>57</v>
      </c>
      <c r="C32" s="39">
        <f t="shared" si="7"/>
        <v>2</v>
      </c>
      <c r="D32" s="41">
        <v>57</v>
      </c>
      <c r="E32" s="39">
        <f t="shared" si="8"/>
        <v>3</v>
      </c>
      <c r="F32" s="41">
        <v>60</v>
      </c>
      <c r="G32" s="39">
        <f t="shared" si="9"/>
        <v>1</v>
      </c>
      <c r="H32" s="41">
        <v>64</v>
      </c>
      <c r="I32" s="39">
        <f t="shared" si="12"/>
        <v>4</v>
      </c>
      <c r="J32" s="39">
        <f t="shared" si="13"/>
        <v>238</v>
      </c>
      <c r="K32" s="39">
        <f t="shared" si="14"/>
        <v>59.5</v>
      </c>
      <c r="L32" s="39">
        <f t="shared" si="18"/>
        <v>2.5</v>
      </c>
      <c r="M32" s="148">
        <f t="shared" si="17"/>
        <v>24196</v>
      </c>
      <c r="N32" s="39">
        <f t="shared" si="16"/>
        <v>604.9</v>
      </c>
      <c r="O32" s="39">
        <f t="shared" si="10"/>
        <v>319.99209999999999</v>
      </c>
      <c r="P32" s="42">
        <f t="shared" si="11"/>
        <v>3700.7086364999996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 x14ac:dyDescent="0.3">
      <c r="A33" s="40">
        <v>44560</v>
      </c>
      <c r="B33" s="41">
        <v>55</v>
      </c>
      <c r="C33" s="39">
        <f t="shared" si="7"/>
        <v>1</v>
      </c>
      <c r="D33" s="41">
        <v>54</v>
      </c>
      <c r="E33" s="39">
        <f t="shared" si="8"/>
        <v>0</v>
      </c>
      <c r="F33" s="41">
        <v>59</v>
      </c>
      <c r="G33" s="39">
        <f t="shared" si="9"/>
        <v>3</v>
      </c>
      <c r="H33" s="41">
        <v>60</v>
      </c>
      <c r="I33" s="39">
        <f t="shared" si="12"/>
        <v>4</v>
      </c>
      <c r="J33" s="39">
        <f t="shared" si="13"/>
        <v>228</v>
      </c>
      <c r="K33" s="39">
        <f t="shared" si="14"/>
        <v>57</v>
      </c>
      <c r="L33" s="39">
        <f t="shared" si="18"/>
        <v>2</v>
      </c>
      <c r="M33" s="148">
        <f t="shared" si="17"/>
        <v>24196</v>
      </c>
      <c r="N33" s="39">
        <f t="shared" si="16"/>
        <v>483.92</v>
      </c>
      <c r="O33" s="39">
        <f t="shared" si="10"/>
        <v>255.99368000000001</v>
      </c>
      <c r="P33" s="42">
        <f t="shared" si="11"/>
        <v>2960.5669091999998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 x14ac:dyDescent="0.3">
      <c r="A34" s="40">
        <v>44561</v>
      </c>
      <c r="B34" s="41">
        <v>54</v>
      </c>
      <c r="C34" s="39">
        <f t="shared" si="7"/>
        <v>6</v>
      </c>
      <c r="D34" s="41">
        <v>54</v>
      </c>
      <c r="E34" s="39">
        <f t="shared" si="8"/>
        <v>3</v>
      </c>
      <c r="F34" s="41">
        <v>56</v>
      </c>
      <c r="G34" s="39">
        <f t="shared" si="9"/>
        <v>1</v>
      </c>
      <c r="H34" s="41">
        <v>56</v>
      </c>
      <c r="I34" s="39">
        <f t="shared" si="12"/>
        <v>1</v>
      </c>
      <c r="J34" s="39">
        <f>B34+D34+F34+H34</f>
        <v>220</v>
      </c>
      <c r="K34" s="39">
        <f>J34/4</f>
        <v>55</v>
      </c>
      <c r="L34" s="39">
        <f>IF(AC34&gt;0,((K34-AD34)+(AE34-K35)),IF(K35=0, ,(K34-K35)))</f>
        <v>2.75</v>
      </c>
      <c r="M34" s="148">
        <f t="shared" si="17"/>
        <v>24196</v>
      </c>
      <c r="N34" s="39">
        <f>L34*M34/100</f>
        <v>665.39</v>
      </c>
      <c r="O34" s="39">
        <f t="shared" si="10"/>
        <v>351.99131</v>
      </c>
      <c r="P34" s="42">
        <f t="shared" si="11"/>
        <v>4070.7795001499999</v>
      </c>
      <c r="Q34" s="39">
        <v>1550</v>
      </c>
      <c r="R34" s="39">
        <v>50</v>
      </c>
      <c r="S34" s="39">
        <v>73</v>
      </c>
      <c r="T34" s="39">
        <v>1500</v>
      </c>
      <c r="U34" s="39">
        <v>52</v>
      </c>
      <c r="V34" s="39">
        <v>73</v>
      </c>
      <c r="W34" s="39">
        <v>1310</v>
      </c>
      <c r="X34" s="39">
        <v>55</v>
      </c>
      <c r="Y34" s="39">
        <v>75</v>
      </c>
      <c r="Z34" s="39">
        <v>1311</v>
      </c>
      <c r="AA34" s="39">
        <v>55</v>
      </c>
      <c r="AB34" s="39">
        <v>73</v>
      </c>
      <c r="AC34" s="39">
        <f t="shared" si="20"/>
        <v>5671</v>
      </c>
      <c r="AD34" s="38">
        <f t="shared" si="19"/>
        <v>53</v>
      </c>
      <c r="AE34" s="38">
        <f t="shared" si="21"/>
        <v>73.5</v>
      </c>
    </row>
    <row r="35" spans="1:31" ht="32.25" customHeight="1" x14ac:dyDescent="0.3">
      <c r="A35" s="40">
        <v>44562</v>
      </c>
      <c r="B35" s="41">
        <v>71</v>
      </c>
      <c r="C35" s="39">
        <f t="shared" si="7"/>
        <v>0</v>
      </c>
      <c r="D35" s="41">
        <v>72</v>
      </c>
      <c r="E35" s="39">
        <f t="shared" si="8"/>
        <v>0</v>
      </c>
      <c r="F35" s="41">
        <v>75</v>
      </c>
      <c r="G35" s="39">
        <f t="shared" si="9"/>
        <v>0</v>
      </c>
      <c r="H35" s="41">
        <v>73</v>
      </c>
      <c r="I35" s="39">
        <f t="shared" si="12"/>
        <v>0</v>
      </c>
      <c r="J35" s="39">
        <f>B35+D35+F35+H35</f>
        <v>291</v>
      </c>
      <c r="K35" s="39">
        <f>J35/4</f>
        <v>72.75</v>
      </c>
      <c r="L35" s="39">
        <f t="shared" si="18"/>
        <v>0</v>
      </c>
      <c r="M35" s="148">
        <f t="shared" si="17"/>
        <v>24196</v>
      </c>
      <c r="N35" s="39">
        <f t="shared" si="16"/>
        <v>0</v>
      </c>
      <c r="O35" s="39">
        <f t="shared" ref="O8:O37" si="22">N35*0.529</f>
        <v>0</v>
      </c>
      <c r="P35" s="42">
        <f t="shared" ref="P5:P37" si="23">O35*11.565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4">IF(AC36&gt;0,((D36-U36)+(V36-D37)),IF(D37=0, ,(D36-D37)))</f>
        <v>0</v>
      </c>
      <c r="F36" s="41"/>
      <c r="G36" s="39">
        <f t="shared" ref="G36" si="25">IF(AC36&gt;0,((F36-X36)+(Y36-F37)),IF(F37=0, ,(F36-F37)))</f>
        <v>0</v>
      </c>
      <c r="H36" s="41"/>
      <c r="I36" s="39">
        <f t="shared" si="12"/>
        <v>0</v>
      </c>
      <c r="J36" s="39">
        <f t="shared" si="13"/>
        <v>0</v>
      </c>
      <c r="K36" s="39">
        <f t="shared" si="14"/>
        <v>0</v>
      </c>
      <c r="L36" s="39">
        <f t="shared" si="18"/>
        <v>0</v>
      </c>
      <c r="M36" s="148">
        <f t="shared" si="17"/>
        <v>24196</v>
      </c>
      <c r="N36" s="39">
        <f t="shared" si="16"/>
        <v>0</v>
      </c>
      <c r="O36" s="39">
        <f t="shared" si="22"/>
        <v>0</v>
      </c>
      <c r="P36" s="42">
        <f t="shared" si="23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 x14ac:dyDescent="0.3">
      <c r="A37" s="40"/>
      <c r="B37" s="41"/>
      <c r="C37" s="39">
        <f t="shared" ref="C37:C42" si="26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7">IF(AC37&gt;0,((F37-X37)+(Y37-F38)),IF(F38=0, ,(F37-F38)))</f>
        <v>0</v>
      </c>
      <c r="H37" s="41"/>
      <c r="I37" s="39">
        <f t="shared" ref="I37:I42" si="28">IF(AC37&gt;0,((H37-AA37)+(AB37-H38)),IF(H38=0, ,(H37-H38)))</f>
        <v>0</v>
      </c>
      <c r="J37" s="39">
        <f t="shared" si="13"/>
        <v>0</v>
      </c>
      <c r="K37" s="39">
        <f t="shared" si="14"/>
        <v>0</v>
      </c>
      <c r="L37" s="39">
        <f t="shared" si="18"/>
        <v>0</v>
      </c>
      <c r="M37" s="148">
        <f t="shared" si="17"/>
        <v>24196</v>
      </c>
      <c r="N37" s="39">
        <f t="shared" si="16"/>
        <v>0</v>
      </c>
      <c r="O37" s="39">
        <f t="shared" si="22"/>
        <v>0</v>
      </c>
      <c r="P37" s="42">
        <f t="shared" si="23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 x14ac:dyDescent="0.3">
      <c r="A38" s="40"/>
      <c r="B38" s="41"/>
      <c r="C38" s="39">
        <f t="shared" si="26"/>
        <v>0</v>
      </c>
      <c r="D38" s="41"/>
      <c r="E38" s="39">
        <f>IF(AC38:AC61&gt;0,((D38-U38)+(V38-D39)),IF(D39=0, ,(D38-D39)))</f>
        <v>0</v>
      </c>
      <c r="F38" s="41"/>
      <c r="G38" s="39">
        <f t="shared" si="27"/>
        <v>0</v>
      </c>
      <c r="H38" s="41"/>
      <c r="I38" s="39">
        <f t="shared" si="28"/>
        <v>0</v>
      </c>
      <c r="J38" s="39">
        <f t="shared" si="13"/>
        <v>0</v>
      </c>
      <c r="K38" s="39">
        <f t="shared" si="14"/>
        <v>0</v>
      </c>
      <c r="L38" s="39">
        <f t="shared" si="18"/>
        <v>0</v>
      </c>
      <c r="M38" s="148">
        <f t="shared" si="17"/>
        <v>24196</v>
      </c>
      <c r="N38" s="39">
        <f t="shared" si="16"/>
        <v>0</v>
      </c>
      <c r="O38" s="39">
        <f>N38*0.53</f>
        <v>0</v>
      </c>
      <c r="P38" s="42">
        <f t="shared" ref="P38:P39" si="29">O38*11.2513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 x14ac:dyDescent="0.3">
      <c r="A39" s="40"/>
      <c r="B39" s="41"/>
      <c r="C39" s="39">
        <f t="shared" si="26"/>
        <v>0</v>
      </c>
      <c r="D39" s="41"/>
      <c r="E39" s="39">
        <f>IF(AC39&gt;0,((D39-U39)+(V39-D40)),IF(D40=0, ,(D39-D40)))</f>
        <v>0</v>
      </c>
      <c r="F39" s="41"/>
      <c r="G39" s="39">
        <f t="shared" si="27"/>
        <v>0</v>
      </c>
      <c r="H39" s="41"/>
      <c r="I39" s="39">
        <f t="shared" si="28"/>
        <v>0</v>
      </c>
      <c r="J39" s="39">
        <f t="shared" si="13"/>
        <v>0</v>
      </c>
      <c r="K39" s="39">
        <f t="shared" si="14"/>
        <v>0</v>
      </c>
      <c r="L39" s="39">
        <f t="shared" si="18"/>
        <v>0</v>
      </c>
      <c r="M39" s="148">
        <f t="shared" si="17"/>
        <v>24196</v>
      </c>
      <c r="N39" s="39">
        <f t="shared" si="16"/>
        <v>0</v>
      </c>
      <c r="O39" s="39">
        <f>N39*0.53</f>
        <v>0</v>
      </c>
      <c r="P39" s="42">
        <f t="shared" si="29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 x14ac:dyDescent="0.3">
      <c r="A40" s="40"/>
      <c r="B40" s="41"/>
      <c r="C40" s="39">
        <f t="shared" si="26"/>
        <v>0</v>
      </c>
      <c r="D40" s="41"/>
      <c r="E40" s="39">
        <f>IF(AC40&gt;0,((D40-U40)+(V40-D41)),IF(D41=0, ,(D40-D41)))</f>
        <v>0</v>
      </c>
      <c r="F40" s="41"/>
      <c r="G40" s="39">
        <f t="shared" si="27"/>
        <v>0</v>
      </c>
      <c r="H40" s="41"/>
      <c r="I40" s="39">
        <f t="shared" si="28"/>
        <v>0</v>
      </c>
      <c r="J40" s="39">
        <f t="shared" si="13"/>
        <v>0</v>
      </c>
      <c r="K40" s="39">
        <f t="shared" si="14"/>
        <v>0</v>
      </c>
      <c r="L40" s="39">
        <f t="shared" si="18"/>
        <v>0</v>
      </c>
      <c r="M40" s="148">
        <f t="shared" si="17"/>
        <v>24196</v>
      </c>
      <c r="N40" s="39">
        <f t="shared" si="16"/>
        <v>0</v>
      </c>
      <c r="O40" s="39">
        <f>N40*0.53</f>
        <v>0</v>
      </c>
      <c r="P40" s="42">
        <f t="shared" ref="P40:P42" si="30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 x14ac:dyDescent="0.3">
      <c r="A41" s="40"/>
      <c r="B41" s="41"/>
      <c r="C41" s="39">
        <f t="shared" si="26"/>
        <v>0</v>
      </c>
      <c r="D41" s="41"/>
      <c r="E41" s="39">
        <f>IF(AC41&gt;0,((D41-U41)+(V41-D42)),IF(D42=0, ,(D41-D42)))</f>
        <v>0</v>
      </c>
      <c r="F41" s="41"/>
      <c r="G41" s="39">
        <f t="shared" si="27"/>
        <v>0</v>
      </c>
      <c r="H41" s="41"/>
      <c r="I41" s="39">
        <f t="shared" si="28"/>
        <v>0</v>
      </c>
      <c r="J41" s="39">
        <f t="shared" si="13"/>
        <v>0</v>
      </c>
      <c r="K41" s="39">
        <f t="shared" si="14"/>
        <v>0</v>
      </c>
      <c r="L41" s="39">
        <f t="shared" si="18"/>
        <v>0</v>
      </c>
      <c r="M41" s="148">
        <f t="shared" si="17"/>
        <v>24196</v>
      </c>
      <c r="N41" s="39">
        <f t="shared" si="16"/>
        <v>0</v>
      </c>
      <c r="O41" s="39">
        <f>N41*0.53</f>
        <v>0</v>
      </c>
      <c r="P41" s="42">
        <f t="shared" si="3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 x14ac:dyDescent="0.3">
      <c r="A42" s="40"/>
      <c r="B42" s="41"/>
      <c r="C42" s="39">
        <f t="shared" si="26"/>
        <v>0</v>
      </c>
      <c r="D42" s="41"/>
      <c r="E42" s="39">
        <f>IF(AC42&gt;0,((D42-U42)+(V42-D43)),IF(D43=0, ,(D42-D43)))</f>
        <v>0</v>
      </c>
      <c r="F42" s="41"/>
      <c r="G42" s="39">
        <f t="shared" si="27"/>
        <v>0</v>
      </c>
      <c r="H42" s="41"/>
      <c r="I42" s="39">
        <f t="shared" si="28"/>
        <v>0</v>
      </c>
      <c r="J42" s="39">
        <f t="shared" si="13"/>
        <v>0</v>
      </c>
      <c r="K42" s="39">
        <f t="shared" si="14"/>
        <v>0</v>
      </c>
      <c r="L42" s="39">
        <f t="shared" si="18"/>
        <v>0</v>
      </c>
      <c r="M42" s="148">
        <f t="shared" si="17"/>
        <v>24196</v>
      </c>
      <c r="N42" s="39">
        <f t="shared" si="16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17239.649999999998</v>
      </c>
      <c r="O43" s="39">
        <f>N43*0.529</f>
        <v>9119.7748499999998</v>
      </c>
      <c r="P43" s="42">
        <f>O43*11.565</f>
        <v>105470.19614024999</v>
      </c>
      <c r="Q43" s="283">
        <f>SUM(Q4:Q42)</f>
        <v>5834</v>
      </c>
      <c r="R43" s="284"/>
      <c r="S43" s="285"/>
      <c r="T43" s="286">
        <f>SUM(T4:T42)</f>
        <v>5780</v>
      </c>
      <c r="U43" s="284"/>
      <c r="V43" s="285"/>
      <c r="W43" s="286">
        <f>SUM(W4:W42)</f>
        <v>5590</v>
      </c>
      <c r="X43" s="284"/>
      <c r="Y43" s="285"/>
      <c r="Z43" s="286">
        <f>SUM(Z4:Z42)</f>
        <v>5681</v>
      </c>
      <c r="AA43" s="284"/>
      <c r="AB43" s="285"/>
      <c r="AC43" s="39">
        <f t="shared" si="20"/>
        <v>22885</v>
      </c>
    </row>
    <row r="44" spans="1:31" ht="35.25" customHeight="1" thickBot="1" x14ac:dyDescent="0.35">
      <c r="B44" s="292"/>
      <c r="C44" s="293"/>
      <c r="D44" s="293"/>
      <c r="E44" s="293"/>
      <c r="F44" s="293"/>
      <c r="G44" s="293"/>
      <c r="H44" s="293"/>
      <c r="I44" s="294"/>
      <c r="J44" s="37"/>
      <c r="K44" s="37"/>
      <c r="L44" s="37"/>
      <c r="M44" s="37"/>
      <c r="N44" s="37"/>
      <c r="O44" s="37"/>
      <c r="P44" s="37"/>
      <c r="Q44" s="295">
        <f>Q43+T43+W43+Z43</f>
        <v>22885</v>
      </c>
      <c r="R44" s="296"/>
      <c r="S44" s="296"/>
      <c r="T44" s="296"/>
      <c r="U44" s="296"/>
      <c r="V44" s="296"/>
      <c r="W44" s="296"/>
      <c r="X44" s="296"/>
      <c r="Y44" s="296"/>
      <c r="Z44" s="296"/>
      <c r="AA44" s="296"/>
      <c r="AB44" s="297"/>
      <c r="AC44" s="39">
        <f>Q44+T44+W44+Z44</f>
        <v>22885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79" t="s">
        <v>85</v>
      </c>
      <c r="I47" s="280"/>
      <c r="J47" s="281"/>
      <c r="K47" s="45">
        <f>N43</f>
        <v>17239.649999999998</v>
      </c>
      <c r="L47" s="46">
        <f>O43</f>
        <v>9119.7748499999998</v>
      </c>
      <c r="M47" s="46">
        <f>P43</f>
        <v>105470.19614024999</v>
      </c>
    </row>
    <row r="48" spans="1:31" ht="54.75" customHeight="1" thickBot="1" x14ac:dyDescent="0.35">
      <c r="H48" s="279" t="s">
        <v>86</v>
      </c>
      <c r="I48" s="280"/>
      <c r="J48" s="281"/>
      <c r="K48" s="43">
        <f>AC44</f>
        <v>22885</v>
      </c>
      <c r="L48" s="44">
        <f>K48*0.529</f>
        <v>12106.165000000001</v>
      </c>
      <c r="M48" s="44">
        <f>L48*11.565</f>
        <v>140007.79822500001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68"/>
      <c r="B1" s="270"/>
      <c r="C1" s="356" t="s">
        <v>87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 x14ac:dyDescent="0.25">
      <c r="A2" s="271"/>
      <c r="B2" s="273"/>
      <c r="C2" s="358"/>
      <c r="D2" s="359"/>
      <c r="E2" s="359"/>
      <c r="F2" s="359"/>
      <c r="G2" s="359"/>
      <c r="H2" s="365"/>
      <c r="I2" s="366"/>
      <c r="J2" s="367"/>
    </row>
    <row r="3" spans="1:10" ht="15" customHeight="1" x14ac:dyDescent="0.2">
      <c r="A3" s="271"/>
      <c r="B3" s="273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 x14ac:dyDescent="0.25">
      <c r="A4" s="274"/>
      <c r="B4" s="276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 x14ac:dyDescent="0.25"/>
    <row r="7" spans="1:10" ht="36.75" thickTop="1" x14ac:dyDescent="0.2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 x14ac:dyDescent="0.2">
      <c r="A8" s="344">
        <v>95670781</v>
      </c>
      <c r="B8" s="344"/>
      <c r="C8" s="349">
        <v>44528</v>
      </c>
      <c r="D8" s="350"/>
      <c r="E8" s="113">
        <v>44558</v>
      </c>
      <c r="F8" s="162" t="s">
        <v>97</v>
      </c>
      <c r="G8" s="62"/>
      <c r="H8" s="62"/>
      <c r="I8" s="351"/>
      <c r="J8" s="352"/>
    </row>
    <row r="10" spans="1:10" ht="23.25" customHeight="1" thickBot="1" x14ac:dyDescent="0.25"/>
    <row r="11" spans="1:10" ht="24.75" customHeight="1" thickTop="1" x14ac:dyDescent="0.2">
      <c r="A11" s="328" t="s">
        <v>98</v>
      </c>
      <c r="B11" s="328"/>
      <c r="C11" s="353" t="s">
        <v>99</v>
      </c>
      <c r="D11" s="354"/>
      <c r="E11" s="328" t="s">
        <v>100</v>
      </c>
      <c r="F11" s="328"/>
      <c r="G11" s="353" t="s">
        <v>101</v>
      </c>
      <c r="H11" s="354"/>
      <c r="I11" s="355" t="s">
        <v>102</v>
      </c>
      <c r="J11" s="355"/>
    </row>
    <row r="12" spans="1:10" x14ac:dyDescent="0.2">
      <c r="A12" s="344" t="s">
        <v>103</v>
      </c>
      <c r="B12" s="344"/>
      <c r="C12" s="344">
        <v>3750</v>
      </c>
      <c r="D12" s="344"/>
      <c r="E12" s="344">
        <v>1000</v>
      </c>
      <c r="F12" s="344"/>
      <c r="G12" s="345">
        <v>688</v>
      </c>
      <c r="H12" s="345"/>
      <c r="I12" s="346"/>
      <c r="J12" s="346"/>
    </row>
    <row r="13" spans="1:10" x14ac:dyDescent="0.2">
      <c r="A13" s="347"/>
      <c r="B13" s="348"/>
      <c r="C13" s="348"/>
      <c r="D13" s="348"/>
      <c r="E13" s="348"/>
      <c r="F13" s="348"/>
      <c r="G13" s="348"/>
      <c r="H13" s="348"/>
      <c r="I13" s="348"/>
      <c r="J13" s="348"/>
    </row>
    <row r="15" spans="1:10" ht="13.5" thickBot="1" x14ac:dyDescent="0.25"/>
    <row r="16" spans="1:10" ht="26.25" thickTop="1" x14ac:dyDescent="0.2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41" t="s">
        <v>108</v>
      </c>
      <c r="H16" s="341"/>
      <c r="I16" s="342" t="s">
        <v>109</v>
      </c>
      <c r="J16" s="343"/>
    </row>
    <row r="17" spans="1:10" x14ac:dyDescent="0.2">
      <c r="A17" s="333" t="s">
        <v>110</v>
      </c>
      <c r="B17" s="334"/>
      <c r="C17" s="66">
        <v>19306429</v>
      </c>
      <c r="D17" s="66">
        <v>19189353</v>
      </c>
      <c r="E17" s="67">
        <f>MIN(C17-D17)</f>
        <v>117076</v>
      </c>
      <c r="F17" s="67">
        <f>+E17</f>
        <v>117076</v>
      </c>
      <c r="G17" s="335"/>
      <c r="H17" s="336"/>
      <c r="I17" s="335">
        <f>+E17</f>
        <v>117076</v>
      </c>
      <c r="J17" s="336"/>
    </row>
    <row r="18" spans="1:10" x14ac:dyDescent="0.2">
      <c r="A18" s="333" t="s">
        <v>111</v>
      </c>
      <c r="B18" s="334"/>
      <c r="C18" s="66">
        <v>11353001</v>
      </c>
      <c r="D18" s="66">
        <v>11267897</v>
      </c>
      <c r="E18" s="67">
        <f>MIN(C18-D18)</f>
        <v>85104</v>
      </c>
      <c r="F18" s="67">
        <f>+E18</f>
        <v>85104</v>
      </c>
      <c r="G18" s="335"/>
      <c r="H18" s="336"/>
      <c r="I18" s="335">
        <f>+E18</f>
        <v>85104</v>
      </c>
      <c r="J18" s="336"/>
    </row>
    <row r="19" spans="1:10" x14ac:dyDescent="0.2">
      <c r="A19" s="333" t="s">
        <v>112</v>
      </c>
      <c r="B19" s="334"/>
      <c r="C19" s="66">
        <v>8474753</v>
      </c>
      <c r="D19" s="66">
        <v>8420514</v>
      </c>
      <c r="E19" s="67">
        <f>AVERAGE(C19-D19)</f>
        <v>54239</v>
      </c>
      <c r="F19" s="67">
        <f>+E19</f>
        <v>54239</v>
      </c>
      <c r="G19" s="335"/>
      <c r="H19" s="336"/>
      <c r="I19" s="335">
        <f>+E19</f>
        <v>54239</v>
      </c>
      <c r="J19" s="336"/>
    </row>
    <row r="20" spans="1:10" ht="15" x14ac:dyDescent="0.25">
      <c r="A20" s="337" t="s">
        <v>113</v>
      </c>
      <c r="B20" s="338"/>
      <c r="C20" s="68"/>
      <c r="D20" s="69"/>
      <c r="E20" s="68">
        <f>SUM(E17:E19)</f>
        <v>256419</v>
      </c>
      <c r="F20" s="70"/>
      <c r="G20" s="339"/>
      <c r="H20" s="340"/>
      <c r="I20" s="339"/>
      <c r="J20" s="340"/>
    </row>
    <row r="21" spans="1:10" x14ac:dyDescent="0.2">
      <c r="C21" s="110" t="s">
        <v>18</v>
      </c>
      <c r="D21" t="s">
        <v>114</v>
      </c>
      <c r="G21" s="320"/>
      <c r="H21" s="320"/>
    </row>
    <row r="22" spans="1:10" ht="13.5" thickBot="1" x14ac:dyDescent="0.25">
      <c r="G22" s="321"/>
      <c r="H22" s="321"/>
    </row>
    <row r="23" spans="1:10" ht="13.5" thickTop="1" x14ac:dyDescent="0.2">
      <c r="A23" s="322" t="s">
        <v>115</v>
      </c>
      <c r="B23" s="323"/>
      <c r="C23" s="324"/>
      <c r="D23" s="328" t="s">
        <v>116</v>
      </c>
      <c r="E23" s="328" t="s">
        <v>117</v>
      </c>
      <c r="F23" s="330" t="s">
        <v>118</v>
      </c>
      <c r="G23" s="332" t="s">
        <v>119</v>
      </c>
      <c r="H23" s="332"/>
      <c r="I23" s="316" t="s">
        <v>120</v>
      </c>
      <c r="J23" s="316"/>
    </row>
    <row r="24" spans="1:10" x14ac:dyDescent="0.2">
      <c r="A24" s="325"/>
      <c r="B24" s="326"/>
      <c r="C24" s="327"/>
      <c r="D24" s="329"/>
      <c r="E24" s="329"/>
      <c r="F24" s="331"/>
      <c r="G24" s="163" t="s">
        <v>121</v>
      </c>
      <c r="H24" s="71" t="s">
        <v>122</v>
      </c>
      <c r="I24" s="316"/>
      <c r="J24" s="316"/>
    </row>
    <row r="25" spans="1:10" ht="15" x14ac:dyDescent="0.25">
      <c r="A25" s="317" t="s">
        <v>123</v>
      </c>
      <c r="B25" s="318"/>
      <c r="C25" s="319"/>
      <c r="D25" s="67">
        <f>+E17</f>
        <v>117076</v>
      </c>
      <c r="E25" s="72">
        <v>0.95140000000000002</v>
      </c>
      <c r="F25" s="73">
        <f>PRODUCT(D25*E25)</f>
        <v>111386.1064</v>
      </c>
      <c r="G25" s="150">
        <v>14</v>
      </c>
      <c r="H25" s="65">
        <f>PRODUCT(0.14,F25)</f>
        <v>15594.054896000001</v>
      </c>
      <c r="I25" s="301">
        <f>SUM(H25,F25)</f>
        <v>126980.16129600001</v>
      </c>
      <c r="J25" s="302"/>
    </row>
    <row r="26" spans="1:10" ht="15" x14ac:dyDescent="0.25">
      <c r="A26" s="298" t="s">
        <v>124</v>
      </c>
      <c r="B26" s="299"/>
      <c r="C26" s="300"/>
      <c r="D26" s="67">
        <f>+E18</f>
        <v>85104</v>
      </c>
      <c r="E26" s="74">
        <v>0.69850000000000001</v>
      </c>
      <c r="F26" s="73">
        <f>PRODUCT(D26*E26)</f>
        <v>59445.144</v>
      </c>
      <c r="G26">
        <v>14</v>
      </c>
      <c r="H26" s="67">
        <f>PRODUCT(0.14,F26)</f>
        <v>8322.3201600000011</v>
      </c>
      <c r="I26" s="301">
        <f t="shared" ref="I26:I31" si="0">SUM(H26,F26)</f>
        <v>67767.464160000003</v>
      </c>
      <c r="J26" s="302"/>
    </row>
    <row r="27" spans="1:10" ht="15" x14ac:dyDescent="0.25">
      <c r="A27" s="298" t="s">
        <v>125</v>
      </c>
      <c r="B27" s="299"/>
      <c r="C27" s="300"/>
      <c r="D27" s="67">
        <f>+E19</f>
        <v>54239</v>
      </c>
      <c r="E27" s="74">
        <v>1.3304</v>
      </c>
      <c r="F27" s="73">
        <f>PRODUCT(D27*E27)</f>
        <v>72159.565600000002</v>
      </c>
      <c r="G27">
        <v>14</v>
      </c>
      <c r="H27" s="67">
        <f>PRODUCT(0.14,F27)</f>
        <v>10102.339184</v>
      </c>
      <c r="I27" s="301">
        <f>SUM(H27,F27)</f>
        <v>82261.904783999998</v>
      </c>
      <c r="J27" s="302"/>
    </row>
    <row r="28" spans="1:10" ht="15" x14ac:dyDescent="0.25">
      <c r="A28" s="298" t="s">
        <v>126</v>
      </c>
      <c r="B28" s="299"/>
      <c r="C28" s="30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1">
        <f t="shared" si="0"/>
        <v>50025.103799999997</v>
      </c>
      <c r="J28" s="302"/>
    </row>
    <row r="29" spans="1:10" ht="15" x14ac:dyDescent="0.25">
      <c r="A29" s="311" t="s">
        <v>127</v>
      </c>
      <c r="B29" s="312"/>
      <c r="C29" s="313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4">
        <f t="shared" si="0"/>
        <v>0</v>
      </c>
      <c r="J29" s="315"/>
    </row>
    <row r="30" spans="1:10" ht="15" x14ac:dyDescent="0.25">
      <c r="A30" s="298" t="s">
        <v>128</v>
      </c>
      <c r="B30" s="299"/>
      <c r="C30" s="30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1">
        <f>SUM(H30,F30)</f>
        <v>1009.2</v>
      </c>
      <c r="J30" s="302"/>
    </row>
    <row r="31" spans="1:10" ht="15.75" thickBot="1" x14ac:dyDescent="0.3">
      <c r="A31" s="303" t="s">
        <v>129</v>
      </c>
      <c r="B31" s="304"/>
      <c r="C31" s="305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1">
        <f t="shared" si="0"/>
        <v>1596.44</v>
      </c>
      <c r="J31" s="302"/>
    </row>
    <row r="32" spans="1:10" ht="21" x14ac:dyDescent="0.2">
      <c r="A32" s="306" t="s">
        <v>130</v>
      </c>
      <c r="B32" s="307"/>
      <c r="C32" s="307"/>
      <c r="D32" s="307"/>
      <c r="E32" s="307"/>
      <c r="F32" s="84">
        <f>SUM(F25:F31)</f>
        <v>289205.48600000003</v>
      </c>
      <c r="G32" s="85"/>
      <c r="H32" s="86"/>
      <c r="I32" s="310">
        <f>SUM(I25:J31)</f>
        <v>329640.27403999999</v>
      </c>
      <c r="J32" s="310"/>
    </row>
    <row r="33" spans="1:10" ht="21.75" thickBot="1" x14ac:dyDescent="0.25">
      <c r="A33" s="308"/>
      <c r="B33" s="309"/>
      <c r="C33" s="309"/>
      <c r="D33" s="309"/>
      <c r="E33" s="309"/>
      <c r="F33" s="87"/>
      <c r="G33" s="88"/>
      <c r="H33" s="89"/>
      <c r="I33" s="310"/>
      <c r="J33" s="310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68"/>
      <c r="B1" s="270"/>
      <c r="C1" s="356" t="s">
        <v>131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 x14ac:dyDescent="0.25">
      <c r="A2" s="271"/>
      <c r="B2" s="273"/>
      <c r="C2" s="358"/>
      <c r="D2" s="359"/>
      <c r="E2" s="359"/>
      <c r="F2" s="359"/>
      <c r="G2" s="359"/>
      <c r="H2" s="365"/>
      <c r="I2" s="366"/>
      <c r="J2" s="367"/>
    </row>
    <row r="3" spans="1:10" ht="15" customHeight="1" x14ac:dyDescent="0.2">
      <c r="A3" s="271"/>
      <c r="B3" s="273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 x14ac:dyDescent="0.25">
      <c r="A4" s="274"/>
      <c r="B4" s="276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 x14ac:dyDescent="0.25"/>
    <row r="7" spans="1:10" ht="36.75" thickTop="1" x14ac:dyDescent="0.2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 x14ac:dyDescent="0.2">
      <c r="A8" s="344">
        <v>95670781</v>
      </c>
      <c r="B8" s="344"/>
      <c r="C8" s="349">
        <v>44297</v>
      </c>
      <c r="D8" s="350"/>
      <c r="E8" s="113">
        <v>44327</v>
      </c>
      <c r="F8" s="162" t="s">
        <v>132</v>
      </c>
      <c r="G8" s="62"/>
      <c r="H8" s="62"/>
      <c r="I8" s="351"/>
      <c r="J8" s="352"/>
    </row>
    <row r="10" spans="1:10" ht="23.25" customHeight="1" thickBot="1" x14ac:dyDescent="0.25"/>
    <row r="11" spans="1:10" ht="24.75" customHeight="1" thickTop="1" x14ac:dyDescent="0.2">
      <c r="A11" s="328" t="s">
        <v>98</v>
      </c>
      <c r="B11" s="328"/>
      <c r="C11" s="353" t="s">
        <v>99</v>
      </c>
      <c r="D11" s="354"/>
      <c r="E11" s="328" t="s">
        <v>100</v>
      </c>
      <c r="F11" s="328"/>
      <c r="G11" s="353" t="s">
        <v>101</v>
      </c>
      <c r="H11" s="354"/>
      <c r="I11" s="355" t="s">
        <v>102</v>
      </c>
      <c r="J11" s="355"/>
    </row>
    <row r="12" spans="1:10" x14ac:dyDescent="0.2">
      <c r="A12" s="344" t="s">
        <v>103</v>
      </c>
      <c r="B12" s="344"/>
      <c r="C12" s="344">
        <v>3750</v>
      </c>
      <c r="D12" s="344"/>
      <c r="E12" s="344">
        <v>1000</v>
      </c>
      <c r="F12" s="344"/>
      <c r="G12" s="345">
        <v>712</v>
      </c>
      <c r="H12" s="345"/>
      <c r="I12" s="346"/>
      <c r="J12" s="346"/>
    </row>
    <row r="13" spans="1:10" x14ac:dyDescent="0.2">
      <c r="A13" s="347"/>
      <c r="B13" s="348"/>
      <c r="C13" s="348"/>
      <c r="D13" s="348"/>
      <c r="E13" s="348"/>
      <c r="F13" s="348"/>
      <c r="G13" s="348"/>
      <c r="H13" s="348"/>
      <c r="I13" s="348"/>
      <c r="J13" s="348"/>
    </row>
    <row r="15" spans="1:10" ht="13.5" thickBot="1" x14ac:dyDescent="0.25"/>
    <row r="16" spans="1:10" ht="26.25" thickTop="1" x14ac:dyDescent="0.2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41" t="s">
        <v>108</v>
      </c>
      <c r="H16" s="341"/>
      <c r="I16" s="342" t="s">
        <v>109</v>
      </c>
      <c r="J16" s="343"/>
    </row>
    <row r="17" spans="1:10" x14ac:dyDescent="0.2">
      <c r="A17" s="333" t="s">
        <v>110</v>
      </c>
      <c r="B17" s="334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5"/>
      <c r="H17" s="336"/>
      <c r="I17" s="335">
        <f>+E17</f>
        <v>6887</v>
      </c>
      <c r="J17" s="336"/>
    </row>
    <row r="18" spans="1:10" x14ac:dyDescent="0.2">
      <c r="A18" s="333" t="s">
        <v>111</v>
      </c>
      <c r="B18" s="334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5"/>
      <c r="H18" s="336"/>
      <c r="I18" s="335">
        <f>+E18</f>
        <v>3799</v>
      </c>
      <c r="J18" s="336"/>
    </row>
    <row r="19" spans="1:10" x14ac:dyDescent="0.2">
      <c r="A19" s="333" t="s">
        <v>112</v>
      </c>
      <c r="B19" s="334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5"/>
      <c r="H19" s="336"/>
      <c r="I19" s="335">
        <f>+E19</f>
        <v>3073</v>
      </c>
      <c r="J19" s="336"/>
    </row>
    <row r="20" spans="1:10" ht="15" x14ac:dyDescent="0.25">
      <c r="A20" s="337" t="s">
        <v>113</v>
      </c>
      <c r="B20" s="338"/>
      <c r="C20" s="68"/>
      <c r="D20" s="69"/>
      <c r="E20" s="68">
        <f>SUM(E17:E19)</f>
        <v>13759</v>
      </c>
      <c r="F20" s="70"/>
      <c r="G20" s="339"/>
      <c r="H20" s="340"/>
      <c r="I20" s="339"/>
      <c r="J20" s="340"/>
    </row>
    <row r="21" spans="1:10" x14ac:dyDescent="0.2">
      <c r="C21" s="110" t="s">
        <v>18</v>
      </c>
      <c r="D21" t="s">
        <v>114</v>
      </c>
      <c r="G21" s="320"/>
      <c r="H21" s="320"/>
    </row>
    <row r="22" spans="1:10" ht="13.5" thickBot="1" x14ac:dyDescent="0.25">
      <c r="G22" s="321"/>
      <c r="H22" s="321"/>
    </row>
    <row r="23" spans="1:10" ht="13.5" thickTop="1" x14ac:dyDescent="0.2">
      <c r="A23" s="322" t="s">
        <v>115</v>
      </c>
      <c r="B23" s="323"/>
      <c r="C23" s="324"/>
      <c r="D23" s="328" t="s">
        <v>116</v>
      </c>
      <c r="E23" s="328" t="s">
        <v>117</v>
      </c>
      <c r="F23" s="330" t="s">
        <v>118</v>
      </c>
      <c r="G23" s="332" t="s">
        <v>119</v>
      </c>
      <c r="H23" s="332"/>
      <c r="I23" s="316" t="s">
        <v>120</v>
      </c>
      <c r="J23" s="316"/>
    </row>
    <row r="24" spans="1:10" x14ac:dyDescent="0.2">
      <c r="A24" s="325"/>
      <c r="B24" s="326"/>
      <c r="C24" s="327"/>
      <c r="D24" s="329"/>
      <c r="E24" s="329"/>
      <c r="F24" s="331"/>
      <c r="G24" s="163" t="s">
        <v>121</v>
      </c>
      <c r="H24" s="71" t="s">
        <v>122</v>
      </c>
      <c r="I24" s="316"/>
      <c r="J24" s="316"/>
    </row>
    <row r="25" spans="1:10" ht="15" x14ac:dyDescent="0.25">
      <c r="A25" s="317" t="s">
        <v>123</v>
      </c>
      <c r="B25" s="318"/>
      <c r="C25" s="319"/>
      <c r="D25" s="67">
        <f>+E17</f>
        <v>6887</v>
      </c>
      <c r="E25" s="72">
        <v>0.95140000000000002</v>
      </c>
      <c r="F25" s="73">
        <f>PRODUCT(D25*E25)</f>
        <v>6552.2918</v>
      </c>
      <c r="G25" s="150">
        <v>14</v>
      </c>
      <c r="H25" s="65">
        <f>PRODUCT(0.14,F25)</f>
        <v>917.32085200000006</v>
      </c>
      <c r="I25" s="301">
        <f>SUM(H25,F25)</f>
        <v>7469.6126519999998</v>
      </c>
      <c r="J25" s="302"/>
    </row>
    <row r="26" spans="1:10" ht="15" x14ac:dyDescent="0.25">
      <c r="A26" s="298" t="s">
        <v>124</v>
      </c>
      <c r="B26" s="299"/>
      <c r="C26" s="300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1">
        <f t="shared" ref="I26:I31" si="0">SUM(H26,F26)</f>
        <v>3025.1057100000003</v>
      </c>
      <c r="J26" s="302"/>
    </row>
    <row r="27" spans="1:10" ht="15" x14ac:dyDescent="0.25">
      <c r="A27" s="298" t="s">
        <v>125</v>
      </c>
      <c r="B27" s="299"/>
      <c r="C27" s="300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1">
        <f>SUM(H27,F27)</f>
        <v>4660.6838879999996</v>
      </c>
      <c r="J27" s="302"/>
    </row>
    <row r="28" spans="1:10" ht="15" x14ac:dyDescent="0.25">
      <c r="A28" s="298" t="s">
        <v>126</v>
      </c>
      <c r="B28" s="299"/>
      <c r="C28" s="30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1">
        <f t="shared" si="0"/>
        <v>50025.103799999997</v>
      </c>
      <c r="J28" s="302"/>
    </row>
    <row r="29" spans="1:10" ht="15" x14ac:dyDescent="0.25">
      <c r="A29" s="311" t="s">
        <v>127</v>
      </c>
      <c r="B29" s="312"/>
      <c r="C29" s="313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4">
        <f t="shared" si="0"/>
        <v>0</v>
      </c>
      <c r="J29" s="315"/>
    </row>
    <row r="30" spans="1:10" ht="15" x14ac:dyDescent="0.25">
      <c r="A30" s="298" t="s">
        <v>128</v>
      </c>
      <c r="B30" s="299"/>
      <c r="C30" s="30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1">
        <f>SUM(H30,F30)</f>
        <v>1009.2</v>
      </c>
      <c r="J30" s="302"/>
    </row>
    <row r="31" spans="1:10" ht="15.75" thickBot="1" x14ac:dyDescent="0.3">
      <c r="A31" s="303" t="s">
        <v>129</v>
      </c>
      <c r="B31" s="304"/>
      <c r="C31" s="305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1">
        <f t="shared" si="0"/>
        <v>1596.44</v>
      </c>
      <c r="J31" s="302"/>
    </row>
    <row r="32" spans="1:10" ht="21" x14ac:dyDescent="0.2">
      <c r="A32" s="306" t="s">
        <v>130</v>
      </c>
      <c r="B32" s="307"/>
      <c r="C32" s="307"/>
      <c r="D32" s="307"/>
      <c r="E32" s="307"/>
      <c r="F32" s="84">
        <f>SUM(F25:F31)</f>
        <v>59508.8825</v>
      </c>
      <c r="G32" s="85"/>
      <c r="H32" s="86"/>
      <c r="I32" s="310">
        <f>SUM(I25:J31)</f>
        <v>67786.146049999996</v>
      </c>
      <c r="J32" s="310"/>
    </row>
    <row r="33" spans="1:10" ht="21.75" thickBot="1" x14ac:dyDescent="0.25">
      <c r="A33" s="308"/>
      <c r="B33" s="309"/>
      <c r="C33" s="309"/>
      <c r="D33" s="309"/>
      <c r="E33" s="309"/>
      <c r="F33" s="87"/>
      <c r="G33" s="88"/>
      <c r="H33" s="89"/>
      <c r="I33" s="310"/>
      <c r="J33" s="310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2"/>
      <c r="B1" s="356" t="s">
        <v>133</v>
      </c>
      <c r="C1" s="357"/>
      <c r="D1" s="357"/>
      <c r="E1" s="357"/>
      <c r="F1" s="405" t="s">
        <v>88</v>
      </c>
      <c r="G1" s="406"/>
      <c r="H1" s="407"/>
    </row>
    <row r="2" spans="1:8" ht="15.75" customHeight="1" thickBot="1" x14ac:dyDescent="0.25">
      <c r="A2" s="403"/>
      <c r="B2" s="358"/>
      <c r="C2" s="359"/>
      <c r="D2" s="359"/>
      <c r="E2" s="359"/>
      <c r="F2" s="408"/>
      <c r="G2" s="409"/>
      <c r="H2" s="410"/>
    </row>
    <row r="3" spans="1:8" ht="15" customHeight="1" x14ac:dyDescent="0.2">
      <c r="A3" s="403"/>
      <c r="B3" s="358"/>
      <c r="C3" s="359"/>
      <c r="D3" s="359"/>
      <c r="E3" s="359"/>
      <c r="F3" s="405" t="s">
        <v>89</v>
      </c>
      <c r="G3" s="406"/>
      <c r="H3" s="407"/>
    </row>
    <row r="4" spans="1:8" ht="15.75" customHeight="1" thickBot="1" x14ac:dyDescent="0.25">
      <c r="A4" s="404"/>
      <c r="B4" s="360"/>
      <c r="C4" s="361"/>
      <c r="D4" s="361"/>
      <c r="E4" s="361"/>
      <c r="F4" s="411"/>
      <c r="G4" s="412"/>
      <c r="H4" s="413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130607.9</v>
      </c>
      <c r="D8" s="97">
        <v>44166</v>
      </c>
      <c r="E8" s="96">
        <v>132699</v>
      </c>
      <c r="F8" s="97">
        <v>44562</v>
      </c>
      <c r="G8" s="98">
        <f>E8-C8</f>
        <v>2091.1000000000058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4" t="s">
        <v>116</v>
      </c>
      <c r="C10" s="415"/>
      <c r="D10" s="416" t="s">
        <v>139</v>
      </c>
      <c r="E10" s="416"/>
      <c r="F10" s="414" t="s">
        <v>140</v>
      </c>
      <c r="G10" s="417"/>
      <c r="H10" s="415"/>
    </row>
    <row r="11" spans="1:8" ht="15" x14ac:dyDescent="0.2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 x14ac:dyDescent="0.35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 x14ac:dyDescent="0.25">
      <c r="A13" s="102" t="s">
        <v>143</v>
      </c>
      <c r="B13" s="394">
        <f>G8</f>
        <v>2091.1000000000058</v>
      </c>
      <c r="C13" s="394"/>
      <c r="D13" s="394">
        <v>8.7899999999999991</v>
      </c>
      <c r="E13" s="394"/>
      <c r="F13" s="401">
        <f>PRODUCT(D13,B13)</f>
        <v>18380.769000000051</v>
      </c>
      <c r="G13" s="401"/>
      <c r="H13" s="401"/>
    </row>
    <row r="14" spans="1:8" ht="45" customHeight="1" x14ac:dyDescent="0.2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 x14ac:dyDescent="0.2">
      <c r="A15" s="399"/>
      <c r="B15" s="399"/>
      <c r="C15" s="399"/>
      <c r="D15" s="399"/>
      <c r="E15" s="399"/>
      <c r="F15" s="399"/>
      <c r="G15" s="399"/>
      <c r="H15" s="399"/>
    </row>
    <row r="16" spans="1:8" ht="15" x14ac:dyDescent="0.2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 x14ac:dyDescent="0.2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 x14ac:dyDescent="0.2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 x14ac:dyDescent="0.25">
      <c r="A19" s="103" t="s">
        <v>148</v>
      </c>
      <c r="B19" s="394">
        <f>G8</f>
        <v>2091.1000000000058</v>
      </c>
      <c r="C19" s="394"/>
      <c r="D19" s="394">
        <v>2.61</v>
      </c>
      <c r="E19" s="394"/>
      <c r="F19" s="394">
        <f>PRODUCT(D19,B19)</f>
        <v>5457.7710000000152</v>
      </c>
      <c r="G19" s="394"/>
      <c r="H19" s="394"/>
    </row>
    <row r="20" spans="1:8" ht="18.75" x14ac:dyDescent="0.3">
      <c r="A20" s="390" t="s">
        <v>149</v>
      </c>
      <c r="B20" s="391"/>
      <c r="C20" s="391"/>
      <c r="D20" s="391"/>
      <c r="E20" s="392"/>
      <c r="F20" s="393">
        <f>SUM(F11+F13+F16+F17+F18+F19)</f>
        <v>23861.540000000066</v>
      </c>
      <c r="G20" s="393"/>
      <c r="H20" s="393"/>
    </row>
    <row r="21" spans="1:8" ht="15" x14ac:dyDescent="0.25">
      <c r="A21" s="379" t="s">
        <v>150</v>
      </c>
      <c r="B21" s="380"/>
      <c r="C21" s="380"/>
      <c r="D21" s="380"/>
      <c r="E21" s="381"/>
      <c r="F21" s="394">
        <f>PRODUCT(F20,0.07)</f>
        <v>1670.3078000000048</v>
      </c>
      <c r="G21" s="394"/>
      <c r="H21" s="394"/>
    </row>
    <row r="22" spans="1:8" ht="15" x14ac:dyDescent="0.25">
      <c r="A22" s="395" t="s">
        <v>151</v>
      </c>
      <c r="B22" s="396"/>
      <c r="C22" s="396"/>
      <c r="D22" s="396"/>
      <c r="E22" s="397"/>
      <c r="F22" s="394">
        <v>208.26</v>
      </c>
      <c r="G22" s="394"/>
      <c r="H22" s="394"/>
    </row>
    <row r="23" spans="1:8" ht="15.75" x14ac:dyDescent="0.25">
      <c r="A23" s="379" t="s">
        <v>152</v>
      </c>
      <c r="B23" s="380"/>
      <c r="C23" s="380"/>
      <c r="D23" s="380"/>
      <c r="E23" s="381"/>
      <c r="F23" s="382">
        <f>SUM(F21:H22)</f>
        <v>1878.5678000000048</v>
      </c>
      <c r="G23" s="382"/>
      <c r="H23" s="382"/>
    </row>
    <row r="24" spans="1:8" x14ac:dyDescent="0.2">
      <c r="A24" s="383" t="s">
        <v>153</v>
      </c>
      <c r="B24" s="384"/>
      <c r="C24" s="384"/>
      <c r="D24" s="384"/>
      <c r="E24" s="385"/>
      <c r="F24" s="389">
        <f>SUM(F20,F23)</f>
        <v>25740.107800000071</v>
      </c>
      <c r="G24" s="389"/>
      <c r="H24" s="389"/>
    </row>
    <row r="25" spans="1:8" x14ac:dyDescent="0.2">
      <c r="A25" s="386"/>
      <c r="B25" s="387"/>
      <c r="C25" s="387"/>
      <c r="D25" s="387"/>
      <c r="E25" s="388"/>
      <c r="F25" s="389"/>
      <c r="G25" s="389"/>
      <c r="H25" s="389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2"/>
      <c r="B1" s="356" t="s">
        <v>133</v>
      </c>
      <c r="C1" s="357"/>
      <c r="D1" s="357"/>
      <c r="E1" s="357"/>
      <c r="F1" s="405" t="s">
        <v>88</v>
      </c>
      <c r="G1" s="406"/>
      <c r="H1" s="407"/>
    </row>
    <row r="2" spans="1:8" ht="15.75" customHeight="1" thickBot="1" x14ac:dyDescent="0.25">
      <c r="A2" s="403"/>
      <c r="B2" s="358"/>
      <c r="C2" s="359"/>
      <c r="D2" s="359"/>
      <c r="E2" s="359"/>
      <c r="F2" s="408"/>
      <c r="G2" s="409"/>
      <c r="H2" s="410"/>
    </row>
    <row r="3" spans="1:8" ht="15" customHeight="1" x14ac:dyDescent="0.2">
      <c r="A3" s="403"/>
      <c r="B3" s="358"/>
      <c r="C3" s="359"/>
      <c r="D3" s="359"/>
      <c r="E3" s="359"/>
      <c r="F3" s="405" t="s">
        <v>89</v>
      </c>
      <c r="G3" s="406"/>
      <c r="H3" s="407"/>
    </row>
    <row r="4" spans="1:8" ht="15.75" customHeight="1" thickBot="1" x14ac:dyDescent="0.25">
      <c r="A4" s="404"/>
      <c r="B4" s="360"/>
      <c r="C4" s="361"/>
      <c r="D4" s="361"/>
      <c r="E4" s="361"/>
      <c r="F4" s="411"/>
      <c r="G4" s="412"/>
      <c r="H4" s="413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4" t="s">
        <v>116</v>
      </c>
      <c r="C10" s="415"/>
      <c r="D10" s="416" t="s">
        <v>139</v>
      </c>
      <c r="E10" s="416"/>
      <c r="F10" s="414" t="s">
        <v>140</v>
      </c>
      <c r="G10" s="417"/>
      <c r="H10" s="415"/>
    </row>
    <row r="11" spans="1:8" ht="15" x14ac:dyDescent="0.2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 x14ac:dyDescent="0.35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 x14ac:dyDescent="0.25">
      <c r="A13" s="102" t="s">
        <v>143</v>
      </c>
      <c r="B13" s="394">
        <f>G8</f>
        <v>119.80000000000291</v>
      </c>
      <c r="C13" s="394"/>
      <c r="D13" s="394">
        <v>8.5</v>
      </c>
      <c r="E13" s="394"/>
      <c r="F13" s="401">
        <f>PRODUCT(D13,B13)</f>
        <v>1018.3000000000247</v>
      </c>
      <c r="G13" s="401"/>
      <c r="H13" s="401"/>
    </row>
    <row r="14" spans="1:8" ht="45" customHeight="1" x14ac:dyDescent="0.2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 x14ac:dyDescent="0.2">
      <c r="A15" s="399"/>
      <c r="B15" s="399"/>
      <c r="C15" s="399"/>
      <c r="D15" s="399"/>
      <c r="E15" s="399"/>
      <c r="F15" s="399"/>
      <c r="G15" s="399"/>
      <c r="H15" s="399"/>
    </row>
    <row r="16" spans="1:8" ht="15" x14ac:dyDescent="0.2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 x14ac:dyDescent="0.2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 x14ac:dyDescent="0.2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 x14ac:dyDescent="0.25">
      <c r="A19" s="103" t="s">
        <v>148</v>
      </c>
      <c r="B19" s="394">
        <v>0</v>
      </c>
      <c r="C19" s="394"/>
      <c r="D19" s="418">
        <v>0</v>
      </c>
      <c r="E19" s="419"/>
      <c r="F19" s="418">
        <v>0</v>
      </c>
      <c r="G19" s="419"/>
      <c r="H19" s="164"/>
    </row>
    <row r="20" spans="1:8" ht="15" x14ac:dyDescent="0.25">
      <c r="A20" s="103" t="s">
        <v>154</v>
      </c>
      <c r="B20" s="394">
        <f>G8</f>
        <v>119.80000000000291</v>
      </c>
      <c r="C20" s="394"/>
      <c r="D20" s="394">
        <v>2.54</v>
      </c>
      <c r="E20" s="394"/>
      <c r="F20" s="394">
        <f>PRODUCT(D20,B20)</f>
        <v>304.29200000000742</v>
      </c>
      <c r="G20" s="394"/>
      <c r="H20" s="394"/>
    </row>
    <row r="21" spans="1:8" ht="18.75" x14ac:dyDescent="0.3">
      <c r="A21" s="390" t="s">
        <v>149</v>
      </c>
      <c r="B21" s="391"/>
      <c r="C21" s="391"/>
      <c r="D21" s="391"/>
      <c r="E21" s="392"/>
      <c r="F21" s="393">
        <f>SUM(F11+F13+F16+F17+F18+F20)</f>
        <v>1345.5920000000322</v>
      </c>
      <c r="G21" s="393"/>
      <c r="H21" s="393"/>
    </row>
    <row r="22" spans="1:8" ht="15" x14ac:dyDescent="0.25">
      <c r="A22" s="379" t="s">
        <v>150</v>
      </c>
      <c r="B22" s="380"/>
      <c r="C22" s="380"/>
      <c r="D22" s="380"/>
      <c r="E22" s="381"/>
      <c r="F22" s="394">
        <f>PRODUCT(F21,0.07)</f>
        <v>94.19144000000226</v>
      </c>
      <c r="G22" s="394"/>
      <c r="H22" s="394"/>
    </row>
    <row r="23" spans="1:8" ht="15" x14ac:dyDescent="0.25">
      <c r="A23" s="395" t="s">
        <v>151</v>
      </c>
      <c r="B23" s="396"/>
      <c r="C23" s="396"/>
      <c r="D23" s="396"/>
      <c r="E23" s="397"/>
      <c r="F23" s="394">
        <v>208.26</v>
      </c>
      <c r="G23" s="394"/>
      <c r="H23" s="394"/>
    </row>
    <row r="24" spans="1:8" ht="15.75" x14ac:dyDescent="0.25">
      <c r="A24" s="379" t="s">
        <v>152</v>
      </c>
      <c r="B24" s="380"/>
      <c r="C24" s="380"/>
      <c r="D24" s="380"/>
      <c r="E24" s="381"/>
      <c r="F24" s="382">
        <f>SUM(F22:H23)</f>
        <v>302.45144000000226</v>
      </c>
      <c r="G24" s="382"/>
      <c r="H24" s="382"/>
    </row>
    <row r="25" spans="1:8" x14ac:dyDescent="0.2">
      <c r="A25" s="383" t="s">
        <v>153</v>
      </c>
      <c r="B25" s="384"/>
      <c r="C25" s="384"/>
      <c r="D25" s="384"/>
      <c r="E25" s="385"/>
      <c r="F25" s="389">
        <f>SUM(F21,F24)</f>
        <v>1648.0434400000345</v>
      </c>
      <c r="G25" s="389"/>
      <c r="H25" s="389"/>
    </row>
    <row r="26" spans="1:8" x14ac:dyDescent="0.2">
      <c r="A26" s="386"/>
      <c r="B26" s="387"/>
      <c r="C26" s="387"/>
      <c r="D26" s="387"/>
      <c r="E26" s="388"/>
      <c r="F26" s="389"/>
      <c r="G26" s="389"/>
      <c r="H26" s="389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2"/>
      <c r="B1" s="356" t="s">
        <v>155</v>
      </c>
      <c r="C1" s="357"/>
      <c r="D1" s="357"/>
      <c r="E1" s="357"/>
      <c r="F1" s="405" t="s">
        <v>88</v>
      </c>
      <c r="G1" s="406"/>
      <c r="H1" s="407"/>
    </row>
    <row r="2" spans="1:8" ht="15.75" customHeight="1" thickBot="1" x14ac:dyDescent="0.25">
      <c r="A2" s="403"/>
      <c r="B2" s="358"/>
      <c r="C2" s="359"/>
      <c r="D2" s="359"/>
      <c r="E2" s="359"/>
      <c r="F2" s="408"/>
      <c r="G2" s="409"/>
      <c r="H2" s="410"/>
    </row>
    <row r="3" spans="1:8" ht="15" customHeight="1" x14ac:dyDescent="0.2">
      <c r="A3" s="403"/>
      <c r="B3" s="358"/>
      <c r="C3" s="359"/>
      <c r="D3" s="359"/>
      <c r="E3" s="359"/>
      <c r="F3" s="405" t="s">
        <v>89</v>
      </c>
      <c r="G3" s="406"/>
      <c r="H3" s="407"/>
    </row>
    <row r="4" spans="1:8" ht="15.75" customHeight="1" thickBot="1" x14ac:dyDescent="0.25">
      <c r="A4" s="404"/>
      <c r="B4" s="360"/>
      <c r="C4" s="361"/>
      <c r="D4" s="361"/>
      <c r="E4" s="361"/>
      <c r="F4" s="411"/>
      <c r="G4" s="412"/>
      <c r="H4" s="413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4" t="s">
        <v>116</v>
      </c>
      <c r="C10" s="415"/>
      <c r="D10" s="416" t="s">
        <v>139</v>
      </c>
      <c r="E10" s="416"/>
      <c r="F10" s="414" t="s">
        <v>140</v>
      </c>
      <c r="G10" s="417"/>
      <c r="H10" s="415"/>
    </row>
    <row r="11" spans="1:8" ht="15" x14ac:dyDescent="0.25">
      <c r="A11" s="102" t="s">
        <v>141</v>
      </c>
      <c r="B11" s="394"/>
      <c r="C11" s="394"/>
      <c r="D11" s="394"/>
      <c r="E11" s="394"/>
      <c r="F11" s="394">
        <v>15</v>
      </c>
      <c r="G11" s="394"/>
      <c r="H11" s="394"/>
    </row>
    <row r="12" spans="1:8" ht="21" x14ac:dyDescent="0.35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 x14ac:dyDescent="0.25">
      <c r="A13" s="102" t="s">
        <v>156</v>
      </c>
      <c r="B13" s="394">
        <f>G8</f>
        <v>0</v>
      </c>
      <c r="C13" s="394"/>
      <c r="D13" s="394">
        <v>16.48</v>
      </c>
      <c r="E13" s="394"/>
      <c r="F13" s="401">
        <f>PRODUCT(D13,B13)</f>
        <v>0</v>
      </c>
      <c r="G13" s="401"/>
      <c r="H13" s="401"/>
    </row>
    <row r="14" spans="1:8" ht="15" x14ac:dyDescent="0.25">
      <c r="A14" s="102" t="s">
        <v>157</v>
      </c>
      <c r="B14" s="418"/>
      <c r="C14" s="419"/>
      <c r="D14" s="418"/>
      <c r="E14" s="419"/>
      <c r="F14" s="418"/>
      <c r="G14" s="419"/>
      <c r="H14" s="111"/>
    </row>
    <row r="15" spans="1:8" ht="15" x14ac:dyDescent="0.25">
      <c r="A15" s="102" t="s">
        <v>158</v>
      </c>
      <c r="B15" s="418"/>
      <c r="C15" s="419"/>
      <c r="D15" s="418"/>
      <c r="E15" s="419"/>
      <c r="F15" s="418"/>
      <c r="G15" s="419"/>
      <c r="H15" s="111"/>
    </row>
    <row r="16" spans="1:8" ht="15" x14ac:dyDescent="0.25">
      <c r="A16" s="102" t="s">
        <v>159</v>
      </c>
      <c r="B16" s="418"/>
      <c r="C16" s="419"/>
      <c r="D16" s="418"/>
      <c r="E16" s="419"/>
      <c r="F16" s="418"/>
      <c r="G16" s="419"/>
      <c r="H16" s="111"/>
    </row>
    <row r="17" spans="1:8" ht="15" x14ac:dyDescent="0.25">
      <c r="A17" s="102" t="s">
        <v>160</v>
      </c>
      <c r="B17" s="418"/>
      <c r="C17" s="419"/>
      <c r="D17" s="418"/>
      <c r="E17" s="419"/>
      <c r="F17" s="418"/>
      <c r="G17" s="419"/>
      <c r="H17" s="111"/>
    </row>
    <row r="18" spans="1:8" ht="45" customHeight="1" x14ac:dyDescent="0.2">
      <c r="A18" s="398" t="s">
        <v>144</v>
      </c>
      <c r="B18" s="398"/>
      <c r="C18" s="398"/>
      <c r="D18" s="398"/>
      <c r="E18" s="398"/>
      <c r="F18" s="398"/>
      <c r="G18" s="398"/>
      <c r="H18" s="398"/>
    </row>
    <row r="19" spans="1:8" x14ac:dyDescent="0.2">
      <c r="A19" s="399"/>
      <c r="B19" s="399"/>
      <c r="C19" s="399"/>
      <c r="D19" s="399"/>
      <c r="E19" s="399"/>
      <c r="F19" s="399"/>
      <c r="G19" s="399"/>
      <c r="H19" s="399"/>
    </row>
    <row r="20" spans="1:8" ht="15" x14ac:dyDescent="0.25">
      <c r="A20" s="103" t="s">
        <v>145</v>
      </c>
      <c r="B20" s="394">
        <v>0</v>
      </c>
      <c r="C20" s="394"/>
      <c r="D20" s="394">
        <v>0</v>
      </c>
      <c r="E20" s="394"/>
      <c r="F20" s="394">
        <f>PRODUCT(D20,B20)</f>
        <v>0</v>
      </c>
      <c r="G20" s="394"/>
      <c r="H20" s="394"/>
    </row>
    <row r="21" spans="1:8" ht="15" x14ac:dyDescent="0.25">
      <c r="A21" s="103" t="s">
        <v>146</v>
      </c>
      <c r="B21" s="394">
        <v>0</v>
      </c>
      <c r="C21" s="394"/>
      <c r="D21" s="394">
        <v>0</v>
      </c>
      <c r="E21" s="394"/>
      <c r="F21" s="394">
        <f>PRODUCT(D21,B21)</f>
        <v>0</v>
      </c>
      <c r="G21" s="394"/>
      <c r="H21" s="394"/>
    </row>
    <row r="22" spans="1:8" ht="15" x14ac:dyDescent="0.25">
      <c r="A22" s="103" t="s">
        <v>147</v>
      </c>
      <c r="B22" s="394">
        <v>0</v>
      </c>
      <c r="C22" s="394"/>
      <c r="D22" s="394">
        <v>0</v>
      </c>
      <c r="E22" s="394"/>
      <c r="F22" s="394">
        <f>PRODUCT(D22,B22)</f>
        <v>0</v>
      </c>
      <c r="G22" s="394"/>
      <c r="H22" s="394"/>
    </row>
    <row r="23" spans="1:8" ht="15" x14ac:dyDescent="0.25">
      <c r="A23" s="103" t="s">
        <v>148</v>
      </c>
      <c r="B23" s="394">
        <f>G8</f>
        <v>0</v>
      </c>
      <c r="C23" s="394"/>
      <c r="D23" s="394">
        <v>0</v>
      </c>
      <c r="E23" s="394"/>
      <c r="F23" s="394">
        <f>PRODUCT(D23,B23)</f>
        <v>0</v>
      </c>
      <c r="G23" s="394"/>
      <c r="H23" s="394"/>
    </row>
    <row r="24" spans="1:8" ht="15" x14ac:dyDescent="0.25">
      <c r="A24" s="103" t="s">
        <v>154</v>
      </c>
      <c r="B24" s="418">
        <v>0</v>
      </c>
      <c r="C24" s="419"/>
      <c r="D24" s="418">
        <v>2.54</v>
      </c>
      <c r="E24" s="419"/>
      <c r="F24" s="418">
        <f>B24*D24</f>
        <v>0</v>
      </c>
      <c r="G24" s="419"/>
      <c r="H24" s="164"/>
    </row>
    <row r="25" spans="1:8" ht="18.75" x14ac:dyDescent="0.3">
      <c r="A25" s="390" t="s">
        <v>149</v>
      </c>
      <c r="B25" s="391"/>
      <c r="C25" s="391"/>
      <c r="D25" s="391"/>
      <c r="E25" s="392"/>
      <c r="F25" s="420">
        <f>SUM(F11+F13+F20+F21+F22+F23)</f>
        <v>15</v>
      </c>
      <c r="G25" s="393"/>
      <c r="H25" s="393"/>
    </row>
    <row r="26" spans="1:8" ht="15" x14ac:dyDescent="0.25">
      <c r="A26" s="379" t="s">
        <v>150</v>
      </c>
      <c r="B26" s="380"/>
      <c r="C26" s="380"/>
      <c r="D26" s="380"/>
      <c r="E26" s="381"/>
      <c r="F26" s="394">
        <v>63.63</v>
      </c>
      <c r="G26" s="394"/>
      <c r="H26" s="394"/>
    </row>
    <row r="27" spans="1:8" ht="15" x14ac:dyDescent="0.25">
      <c r="A27" s="395" t="s">
        <v>151</v>
      </c>
      <c r="B27" s="396"/>
      <c r="C27" s="396"/>
      <c r="D27" s="396"/>
      <c r="E27" s="397"/>
      <c r="F27" s="394">
        <v>2.4300000000000002</v>
      </c>
      <c r="G27" s="394"/>
      <c r="H27" s="394"/>
    </row>
    <row r="28" spans="1:8" ht="15.75" x14ac:dyDescent="0.25">
      <c r="A28" s="379" t="s">
        <v>152</v>
      </c>
      <c r="B28" s="380"/>
      <c r="C28" s="380"/>
      <c r="D28" s="380"/>
      <c r="E28" s="381"/>
      <c r="F28" s="382">
        <f>SUM(F26:H27)</f>
        <v>66.06</v>
      </c>
      <c r="G28" s="382"/>
      <c r="H28" s="382"/>
    </row>
    <row r="29" spans="1:8" x14ac:dyDescent="0.2">
      <c r="A29" s="383" t="s">
        <v>153</v>
      </c>
      <c r="B29" s="384"/>
      <c r="C29" s="384"/>
      <c r="D29" s="384"/>
      <c r="E29" s="385"/>
      <c r="F29" s="389">
        <f>SUM(F25,F28)</f>
        <v>81.06</v>
      </c>
      <c r="G29" s="389"/>
      <c r="H29" s="389"/>
    </row>
    <row r="30" spans="1:8" x14ac:dyDescent="0.2">
      <c r="A30" s="386"/>
      <c r="B30" s="387"/>
      <c r="C30" s="387"/>
      <c r="D30" s="387"/>
      <c r="E30" s="388"/>
      <c r="F30" s="389"/>
      <c r="G30" s="389"/>
      <c r="H30" s="389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9" zoomScaleNormal="100" workbookViewId="0">
      <selection activeCell="N24" sqref="N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1" t="s">
        <v>161</v>
      </c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3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21" thickBot="1" x14ac:dyDescent="0.35">
      <c r="C15" s="424" t="s">
        <v>181</v>
      </c>
      <c r="D15" s="425"/>
      <c r="E15" s="425"/>
      <c r="F15" s="425"/>
      <c r="G15" s="425"/>
      <c r="H15" s="425"/>
      <c r="I15" s="425"/>
      <c r="J15" s="425"/>
      <c r="K15" s="425"/>
      <c r="L15" s="425"/>
      <c r="M15" s="425"/>
      <c r="N15" s="426"/>
    </row>
    <row r="17" spans="2:14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 x14ac:dyDescent="0.2">
      <c r="B18" s="106" t="s">
        <v>174</v>
      </c>
      <c r="C18" s="427"/>
      <c r="D18" s="428"/>
      <c r="E18" s="428"/>
      <c r="F18" s="428"/>
      <c r="G18" s="428"/>
      <c r="H18" s="428"/>
      <c r="I18" s="428"/>
      <c r="J18" s="428"/>
      <c r="K18" s="429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49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>
        <v>403992.3469</v>
      </c>
      <c r="N24" s="104">
        <v>289205.48600000003</v>
      </c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D11" zoomScaleNormal="100" workbookViewId="0">
      <selection activeCell="N24" sqref="N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1" t="s">
        <v>182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21" thickBot="1" x14ac:dyDescent="0.35">
      <c r="C15" s="424" t="s">
        <v>183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5" ht="18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 x14ac:dyDescent="0.2">
      <c r="B18" s="106" t="s">
        <v>174</v>
      </c>
      <c r="C18" s="427"/>
      <c r="D18" s="428"/>
      <c r="E18" s="428"/>
      <c r="F18" s="428"/>
      <c r="G18" s="428"/>
      <c r="H18" s="428"/>
      <c r="I18" s="428"/>
      <c r="J18" s="428"/>
      <c r="K18" s="429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49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>
        <v>33450.079999999965</v>
      </c>
      <c r="N24" s="104">
        <v>23861.540000000066</v>
      </c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N24" sqref="N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1" t="s">
        <v>184</v>
      </c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3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21" thickBot="1" x14ac:dyDescent="0.35">
      <c r="C15" s="424" t="s">
        <v>185</v>
      </c>
      <c r="D15" s="425"/>
      <c r="E15" s="425"/>
      <c r="F15" s="425"/>
      <c r="G15" s="425"/>
      <c r="H15" s="425"/>
      <c r="I15" s="425"/>
      <c r="J15" s="425"/>
      <c r="K15" s="425"/>
      <c r="L15" s="425"/>
      <c r="M15" s="425"/>
      <c r="N15" s="426"/>
    </row>
    <row r="17" spans="2:14" ht="17.25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 x14ac:dyDescent="0.2">
      <c r="B18" s="106" t="s">
        <v>174</v>
      </c>
      <c r="C18" s="427"/>
      <c r="D18" s="428"/>
      <c r="E18" s="428"/>
      <c r="F18" s="428"/>
      <c r="G18" s="428"/>
      <c r="H18" s="428"/>
      <c r="I18" s="428"/>
      <c r="J18" s="428"/>
      <c r="K18" s="429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49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>
        <v>216928.19803199999</v>
      </c>
      <c r="N24" s="104">
        <v>140007.79822500001</v>
      </c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2023-02-20T15:04:18Z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