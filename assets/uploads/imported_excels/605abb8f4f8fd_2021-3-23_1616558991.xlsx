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1\"/>
    </mc:Choice>
  </mc:AlternateContent>
  <bookViews>
    <workbookView xWindow="0" yWindow="0" windowWidth="20400" windowHeight="9195"/>
  </bookViews>
  <sheets>
    <sheet name="TOTAL" sheetId="2" r:id="rId1"/>
    <sheet name="FSRW Meter Readings" sheetId="3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I31" i="2"/>
  <c r="G28" i="2"/>
  <c r="G32" i="2"/>
  <c r="E29" i="2"/>
  <c r="E32" i="2"/>
  <c r="K5" i="3"/>
  <c r="I3" i="2" s="1"/>
  <c r="K6" i="3"/>
  <c r="I4" i="2" s="1"/>
  <c r="K7" i="3"/>
  <c r="I5" i="2" s="1"/>
  <c r="K8" i="3"/>
  <c r="I6" i="2" s="1"/>
  <c r="K9" i="3"/>
  <c r="I7" i="2" s="1"/>
  <c r="K10" i="3"/>
  <c r="I8" i="2" s="1"/>
  <c r="K11" i="3"/>
  <c r="I9" i="2" s="1"/>
  <c r="K12" i="3"/>
  <c r="I10" i="2" s="1"/>
  <c r="K13" i="3"/>
  <c r="I11" i="2" s="1"/>
  <c r="K14" i="3"/>
  <c r="I12" i="2" s="1"/>
  <c r="K15" i="3"/>
  <c r="I13" i="2" s="1"/>
  <c r="K16" i="3"/>
  <c r="I14" i="2" s="1"/>
  <c r="K17" i="3"/>
  <c r="I15" i="2" s="1"/>
  <c r="K18" i="3"/>
  <c r="I16" i="2" s="1"/>
  <c r="K19" i="3"/>
  <c r="I17" i="2" s="1"/>
  <c r="K20" i="3"/>
  <c r="I18" i="2" s="1"/>
  <c r="K21" i="3"/>
  <c r="I19" i="2" s="1"/>
  <c r="K22" i="3"/>
  <c r="I20" i="2" s="1"/>
  <c r="K23" i="3"/>
  <c r="I21" i="2" s="1"/>
  <c r="K24" i="3"/>
  <c r="I22" i="2" s="1"/>
  <c r="K25" i="3"/>
  <c r="I23" i="2" s="1"/>
  <c r="K26" i="3"/>
  <c r="I24" i="2" s="1"/>
  <c r="K27" i="3"/>
  <c r="I25" i="2" s="1"/>
  <c r="K28" i="3"/>
  <c r="I26" i="2" s="1"/>
  <c r="K29" i="3"/>
  <c r="I27" i="2" s="1"/>
  <c r="K30" i="3"/>
  <c r="I28" i="2" s="1"/>
  <c r="K31" i="3"/>
  <c r="I29" i="2" s="1"/>
  <c r="K32" i="3"/>
  <c r="I30" i="2" s="1"/>
  <c r="K33" i="3"/>
  <c r="K34" i="3"/>
  <c r="I32" i="2" s="1"/>
  <c r="K4" i="3"/>
  <c r="I2" i="2" s="1"/>
  <c r="H5" i="3"/>
  <c r="I5" i="3" s="1"/>
  <c r="E3" i="2" s="1"/>
  <c r="H6" i="3"/>
  <c r="I6" i="3" s="1"/>
  <c r="E4" i="2" s="1"/>
  <c r="H7" i="3"/>
  <c r="I7" i="3" s="1"/>
  <c r="E5" i="2" s="1"/>
  <c r="H8" i="3"/>
  <c r="I8" i="3" s="1"/>
  <c r="E6" i="2" s="1"/>
  <c r="H9" i="3"/>
  <c r="I9" i="3" s="1"/>
  <c r="E7" i="2" s="1"/>
  <c r="H10" i="3"/>
  <c r="I10" i="3" s="1"/>
  <c r="E8" i="2" s="1"/>
  <c r="H11" i="3"/>
  <c r="I11" i="3" s="1"/>
  <c r="E9" i="2" s="1"/>
  <c r="H12" i="3"/>
  <c r="I12" i="3" s="1"/>
  <c r="E10" i="2" s="1"/>
  <c r="H13" i="3"/>
  <c r="H14" i="3"/>
  <c r="H15" i="3"/>
  <c r="H16" i="3"/>
  <c r="I16" i="3" s="1"/>
  <c r="E14" i="2" s="1"/>
  <c r="H17" i="3"/>
  <c r="I17" i="3" s="1"/>
  <c r="E15" i="2" s="1"/>
  <c r="H18" i="3"/>
  <c r="I18" i="3" s="1"/>
  <c r="E16" i="2" s="1"/>
  <c r="H19" i="3"/>
  <c r="I19" i="3" s="1"/>
  <c r="E17" i="2" s="1"/>
  <c r="H20" i="3"/>
  <c r="I20" i="3" s="1"/>
  <c r="E18" i="2" s="1"/>
  <c r="H21" i="3"/>
  <c r="I21" i="3" s="1"/>
  <c r="E19" i="2" s="1"/>
  <c r="H22" i="3"/>
  <c r="I22" i="3" s="1"/>
  <c r="E20" i="2" s="1"/>
  <c r="H23" i="3"/>
  <c r="I23" i="3" s="1"/>
  <c r="E21" i="2" s="1"/>
  <c r="H24" i="3"/>
  <c r="I24" i="3" s="1"/>
  <c r="E22" i="2" s="1"/>
  <c r="H25" i="3"/>
  <c r="I25" i="3" s="1"/>
  <c r="E23" i="2" s="1"/>
  <c r="H26" i="3"/>
  <c r="I26" i="3" s="1"/>
  <c r="E24" i="2" s="1"/>
  <c r="H27" i="3"/>
  <c r="I27" i="3" s="1"/>
  <c r="E25" i="2" s="1"/>
  <c r="H28" i="3"/>
  <c r="I28" i="3" s="1"/>
  <c r="E26" i="2" s="1"/>
  <c r="H29" i="3"/>
  <c r="I29" i="3" s="1"/>
  <c r="E27" i="2" s="1"/>
  <c r="H30" i="3"/>
  <c r="H31" i="3"/>
  <c r="H32" i="3"/>
  <c r="I32" i="3" s="1"/>
  <c r="E30" i="2" s="1"/>
  <c r="H33" i="3"/>
  <c r="I33" i="3" s="1"/>
  <c r="E31" i="2" s="1"/>
  <c r="H34" i="3"/>
  <c r="I34" i="3" s="1"/>
  <c r="I13" i="3"/>
  <c r="E11" i="2" s="1"/>
  <c r="I14" i="3"/>
  <c r="E12" i="2" s="1"/>
  <c r="I15" i="3"/>
  <c r="E13" i="2" s="1"/>
  <c r="I30" i="3"/>
  <c r="E28" i="2" s="1"/>
  <c r="I31" i="3"/>
  <c r="H4" i="3"/>
  <c r="I4" i="3" s="1"/>
  <c r="E2" i="2" s="1"/>
  <c r="E5" i="3"/>
  <c r="F5" i="3" s="1"/>
  <c r="G3" i="2" s="1"/>
  <c r="E6" i="3"/>
  <c r="F6" i="3" s="1"/>
  <c r="G4" i="2" s="1"/>
  <c r="E7" i="3"/>
  <c r="F7" i="3" s="1"/>
  <c r="G5" i="2" s="1"/>
  <c r="E8" i="3"/>
  <c r="F8" i="3" s="1"/>
  <c r="G6" i="2" s="1"/>
  <c r="E9" i="3"/>
  <c r="F9" i="3" s="1"/>
  <c r="G7" i="2" s="1"/>
  <c r="E10" i="3"/>
  <c r="F10" i="3" s="1"/>
  <c r="G8" i="2" s="1"/>
  <c r="E11" i="3"/>
  <c r="F11" i="3" s="1"/>
  <c r="G9" i="2" s="1"/>
  <c r="E12" i="3"/>
  <c r="F12" i="3" s="1"/>
  <c r="G10" i="2" s="1"/>
  <c r="E13" i="3"/>
  <c r="F13" i="3" s="1"/>
  <c r="G11" i="2" s="1"/>
  <c r="E14" i="3"/>
  <c r="F14" i="3" s="1"/>
  <c r="G12" i="2" s="1"/>
  <c r="E15" i="3"/>
  <c r="F15" i="3" s="1"/>
  <c r="G13" i="2" s="1"/>
  <c r="E16" i="3"/>
  <c r="F16" i="3" s="1"/>
  <c r="G14" i="2" s="1"/>
  <c r="E17" i="3"/>
  <c r="F17" i="3" s="1"/>
  <c r="G15" i="2" s="1"/>
  <c r="E18" i="3"/>
  <c r="F18" i="3" s="1"/>
  <c r="G16" i="2" s="1"/>
  <c r="E19" i="3"/>
  <c r="F19" i="3" s="1"/>
  <c r="G17" i="2" s="1"/>
  <c r="E20" i="3"/>
  <c r="F20" i="3" s="1"/>
  <c r="G18" i="2" s="1"/>
  <c r="E21" i="3"/>
  <c r="F21" i="3" s="1"/>
  <c r="G19" i="2" s="1"/>
  <c r="E22" i="3"/>
  <c r="F22" i="3" s="1"/>
  <c r="G20" i="2" s="1"/>
  <c r="E23" i="3"/>
  <c r="F23" i="3" s="1"/>
  <c r="G21" i="2" s="1"/>
  <c r="E24" i="3"/>
  <c r="F24" i="3" s="1"/>
  <c r="G22" i="2" s="1"/>
  <c r="E25" i="3"/>
  <c r="F25" i="3" s="1"/>
  <c r="G23" i="2" s="1"/>
  <c r="E26" i="3"/>
  <c r="F26" i="3" s="1"/>
  <c r="G24" i="2" s="1"/>
  <c r="E27" i="3"/>
  <c r="F27" i="3" s="1"/>
  <c r="G25" i="2" s="1"/>
  <c r="E28" i="3"/>
  <c r="F28" i="3" s="1"/>
  <c r="G26" i="2" s="1"/>
  <c r="E29" i="3"/>
  <c r="F29" i="3" s="1"/>
  <c r="G27" i="2" s="1"/>
  <c r="E30" i="3"/>
  <c r="F30" i="3" s="1"/>
  <c r="E31" i="3"/>
  <c r="F31" i="3" s="1"/>
  <c r="G29" i="2" s="1"/>
  <c r="E32" i="3"/>
  <c r="F32" i="3" s="1"/>
  <c r="G30" i="2" s="1"/>
  <c r="E33" i="3"/>
  <c r="F33" i="3" s="1"/>
  <c r="G31" i="2" s="1"/>
  <c r="E34" i="3"/>
  <c r="F34" i="3" s="1"/>
  <c r="E4" i="3"/>
  <c r="F4" i="3" s="1"/>
  <c r="G2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comments1.xml><?xml version="1.0" encoding="utf-8"?>
<comments xmlns="http://schemas.openxmlformats.org/spreadsheetml/2006/main">
  <authors>
    <author>Ben Hartwell</author>
  </authors>
  <commentList>
    <comment ref="D5" authorId="0" shapeId="0">
      <text>
        <r>
          <rPr>
            <b/>
            <sz val="9"/>
            <color indexed="81"/>
            <rFont val="Tahoma"/>
            <family val="2"/>
          </rPr>
          <t>Ben Hartwell:</t>
        </r>
        <r>
          <rPr>
            <sz val="9"/>
            <color indexed="81"/>
            <rFont val="Tahoma"/>
            <family val="2"/>
          </rPr>
          <t xml:space="preserve">
This is an estimated figure</t>
        </r>
      </text>
    </comment>
    <comment ref="D14" authorId="0" shapeId="0">
      <text>
        <r>
          <rPr>
            <b/>
            <sz val="9"/>
            <color indexed="81"/>
            <rFont val="Tahoma"/>
            <family val="2"/>
          </rPr>
          <t>Ben Hartwell:</t>
        </r>
        <r>
          <rPr>
            <sz val="9"/>
            <color indexed="81"/>
            <rFont val="Tahoma"/>
            <family val="2"/>
          </rPr>
          <t xml:space="preserve">
This is an estimated figure</t>
        </r>
      </text>
    </comment>
    <comment ref="D15" authorId="0" shapeId="0">
      <text>
        <r>
          <rPr>
            <b/>
            <sz val="9"/>
            <color indexed="81"/>
            <rFont val="Tahoma"/>
            <family val="2"/>
          </rPr>
          <t>Ben Hartwell:</t>
        </r>
        <r>
          <rPr>
            <sz val="9"/>
            <color indexed="81"/>
            <rFont val="Tahoma"/>
            <family val="2"/>
          </rPr>
          <t xml:space="preserve">
This is an estimated figure</t>
        </r>
      </text>
    </comment>
    <comment ref="G15" authorId="0" shapeId="0">
      <text>
        <r>
          <rPr>
            <b/>
            <sz val="9"/>
            <color indexed="81"/>
            <rFont val="Tahoma"/>
            <family val="2"/>
          </rPr>
          <t>Ben Hartwell:</t>
        </r>
        <r>
          <rPr>
            <sz val="9"/>
            <color indexed="81"/>
            <rFont val="Tahoma"/>
            <family val="2"/>
          </rPr>
          <t xml:space="preserve">
This is an estimated figure</t>
        </r>
      </text>
    </comment>
    <comment ref="D19" authorId="0" shapeId="0">
      <text>
        <r>
          <rPr>
            <b/>
            <sz val="9"/>
            <color indexed="81"/>
            <rFont val="Tahoma"/>
            <family val="2"/>
          </rPr>
          <t>Ben Hartwell:</t>
        </r>
        <r>
          <rPr>
            <sz val="9"/>
            <color indexed="81"/>
            <rFont val="Tahoma"/>
            <family val="2"/>
          </rPr>
          <t xml:space="preserve">
This is an estimated figure</t>
        </r>
      </text>
    </comment>
    <comment ref="G19" authorId="0" shapeId="0">
      <text>
        <r>
          <rPr>
            <b/>
            <sz val="9"/>
            <color indexed="81"/>
            <rFont val="Tahoma"/>
            <family val="2"/>
          </rPr>
          <t>Ben Hartwell:</t>
        </r>
        <r>
          <rPr>
            <sz val="9"/>
            <color indexed="81"/>
            <rFont val="Tahoma"/>
            <family val="2"/>
          </rPr>
          <t xml:space="preserve">
This is an estimated figure</t>
        </r>
      </text>
    </comment>
  </commentList>
</comments>
</file>

<file path=xl/sharedStrings.xml><?xml version="1.0" encoding="utf-8"?>
<sst xmlns="http://schemas.openxmlformats.org/spreadsheetml/2006/main" count="62" uniqueCount="27">
  <si>
    <t>Day</t>
  </si>
  <si>
    <t>Month</t>
  </si>
  <si>
    <t>Year</t>
  </si>
  <si>
    <t>Gas (GJ)</t>
  </si>
  <si>
    <t>Hydro (Kw/h)</t>
  </si>
  <si>
    <t>Kw/h with multiplier</t>
  </si>
  <si>
    <t>Site Name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</si>
  <si>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</si>
  <si>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</si>
  <si>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</si>
  <si>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</si>
  <si>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</si>
  <si>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</si>
  <si>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</si>
  <si>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</si>
  <si>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Natual Gas (m3)</t>
  </si>
  <si>
    <t xml:space="preserve">Date </t>
  </si>
  <si>
    <t xml:space="preserve"> Reading M³</t>
  </si>
  <si>
    <t>Daily consumption M³</t>
  </si>
  <si>
    <t xml:space="preserve">Room Night </t>
  </si>
  <si>
    <t xml:space="preserve"> </t>
  </si>
  <si>
    <t>Daily consumption GJ</t>
  </si>
  <si>
    <t>Daily consumption m3</t>
  </si>
  <si>
    <t>Natural Gas</t>
  </si>
  <si>
    <t>Electricity (Hydro)</t>
  </si>
  <si>
    <t xml:space="preserve"> Reading KWh</t>
  </si>
  <si>
    <t xml:space="preserve">Water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</si>
</sst>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0_ ;[Red]\-0\ "/>
    <numFmt numFmtId="166" formatCode="[$-809]dd\ mmmm\ yyyy;@"/>
    <numFmt numFmtId="167" formatCode="0;[Red]0"/>
    <numFmt numFmtId="169" formatCode="#,##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/>
  </cellStyleXfs>
  <cellXfs count="62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18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165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/>
    </xf>
    <xf numFmtId="165" fontId="7" fillId="0" borderId="14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2" fillId="0" borderId="0" xfId="0" applyNumberFormat="1" applyFont="1"/>
    <xf numFmtId="1" fontId="0" fillId="0" borderId="18" xfId="0" applyNumberFormat="1" applyFont="1" applyBorder="1" applyAlignment="1">
      <alignment horizontal="center"/>
    </xf>
    <xf numFmtId="1" fontId="0" fillId="0" borderId="19" xfId="0" applyNumberFormat="1" applyFont="1" applyBorder="1" applyAlignment="1">
      <alignment horizontal="center"/>
    </xf>
    <xf numFmtId="166" fontId="2" fillId="2" borderId="17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167" fontId="7" fillId="0" borderId="14" xfId="0" applyNumberFormat="1" applyFont="1" applyBorder="1" applyAlignment="1">
      <alignment horizontal="center" vertical="center"/>
    </xf>
    <xf numFmtId="164" fontId="0" fillId="4" borderId="13" xfId="0" applyNumberFormat="1" applyFont="1" applyFill="1" applyBorder="1" applyAlignment="1">
      <alignment horizontal="center" vertical="center"/>
    </xf>
    <xf numFmtId="164" fontId="0" fillId="4" borderId="20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2" fontId="0" fillId="0" borderId="12" xfId="0" applyNumberFormat="1" applyFont="1" applyBorder="1" applyAlignment="1">
      <alignment horizontal="center" vertical="center"/>
    </xf>
    <xf numFmtId="165" fontId="7" fillId="0" borderId="20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6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3" fontId="0" fillId="0" borderId="21" xfId="0" applyNumberFormat="1" applyBorder="1"/>
    <xf numFmtId="3" fontId="1" fillId="0" borderId="21" xfId="0" applyNumberFormat="1" applyFont="1" applyBorder="1"/>
    <xf numFmtId="169" fontId="0" fillId="0" borderId="21" xfId="0" applyNumberForma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C2" sqref="C2"/>
    </sheetView>
  </sheetViews>
  <sheetFormatPr defaultColWidth="9.140625" defaultRowHeight="12.75" x14ac:dyDescent="0.2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 x14ac:dyDescent="0.25">
      <c r="A1" s="1" t="s">
        <v>6</v>
      </c>
      <c r="B1" s="1" t="s">
        <v>0</v>
      </c>
      <c r="C1" s="2" t="s">
        <v>1</v>
      </c>
      <c r="D1" s="1" t="s">
        <v>2</v>
      </c>
      <c r="E1" s="10" t="s">
        <v>7</v>
      </c>
      <c r="F1" s="11" t="s">
        <v>8</v>
      </c>
      <c r="G1" s="10" t="s">
        <v>15</v>
      </c>
      <c r="H1" s="11" t="s">
        <v>9</v>
      </c>
      <c r="I1" s="10" t="s">
        <v>10</v>
      </c>
      <c r="J1" s="12" t="s">
        <v>11</v>
      </c>
      <c r="K1" s="3" t="s">
        <v>12</v>
      </c>
      <c r="L1" s="3" t="s">
        <v>13</v>
      </c>
    </row>
    <row r="2" spans="1:12" ht="15" x14ac:dyDescent="0.25">
      <c r="A2" s="5" t="s">
        <v>14</v>
      </c>
      <c r="B2" s="6">
        <v>1</v>
      </c>
      <c r="C2" s="7">
        <v>2</v>
      </c>
      <c r="D2" s="6">
        <v>2021</v>
      </c>
      <c r="E2" s="8">
        <f>'FSRW Meter Readings'!I4</f>
        <v>12000</v>
      </c>
      <c r="F2" s="9">
        <v>0.06</v>
      </c>
      <c r="G2" s="8">
        <f>'FSRW Meter Readings'!F4</f>
        <v>2173.23</v>
      </c>
      <c r="H2" s="9">
        <v>0.4</v>
      </c>
      <c r="I2" s="8">
        <f>'FSRW Meter Readings'!K4</f>
        <v>0</v>
      </c>
      <c r="J2" s="9"/>
      <c r="K2" s="8">
        <f>'FSRW Meter Readings'!C4</f>
        <v>0</v>
      </c>
      <c r="L2" s="8">
        <f>'FSRW Meter Readings'!C4</f>
        <v>0</v>
      </c>
    </row>
    <row r="3" spans="1:12" ht="15" x14ac:dyDescent="0.25">
      <c r="A3" s="5" t="s">
        <v>14</v>
      </c>
      <c r="B3" s="6">
        <f>B2+1</f>
        <v>2</v>
      </c>
      <c r="C3" s="7">
        <v>2</v>
      </c>
      <c r="D3" s="6">
        <v>2021</v>
      </c>
      <c r="E3" s="8">
        <f>'FSRW Meter Readings'!I5</f>
        <v>16800</v>
      </c>
      <c r="F3" s="9">
        <v>0.06</v>
      </c>
      <c r="G3" s="8">
        <f>'FSRW Meter Readings'!F5</f>
        <v>2951.2999999999997</v>
      </c>
      <c r="H3" s="9">
        <v>0.4</v>
      </c>
      <c r="I3" s="8">
        <f>'FSRW Meter Readings'!K5</f>
        <v>0</v>
      </c>
      <c r="J3" s="9"/>
      <c r="K3" s="8">
        <f>'FSRW Meter Readings'!C5</f>
        <v>0</v>
      </c>
      <c r="L3" s="8">
        <f>'FSRW Meter Readings'!C5</f>
        <v>0</v>
      </c>
    </row>
    <row r="4" spans="1:12" ht="15" x14ac:dyDescent="0.25">
      <c r="A4" s="5" t="s">
        <v>14</v>
      </c>
      <c r="B4" s="6">
        <f t="shared" ref="B4:B32" si="0">B3+1</f>
        <v>3</v>
      </c>
      <c r="C4" s="7">
        <v>2</v>
      </c>
      <c r="D4" s="6">
        <v>2021</v>
      </c>
      <c r="E4" s="8">
        <f>'FSRW Meter Readings'!I6</f>
        <v>13200</v>
      </c>
      <c r="F4" s="9">
        <v>0.06</v>
      </c>
      <c r="G4" s="8">
        <f>'FSRW Meter Readings'!F6</f>
        <v>2414.6999999999998</v>
      </c>
      <c r="H4" s="9">
        <v>0.4</v>
      </c>
      <c r="I4" s="8">
        <f>'FSRW Meter Readings'!K6</f>
        <v>0</v>
      </c>
      <c r="J4" s="9"/>
      <c r="K4" s="8">
        <f>'FSRW Meter Readings'!C6</f>
        <v>0</v>
      </c>
      <c r="L4" s="8">
        <f>'FSRW Meter Readings'!C6</f>
        <v>0</v>
      </c>
    </row>
    <row r="5" spans="1:12" ht="15" x14ac:dyDescent="0.25">
      <c r="A5" s="5" t="s">
        <v>14</v>
      </c>
      <c r="B5" s="6">
        <f t="shared" si="0"/>
        <v>4</v>
      </c>
      <c r="C5" s="7">
        <v>2</v>
      </c>
      <c r="D5" s="6">
        <v>2021</v>
      </c>
      <c r="E5" s="8">
        <f>'FSRW Meter Readings'!I7</f>
        <v>15600</v>
      </c>
      <c r="F5" s="9">
        <v>0.06</v>
      </c>
      <c r="G5" s="8">
        <f>'FSRW Meter Readings'!F7</f>
        <v>2468.3599999999997</v>
      </c>
      <c r="H5" s="9">
        <v>0.4</v>
      </c>
      <c r="I5" s="8">
        <f>'FSRW Meter Readings'!K7</f>
        <v>0</v>
      </c>
      <c r="J5" s="9"/>
      <c r="K5" s="8">
        <f>'FSRW Meter Readings'!C7</f>
        <v>0</v>
      </c>
      <c r="L5" s="8">
        <f>'FSRW Meter Readings'!C7</f>
        <v>0</v>
      </c>
    </row>
    <row r="6" spans="1:12" ht="15" x14ac:dyDescent="0.25">
      <c r="A6" s="5" t="s">
        <v>14</v>
      </c>
      <c r="B6" s="6">
        <f t="shared" si="0"/>
        <v>5</v>
      </c>
      <c r="C6" s="7">
        <v>2</v>
      </c>
      <c r="D6" s="6">
        <v>2021</v>
      </c>
      <c r="E6" s="8">
        <f>'FSRW Meter Readings'!I8</f>
        <v>16800</v>
      </c>
      <c r="F6" s="9">
        <v>0.06</v>
      </c>
      <c r="G6" s="8">
        <f>'FSRW Meter Readings'!F8</f>
        <v>2978.1299999999997</v>
      </c>
      <c r="H6" s="9">
        <v>0.4</v>
      </c>
      <c r="I6" s="8">
        <f>'FSRW Meter Readings'!K8</f>
        <v>0</v>
      </c>
      <c r="J6" s="9"/>
      <c r="K6" s="8">
        <f>'FSRW Meter Readings'!C8</f>
        <v>0</v>
      </c>
      <c r="L6" s="8">
        <f>'FSRW Meter Readings'!C8</f>
        <v>0</v>
      </c>
    </row>
    <row r="7" spans="1:12" ht="15" x14ac:dyDescent="0.25">
      <c r="A7" s="5" t="s">
        <v>14</v>
      </c>
      <c r="B7" s="6">
        <f t="shared" si="0"/>
        <v>6</v>
      </c>
      <c r="C7" s="7">
        <v>2</v>
      </c>
      <c r="D7" s="6">
        <v>2021</v>
      </c>
      <c r="E7" s="8">
        <f>'FSRW Meter Readings'!I9</f>
        <v>15600</v>
      </c>
      <c r="F7" s="9">
        <v>0.06</v>
      </c>
      <c r="G7" s="8">
        <f>'FSRW Meter Readings'!F9</f>
        <v>2656.1699999999996</v>
      </c>
      <c r="H7" s="9">
        <v>0.4</v>
      </c>
      <c r="I7" s="8">
        <f>'FSRW Meter Readings'!K9</f>
        <v>0</v>
      </c>
      <c r="J7" s="9"/>
      <c r="K7" s="8">
        <f>'FSRW Meter Readings'!C9</f>
        <v>0</v>
      </c>
      <c r="L7" s="8">
        <f>'FSRW Meter Readings'!C9</f>
        <v>0</v>
      </c>
    </row>
    <row r="8" spans="1:12" ht="15" x14ac:dyDescent="0.25">
      <c r="A8" s="5" t="s">
        <v>14</v>
      </c>
      <c r="B8" s="6">
        <f t="shared" si="0"/>
        <v>7</v>
      </c>
      <c r="C8" s="7">
        <v>2</v>
      </c>
      <c r="D8" s="6">
        <v>2021</v>
      </c>
      <c r="E8" s="8">
        <f>'FSRW Meter Readings'!I10</f>
        <v>19200</v>
      </c>
      <c r="F8" s="9">
        <v>0.06</v>
      </c>
      <c r="G8" s="8">
        <f>'FSRW Meter Readings'!F10</f>
        <v>3246.43</v>
      </c>
      <c r="H8" s="9">
        <v>0.4</v>
      </c>
      <c r="I8" s="8">
        <f>'FSRW Meter Readings'!K10</f>
        <v>0</v>
      </c>
      <c r="J8" s="9"/>
      <c r="K8" s="8">
        <f>'FSRW Meter Readings'!C10</f>
        <v>0</v>
      </c>
      <c r="L8" s="8">
        <f>'FSRW Meter Readings'!C10</f>
        <v>0</v>
      </c>
    </row>
    <row r="9" spans="1:12" ht="15" x14ac:dyDescent="0.25">
      <c r="A9" s="5" t="s">
        <v>14</v>
      </c>
      <c r="B9" s="6">
        <f t="shared" si="0"/>
        <v>8</v>
      </c>
      <c r="C9" s="7">
        <v>2</v>
      </c>
      <c r="D9" s="6">
        <v>2021</v>
      </c>
      <c r="E9" s="8">
        <f>'FSRW Meter Readings'!I11</f>
        <v>13200</v>
      </c>
      <c r="F9" s="9">
        <v>0.06</v>
      </c>
      <c r="G9" s="8">
        <f>'FSRW Meter Readings'!F11</f>
        <v>1770.78</v>
      </c>
      <c r="H9" s="9">
        <v>0.4</v>
      </c>
      <c r="I9" s="8">
        <f>'FSRW Meter Readings'!K11</f>
        <v>0</v>
      </c>
      <c r="J9" s="9"/>
      <c r="K9" s="8">
        <f>'FSRW Meter Readings'!C11</f>
        <v>0</v>
      </c>
      <c r="L9" s="8">
        <f>'FSRW Meter Readings'!C11</f>
        <v>0</v>
      </c>
    </row>
    <row r="10" spans="1:12" ht="15" x14ac:dyDescent="0.25">
      <c r="A10" s="5" t="s">
        <v>14</v>
      </c>
      <c r="B10" s="6">
        <f t="shared" si="0"/>
        <v>9</v>
      </c>
      <c r="C10" s="7">
        <v>2</v>
      </c>
      <c r="D10" s="6">
        <v>2021</v>
      </c>
      <c r="E10" s="8">
        <f>'FSRW Meter Readings'!I12</f>
        <v>13200</v>
      </c>
      <c r="F10" s="9">
        <v>0.06</v>
      </c>
      <c r="G10" s="8">
        <f>'FSRW Meter Readings'!F12</f>
        <v>3246.43</v>
      </c>
      <c r="H10" s="9">
        <v>0.4</v>
      </c>
      <c r="I10" s="8">
        <f>'FSRW Meter Readings'!K12</f>
        <v>0</v>
      </c>
      <c r="J10" s="9"/>
      <c r="K10" s="8">
        <f>'FSRW Meter Readings'!C12</f>
        <v>0</v>
      </c>
      <c r="L10" s="8">
        <f>'FSRW Meter Readings'!C12</f>
        <v>0</v>
      </c>
    </row>
    <row r="11" spans="1:12" ht="15" x14ac:dyDescent="0.25">
      <c r="A11" s="5" t="s">
        <v>14</v>
      </c>
      <c r="B11" s="6">
        <f t="shared" si="0"/>
        <v>10</v>
      </c>
      <c r="C11" s="7">
        <v>2</v>
      </c>
      <c r="D11" s="6">
        <v>2021</v>
      </c>
      <c r="E11" s="8">
        <f>'FSRW Meter Readings'!I13</f>
        <v>12000</v>
      </c>
      <c r="F11" s="9">
        <v>0.06</v>
      </c>
      <c r="G11" s="8">
        <f>'FSRW Meter Readings'!F13</f>
        <v>3461.0699999999997</v>
      </c>
      <c r="H11" s="9">
        <v>0.4</v>
      </c>
      <c r="I11" s="8">
        <f>'FSRW Meter Readings'!K13</f>
        <v>0</v>
      </c>
      <c r="J11" s="9"/>
      <c r="K11" s="8">
        <f>'FSRW Meter Readings'!C13</f>
        <v>0</v>
      </c>
      <c r="L11" s="8">
        <f>'FSRW Meter Readings'!C13</f>
        <v>0</v>
      </c>
    </row>
    <row r="12" spans="1:12" ht="15" x14ac:dyDescent="0.25">
      <c r="A12" s="5" t="s">
        <v>14</v>
      </c>
      <c r="B12" s="6">
        <f t="shared" si="0"/>
        <v>11</v>
      </c>
      <c r="C12" s="7">
        <v>2</v>
      </c>
      <c r="D12" s="6">
        <v>2021</v>
      </c>
      <c r="E12" s="8">
        <f>'FSRW Meter Readings'!I14</f>
        <v>14400</v>
      </c>
      <c r="F12" s="9">
        <v>0.06</v>
      </c>
      <c r="G12" s="8">
        <f>'FSRW Meter Readings'!F14</f>
        <v>4695.25</v>
      </c>
      <c r="H12" s="9">
        <v>0.4</v>
      </c>
      <c r="I12" s="8">
        <f>'FSRW Meter Readings'!K14</f>
        <v>0</v>
      </c>
      <c r="J12" s="9"/>
      <c r="K12" s="8">
        <f>'FSRW Meter Readings'!C14</f>
        <v>0</v>
      </c>
      <c r="L12" s="8">
        <f>'FSRW Meter Readings'!C14</f>
        <v>0</v>
      </c>
    </row>
    <row r="13" spans="1:12" ht="15" x14ac:dyDescent="0.25">
      <c r="A13" s="5" t="s">
        <v>14</v>
      </c>
      <c r="B13" s="6">
        <f t="shared" si="0"/>
        <v>12</v>
      </c>
      <c r="C13" s="7">
        <v>2</v>
      </c>
      <c r="D13" s="6">
        <v>2021</v>
      </c>
      <c r="E13" s="8">
        <f>'FSRW Meter Readings'!I15</f>
        <v>15600</v>
      </c>
      <c r="F13" s="9">
        <v>0.06</v>
      </c>
      <c r="G13" s="8">
        <f>'FSRW Meter Readings'!F15</f>
        <v>4480.6099999999997</v>
      </c>
      <c r="H13" s="9">
        <v>0.4</v>
      </c>
      <c r="I13" s="8">
        <f>'FSRW Meter Readings'!K15</f>
        <v>0</v>
      </c>
      <c r="J13" s="9"/>
      <c r="K13" s="8">
        <f>'FSRW Meter Readings'!C15</f>
        <v>0</v>
      </c>
      <c r="L13" s="8">
        <f>'FSRW Meter Readings'!C15</f>
        <v>0</v>
      </c>
    </row>
    <row r="14" spans="1:12" ht="15" x14ac:dyDescent="0.25">
      <c r="A14" s="5" t="s">
        <v>14</v>
      </c>
      <c r="B14" s="6">
        <f t="shared" si="0"/>
        <v>13</v>
      </c>
      <c r="C14" s="7">
        <v>2</v>
      </c>
      <c r="D14" s="6">
        <v>2021</v>
      </c>
      <c r="E14" s="8">
        <f>'FSRW Meter Readings'!I16</f>
        <v>19200</v>
      </c>
      <c r="F14" s="9">
        <v>0.06</v>
      </c>
      <c r="G14" s="8">
        <f>'FSRW Meter Readings'!F16</f>
        <v>4453.78</v>
      </c>
      <c r="H14" s="9">
        <v>0.4</v>
      </c>
      <c r="I14" s="8">
        <f>'FSRW Meter Readings'!K16</f>
        <v>0</v>
      </c>
      <c r="J14" s="9"/>
      <c r="K14" s="8">
        <f>'FSRW Meter Readings'!C16</f>
        <v>0</v>
      </c>
      <c r="L14" s="8">
        <f>'FSRW Meter Readings'!C16</f>
        <v>0</v>
      </c>
    </row>
    <row r="15" spans="1:12" ht="15" x14ac:dyDescent="0.25">
      <c r="A15" s="5" t="s">
        <v>14</v>
      </c>
      <c r="B15" s="6">
        <f t="shared" si="0"/>
        <v>14</v>
      </c>
      <c r="C15" s="7">
        <v>2</v>
      </c>
      <c r="D15" s="6">
        <v>2021</v>
      </c>
      <c r="E15" s="8">
        <f>'FSRW Meter Readings'!I17</f>
        <v>15600</v>
      </c>
      <c r="F15" s="9">
        <v>0.06</v>
      </c>
      <c r="G15" s="8">
        <f>'FSRW Meter Readings'!F17</f>
        <v>4131.82</v>
      </c>
      <c r="H15" s="9">
        <v>0.4</v>
      </c>
      <c r="I15" s="8">
        <f>'FSRW Meter Readings'!K17</f>
        <v>0</v>
      </c>
      <c r="J15" s="9"/>
      <c r="K15" s="8">
        <f>'FSRW Meter Readings'!C17</f>
        <v>0</v>
      </c>
      <c r="L15" s="8">
        <f>'FSRW Meter Readings'!C17</f>
        <v>0</v>
      </c>
    </row>
    <row r="16" spans="1:12" ht="15" x14ac:dyDescent="0.25">
      <c r="A16" s="5" t="s">
        <v>14</v>
      </c>
      <c r="B16" s="6">
        <f t="shared" si="0"/>
        <v>15</v>
      </c>
      <c r="C16" s="7">
        <v>2</v>
      </c>
      <c r="D16" s="6">
        <v>2021</v>
      </c>
      <c r="E16" s="8">
        <f>'FSRW Meter Readings'!I18</f>
        <v>14400</v>
      </c>
      <c r="F16" s="9">
        <v>0.06</v>
      </c>
      <c r="G16" s="8">
        <f>'FSRW Meter Readings'!F18</f>
        <v>1663.4599999999998</v>
      </c>
      <c r="H16" s="9">
        <v>0.4</v>
      </c>
      <c r="I16" s="8">
        <f>'FSRW Meter Readings'!K18</f>
        <v>0</v>
      </c>
      <c r="J16" s="9"/>
      <c r="K16" s="8">
        <f>'FSRW Meter Readings'!C18</f>
        <v>0</v>
      </c>
      <c r="L16" s="8">
        <f>'FSRW Meter Readings'!C18</f>
        <v>0</v>
      </c>
    </row>
    <row r="17" spans="1:12" ht="15" x14ac:dyDescent="0.25">
      <c r="A17" s="5" t="s">
        <v>14</v>
      </c>
      <c r="B17" s="6">
        <f t="shared" si="0"/>
        <v>16</v>
      </c>
      <c r="C17" s="7">
        <v>2</v>
      </c>
      <c r="D17" s="6">
        <v>2021</v>
      </c>
      <c r="E17" s="8">
        <f>'FSRW Meter Readings'!I19</f>
        <v>14400</v>
      </c>
      <c r="F17" s="9">
        <v>0.06</v>
      </c>
      <c r="G17" s="8">
        <f>'FSRW Meter Readings'!F19</f>
        <v>2924.47</v>
      </c>
      <c r="H17" s="9">
        <v>0.4</v>
      </c>
      <c r="I17" s="8">
        <f>'FSRW Meter Readings'!K19</f>
        <v>0</v>
      </c>
      <c r="J17" s="9"/>
      <c r="K17" s="8">
        <f>'FSRW Meter Readings'!C19</f>
        <v>0</v>
      </c>
      <c r="L17" s="8">
        <f>'FSRW Meter Readings'!C19</f>
        <v>0</v>
      </c>
    </row>
    <row r="18" spans="1:12" ht="15" x14ac:dyDescent="0.25">
      <c r="A18" s="5" t="s">
        <v>14</v>
      </c>
      <c r="B18" s="6">
        <f t="shared" si="0"/>
        <v>17</v>
      </c>
      <c r="C18" s="7">
        <v>2</v>
      </c>
      <c r="D18" s="6">
        <v>2021</v>
      </c>
      <c r="E18" s="8">
        <f>'FSRW Meter Readings'!I20</f>
        <v>14400</v>
      </c>
      <c r="F18" s="9">
        <v>0.06</v>
      </c>
      <c r="G18" s="8">
        <f>'FSRW Meter Readings'!F20</f>
        <v>4748.91</v>
      </c>
      <c r="H18" s="9">
        <v>0.4</v>
      </c>
      <c r="I18" s="8">
        <f>'FSRW Meter Readings'!K20</f>
        <v>0</v>
      </c>
      <c r="J18" s="9"/>
      <c r="K18" s="8">
        <f>'FSRW Meter Readings'!C20</f>
        <v>0</v>
      </c>
      <c r="L18" s="8">
        <f>'FSRW Meter Readings'!C20</f>
        <v>0</v>
      </c>
    </row>
    <row r="19" spans="1:12" ht="15" x14ac:dyDescent="0.25">
      <c r="A19" s="5" t="s">
        <v>14</v>
      </c>
      <c r="B19" s="6">
        <f t="shared" si="0"/>
        <v>18</v>
      </c>
      <c r="C19" s="7">
        <v>2</v>
      </c>
      <c r="D19" s="6">
        <v>2021</v>
      </c>
      <c r="E19" s="8">
        <f>'FSRW Meter Readings'!I21</f>
        <v>15600</v>
      </c>
      <c r="F19" s="9">
        <v>0.06</v>
      </c>
      <c r="G19" s="8">
        <f>'FSRW Meter Readings'!F21</f>
        <v>2843.98</v>
      </c>
      <c r="H19" s="9">
        <v>0.4</v>
      </c>
      <c r="I19" s="8">
        <f>'FSRW Meter Readings'!K21</f>
        <v>0</v>
      </c>
      <c r="J19" s="9"/>
      <c r="K19" s="8">
        <f>'FSRW Meter Readings'!C21</f>
        <v>0</v>
      </c>
      <c r="L19" s="8">
        <f>'FSRW Meter Readings'!C21</f>
        <v>0</v>
      </c>
    </row>
    <row r="20" spans="1:12" ht="15" x14ac:dyDescent="0.25">
      <c r="A20" s="5" t="s">
        <v>14</v>
      </c>
      <c r="B20" s="6">
        <f t="shared" si="0"/>
        <v>19</v>
      </c>
      <c r="C20" s="7">
        <v>2</v>
      </c>
      <c r="D20" s="6">
        <v>2021</v>
      </c>
      <c r="E20" s="8">
        <f>'FSRW Meter Readings'!I22</f>
        <v>16800</v>
      </c>
      <c r="F20" s="9">
        <v>0.06</v>
      </c>
      <c r="G20" s="8">
        <f>'FSRW Meter Readings'!F22</f>
        <v>3300.0899999999997</v>
      </c>
      <c r="H20" s="9">
        <v>0.4</v>
      </c>
      <c r="I20" s="8">
        <f>'FSRW Meter Readings'!K22</f>
        <v>0</v>
      </c>
      <c r="J20" s="9"/>
      <c r="K20" s="8">
        <f>'FSRW Meter Readings'!C22</f>
        <v>0</v>
      </c>
      <c r="L20" s="8">
        <f>'FSRW Meter Readings'!C22</f>
        <v>0</v>
      </c>
    </row>
    <row r="21" spans="1:12" ht="15" x14ac:dyDescent="0.25">
      <c r="A21" s="5" t="s">
        <v>14</v>
      </c>
      <c r="B21" s="6">
        <f t="shared" si="0"/>
        <v>20</v>
      </c>
      <c r="C21" s="7">
        <v>2</v>
      </c>
      <c r="D21" s="6">
        <v>2021</v>
      </c>
      <c r="E21" s="8">
        <f>'FSRW Meter Readings'!I23</f>
        <v>16800</v>
      </c>
      <c r="F21" s="9">
        <v>0.06</v>
      </c>
      <c r="G21" s="8">
        <f>'FSRW Meter Readings'!F23</f>
        <v>2924.47</v>
      </c>
      <c r="H21" s="9">
        <v>0.4</v>
      </c>
      <c r="I21" s="8">
        <f>'FSRW Meter Readings'!K23</f>
        <v>0</v>
      </c>
      <c r="J21" s="9"/>
      <c r="K21" s="8">
        <f>'FSRW Meter Readings'!C23</f>
        <v>0</v>
      </c>
      <c r="L21" s="8">
        <f>'FSRW Meter Readings'!C23</f>
        <v>0</v>
      </c>
    </row>
    <row r="22" spans="1:12" ht="15" x14ac:dyDescent="0.25">
      <c r="A22" s="5" t="s">
        <v>14</v>
      </c>
      <c r="B22" s="6">
        <f t="shared" si="0"/>
        <v>21</v>
      </c>
      <c r="C22" s="7">
        <v>2</v>
      </c>
      <c r="D22" s="6">
        <v>2021</v>
      </c>
      <c r="E22" s="8">
        <f>'FSRW Meter Readings'!I24</f>
        <v>15600</v>
      </c>
      <c r="F22" s="9">
        <v>0.06</v>
      </c>
      <c r="G22" s="8">
        <f>'FSRW Meter Readings'!F24</f>
        <v>2897.64</v>
      </c>
      <c r="H22" s="9">
        <v>0.4</v>
      </c>
      <c r="I22" s="8">
        <f>'FSRW Meter Readings'!K24</f>
        <v>0</v>
      </c>
      <c r="J22" s="9"/>
      <c r="K22" s="8">
        <f>'FSRW Meter Readings'!C24</f>
        <v>0</v>
      </c>
      <c r="L22" s="8">
        <f>'FSRW Meter Readings'!C24</f>
        <v>0</v>
      </c>
    </row>
    <row r="23" spans="1:12" ht="15" x14ac:dyDescent="0.25">
      <c r="A23" s="5" t="s">
        <v>14</v>
      </c>
      <c r="B23" s="6">
        <f t="shared" si="0"/>
        <v>22</v>
      </c>
      <c r="C23" s="7">
        <v>2</v>
      </c>
      <c r="D23" s="6">
        <v>2021</v>
      </c>
      <c r="E23" s="8">
        <f>'FSRW Meter Readings'!I25</f>
        <v>13200</v>
      </c>
      <c r="F23" s="9">
        <v>0.06</v>
      </c>
      <c r="G23" s="8">
        <f>'FSRW Meter Readings'!F25</f>
        <v>2119.5699999999997</v>
      </c>
      <c r="H23" s="9">
        <v>0.4</v>
      </c>
      <c r="I23" s="8">
        <f>'FSRW Meter Readings'!K25</f>
        <v>0</v>
      </c>
      <c r="J23" s="9"/>
      <c r="K23" s="8">
        <f>'FSRW Meter Readings'!C25</f>
        <v>0</v>
      </c>
      <c r="L23" s="8">
        <f>'FSRW Meter Readings'!C25</f>
        <v>0</v>
      </c>
    </row>
    <row r="24" spans="1:12" ht="15" x14ac:dyDescent="0.25">
      <c r="A24" s="5" t="s">
        <v>14</v>
      </c>
      <c r="B24" s="6">
        <f t="shared" si="0"/>
        <v>23</v>
      </c>
      <c r="C24" s="7">
        <v>2</v>
      </c>
      <c r="D24" s="6">
        <v>2021</v>
      </c>
      <c r="E24" s="8">
        <f>'FSRW Meter Readings'!I26</f>
        <v>14400</v>
      </c>
      <c r="F24" s="9">
        <v>0.06</v>
      </c>
      <c r="G24" s="8">
        <f>'FSRW Meter Readings'!F26</f>
        <v>2629.3399999999997</v>
      </c>
      <c r="H24" s="9">
        <v>0.4</v>
      </c>
      <c r="I24" s="8">
        <f>'FSRW Meter Readings'!K26</f>
        <v>0</v>
      </c>
      <c r="J24" s="9"/>
      <c r="K24" s="8">
        <f>'FSRW Meter Readings'!C26</f>
        <v>0</v>
      </c>
      <c r="L24" s="8">
        <f>'FSRW Meter Readings'!C26</f>
        <v>0</v>
      </c>
    </row>
    <row r="25" spans="1:12" ht="15" x14ac:dyDescent="0.25">
      <c r="A25" s="5" t="s">
        <v>14</v>
      </c>
      <c r="B25" s="6">
        <f t="shared" si="0"/>
        <v>24</v>
      </c>
      <c r="C25" s="7">
        <v>2</v>
      </c>
      <c r="D25" s="6">
        <v>2021</v>
      </c>
      <c r="E25" s="8">
        <f>'FSRW Meter Readings'!I27</f>
        <v>18000</v>
      </c>
      <c r="F25" s="9">
        <v>0.06</v>
      </c>
      <c r="G25" s="8">
        <f>'FSRW Meter Readings'!F27</f>
        <v>3246.43</v>
      </c>
      <c r="H25" s="9">
        <v>0.4</v>
      </c>
      <c r="I25" s="8">
        <f>'FSRW Meter Readings'!K27</f>
        <v>0</v>
      </c>
      <c r="J25" s="9"/>
      <c r="K25" s="8">
        <f>'FSRW Meter Readings'!C27</f>
        <v>0</v>
      </c>
      <c r="L25" s="8">
        <f>'FSRW Meter Readings'!C27</f>
        <v>0</v>
      </c>
    </row>
    <row r="26" spans="1:12" ht="15" x14ac:dyDescent="0.25">
      <c r="A26" s="5" t="s">
        <v>14</v>
      </c>
      <c r="B26" s="6">
        <f>B25+1</f>
        <v>25</v>
      </c>
      <c r="C26" s="7">
        <v>2</v>
      </c>
      <c r="D26" s="6">
        <v>2021</v>
      </c>
      <c r="E26" s="8">
        <f>'FSRW Meter Readings'!I28</f>
        <v>16800</v>
      </c>
      <c r="F26" s="9">
        <v>0.06</v>
      </c>
      <c r="G26" s="8">
        <f>'FSRW Meter Readings'!F28</f>
        <v>3192.77</v>
      </c>
      <c r="H26" s="9">
        <v>0.4</v>
      </c>
      <c r="I26" s="8">
        <f>'FSRW Meter Readings'!K28</f>
        <v>0</v>
      </c>
      <c r="J26" s="9"/>
      <c r="K26" s="8">
        <f>'FSRW Meter Readings'!C28</f>
        <v>0</v>
      </c>
      <c r="L26" s="8">
        <f>'FSRW Meter Readings'!C28</f>
        <v>0</v>
      </c>
    </row>
    <row r="27" spans="1:12" ht="15" x14ac:dyDescent="0.25">
      <c r="A27" s="5" t="s">
        <v>14</v>
      </c>
      <c r="B27" s="6">
        <f t="shared" si="0"/>
        <v>26</v>
      </c>
      <c r="C27" s="7">
        <v>2</v>
      </c>
      <c r="D27" s="6">
        <v>2021</v>
      </c>
      <c r="E27" s="8">
        <f>'FSRW Meter Readings'!I29</f>
        <v>14400</v>
      </c>
      <c r="F27" s="9">
        <v>0.06</v>
      </c>
      <c r="G27" s="8">
        <f>'FSRW Meter Readings'!F29</f>
        <v>2763.49</v>
      </c>
      <c r="H27" s="9">
        <v>0.4</v>
      </c>
      <c r="I27" s="8">
        <f>'FSRW Meter Readings'!K29</f>
        <v>0</v>
      </c>
      <c r="J27" s="9"/>
      <c r="K27" s="8">
        <f>'FSRW Meter Readings'!C29</f>
        <v>0</v>
      </c>
      <c r="L27" s="8">
        <f>'FSRW Meter Readings'!C29</f>
        <v>0</v>
      </c>
    </row>
    <row r="28" spans="1:12" ht="15" x14ac:dyDescent="0.25">
      <c r="A28" s="5" t="s">
        <v>14</v>
      </c>
      <c r="B28" s="6">
        <f t="shared" si="0"/>
        <v>27</v>
      </c>
      <c r="C28" s="7">
        <v>2</v>
      </c>
      <c r="D28" s="6">
        <v>2021</v>
      </c>
      <c r="E28" s="8">
        <f>'FSRW Meter Readings'!I30</f>
        <v>14400</v>
      </c>
      <c r="F28" s="9">
        <v>0.06</v>
      </c>
      <c r="G28" s="8">
        <f>'FSRW Meter Readings'!F30</f>
        <v>2656.1699999999996</v>
      </c>
      <c r="H28" s="9">
        <v>0.4</v>
      </c>
      <c r="I28" s="8">
        <f>'FSRW Meter Readings'!K30</f>
        <v>0</v>
      </c>
      <c r="J28" s="9"/>
      <c r="K28" s="8">
        <f>'FSRW Meter Readings'!C30</f>
        <v>0</v>
      </c>
      <c r="L28" s="8">
        <f>'FSRW Meter Readings'!C30</f>
        <v>0</v>
      </c>
    </row>
    <row r="29" spans="1:12" ht="15" x14ac:dyDescent="0.25">
      <c r="A29" s="5" t="s">
        <v>14</v>
      </c>
      <c r="B29" s="6">
        <f t="shared" si="0"/>
        <v>28</v>
      </c>
      <c r="C29" s="7">
        <v>2</v>
      </c>
      <c r="D29" s="6">
        <v>2021</v>
      </c>
      <c r="E29" s="8">
        <f>'FSRW Meter Readings'!I31</f>
        <v>16800</v>
      </c>
      <c r="F29" s="9">
        <v>0.06</v>
      </c>
      <c r="G29" s="8">
        <f>'FSRW Meter Readings'!F31</f>
        <v>2951.2999999999997</v>
      </c>
      <c r="H29" s="9">
        <v>0.4</v>
      </c>
      <c r="I29" s="8">
        <f>'FSRW Meter Readings'!K31</f>
        <v>0</v>
      </c>
      <c r="J29" s="9"/>
      <c r="K29" s="8">
        <f>'FSRW Meter Readings'!C31</f>
        <v>0</v>
      </c>
      <c r="L29" s="8">
        <f>'FSRW Meter Readings'!C31</f>
        <v>0</v>
      </c>
    </row>
    <row r="30" spans="1:12" ht="15" x14ac:dyDescent="0.25">
      <c r="A30" s="5" t="s">
        <v>14</v>
      </c>
      <c r="B30" s="6">
        <f t="shared" si="0"/>
        <v>29</v>
      </c>
      <c r="C30" s="7">
        <v>2</v>
      </c>
      <c r="D30" s="6">
        <v>2021</v>
      </c>
      <c r="E30" s="8">
        <f>'FSRW Meter Readings'!I32</f>
        <v>0</v>
      </c>
      <c r="F30" s="9">
        <v>0.06</v>
      </c>
      <c r="G30" s="8">
        <f>'FSRW Meter Readings'!F32</f>
        <v>0</v>
      </c>
      <c r="H30" s="9">
        <v>0.4</v>
      </c>
      <c r="I30" s="8">
        <f>'FSRW Meter Readings'!K32</f>
        <v>0</v>
      </c>
      <c r="J30" s="9"/>
      <c r="K30" s="8">
        <f>'FSRW Meter Readings'!C32</f>
        <v>0</v>
      </c>
      <c r="L30" s="8">
        <f>'FSRW Meter Readings'!C32</f>
        <v>0</v>
      </c>
    </row>
    <row r="31" spans="1:12" ht="15" x14ac:dyDescent="0.25">
      <c r="A31" s="5" t="s">
        <v>14</v>
      </c>
      <c r="B31" s="6">
        <f t="shared" si="0"/>
        <v>30</v>
      </c>
      <c r="C31" s="7">
        <v>2</v>
      </c>
      <c r="D31" s="6">
        <v>2021</v>
      </c>
      <c r="E31" s="8">
        <f>'FSRW Meter Readings'!I33</f>
        <v>0</v>
      </c>
      <c r="F31" s="9">
        <v>0.06</v>
      </c>
      <c r="G31" s="8">
        <f>'FSRW Meter Readings'!F33</f>
        <v>0</v>
      </c>
      <c r="H31" s="9">
        <v>0.4</v>
      </c>
      <c r="I31" s="8">
        <f>'FSRW Meter Readings'!K33</f>
        <v>0</v>
      </c>
      <c r="J31" s="9"/>
      <c r="K31" s="8">
        <f>'FSRW Meter Readings'!C33</f>
        <v>0</v>
      </c>
      <c r="L31" s="8">
        <f>'FSRW Meter Readings'!C33</f>
        <v>0</v>
      </c>
    </row>
    <row r="32" spans="1:12" ht="15" x14ac:dyDescent="0.25">
      <c r="A32" s="5" t="s">
        <v>14</v>
      </c>
      <c r="B32" s="6">
        <f t="shared" si="0"/>
        <v>31</v>
      </c>
      <c r="C32" s="7">
        <v>2</v>
      </c>
      <c r="D32" s="6">
        <v>2021</v>
      </c>
      <c r="E32" s="8">
        <f>'FSRW Meter Readings'!I34</f>
        <v>0</v>
      </c>
      <c r="F32" s="9">
        <v>0.06</v>
      </c>
      <c r="G32" s="8">
        <f>'FSRW Meter Readings'!F34</f>
        <v>0</v>
      </c>
      <c r="H32" s="9">
        <v>0.4</v>
      </c>
      <c r="I32" s="8">
        <f>'FSRW Meter Readings'!K34</f>
        <v>0</v>
      </c>
      <c r="J32" s="9"/>
      <c r="K32" s="8">
        <f>'FSRW Meter Readings'!C34</f>
        <v>0</v>
      </c>
      <c r="L32" s="8">
        <f>'FSRW Meter Readings'!C34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0"/>
  <sheetViews>
    <sheetView workbookViewId="0">
      <selection activeCell="J3" sqref="J3"/>
    </sheetView>
  </sheetViews>
  <sheetFormatPr defaultColWidth="8.85546875" defaultRowHeight="15" x14ac:dyDescent="0.25"/>
  <cols>
    <col min="1" max="1" width="16.85546875" style="31" bestFit="1" customWidth="1"/>
    <col min="2" max="3" width="15.140625" style="37" customWidth="1"/>
    <col min="4" max="4" width="13.7109375" style="18" bestFit="1" customWidth="1"/>
    <col min="5" max="5" width="12.85546875" style="15" customWidth="1"/>
    <col min="6" max="6" width="12.85546875" style="18" customWidth="1"/>
    <col min="7" max="7" width="10.5703125" style="17" bestFit="1" customWidth="1"/>
    <col min="8" max="8" width="12.85546875" style="14" customWidth="1"/>
    <col min="9" max="9" width="12.85546875" style="18" customWidth="1"/>
    <col min="10" max="10" width="11" style="17" customWidth="1"/>
    <col min="11" max="11" width="12.85546875" style="14" customWidth="1"/>
    <col min="12" max="16384" width="8.85546875" style="17"/>
  </cols>
  <sheetData>
    <row r="1" spans="1:11" ht="45" customHeight="1" thickBot="1" x14ac:dyDescent="0.3">
      <c r="A1" s="50" t="s">
        <v>16</v>
      </c>
      <c r="B1" s="52" t="s">
        <v>19</v>
      </c>
      <c r="C1" s="52" t="s">
        <v>13</v>
      </c>
      <c r="D1" s="54" t="s">
        <v>23</v>
      </c>
      <c r="E1" s="55"/>
      <c r="F1" s="56"/>
      <c r="G1" s="54" t="s">
        <v>24</v>
      </c>
      <c r="H1" s="55"/>
      <c r="I1" s="57"/>
      <c r="J1" s="58" t="s">
        <v>26</v>
      </c>
      <c r="K1" s="58"/>
    </row>
    <row r="2" spans="1:11" s="13" customFormat="1" ht="64.900000000000006" customHeight="1" thickBot="1" x14ac:dyDescent="0.3">
      <c r="A2" s="51"/>
      <c r="B2" s="53"/>
      <c r="C2" s="53"/>
      <c r="D2" s="41" t="s">
        <v>3</v>
      </c>
      <c r="E2" s="42" t="s">
        <v>21</v>
      </c>
      <c r="F2" s="42" t="s">
        <v>22</v>
      </c>
      <c r="G2" s="41" t="s">
        <v>25</v>
      </c>
      <c r="H2" s="43" t="s">
        <v>4</v>
      </c>
      <c r="I2" s="47" t="s">
        <v>5</v>
      </c>
      <c r="J2" s="41" t="s">
        <v>17</v>
      </c>
      <c r="K2" s="43" t="s">
        <v>18</v>
      </c>
    </row>
    <row r="3" spans="1:11" ht="30" customHeight="1" x14ac:dyDescent="0.25">
      <c r="A3" s="40">
        <v>44227</v>
      </c>
      <c r="B3" s="34" t="s">
        <v>20</v>
      </c>
      <c r="C3" s="34" t="s">
        <v>20</v>
      </c>
      <c r="D3" s="38">
        <v>147473</v>
      </c>
      <c r="E3" s="32"/>
      <c r="F3" s="45" t="s">
        <v>20</v>
      </c>
      <c r="G3" s="39">
        <v>44819</v>
      </c>
      <c r="H3" s="32"/>
      <c r="I3" s="48" t="s">
        <v>20</v>
      </c>
      <c r="J3" s="19"/>
      <c r="K3" s="44" t="s">
        <v>20</v>
      </c>
    </row>
    <row r="4" spans="1:11" ht="30" customHeight="1" x14ac:dyDescent="0.25">
      <c r="A4" s="40">
        <v>44228</v>
      </c>
      <c r="B4" s="34">
        <v>0</v>
      </c>
      <c r="C4" s="34">
        <v>0</v>
      </c>
      <c r="D4" s="59">
        <v>147554</v>
      </c>
      <c r="E4" s="33">
        <f>IF(D4-D3&lt;0,"0",D4-D3)</f>
        <v>81</v>
      </c>
      <c r="F4" s="46">
        <f>E4*26.83</f>
        <v>2173.23</v>
      </c>
      <c r="G4" s="59">
        <v>44829</v>
      </c>
      <c r="H4" s="33">
        <f>IF(G4-G3&lt;0,"0",G4-G3)</f>
        <v>10</v>
      </c>
      <c r="I4" s="49">
        <f>H4*1200</f>
        <v>12000</v>
      </c>
      <c r="J4" s="61"/>
      <c r="K4" s="33">
        <f>IF(J4-J3&lt;0,"0",J4-J3)</f>
        <v>0</v>
      </c>
    </row>
    <row r="5" spans="1:11" ht="30" customHeight="1" x14ac:dyDescent="0.25">
      <c r="A5" s="40">
        <v>44229</v>
      </c>
      <c r="B5" s="34">
        <v>0</v>
      </c>
      <c r="C5" s="34">
        <v>0</v>
      </c>
      <c r="D5" s="60">
        <v>147664</v>
      </c>
      <c r="E5" s="33">
        <f t="shared" ref="E5:E34" si="0">IF(D5-D4&lt;0,"0",D5-D4)</f>
        <v>110</v>
      </c>
      <c r="F5" s="46">
        <f t="shared" ref="F5:F34" si="1">E5*26.83</f>
        <v>2951.2999999999997</v>
      </c>
      <c r="G5" s="59">
        <v>44843</v>
      </c>
      <c r="H5" s="33">
        <f t="shared" ref="H5:H34" si="2">IF(G5-G4&lt;0,"0",G5-G4)</f>
        <v>14</v>
      </c>
      <c r="I5" s="49">
        <f t="shared" ref="I5:I34" si="3">H5*1200</f>
        <v>16800</v>
      </c>
      <c r="J5" s="61"/>
      <c r="K5" s="33">
        <f t="shared" ref="K5:K34" si="4">IF(J5-J4&lt;0,"0",J5-J4)</f>
        <v>0</v>
      </c>
    </row>
    <row r="6" spans="1:11" ht="30" customHeight="1" x14ac:dyDescent="0.25">
      <c r="A6" s="40">
        <v>44230</v>
      </c>
      <c r="B6" s="34">
        <v>0</v>
      </c>
      <c r="C6" s="34">
        <v>0</v>
      </c>
      <c r="D6" s="59">
        <v>147754</v>
      </c>
      <c r="E6" s="33">
        <f t="shared" si="0"/>
        <v>90</v>
      </c>
      <c r="F6" s="46">
        <f t="shared" si="1"/>
        <v>2414.6999999999998</v>
      </c>
      <c r="G6" s="59">
        <v>44854</v>
      </c>
      <c r="H6" s="33">
        <f t="shared" si="2"/>
        <v>11</v>
      </c>
      <c r="I6" s="49">
        <f t="shared" si="3"/>
        <v>13200</v>
      </c>
      <c r="J6" s="61"/>
      <c r="K6" s="33">
        <f t="shared" si="4"/>
        <v>0</v>
      </c>
    </row>
    <row r="7" spans="1:11" ht="30" customHeight="1" x14ac:dyDescent="0.25">
      <c r="A7" s="40">
        <v>44231</v>
      </c>
      <c r="B7" s="34">
        <v>0</v>
      </c>
      <c r="C7" s="34">
        <v>0</v>
      </c>
      <c r="D7" s="59">
        <v>147846</v>
      </c>
      <c r="E7" s="33">
        <f t="shared" si="0"/>
        <v>92</v>
      </c>
      <c r="F7" s="46">
        <f t="shared" si="1"/>
        <v>2468.3599999999997</v>
      </c>
      <c r="G7" s="59">
        <v>44867</v>
      </c>
      <c r="H7" s="33">
        <f t="shared" si="2"/>
        <v>13</v>
      </c>
      <c r="I7" s="49">
        <f t="shared" si="3"/>
        <v>15600</v>
      </c>
      <c r="J7" s="61"/>
      <c r="K7" s="33">
        <f t="shared" si="4"/>
        <v>0</v>
      </c>
    </row>
    <row r="8" spans="1:11" ht="30" customHeight="1" x14ac:dyDescent="0.25">
      <c r="A8" s="40">
        <v>44232</v>
      </c>
      <c r="B8" s="34">
        <v>0</v>
      </c>
      <c r="C8" s="34">
        <v>0</v>
      </c>
      <c r="D8" s="59">
        <v>147957</v>
      </c>
      <c r="E8" s="33">
        <f t="shared" si="0"/>
        <v>111</v>
      </c>
      <c r="F8" s="46">
        <f t="shared" si="1"/>
        <v>2978.1299999999997</v>
      </c>
      <c r="G8" s="59">
        <v>44881</v>
      </c>
      <c r="H8" s="33">
        <f t="shared" si="2"/>
        <v>14</v>
      </c>
      <c r="I8" s="49">
        <f t="shared" si="3"/>
        <v>16800</v>
      </c>
      <c r="J8" s="61"/>
      <c r="K8" s="33">
        <f t="shared" si="4"/>
        <v>0</v>
      </c>
    </row>
    <row r="9" spans="1:11" ht="30" customHeight="1" x14ac:dyDescent="0.25">
      <c r="A9" s="40">
        <v>44233</v>
      </c>
      <c r="B9" s="34">
        <v>0</v>
      </c>
      <c r="C9" s="34">
        <v>0</v>
      </c>
      <c r="D9" s="59">
        <v>148056</v>
      </c>
      <c r="E9" s="33">
        <f t="shared" si="0"/>
        <v>99</v>
      </c>
      <c r="F9" s="46">
        <f t="shared" si="1"/>
        <v>2656.1699999999996</v>
      </c>
      <c r="G9" s="59">
        <v>44894</v>
      </c>
      <c r="H9" s="33">
        <f t="shared" si="2"/>
        <v>13</v>
      </c>
      <c r="I9" s="49">
        <f t="shared" si="3"/>
        <v>15600</v>
      </c>
      <c r="J9" s="61"/>
      <c r="K9" s="33">
        <f t="shared" si="4"/>
        <v>0</v>
      </c>
    </row>
    <row r="10" spans="1:11" ht="30" customHeight="1" x14ac:dyDescent="0.25">
      <c r="A10" s="40">
        <v>44234</v>
      </c>
      <c r="B10" s="34">
        <v>0</v>
      </c>
      <c r="C10" s="34">
        <v>0</v>
      </c>
      <c r="D10" s="59">
        <v>148177</v>
      </c>
      <c r="E10" s="33">
        <f t="shared" si="0"/>
        <v>121</v>
      </c>
      <c r="F10" s="46">
        <f t="shared" si="1"/>
        <v>3246.43</v>
      </c>
      <c r="G10" s="59">
        <v>44910</v>
      </c>
      <c r="H10" s="33">
        <f t="shared" si="2"/>
        <v>16</v>
      </c>
      <c r="I10" s="49">
        <f t="shared" si="3"/>
        <v>19200</v>
      </c>
      <c r="J10" s="61"/>
      <c r="K10" s="33">
        <f t="shared" si="4"/>
        <v>0</v>
      </c>
    </row>
    <row r="11" spans="1:11" ht="30" customHeight="1" x14ac:dyDescent="0.25">
      <c r="A11" s="40">
        <v>44235</v>
      </c>
      <c r="B11" s="34">
        <v>0</v>
      </c>
      <c r="C11" s="34">
        <v>0</v>
      </c>
      <c r="D11" s="59">
        <v>148243</v>
      </c>
      <c r="E11" s="33">
        <f t="shared" si="0"/>
        <v>66</v>
      </c>
      <c r="F11" s="46">
        <f t="shared" si="1"/>
        <v>1770.78</v>
      </c>
      <c r="G11" s="59">
        <v>44921</v>
      </c>
      <c r="H11" s="33">
        <f t="shared" si="2"/>
        <v>11</v>
      </c>
      <c r="I11" s="49">
        <f t="shared" si="3"/>
        <v>13200</v>
      </c>
      <c r="J11" s="61"/>
      <c r="K11" s="33">
        <f t="shared" si="4"/>
        <v>0</v>
      </c>
    </row>
    <row r="12" spans="1:11" ht="30" customHeight="1" x14ac:dyDescent="0.25">
      <c r="A12" s="40">
        <v>44236</v>
      </c>
      <c r="B12" s="34">
        <v>0</v>
      </c>
      <c r="C12" s="34">
        <v>0</v>
      </c>
      <c r="D12" s="59">
        <v>148364</v>
      </c>
      <c r="E12" s="33">
        <f t="shared" si="0"/>
        <v>121</v>
      </c>
      <c r="F12" s="46">
        <f t="shared" si="1"/>
        <v>3246.43</v>
      </c>
      <c r="G12" s="59">
        <v>44932</v>
      </c>
      <c r="H12" s="33">
        <f t="shared" si="2"/>
        <v>11</v>
      </c>
      <c r="I12" s="49">
        <f t="shared" si="3"/>
        <v>13200</v>
      </c>
      <c r="J12" s="61"/>
      <c r="K12" s="33">
        <f t="shared" si="4"/>
        <v>0</v>
      </c>
    </row>
    <row r="13" spans="1:11" ht="30" customHeight="1" x14ac:dyDescent="0.25">
      <c r="A13" s="40">
        <v>44237</v>
      </c>
      <c r="B13" s="34">
        <v>0</v>
      </c>
      <c r="C13" s="34">
        <v>0</v>
      </c>
      <c r="D13" s="59">
        <v>148493</v>
      </c>
      <c r="E13" s="33">
        <f t="shared" si="0"/>
        <v>129</v>
      </c>
      <c r="F13" s="46">
        <f t="shared" si="1"/>
        <v>3461.0699999999997</v>
      </c>
      <c r="G13" s="59">
        <v>44942</v>
      </c>
      <c r="H13" s="33">
        <f t="shared" si="2"/>
        <v>10</v>
      </c>
      <c r="I13" s="49">
        <f t="shared" si="3"/>
        <v>12000</v>
      </c>
      <c r="J13" s="61"/>
      <c r="K13" s="33">
        <f t="shared" si="4"/>
        <v>0</v>
      </c>
    </row>
    <row r="14" spans="1:11" ht="30" customHeight="1" x14ac:dyDescent="0.25">
      <c r="A14" s="40">
        <v>44238</v>
      </c>
      <c r="B14" s="34">
        <v>0</v>
      </c>
      <c r="C14" s="34">
        <v>0</v>
      </c>
      <c r="D14" s="60">
        <v>148668</v>
      </c>
      <c r="E14" s="33">
        <f t="shared" si="0"/>
        <v>175</v>
      </c>
      <c r="F14" s="46">
        <f t="shared" si="1"/>
        <v>4695.25</v>
      </c>
      <c r="G14" s="59">
        <v>44954</v>
      </c>
      <c r="H14" s="33">
        <f t="shared" si="2"/>
        <v>12</v>
      </c>
      <c r="I14" s="49">
        <f t="shared" si="3"/>
        <v>14400</v>
      </c>
      <c r="J14" s="61"/>
      <c r="K14" s="33">
        <f t="shared" si="4"/>
        <v>0</v>
      </c>
    </row>
    <row r="15" spans="1:11" ht="30" customHeight="1" x14ac:dyDescent="0.25">
      <c r="A15" s="40">
        <v>44239</v>
      </c>
      <c r="B15" s="34">
        <v>0</v>
      </c>
      <c r="C15" s="34">
        <v>0</v>
      </c>
      <c r="D15" s="60">
        <v>148835</v>
      </c>
      <c r="E15" s="33">
        <f t="shared" si="0"/>
        <v>167</v>
      </c>
      <c r="F15" s="46">
        <f t="shared" si="1"/>
        <v>4480.6099999999997</v>
      </c>
      <c r="G15" s="60">
        <v>44967</v>
      </c>
      <c r="H15" s="33">
        <f t="shared" si="2"/>
        <v>13</v>
      </c>
      <c r="I15" s="49">
        <f t="shared" si="3"/>
        <v>15600</v>
      </c>
      <c r="J15" s="61"/>
      <c r="K15" s="33">
        <f t="shared" si="4"/>
        <v>0</v>
      </c>
    </row>
    <row r="16" spans="1:11" ht="30" customHeight="1" x14ac:dyDescent="0.25">
      <c r="A16" s="40">
        <v>44240</v>
      </c>
      <c r="B16" s="34">
        <v>0</v>
      </c>
      <c r="C16" s="34">
        <v>0</v>
      </c>
      <c r="D16" s="59">
        <v>149001</v>
      </c>
      <c r="E16" s="33">
        <f t="shared" si="0"/>
        <v>166</v>
      </c>
      <c r="F16" s="46">
        <f t="shared" si="1"/>
        <v>4453.78</v>
      </c>
      <c r="G16" s="59">
        <v>44983</v>
      </c>
      <c r="H16" s="33">
        <f t="shared" si="2"/>
        <v>16</v>
      </c>
      <c r="I16" s="49">
        <f t="shared" si="3"/>
        <v>19200</v>
      </c>
      <c r="J16" s="61"/>
      <c r="K16" s="33">
        <f t="shared" si="4"/>
        <v>0</v>
      </c>
    </row>
    <row r="17" spans="1:11" ht="30" customHeight="1" x14ac:dyDescent="0.25">
      <c r="A17" s="40">
        <v>44241</v>
      </c>
      <c r="B17" s="34">
        <v>0</v>
      </c>
      <c r="C17" s="34">
        <v>0</v>
      </c>
      <c r="D17" s="59">
        <v>149155</v>
      </c>
      <c r="E17" s="33">
        <f t="shared" si="0"/>
        <v>154</v>
      </c>
      <c r="F17" s="46">
        <f t="shared" si="1"/>
        <v>4131.82</v>
      </c>
      <c r="G17" s="59">
        <v>44996</v>
      </c>
      <c r="H17" s="33">
        <f t="shared" si="2"/>
        <v>13</v>
      </c>
      <c r="I17" s="49">
        <f t="shared" si="3"/>
        <v>15600</v>
      </c>
      <c r="J17" s="61"/>
      <c r="K17" s="33">
        <f t="shared" si="4"/>
        <v>0</v>
      </c>
    </row>
    <row r="18" spans="1:11" ht="30" customHeight="1" x14ac:dyDescent="0.25">
      <c r="A18" s="40">
        <v>44242</v>
      </c>
      <c r="B18" s="34">
        <v>0</v>
      </c>
      <c r="C18" s="34">
        <v>0</v>
      </c>
      <c r="D18" s="59">
        <v>149217</v>
      </c>
      <c r="E18" s="33">
        <f t="shared" si="0"/>
        <v>62</v>
      </c>
      <c r="F18" s="46">
        <f t="shared" si="1"/>
        <v>1663.4599999999998</v>
      </c>
      <c r="G18" s="59">
        <v>45008</v>
      </c>
      <c r="H18" s="33">
        <f t="shared" si="2"/>
        <v>12</v>
      </c>
      <c r="I18" s="49">
        <f t="shared" si="3"/>
        <v>14400</v>
      </c>
      <c r="J18" s="61"/>
      <c r="K18" s="33">
        <f t="shared" si="4"/>
        <v>0</v>
      </c>
    </row>
    <row r="19" spans="1:11" ht="30" customHeight="1" x14ac:dyDescent="0.25">
      <c r="A19" s="40">
        <v>44243</v>
      </c>
      <c r="B19" s="34">
        <v>0</v>
      </c>
      <c r="C19" s="34">
        <v>0</v>
      </c>
      <c r="D19" s="60">
        <v>149326</v>
      </c>
      <c r="E19" s="33">
        <f t="shared" si="0"/>
        <v>109</v>
      </c>
      <c r="F19" s="46">
        <f t="shared" si="1"/>
        <v>2924.47</v>
      </c>
      <c r="G19" s="60">
        <v>45020</v>
      </c>
      <c r="H19" s="33">
        <f t="shared" si="2"/>
        <v>12</v>
      </c>
      <c r="I19" s="49">
        <f t="shared" si="3"/>
        <v>14400</v>
      </c>
      <c r="J19" s="61"/>
      <c r="K19" s="33">
        <f t="shared" si="4"/>
        <v>0</v>
      </c>
    </row>
    <row r="20" spans="1:11" ht="30" customHeight="1" x14ac:dyDescent="0.25">
      <c r="A20" s="40">
        <v>44244</v>
      </c>
      <c r="B20" s="34">
        <v>0</v>
      </c>
      <c r="C20" s="34">
        <v>0</v>
      </c>
      <c r="D20" s="59">
        <v>149503</v>
      </c>
      <c r="E20" s="33">
        <f t="shared" si="0"/>
        <v>177</v>
      </c>
      <c r="F20" s="46">
        <f t="shared" si="1"/>
        <v>4748.91</v>
      </c>
      <c r="G20" s="59">
        <v>45032</v>
      </c>
      <c r="H20" s="33">
        <f t="shared" si="2"/>
        <v>12</v>
      </c>
      <c r="I20" s="49">
        <f t="shared" si="3"/>
        <v>14400</v>
      </c>
      <c r="J20" s="61"/>
      <c r="K20" s="33">
        <f t="shared" si="4"/>
        <v>0</v>
      </c>
    </row>
    <row r="21" spans="1:11" ht="30" customHeight="1" x14ac:dyDescent="0.25">
      <c r="A21" s="40">
        <v>44245</v>
      </c>
      <c r="B21" s="34">
        <v>0</v>
      </c>
      <c r="C21" s="34">
        <v>0</v>
      </c>
      <c r="D21" s="59">
        <v>149609</v>
      </c>
      <c r="E21" s="33">
        <f t="shared" si="0"/>
        <v>106</v>
      </c>
      <c r="F21" s="46">
        <f t="shared" si="1"/>
        <v>2843.98</v>
      </c>
      <c r="G21" s="59">
        <v>45045</v>
      </c>
      <c r="H21" s="33">
        <f t="shared" si="2"/>
        <v>13</v>
      </c>
      <c r="I21" s="49">
        <f t="shared" si="3"/>
        <v>15600</v>
      </c>
      <c r="J21" s="61"/>
      <c r="K21" s="33">
        <f t="shared" si="4"/>
        <v>0</v>
      </c>
    </row>
    <row r="22" spans="1:11" ht="30" customHeight="1" x14ac:dyDescent="0.25">
      <c r="A22" s="40">
        <v>44246</v>
      </c>
      <c r="B22" s="34">
        <v>0</v>
      </c>
      <c r="C22" s="34">
        <v>0</v>
      </c>
      <c r="D22" s="59">
        <v>149732</v>
      </c>
      <c r="E22" s="33">
        <f t="shared" si="0"/>
        <v>123</v>
      </c>
      <c r="F22" s="46">
        <f t="shared" si="1"/>
        <v>3300.0899999999997</v>
      </c>
      <c r="G22" s="59">
        <v>45059</v>
      </c>
      <c r="H22" s="33">
        <f t="shared" si="2"/>
        <v>14</v>
      </c>
      <c r="I22" s="49">
        <f t="shared" si="3"/>
        <v>16800</v>
      </c>
      <c r="J22" s="61"/>
      <c r="K22" s="33">
        <f t="shared" si="4"/>
        <v>0</v>
      </c>
    </row>
    <row r="23" spans="1:11" ht="30" customHeight="1" x14ac:dyDescent="0.25">
      <c r="A23" s="40">
        <v>44247</v>
      </c>
      <c r="B23" s="34">
        <v>0</v>
      </c>
      <c r="C23" s="34">
        <v>0</v>
      </c>
      <c r="D23" s="59">
        <v>149841</v>
      </c>
      <c r="E23" s="33">
        <f t="shared" si="0"/>
        <v>109</v>
      </c>
      <c r="F23" s="46">
        <f t="shared" si="1"/>
        <v>2924.47</v>
      </c>
      <c r="G23" s="59">
        <v>45073</v>
      </c>
      <c r="H23" s="33">
        <f t="shared" si="2"/>
        <v>14</v>
      </c>
      <c r="I23" s="49">
        <f t="shared" si="3"/>
        <v>16800</v>
      </c>
      <c r="J23" s="61"/>
      <c r="K23" s="33">
        <f t="shared" si="4"/>
        <v>0</v>
      </c>
    </row>
    <row r="24" spans="1:11" ht="30" customHeight="1" x14ac:dyDescent="0.25">
      <c r="A24" s="40">
        <v>44248</v>
      </c>
      <c r="B24" s="34">
        <v>0</v>
      </c>
      <c r="C24" s="34">
        <v>0</v>
      </c>
      <c r="D24" s="59">
        <v>149949</v>
      </c>
      <c r="E24" s="33">
        <f t="shared" si="0"/>
        <v>108</v>
      </c>
      <c r="F24" s="46">
        <f t="shared" si="1"/>
        <v>2897.64</v>
      </c>
      <c r="G24" s="59">
        <v>45086</v>
      </c>
      <c r="H24" s="33">
        <f t="shared" si="2"/>
        <v>13</v>
      </c>
      <c r="I24" s="49">
        <f t="shared" si="3"/>
        <v>15600</v>
      </c>
      <c r="J24" s="61"/>
      <c r="K24" s="33">
        <f t="shared" si="4"/>
        <v>0</v>
      </c>
    </row>
    <row r="25" spans="1:11" ht="30" customHeight="1" x14ac:dyDescent="0.25">
      <c r="A25" s="40">
        <v>44249</v>
      </c>
      <c r="B25" s="34">
        <v>0</v>
      </c>
      <c r="C25" s="34">
        <v>0</v>
      </c>
      <c r="D25" s="59">
        <v>150028</v>
      </c>
      <c r="E25" s="33">
        <f t="shared" si="0"/>
        <v>79</v>
      </c>
      <c r="F25" s="46">
        <f t="shared" si="1"/>
        <v>2119.5699999999997</v>
      </c>
      <c r="G25" s="59">
        <v>45097</v>
      </c>
      <c r="H25" s="33">
        <f t="shared" si="2"/>
        <v>11</v>
      </c>
      <c r="I25" s="49">
        <f t="shared" si="3"/>
        <v>13200</v>
      </c>
      <c r="J25" s="61"/>
      <c r="K25" s="33">
        <f t="shared" si="4"/>
        <v>0</v>
      </c>
    </row>
    <row r="26" spans="1:11" ht="30" customHeight="1" x14ac:dyDescent="0.25">
      <c r="A26" s="40">
        <v>44250</v>
      </c>
      <c r="B26" s="34">
        <v>0</v>
      </c>
      <c r="C26" s="34">
        <v>0</v>
      </c>
      <c r="D26" s="59">
        <v>150126</v>
      </c>
      <c r="E26" s="33">
        <f t="shared" si="0"/>
        <v>98</v>
      </c>
      <c r="F26" s="46">
        <f t="shared" si="1"/>
        <v>2629.3399999999997</v>
      </c>
      <c r="G26" s="59">
        <v>45109</v>
      </c>
      <c r="H26" s="33">
        <f t="shared" si="2"/>
        <v>12</v>
      </c>
      <c r="I26" s="49">
        <f t="shared" si="3"/>
        <v>14400</v>
      </c>
      <c r="J26" s="61"/>
      <c r="K26" s="33">
        <f t="shared" si="4"/>
        <v>0</v>
      </c>
    </row>
    <row r="27" spans="1:11" ht="30" customHeight="1" x14ac:dyDescent="0.25">
      <c r="A27" s="40">
        <v>44251</v>
      </c>
      <c r="B27" s="34">
        <v>0</v>
      </c>
      <c r="C27" s="34">
        <v>0</v>
      </c>
      <c r="D27" s="59">
        <v>150247</v>
      </c>
      <c r="E27" s="33">
        <f t="shared" si="0"/>
        <v>121</v>
      </c>
      <c r="F27" s="46">
        <f t="shared" si="1"/>
        <v>3246.43</v>
      </c>
      <c r="G27" s="59">
        <v>45124</v>
      </c>
      <c r="H27" s="33">
        <f t="shared" si="2"/>
        <v>15</v>
      </c>
      <c r="I27" s="49">
        <f t="shared" si="3"/>
        <v>18000</v>
      </c>
      <c r="J27" s="61"/>
      <c r="K27" s="33">
        <f t="shared" si="4"/>
        <v>0</v>
      </c>
    </row>
    <row r="28" spans="1:11" ht="30" customHeight="1" x14ac:dyDescent="0.25">
      <c r="A28" s="40">
        <v>44252</v>
      </c>
      <c r="B28" s="34">
        <v>0</v>
      </c>
      <c r="C28" s="34">
        <v>0</v>
      </c>
      <c r="D28" s="59">
        <v>150366</v>
      </c>
      <c r="E28" s="33">
        <f t="shared" si="0"/>
        <v>119</v>
      </c>
      <c r="F28" s="46">
        <f t="shared" si="1"/>
        <v>3192.77</v>
      </c>
      <c r="G28" s="59">
        <v>45138</v>
      </c>
      <c r="H28" s="33">
        <f t="shared" si="2"/>
        <v>14</v>
      </c>
      <c r="I28" s="49">
        <f t="shared" si="3"/>
        <v>16800</v>
      </c>
      <c r="J28" s="61"/>
      <c r="K28" s="33">
        <f t="shared" si="4"/>
        <v>0</v>
      </c>
    </row>
    <row r="29" spans="1:11" ht="30" customHeight="1" x14ac:dyDescent="0.25">
      <c r="A29" s="40">
        <v>44253</v>
      </c>
      <c r="B29" s="34">
        <v>0</v>
      </c>
      <c r="C29" s="34">
        <v>0</v>
      </c>
      <c r="D29" s="59">
        <v>150469</v>
      </c>
      <c r="E29" s="33">
        <f t="shared" si="0"/>
        <v>103</v>
      </c>
      <c r="F29" s="46">
        <f t="shared" si="1"/>
        <v>2763.49</v>
      </c>
      <c r="G29" s="59">
        <v>45150</v>
      </c>
      <c r="H29" s="33">
        <f t="shared" si="2"/>
        <v>12</v>
      </c>
      <c r="I29" s="49">
        <f t="shared" si="3"/>
        <v>14400</v>
      </c>
      <c r="J29" s="61"/>
      <c r="K29" s="33">
        <f t="shared" si="4"/>
        <v>0</v>
      </c>
    </row>
    <row r="30" spans="1:11" ht="30" customHeight="1" x14ac:dyDescent="0.25">
      <c r="A30" s="40">
        <v>44254</v>
      </c>
      <c r="B30" s="34">
        <v>0</v>
      </c>
      <c r="C30" s="34">
        <v>0</v>
      </c>
      <c r="D30" s="59">
        <v>150568</v>
      </c>
      <c r="E30" s="33">
        <f t="shared" si="0"/>
        <v>99</v>
      </c>
      <c r="F30" s="46">
        <f t="shared" si="1"/>
        <v>2656.1699999999996</v>
      </c>
      <c r="G30" s="59">
        <v>45162</v>
      </c>
      <c r="H30" s="33">
        <f t="shared" si="2"/>
        <v>12</v>
      </c>
      <c r="I30" s="49">
        <f t="shared" si="3"/>
        <v>14400</v>
      </c>
      <c r="J30" s="61"/>
      <c r="K30" s="33">
        <f t="shared" si="4"/>
        <v>0</v>
      </c>
    </row>
    <row r="31" spans="1:11" ht="30" customHeight="1" x14ac:dyDescent="0.25">
      <c r="A31" s="40">
        <v>44255</v>
      </c>
      <c r="B31" s="34">
        <v>0</v>
      </c>
      <c r="C31" s="34">
        <v>0</v>
      </c>
      <c r="D31" s="59">
        <v>150678</v>
      </c>
      <c r="E31" s="33">
        <f t="shared" si="0"/>
        <v>110</v>
      </c>
      <c r="F31" s="46">
        <f t="shared" si="1"/>
        <v>2951.2999999999997</v>
      </c>
      <c r="G31" s="59">
        <v>45176</v>
      </c>
      <c r="H31" s="33">
        <f t="shared" si="2"/>
        <v>14</v>
      </c>
      <c r="I31" s="49">
        <f t="shared" si="3"/>
        <v>16800</v>
      </c>
      <c r="J31" s="61"/>
      <c r="K31" s="33">
        <f t="shared" si="4"/>
        <v>0</v>
      </c>
    </row>
    <row r="32" spans="1:11" ht="30" customHeight="1" x14ac:dyDescent="0.25">
      <c r="A32" s="40"/>
      <c r="B32" s="34">
        <v>0</v>
      </c>
      <c r="C32" s="34">
        <v>0</v>
      </c>
      <c r="D32" s="20">
        <v>0</v>
      </c>
      <c r="E32" s="33" t="str">
        <f t="shared" si="0"/>
        <v>0</v>
      </c>
      <c r="F32" s="46">
        <f t="shared" si="1"/>
        <v>0</v>
      </c>
      <c r="G32" s="20">
        <v>0</v>
      </c>
      <c r="H32" s="33" t="str">
        <f t="shared" si="2"/>
        <v>0</v>
      </c>
      <c r="I32" s="49">
        <f t="shared" si="3"/>
        <v>0</v>
      </c>
      <c r="J32" s="20"/>
      <c r="K32" s="33">
        <f t="shared" si="4"/>
        <v>0</v>
      </c>
    </row>
    <row r="33" spans="1:11" ht="30" customHeight="1" x14ac:dyDescent="0.25">
      <c r="A33" s="40"/>
      <c r="B33" s="34">
        <v>0</v>
      </c>
      <c r="C33" s="34">
        <v>0</v>
      </c>
      <c r="D33" s="20">
        <v>0</v>
      </c>
      <c r="E33" s="33">
        <f t="shared" si="0"/>
        <v>0</v>
      </c>
      <c r="F33" s="46">
        <f t="shared" si="1"/>
        <v>0</v>
      </c>
      <c r="G33" s="20">
        <v>0</v>
      </c>
      <c r="H33" s="33">
        <f t="shared" si="2"/>
        <v>0</v>
      </c>
      <c r="I33" s="49">
        <f t="shared" si="3"/>
        <v>0</v>
      </c>
      <c r="J33" s="20"/>
      <c r="K33" s="33">
        <f t="shared" si="4"/>
        <v>0</v>
      </c>
    </row>
    <row r="34" spans="1:11" ht="30" customHeight="1" x14ac:dyDescent="0.25">
      <c r="A34" s="40"/>
      <c r="B34" s="34">
        <v>0</v>
      </c>
      <c r="C34" s="34">
        <v>0</v>
      </c>
      <c r="D34" s="20">
        <v>0</v>
      </c>
      <c r="E34" s="33">
        <f t="shared" si="0"/>
        <v>0</v>
      </c>
      <c r="F34" s="46">
        <f t="shared" si="1"/>
        <v>0</v>
      </c>
      <c r="G34" s="20">
        <v>0</v>
      </c>
      <c r="H34" s="33">
        <f t="shared" si="2"/>
        <v>0</v>
      </c>
      <c r="I34" s="49">
        <f t="shared" si="3"/>
        <v>0</v>
      </c>
      <c r="J34" s="20"/>
      <c r="K34" s="33">
        <f t="shared" si="4"/>
        <v>0</v>
      </c>
    </row>
    <row r="35" spans="1:11" x14ac:dyDescent="0.25">
      <c r="A35" s="22"/>
      <c r="B35" s="35"/>
      <c r="C35" s="35"/>
      <c r="F35" s="23"/>
      <c r="G35" s="18"/>
      <c r="H35" s="26"/>
      <c r="I35" s="16"/>
      <c r="J35" s="27"/>
    </row>
    <row r="36" spans="1:11" x14ac:dyDescent="0.25">
      <c r="A36" s="28"/>
      <c r="B36" s="36"/>
      <c r="C36" s="36"/>
      <c r="D36" s="24"/>
      <c r="E36" s="29"/>
      <c r="F36" s="25"/>
      <c r="G36" s="24"/>
      <c r="H36" s="25"/>
      <c r="I36" s="25"/>
      <c r="J36" s="24"/>
      <c r="K36" s="25"/>
    </row>
    <row r="37" spans="1:11" x14ac:dyDescent="0.25">
      <c r="A37" s="21"/>
      <c r="B37" s="35"/>
      <c r="C37" s="35"/>
      <c r="G37" s="18"/>
      <c r="J37" s="18"/>
    </row>
    <row r="38" spans="1:11" x14ac:dyDescent="0.25">
      <c r="A38" s="28"/>
      <c r="B38" s="35"/>
      <c r="C38" s="35"/>
      <c r="G38" s="18"/>
      <c r="J38" s="18"/>
    </row>
    <row r="39" spans="1:11" x14ac:dyDescent="0.25">
      <c r="A39" s="28"/>
      <c r="B39" s="35"/>
      <c r="C39" s="35"/>
      <c r="G39" s="18"/>
      <c r="J39" s="18"/>
    </row>
    <row r="40" spans="1:11" x14ac:dyDescent="0.25">
      <c r="A40" s="30"/>
      <c r="B40" s="35"/>
      <c r="C40" s="35"/>
      <c r="J40" s="18"/>
      <c r="K40" s="13"/>
    </row>
  </sheetData>
  <mergeCells count="6">
    <mergeCell ref="A1:A2"/>
    <mergeCell ref="C1:C2"/>
    <mergeCell ref="D1:F1"/>
    <mergeCell ref="G1:I1"/>
    <mergeCell ref="J1:K1"/>
    <mergeCell ref="B1:B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FSRW Meter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2021-03-09T09:21:45Z</cp:lastPrinted>
  <dcterms:created xsi:type="dcterms:W3CDTF">2021-03-09T05:20:06Z</dcterms:created>
  <dcterms:modified xsi:type="dcterms:W3CDTF">2021-03-24T04:03:48Z</dcterms:modified>
</cp:coreProperties>
</file>