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5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2\HEP Daily Report 2022\"/>
    </mc:Choice>
  </mc:AlternateContent>
  <xr:revisionPtr revIDLastSave="74" documentId="11_C6AAF82F274658398647EA123D2124113BAF8E43" xr6:coauthVersionLast="47" xr6:coauthVersionMax="47" xr10:uidLastSave="{152E0BB4-E01C-443B-94B3-9EBFB5B8E3D8}"/>
  <bookViews>
    <workbookView xWindow="0" yWindow="0" windowWidth="28800" windowHeight="12435" tabRatio="762" firstSheet="1" activeTab="1" xr2:uid="{00000000-000D-0000-FFFF-FFFF00000000}"/>
  </bookViews>
  <sheets>
    <sheet name="TOTAL" sheetId="11" r:id="rId1"/>
    <sheet name="FS Jimbaran June 2022" sheetId="14" r:id="rId2"/>
    <sheet name="RNs &amp; Covers June 2022" sheetId="10" r:id="rId3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E48" i="14" l="1"/>
  <c r="O41" i="14"/>
  <c r="AK45" i="14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AG32" i="14"/>
  <c r="AG33" i="14"/>
  <c r="AG34" i="14"/>
  <c r="AG35" i="14"/>
  <c r="AG36" i="14"/>
  <c r="AG37" i="14"/>
  <c r="AG38" i="14"/>
  <c r="AG39" i="14"/>
  <c r="AG40" i="14"/>
  <c r="AG41" i="14"/>
  <c r="AG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12" i="14"/>
  <c r="O12" i="14" l="1"/>
  <c r="Y45" i="14" l="1"/>
  <c r="AL13" i="14" l="1"/>
  <c r="AL14" i="14"/>
  <c r="AL15" i="14"/>
  <c r="AL16" i="14"/>
  <c r="AL17" i="14"/>
  <c r="AL18" i="14"/>
  <c r="AL19" i="14"/>
  <c r="AL20" i="14"/>
  <c r="AL21" i="14"/>
  <c r="AL22" i="14"/>
  <c r="AL23" i="14"/>
  <c r="AL24" i="14"/>
  <c r="AL25" i="14"/>
  <c r="AL26" i="14"/>
  <c r="AL27" i="14"/>
  <c r="AL28" i="14"/>
  <c r="AL29" i="14"/>
  <c r="AL30" i="14"/>
  <c r="AL31" i="14"/>
  <c r="AL32" i="14"/>
  <c r="AL33" i="14"/>
  <c r="AL34" i="14"/>
  <c r="AL35" i="14"/>
  <c r="AL36" i="14"/>
  <c r="AL37" i="14"/>
  <c r="AL38" i="14"/>
  <c r="AL39" i="14"/>
  <c r="AL40" i="14"/>
  <c r="AL41" i="14"/>
  <c r="AL12" i="14"/>
  <c r="X45" i="14" l="1"/>
  <c r="I45" i="14"/>
  <c r="AI13" i="14" l="1"/>
  <c r="AI14" i="14"/>
  <c r="AI15" i="14"/>
  <c r="AI16" i="14"/>
  <c r="AI17" i="14"/>
  <c r="AI18" i="14"/>
  <c r="AI19" i="14"/>
  <c r="AI20" i="14"/>
  <c r="AI21" i="14"/>
  <c r="AI22" i="14"/>
  <c r="AI23" i="14"/>
  <c r="AI24" i="14"/>
  <c r="AI25" i="14"/>
  <c r="AI26" i="14"/>
  <c r="AI27" i="14"/>
  <c r="AI28" i="14"/>
  <c r="AI29" i="14"/>
  <c r="AI30" i="14"/>
  <c r="AI31" i="14"/>
  <c r="AI32" i="14"/>
  <c r="AI33" i="14"/>
  <c r="AI34" i="14"/>
  <c r="AI35" i="14"/>
  <c r="AI36" i="14"/>
  <c r="AI37" i="14"/>
  <c r="AI38" i="14"/>
  <c r="AI39" i="14"/>
  <c r="AI40" i="14"/>
  <c r="AI41" i="14"/>
  <c r="AI12" i="14"/>
  <c r="AA17" i="14" l="1"/>
  <c r="AB17" i="14" s="1"/>
  <c r="AA18" i="14"/>
  <c r="AB18" i="14" s="1"/>
  <c r="AA20" i="14"/>
  <c r="AB20" i="14" s="1"/>
  <c r="AA25" i="14"/>
  <c r="AB25" i="14" s="1"/>
  <c r="AA26" i="14"/>
  <c r="AB26" i="14" s="1"/>
  <c r="AA28" i="14"/>
  <c r="AB28" i="14" s="1"/>
  <c r="AA33" i="14"/>
  <c r="AB33" i="14" s="1"/>
  <c r="AA34" i="14"/>
  <c r="AB34" i="14" s="1"/>
  <c r="AA36" i="14"/>
  <c r="AB36" i="14" s="1"/>
  <c r="AA41" i="14"/>
  <c r="AB41" i="14" s="1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0" i="14"/>
  <c r="V41" i="14"/>
  <c r="V12" i="14"/>
  <c r="AA13" i="14"/>
  <c r="AB13" i="14" s="1"/>
  <c r="AA14" i="14"/>
  <c r="AB14" i="14" s="1"/>
  <c r="AA15" i="14"/>
  <c r="AB15" i="14" s="1"/>
  <c r="AA16" i="14"/>
  <c r="AB16" i="14" s="1"/>
  <c r="AA19" i="14"/>
  <c r="AB19" i="14" s="1"/>
  <c r="AA21" i="14"/>
  <c r="AB21" i="14" s="1"/>
  <c r="AA22" i="14"/>
  <c r="AB22" i="14" s="1"/>
  <c r="AA23" i="14"/>
  <c r="AB23" i="14" s="1"/>
  <c r="AA24" i="14"/>
  <c r="AB24" i="14" s="1"/>
  <c r="AA27" i="14"/>
  <c r="AB27" i="14" s="1"/>
  <c r="AA29" i="14"/>
  <c r="AB29" i="14" s="1"/>
  <c r="AA30" i="14"/>
  <c r="AB30" i="14" s="1"/>
  <c r="AA31" i="14"/>
  <c r="AB31" i="14" s="1"/>
  <c r="AA32" i="14"/>
  <c r="AB32" i="14" s="1"/>
  <c r="AA35" i="14"/>
  <c r="AB35" i="14" s="1"/>
  <c r="AA37" i="14"/>
  <c r="AB37" i="14" s="1"/>
  <c r="AA38" i="14"/>
  <c r="AB38" i="14" s="1"/>
  <c r="AA39" i="14"/>
  <c r="AB39" i="14" s="1"/>
  <c r="AA40" i="14"/>
  <c r="AB40" i="14" s="1"/>
  <c r="AA12" i="14"/>
  <c r="AB12" i="14" s="1"/>
  <c r="V45" i="14" l="1"/>
  <c r="AB45" i="14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12" i="14"/>
  <c r="O13" i="14"/>
  <c r="O21" i="14"/>
  <c r="O16" i="14"/>
  <c r="O17" i="14"/>
  <c r="O18" i="14"/>
  <c r="O20" i="14"/>
  <c r="O24" i="14"/>
  <c r="O25" i="14"/>
  <c r="O26" i="14"/>
  <c r="O28" i="14"/>
  <c r="O32" i="14"/>
  <c r="O33" i="14"/>
  <c r="O34" i="14"/>
  <c r="O36" i="14"/>
  <c r="O40" i="14"/>
  <c r="O38" i="14" l="1"/>
  <c r="O22" i="14"/>
  <c r="O14" i="14"/>
  <c r="O30" i="14"/>
  <c r="O23" i="14"/>
  <c r="O15" i="14"/>
  <c r="O39" i="14"/>
  <c r="O31" i="14"/>
  <c r="O37" i="14"/>
  <c r="O29" i="14"/>
  <c r="O35" i="14"/>
  <c r="O27" i="14"/>
  <c r="O19" i="14"/>
  <c r="P45" i="14"/>
  <c r="L45" i="14"/>
  <c r="K45" i="14"/>
  <c r="J45" i="14"/>
  <c r="H45" i="14"/>
  <c r="G45" i="14"/>
  <c r="F45" i="14"/>
  <c r="E45" i="14"/>
  <c r="O45" i="14" l="1"/>
  <c r="AJ45" i="14"/>
  <c r="AH45" i="14"/>
  <c r="AF45" i="14"/>
  <c r="AE45" i="14"/>
  <c r="M45" i="14"/>
  <c r="C45" i="14"/>
  <c r="D45" i="14"/>
  <c r="Z45" i="14"/>
  <c r="Z47" i="14" s="1"/>
  <c r="W45" i="14"/>
  <c r="X47" i="14" s="1"/>
  <c r="AK47" i="14" l="1"/>
  <c r="AI45" i="14"/>
  <c r="AL45" i="14"/>
  <c r="C36" i="10"/>
  <c r="B36" i="10"/>
  <c r="AG45" i="14" l="1"/>
  <c r="AH47" i="14" s="1"/>
  <c r="N45" i="14" l="1"/>
  <c r="F31" i="11" l="1"/>
  <c r="F30" i="1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K21" i="11"/>
  <c r="K22" i="11"/>
  <c r="K23" i="11"/>
  <c r="K24" i="11"/>
  <c r="K25" i="11"/>
  <c r="K26" i="11"/>
  <c r="K27" i="11"/>
  <c r="K28" i="11"/>
  <c r="K29" i="11"/>
  <c r="AA45" i="14" l="1"/>
  <c r="AA47" i="14" s="1"/>
  <c r="L29" i="11"/>
  <c r="L27" i="11"/>
  <c r="L25" i="11"/>
  <c r="L23" i="11"/>
  <c r="L21" i="11"/>
  <c r="E23" i="11"/>
  <c r="E24" i="11"/>
  <c r="E25" i="11"/>
  <c r="E26" i="11"/>
  <c r="E27" i="11"/>
  <c r="E28" i="11"/>
  <c r="E29" i="11"/>
  <c r="L28" i="11"/>
  <c r="L26" i="11"/>
  <c r="L24" i="11"/>
  <c r="L22" i="11"/>
  <c r="E21" i="11" l="1"/>
  <c r="E22" i="11"/>
  <c r="F28" i="11"/>
  <c r="F26" i="11"/>
  <c r="F24" i="11"/>
  <c r="F22" i="11"/>
  <c r="F29" i="11"/>
  <c r="F27" i="11"/>
  <c r="F25" i="11"/>
  <c r="F23" i="11"/>
  <c r="F21" i="11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5" i="14"/>
  <c r="J20" i="11"/>
  <c r="I15" i="11"/>
  <c r="K14" i="11"/>
  <c r="I9" i="11"/>
  <c r="I7" i="11"/>
  <c r="K6" i="11"/>
  <c r="K2" i="11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H12" i="11"/>
  <c r="H14" i="11"/>
  <c r="H15" i="11"/>
  <c r="G16" i="11"/>
  <c r="H16" i="11"/>
  <c r="H18" i="11"/>
  <c r="H19" i="11"/>
  <c r="H20" i="11"/>
  <c r="H4" i="11"/>
  <c r="H6" i="11"/>
  <c r="H10" i="11"/>
  <c r="H17" i="11"/>
  <c r="G20" i="11"/>
  <c r="G15" i="11"/>
  <c r="G14" i="11"/>
  <c r="J13" i="11"/>
  <c r="J14" i="11"/>
  <c r="J6" i="11"/>
  <c r="J5" i="11"/>
  <c r="G7" i="11"/>
  <c r="G11" i="11"/>
  <c r="J17" i="11"/>
  <c r="G13" i="11"/>
  <c r="J4" i="11"/>
  <c r="G5" i="11"/>
  <c r="G3" i="11"/>
  <c r="J11" i="11"/>
  <c r="J12" i="11"/>
  <c r="J16" i="11"/>
  <c r="J8" i="11"/>
  <c r="K3" i="11"/>
  <c r="G6" i="11"/>
  <c r="I12" i="11"/>
  <c r="I4" i="11"/>
  <c r="J15" i="11"/>
  <c r="G12" i="11"/>
  <c r="G4" i="11"/>
  <c r="I18" i="11"/>
  <c r="K16" i="11"/>
  <c r="K8" i="11"/>
  <c r="G19" i="11"/>
  <c r="I17" i="11"/>
  <c r="K15" i="11"/>
  <c r="K7" i="11"/>
  <c r="L10" i="11"/>
  <c r="I10" i="11"/>
  <c r="G18" i="11"/>
  <c r="G10" i="11"/>
  <c r="I16" i="11"/>
  <c r="I8" i="11"/>
  <c r="J19" i="11"/>
  <c r="J3" i="11"/>
  <c r="L9" i="11"/>
  <c r="G17" i="11"/>
  <c r="J18" i="11"/>
  <c r="J10" i="11"/>
  <c r="K13" i="11"/>
  <c r="K5" i="11"/>
  <c r="I14" i="11"/>
  <c r="I6" i="11"/>
  <c r="K12" i="11"/>
  <c r="K4" i="11"/>
  <c r="L2" i="11"/>
  <c r="H2" i="11"/>
  <c r="J2" i="11"/>
  <c r="AC45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L14" i="11"/>
  <c r="L12" i="11"/>
  <c r="L18" i="11"/>
  <c r="L4" i="11"/>
  <c r="L20" i="11"/>
  <c r="L19" i="11"/>
  <c r="L8" i="11"/>
  <c r="L15" i="11"/>
  <c r="L13" i="11"/>
  <c r="L16" i="11"/>
  <c r="L7" i="11"/>
  <c r="L17" i="11"/>
  <c r="L5" i="11"/>
  <c r="L11" i="11"/>
  <c r="J9" i="11"/>
  <c r="L3" i="11"/>
  <c r="P47" i="14" l="1"/>
  <c r="F7" i="11"/>
  <c r="F2" i="11"/>
  <c r="L6" i="11"/>
  <c r="U46" i="14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<sst xmlns="http://schemas.openxmlformats.org/spreadsheetml/2006/main" count="100" uniqueCount="55">
  <si>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</si>
  <si>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</si>
  <si>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</si>
  <si>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</si>
  <si>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</si>
  <si>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</si>
  <si>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</si>
  <si>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</si>
  <si>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</si>
  <si>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</si>
  <si>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</si>
  <si>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</si>
  <si>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</si>
  <si>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</si>
  <si>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</si>
  <si>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</si>
  <si>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</si>
  <si>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JUNE 2022</t>
  </si>
  <si>
    <t>Date</t>
  </si>
  <si>
    <t>Room Nights</t>
  </si>
  <si>
    <t>ELECTRICITY Resort &amp; Sundara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</si>
  <si>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</si>
  <si>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</si>
  <si>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</si>
  <si>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</si>
  <si>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</si>
  <si>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</si>
  <si>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Residences- Electricity KWh</t>
  </si>
  <si>
    <t>Residences- Electricity cost (IDR)</t>
  </si>
  <si>
    <t>TOTAL  Electricity consumption (KWh)</t>
  </si>
  <si>
    <t>TOTAL  Electricity cost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</si>
  <si>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</si>
  <si>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</si>
  <si>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</si>
  <si>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</si>
  <si>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</si>
  <si>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</si>
  <si>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</si>
  <si>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</si>
  <si>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</si>
  <si>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IDR</t>
  </si>
  <si>
    <t>USD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</si>
  <si>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</si>
  <si>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</si>
  <si>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</si>
  <si>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</si>
  <si>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</si>
  <si>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LPG Bulk (m3)</t>
  </si>
  <si>
    <t>50 Kg (tube) IVD &amp; TW</t>
  </si>
  <si>
    <t>Sundara 50 kg (tube)</t>
  </si>
  <si>
    <t>12 Kg (tube)</t>
  </si>
  <si>
    <t>Total kg</t>
  </si>
  <si>
    <t>Used (liters)</t>
  </si>
  <si>
    <t>kWh rate</t>
  </si>
  <si>
    <t>m3/RNs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</si>
</sst>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</numFmts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000000"/>
      <name val="Tahoma"/>
      <family val="2"/>
    </font>
    <font>
      <sz val="10"/>
      <name val="Tahoma"/>
      <family val="2"/>
    </font>
    <font>
      <sz val="10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FFFFFF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</cellStyleXfs>
  <cellXfs count="258">
    <xf numFmtId="0" fontId="0" fillId="0" borderId="0" xfId="0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/>
    <xf numFmtId="165" fontId="0" fillId="0" borderId="0" xfId="0" applyNumberFormat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164" fontId="0" fillId="3" borderId="0" xfId="0" applyNumberFormat="1" applyFill="1"/>
    <xf numFmtId="165" fontId="4" fillId="0" borderId="0" xfId="2" applyNumberFormat="1" applyFont="1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9" fillId="3" borderId="0" xfId="0" applyFont="1" applyFill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7" fontId="6" fillId="3" borderId="0" xfId="0" applyNumberFormat="1" applyFont="1" applyFill="1"/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5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7" fontId="0" fillId="0" borderId="26" xfId="0" applyNumberFormat="1" applyBorder="1" applyAlignment="1">
      <alignment horizontal="center" vertical="center" wrapText="1"/>
    </xf>
    <xf numFmtId="167" fontId="0" fillId="0" borderId="43" xfId="0" applyNumberFormat="1" applyBorder="1" applyAlignment="1">
      <alignment horizontal="center" vertical="center" wrapText="1"/>
    </xf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39" xfId="0" applyNumberFormat="1" applyFill="1" applyBorder="1"/>
    <xf numFmtId="165" fontId="1" fillId="0" borderId="39" xfId="0" applyNumberFormat="1" applyFont="1" applyBorder="1"/>
    <xf numFmtId="0" fontId="0" fillId="3" borderId="47" xfId="0" applyFill="1" applyBorder="1"/>
    <xf numFmtId="165" fontId="0" fillId="3" borderId="47" xfId="2" applyNumberFormat="1" applyFont="1" applyFill="1" applyBorder="1"/>
    <xf numFmtId="164" fontId="8" fillId="3" borderId="47" xfId="2" applyFont="1" applyFill="1" applyBorder="1"/>
    <xf numFmtId="165" fontId="8" fillId="3" borderId="47" xfId="2" applyNumberFormat="1" applyFont="1" applyFill="1" applyBorder="1"/>
    <xf numFmtId="164" fontId="0" fillId="3" borderId="47" xfId="0" applyNumberFormat="1" applyFill="1" applyBorder="1"/>
    <xf numFmtId="0" fontId="0" fillId="3" borderId="49" xfId="0" applyFill="1" applyBorder="1"/>
    <xf numFmtId="43" fontId="0" fillId="3" borderId="47" xfId="0" applyNumberFormat="1" applyFill="1" applyBorder="1"/>
    <xf numFmtId="165" fontId="0" fillId="3" borderId="47" xfId="0" applyNumberFormat="1" applyFill="1" applyBorder="1"/>
    <xf numFmtId="165" fontId="0" fillId="0" borderId="47" xfId="2" applyNumberFormat="1" applyFont="1" applyBorder="1"/>
    <xf numFmtId="167" fontId="0" fillId="3" borderId="49" xfId="0" applyNumberFormat="1" applyFill="1" applyBorder="1"/>
    <xf numFmtId="165" fontId="0" fillId="0" borderId="0" xfId="2" applyNumberFormat="1" applyFont="1" applyBorder="1" applyAlignment="1">
      <alignment horizontal="right"/>
    </xf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47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5" fontId="9" fillId="0" borderId="53" xfId="2" applyNumberFormat="1" applyFont="1" applyBorder="1" applyAlignment="1">
      <alignment horizontal="center" vertical="center" wrapText="1"/>
    </xf>
    <xf numFmtId="165" fontId="8" fillId="0" borderId="54" xfId="2" applyNumberFormat="1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165" fontId="8" fillId="0" borderId="44" xfId="2" applyNumberFormat="1" applyFont="1" applyBorder="1" applyAlignment="1">
      <alignment horizontal="center" vertical="center" wrapText="1"/>
    </xf>
    <xf numFmtId="168" fontId="0" fillId="0" borderId="35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0" fillId="3" borderId="14" xfId="2" applyNumberFormat="1" applyFont="1" applyFill="1" applyBorder="1"/>
    <xf numFmtId="0" fontId="0" fillId="3" borderId="57" xfId="0" applyFill="1" applyBorder="1"/>
    <xf numFmtId="0" fontId="0" fillId="3" borderId="15" xfId="0" applyFill="1" applyBorder="1"/>
    <xf numFmtId="0" fontId="0" fillId="3" borderId="58" xfId="0" applyFill="1" applyBorder="1"/>
    <xf numFmtId="0" fontId="0" fillId="3" borderId="59" xfId="0" applyFill="1" applyBorder="1"/>
    <xf numFmtId="165" fontId="0" fillId="3" borderId="48" xfId="2" applyNumberFormat="1" applyFont="1" applyFill="1" applyBorder="1"/>
    <xf numFmtId="0" fontId="0" fillId="0" borderId="60" xfId="0" applyBorder="1" applyAlignment="1">
      <alignment horizontal="center" vertical="center" wrapText="1"/>
    </xf>
    <xf numFmtId="165" fontId="0" fillId="0" borderId="21" xfId="0" applyNumberFormat="1" applyBorder="1"/>
    <xf numFmtId="0" fontId="0" fillId="3" borderId="50" xfId="0" applyFill="1" applyBorder="1"/>
    <xf numFmtId="43" fontId="0" fillId="3" borderId="5" xfId="0" applyNumberFormat="1" applyFill="1" applyBorder="1"/>
    <xf numFmtId="0" fontId="0" fillId="3" borderId="61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0" fontId="0" fillId="3" borderId="52" xfId="0" applyFill="1" applyBorder="1" applyAlignment="1">
      <alignment wrapText="1"/>
    </xf>
    <xf numFmtId="43" fontId="0" fillId="0" borderId="0" xfId="0" applyNumberFormat="1"/>
    <xf numFmtId="168" fontId="0" fillId="0" borderId="41" xfId="2" applyNumberFormat="1" applyFont="1" applyBorder="1" applyAlignment="1">
      <alignment horizontal="center" vertical="center" wrapText="1"/>
    </xf>
    <xf numFmtId="168" fontId="0" fillId="0" borderId="25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47" xfId="2" applyNumberFormat="1" applyFont="1" applyBorder="1"/>
    <xf numFmtId="164" fontId="5" fillId="0" borderId="0" xfId="2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8" fillId="0" borderId="0" xfId="5" applyFont="1"/>
    <xf numFmtId="9" fontId="0" fillId="0" borderId="0" xfId="0" applyNumberFormat="1"/>
    <xf numFmtId="0" fontId="1" fillId="0" borderId="11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1" fillId="0" borderId="10" xfId="2" applyNumberFormat="1" applyFont="1" applyBorder="1"/>
    <xf numFmtId="164" fontId="0" fillId="3" borderId="49" xfId="0" applyNumberFormat="1" applyFill="1" applyBorder="1"/>
    <xf numFmtId="0" fontId="0" fillId="3" borderId="57" xfId="0" applyFill="1" applyBorder="1" applyAlignment="1">
      <alignment wrapText="1"/>
    </xf>
    <xf numFmtId="0" fontId="7" fillId="3" borderId="57" xfId="4" quotePrefix="1" applyFill="1" applyBorder="1" applyAlignment="1"/>
    <xf numFmtId="165" fontId="19" fillId="0" borderId="0" xfId="2" applyNumberFormat="1" applyFont="1" applyBorder="1"/>
    <xf numFmtId="0" fontId="17" fillId="3" borderId="0" xfId="0" applyFont="1" applyFill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8" fontId="17" fillId="0" borderId="0" xfId="2" applyNumberFormat="1" applyFont="1"/>
    <xf numFmtId="167" fontId="17" fillId="0" borderId="0" xfId="0" applyNumberFormat="1" applyFont="1"/>
    <xf numFmtId="168" fontId="0" fillId="0" borderId="16" xfId="2" applyNumberFormat="1" applyFont="1" applyBorder="1"/>
    <xf numFmtId="168" fontId="0" fillId="0" borderId="14" xfId="2" applyNumberFormat="1" applyFont="1" applyBorder="1"/>
    <xf numFmtId="168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68" fontId="17" fillId="3" borderId="14" xfId="2" applyNumberFormat="1" applyFont="1" applyFill="1" applyBorder="1" applyAlignment="1">
      <alignment vertical="top" wrapText="1"/>
    </xf>
    <xf numFmtId="168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164" fontId="0" fillId="3" borderId="64" xfId="2" applyFont="1" applyFill="1" applyBorder="1"/>
    <xf numFmtId="164" fontId="0" fillId="3" borderId="46" xfId="2" applyFont="1" applyFill="1" applyBorder="1"/>
    <xf numFmtId="164" fontId="0" fillId="3" borderId="45" xfId="2" applyFont="1" applyFill="1" applyBorder="1"/>
    <xf numFmtId="164" fontId="17" fillId="0" borderId="0" xfId="0" applyNumberFormat="1" applyFont="1"/>
    <xf numFmtId="164" fontId="0" fillId="0" borderId="0" xfId="0" applyNumberFormat="1"/>
    <xf numFmtId="164" fontId="0" fillId="0" borderId="0" xfId="2" applyFont="1" applyBorder="1"/>
    <xf numFmtId="164" fontId="0" fillId="0" borderId="0" xfId="2" applyFont="1" applyBorder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9" fontId="17" fillId="0" borderId="0" xfId="5" applyFont="1"/>
    <xf numFmtId="164" fontId="0" fillId="3" borderId="0" xfId="2" applyFont="1" applyFill="1" applyBorder="1"/>
    <xf numFmtId="0" fontId="0" fillId="0" borderId="65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1" fontId="0" fillId="0" borderId="9" xfId="2" applyNumberFormat="1" applyFont="1" applyBorder="1"/>
    <xf numFmtId="1" fontId="0" fillId="0" borderId="8" xfId="2" applyNumberFormat="1" applyFont="1" applyBorder="1"/>
    <xf numFmtId="1" fontId="0" fillId="0" borderId="45" xfId="2" applyNumberFormat="1" applyFont="1" applyBorder="1"/>
    <xf numFmtId="1" fontId="2" fillId="0" borderId="45" xfId="2" applyNumberFormat="1" applyFont="1" applyBorder="1"/>
    <xf numFmtId="1" fontId="0" fillId="0" borderId="10" xfId="2" applyNumberFormat="1" applyFont="1" applyBorder="1"/>
    <xf numFmtId="1" fontId="0" fillId="0" borderId="21" xfId="0" applyNumberFormat="1" applyBorder="1"/>
    <xf numFmtId="1" fontId="2" fillId="0" borderId="8" xfId="2" applyNumberFormat="1" applyFont="1" applyBorder="1"/>
    <xf numFmtId="1" fontId="0" fillId="3" borderId="14" xfId="2" applyNumberFormat="1" applyFont="1" applyFill="1" applyBorder="1"/>
    <xf numFmtId="1" fontId="0" fillId="3" borderId="0" xfId="2" applyNumberFormat="1" applyFont="1" applyFill="1" applyBorder="1"/>
    <xf numFmtId="1" fontId="0" fillId="3" borderId="0" xfId="0" applyNumberFormat="1" applyFill="1"/>
    <xf numFmtId="1" fontId="8" fillId="3" borderId="0" xfId="2" applyNumberFormat="1" applyFont="1" applyFill="1" applyBorder="1"/>
    <xf numFmtId="1" fontId="1" fillId="0" borderId="39" xfId="0" applyNumberFormat="1" applyFont="1" applyBorder="1"/>
    <xf numFmtId="1" fontId="9" fillId="6" borderId="23" xfId="2" applyNumberFormat="1" applyFont="1" applyFill="1" applyBorder="1"/>
    <xf numFmtId="1" fontId="1" fillId="6" borderId="23" xfId="2" applyNumberFormat="1" applyFont="1" applyFill="1" applyBorder="1"/>
    <xf numFmtId="1" fontId="1" fillId="0" borderId="23" xfId="2" applyNumberFormat="1" applyFont="1" applyBorder="1"/>
    <xf numFmtId="1" fontId="9" fillId="6" borderId="23" xfId="0" applyNumberFormat="1" applyFont="1" applyFill="1" applyBorder="1"/>
    <xf numFmtId="1" fontId="9" fillId="12" borderId="7" xfId="1" applyNumberFormat="1" applyFont="1" applyFill="1" applyBorder="1"/>
    <xf numFmtId="1" fontId="1" fillId="5" borderId="6" xfId="0" applyNumberFormat="1" applyFont="1" applyFill="1" applyBorder="1"/>
    <xf numFmtId="1" fontId="1" fillId="3" borderId="6" xfId="0" applyNumberFormat="1" applyFont="1" applyFill="1" applyBorder="1"/>
    <xf numFmtId="164" fontId="14" fillId="3" borderId="8" xfId="2" applyFont="1" applyFill="1" applyBorder="1" applyProtection="1">
      <protection locked="0"/>
    </xf>
    <xf numFmtId="1" fontId="4" fillId="0" borderId="0" xfId="0" applyNumberFormat="1" applyFont="1" applyAlignment="1">
      <alignment horizontal="center"/>
    </xf>
    <xf numFmtId="1" fontId="0" fillId="3" borderId="23" xfId="0" applyNumberFormat="1" applyFill="1" applyBorder="1"/>
    <xf numFmtId="1" fontId="0" fillId="3" borderId="23" xfId="2" applyNumberFormat="1" applyFont="1" applyFill="1" applyBorder="1"/>
    <xf numFmtId="1" fontId="1" fillId="12" borderId="7" xfId="0" applyNumberFormat="1" applyFont="1" applyFill="1" applyBorder="1"/>
    <xf numFmtId="1" fontId="9" fillId="6" borderId="39" xfId="0" applyNumberFormat="1" applyFont="1" applyFill="1" applyBorder="1"/>
    <xf numFmtId="1" fontId="9" fillId="13" borderId="6" xfId="2" applyNumberFormat="1" applyFont="1" applyFill="1" applyBorder="1"/>
    <xf numFmtId="1" fontId="21" fillId="14" borderId="23" xfId="0" applyNumberFormat="1" applyFont="1" applyFill="1" applyBorder="1"/>
    <xf numFmtId="1" fontId="21" fillId="14" borderId="31" xfId="2" applyNumberFormat="1" applyFont="1" applyFill="1" applyBorder="1"/>
    <xf numFmtId="1" fontId="20" fillId="3" borderId="33" xfId="2" applyNumberFormat="1" applyFont="1" applyFill="1" applyBorder="1"/>
    <xf numFmtId="166" fontId="0" fillId="0" borderId="13" xfId="0" applyNumberFormat="1" applyBorder="1" applyAlignment="1">
      <alignment horizontal="center" vertical="center" wrapText="1"/>
    </xf>
    <xf numFmtId="166" fontId="0" fillId="0" borderId="24" xfId="0" applyNumberFormat="1" applyBorder="1" applyAlignment="1">
      <alignment horizontal="center" vertical="center" wrapText="1"/>
    </xf>
    <xf numFmtId="3" fontId="22" fillId="15" borderId="8" xfId="0" applyNumberFormat="1" applyFont="1" applyFill="1" applyBorder="1"/>
    <xf numFmtId="3" fontId="22" fillId="15" borderId="13" xfId="0" applyNumberFormat="1" applyFont="1" applyFill="1" applyBorder="1"/>
    <xf numFmtId="4" fontId="23" fillId="15" borderId="8" xfId="0" applyNumberFormat="1" applyFont="1" applyFill="1" applyBorder="1"/>
    <xf numFmtId="4" fontId="23" fillId="15" borderId="13" xfId="0" applyNumberFormat="1" applyFont="1" applyFill="1" applyBorder="1"/>
    <xf numFmtId="1" fontId="23" fillId="16" borderId="45" xfId="0" applyNumberFormat="1" applyFont="1" applyFill="1" applyBorder="1"/>
    <xf numFmtId="1" fontId="23" fillId="16" borderId="66" xfId="0" applyNumberFormat="1" applyFont="1" applyFill="1" applyBorder="1"/>
    <xf numFmtId="1" fontId="23" fillId="17" borderId="45" xfId="0" applyNumberFormat="1" applyFont="1" applyFill="1" applyBorder="1"/>
    <xf numFmtId="1" fontId="23" fillId="17" borderId="66" xfId="0" applyNumberFormat="1" applyFont="1" applyFill="1" applyBorder="1"/>
    <xf numFmtId="0" fontId="23" fillId="16" borderId="64" xfId="0" applyFont="1" applyFill="1" applyBorder="1"/>
    <xf numFmtId="0" fontId="23" fillId="16" borderId="67" xfId="0" applyFont="1" applyFill="1" applyBorder="1"/>
    <xf numFmtId="0" fontId="23" fillId="17" borderId="64" xfId="0" applyFont="1" applyFill="1" applyBorder="1"/>
    <xf numFmtId="0" fontId="23" fillId="17" borderId="67" xfId="0" applyFont="1" applyFill="1" applyBorder="1"/>
    <xf numFmtId="0" fontId="24" fillId="0" borderId="8" xfId="0" applyFont="1" applyBorder="1"/>
    <xf numFmtId="0" fontId="24" fillId="0" borderId="10" xfId="0" applyFont="1" applyBorder="1"/>
    <xf numFmtId="0" fontId="24" fillId="0" borderId="13" xfId="0" applyFont="1" applyBorder="1"/>
    <xf numFmtId="0" fontId="24" fillId="0" borderId="24" xfId="0" applyFont="1" applyBorder="1"/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8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39" xfId="2" applyNumberFormat="1" applyFont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168" fontId="1" fillId="4" borderId="1" xfId="2" applyNumberFormat="1" applyFont="1" applyFill="1" applyBorder="1" applyAlignment="1">
      <alignment horizontal="center" vertical="center"/>
    </xf>
    <xf numFmtId="168" fontId="1" fillId="4" borderId="40" xfId="2" applyNumberFormat="1" applyFont="1" applyFill="1" applyBorder="1" applyAlignment="1">
      <alignment horizontal="center" vertical="center"/>
    </xf>
    <xf numFmtId="168" fontId="1" fillId="4" borderId="2" xfId="2" applyNumberFormat="1" applyFont="1" applyFill="1" applyBorder="1" applyAlignment="1">
      <alignment horizontal="center" vertical="center"/>
    </xf>
    <xf numFmtId="168" fontId="1" fillId="0" borderId="35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17" fontId="6" fillId="3" borderId="56" xfId="0" applyNumberFormat="1" applyFont="1" applyFill="1" applyBorder="1" applyAlignment="1">
      <alignment horizontal="center"/>
    </xf>
    <xf numFmtId="0" fontId="6" fillId="3" borderId="56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 xr:uid="{00000000-0005-0000-0000-000001000000}"/>
    <cellStyle name="Comma 10" xfId="3" xr:uid="{00000000-0005-0000-0000-000002000000}"/>
    <cellStyle name="Comma 2" xfId="6" xr:uid="{00000000-0005-0000-0000-000003000000}"/>
    <cellStyle name="Comma 3" xfId="10" xr:uid="{00000000-0005-0000-0000-000004000000}"/>
    <cellStyle name="Currency" xfId="1" builtinId="4"/>
    <cellStyle name="Hyperlink" xfId="4" builtinId="8"/>
    <cellStyle name="Hyperlink 2" xfId="7" xr:uid="{00000000-0005-0000-0000-000007000000}"/>
    <cellStyle name="Normal" xfId="0" builtinId="0"/>
    <cellStyle name="Normal 2" xfId="9" xr:uid="{00000000-0005-0000-0000-000009000000}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9</xdr:row>
      <xdr:rowOff>261476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Y32"/>
  <sheetViews>
    <sheetView workbookViewId="0">
      <selection activeCell="P21" sqref="P21"/>
    </sheetView>
  </sheetViews>
  <sheetFormatPr defaultColWidth="11.5703125" defaultRowHeight="15"/>
  <cols>
    <col min="1" max="1" width="18.42578125" style="122" customWidth="1"/>
    <col min="2" max="2" width="11.5703125" style="123"/>
    <col min="3" max="3" width="11.5703125" style="124"/>
    <col min="4" max="4" width="13.42578125" style="123" customWidth="1"/>
    <col min="5" max="5" width="12.5703125" style="121" customWidth="1"/>
    <col min="6" max="6" width="12.5703125" style="125" customWidth="1"/>
    <col min="7" max="7" width="11.5703125" style="121"/>
    <col min="8" max="8" width="11.5703125" style="125"/>
    <col min="9" max="9" width="11.5703125" style="126"/>
    <col min="10" max="10" width="11.5703125" style="127"/>
    <col min="11" max="11" width="11.5703125" style="121"/>
    <col min="12" max="12" width="11.5703125" style="127"/>
    <col min="13" max="25" width="11.5703125" style="121"/>
  </cols>
  <sheetData>
    <row r="1" spans="1:15" s="115" customFormat="1" ht="60">
      <c r="A1" s="111" t="s">
        <v>0</v>
      </c>
      <c r="B1" s="111" t="s">
        <v>1</v>
      </c>
      <c r="C1" s="112" t="s">
        <v>2</v>
      </c>
      <c r="D1" s="111" t="s">
        <v>3</v>
      </c>
      <c r="E1" s="110" t="s">
        <v>4</v>
      </c>
      <c r="F1" s="113" t="s">
        <v>5</v>
      </c>
      <c r="G1" s="110" t="s">
        <v>6</v>
      </c>
      <c r="H1" s="113" t="s">
        <v>7</v>
      </c>
      <c r="I1" s="110" t="s">
        <v>8</v>
      </c>
      <c r="J1" s="113" t="s">
        <v>9</v>
      </c>
      <c r="K1" s="110" t="s">
        <v>10</v>
      </c>
      <c r="L1" s="114" t="s">
        <v>11</v>
      </c>
      <c r="M1" s="110" t="s">
        <v>12</v>
      </c>
      <c r="N1" s="110" t="s">
        <v>13</v>
      </c>
    </row>
    <row r="2" spans="1:15">
      <c r="A2" s="116" t="s">
        <v>14</v>
      </c>
      <c r="B2" s="117">
        <v>1</v>
      </c>
      <c r="C2" s="118">
        <v>4</v>
      </c>
      <c r="D2" s="117">
        <v>2022</v>
      </c>
      <c r="E2" s="119">
        <f>'FS Jimbaran June 2022'!P12</f>
        <v>19059.999999999662</v>
      </c>
      <c r="F2" s="128">
        <f>'FS Jimbaran June 2022'!O12/'FS Jimbaran June 2022'!P12</f>
        <v>1122.7290031479549</v>
      </c>
      <c r="G2" s="119">
        <f>'FS Jimbaran June 2022'!AG12</f>
        <v>550.18888000000015</v>
      </c>
      <c r="H2" s="128">
        <f>'FS Jimbaran June 2022'!AH12/'FS Jimbaran June 2022'!AG12</f>
        <v>4710.8004073073944</v>
      </c>
      <c r="I2" s="119">
        <f>'FS Jimbaran June 2022'!AJ12</f>
        <v>405.22999999999956</v>
      </c>
      <c r="J2" s="120">
        <f>'FS Jimbaran June 2022'!AK12/'FS Jimbaran June 2022'!AJ12</f>
        <v>19000</v>
      </c>
      <c r="K2" s="119">
        <f>'FS Jimbaran June 2022'!V12</f>
        <v>861.52</v>
      </c>
      <c r="L2" s="128">
        <f>'FS Jimbaran June 2022'!AA12/'FS Jimbaran June 2022'!V12</f>
        <v>5450.3992148760344</v>
      </c>
      <c r="M2" s="119">
        <f>'RNs &amp; Covers June 2022'!B6</f>
        <v>14</v>
      </c>
      <c r="N2" s="119">
        <f>'RNs &amp; Covers June 2022'!C6</f>
        <v>80</v>
      </c>
    </row>
    <row r="3" spans="1:15">
      <c r="A3" s="116" t="s">
        <v>14</v>
      </c>
      <c r="B3" s="117">
        <f>B2+1</f>
        <v>2</v>
      </c>
      <c r="C3" s="118">
        <v>4</v>
      </c>
      <c r="D3" s="117">
        <v>2022</v>
      </c>
      <c r="E3" s="119">
        <f>'FS Jimbaran June 2022'!P13</f>
        <v>19740.000000000491</v>
      </c>
      <c r="F3" s="128">
        <f>'FS Jimbaran June 2022'!O13/'FS Jimbaran June 2022'!P13</f>
        <v>1135.4751367781096</v>
      </c>
      <c r="G3" s="119">
        <f>'FS Jimbaran June 2022'!AG13</f>
        <v>49.987479999999408</v>
      </c>
      <c r="H3" s="128">
        <f>'FS Jimbaran June 2022'!AH13/'FS Jimbaran June 2022'!AG13</f>
        <v>41937.641185353306</v>
      </c>
      <c r="I3" s="119">
        <f>'FS Jimbaran June 2022'!AJ13</f>
        <v>412.20000000001164</v>
      </c>
      <c r="J3" s="120">
        <f>'FS Jimbaran June 2022'!AK13/'FS Jimbaran June 2022'!AJ13</f>
        <v>19000</v>
      </c>
      <c r="K3" s="119">
        <f>'FS Jimbaran June 2022'!V13</f>
        <v>847.28</v>
      </c>
      <c r="L3" s="128">
        <f>'FS Jimbaran June 2022'!AA13/'FS Jimbaran June 2022'!V13</f>
        <v>5600.4111764705885</v>
      </c>
      <c r="M3" s="119">
        <f>'RNs &amp; Covers June 2022'!B7</f>
        <v>16</v>
      </c>
      <c r="N3" s="119">
        <f>'RNs &amp; Covers June 2022'!C7</f>
        <v>80</v>
      </c>
    </row>
    <row r="4" spans="1:15">
      <c r="A4" s="116" t="s">
        <v>14</v>
      </c>
      <c r="B4" s="117">
        <f t="shared" ref="B4:B31" si="0">B3+1</f>
        <v>3</v>
      </c>
      <c r="C4" s="118">
        <v>4</v>
      </c>
      <c r="D4" s="117">
        <v>2022</v>
      </c>
      <c r="E4" s="119">
        <f>'FS Jimbaran June 2022'!P14</f>
        <v>19499.999999999629</v>
      </c>
      <c r="F4" s="128">
        <f>'FS Jimbaran June 2022'!O14/'FS Jimbaran June 2022'!P14</f>
        <v>1127.6722769230789</v>
      </c>
      <c r="G4" s="119">
        <f>'FS Jimbaran June 2022'!AG14</f>
        <v>82.281720000000945</v>
      </c>
      <c r="H4" s="128">
        <f>'FS Jimbaran June 2022'!AH14/'FS Jimbaran June 2022'!AG14</f>
        <v>29758.663285113289</v>
      </c>
      <c r="I4" s="119">
        <f>'FS Jimbaran June 2022'!AJ14</f>
        <v>339.78999999999724</v>
      </c>
      <c r="J4" s="120">
        <f>'FS Jimbaran June 2022'!AK14/'FS Jimbaran June 2022'!AJ14</f>
        <v>19000</v>
      </c>
      <c r="K4" s="119">
        <f>'FS Jimbaran June 2022'!V14</f>
        <v>826.81</v>
      </c>
      <c r="L4" s="128">
        <f>'FS Jimbaran June 2022'!AA14/'FS Jimbaran June 2022'!V14</f>
        <v>6003.3210979547912</v>
      </c>
      <c r="M4" s="119">
        <f>'RNs &amp; Covers June 2022'!B8</f>
        <v>15</v>
      </c>
      <c r="N4" s="119">
        <f>'RNs &amp; Covers June 2022'!C8</f>
        <v>82</v>
      </c>
    </row>
    <row r="5" spans="1:15">
      <c r="A5" s="116" t="s">
        <v>14</v>
      </c>
      <c r="B5" s="117">
        <f t="shared" si="0"/>
        <v>4</v>
      </c>
      <c r="C5" s="118">
        <v>4</v>
      </c>
      <c r="D5" s="117">
        <v>2022</v>
      </c>
      <c r="E5" s="119">
        <f>'FS Jimbaran June 2022'!P15</f>
        <v>19819.99999999968</v>
      </c>
      <c r="F5" s="128">
        <f>'FS Jimbaran June 2022'!O15/'FS Jimbaran June 2022'!P15</f>
        <v>1140.2986680121101</v>
      </c>
      <c r="G5" s="119">
        <f>'FS Jimbaran June 2022'!AG15</f>
        <v>54.740520000000579</v>
      </c>
      <c r="H5" s="128">
        <f>'FS Jimbaran June 2022'!AH15/'FS Jimbaran June 2022'!AG15</f>
        <v>40898.752879950291</v>
      </c>
      <c r="I5" s="119">
        <f>'FS Jimbaran June 2022'!AJ15</f>
        <v>338.7300000000032</v>
      </c>
      <c r="J5" s="120">
        <f>'FS Jimbaran June 2022'!AK15/'FS Jimbaran June 2022'!AJ15</f>
        <v>19000</v>
      </c>
      <c r="K5" s="119">
        <f>'FS Jimbaran June 2022'!V15</f>
        <v>737.81</v>
      </c>
      <c r="L5" s="128">
        <f>'FS Jimbaran June 2022'!AA15/'FS Jimbaran June 2022'!V15</f>
        <v>5933.9407237635705</v>
      </c>
      <c r="M5" s="119">
        <f>'RNs &amp; Covers June 2022'!B9</f>
        <v>18</v>
      </c>
      <c r="N5" s="119">
        <f>'RNs &amp; Covers June 2022'!C9</f>
        <v>108</v>
      </c>
    </row>
    <row r="6" spans="1:15">
      <c r="A6" s="116" t="s">
        <v>14</v>
      </c>
      <c r="B6" s="117">
        <f t="shared" si="0"/>
        <v>5</v>
      </c>
      <c r="C6" s="118">
        <v>4</v>
      </c>
      <c r="D6" s="117">
        <v>2022</v>
      </c>
      <c r="E6" s="119">
        <f>'FS Jimbaran June 2022'!P16</f>
        <v>19840.000000000342</v>
      </c>
      <c r="F6" s="128">
        <f>'FS Jimbaran June 2022'!O16/'FS Jimbaran June 2022'!P16</f>
        <v>1133.9285080645136</v>
      </c>
      <c r="G6" s="119">
        <f>'FS Jimbaran June 2022'!AG16</f>
        <v>91.546119999999846</v>
      </c>
      <c r="H6" s="128">
        <f>'FS Jimbaran June 2022'!AH16/'FS Jimbaran June 2022'!AG16</f>
        <v>22033.058309844298</v>
      </c>
      <c r="I6" s="119">
        <f>'FS Jimbaran June 2022'!AJ16</f>
        <v>398.31999999999971</v>
      </c>
      <c r="J6" s="120">
        <f>'FS Jimbaran June 2022'!AK16/'FS Jimbaran June 2022'!AJ16</f>
        <v>19000</v>
      </c>
      <c r="K6" s="119">
        <f>'FS Jimbaran June 2022'!V16</f>
        <v>722.68000000000006</v>
      </c>
      <c r="L6" s="128">
        <f>'FS Jimbaran June 2022'!AA16/'FS Jimbaran June 2022'!V16</f>
        <v>6020.0058620689651</v>
      </c>
      <c r="M6" s="119">
        <f>'RNs &amp; Covers June 2022'!B10</f>
        <v>16</v>
      </c>
      <c r="N6" s="119">
        <f>'RNs &amp; Covers June 2022'!C10</f>
        <v>112</v>
      </c>
    </row>
    <row r="7" spans="1:15">
      <c r="A7" s="116" t="s">
        <v>14</v>
      </c>
      <c r="B7" s="117">
        <f t="shared" si="0"/>
        <v>6</v>
      </c>
      <c r="C7" s="118">
        <v>4</v>
      </c>
      <c r="D7" s="117">
        <v>2022</v>
      </c>
      <c r="E7" s="119">
        <f>'FS Jimbaran June 2022'!P17</f>
        <v>20580.00000000004</v>
      </c>
      <c r="F7" s="128">
        <f>'FS Jimbaran June 2022'!O17/'FS Jimbaran June 2022'!P17</f>
        <v>1131.9092419825113</v>
      </c>
      <c r="G7" s="119">
        <f>'FS Jimbaran June 2022'!AG17</f>
        <v>43.13988000000014</v>
      </c>
      <c r="H7" s="128">
        <f>'FS Jimbaran June 2022'!AH17/'FS Jimbaran June 2022'!AG17</f>
        <v>45045.674675033719</v>
      </c>
      <c r="I7" s="119">
        <f>'FS Jimbaran June 2022'!AJ17</f>
        <v>375.5</v>
      </c>
      <c r="J7" s="120">
        <f>'FS Jimbaran June 2022'!AK17/'FS Jimbaran June 2022'!AJ17</f>
        <v>19000</v>
      </c>
      <c r="K7" s="119">
        <f>'FS Jimbaran June 2022'!V17</f>
        <v>809.9</v>
      </c>
      <c r="L7" s="128">
        <f>'FS Jimbaran June 2022'!AA17/'FS Jimbaran June 2022'!V17</f>
        <v>5889.2018461538473</v>
      </c>
      <c r="M7" s="119">
        <f>'RNs &amp; Covers June 2022'!B11</f>
        <v>12</v>
      </c>
      <c r="N7" s="119">
        <f>'RNs &amp; Covers June 2022'!C11</f>
        <v>76</v>
      </c>
    </row>
    <row r="8" spans="1:15">
      <c r="A8" s="116" t="s">
        <v>14</v>
      </c>
      <c r="B8" s="117">
        <f t="shared" si="0"/>
        <v>7</v>
      </c>
      <c r="C8" s="118">
        <v>4</v>
      </c>
      <c r="D8" s="117">
        <v>2022</v>
      </c>
      <c r="E8" s="119">
        <f>'FS Jimbaran June 2022'!P18</f>
        <v>20339.999999999971</v>
      </c>
      <c r="F8" s="128">
        <f>'FS Jimbaran June 2022'!O18/'FS Jimbaran June 2022'!P18</f>
        <v>1132.5342772861334</v>
      </c>
      <c r="G8" s="119">
        <f>'FS Jimbaran June 2022'!AG18</f>
        <v>545.51639999999884</v>
      </c>
      <c r="H8" s="128">
        <f>'FS Jimbaran June 2022'!AH18/'FS Jimbaran June 2022'!AG18</f>
        <v>3535.9468569597616</v>
      </c>
      <c r="I8" s="119">
        <f>'FS Jimbaran June 2022'!AJ18</f>
        <v>433.61000000000058</v>
      </c>
      <c r="J8" s="120">
        <f>'FS Jimbaran June 2022'!AK18/'FS Jimbaran June 2022'!AJ18</f>
        <v>19000</v>
      </c>
      <c r="K8" s="119">
        <f>'FS Jimbaran June 2022'!V18</f>
        <v>815.24</v>
      </c>
      <c r="L8" s="128">
        <f>'FS Jimbaran June 2022'!AA18/'FS Jimbaran June 2022'!V18</f>
        <v>5713.6094323144107</v>
      </c>
      <c r="M8" s="119">
        <f>'RNs &amp; Covers June 2022'!B12</f>
        <v>14</v>
      </c>
      <c r="N8" s="119">
        <f>'RNs &amp; Covers June 2022'!C12</f>
        <v>90</v>
      </c>
    </row>
    <row r="9" spans="1:15">
      <c r="A9" s="116" t="s">
        <v>14</v>
      </c>
      <c r="B9" s="117">
        <f t="shared" si="0"/>
        <v>8</v>
      </c>
      <c r="C9" s="118">
        <v>4</v>
      </c>
      <c r="D9" s="117">
        <v>2022</v>
      </c>
      <c r="E9" s="119">
        <f>'FS Jimbaran June 2022'!P19</f>
        <v>21959.999999999694</v>
      </c>
      <c r="F9" s="128">
        <f>'FS Jimbaran June 2022'!O19/'FS Jimbaran June 2022'!P19</f>
        <v>1130.5850000000009</v>
      </c>
      <c r="G9" s="119">
        <f>'FS Jimbaran June 2022'!AG19</f>
        <v>104.392</v>
      </c>
      <c r="H9" s="128">
        <f>'FS Jimbaran June 2022'!AH19/'FS Jimbaran June 2022'!AG19</f>
        <v>18099.883132807114</v>
      </c>
      <c r="I9" s="119">
        <f>'FS Jimbaran June 2022'!AJ19</f>
        <v>341.16999999999825</v>
      </c>
      <c r="J9" s="120">
        <f>'FS Jimbaran June 2022'!AK19/'FS Jimbaran June 2022'!AJ19</f>
        <v>19000</v>
      </c>
      <c r="K9" s="119">
        <f>'FS Jimbaran June 2022'!V19</f>
        <v>869.53000000000009</v>
      </c>
      <c r="L9" s="128">
        <f>'FS Jimbaran June 2022'!AA19/'FS Jimbaran June 2022'!V19</f>
        <v>5495.4906243602863</v>
      </c>
      <c r="M9" s="119">
        <f>'RNs &amp; Covers June 2022'!B13</f>
        <v>19</v>
      </c>
      <c r="N9" s="119">
        <f>'RNs &amp; Covers June 2022'!C13</f>
        <v>105</v>
      </c>
      <c r="O9" s="121" t="s">
        <v>15</v>
      </c>
    </row>
    <row r="10" spans="1:15">
      <c r="A10" s="116" t="s">
        <v>14</v>
      </c>
      <c r="B10" s="117">
        <f t="shared" si="0"/>
        <v>9</v>
      </c>
      <c r="C10" s="118">
        <v>4</v>
      </c>
      <c r="D10" s="117">
        <v>2022</v>
      </c>
      <c r="E10" s="119">
        <f>'FS Jimbaran June 2022'!P20</f>
        <v>20440.000000000025</v>
      </c>
      <c r="F10" s="128">
        <f>'FS Jimbaran June 2022'!O20/'FS Jimbaran June 2022'!P20</f>
        <v>1131.5541780821961</v>
      </c>
      <c r="G10" s="119">
        <f>'FS Jimbaran June 2022'!AG20</f>
        <v>34.117160000001022</v>
      </c>
      <c r="H10" s="128">
        <f>'FS Jimbaran June 2022'!AH20/'FS Jimbaran June 2022'!AG20</f>
        <v>50186.768183516702</v>
      </c>
      <c r="I10" s="119">
        <f>'FS Jimbaran June 2022'!AJ20</f>
        <v>392.36000000000058</v>
      </c>
      <c r="J10" s="120">
        <f>'FS Jimbaran June 2022'!AK20/'FS Jimbaran June 2022'!AJ20</f>
        <v>19000</v>
      </c>
      <c r="K10" s="119">
        <f>'FS Jimbaran June 2022'!V20</f>
        <v>835.71</v>
      </c>
      <c r="L10" s="128">
        <f>'FS Jimbaran June 2022'!AA20/'FS Jimbaran June 2022'!V20</f>
        <v>5809.1941001064961</v>
      </c>
      <c r="M10" s="119">
        <f>'RNs &amp; Covers June 2022'!B14</f>
        <v>24</v>
      </c>
      <c r="N10" s="119">
        <f>'RNs &amp; Covers June 2022'!C14</f>
        <v>124</v>
      </c>
    </row>
    <row r="11" spans="1:15">
      <c r="A11" s="116" t="s">
        <v>14</v>
      </c>
      <c r="B11" s="117">
        <f t="shared" si="0"/>
        <v>10</v>
      </c>
      <c r="C11" s="118">
        <v>4</v>
      </c>
      <c r="D11" s="117">
        <v>2022</v>
      </c>
      <c r="E11" s="119">
        <f>'FS Jimbaran June 2022'!P21</f>
        <v>20020.000000000065</v>
      </c>
      <c r="F11" s="128">
        <f>'FS Jimbaran June 2022'!O21/'FS Jimbaran June 2022'!P21</f>
        <v>1135.6329170829133</v>
      </c>
      <c r="G11" s="119">
        <f>'FS Jimbaran June 2022'!AG21</f>
        <v>64.76679999999962</v>
      </c>
      <c r="H11" s="128">
        <f>'FS Jimbaran June 2022'!AH21/'FS Jimbaran June 2022'!AG21</f>
        <v>35211.26564844972</v>
      </c>
      <c r="I11" s="119">
        <f>'FS Jimbaran June 2022'!AJ21</f>
        <v>230.88000000000102</v>
      </c>
      <c r="J11" s="120">
        <f>'FS Jimbaran June 2022'!AK21/'FS Jimbaran June 2022'!AJ21</f>
        <v>19000</v>
      </c>
      <c r="K11" s="119">
        <f>'FS Jimbaran June 2022'!V21</f>
        <v>763.62</v>
      </c>
      <c r="L11" s="128">
        <f>'FS Jimbaran June 2022'!AA21/'FS Jimbaran June 2022'!V21</f>
        <v>5972.8426573426577</v>
      </c>
      <c r="M11" s="119">
        <f>'RNs &amp; Covers June 2022'!B15</f>
        <v>29</v>
      </c>
      <c r="N11" s="119">
        <f>'RNs &amp; Covers June 2022'!C15</f>
        <v>133</v>
      </c>
    </row>
    <row r="12" spans="1:15">
      <c r="A12" s="116" t="s">
        <v>14</v>
      </c>
      <c r="B12" s="117">
        <f t="shared" si="0"/>
        <v>11</v>
      </c>
      <c r="C12" s="118">
        <v>4</v>
      </c>
      <c r="D12" s="117">
        <v>2022</v>
      </c>
      <c r="E12" s="119">
        <f>'FS Jimbaran June 2022'!P22</f>
        <v>20659.999999999967</v>
      </c>
      <c r="F12" s="128">
        <f>'FS Jimbaran June 2022'!O22/'FS Jimbaran June 2022'!P22</f>
        <v>1132.539699903198</v>
      </c>
      <c r="G12" s="119">
        <f>'FS Jimbaran June 2022'!AG22</f>
        <v>52.645959999998823</v>
      </c>
      <c r="H12" s="128">
        <f>'FS Jimbaran June 2022'!AH22/'FS Jimbaran June 2022'!AG22</f>
        <v>42821.044577780522</v>
      </c>
      <c r="I12" s="119">
        <f>'FS Jimbaran June 2022'!AJ22</f>
        <v>254.7599999999984</v>
      </c>
      <c r="J12" s="120">
        <f>'FS Jimbaran June 2022'!AK22/'FS Jimbaran June 2022'!AJ22</f>
        <v>19000</v>
      </c>
      <c r="K12" s="119">
        <f>'FS Jimbaran June 2022'!V22</f>
        <v>847.28000000000009</v>
      </c>
      <c r="L12" s="128">
        <f>'FS Jimbaran June 2022'!AA22/'FS Jimbaran June 2022'!V22</f>
        <v>6018.5144117647051</v>
      </c>
      <c r="M12" s="119">
        <f>'RNs &amp; Covers June 2022'!B16</f>
        <v>24</v>
      </c>
      <c r="N12" s="119">
        <f>'RNs &amp; Covers June 2022'!C16</f>
        <v>130</v>
      </c>
    </row>
    <row r="13" spans="1:15">
      <c r="A13" s="116" t="s">
        <v>14</v>
      </c>
      <c r="B13" s="117">
        <f t="shared" si="0"/>
        <v>12</v>
      </c>
      <c r="C13" s="118">
        <v>4</v>
      </c>
      <c r="D13" s="117">
        <v>2022</v>
      </c>
      <c r="E13" s="119">
        <f>'FS Jimbaran June 2022'!P23</f>
        <v>19820.000000000276</v>
      </c>
      <c r="F13" s="128">
        <f>'FS Jimbaran June 2022'!O23/'FS Jimbaran June 2022'!P23</f>
        <v>1131.4145812310744</v>
      </c>
      <c r="G13" s="119">
        <f>'FS Jimbaran June 2022'!AG23</f>
        <v>62.18888000000014</v>
      </c>
      <c r="H13" s="128">
        <f>'FS Jimbaran June 2022'!AH23/'FS Jimbaran June 2022'!AG23</f>
        <v>37908.079386539757</v>
      </c>
      <c r="I13" s="119">
        <f>'FS Jimbaran June 2022'!AJ23</f>
        <v>387</v>
      </c>
      <c r="J13" s="120">
        <f>'FS Jimbaran June 2022'!AK23/'FS Jimbaran June 2022'!AJ23</f>
        <v>19000</v>
      </c>
      <c r="K13" s="119">
        <f>'FS Jimbaran June 2022'!V23</f>
        <v>837.49</v>
      </c>
      <c r="L13" s="128">
        <f>'FS Jimbaran June 2022'!AA23/'FS Jimbaran June 2022'!V23</f>
        <v>5762.1122848034011</v>
      </c>
      <c r="M13" s="119">
        <f>'RNs &amp; Covers June 2022'!B17</f>
        <v>23</v>
      </c>
      <c r="N13" s="119">
        <f>'RNs &amp; Covers June 2022'!C17</f>
        <v>118</v>
      </c>
    </row>
    <row r="14" spans="1:15">
      <c r="A14" s="116" t="s">
        <v>14</v>
      </c>
      <c r="B14" s="117">
        <f t="shared" si="0"/>
        <v>13</v>
      </c>
      <c r="C14" s="118">
        <v>4</v>
      </c>
      <c r="D14" s="117">
        <v>2022</v>
      </c>
      <c r="E14" s="119">
        <f>'FS Jimbaran June 2022'!P24</f>
        <v>18820.000000000135</v>
      </c>
      <c r="F14" s="128">
        <f>'FS Jimbaran June 2022'!O24/'FS Jimbaran June 2022'!P24</f>
        <v>1128.7910626992575</v>
      </c>
      <c r="G14" s="119">
        <f>'FS Jimbaran June 2022'!AG24</f>
        <v>567.01904000000116</v>
      </c>
      <c r="H14" s="128">
        <f>'FS Jimbaran June 2022'!AH24/'FS Jimbaran June 2022'!AG24</f>
        <v>3763.4891413875548</v>
      </c>
      <c r="I14" s="119">
        <f>'FS Jimbaran June 2022'!AJ24</f>
        <v>431.58000000000175</v>
      </c>
      <c r="J14" s="120">
        <f>'FS Jimbaran June 2022'!AK24/'FS Jimbaran June 2022'!AJ24</f>
        <v>19000</v>
      </c>
      <c r="K14" s="119">
        <f>'FS Jimbaran June 2022'!V24</f>
        <v>617.66</v>
      </c>
      <c r="L14" s="128">
        <f>'FS Jimbaran June 2022'!AA24/'FS Jimbaran June 2022'!V24</f>
        <v>6440.4401152737764</v>
      </c>
      <c r="M14" s="119">
        <f>'RNs &amp; Covers June 2022'!B18</f>
        <v>33</v>
      </c>
      <c r="N14" s="119">
        <f>'RNs &amp; Covers June 2022'!C18</f>
        <v>134</v>
      </c>
    </row>
    <row r="15" spans="1:15">
      <c r="A15" s="116" t="s">
        <v>14</v>
      </c>
      <c r="B15" s="117">
        <f t="shared" si="0"/>
        <v>14</v>
      </c>
      <c r="C15" s="118">
        <v>4</v>
      </c>
      <c r="D15" s="117">
        <v>2022</v>
      </c>
      <c r="E15" s="119">
        <f>'FS Jimbaran June 2022'!P25</f>
        <v>18960.000000000007</v>
      </c>
      <c r="F15" s="128">
        <f>'FS Jimbaran June 2022'!O25/'FS Jimbaran June 2022'!P25</f>
        <v>1134.113544303794</v>
      </c>
      <c r="G15" s="119">
        <f>'FS Jimbaran June 2022'!AG25</f>
        <v>72.295719999999108</v>
      </c>
      <c r="H15" s="128">
        <f>'FS Jimbaran June 2022'!AH25/'FS Jimbaran June 2022'!AG25</f>
        <v>37268.402610832745</v>
      </c>
      <c r="I15" s="119">
        <f>'FS Jimbaran June 2022'!AJ25</f>
        <v>436.5099999999984</v>
      </c>
      <c r="J15" s="120">
        <f>'FS Jimbaran June 2022'!AK25/'FS Jimbaran June 2022'!AJ25</f>
        <v>19000</v>
      </c>
      <c r="K15" s="119">
        <f>'FS Jimbaran June 2022'!V25</f>
        <v>779.64</v>
      </c>
      <c r="L15" s="128">
        <f>'FS Jimbaran June 2022'!AA25/'FS Jimbaran June 2022'!V25</f>
        <v>5953.0109132420102</v>
      </c>
      <c r="M15" s="119">
        <f>'RNs &amp; Covers June 2022'!B19</f>
        <v>35</v>
      </c>
      <c r="N15" s="119">
        <f>'RNs &amp; Covers June 2022'!C19</f>
        <v>159</v>
      </c>
    </row>
    <row r="16" spans="1:15">
      <c r="A16" s="116" t="s">
        <v>14</v>
      </c>
      <c r="B16" s="117">
        <f t="shared" si="0"/>
        <v>15</v>
      </c>
      <c r="C16" s="118">
        <v>4</v>
      </c>
      <c r="D16" s="117">
        <v>2022</v>
      </c>
      <c r="E16" s="119">
        <f>'FS Jimbaran June 2022'!P26</f>
        <v>20539.999999999818</v>
      </c>
      <c r="F16" s="128">
        <f>'FS Jimbaran June 2022'!O26/'FS Jimbaran June 2022'!P26</f>
        <v>1130.0793476144113</v>
      </c>
      <c r="G16" s="119">
        <f>'FS Jimbaran June 2022'!AG26</f>
        <v>46.080320000000214</v>
      </c>
      <c r="H16" s="128">
        <f>'FS Jimbaran June 2022'!AH26/'FS Jimbaran June 2022'!AG26</f>
        <v>49539.347817028822</v>
      </c>
      <c r="I16" s="119">
        <f>'FS Jimbaran June 2022'!AJ26</f>
        <v>425.79000000000087</v>
      </c>
      <c r="J16" s="120">
        <f>'FS Jimbaran June 2022'!AK26/'FS Jimbaran June 2022'!AJ26</f>
        <v>19000</v>
      </c>
      <c r="K16" s="119">
        <f>'FS Jimbaran June 2022'!V26</f>
        <v>857.96</v>
      </c>
      <c r="L16" s="128">
        <f>'FS Jimbaran June 2022'!AA26/'FS Jimbaran June 2022'!V26</f>
        <v>5811.3472199170128</v>
      </c>
      <c r="M16" s="119">
        <f>'RNs &amp; Covers June 2022'!B20</f>
        <v>37</v>
      </c>
      <c r="N16" s="119">
        <f>'RNs &amp; Covers June 2022'!C20</f>
        <v>165</v>
      </c>
    </row>
    <row r="17" spans="1:14">
      <c r="A17" s="116" t="s">
        <v>14</v>
      </c>
      <c r="B17" s="117">
        <f t="shared" si="0"/>
        <v>16</v>
      </c>
      <c r="C17" s="118">
        <v>4</v>
      </c>
      <c r="D17" s="117">
        <v>2022</v>
      </c>
      <c r="E17" s="119">
        <f>'FS Jimbaran June 2022'!P27</f>
        <v>21340.000000000346</v>
      </c>
      <c r="F17" s="128">
        <f>'FS Jimbaran June 2022'!O27/'FS Jimbaran June 2022'!P27</f>
        <v>1134.7955201499547</v>
      </c>
      <c r="G17" s="119">
        <f>'FS Jimbaran June 2022'!AG27</f>
        <v>69.153880000000143</v>
      </c>
      <c r="H17" s="128">
        <f>'FS Jimbaran June 2022'!AH27/'FS Jimbaran June 2022'!AG27</f>
        <v>30905.583316510882</v>
      </c>
      <c r="I17" s="119">
        <f>'FS Jimbaran June 2022'!AJ27</f>
        <v>336</v>
      </c>
      <c r="J17" s="120">
        <f>'FS Jimbaran June 2022'!AK27/'FS Jimbaran June 2022'!AJ27</f>
        <v>19000</v>
      </c>
      <c r="K17" s="119">
        <f>'FS Jimbaran June 2022'!V27</f>
        <v>844.61</v>
      </c>
      <c r="L17" s="128">
        <f>'FS Jimbaran June 2022'!AA27/'FS Jimbaran June 2022'!V27</f>
        <v>5980.7315279241302</v>
      </c>
      <c r="M17" s="119">
        <f>'RNs &amp; Covers June 2022'!B21</f>
        <v>44</v>
      </c>
      <c r="N17" s="119">
        <f>'RNs &amp; Covers June 2022'!C21</f>
        <v>158</v>
      </c>
    </row>
    <row r="18" spans="1:14">
      <c r="A18" s="116" t="s">
        <v>14</v>
      </c>
      <c r="B18" s="117">
        <f t="shared" si="0"/>
        <v>17</v>
      </c>
      <c r="C18" s="118">
        <v>4</v>
      </c>
      <c r="D18" s="117">
        <v>2022</v>
      </c>
      <c r="E18" s="119">
        <f>'FS Jimbaran June 2022'!P28</f>
        <v>20199.999999999276</v>
      </c>
      <c r="F18" s="128">
        <f>'FS Jimbaran June 2022'!O28/'FS Jimbaran June 2022'!P28</f>
        <v>1132.1793267326773</v>
      </c>
      <c r="G18" s="119">
        <f>'FS Jimbaran June 2022'!AG28</f>
        <v>42.495400000000728</v>
      </c>
      <c r="H18" s="128">
        <f>'FS Jimbaran June 2022'!AH28/'FS Jimbaran June 2022'!AG28</f>
        <v>64513.076709478039</v>
      </c>
      <c r="I18" s="119">
        <f>'FS Jimbaran June 2022'!AJ28</f>
        <v>413.40999999999985</v>
      </c>
      <c r="J18" s="120">
        <f>'FS Jimbaran June 2022'!AK28/'FS Jimbaran June 2022'!AJ28</f>
        <v>19000</v>
      </c>
      <c r="K18" s="119">
        <f>'FS Jimbaran June 2022'!V28</f>
        <v>809.01</v>
      </c>
      <c r="L18" s="128">
        <f>'FS Jimbaran June 2022'!AA28/'FS Jimbaran June 2022'!V28</f>
        <v>5528.6257645764581</v>
      </c>
      <c r="M18" s="119">
        <f>'RNs &amp; Covers June 2022'!B22</f>
        <v>44</v>
      </c>
      <c r="N18" s="119">
        <f>'RNs &amp; Covers June 2022'!C22</f>
        <v>215</v>
      </c>
    </row>
    <row r="19" spans="1:14">
      <c r="A19" s="116" t="s">
        <v>14</v>
      </c>
      <c r="B19" s="117">
        <f t="shared" si="0"/>
        <v>18</v>
      </c>
      <c r="C19" s="118">
        <v>4</v>
      </c>
      <c r="D19" s="117">
        <v>2022</v>
      </c>
      <c r="E19" s="119">
        <f>'FS Jimbaran June 2022'!P29</f>
        <v>21600.000000000364</v>
      </c>
      <c r="F19" s="128">
        <f>'FS Jimbaran June 2022'!O29/'FS Jimbaran June 2022'!P29</f>
        <v>1133.1241388888859</v>
      </c>
      <c r="G19" s="119">
        <f>'FS Jimbaran June 2022'!AG29</f>
        <v>49.906919999999481</v>
      </c>
      <c r="H19" s="128">
        <f>'FS Jimbaran June 2022'!AH29/'FS Jimbaran June 2022'!AG29</f>
        <v>57497.357079940615</v>
      </c>
      <c r="I19" s="119">
        <f>'FS Jimbaran June 2022'!AJ29</f>
        <v>400.7400000000016</v>
      </c>
      <c r="J19" s="120">
        <f>'FS Jimbaran June 2022'!AK29/'FS Jimbaran June 2022'!AJ29</f>
        <v>19000</v>
      </c>
      <c r="K19" s="119">
        <f>'FS Jimbaran June 2022'!V29</f>
        <v>816.13</v>
      </c>
      <c r="L19" s="128">
        <f>'FS Jimbaran June 2022'!AA29/'FS Jimbaran June 2022'!V29</f>
        <v>5756.9109923664128</v>
      </c>
      <c r="M19" s="119">
        <f>'RNs &amp; Covers June 2022'!B23</f>
        <v>41</v>
      </c>
      <c r="N19" s="119">
        <f>'RNs &amp; Covers June 2022'!C23</f>
        <v>171</v>
      </c>
    </row>
    <row r="20" spans="1:14">
      <c r="A20" s="116" t="s">
        <v>14</v>
      </c>
      <c r="B20" s="117">
        <f t="shared" si="0"/>
        <v>19</v>
      </c>
      <c r="C20" s="118">
        <v>4</v>
      </c>
      <c r="D20" s="117">
        <v>2022</v>
      </c>
      <c r="E20" s="119">
        <f>'FS Jimbaran June 2022'!P30</f>
        <v>21560.000000000171</v>
      </c>
      <c r="F20" s="128">
        <f>'FS Jimbaran June 2022'!O30/'FS Jimbaran June 2022'!P30</f>
        <v>1132.8243228200356</v>
      </c>
      <c r="G20" s="119">
        <f>'FS Jimbaran June 2022'!AG30</f>
        <v>598.35</v>
      </c>
      <c r="H20" s="128">
        <f>'FS Jimbaran June 2022'!AH30/'FS Jimbaran June 2022'!AG30</f>
        <v>4780.9910587448812</v>
      </c>
      <c r="I20" s="119">
        <f>'FS Jimbaran June 2022'!AJ30</f>
        <v>526</v>
      </c>
      <c r="J20" s="120">
        <f>'FS Jimbaran June 2022'!AK30/'FS Jimbaran June 2022'!AJ30</f>
        <v>19000</v>
      </c>
      <c r="K20" s="119">
        <f>'FS Jimbaran June 2022'!V30</f>
        <v>845.5</v>
      </c>
      <c r="L20" s="128">
        <f>'FS Jimbaran June 2022'!AA30/'FS Jimbaran June 2022'!V30</f>
        <v>5978.9046315789474</v>
      </c>
      <c r="M20" s="119">
        <f>'RNs &amp; Covers June 2022'!B24</f>
        <v>34</v>
      </c>
      <c r="N20" s="119">
        <f>'RNs &amp; Covers June 2022'!C24</f>
        <v>169</v>
      </c>
    </row>
    <row r="21" spans="1:14">
      <c r="A21" s="116" t="s">
        <v>14</v>
      </c>
      <c r="B21" s="117">
        <f t="shared" si="0"/>
        <v>20</v>
      </c>
      <c r="C21" s="118">
        <v>4</v>
      </c>
      <c r="D21" s="117">
        <v>2022</v>
      </c>
      <c r="E21" s="119">
        <f>'FS Jimbaran June 2022'!P31</f>
        <v>20140.000000000098</v>
      </c>
      <c r="F21" s="128">
        <f>'FS Jimbaran June 2022'!O31/'FS Jimbaran June 2022'!P31</f>
        <v>1132.4665143992049</v>
      </c>
      <c r="G21" s="119">
        <f>'FS Jimbaran June 2022'!AG31</f>
        <v>45.999760000000286</v>
      </c>
      <c r="H21" s="128">
        <f>'FS Jimbaran June 2022'!AH31/'FS Jimbaran June 2022'!AG31</f>
        <v>41822.50081304746</v>
      </c>
      <c r="I21" s="119">
        <f>'FS Jimbaran June 2022'!AJ31</f>
        <v>570.93000000000029</v>
      </c>
      <c r="J21" s="120">
        <f>'FS Jimbaran June 2022'!AK31/'FS Jimbaran June 2022'!AJ31</f>
        <v>19000</v>
      </c>
      <c r="K21" s="119">
        <f>'FS Jimbaran June 2022'!V31</f>
        <v>808.12</v>
      </c>
      <c r="L21" s="128">
        <f>'FS Jimbaran June 2022'!AA31/'FS Jimbaran June 2022'!V31</f>
        <v>5771.8951101321591</v>
      </c>
      <c r="M21" s="119">
        <f>'RNs &amp; Covers June 2022'!B25</f>
        <v>33</v>
      </c>
      <c r="N21" s="119">
        <f>'RNs &amp; Covers June 2022'!C25</f>
        <v>191</v>
      </c>
    </row>
    <row r="22" spans="1:14">
      <c r="A22" s="116" t="s">
        <v>14</v>
      </c>
      <c r="B22" s="117">
        <f t="shared" si="0"/>
        <v>21</v>
      </c>
      <c r="C22" s="118">
        <v>4</v>
      </c>
      <c r="D22" s="117">
        <v>2022</v>
      </c>
      <c r="E22" s="119">
        <f>'FS Jimbaran June 2022'!P32</f>
        <v>19839.999999999323</v>
      </c>
      <c r="F22" s="128">
        <f>'FS Jimbaran June 2022'!O32/'FS Jimbaran June 2022'!P32</f>
        <v>1132.8843750000062</v>
      </c>
      <c r="G22" s="119">
        <f>'FS Jimbaran June 2022'!AG32</f>
        <v>48.335999999999999</v>
      </c>
      <c r="H22" s="128">
        <f>'FS Jimbaran June 2022'!AH32/'FS Jimbaran June 2022'!AG32</f>
        <v>49633.502979145982</v>
      </c>
      <c r="I22" s="119">
        <f>'FS Jimbaran June 2022'!AJ32</f>
        <v>449.61999999999898</v>
      </c>
      <c r="J22" s="120">
        <f>'FS Jimbaran June 2022'!AK32/'FS Jimbaran June 2022'!AJ32</f>
        <v>19000</v>
      </c>
      <c r="K22" s="119">
        <f>'FS Jimbaran June 2022'!V32</f>
        <v>763.62</v>
      </c>
      <c r="L22" s="128">
        <f>'FS Jimbaran June 2022'!AA32/'FS Jimbaran June 2022'!V32</f>
        <v>5892.8582750582755</v>
      </c>
      <c r="M22" s="119">
        <f>'RNs &amp; Covers June 2022'!B26</f>
        <v>30</v>
      </c>
      <c r="N22" s="119">
        <f>'RNs &amp; Covers June 2022'!C26</f>
        <v>195</v>
      </c>
    </row>
    <row r="23" spans="1:14">
      <c r="A23" s="116" t="s">
        <v>14</v>
      </c>
      <c r="B23" s="117">
        <f t="shared" si="0"/>
        <v>22</v>
      </c>
      <c r="C23" s="118">
        <v>4</v>
      </c>
      <c r="D23" s="117">
        <v>2022</v>
      </c>
      <c r="E23" s="119">
        <f>'FS Jimbaran June 2022'!P33</f>
        <v>20900.000000000433</v>
      </c>
      <c r="F23" s="128">
        <f>'FS Jimbaran June 2022'!O33/'FS Jimbaran June 2022'!P33</f>
        <v>1132.9153492822936</v>
      </c>
      <c r="G23" s="119">
        <f>'FS Jimbaran June 2022'!AG33</f>
        <v>75.957760000000292</v>
      </c>
      <c r="H23" s="128">
        <f>'FS Jimbaran June 2022'!AH33/'FS Jimbaran June 2022'!AG33</f>
        <v>33420.403655926537</v>
      </c>
      <c r="I23" s="119">
        <f>'FS Jimbaran June 2022'!AJ33</f>
        <v>387.41999999999825</v>
      </c>
      <c r="J23" s="120">
        <f>'FS Jimbaran June 2022'!AK33/'FS Jimbaran June 2022'!AJ33</f>
        <v>19000</v>
      </c>
      <c r="K23" s="119">
        <f>'FS Jimbaran June 2022'!V33</f>
        <v>846.39</v>
      </c>
      <c r="L23" s="128">
        <f>'FS Jimbaran June 2022'!AA33/'FS Jimbaran June 2022'!V33</f>
        <v>5702.8638275499488</v>
      </c>
      <c r="M23" s="119">
        <f>'RNs &amp; Covers June 2022'!B27</f>
        <v>26</v>
      </c>
      <c r="N23" s="119">
        <f>'RNs &amp; Covers June 2022'!C27</f>
        <v>188</v>
      </c>
    </row>
    <row r="24" spans="1:14">
      <c r="A24" s="116" t="s">
        <v>14</v>
      </c>
      <c r="B24" s="117">
        <f t="shared" si="0"/>
        <v>23</v>
      </c>
      <c r="C24" s="118">
        <v>4</v>
      </c>
      <c r="D24" s="117">
        <v>2022</v>
      </c>
      <c r="E24" s="119">
        <f>'FS Jimbaran June 2022'!P34</f>
        <v>22159.9999999996</v>
      </c>
      <c r="F24" s="128">
        <f>'FS Jimbaran June 2022'!O34/'FS Jimbaran June 2022'!P34</f>
        <v>1136.7405054151645</v>
      </c>
      <c r="G24" s="119">
        <f>'FS Jimbaran June 2022'!AG34</f>
        <v>81.600399999998899</v>
      </c>
      <c r="H24" s="128">
        <f>'FS Jimbaran June 2022'!AH34/'FS Jimbaran June 2022'!AG34</f>
        <v>27373.983460865758</v>
      </c>
      <c r="I24" s="119">
        <f>'FS Jimbaran June 2022'!AJ34</f>
        <v>554.26000000000204</v>
      </c>
      <c r="J24" s="120">
        <f>'FS Jimbaran June 2022'!AK34/'FS Jimbaran June 2022'!AJ34</f>
        <v>19000</v>
      </c>
      <c r="K24" s="119">
        <f>'FS Jimbaran June 2022'!V34</f>
        <v>743.15000000000009</v>
      </c>
      <c r="L24" s="128">
        <f>'FS Jimbaran June 2022'!AA34/'FS Jimbaran June 2022'!V34</f>
        <v>6102.6185149700596</v>
      </c>
      <c r="M24" s="119">
        <f>'RNs &amp; Covers June 2022'!B28</f>
        <v>36</v>
      </c>
      <c r="N24" s="119">
        <f>'RNs &amp; Covers June 2022'!C28</f>
        <v>183</v>
      </c>
    </row>
    <row r="25" spans="1:14">
      <c r="A25" s="116" t="s">
        <v>14</v>
      </c>
      <c r="B25" s="117">
        <f t="shared" si="0"/>
        <v>24</v>
      </c>
      <c r="C25" s="118">
        <v>4</v>
      </c>
      <c r="D25" s="117">
        <v>2022</v>
      </c>
      <c r="E25" s="119">
        <f>'FS Jimbaran June 2022'!P35</f>
        <v>22120.000000000004</v>
      </c>
      <c r="F25" s="128">
        <f>'FS Jimbaran June 2022'!O35/'FS Jimbaran June 2022'!P35</f>
        <v>1129.8992495479174</v>
      </c>
      <c r="G25" s="119">
        <f>'FS Jimbaran June 2022'!AG35</f>
        <v>69.036479999999415</v>
      </c>
      <c r="H25" s="128">
        <f>'FS Jimbaran June 2022'!AH35/'FS Jimbaran June 2022'!AG35</f>
        <v>37564.545585174994</v>
      </c>
      <c r="I25" s="119">
        <f>'FS Jimbaran June 2022'!AJ35</f>
        <v>400.02000000000044</v>
      </c>
      <c r="J25" s="120">
        <f>'FS Jimbaran June 2022'!AK35/'FS Jimbaran June 2022'!AJ35</f>
        <v>19000</v>
      </c>
      <c r="K25" s="119">
        <f>'FS Jimbaran June 2022'!V35</f>
        <v>835.70999999999992</v>
      </c>
      <c r="L25" s="128">
        <f>'FS Jimbaran June 2022'!AA35/'FS Jimbaran June 2022'!V35</f>
        <v>5984.5975505857305</v>
      </c>
      <c r="M25" s="119">
        <f>'RNs &amp; Covers June 2022'!B29</f>
        <v>40</v>
      </c>
      <c r="N25" s="119">
        <f>'RNs &amp; Covers June 2022'!C29</f>
        <v>204</v>
      </c>
    </row>
    <row r="26" spans="1:14">
      <c r="A26" s="116" t="s">
        <v>14</v>
      </c>
      <c r="B26" s="117">
        <f>B25+1</f>
        <v>25</v>
      </c>
      <c r="C26" s="118">
        <v>4</v>
      </c>
      <c r="D26" s="117">
        <v>2022</v>
      </c>
      <c r="E26" s="119">
        <f>'FS Jimbaran June 2022'!P36</f>
        <v>21480.000000000135</v>
      </c>
      <c r="F26" s="128">
        <f>'FS Jimbaran June 2022'!O36/'FS Jimbaran June 2022'!P36</f>
        <v>1133.6679608938555</v>
      </c>
      <c r="G26" s="119">
        <f>'FS Jimbaran June 2022'!AG36</f>
        <v>556.27116000000103</v>
      </c>
      <c r="H26" s="128">
        <f>'FS Jimbaran June 2022'!AH36/'FS Jimbaran June 2022'!AG36</f>
        <v>8973.9327848669891</v>
      </c>
      <c r="I26" s="119">
        <f>'FS Jimbaran June 2022'!AJ36</f>
        <v>466.86999999999898</v>
      </c>
      <c r="J26" s="120">
        <f>'FS Jimbaran June 2022'!AK36/'FS Jimbaran June 2022'!AJ36</f>
        <v>19000</v>
      </c>
      <c r="K26" s="119">
        <f>'FS Jimbaran June 2022'!V36</f>
        <v>821.47</v>
      </c>
      <c r="L26" s="128">
        <f>'FS Jimbaran June 2022'!AA36/'FS Jimbaran June 2022'!V36</f>
        <v>5642.9915709642473</v>
      </c>
      <c r="M26" s="119">
        <f>'RNs &amp; Covers June 2022'!B30</f>
        <v>38</v>
      </c>
      <c r="N26" s="119">
        <f>'RNs &amp; Covers June 2022'!C30</f>
        <v>205</v>
      </c>
    </row>
    <row r="27" spans="1:14">
      <c r="A27" s="116" t="s">
        <v>14</v>
      </c>
      <c r="B27" s="117">
        <f t="shared" si="0"/>
        <v>26</v>
      </c>
      <c r="C27" s="118">
        <v>4</v>
      </c>
      <c r="D27" s="117">
        <v>2022</v>
      </c>
      <c r="E27" s="119">
        <f>'FS Jimbaran June 2022'!P37</f>
        <v>22539.999999999996</v>
      </c>
      <c r="F27" s="128">
        <f>'FS Jimbaran June 2022'!O37/'FS Jimbaran June 2022'!P37</f>
        <v>1132.7407719609569</v>
      </c>
      <c r="G27" s="119">
        <f>'FS Jimbaran June 2022'!AG37</f>
        <v>73.665239999999699</v>
      </c>
      <c r="H27" s="128">
        <f>'FS Jimbaran June 2022'!AH37/'FS Jimbaran June 2022'!AG37</f>
        <v>69039.128902587181</v>
      </c>
      <c r="I27" s="119">
        <f>'FS Jimbaran June 2022'!AJ37</f>
        <v>626.70000000000073</v>
      </c>
      <c r="J27" s="120">
        <f>'FS Jimbaran June 2022'!AK37/'FS Jimbaran June 2022'!AJ37</f>
        <v>19000</v>
      </c>
      <c r="K27" s="119">
        <f>'FS Jimbaran June 2022'!V37</f>
        <v>728.0200000000001</v>
      </c>
      <c r="L27" s="128">
        <f>'FS Jimbaran June 2022'!AA37/'FS Jimbaran June 2022'!V37</f>
        <v>5872.7546210268947</v>
      </c>
      <c r="M27" s="119">
        <f>'RNs &amp; Covers June 2022'!B31</f>
        <v>37</v>
      </c>
      <c r="N27" s="119">
        <f>'RNs &amp; Covers June 2022'!C31</f>
        <v>210</v>
      </c>
    </row>
    <row r="28" spans="1:14">
      <c r="A28" s="116" t="s">
        <v>14</v>
      </c>
      <c r="B28" s="117">
        <f t="shared" si="0"/>
        <v>27</v>
      </c>
      <c r="C28" s="118">
        <v>4</v>
      </c>
      <c r="D28" s="117">
        <v>2022</v>
      </c>
      <c r="E28" s="119">
        <f>'FS Jimbaran June 2022'!P38</f>
        <v>20800.000000000608</v>
      </c>
      <c r="F28" s="128">
        <f>'FS Jimbaran June 2022'!O38/'FS Jimbaran June 2022'!P38</f>
        <v>1132.3864038461529</v>
      </c>
      <c r="G28" s="119">
        <f>'FS Jimbaran June 2022'!AG38</f>
        <v>60.658239999999701</v>
      </c>
      <c r="H28" s="128">
        <f>'FS Jimbaran June 2022'!AH38/'FS Jimbaran June 2022'!AG38</f>
        <v>90978.455688790622</v>
      </c>
      <c r="I28" s="119">
        <f>'FS Jimbaran June 2022'!AJ38</f>
        <v>335.12999999999738</v>
      </c>
      <c r="J28" s="120">
        <f>'FS Jimbaran June 2022'!AK38/'FS Jimbaran June 2022'!AJ38</f>
        <v>19000</v>
      </c>
      <c r="K28" s="119">
        <f>'FS Jimbaran June 2022'!V38</f>
        <v>893.56</v>
      </c>
      <c r="L28" s="128">
        <f>'FS Jimbaran June 2022'!AA38/'FS Jimbaran June 2022'!V38</f>
        <v>5639.5850199203196</v>
      </c>
      <c r="M28" s="119">
        <f>'RNs &amp; Covers June 2022'!B32</f>
        <v>27</v>
      </c>
      <c r="N28" s="119">
        <f>'RNs &amp; Covers June 2022'!C32</f>
        <v>150</v>
      </c>
    </row>
    <row r="29" spans="1:14">
      <c r="A29" s="116" t="s">
        <v>14</v>
      </c>
      <c r="B29" s="117">
        <f t="shared" si="0"/>
        <v>28</v>
      </c>
      <c r="C29" s="118">
        <v>4</v>
      </c>
      <c r="D29" s="117">
        <v>2022</v>
      </c>
      <c r="E29" s="119">
        <f>'FS Jimbaran June 2022'!P39</f>
        <v>21559.999999999607</v>
      </c>
      <c r="F29" s="128">
        <f>'FS Jimbaran June 2022'!O39/'FS Jimbaran June 2022'!P39</f>
        <v>1136.1872448979625</v>
      </c>
      <c r="G29" s="119">
        <f>'FS Jimbaran June 2022'!AG39</f>
        <v>54.337720000000949</v>
      </c>
      <c r="H29" s="128">
        <f>'FS Jimbaran June 2022'!AH39/'FS Jimbaran June 2022'!AG39</f>
        <v>214353.67549466185</v>
      </c>
      <c r="I29" s="119">
        <f>'FS Jimbaran June 2022'!AJ39</f>
        <v>493.04000000000087</v>
      </c>
      <c r="J29" s="120">
        <f>'FS Jimbaran June 2022'!AK39/'FS Jimbaran June 2022'!AJ39</f>
        <v>19000</v>
      </c>
      <c r="K29" s="119">
        <f>'FS Jimbaran June 2022'!V39</f>
        <v>887.32999999999993</v>
      </c>
      <c r="L29" s="128">
        <f>'FS Jimbaran June 2022'!AA39/'FS Jimbaran June 2022'!V39</f>
        <v>5442.8759277833506</v>
      </c>
      <c r="M29" s="119">
        <f>'RNs &amp; Covers June 2022'!B33</f>
        <v>36</v>
      </c>
      <c r="N29" s="119">
        <f>'RNs &amp; Covers June 2022'!C33</f>
        <v>133</v>
      </c>
    </row>
    <row r="30" spans="1:14">
      <c r="A30" s="116" t="s">
        <v>14</v>
      </c>
      <c r="B30" s="117">
        <f t="shared" si="0"/>
        <v>29</v>
      </c>
      <c r="C30" s="118">
        <v>4</v>
      </c>
      <c r="D30" s="117">
        <v>2022</v>
      </c>
      <c r="E30" s="119">
        <f>'FS Jimbaran June 2022'!P40</f>
        <v>21659.999999999771</v>
      </c>
      <c r="F30" s="128">
        <f>'FS Jimbaran June 2022'!O40/'FS Jimbaran June 2022'!P40</f>
        <v>1137.1582825484784</v>
      </c>
      <c r="G30" s="119">
        <f>'FS Jimbaran June 2022'!AG40</f>
        <v>26.907039999999338</v>
      </c>
      <c r="H30" s="128">
        <f>'FS Jimbaran June 2022'!AH40/'FS Jimbaran June 2022'!AG40</f>
        <v>437998.23391946085</v>
      </c>
      <c r="I30" s="119">
        <f>'FS Jimbaran June 2022'!AJ40</f>
        <v>575.97999999999956</v>
      </c>
      <c r="J30" s="120">
        <f>'FS Jimbaran June 2022'!AK40/'FS Jimbaran June 2022'!AJ40</f>
        <v>19000</v>
      </c>
      <c r="K30" s="119">
        <f>'FS Jimbaran June 2022'!V40</f>
        <v>896.23</v>
      </c>
      <c r="L30" s="128">
        <f>'FS Jimbaran June 2022'!AA40/'FS Jimbaran June 2022'!V40</f>
        <v>5717.210347567031</v>
      </c>
      <c r="M30" s="119">
        <f>'RNs &amp; Covers June 2022'!B34</f>
        <v>42</v>
      </c>
      <c r="N30" s="119">
        <f>'RNs &amp; Covers June 2022'!C34</f>
        <v>190</v>
      </c>
    </row>
    <row r="31" spans="1:14">
      <c r="A31" s="116" t="s">
        <v>14</v>
      </c>
      <c r="B31" s="117">
        <f t="shared" si="0"/>
        <v>30</v>
      </c>
      <c r="C31" s="118">
        <v>4</v>
      </c>
      <c r="D31" s="117">
        <v>2022</v>
      </c>
      <c r="E31" s="119">
        <f>'FS Jimbaran June 2022'!P41</f>
        <v>22760.000000000477</v>
      </c>
      <c r="F31" s="128">
        <f>'FS Jimbaran June 2022'!O41/'FS Jimbaran June 2022'!P41</f>
        <v>1134.5340685412971</v>
      </c>
      <c r="G31" s="119">
        <f>'FS Jimbaran June 2022'!AG41</f>
        <v>42.575960000000656</v>
      </c>
      <c r="H31" s="128">
        <f>'FS Jimbaran June 2022'!AH41/'FS Jimbaran June 2022'!AG41</f>
        <v>307003.97595262207</v>
      </c>
      <c r="I31" s="119">
        <f>'FS Jimbaran June 2022'!AJ41</f>
        <v>715.47999999999956</v>
      </c>
      <c r="J31" s="120">
        <f>'FS Jimbaran June 2022'!AK41/'FS Jimbaran June 2022'!AJ41</f>
        <v>19000</v>
      </c>
      <c r="K31" s="119">
        <f>'FS Jimbaran June 2022'!V41</f>
        <v>901.57</v>
      </c>
      <c r="L31" s="128">
        <f>'FS Jimbaran June 2022'!AA41/'FS Jimbaran June 2022'!V41</f>
        <v>5464.6062586377093</v>
      </c>
      <c r="M31" s="119">
        <f>'RNs &amp; Covers June 2022'!B35</f>
        <v>34</v>
      </c>
      <c r="N31" s="119">
        <f>'RNs &amp; Covers June 2022'!C35</f>
        <v>214</v>
      </c>
    </row>
    <row r="32" spans="1:14">
      <c r="L32" s="18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68"/>
  <sheetViews>
    <sheetView tabSelected="1" zoomScale="85" zoomScaleNormal="85" workbookViewId="0">
      <pane xSplit="4" ySplit="10" topLeftCell="E21" activePane="bottomRight" state="frozen"/>
      <selection pane="bottomRight" sqref="A1:XFD6"/>
      <selection pane="bottomLeft" activeCell="A11" sqref="A11"/>
      <selection pane="topRight" activeCell="E1" sqref="E1"/>
    </sheetView>
  </sheetViews>
  <sheetFormatPr defaultRowHeight="15.75"/>
  <cols>
    <col min="1" max="1" width="3.7109375" style="7" customWidth="1"/>
    <col min="2" max="2" width="8.7109375" style="7" customWidth="1"/>
    <col min="3" max="3" width="7.28515625" style="3" customWidth="1"/>
    <col min="4" max="4" width="7.28515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54" bestFit="1" customWidth="1"/>
    <col min="14" max="14" width="20.42578125" style="58" customWidth="1"/>
    <col min="15" max="15" width="18.85546875" customWidth="1"/>
    <col min="16" max="16" width="15.140625" style="58" customWidth="1"/>
    <col min="17" max="17" width="19.7109375" hidden="1" customWidth="1"/>
    <col min="18" max="18" width="18.140625" style="78" hidden="1" customWidth="1"/>
    <col min="19" max="19" width="24.28515625" hidden="1" customWidth="1"/>
    <col min="20" max="20" width="21.140625" hidden="1" customWidth="1"/>
    <col min="21" max="21" width="18.85546875" hidden="1" customWidth="1"/>
    <col min="22" max="22" width="13.7109375" customWidth="1"/>
    <col min="23" max="23" width="12.140625" customWidth="1"/>
    <col min="24" max="24" width="13.5703125" customWidth="1"/>
    <col min="25" max="25" width="13.28515625" customWidth="1"/>
    <col min="26" max="26" width="13.5703125" customWidth="1"/>
    <col min="27" max="27" width="11.5703125" customWidth="1"/>
    <col min="28" max="28" width="10.5703125" customWidth="1"/>
    <col min="29" max="29" width="13.42578125" customWidth="1"/>
    <col min="30" max="30" width="12.85546875" style="3" bestFit="1" customWidth="1"/>
    <col min="31" max="31" width="14.85546875" customWidth="1"/>
    <col min="32" max="32" width="12.28515625" bestFit="1" customWidth="1"/>
    <col min="33" max="33" width="11.42578125" bestFit="1" customWidth="1"/>
    <col min="34" max="34" width="19" style="3" customWidth="1"/>
    <col min="35" max="35" width="10.5703125" customWidth="1"/>
    <col min="36" max="36" width="13.28515625" style="78" bestFit="1" customWidth="1"/>
    <col min="37" max="37" width="20.7109375" bestFit="1" customWidth="1"/>
    <col min="38" max="38" width="12.140625" style="34" customWidth="1"/>
    <col min="39" max="39" width="2.28515625" style="7" customWidth="1"/>
  </cols>
  <sheetData>
    <row r="1" spans="1:39" hidden="1"/>
    <row r="2" spans="1:39" hidden="1"/>
    <row r="3" spans="1:39" hidden="1"/>
    <row r="4" spans="1:39" hidden="1"/>
    <row r="5" spans="1:39" hidden="1">
      <c r="N5" s="129"/>
      <c r="X5" s="130"/>
    </row>
    <row r="6" spans="1:39" s="23" customFormat="1" ht="19.5" hidden="1" thickBot="1">
      <c r="B6" s="23" t="s">
        <v>16</v>
      </c>
      <c r="C6" s="30"/>
      <c r="E6" s="30"/>
      <c r="F6" s="30"/>
      <c r="H6" s="30"/>
      <c r="L6" s="30"/>
      <c r="M6" s="49"/>
      <c r="N6" s="55"/>
      <c r="P6" s="55"/>
      <c r="R6" s="74"/>
      <c r="AD6" s="30"/>
      <c r="AH6" s="30"/>
      <c r="AJ6" s="74"/>
      <c r="AL6" s="31"/>
    </row>
    <row r="7" spans="1:39" s="11" customFormat="1" ht="16.5" thickBot="1">
      <c r="A7" s="27"/>
      <c r="B7" s="215" t="s">
        <v>17</v>
      </c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16"/>
      <c r="U7" s="216"/>
      <c r="V7" s="216"/>
      <c r="W7" s="216"/>
      <c r="X7" s="216"/>
      <c r="Y7" s="216"/>
      <c r="Z7" s="216"/>
      <c r="AA7" s="216"/>
      <c r="AB7" s="216"/>
      <c r="AC7" s="216"/>
      <c r="AD7" s="216"/>
      <c r="AE7" s="216"/>
      <c r="AF7" s="216"/>
      <c r="AG7" s="216"/>
      <c r="AH7" s="216"/>
      <c r="AI7" s="216"/>
      <c r="AJ7" s="216"/>
      <c r="AK7" s="216"/>
      <c r="AL7" s="217"/>
      <c r="AM7" s="27"/>
    </row>
    <row r="8" spans="1:39" s="7" customFormat="1" ht="15.75" customHeight="1" thickBot="1">
      <c r="A8" s="24"/>
      <c r="B8" s="218" t="s">
        <v>18</v>
      </c>
      <c r="C8" s="221" t="s">
        <v>19</v>
      </c>
      <c r="D8" s="224" t="s">
        <v>13</v>
      </c>
      <c r="E8" s="226" t="s">
        <v>20</v>
      </c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7"/>
      <c r="V8" s="228" t="s">
        <v>21</v>
      </c>
      <c r="W8" s="229"/>
      <c r="X8" s="229"/>
      <c r="Y8" s="229"/>
      <c r="Z8" s="229"/>
      <c r="AA8" s="229"/>
      <c r="AB8" s="230"/>
      <c r="AC8" s="231" t="s">
        <v>22</v>
      </c>
      <c r="AD8" s="231"/>
      <c r="AE8" s="231"/>
      <c r="AF8" s="231"/>
      <c r="AG8" s="231"/>
      <c r="AH8" s="231"/>
      <c r="AI8" s="231"/>
      <c r="AJ8" s="231"/>
      <c r="AK8" s="231"/>
      <c r="AL8" s="232"/>
      <c r="AM8" s="26"/>
    </row>
    <row r="9" spans="1:39" ht="15" customHeight="1" thickBot="1">
      <c r="B9" s="219"/>
      <c r="C9" s="222"/>
      <c r="D9" s="225"/>
      <c r="E9" s="233" t="s">
        <v>23</v>
      </c>
      <c r="F9" s="234"/>
      <c r="G9" s="234"/>
      <c r="H9" s="234"/>
      <c r="I9" s="235"/>
      <c r="J9" s="236" t="s">
        <v>24</v>
      </c>
      <c r="K9" s="236"/>
      <c r="L9" s="236"/>
      <c r="M9" s="236"/>
      <c r="N9" s="237"/>
      <c r="O9" s="224" t="s">
        <v>25</v>
      </c>
      <c r="P9" s="239" t="s">
        <v>26</v>
      </c>
      <c r="Q9" s="241" t="s">
        <v>27</v>
      </c>
      <c r="R9" s="246" t="s">
        <v>28</v>
      </c>
      <c r="S9" s="248" t="s">
        <v>29</v>
      </c>
      <c r="T9" s="250" t="s">
        <v>30</v>
      </c>
      <c r="U9" s="251"/>
      <c r="V9" s="44"/>
      <c r="W9" s="44" t="s">
        <v>31</v>
      </c>
      <c r="X9" s="44"/>
      <c r="Y9" s="45"/>
      <c r="Z9" s="163"/>
      <c r="AA9" s="252" t="s">
        <v>32</v>
      </c>
      <c r="AB9" s="253"/>
      <c r="AC9" s="231" t="s">
        <v>33</v>
      </c>
      <c r="AD9" s="231"/>
      <c r="AE9" s="231"/>
      <c r="AF9" s="231"/>
      <c r="AG9" s="231"/>
      <c r="AH9" s="231"/>
      <c r="AI9" s="232"/>
      <c r="AJ9" s="243" t="s">
        <v>34</v>
      </c>
      <c r="AK9" s="244"/>
      <c r="AL9" s="245"/>
    </row>
    <row r="10" spans="1:39" ht="61.5" customHeight="1" thickBot="1">
      <c r="A10" s="25"/>
      <c r="B10" s="220"/>
      <c r="C10" s="223"/>
      <c r="D10" s="225"/>
      <c r="E10" s="83" t="s">
        <v>35</v>
      </c>
      <c r="F10" s="72" t="s">
        <v>36</v>
      </c>
      <c r="G10" s="101" t="s">
        <v>37</v>
      </c>
      <c r="H10" s="16" t="s">
        <v>36</v>
      </c>
      <c r="I10" s="84" t="s">
        <v>38</v>
      </c>
      <c r="J10" s="83" t="s">
        <v>35</v>
      </c>
      <c r="K10" s="73" t="s">
        <v>36</v>
      </c>
      <c r="L10" s="101" t="s">
        <v>37</v>
      </c>
      <c r="M10" s="50" t="s">
        <v>36</v>
      </c>
      <c r="N10" s="81" t="s">
        <v>39</v>
      </c>
      <c r="O10" s="238"/>
      <c r="P10" s="240"/>
      <c r="Q10" s="242"/>
      <c r="R10" s="247"/>
      <c r="S10" s="249"/>
      <c r="T10" s="131" t="s">
        <v>40</v>
      </c>
      <c r="U10" s="21" t="s">
        <v>41</v>
      </c>
      <c r="V10" s="132" t="s">
        <v>42</v>
      </c>
      <c r="W10" s="167" t="s">
        <v>43</v>
      </c>
      <c r="X10" s="167" t="s">
        <v>44</v>
      </c>
      <c r="Y10" s="20" t="s">
        <v>45</v>
      </c>
      <c r="Z10" s="20" t="s">
        <v>46</v>
      </c>
      <c r="AA10" s="20" t="s">
        <v>40</v>
      </c>
      <c r="AB10" s="12" t="s">
        <v>41</v>
      </c>
      <c r="AC10" s="96" t="s">
        <v>47</v>
      </c>
      <c r="AD10" s="40" t="s">
        <v>48</v>
      </c>
      <c r="AE10" s="39" t="s">
        <v>49</v>
      </c>
      <c r="AF10" s="39" t="s">
        <v>50</v>
      </c>
      <c r="AG10" s="39" t="s">
        <v>51</v>
      </c>
      <c r="AH10" s="40" t="s">
        <v>40</v>
      </c>
      <c r="AI10" s="41" t="s">
        <v>41</v>
      </c>
      <c r="AJ10" s="104" t="s">
        <v>52</v>
      </c>
      <c r="AK10" s="39" t="s">
        <v>40</v>
      </c>
      <c r="AL10" s="43" t="s">
        <v>41</v>
      </c>
      <c r="AM10" s="25"/>
    </row>
    <row r="11" spans="1:39">
      <c r="A11" s="25"/>
      <c r="B11" s="47"/>
      <c r="C11" s="85"/>
      <c r="D11" s="166"/>
      <c r="E11" s="18"/>
      <c r="F11" s="79"/>
      <c r="G11" s="17"/>
      <c r="H11" s="18"/>
      <c r="I11" s="86"/>
      <c r="J11" s="80"/>
      <c r="K11" s="17"/>
      <c r="L11" s="18"/>
      <c r="M11" s="51"/>
      <c r="N11" s="82"/>
      <c r="O11" s="46"/>
      <c r="P11" s="87"/>
      <c r="Q11" s="133"/>
      <c r="R11" s="88"/>
      <c r="S11" s="134"/>
      <c r="T11" s="134"/>
      <c r="U11" s="162"/>
      <c r="V11" s="80"/>
      <c r="W11" s="17"/>
      <c r="X11" s="17"/>
      <c r="Y11" s="19"/>
      <c r="Z11" s="19"/>
      <c r="AA11" s="19"/>
      <c r="AB11" s="86">
        <v>14522</v>
      </c>
      <c r="AC11" s="198"/>
      <c r="AD11" s="37"/>
      <c r="AE11" s="197"/>
      <c r="AF11" s="197"/>
      <c r="AG11" s="35"/>
      <c r="AH11" s="37"/>
      <c r="AI11" s="38"/>
      <c r="AJ11" s="105"/>
      <c r="AK11" s="197">
        <v>19000</v>
      </c>
      <c r="AL11" s="42"/>
      <c r="AM11" s="25"/>
    </row>
    <row r="12" spans="1:39" ht="15">
      <c r="A12" s="29"/>
      <c r="B12" s="48">
        <v>1</v>
      </c>
      <c r="C12" s="211">
        <v>14</v>
      </c>
      <c r="D12" s="212">
        <v>80</v>
      </c>
      <c r="E12" s="172">
        <v>14319.999999999709</v>
      </c>
      <c r="F12" s="169">
        <v>14832369.599999698</v>
      </c>
      <c r="G12" s="169">
        <v>2759.9999999999909</v>
      </c>
      <c r="H12" s="169">
        <v>4288129.1999999862</v>
      </c>
      <c r="I12" s="173">
        <f>F12+H12</f>
        <v>19120498.799999684</v>
      </c>
      <c r="J12" s="172">
        <v>1539.9999999999636</v>
      </c>
      <c r="K12" s="169">
        <v>1595101.1999999622</v>
      </c>
      <c r="L12" s="174">
        <v>439.99999999999773</v>
      </c>
      <c r="M12" s="174">
        <v>683614.79999999655</v>
      </c>
      <c r="N12" s="173">
        <f>K12+M12</f>
        <v>2278715.999999959</v>
      </c>
      <c r="O12" s="170">
        <f>I12+N12</f>
        <v>21399214.799999643</v>
      </c>
      <c r="P12" s="171">
        <f>E12+G12+J12+L12</f>
        <v>19059.999999999662</v>
      </c>
      <c r="Q12" s="102"/>
      <c r="R12" s="147"/>
      <c r="S12" s="157"/>
      <c r="T12" s="156"/>
      <c r="U12" s="155">
        <v>0</v>
      </c>
      <c r="V12" s="135">
        <f>W12+Y12</f>
        <v>861.52</v>
      </c>
      <c r="W12" s="203">
        <v>75.650000000000006</v>
      </c>
      <c r="X12" s="207">
        <v>1359468.3250000002</v>
      </c>
      <c r="Y12" s="205">
        <v>785.87</v>
      </c>
      <c r="Z12" s="209">
        <v>3336159.6066000001</v>
      </c>
      <c r="AA12" s="168">
        <f>X12+Z12</f>
        <v>4695627.9316000007</v>
      </c>
      <c r="AB12" s="97">
        <f>AA12/$AB$11</f>
        <v>323.34581542487268</v>
      </c>
      <c r="AC12" s="187">
        <v>0</v>
      </c>
      <c r="AD12" s="2">
        <v>500</v>
      </c>
      <c r="AE12" s="2">
        <v>50.18888000000014</v>
      </c>
      <c r="AF12" s="2">
        <v>0</v>
      </c>
      <c r="AG12" s="2">
        <f>AC12+AD12+AE12+AF12</f>
        <v>550.18888000000015</v>
      </c>
      <c r="AH12" s="199">
        <v>2591830</v>
      </c>
      <c r="AI12" s="36">
        <f>AH12/14522</f>
        <v>178.47610521966672</v>
      </c>
      <c r="AJ12" s="106">
        <v>405.22999999999956</v>
      </c>
      <c r="AK12" s="201">
        <v>7699369.9999999916</v>
      </c>
      <c r="AL12" s="32">
        <f>AK12/14522</f>
        <v>530.18661341412974</v>
      </c>
      <c r="AM12" s="6"/>
    </row>
    <row r="13" spans="1:39" ht="15">
      <c r="A13" s="29"/>
      <c r="B13" s="48">
        <v>2</v>
      </c>
      <c r="C13" s="213">
        <v>16</v>
      </c>
      <c r="D13" s="214">
        <v>80</v>
      </c>
      <c r="E13" s="172">
        <v>14360.000000000582</v>
      </c>
      <c r="F13" s="169">
        <v>14873800.800000602</v>
      </c>
      <c r="G13" s="169">
        <v>3399.9999999998636</v>
      </c>
      <c r="H13" s="169">
        <v>5282477.9999997886</v>
      </c>
      <c r="I13" s="173">
        <f t="shared" ref="I13:I41" si="0">F13+H13</f>
        <v>20156278.800000392</v>
      </c>
      <c r="J13" s="172">
        <v>1580.0000000000409</v>
      </c>
      <c r="K13" s="169">
        <v>1636532.4000000423</v>
      </c>
      <c r="L13" s="174">
        <v>400.00000000000568</v>
      </c>
      <c r="M13" s="174">
        <v>621468.00000000885</v>
      </c>
      <c r="N13" s="173">
        <f t="shared" ref="N13:N41" si="1">K13+M13</f>
        <v>2258000.4000000511</v>
      </c>
      <c r="O13" s="170">
        <f t="shared" ref="O13:O41" si="2">I13+N13</f>
        <v>22414279.200000443</v>
      </c>
      <c r="P13" s="171">
        <f t="shared" ref="P13:P41" si="3">E13+G13+J13+L13</f>
        <v>19740.000000000491</v>
      </c>
      <c r="Q13" s="137"/>
      <c r="R13" s="148"/>
      <c r="S13" s="157"/>
      <c r="T13" s="156"/>
      <c r="U13" s="155">
        <v>0</v>
      </c>
      <c r="V13" s="135">
        <f t="shared" ref="V13:V41" si="4">W13+Y13</f>
        <v>847.28</v>
      </c>
      <c r="W13" s="204">
        <v>83.66</v>
      </c>
      <c r="X13" s="208">
        <v>1503412.03</v>
      </c>
      <c r="Y13" s="206">
        <v>763.62</v>
      </c>
      <c r="Z13" s="210">
        <v>3241704.3516000002</v>
      </c>
      <c r="AA13" s="168">
        <f t="shared" ref="AA13:AA41" si="5">X13+Z13</f>
        <v>4745116.3816</v>
      </c>
      <c r="AB13" s="97">
        <f t="shared" ref="AB13:AB41" si="6">AA13/$AB$11</f>
        <v>326.75364148188953</v>
      </c>
      <c r="AC13" s="187">
        <v>0</v>
      </c>
      <c r="AD13" s="2">
        <v>0</v>
      </c>
      <c r="AE13" s="2">
        <v>49.987479999999408</v>
      </c>
      <c r="AF13" s="2">
        <v>0</v>
      </c>
      <c r="AG13" s="2">
        <f t="shared" ref="AG13:AG41" si="7">AC13+AD13+AE13+AF13</f>
        <v>49.987479999999408</v>
      </c>
      <c r="AH13" s="200">
        <v>2096357</v>
      </c>
      <c r="AI13" s="36">
        <f t="shared" ref="AI13:AI41" si="8">AH13/14522</f>
        <v>144.35731992838453</v>
      </c>
      <c r="AJ13" s="106">
        <v>412.20000000001164</v>
      </c>
      <c r="AK13" s="202">
        <v>7831800.0000002217</v>
      </c>
      <c r="AL13" s="32">
        <f t="shared" ref="AL13:AL41" si="9">AK13/14522</f>
        <v>539.30588073269666</v>
      </c>
      <c r="AM13" s="6"/>
    </row>
    <row r="14" spans="1:39" ht="15">
      <c r="A14" s="29"/>
      <c r="B14" s="48">
        <v>3</v>
      </c>
      <c r="C14" s="213">
        <v>15</v>
      </c>
      <c r="D14" s="214">
        <v>82</v>
      </c>
      <c r="E14" s="172">
        <v>14399.999999999636</v>
      </c>
      <c r="F14" s="169">
        <v>14915231.999999622</v>
      </c>
      <c r="G14" s="169">
        <v>3000</v>
      </c>
      <c r="H14" s="169">
        <v>4661010</v>
      </c>
      <c r="I14" s="173">
        <f t="shared" si="0"/>
        <v>19576241.99999962</v>
      </c>
      <c r="J14" s="172">
        <v>1639.9999999999864</v>
      </c>
      <c r="K14" s="169">
        <v>1698679.1999999858</v>
      </c>
      <c r="L14" s="174">
        <v>460.00000000000796</v>
      </c>
      <c r="M14" s="174">
        <v>714688.20000001241</v>
      </c>
      <c r="N14" s="173">
        <f t="shared" si="1"/>
        <v>2413367.399999998</v>
      </c>
      <c r="O14" s="170">
        <f t="shared" si="2"/>
        <v>21989609.399999619</v>
      </c>
      <c r="P14" s="171">
        <f t="shared" si="3"/>
        <v>19499.999999999629</v>
      </c>
      <c r="Q14" s="137"/>
      <c r="R14" s="148"/>
      <c r="S14" s="157"/>
      <c r="T14" s="156"/>
      <c r="U14" s="155">
        <v>0</v>
      </c>
      <c r="V14" s="135">
        <f t="shared" si="4"/>
        <v>826.81</v>
      </c>
      <c r="W14" s="204">
        <v>105.91</v>
      </c>
      <c r="X14" s="208">
        <v>1903255.655</v>
      </c>
      <c r="Y14" s="206">
        <v>720.9</v>
      </c>
      <c r="Z14" s="210">
        <v>3060350.2620000001</v>
      </c>
      <c r="AA14" s="168">
        <f t="shared" si="5"/>
        <v>4963605.9170000004</v>
      </c>
      <c r="AB14" s="97">
        <f t="shared" si="6"/>
        <v>341.79905777441127</v>
      </c>
      <c r="AC14" s="187">
        <v>0</v>
      </c>
      <c r="AD14" s="2">
        <v>0</v>
      </c>
      <c r="AE14" s="2">
        <v>46.281720000000945</v>
      </c>
      <c r="AF14" s="2">
        <v>36</v>
      </c>
      <c r="AG14" s="2">
        <f t="shared" si="7"/>
        <v>82.281720000000945</v>
      </c>
      <c r="AH14" s="200">
        <v>2448594</v>
      </c>
      <c r="AI14" s="36">
        <f t="shared" si="8"/>
        <v>168.61272551990083</v>
      </c>
      <c r="AJ14" s="106">
        <v>339.78999999999724</v>
      </c>
      <c r="AK14" s="202">
        <v>6456009.9999999478</v>
      </c>
      <c r="AL14" s="32">
        <f t="shared" si="9"/>
        <v>444.56755267869079</v>
      </c>
      <c r="AM14" s="6"/>
    </row>
    <row r="15" spans="1:39" ht="15">
      <c r="A15" s="29"/>
      <c r="B15" s="48">
        <v>4</v>
      </c>
      <c r="C15" s="213">
        <v>18</v>
      </c>
      <c r="D15" s="214">
        <v>108</v>
      </c>
      <c r="E15" s="172">
        <v>14319.999999999709</v>
      </c>
      <c r="F15" s="169">
        <v>14832369.599999698</v>
      </c>
      <c r="G15" s="169">
        <v>3519.9999999999818</v>
      </c>
      <c r="H15" s="169">
        <v>5468918.3999999724</v>
      </c>
      <c r="I15" s="173">
        <f t="shared" si="0"/>
        <v>20301287.999999672</v>
      </c>
      <c r="J15" s="172">
        <v>1500</v>
      </c>
      <c r="K15" s="169">
        <v>1553670</v>
      </c>
      <c r="L15" s="174">
        <v>479.99999999998977</v>
      </c>
      <c r="M15" s="174">
        <v>745761.59999998414</v>
      </c>
      <c r="N15" s="173">
        <f t="shared" si="1"/>
        <v>2299431.5999999843</v>
      </c>
      <c r="O15" s="170">
        <f t="shared" si="2"/>
        <v>22600719.599999655</v>
      </c>
      <c r="P15" s="171">
        <f t="shared" si="3"/>
        <v>19819.99999999968</v>
      </c>
      <c r="Q15" s="137"/>
      <c r="R15" s="148"/>
      <c r="S15" s="157"/>
      <c r="T15" s="156"/>
      <c r="U15" s="155">
        <v>0</v>
      </c>
      <c r="V15" s="135">
        <f t="shared" si="4"/>
        <v>737.81</v>
      </c>
      <c r="W15" s="204">
        <v>90.78</v>
      </c>
      <c r="X15" s="208">
        <v>1631361.99</v>
      </c>
      <c r="Y15" s="206">
        <v>647.03</v>
      </c>
      <c r="Z15" s="210">
        <v>2746758.8154000002</v>
      </c>
      <c r="AA15" s="168">
        <f t="shared" si="5"/>
        <v>4378120.8054</v>
      </c>
      <c r="AB15" s="97">
        <f t="shared" si="6"/>
        <v>301.48194500757472</v>
      </c>
      <c r="AC15" s="187">
        <v>0</v>
      </c>
      <c r="AD15" s="2">
        <v>0</v>
      </c>
      <c r="AE15" s="2">
        <v>54.740520000000579</v>
      </c>
      <c r="AF15" s="2">
        <v>0</v>
      </c>
      <c r="AG15" s="2">
        <f t="shared" si="7"/>
        <v>54.740520000000579</v>
      </c>
      <c r="AH15" s="200">
        <v>2238819</v>
      </c>
      <c r="AI15" s="36">
        <f t="shared" si="8"/>
        <v>154.16740118440987</v>
      </c>
      <c r="AJ15" s="106">
        <v>338.7300000000032</v>
      </c>
      <c r="AK15" s="202">
        <v>6435870.0000000605</v>
      </c>
      <c r="AL15" s="32">
        <f t="shared" si="9"/>
        <v>443.18069136482995</v>
      </c>
      <c r="AM15" s="6"/>
    </row>
    <row r="16" spans="1:39" ht="15">
      <c r="A16" s="29"/>
      <c r="B16" s="48">
        <v>5</v>
      </c>
      <c r="C16" s="213">
        <v>16</v>
      </c>
      <c r="D16" s="214">
        <v>112</v>
      </c>
      <c r="E16" s="172">
        <v>14520.000000000437</v>
      </c>
      <c r="F16" s="169">
        <v>15039525.600000452</v>
      </c>
      <c r="G16" s="169">
        <v>3279.9999999999727</v>
      </c>
      <c r="H16" s="169">
        <v>5096037.5999999577</v>
      </c>
      <c r="I16" s="173">
        <f t="shared" si="0"/>
        <v>20135563.200000409</v>
      </c>
      <c r="J16" s="172">
        <v>1559.9999999999454</v>
      </c>
      <c r="K16" s="169">
        <v>1615816.7999999435</v>
      </c>
      <c r="L16" s="174">
        <v>479.99999999998977</v>
      </c>
      <c r="M16" s="174">
        <v>745761.59999998414</v>
      </c>
      <c r="N16" s="173">
        <f t="shared" si="1"/>
        <v>2361578.3999999277</v>
      </c>
      <c r="O16" s="170">
        <f t="shared" si="2"/>
        <v>22497141.600000337</v>
      </c>
      <c r="P16" s="171">
        <f t="shared" si="3"/>
        <v>19840.000000000342</v>
      </c>
      <c r="Q16" s="137"/>
      <c r="R16" s="148"/>
      <c r="S16" s="157"/>
      <c r="T16" s="156"/>
      <c r="U16" s="155">
        <v>0</v>
      </c>
      <c r="V16" s="135">
        <f t="shared" si="4"/>
        <v>722.68000000000006</v>
      </c>
      <c r="W16" s="204">
        <v>93.45</v>
      </c>
      <c r="X16" s="208">
        <v>1679343.2250000001</v>
      </c>
      <c r="Y16" s="206">
        <v>629.23</v>
      </c>
      <c r="Z16" s="210">
        <v>2671194.6114000003</v>
      </c>
      <c r="AA16" s="168">
        <f t="shared" si="5"/>
        <v>4350537.8364000004</v>
      </c>
      <c r="AB16" s="97">
        <f t="shared" si="6"/>
        <v>299.58255311940508</v>
      </c>
      <c r="AC16" s="187">
        <v>0</v>
      </c>
      <c r="AD16" s="2">
        <v>0</v>
      </c>
      <c r="AE16" s="2">
        <v>55.546119999999846</v>
      </c>
      <c r="AF16" s="2">
        <v>36</v>
      </c>
      <c r="AG16" s="2">
        <f t="shared" si="7"/>
        <v>91.546119999999846</v>
      </c>
      <c r="AH16" s="200">
        <v>2017041</v>
      </c>
      <c r="AI16" s="36">
        <f t="shared" si="8"/>
        <v>138.8955378047101</v>
      </c>
      <c r="AJ16" s="106">
        <v>398.31999999999971</v>
      </c>
      <c r="AK16" s="202">
        <v>7568079.9999999944</v>
      </c>
      <c r="AL16" s="32">
        <f t="shared" si="9"/>
        <v>521.14584767938265</v>
      </c>
      <c r="AM16" s="6"/>
    </row>
    <row r="17" spans="1:39" ht="15">
      <c r="A17" s="29"/>
      <c r="B17" s="48">
        <v>6</v>
      </c>
      <c r="C17" s="213">
        <v>12</v>
      </c>
      <c r="D17" s="214">
        <v>76</v>
      </c>
      <c r="E17" s="172">
        <v>15159.999999999854</v>
      </c>
      <c r="F17" s="169">
        <v>15702424.799999848</v>
      </c>
      <c r="G17" s="169">
        <v>3320.0000000001637</v>
      </c>
      <c r="H17" s="169">
        <v>5158184.4000002546</v>
      </c>
      <c r="I17" s="173">
        <f t="shared" si="0"/>
        <v>20860609.200000104</v>
      </c>
      <c r="J17" s="172">
        <v>1600.0000000000227</v>
      </c>
      <c r="K17" s="169">
        <v>1657248.0000000235</v>
      </c>
      <c r="L17" s="174">
        <v>500</v>
      </c>
      <c r="M17" s="174">
        <v>776835</v>
      </c>
      <c r="N17" s="173">
        <f t="shared" si="1"/>
        <v>2434083.0000000233</v>
      </c>
      <c r="O17" s="170">
        <f t="shared" si="2"/>
        <v>23294692.200000126</v>
      </c>
      <c r="P17" s="171">
        <f t="shared" si="3"/>
        <v>20580.00000000004</v>
      </c>
      <c r="Q17" s="137"/>
      <c r="R17" s="148"/>
      <c r="S17" s="157"/>
      <c r="T17" s="156"/>
      <c r="U17" s="155">
        <v>0</v>
      </c>
      <c r="V17" s="135">
        <f t="shared" si="4"/>
        <v>809.9</v>
      </c>
      <c r="W17" s="204">
        <v>97.01</v>
      </c>
      <c r="X17" s="208">
        <v>1743318.2050000001</v>
      </c>
      <c r="Y17" s="206">
        <v>712.89</v>
      </c>
      <c r="Z17" s="210">
        <v>3026346.3702000002</v>
      </c>
      <c r="AA17" s="168">
        <f t="shared" si="5"/>
        <v>4769664.5752000008</v>
      </c>
      <c r="AB17" s="97">
        <f t="shared" si="6"/>
        <v>328.44405558463029</v>
      </c>
      <c r="AC17" s="187">
        <v>0</v>
      </c>
      <c r="AD17" s="2">
        <v>0</v>
      </c>
      <c r="AE17" s="2">
        <v>43.13988000000014</v>
      </c>
      <c r="AF17" s="2">
        <v>0</v>
      </c>
      <c r="AG17" s="2">
        <f t="shared" si="7"/>
        <v>43.13988000000014</v>
      </c>
      <c r="AH17" s="200">
        <v>1943265</v>
      </c>
      <c r="AI17" s="36">
        <f t="shared" si="8"/>
        <v>133.81524583390717</v>
      </c>
      <c r="AJ17" s="106">
        <v>375.5</v>
      </c>
      <c r="AK17" s="202">
        <v>7134500</v>
      </c>
      <c r="AL17" s="32">
        <f t="shared" si="9"/>
        <v>491.2890786393059</v>
      </c>
      <c r="AM17" s="6"/>
    </row>
    <row r="18" spans="1:39" ht="15">
      <c r="A18" s="29"/>
      <c r="B18" s="48">
        <v>7</v>
      </c>
      <c r="C18" s="213">
        <v>14</v>
      </c>
      <c r="D18" s="214">
        <v>90</v>
      </c>
      <c r="E18" s="172">
        <v>14880.000000000109</v>
      </c>
      <c r="F18" s="169">
        <v>15412406.400000112</v>
      </c>
      <c r="G18" s="169">
        <v>3359.9999999999</v>
      </c>
      <c r="H18" s="169">
        <v>5220331.1999998447</v>
      </c>
      <c r="I18" s="173">
        <f t="shared" si="0"/>
        <v>20632737.599999957</v>
      </c>
      <c r="J18" s="172">
        <v>1659.9999999999682</v>
      </c>
      <c r="K18" s="169">
        <v>1719394.799999967</v>
      </c>
      <c r="L18" s="174">
        <v>439.99999999999773</v>
      </c>
      <c r="M18" s="174">
        <v>683614.79999999655</v>
      </c>
      <c r="N18" s="173">
        <f t="shared" si="1"/>
        <v>2403009.5999999633</v>
      </c>
      <c r="O18" s="170">
        <f t="shared" si="2"/>
        <v>23035747.199999921</v>
      </c>
      <c r="P18" s="171">
        <f t="shared" si="3"/>
        <v>20339.999999999971</v>
      </c>
      <c r="Q18" s="137"/>
      <c r="R18" s="148"/>
      <c r="S18" s="157"/>
      <c r="T18" s="156"/>
      <c r="U18" s="155">
        <v>0</v>
      </c>
      <c r="V18" s="135">
        <f t="shared" si="4"/>
        <v>815.24</v>
      </c>
      <c r="W18" s="204">
        <v>87.22</v>
      </c>
      <c r="X18" s="208">
        <v>1567387.01</v>
      </c>
      <c r="Y18" s="206">
        <v>728.02</v>
      </c>
      <c r="Z18" s="210">
        <v>3090575.9436000003</v>
      </c>
      <c r="AA18" s="168">
        <f t="shared" si="5"/>
        <v>4657962.9536000006</v>
      </c>
      <c r="AB18" s="97">
        <f t="shared" si="6"/>
        <v>320.75216592755822</v>
      </c>
      <c r="AC18" s="187">
        <v>0</v>
      </c>
      <c r="AD18" s="2">
        <v>500</v>
      </c>
      <c r="AE18" s="2">
        <v>45.516399999998896</v>
      </c>
      <c r="AF18" s="2">
        <v>0</v>
      </c>
      <c r="AG18" s="2">
        <f t="shared" si="7"/>
        <v>545.51639999999884</v>
      </c>
      <c r="AH18" s="200">
        <v>1928917</v>
      </c>
      <c r="AI18" s="36">
        <f t="shared" si="8"/>
        <v>132.82722765459303</v>
      </c>
      <c r="AJ18" s="106">
        <v>433.61000000000058</v>
      </c>
      <c r="AK18" s="202">
        <v>8238590.0000000112</v>
      </c>
      <c r="AL18" s="32">
        <f t="shared" si="9"/>
        <v>567.31786255336806</v>
      </c>
      <c r="AM18" s="6"/>
    </row>
    <row r="19" spans="1:39" ht="15">
      <c r="A19" s="29"/>
      <c r="B19" s="48">
        <v>8</v>
      </c>
      <c r="C19" s="213">
        <v>19</v>
      </c>
      <c r="D19" s="214">
        <v>105</v>
      </c>
      <c r="E19" s="172">
        <v>16399.999999999636</v>
      </c>
      <c r="F19" s="169">
        <v>16986791.999999624</v>
      </c>
      <c r="G19" s="169">
        <v>3519.9999999999818</v>
      </c>
      <c r="H19" s="169">
        <v>5468918.3999999724</v>
      </c>
      <c r="I19" s="173">
        <f t="shared" si="0"/>
        <v>22455710.399999596</v>
      </c>
      <c r="J19" s="172">
        <v>1540.0000000000773</v>
      </c>
      <c r="K19" s="169">
        <v>1595101.20000008</v>
      </c>
      <c r="L19" s="174">
        <v>500</v>
      </c>
      <c r="M19" s="174">
        <v>776835</v>
      </c>
      <c r="N19" s="173">
        <f t="shared" si="1"/>
        <v>2371936.2000000803</v>
      </c>
      <c r="O19" s="170">
        <f t="shared" si="2"/>
        <v>24827646.599999677</v>
      </c>
      <c r="P19" s="171">
        <f t="shared" si="3"/>
        <v>21959.999999999694</v>
      </c>
      <c r="Q19" s="137"/>
      <c r="R19" s="148"/>
      <c r="S19" s="157"/>
      <c r="T19" s="156"/>
      <c r="U19" s="155">
        <v>0</v>
      </c>
      <c r="V19" s="135">
        <f t="shared" si="4"/>
        <v>869.53000000000009</v>
      </c>
      <c r="W19" s="204">
        <v>79.210000000000008</v>
      </c>
      <c r="X19" s="208">
        <v>1423443.3050000002</v>
      </c>
      <c r="Y19" s="206">
        <v>790.32</v>
      </c>
      <c r="Z19" s="210">
        <v>3355050.6576000005</v>
      </c>
      <c r="AA19" s="168">
        <f t="shared" si="5"/>
        <v>4778493.9626000002</v>
      </c>
      <c r="AB19" s="97">
        <f t="shared" si="6"/>
        <v>329.0520563696461</v>
      </c>
      <c r="AC19" s="187">
        <v>0</v>
      </c>
      <c r="AD19" s="2">
        <v>0</v>
      </c>
      <c r="AE19" s="2">
        <v>56.391999999999996</v>
      </c>
      <c r="AF19" s="2">
        <v>48</v>
      </c>
      <c r="AG19" s="2">
        <f t="shared" si="7"/>
        <v>104.392</v>
      </c>
      <c r="AH19" s="200">
        <v>1889483</v>
      </c>
      <c r="AI19" s="36">
        <f t="shared" si="8"/>
        <v>130.11176146536289</v>
      </c>
      <c r="AJ19" s="106">
        <v>341.16999999999825</v>
      </c>
      <c r="AK19" s="202">
        <v>6482229.9999999665</v>
      </c>
      <c r="AL19" s="32">
        <f t="shared" si="9"/>
        <v>446.3730891061814</v>
      </c>
      <c r="AM19" s="6"/>
    </row>
    <row r="20" spans="1:39" ht="15">
      <c r="A20" s="29"/>
      <c r="B20" s="48">
        <v>9</v>
      </c>
      <c r="C20" s="213">
        <v>24</v>
      </c>
      <c r="D20" s="214">
        <v>124</v>
      </c>
      <c r="E20" s="172">
        <v>15159.999999999854</v>
      </c>
      <c r="F20" s="169">
        <v>15702424.799999848</v>
      </c>
      <c r="G20" s="169">
        <v>3320.0000000001637</v>
      </c>
      <c r="H20" s="169">
        <v>5158184.4000002546</v>
      </c>
      <c r="I20" s="173">
        <f t="shared" si="0"/>
        <v>20860609.200000104</v>
      </c>
      <c r="J20" s="172">
        <v>1500</v>
      </c>
      <c r="K20" s="169">
        <v>1553670</v>
      </c>
      <c r="L20" s="174">
        <v>460.00000000000796</v>
      </c>
      <c r="M20" s="174">
        <v>714688.20000001241</v>
      </c>
      <c r="N20" s="173">
        <f t="shared" si="1"/>
        <v>2268358.2000000123</v>
      </c>
      <c r="O20" s="170">
        <f t="shared" si="2"/>
        <v>23128967.400000118</v>
      </c>
      <c r="P20" s="171">
        <f t="shared" si="3"/>
        <v>20440.000000000025</v>
      </c>
      <c r="Q20" s="137"/>
      <c r="R20" s="148"/>
      <c r="S20" s="157"/>
      <c r="T20" s="156"/>
      <c r="U20" s="155">
        <v>0</v>
      </c>
      <c r="V20" s="135">
        <f t="shared" si="4"/>
        <v>835.71</v>
      </c>
      <c r="W20" s="204">
        <v>95.23</v>
      </c>
      <c r="X20" s="208">
        <v>1711330.7150000001</v>
      </c>
      <c r="Y20" s="206">
        <v>740.48</v>
      </c>
      <c r="Z20" s="210">
        <v>3143470.8864000002</v>
      </c>
      <c r="AA20" s="168">
        <f t="shared" si="5"/>
        <v>4854801.6014</v>
      </c>
      <c r="AB20" s="97">
        <f t="shared" si="6"/>
        <v>334.3066796171326</v>
      </c>
      <c r="AC20" s="187">
        <v>0</v>
      </c>
      <c r="AD20" s="2">
        <v>0</v>
      </c>
      <c r="AE20" s="2">
        <v>34.117160000001022</v>
      </c>
      <c r="AF20" s="2">
        <v>0</v>
      </c>
      <c r="AG20" s="2">
        <f t="shared" si="7"/>
        <v>34.117160000001022</v>
      </c>
      <c r="AH20" s="200">
        <v>1712230</v>
      </c>
      <c r="AI20" s="36">
        <f t="shared" si="8"/>
        <v>117.90593582151219</v>
      </c>
      <c r="AJ20" s="106">
        <v>392.36000000000058</v>
      </c>
      <c r="AK20" s="202">
        <v>7454840.0000000112</v>
      </c>
      <c r="AL20" s="32">
        <f t="shared" si="9"/>
        <v>513.34802368819794</v>
      </c>
      <c r="AM20" s="6"/>
    </row>
    <row r="21" spans="1:39" ht="15">
      <c r="A21" s="29"/>
      <c r="B21" s="48">
        <v>10</v>
      </c>
      <c r="C21" s="213">
        <v>29</v>
      </c>
      <c r="D21" s="214">
        <v>133</v>
      </c>
      <c r="E21" s="172">
        <v>14680.000000000291</v>
      </c>
      <c r="F21" s="169">
        <v>15205250.4000003</v>
      </c>
      <c r="G21" s="169">
        <v>3399.9999999998636</v>
      </c>
      <c r="H21" s="169">
        <v>5282477.9999997886</v>
      </c>
      <c r="I21" s="173">
        <f t="shared" si="0"/>
        <v>20487728.400000088</v>
      </c>
      <c r="J21" s="172">
        <v>1479.9999999999045</v>
      </c>
      <c r="K21" s="169">
        <v>1532954.399999901</v>
      </c>
      <c r="L21" s="174">
        <v>460.00000000000796</v>
      </c>
      <c r="M21" s="174">
        <v>714688.20000001241</v>
      </c>
      <c r="N21" s="173">
        <f t="shared" si="1"/>
        <v>2247642.5999999135</v>
      </c>
      <c r="O21" s="170">
        <f t="shared" si="2"/>
        <v>22735371</v>
      </c>
      <c r="P21" s="171">
        <f t="shared" si="3"/>
        <v>20020.000000000065</v>
      </c>
      <c r="Q21" s="137"/>
      <c r="R21" s="148"/>
      <c r="S21" s="157"/>
      <c r="T21" s="156"/>
      <c r="U21" s="155">
        <v>0</v>
      </c>
      <c r="V21" s="135">
        <f t="shared" si="4"/>
        <v>763.62</v>
      </c>
      <c r="W21" s="204">
        <v>96.12</v>
      </c>
      <c r="X21" s="208">
        <v>1727324.4600000002</v>
      </c>
      <c r="Y21" s="206">
        <v>667.5</v>
      </c>
      <c r="Z21" s="210">
        <v>2833657.6500000004</v>
      </c>
      <c r="AA21" s="168">
        <f t="shared" si="5"/>
        <v>4560982.1100000003</v>
      </c>
      <c r="AB21" s="97">
        <f t="shared" si="6"/>
        <v>314.07396432998212</v>
      </c>
      <c r="AC21" s="187">
        <v>0</v>
      </c>
      <c r="AD21" s="2">
        <v>0</v>
      </c>
      <c r="AE21" s="2">
        <v>52.766799999999627</v>
      </c>
      <c r="AF21" s="2">
        <v>12</v>
      </c>
      <c r="AG21" s="2">
        <f t="shared" si="7"/>
        <v>64.76679999999962</v>
      </c>
      <c r="AH21" s="200">
        <v>2280521</v>
      </c>
      <c r="AI21" s="36">
        <f t="shared" si="8"/>
        <v>157.03904420878666</v>
      </c>
      <c r="AJ21" s="106">
        <v>230.88000000000102</v>
      </c>
      <c r="AK21" s="202">
        <v>4386720.0000000196</v>
      </c>
      <c r="AL21" s="32">
        <f t="shared" si="9"/>
        <v>302.07409447734608</v>
      </c>
      <c r="AM21" s="6"/>
    </row>
    <row r="22" spans="1:39" ht="15">
      <c r="A22" s="29"/>
      <c r="B22" s="48">
        <v>11</v>
      </c>
      <c r="C22" s="213">
        <v>24</v>
      </c>
      <c r="D22" s="214">
        <v>130</v>
      </c>
      <c r="E22" s="172">
        <v>15239.999999999782</v>
      </c>
      <c r="F22" s="169">
        <v>15785287.199999774</v>
      </c>
      <c r="G22" s="169">
        <v>3360.0000000001273</v>
      </c>
      <c r="H22" s="169">
        <v>5220331.2000001976</v>
      </c>
      <c r="I22" s="173">
        <f t="shared" si="0"/>
        <v>21005618.399999972</v>
      </c>
      <c r="J22" s="172">
        <v>1560.0000000000591</v>
      </c>
      <c r="K22" s="169">
        <v>1615816.8000000613</v>
      </c>
      <c r="L22" s="174">
        <v>500</v>
      </c>
      <c r="M22" s="174">
        <v>776835</v>
      </c>
      <c r="N22" s="173">
        <f t="shared" si="1"/>
        <v>2392651.8000000613</v>
      </c>
      <c r="O22" s="170">
        <f t="shared" si="2"/>
        <v>23398270.200000033</v>
      </c>
      <c r="P22" s="171">
        <f t="shared" si="3"/>
        <v>20659.999999999967</v>
      </c>
      <c r="Q22" s="137"/>
      <c r="R22" s="148"/>
      <c r="S22" s="157"/>
      <c r="T22" s="156"/>
      <c r="U22" s="155">
        <v>0</v>
      </c>
      <c r="V22" s="135">
        <f t="shared" si="4"/>
        <v>847.28000000000009</v>
      </c>
      <c r="W22" s="204">
        <v>109.47</v>
      </c>
      <c r="X22" s="208">
        <v>1967230.635</v>
      </c>
      <c r="Y22" s="206">
        <v>737.81000000000006</v>
      </c>
      <c r="Z22" s="210">
        <v>3132136.2558000004</v>
      </c>
      <c r="AA22" s="168">
        <f t="shared" si="5"/>
        <v>5099366.8908000002</v>
      </c>
      <c r="AB22" s="97">
        <f t="shared" si="6"/>
        <v>351.14769940779507</v>
      </c>
      <c r="AC22" s="187">
        <v>0</v>
      </c>
      <c r="AD22" s="2">
        <v>0</v>
      </c>
      <c r="AE22" s="2">
        <v>52.645959999998823</v>
      </c>
      <c r="AF22" s="2">
        <v>0</v>
      </c>
      <c r="AG22" s="2">
        <f t="shared" si="7"/>
        <v>52.645959999998823</v>
      </c>
      <c r="AH22" s="200">
        <v>2254355</v>
      </c>
      <c r="AI22" s="36">
        <f t="shared" si="8"/>
        <v>155.23722627737226</v>
      </c>
      <c r="AJ22" s="106">
        <v>254.7599999999984</v>
      </c>
      <c r="AK22" s="202">
        <v>4840439.9999999693</v>
      </c>
      <c r="AL22" s="32">
        <f t="shared" si="9"/>
        <v>333.31772483128833</v>
      </c>
      <c r="AM22" s="6"/>
    </row>
    <row r="23" spans="1:39" ht="15">
      <c r="A23" s="29"/>
      <c r="B23" s="48">
        <v>12</v>
      </c>
      <c r="C23" s="213">
        <v>23</v>
      </c>
      <c r="D23" s="214">
        <v>118</v>
      </c>
      <c r="E23" s="172">
        <v>14560.0000000004</v>
      </c>
      <c r="F23" s="169">
        <v>15080956.800000414</v>
      </c>
      <c r="G23" s="169">
        <v>3159.9999999998545</v>
      </c>
      <c r="H23" s="169">
        <v>4909597.1999997739</v>
      </c>
      <c r="I23" s="173">
        <f t="shared" si="0"/>
        <v>19990554.000000186</v>
      </c>
      <c r="J23" s="172">
        <v>1600.0000000000227</v>
      </c>
      <c r="K23" s="169">
        <v>1657248.0000000235</v>
      </c>
      <c r="L23" s="174">
        <v>500</v>
      </c>
      <c r="M23" s="174">
        <v>776835</v>
      </c>
      <c r="N23" s="173">
        <f t="shared" si="1"/>
        <v>2434083.0000000233</v>
      </c>
      <c r="O23" s="170">
        <f t="shared" si="2"/>
        <v>22424637.000000209</v>
      </c>
      <c r="P23" s="171">
        <f t="shared" si="3"/>
        <v>19820.000000000276</v>
      </c>
      <c r="Q23" s="137"/>
      <c r="R23" s="148"/>
      <c r="S23" s="157"/>
      <c r="T23" s="156"/>
      <c r="U23" s="155">
        <v>0</v>
      </c>
      <c r="V23" s="135">
        <f t="shared" si="4"/>
        <v>837.49</v>
      </c>
      <c r="W23" s="204">
        <v>92.56</v>
      </c>
      <c r="X23" s="208">
        <v>1663349.48</v>
      </c>
      <c r="Y23" s="206">
        <v>744.93000000000006</v>
      </c>
      <c r="Z23" s="210">
        <v>3162361.9374000006</v>
      </c>
      <c r="AA23" s="168">
        <f t="shared" si="5"/>
        <v>4825711.4174000006</v>
      </c>
      <c r="AB23" s="97">
        <f t="shared" si="6"/>
        <v>332.30349933893405</v>
      </c>
      <c r="AC23" s="187">
        <v>0</v>
      </c>
      <c r="AD23" s="2">
        <v>0</v>
      </c>
      <c r="AE23" s="2">
        <v>50.18888000000014</v>
      </c>
      <c r="AF23" s="2">
        <v>12</v>
      </c>
      <c r="AG23" s="2">
        <f t="shared" si="7"/>
        <v>62.18888000000014</v>
      </c>
      <c r="AH23" s="200">
        <v>2357461</v>
      </c>
      <c r="AI23" s="36">
        <f t="shared" si="8"/>
        <v>162.33721250516459</v>
      </c>
      <c r="AJ23" s="106">
        <v>387</v>
      </c>
      <c r="AK23" s="202">
        <v>7353000</v>
      </c>
      <c r="AL23" s="32">
        <f t="shared" si="9"/>
        <v>506.33521553505028</v>
      </c>
      <c r="AM23" s="6"/>
    </row>
    <row r="24" spans="1:39" ht="15">
      <c r="A24" s="29"/>
      <c r="B24" s="48">
        <v>13</v>
      </c>
      <c r="C24" s="213">
        <v>33</v>
      </c>
      <c r="D24" s="214">
        <v>134</v>
      </c>
      <c r="E24" s="172">
        <v>13880.000000000109</v>
      </c>
      <c r="F24" s="169">
        <v>14376626.400000112</v>
      </c>
      <c r="G24" s="169">
        <v>2920.0000000000728</v>
      </c>
      <c r="H24" s="169">
        <v>4536716.4000001131</v>
      </c>
      <c r="I24" s="173">
        <f t="shared" si="0"/>
        <v>18913342.800000224</v>
      </c>
      <c r="J24" s="172">
        <v>1559.9999999999454</v>
      </c>
      <c r="K24" s="169">
        <v>1615816.7999999435</v>
      </c>
      <c r="L24" s="174">
        <v>460.00000000000796</v>
      </c>
      <c r="M24" s="174">
        <v>714688.20000001241</v>
      </c>
      <c r="N24" s="173">
        <f t="shared" si="1"/>
        <v>2330504.9999999558</v>
      </c>
      <c r="O24" s="170">
        <f t="shared" si="2"/>
        <v>21243847.80000018</v>
      </c>
      <c r="P24" s="171">
        <f t="shared" si="3"/>
        <v>18820.000000000135</v>
      </c>
      <c r="Q24" s="137"/>
      <c r="R24" s="137"/>
      <c r="S24" s="157"/>
      <c r="T24" s="156"/>
      <c r="U24" s="155">
        <v>0</v>
      </c>
      <c r="V24" s="135">
        <f t="shared" si="4"/>
        <v>617.66</v>
      </c>
      <c r="W24" s="204">
        <v>98.79</v>
      </c>
      <c r="X24" s="208">
        <v>1775305.6950000001</v>
      </c>
      <c r="Y24" s="206">
        <v>518.87</v>
      </c>
      <c r="Z24" s="210">
        <v>2202696.5466</v>
      </c>
      <c r="AA24" s="168">
        <f t="shared" si="5"/>
        <v>3978002.2416000003</v>
      </c>
      <c r="AB24" s="97">
        <f t="shared" si="6"/>
        <v>273.92936521140342</v>
      </c>
      <c r="AC24" s="187">
        <v>0</v>
      </c>
      <c r="AD24" s="2">
        <v>500</v>
      </c>
      <c r="AE24" s="2">
        <v>43.019040000001169</v>
      </c>
      <c r="AF24" s="2">
        <v>24</v>
      </c>
      <c r="AG24" s="2">
        <f t="shared" si="7"/>
        <v>567.01904000000116</v>
      </c>
      <c r="AH24" s="200">
        <v>2133970</v>
      </c>
      <c r="AI24" s="36">
        <f t="shared" si="8"/>
        <v>146.94739016664371</v>
      </c>
      <c r="AJ24" s="106">
        <v>431.58000000000175</v>
      </c>
      <c r="AK24" s="202">
        <v>8200020.0000000335</v>
      </c>
      <c r="AL24" s="32">
        <f t="shared" si="9"/>
        <v>564.66189230133818</v>
      </c>
      <c r="AM24" s="6"/>
    </row>
    <row r="25" spans="1:39" ht="15">
      <c r="A25" s="29"/>
      <c r="B25" s="48">
        <v>14</v>
      </c>
      <c r="C25" s="213">
        <v>35</v>
      </c>
      <c r="D25" s="214">
        <v>159</v>
      </c>
      <c r="E25" s="172">
        <v>13920.000000000073</v>
      </c>
      <c r="F25" s="169">
        <v>14418057.600000074</v>
      </c>
      <c r="G25" s="169">
        <v>3119.9999999998909</v>
      </c>
      <c r="H25" s="169">
        <v>4847450.3999998309</v>
      </c>
      <c r="I25" s="173">
        <f t="shared" si="0"/>
        <v>19265507.999999903</v>
      </c>
      <c r="J25" s="172">
        <v>1440.0000000000546</v>
      </c>
      <c r="K25" s="169">
        <v>1491523.2000000565</v>
      </c>
      <c r="L25" s="174">
        <v>479.99999999998977</v>
      </c>
      <c r="M25" s="174">
        <v>745761.59999998414</v>
      </c>
      <c r="N25" s="173">
        <f t="shared" si="1"/>
        <v>2237284.8000000408</v>
      </c>
      <c r="O25" s="170">
        <f t="shared" si="2"/>
        <v>21502792.799999945</v>
      </c>
      <c r="P25" s="171">
        <f t="shared" si="3"/>
        <v>18960.000000000007</v>
      </c>
      <c r="Q25" s="138"/>
      <c r="R25" s="138"/>
      <c r="S25" s="157"/>
      <c r="T25" s="156"/>
      <c r="U25" s="155">
        <v>0</v>
      </c>
      <c r="V25" s="135">
        <f t="shared" si="4"/>
        <v>779.64</v>
      </c>
      <c r="W25" s="204">
        <v>97.01</v>
      </c>
      <c r="X25" s="208">
        <v>1743318.2050000001</v>
      </c>
      <c r="Y25" s="206">
        <v>682.63</v>
      </c>
      <c r="Z25" s="210">
        <v>2897887.2234</v>
      </c>
      <c r="AA25" s="168">
        <f t="shared" si="5"/>
        <v>4641205.4284000006</v>
      </c>
      <c r="AB25" s="97">
        <f t="shared" si="6"/>
        <v>319.5982253408622</v>
      </c>
      <c r="AC25" s="187">
        <v>0</v>
      </c>
      <c r="AD25" s="2">
        <v>0</v>
      </c>
      <c r="AE25" s="2">
        <v>48.295719999999115</v>
      </c>
      <c r="AF25" s="2">
        <v>24</v>
      </c>
      <c r="AG25" s="2">
        <f t="shared" si="7"/>
        <v>72.295719999999108</v>
      </c>
      <c r="AH25" s="200">
        <v>2694346</v>
      </c>
      <c r="AI25" s="36">
        <f t="shared" si="8"/>
        <v>185.5354634347886</v>
      </c>
      <c r="AJ25" s="106">
        <v>436.5099999999984</v>
      </c>
      <c r="AK25" s="202">
        <v>8293689.9999999693</v>
      </c>
      <c r="AL25" s="32">
        <f t="shared" si="9"/>
        <v>571.11210577055294</v>
      </c>
      <c r="AM25" s="6"/>
    </row>
    <row r="26" spans="1:39" ht="15">
      <c r="A26" s="29"/>
      <c r="B26" s="48">
        <v>15</v>
      </c>
      <c r="C26" s="213">
        <v>37</v>
      </c>
      <c r="D26" s="214">
        <v>165</v>
      </c>
      <c r="E26" s="172">
        <v>15159.999999999854</v>
      </c>
      <c r="F26" s="169">
        <v>15702424.799999848</v>
      </c>
      <c r="G26" s="169">
        <v>3279.9999999999727</v>
      </c>
      <c r="H26" s="169">
        <v>5096037.5999999577</v>
      </c>
      <c r="I26" s="173">
        <f t="shared" si="0"/>
        <v>20798462.399999805</v>
      </c>
      <c r="J26" s="172">
        <v>1639.9999999999864</v>
      </c>
      <c r="K26" s="169">
        <v>1698679.1999999858</v>
      </c>
      <c r="L26" s="174">
        <v>460.00000000000796</v>
      </c>
      <c r="M26" s="174">
        <v>714688.20000001241</v>
      </c>
      <c r="N26" s="173">
        <f t="shared" si="1"/>
        <v>2413367.399999998</v>
      </c>
      <c r="O26" s="170">
        <f t="shared" si="2"/>
        <v>23211829.799999803</v>
      </c>
      <c r="P26" s="171">
        <f t="shared" si="3"/>
        <v>20539.999999999818</v>
      </c>
      <c r="Q26" s="137"/>
      <c r="R26" s="148"/>
      <c r="S26" s="157"/>
      <c r="T26" s="156"/>
      <c r="U26" s="155">
        <v>0</v>
      </c>
      <c r="V26" s="135">
        <f t="shared" si="4"/>
        <v>857.96</v>
      </c>
      <c r="W26" s="204">
        <v>97.9</v>
      </c>
      <c r="X26" s="208">
        <v>1759311.9500000002</v>
      </c>
      <c r="Y26" s="206">
        <v>760.06000000000006</v>
      </c>
      <c r="Z26" s="210">
        <v>3226591.5108000003</v>
      </c>
      <c r="AA26" s="168">
        <f t="shared" si="5"/>
        <v>4985903.4608000005</v>
      </c>
      <c r="AB26" s="97">
        <f t="shared" si="6"/>
        <v>343.33448979479414</v>
      </c>
      <c r="AC26" s="187">
        <v>0</v>
      </c>
      <c r="AD26" s="2">
        <v>0</v>
      </c>
      <c r="AE26" s="2">
        <v>46.080320000000214</v>
      </c>
      <c r="AF26" s="2">
        <v>0</v>
      </c>
      <c r="AG26" s="2">
        <f t="shared" si="7"/>
        <v>46.080320000000214</v>
      </c>
      <c r="AH26" s="200">
        <v>2282789</v>
      </c>
      <c r="AI26" s="36">
        <f t="shared" si="8"/>
        <v>157.19522104393334</v>
      </c>
      <c r="AJ26" s="106">
        <v>425.79000000000087</v>
      </c>
      <c r="AK26" s="202">
        <v>8090010.0000000168</v>
      </c>
      <c r="AL26" s="32">
        <f t="shared" si="9"/>
        <v>557.08648946426229</v>
      </c>
      <c r="AM26" s="6"/>
    </row>
    <row r="27" spans="1:39" ht="15">
      <c r="A27" s="29"/>
      <c r="B27" s="48">
        <v>16</v>
      </c>
      <c r="C27" s="213">
        <v>44</v>
      </c>
      <c r="D27" s="214">
        <v>158</v>
      </c>
      <c r="E27" s="172">
        <v>15680.000000000291</v>
      </c>
      <c r="F27" s="169">
        <v>16241030.4000003</v>
      </c>
      <c r="G27" s="169">
        <v>3600.0000000001364</v>
      </c>
      <c r="H27" s="169">
        <v>5593212.0000002123</v>
      </c>
      <c r="I27" s="173">
        <f t="shared" si="0"/>
        <v>21834242.400000513</v>
      </c>
      <c r="J27" s="172">
        <v>1579.9999999999272</v>
      </c>
      <c r="K27" s="169">
        <v>1636532.3999999247</v>
      </c>
      <c r="L27" s="174">
        <v>479.99999999998977</v>
      </c>
      <c r="M27" s="174">
        <v>745761.59999998414</v>
      </c>
      <c r="N27" s="173">
        <f t="shared" si="1"/>
        <v>2382293.9999999087</v>
      </c>
      <c r="O27" s="170">
        <f t="shared" si="2"/>
        <v>24216536.400000423</v>
      </c>
      <c r="P27" s="171">
        <f t="shared" si="3"/>
        <v>21340.000000000346</v>
      </c>
      <c r="Q27" s="137"/>
      <c r="R27" s="137"/>
      <c r="S27" s="157"/>
      <c r="T27" s="156"/>
      <c r="U27" s="155">
        <v>0</v>
      </c>
      <c r="V27" s="135">
        <f t="shared" si="4"/>
        <v>844.61</v>
      </c>
      <c r="W27" s="204">
        <v>106.8</v>
      </c>
      <c r="X27" s="208">
        <v>1919249.4</v>
      </c>
      <c r="Y27" s="206">
        <v>737.81000000000006</v>
      </c>
      <c r="Z27" s="210">
        <v>3132136.2558000004</v>
      </c>
      <c r="AA27" s="168">
        <f t="shared" si="5"/>
        <v>5051385.6557999998</v>
      </c>
      <c r="AB27" s="97">
        <f t="shared" si="6"/>
        <v>347.84366174080702</v>
      </c>
      <c r="AC27" s="187">
        <v>0</v>
      </c>
      <c r="AD27" s="2">
        <v>0</v>
      </c>
      <c r="AE27" s="2">
        <v>45.153880000000143</v>
      </c>
      <c r="AF27" s="2">
        <v>24</v>
      </c>
      <c r="AG27" s="2">
        <f t="shared" si="7"/>
        <v>69.153880000000143</v>
      </c>
      <c r="AH27" s="200">
        <v>2137241</v>
      </c>
      <c r="AI27" s="36">
        <f t="shared" si="8"/>
        <v>147.17263462333011</v>
      </c>
      <c r="AJ27" s="106">
        <v>336</v>
      </c>
      <c r="AK27" s="202">
        <v>6384000</v>
      </c>
      <c r="AL27" s="32">
        <f t="shared" si="9"/>
        <v>439.60886930174905</v>
      </c>
      <c r="AM27" s="6"/>
    </row>
    <row r="28" spans="1:39" ht="15">
      <c r="A28" s="29"/>
      <c r="B28" s="48">
        <v>17</v>
      </c>
      <c r="C28" s="213">
        <v>44</v>
      </c>
      <c r="D28" s="214">
        <v>215</v>
      </c>
      <c r="E28" s="172">
        <v>14839.999999999236</v>
      </c>
      <c r="F28" s="169">
        <v>15370975.199999208</v>
      </c>
      <c r="G28" s="169">
        <v>3240.0000000000091</v>
      </c>
      <c r="H28" s="169">
        <v>5033890.8000000147</v>
      </c>
      <c r="I28" s="173">
        <f t="shared" si="0"/>
        <v>20404865.999999221</v>
      </c>
      <c r="J28" s="172">
        <v>1600.0000000000227</v>
      </c>
      <c r="K28" s="169">
        <v>1657248.0000000235</v>
      </c>
      <c r="L28" s="174">
        <v>520.00000000001023</v>
      </c>
      <c r="M28" s="174">
        <v>807908.40000001597</v>
      </c>
      <c r="N28" s="173">
        <f t="shared" si="1"/>
        <v>2465156.4000000395</v>
      </c>
      <c r="O28" s="170">
        <f t="shared" si="2"/>
        <v>22870022.399999261</v>
      </c>
      <c r="P28" s="171">
        <f t="shared" si="3"/>
        <v>20199.999999999276</v>
      </c>
      <c r="Q28" s="138"/>
      <c r="R28" s="138"/>
      <c r="S28" s="157"/>
      <c r="T28" s="156"/>
      <c r="U28" s="155">
        <v>0</v>
      </c>
      <c r="V28" s="135">
        <f t="shared" si="4"/>
        <v>809.01</v>
      </c>
      <c r="W28" s="204">
        <v>75.650000000000006</v>
      </c>
      <c r="X28" s="208">
        <v>1359468.3250000002</v>
      </c>
      <c r="Y28" s="206">
        <v>733.36</v>
      </c>
      <c r="Z28" s="210">
        <v>3113245.2048000004</v>
      </c>
      <c r="AA28" s="168">
        <f t="shared" si="5"/>
        <v>4472713.5298000006</v>
      </c>
      <c r="AB28" s="97">
        <f t="shared" si="6"/>
        <v>307.99569823715746</v>
      </c>
      <c r="AC28" s="187">
        <v>0</v>
      </c>
      <c r="AD28" s="2">
        <v>0</v>
      </c>
      <c r="AE28" s="2">
        <v>42.495400000000728</v>
      </c>
      <c r="AF28" s="2">
        <v>0</v>
      </c>
      <c r="AG28" s="2">
        <f t="shared" si="7"/>
        <v>42.495400000000728</v>
      </c>
      <c r="AH28" s="200">
        <v>2741509</v>
      </c>
      <c r="AI28" s="36">
        <f t="shared" si="8"/>
        <v>188.78315659000137</v>
      </c>
      <c r="AJ28" s="106">
        <v>413.40999999999985</v>
      </c>
      <c r="AK28" s="202">
        <v>7854789.9999999972</v>
      </c>
      <c r="AL28" s="32">
        <f t="shared" si="9"/>
        <v>540.88899600605953</v>
      </c>
      <c r="AM28" s="6"/>
    </row>
    <row r="29" spans="1:39" ht="15">
      <c r="A29" s="29"/>
      <c r="B29" s="48">
        <v>18</v>
      </c>
      <c r="C29" s="213">
        <v>41</v>
      </c>
      <c r="D29" s="214">
        <v>171</v>
      </c>
      <c r="E29" s="172">
        <v>15560.0000000004</v>
      </c>
      <c r="F29" s="169">
        <v>16116736.800000414</v>
      </c>
      <c r="G29" s="169">
        <v>3559.9999999999454</v>
      </c>
      <c r="H29" s="169">
        <v>5531065.1999999154</v>
      </c>
      <c r="I29" s="173">
        <f t="shared" si="0"/>
        <v>21647802.000000328</v>
      </c>
      <c r="J29" s="172">
        <v>1980.0000000000182</v>
      </c>
      <c r="K29" s="169">
        <v>2050844.4000000188</v>
      </c>
      <c r="L29" s="174">
        <v>500</v>
      </c>
      <c r="M29" s="174">
        <v>776835</v>
      </c>
      <c r="N29" s="173">
        <f t="shared" si="1"/>
        <v>2827679.400000019</v>
      </c>
      <c r="O29" s="170">
        <f t="shared" si="2"/>
        <v>24475481.400000349</v>
      </c>
      <c r="P29" s="171">
        <f t="shared" si="3"/>
        <v>21600.000000000364</v>
      </c>
      <c r="Q29" s="138"/>
      <c r="R29" s="138"/>
      <c r="S29" s="157"/>
      <c r="T29" s="156"/>
      <c r="U29" s="155">
        <v>0</v>
      </c>
      <c r="V29" s="135">
        <f t="shared" si="4"/>
        <v>816.13</v>
      </c>
      <c r="W29" s="204">
        <v>89.89</v>
      </c>
      <c r="X29" s="208">
        <v>1615368.2450000001</v>
      </c>
      <c r="Y29" s="206">
        <v>726.24</v>
      </c>
      <c r="Z29" s="210">
        <v>3083019.5232000002</v>
      </c>
      <c r="AA29" s="168">
        <f t="shared" si="5"/>
        <v>4698387.7682000007</v>
      </c>
      <c r="AB29" s="97">
        <f t="shared" si="6"/>
        <v>323.53586063903049</v>
      </c>
      <c r="AC29" s="187">
        <v>0</v>
      </c>
      <c r="AD29" s="2">
        <v>0</v>
      </c>
      <c r="AE29" s="2">
        <v>49.906919999999481</v>
      </c>
      <c r="AF29" s="2">
        <v>0</v>
      </c>
      <c r="AG29" s="2">
        <f t="shared" si="7"/>
        <v>49.906919999999481</v>
      </c>
      <c r="AH29" s="200">
        <v>2869516</v>
      </c>
      <c r="AI29" s="36">
        <f t="shared" si="8"/>
        <v>197.59785153560117</v>
      </c>
      <c r="AJ29" s="106">
        <v>400.7400000000016</v>
      </c>
      <c r="AK29" s="202">
        <v>7614060.0000000307</v>
      </c>
      <c r="AL29" s="32">
        <f t="shared" si="9"/>
        <v>524.31207822614181</v>
      </c>
      <c r="AM29" s="6"/>
    </row>
    <row r="30" spans="1:39" ht="15">
      <c r="A30" s="29"/>
      <c r="B30" s="48">
        <v>19</v>
      </c>
      <c r="C30" s="213">
        <v>34</v>
      </c>
      <c r="D30" s="214">
        <v>169</v>
      </c>
      <c r="E30" s="172">
        <v>15800.000000000182</v>
      </c>
      <c r="F30" s="169">
        <v>16365324.000000188</v>
      </c>
      <c r="G30" s="169">
        <v>3519.9999999999818</v>
      </c>
      <c r="H30" s="169">
        <v>5468918.3999999724</v>
      </c>
      <c r="I30" s="173">
        <f t="shared" si="0"/>
        <v>21834242.400000162</v>
      </c>
      <c r="J30" s="172">
        <v>1720.0000000000273</v>
      </c>
      <c r="K30" s="169">
        <v>1781541.6000000283</v>
      </c>
      <c r="L30" s="174">
        <v>519.99999999998181</v>
      </c>
      <c r="M30" s="174">
        <v>807908.39999997173</v>
      </c>
      <c r="N30" s="173">
        <f t="shared" si="1"/>
        <v>2589450</v>
      </c>
      <c r="O30" s="170">
        <f t="shared" si="2"/>
        <v>24423692.400000162</v>
      </c>
      <c r="P30" s="171">
        <f t="shared" si="3"/>
        <v>21560.000000000171</v>
      </c>
      <c r="Q30" s="137"/>
      <c r="R30" s="137"/>
      <c r="S30" s="157"/>
      <c r="T30" s="156"/>
      <c r="U30" s="155">
        <v>0</v>
      </c>
      <c r="V30" s="135">
        <f t="shared" si="4"/>
        <v>845.5</v>
      </c>
      <c r="W30" s="204">
        <v>106.8</v>
      </c>
      <c r="X30" s="208">
        <v>1919249.4</v>
      </c>
      <c r="Y30" s="206">
        <v>738.7</v>
      </c>
      <c r="Z30" s="210">
        <v>3135914.4660000005</v>
      </c>
      <c r="AA30" s="168">
        <f t="shared" si="5"/>
        <v>5055163.8660000004</v>
      </c>
      <c r="AB30" s="97">
        <f t="shared" si="6"/>
        <v>348.10383321856494</v>
      </c>
      <c r="AC30" s="187">
        <v>0</v>
      </c>
      <c r="AD30" s="2">
        <v>500</v>
      </c>
      <c r="AE30" s="2">
        <v>50.349999999999994</v>
      </c>
      <c r="AF30" s="2">
        <v>48</v>
      </c>
      <c r="AG30" s="2">
        <f t="shared" si="7"/>
        <v>598.35</v>
      </c>
      <c r="AH30" s="200">
        <v>2860706</v>
      </c>
      <c r="AI30" s="36">
        <f t="shared" si="8"/>
        <v>196.99118578708166</v>
      </c>
      <c r="AJ30" s="106">
        <v>526</v>
      </c>
      <c r="AK30" s="202">
        <v>9994000</v>
      </c>
      <c r="AL30" s="32">
        <f t="shared" si="9"/>
        <v>688.19721801404762</v>
      </c>
      <c r="AM30" s="6"/>
    </row>
    <row r="31" spans="1:39" ht="15">
      <c r="A31" s="29"/>
      <c r="B31" s="48">
        <v>20</v>
      </c>
      <c r="C31" s="213">
        <v>33</v>
      </c>
      <c r="D31" s="214">
        <v>191</v>
      </c>
      <c r="E31" s="172">
        <v>14880.000000000109</v>
      </c>
      <c r="F31" s="169">
        <v>15412406.400000112</v>
      </c>
      <c r="G31" s="169">
        <v>3279.9999999999727</v>
      </c>
      <c r="H31" s="169">
        <v>5096037.5999999577</v>
      </c>
      <c r="I31" s="173">
        <f t="shared" si="0"/>
        <v>20508444.000000071</v>
      </c>
      <c r="J31" s="172">
        <v>1500</v>
      </c>
      <c r="K31" s="169">
        <v>1553670</v>
      </c>
      <c r="L31" s="174">
        <v>480.00000000001819</v>
      </c>
      <c r="M31" s="174">
        <v>745761.60000002827</v>
      </c>
      <c r="N31" s="173">
        <f t="shared" si="1"/>
        <v>2299431.6000000285</v>
      </c>
      <c r="O31" s="170">
        <f t="shared" si="2"/>
        <v>22807875.600000098</v>
      </c>
      <c r="P31" s="171">
        <f t="shared" si="3"/>
        <v>20140.000000000098</v>
      </c>
      <c r="Q31" s="138"/>
      <c r="R31" s="138"/>
      <c r="S31" s="157"/>
      <c r="T31" s="156"/>
      <c r="U31" s="155">
        <v>0</v>
      </c>
      <c r="V31" s="135">
        <f t="shared" si="4"/>
        <v>808.12</v>
      </c>
      <c r="W31" s="204">
        <v>89.89</v>
      </c>
      <c r="X31" s="208">
        <v>1615368.2450000001</v>
      </c>
      <c r="Y31" s="206">
        <v>718.23</v>
      </c>
      <c r="Z31" s="210">
        <v>3049015.6314000003</v>
      </c>
      <c r="AA31" s="168">
        <f t="shared" si="5"/>
        <v>4664383.8764000004</v>
      </c>
      <c r="AB31" s="97">
        <f t="shared" si="6"/>
        <v>321.19431733920948</v>
      </c>
      <c r="AC31" s="187">
        <v>0</v>
      </c>
      <c r="AD31" s="2">
        <v>0</v>
      </c>
      <c r="AE31" s="2">
        <v>45.999760000000286</v>
      </c>
      <c r="AF31" s="2">
        <v>0</v>
      </c>
      <c r="AG31" s="2">
        <f t="shared" si="7"/>
        <v>45.999760000000286</v>
      </c>
      <c r="AH31" s="200">
        <v>1923825</v>
      </c>
      <c r="AI31" s="36">
        <f t="shared" si="8"/>
        <v>132.47658724693568</v>
      </c>
      <c r="AJ31" s="106">
        <v>570.93000000000029</v>
      </c>
      <c r="AK31" s="202">
        <v>10847670.000000006</v>
      </c>
      <c r="AL31" s="32">
        <f t="shared" si="9"/>
        <v>746.98182068585629</v>
      </c>
      <c r="AM31" s="6"/>
    </row>
    <row r="32" spans="1:39" ht="15">
      <c r="A32" s="29"/>
      <c r="B32" s="48">
        <v>21</v>
      </c>
      <c r="C32" s="213">
        <v>30</v>
      </c>
      <c r="D32" s="214">
        <v>195</v>
      </c>
      <c r="E32" s="172">
        <v>14799.999999999272</v>
      </c>
      <c r="F32" s="169">
        <v>15329543.999999246</v>
      </c>
      <c r="G32" s="169">
        <v>3360.0000000001273</v>
      </c>
      <c r="H32" s="169">
        <v>5220331.2000001976</v>
      </c>
      <c r="I32" s="173">
        <f t="shared" si="0"/>
        <v>20549875.199999444</v>
      </c>
      <c r="J32" s="172">
        <v>1319.9999999999363</v>
      </c>
      <c r="K32" s="169">
        <v>1367229.599999934</v>
      </c>
      <c r="L32" s="174">
        <v>359.99999999998522</v>
      </c>
      <c r="M32" s="174">
        <v>559321.19999997702</v>
      </c>
      <c r="N32" s="173">
        <f t="shared" si="1"/>
        <v>1926550.7999999109</v>
      </c>
      <c r="O32" s="170">
        <f t="shared" si="2"/>
        <v>22476425.999999356</v>
      </c>
      <c r="P32" s="171">
        <f t="shared" si="3"/>
        <v>19839.999999999323</v>
      </c>
      <c r="Q32" s="137"/>
      <c r="R32" s="149"/>
      <c r="S32" s="157"/>
      <c r="T32" s="156"/>
      <c r="U32" s="155">
        <v>0</v>
      </c>
      <c r="V32" s="135">
        <f t="shared" si="4"/>
        <v>763.62</v>
      </c>
      <c r="W32" s="204">
        <v>91.67</v>
      </c>
      <c r="X32" s="208">
        <v>1647355.7350000001</v>
      </c>
      <c r="Y32" s="206">
        <v>671.95</v>
      </c>
      <c r="Z32" s="210">
        <v>2852548.7010000004</v>
      </c>
      <c r="AA32" s="168">
        <f t="shared" si="5"/>
        <v>4499904.4360000007</v>
      </c>
      <c r="AB32" s="97">
        <f t="shared" si="6"/>
        <v>309.86809227379155</v>
      </c>
      <c r="AC32" s="187">
        <v>0</v>
      </c>
      <c r="AD32" s="2">
        <v>0</v>
      </c>
      <c r="AE32" s="2">
        <v>48.335999999999999</v>
      </c>
      <c r="AF32" s="2">
        <v>0</v>
      </c>
      <c r="AG32" s="2">
        <f t="shared" si="7"/>
        <v>48.335999999999999</v>
      </c>
      <c r="AH32" s="200">
        <v>2399085</v>
      </c>
      <c r="AI32" s="36">
        <f t="shared" si="8"/>
        <v>165.20348436854428</v>
      </c>
      <c r="AJ32" s="106">
        <v>449.61999999999898</v>
      </c>
      <c r="AK32" s="202">
        <v>8542779.9999999814</v>
      </c>
      <c r="AL32" s="32">
        <f t="shared" si="9"/>
        <v>588.26470183170238</v>
      </c>
      <c r="AM32" s="6"/>
    </row>
    <row r="33" spans="1:39" ht="15">
      <c r="A33" s="29"/>
      <c r="B33" s="48">
        <v>22</v>
      </c>
      <c r="C33" s="213">
        <v>26</v>
      </c>
      <c r="D33" s="214">
        <v>188</v>
      </c>
      <c r="E33" s="172">
        <v>15520.000000000437</v>
      </c>
      <c r="F33" s="169">
        <v>16075305.600000452</v>
      </c>
      <c r="G33" s="169">
        <v>3559.9999999999454</v>
      </c>
      <c r="H33" s="169">
        <v>5531065.1999999154</v>
      </c>
      <c r="I33" s="173">
        <f t="shared" si="0"/>
        <v>21606370.80000037</v>
      </c>
      <c r="J33" s="172">
        <v>1460.0000000000364</v>
      </c>
      <c r="K33" s="169">
        <v>1512238.8000000375</v>
      </c>
      <c r="L33" s="174">
        <v>360.00000000001364</v>
      </c>
      <c r="M33" s="174">
        <v>559321.20000002126</v>
      </c>
      <c r="N33" s="173">
        <f t="shared" si="1"/>
        <v>2071560.0000000587</v>
      </c>
      <c r="O33" s="170">
        <f t="shared" si="2"/>
        <v>23677930.800000429</v>
      </c>
      <c r="P33" s="171">
        <f t="shared" si="3"/>
        <v>20900.000000000433</v>
      </c>
      <c r="Q33" s="137"/>
      <c r="R33" s="150"/>
      <c r="S33" s="157"/>
      <c r="T33" s="156"/>
      <c r="U33" s="155">
        <v>0</v>
      </c>
      <c r="V33" s="135">
        <f t="shared" si="4"/>
        <v>846.39</v>
      </c>
      <c r="W33" s="204">
        <v>89.89</v>
      </c>
      <c r="X33" s="208">
        <v>1615368.2450000001</v>
      </c>
      <c r="Y33" s="206">
        <v>756.5</v>
      </c>
      <c r="Z33" s="210">
        <v>3211478.6700000004</v>
      </c>
      <c r="AA33" s="168">
        <f t="shared" si="5"/>
        <v>4826846.915000001</v>
      </c>
      <c r="AB33" s="97">
        <f t="shared" si="6"/>
        <v>332.38169088279858</v>
      </c>
      <c r="AC33" s="187">
        <v>0</v>
      </c>
      <c r="AD33" s="2">
        <v>0</v>
      </c>
      <c r="AE33" s="2">
        <v>39.957760000000292</v>
      </c>
      <c r="AF33" s="2">
        <v>36</v>
      </c>
      <c r="AG33" s="2">
        <f t="shared" si="7"/>
        <v>75.957760000000292</v>
      </c>
      <c r="AH33" s="200">
        <v>2538539</v>
      </c>
      <c r="AI33" s="36">
        <f t="shared" si="8"/>
        <v>174.80643162098883</v>
      </c>
      <c r="AJ33" s="106">
        <v>387.41999999999825</v>
      </c>
      <c r="AK33" s="202">
        <v>7360979.9999999665</v>
      </c>
      <c r="AL33" s="32">
        <f t="shared" si="9"/>
        <v>506.88472662167516</v>
      </c>
      <c r="AM33" s="6"/>
    </row>
    <row r="34" spans="1:39" ht="15">
      <c r="A34" s="29"/>
      <c r="B34" s="48">
        <v>23</v>
      </c>
      <c r="C34" s="213">
        <v>36</v>
      </c>
      <c r="D34" s="214">
        <v>183</v>
      </c>
      <c r="E34" s="172">
        <v>16519.999999999527</v>
      </c>
      <c r="F34" s="169">
        <v>17111085.59999951</v>
      </c>
      <c r="G34" s="169">
        <v>3960.0000000000364</v>
      </c>
      <c r="H34" s="169">
        <v>6152533.200000057</v>
      </c>
      <c r="I34" s="173">
        <f t="shared" si="0"/>
        <v>23263618.799999565</v>
      </c>
      <c r="J34" s="172">
        <v>1320.00000000005</v>
      </c>
      <c r="K34" s="169">
        <v>1367229.6000000518</v>
      </c>
      <c r="L34" s="174">
        <v>359.99999999998522</v>
      </c>
      <c r="M34" s="174">
        <v>559321.19999997702</v>
      </c>
      <c r="N34" s="173">
        <f t="shared" si="1"/>
        <v>1926550.8000000287</v>
      </c>
      <c r="O34" s="170">
        <f t="shared" si="2"/>
        <v>25190169.599999592</v>
      </c>
      <c r="P34" s="171">
        <f t="shared" si="3"/>
        <v>22159.9999999996</v>
      </c>
      <c r="Q34" s="138"/>
      <c r="R34" s="151"/>
      <c r="S34" s="157"/>
      <c r="T34" s="156"/>
      <c r="U34" s="155">
        <v>0</v>
      </c>
      <c r="V34" s="135">
        <f t="shared" si="4"/>
        <v>743.15000000000009</v>
      </c>
      <c r="W34" s="204">
        <v>100.57000000000001</v>
      </c>
      <c r="X34" s="208">
        <v>1807293.1850000001</v>
      </c>
      <c r="Y34" s="206">
        <v>642.58000000000004</v>
      </c>
      <c r="Z34" s="210">
        <v>2727867.7644000002</v>
      </c>
      <c r="AA34" s="168">
        <f t="shared" si="5"/>
        <v>4535160.9494000003</v>
      </c>
      <c r="AB34" s="97">
        <f t="shared" si="6"/>
        <v>312.2958923977414</v>
      </c>
      <c r="AC34" s="187">
        <v>0</v>
      </c>
      <c r="AD34" s="2">
        <v>0</v>
      </c>
      <c r="AE34" s="2">
        <v>57.600399999998892</v>
      </c>
      <c r="AF34" s="2">
        <v>24</v>
      </c>
      <c r="AG34" s="2">
        <f t="shared" si="7"/>
        <v>81.600399999998899</v>
      </c>
      <c r="AH34" s="200">
        <v>2233728</v>
      </c>
      <c r="AI34" s="36">
        <f t="shared" si="8"/>
        <v>153.81682963779093</v>
      </c>
      <c r="AJ34" s="106">
        <v>554.26000000000204</v>
      </c>
      <c r="AK34" s="202">
        <v>10530940.000000039</v>
      </c>
      <c r="AL34" s="32">
        <f t="shared" si="9"/>
        <v>725.17146398567957</v>
      </c>
      <c r="AM34" s="6"/>
    </row>
    <row r="35" spans="1:39" ht="15">
      <c r="A35" s="29"/>
      <c r="B35" s="48">
        <v>24</v>
      </c>
      <c r="C35" s="213">
        <v>40</v>
      </c>
      <c r="D35" s="214">
        <v>204</v>
      </c>
      <c r="E35" s="172">
        <v>16760.000000000218</v>
      </c>
      <c r="F35" s="169">
        <v>17359672.800000224</v>
      </c>
      <c r="G35" s="169">
        <v>3639.9999999998727</v>
      </c>
      <c r="H35" s="169">
        <v>5655358.7999998024</v>
      </c>
      <c r="I35" s="173">
        <f t="shared" si="0"/>
        <v>23015031.600000028</v>
      </c>
      <c r="J35" s="172">
        <v>1339.9999999999181</v>
      </c>
      <c r="K35" s="169">
        <v>1387945.1999999152</v>
      </c>
      <c r="L35" s="174">
        <v>379.99999999999545</v>
      </c>
      <c r="M35" s="174">
        <v>590394.59999999299</v>
      </c>
      <c r="N35" s="173">
        <f t="shared" si="1"/>
        <v>1978339.7999999081</v>
      </c>
      <c r="O35" s="170">
        <f t="shared" si="2"/>
        <v>24993371.399999935</v>
      </c>
      <c r="P35" s="171">
        <f t="shared" si="3"/>
        <v>22120.000000000004</v>
      </c>
      <c r="Q35" s="137"/>
      <c r="R35" s="149"/>
      <c r="S35" s="157"/>
      <c r="T35" s="156"/>
      <c r="U35" s="155">
        <v>0</v>
      </c>
      <c r="V35" s="135">
        <f t="shared" si="4"/>
        <v>835.70999999999992</v>
      </c>
      <c r="W35" s="204">
        <v>105.91</v>
      </c>
      <c r="X35" s="208">
        <v>1903255.655</v>
      </c>
      <c r="Y35" s="206">
        <v>729.8</v>
      </c>
      <c r="Z35" s="210">
        <v>3098132.3640000001</v>
      </c>
      <c r="AA35" s="168">
        <f t="shared" si="5"/>
        <v>5001388.0190000003</v>
      </c>
      <c r="AB35" s="97">
        <f t="shared" si="6"/>
        <v>344.40077255199009</v>
      </c>
      <c r="AC35" s="187">
        <v>0</v>
      </c>
      <c r="AD35" s="2">
        <v>0</v>
      </c>
      <c r="AE35" s="2">
        <v>57.036479999999408</v>
      </c>
      <c r="AF35" s="2">
        <v>12</v>
      </c>
      <c r="AG35" s="2">
        <f t="shared" si="7"/>
        <v>69.036479999999415</v>
      </c>
      <c r="AH35" s="200">
        <v>2593324</v>
      </c>
      <c r="AI35" s="36">
        <f t="shared" si="8"/>
        <v>178.57898361107286</v>
      </c>
      <c r="AJ35" s="106">
        <v>400.02000000000044</v>
      </c>
      <c r="AK35" s="202">
        <v>7600380.0000000084</v>
      </c>
      <c r="AL35" s="32">
        <f t="shared" si="9"/>
        <v>523.37005922049366</v>
      </c>
      <c r="AM35" s="6"/>
    </row>
    <row r="36" spans="1:39" ht="15">
      <c r="A36" s="29"/>
      <c r="B36" s="48">
        <v>25</v>
      </c>
      <c r="C36" s="213">
        <v>38</v>
      </c>
      <c r="D36" s="214">
        <v>205</v>
      </c>
      <c r="E36" s="172">
        <v>16000</v>
      </c>
      <c r="F36" s="169">
        <v>16572480</v>
      </c>
      <c r="G36" s="169">
        <v>3680.0000000000637</v>
      </c>
      <c r="H36" s="169">
        <v>5717505.6000000993</v>
      </c>
      <c r="I36" s="173">
        <f t="shared" si="0"/>
        <v>22289985.600000098</v>
      </c>
      <c r="J36" s="172">
        <v>1420.0000000000728</v>
      </c>
      <c r="K36" s="169">
        <v>1470807.6000000753</v>
      </c>
      <c r="L36" s="174">
        <v>379.99999999999545</v>
      </c>
      <c r="M36" s="174">
        <v>590394.59999999299</v>
      </c>
      <c r="N36" s="173">
        <f t="shared" si="1"/>
        <v>2061202.2000000682</v>
      </c>
      <c r="O36" s="170">
        <f t="shared" si="2"/>
        <v>24351187.800000168</v>
      </c>
      <c r="P36" s="171">
        <f t="shared" si="3"/>
        <v>21480.000000000135</v>
      </c>
      <c r="Q36" s="137"/>
      <c r="R36" s="149"/>
      <c r="S36" s="157"/>
      <c r="T36" s="156"/>
      <c r="U36" s="155">
        <v>0</v>
      </c>
      <c r="V36" s="135">
        <f t="shared" si="4"/>
        <v>821.47</v>
      </c>
      <c r="W36" s="204">
        <v>83.66</v>
      </c>
      <c r="X36" s="208">
        <v>1503412.03</v>
      </c>
      <c r="Y36" s="206">
        <v>737.81000000000006</v>
      </c>
      <c r="Z36" s="210">
        <v>3132136.2558000004</v>
      </c>
      <c r="AA36" s="168">
        <f t="shared" si="5"/>
        <v>4635548.2858000007</v>
      </c>
      <c r="AB36" s="97">
        <f t="shared" si="6"/>
        <v>319.20866862691094</v>
      </c>
      <c r="AC36" s="187">
        <v>0</v>
      </c>
      <c r="AD36" s="2">
        <v>500</v>
      </c>
      <c r="AE36" s="2">
        <v>56.271160000001018</v>
      </c>
      <c r="AF36" s="2">
        <v>0</v>
      </c>
      <c r="AG36" s="2">
        <f t="shared" si="7"/>
        <v>556.27116000000103</v>
      </c>
      <c r="AH36" s="200">
        <v>4991940</v>
      </c>
      <c r="AI36" s="36">
        <f t="shared" si="8"/>
        <v>343.75017215259606</v>
      </c>
      <c r="AJ36" s="106">
        <v>466.86999999999898</v>
      </c>
      <c r="AK36" s="202">
        <v>8870529.9999999814</v>
      </c>
      <c r="AL36" s="32">
        <f t="shared" si="9"/>
        <v>610.83390717531893</v>
      </c>
      <c r="AM36" s="6"/>
    </row>
    <row r="37" spans="1:39" ht="15">
      <c r="A37" s="29"/>
      <c r="B37" s="48">
        <v>26</v>
      </c>
      <c r="C37" s="213">
        <v>37</v>
      </c>
      <c r="D37" s="214">
        <v>210</v>
      </c>
      <c r="E37" s="172">
        <v>16920.000000000073</v>
      </c>
      <c r="F37" s="169">
        <v>17525397.600000076</v>
      </c>
      <c r="G37" s="169">
        <v>3839.9999999999181</v>
      </c>
      <c r="H37" s="169">
        <v>5966092.7999998732</v>
      </c>
      <c r="I37" s="173">
        <f t="shared" si="0"/>
        <v>23491490.39999995</v>
      </c>
      <c r="J37" s="172">
        <v>1399.9999999999773</v>
      </c>
      <c r="K37" s="169">
        <v>1450091.9999999765</v>
      </c>
      <c r="L37" s="174">
        <v>380.00000000002387</v>
      </c>
      <c r="M37" s="174">
        <v>590394.60000003711</v>
      </c>
      <c r="N37" s="173">
        <f t="shared" si="1"/>
        <v>2040486.6000000136</v>
      </c>
      <c r="O37" s="170">
        <f t="shared" si="2"/>
        <v>25531976.999999963</v>
      </c>
      <c r="P37" s="171">
        <f t="shared" si="3"/>
        <v>22539.999999999996</v>
      </c>
      <c r="Q37" s="137"/>
      <c r="R37" s="149"/>
      <c r="S37" s="157"/>
      <c r="T37" s="156"/>
      <c r="U37" s="155">
        <v>0</v>
      </c>
      <c r="V37" s="135">
        <f t="shared" si="4"/>
        <v>728.0200000000001</v>
      </c>
      <c r="W37" s="204">
        <v>86.33</v>
      </c>
      <c r="X37" s="208">
        <v>1551393.2649999999</v>
      </c>
      <c r="Y37" s="206">
        <v>641.69000000000005</v>
      </c>
      <c r="Z37" s="210">
        <v>2724089.5542000006</v>
      </c>
      <c r="AA37" s="168">
        <f t="shared" si="5"/>
        <v>4275482.8192000007</v>
      </c>
      <c r="AB37" s="97">
        <f t="shared" si="6"/>
        <v>294.41418669604741</v>
      </c>
      <c r="AC37" s="187">
        <v>0</v>
      </c>
      <c r="AD37" s="2">
        <v>0</v>
      </c>
      <c r="AE37" s="2">
        <v>49.665239999999699</v>
      </c>
      <c r="AF37" s="2">
        <v>24</v>
      </c>
      <c r="AG37" s="2">
        <f t="shared" si="7"/>
        <v>73.665239999999699</v>
      </c>
      <c r="AH37" s="200">
        <v>5085784</v>
      </c>
      <c r="AI37" s="36">
        <f t="shared" si="8"/>
        <v>350.21236744250103</v>
      </c>
      <c r="AJ37" s="106">
        <v>626.70000000000073</v>
      </c>
      <c r="AK37" s="202">
        <v>11907300.000000013</v>
      </c>
      <c r="AL37" s="32">
        <f t="shared" si="9"/>
        <v>819.94904283156677</v>
      </c>
      <c r="AM37" s="6"/>
    </row>
    <row r="38" spans="1:39" ht="15">
      <c r="A38" s="29"/>
      <c r="B38" s="48">
        <v>27</v>
      </c>
      <c r="C38" s="213">
        <v>27</v>
      </c>
      <c r="D38" s="214">
        <v>150</v>
      </c>
      <c r="E38" s="172">
        <v>15440.000000000509</v>
      </c>
      <c r="F38" s="169">
        <v>15992443.200000526</v>
      </c>
      <c r="G38" s="169">
        <v>3400.0000000000909</v>
      </c>
      <c r="H38" s="169">
        <v>5282478.0000001416</v>
      </c>
      <c r="I38" s="173">
        <f t="shared" si="0"/>
        <v>21274921.200000666</v>
      </c>
      <c r="J38" s="172">
        <v>1480.0000000000182</v>
      </c>
      <c r="K38" s="169">
        <v>1532954.4000000188</v>
      </c>
      <c r="L38" s="174">
        <v>479.99999999998977</v>
      </c>
      <c r="M38" s="174">
        <v>745761.59999998414</v>
      </c>
      <c r="N38" s="173">
        <f t="shared" si="1"/>
        <v>2278716.0000000028</v>
      </c>
      <c r="O38" s="170">
        <f t="shared" si="2"/>
        <v>23553637.20000067</v>
      </c>
      <c r="P38" s="171">
        <f t="shared" si="3"/>
        <v>20800.000000000608</v>
      </c>
      <c r="Q38" s="137"/>
      <c r="R38" s="149"/>
      <c r="S38" s="157"/>
      <c r="T38" s="156"/>
      <c r="U38" s="155">
        <v>0</v>
      </c>
      <c r="V38" s="135">
        <f t="shared" si="4"/>
        <v>893.56</v>
      </c>
      <c r="W38" s="204">
        <v>90.78</v>
      </c>
      <c r="X38" s="208">
        <v>1631361.99</v>
      </c>
      <c r="Y38" s="206">
        <v>802.78</v>
      </c>
      <c r="Z38" s="210">
        <v>3407945.6004000003</v>
      </c>
      <c r="AA38" s="168">
        <f t="shared" si="5"/>
        <v>5039307.5904000001</v>
      </c>
      <c r="AB38" s="97">
        <f t="shared" si="6"/>
        <v>347.0119536152045</v>
      </c>
      <c r="AC38" s="187">
        <v>0</v>
      </c>
      <c r="AD38" s="2">
        <v>0</v>
      </c>
      <c r="AE38" s="2">
        <v>48.658239999999701</v>
      </c>
      <c r="AF38" s="2">
        <v>12</v>
      </c>
      <c r="AG38" s="2">
        <f t="shared" si="7"/>
        <v>60.658239999999701</v>
      </c>
      <c r="AH38" s="200">
        <v>5518593</v>
      </c>
      <c r="AI38" s="36">
        <f t="shared" si="8"/>
        <v>380.01604462195291</v>
      </c>
      <c r="AJ38" s="106">
        <v>335.12999999999738</v>
      </c>
      <c r="AK38" s="202">
        <v>6367469.9999999506</v>
      </c>
      <c r="AL38" s="32">
        <f t="shared" si="9"/>
        <v>438.47059633658938</v>
      </c>
      <c r="AM38" s="6"/>
    </row>
    <row r="39" spans="1:39" ht="15">
      <c r="A39" s="29"/>
      <c r="B39" s="48">
        <v>28</v>
      </c>
      <c r="C39" s="213">
        <v>36</v>
      </c>
      <c r="D39" s="214">
        <v>133</v>
      </c>
      <c r="E39" s="172">
        <v>15439.9999999996</v>
      </c>
      <c r="F39" s="169">
        <v>15992443.199999586</v>
      </c>
      <c r="G39" s="169">
        <v>3680.0000000000637</v>
      </c>
      <c r="H39" s="169">
        <v>5717505.6000000993</v>
      </c>
      <c r="I39" s="173">
        <f t="shared" si="0"/>
        <v>21709948.799999684</v>
      </c>
      <c r="J39" s="172">
        <v>1939.9999999999409</v>
      </c>
      <c r="K39" s="169">
        <v>2009413.1999999387</v>
      </c>
      <c r="L39" s="174">
        <v>500</v>
      </c>
      <c r="M39" s="174">
        <v>776835</v>
      </c>
      <c r="N39" s="173">
        <f t="shared" si="1"/>
        <v>2786248.1999999387</v>
      </c>
      <c r="O39" s="170">
        <f t="shared" si="2"/>
        <v>24496196.999999624</v>
      </c>
      <c r="P39" s="171">
        <f t="shared" si="3"/>
        <v>21559.999999999607</v>
      </c>
      <c r="Q39" s="137"/>
      <c r="R39" s="152"/>
      <c r="S39" s="157"/>
      <c r="T39" s="156"/>
      <c r="U39" s="155">
        <v>0</v>
      </c>
      <c r="V39" s="135">
        <f t="shared" si="4"/>
        <v>887.32999999999993</v>
      </c>
      <c r="W39" s="204">
        <v>77.430000000000007</v>
      </c>
      <c r="X39" s="208">
        <v>1391455.8150000002</v>
      </c>
      <c r="Y39" s="206">
        <v>809.9</v>
      </c>
      <c r="Z39" s="210">
        <v>3438171.2820000001</v>
      </c>
      <c r="AA39" s="168">
        <f t="shared" si="5"/>
        <v>4829627.0970000001</v>
      </c>
      <c r="AB39" s="97">
        <f t="shared" si="6"/>
        <v>332.57313710232751</v>
      </c>
      <c r="AC39" s="187">
        <v>0</v>
      </c>
      <c r="AD39" s="2">
        <v>0</v>
      </c>
      <c r="AE39" s="2">
        <v>54.337720000000949</v>
      </c>
      <c r="AF39" s="2">
        <v>0</v>
      </c>
      <c r="AG39" s="2">
        <f t="shared" si="7"/>
        <v>54.337720000000949</v>
      </c>
      <c r="AH39" s="200">
        <v>11647490</v>
      </c>
      <c r="AI39" s="36">
        <f t="shared" si="8"/>
        <v>802.0582564385071</v>
      </c>
      <c r="AJ39" s="106">
        <v>493.04000000000087</v>
      </c>
      <c r="AK39" s="202">
        <v>9367760.0000000168</v>
      </c>
      <c r="AL39" s="32">
        <f t="shared" si="9"/>
        <v>645.07368131111537</v>
      </c>
      <c r="AM39" s="6"/>
    </row>
    <row r="40" spans="1:39" ht="15">
      <c r="A40" s="29"/>
      <c r="B40" s="48">
        <v>29</v>
      </c>
      <c r="C40" s="213">
        <v>42</v>
      </c>
      <c r="D40" s="214">
        <v>190</v>
      </c>
      <c r="E40" s="172">
        <v>15279.999999999745</v>
      </c>
      <c r="F40" s="169">
        <v>15826718.399999736</v>
      </c>
      <c r="G40" s="169">
        <v>3720.0000000000273</v>
      </c>
      <c r="H40" s="169">
        <v>5779652.4000000423</v>
      </c>
      <c r="I40" s="173">
        <f t="shared" si="0"/>
        <v>21606370.799999777</v>
      </c>
      <c r="J40" s="172">
        <v>2139.9999999999864</v>
      </c>
      <c r="K40" s="169">
        <v>2216569.1999999858</v>
      </c>
      <c r="L40" s="174">
        <v>520.00000000001023</v>
      </c>
      <c r="M40" s="174">
        <v>807908.40000001597</v>
      </c>
      <c r="N40" s="173">
        <f t="shared" si="1"/>
        <v>3024477.6000000015</v>
      </c>
      <c r="O40" s="170">
        <f t="shared" si="2"/>
        <v>24630848.399999779</v>
      </c>
      <c r="P40" s="171">
        <f t="shared" si="3"/>
        <v>21659.999999999771</v>
      </c>
      <c r="Q40" s="138"/>
      <c r="R40" s="153"/>
      <c r="S40" s="157"/>
      <c r="T40" s="156"/>
      <c r="U40" s="155">
        <v>0</v>
      </c>
      <c r="V40" s="135">
        <f t="shared" si="4"/>
        <v>896.23</v>
      </c>
      <c r="W40" s="204">
        <v>96.12</v>
      </c>
      <c r="X40" s="208">
        <v>1727324.4600000002</v>
      </c>
      <c r="Y40" s="206">
        <v>800.11</v>
      </c>
      <c r="Z40" s="210">
        <v>3396610.9698000001</v>
      </c>
      <c r="AA40" s="168">
        <f t="shared" si="5"/>
        <v>5123935.4298</v>
      </c>
      <c r="AB40" s="97">
        <f t="shared" si="6"/>
        <v>352.8395145159069</v>
      </c>
      <c r="AC40" s="187">
        <v>0</v>
      </c>
      <c r="AD40" s="2">
        <v>0</v>
      </c>
      <c r="AE40" s="2">
        <v>26.907039999999338</v>
      </c>
      <c r="AF40" s="2">
        <v>0</v>
      </c>
      <c r="AG40" s="2">
        <f t="shared" si="7"/>
        <v>26.907039999999338</v>
      </c>
      <c r="AH40" s="200">
        <v>11785236</v>
      </c>
      <c r="AI40" s="36">
        <f t="shared" si="8"/>
        <v>811.5435890373227</v>
      </c>
      <c r="AJ40" s="106">
        <v>575.97999999999956</v>
      </c>
      <c r="AK40" s="202">
        <v>10943619.999999993</v>
      </c>
      <c r="AL40" s="32">
        <f t="shared" si="9"/>
        <v>753.58903732268232</v>
      </c>
      <c r="AM40" s="6"/>
    </row>
    <row r="41" spans="1:39" ht="17.25" customHeight="1">
      <c r="A41" s="29"/>
      <c r="B41" s="48">
        <v>30</v>
      </c>
      <c r="C41" s="213">
        <v>34</v>
      </c>
      <c r="D41" s="214">
        <v>214</v>
      </c>
      <c r="E41" s="172">
        <v>16520.000000000437</v>
      </c>
      <c r="F41" s="169">
        <v>17111085.600000452</v>
      </c>
      <c r="G41" s="169">
        <v>3799.9999999999545</v>
      </c>
      <c r="H41" s="169">
        <v>5903945.9999999292</v>
      </c>
      <c r="I41" s="173">
        <f t="shared" si="0"/>
        <v>23015031.600000381</v>
      </c>
      <c r="J41" s="172">
        <v>1900.0000000000909</v>
      </c>
      <c r="K41" s="169">
        <v>1967982.0000000941</v>
      </c>
      <c r="L41" s="174">
        <v>539.99999999999204</v>
      </c>
      <c r="M41" s="174">
        <v>838981.79999998771</v>
      </c>
      <c r="N41" s="173">
        <f t="shared" si="1"/>
        <v>2806963.8000000818</v>
      </c>
      <c r="O41" s="170">
        <f>I41+N41</f>
        <v>25821995.400000464</v>
      </c>
      <c r="P41" s="171">
        <f t="shared" si="3"/>
        <v>22760.000000000477</v>
      </c>
      <c r="Q41" s="137"/>
      <c r="R41" s="154"/>
      <c r="S41" s="157"/>
      <c r="T41" s="156"/>
      <c r="U41" s="155">
        <v>0</v>
      </c>
      <c r="V41" s="135">
        <f t="shared" si="4"/>
        <v>901.57</v>
      </c>
      <c r="W41" s="204">
        <v>80.099999999999994</v>
      </c>
      <c r="X41" s="208">
        <v>1439437.0499999998</v>
      </c>
      <c r="Y41" s="206">
        <v>821.47</v>
      </c>
      <c r="Z41" s="210">
        <v>3487288.0146000003</v>
      </c>
      <c r="AA41" s="168">
        <f t="shared" si="5"/>
        <v>4926725.0646000002</v>
      </c>
      <c r="AB41" s="97">
        <f t="shared" si="6"/>
        <v>339.25940398016803</v>
      </c>
      <c r="AC41" s="187">
        <v>0</v>
      </c>
      <c r="AD41" s="2">
        <v>0</v>
      </c>
      <c r="AE41" s="2">
        <v>42.575960000000656</v>
      </c>
      <c r="AF41" s="2">
        <v>0</v>
      </c>
      <c r="AG41" s="2">
        <f t="shared" si="7"/>
        <v>42.575960000000656</v>
      </c>
      <c r="AH41" s="200">
        <v>13070989</v>
      </c>
      <c r="AI41" s="36">
        <f t="shared" si="8"/>
        <v>900.08187577468664</v>
      </c>
      <c r="AJ41" s="106">
        <v>715.47999999999956</v>
      </c>
      <c r="AK41" s="202">
        <v>13594119.999999993</v>
      </c>
      <c r="AL41" s="32">
        <f t="shared" si="9"/>
        <v>936.10521966671206</v>
      </c>
      <c r="AM41" s="6"/>
    </row>
    <row r="42" spans="1:39" s="7" customFormat="1" ht="13.5" customHeight="1">
      <c r="B42" s="91"/>
      <c r="C42" s="92"/>
      <c r="D42" s="92"/>
      <c r="E42" s="175"/>
      <c r="F42" s="176"/>
      <c r="G42" s="177"/>
      <c r="H42" s="176"/>
      <c r="I42" s="177"/>
      <c r="J42" s="177"/>
      <c r="K42" s="177"/>
      <c r="L42" s="176"/>
      <c r="M42" s="178"/>
      <c r="N42" s="178"/>
      <c r="P42" s="56"/>
      <c r="R42" s="75"/>
      <c r="S42" s="6"/>
      <c r="U42" s="28"/>
      <c r="V42" s="98"/>
      <c r="AB42" s="28"/>
      <c r="AD42" s="6"/>
      <c r="AJ42" s="75"/>
      <c r="AL42" s="28"/>
    </row>
    <row r="43" spans="1:39" s="7" customFormat="1" ht="6" customHeight="1">
      <c r="B43" s="91"/>
      <c r="C43" s="92"/>
      <c r="D43" s="92"/>
      <c r="E43" s="90"/>
      <c r="F43" s="6"/>
      <c r="H43" s="6"/>
      <c r="L43" s="6"/>
      <c r="M43" s="52"/>
      <c r="N43" s="56"/>
      <c r="P43" s="56"/>
      <c r="R43" s="75"/>
      <c r="S43" s="14"/>
      <c r="T43" s="14"/>
      <c r="U43" s="28"/>
      <c r="V43" s="98"/>
      <c r="AB43" s="99"/>
      <c r="AD43" s="6"/>
      <c r="AH43" s="6"/>
      <c r="AJ43" s="77"/>
      <c r="AK43" s="4"/>
      <c r="AL43" s="33"/>
    </row>
    <row r="44" spans="1:39" s="7" customFormat="1" ht="16.5" thickBot="1">
      <c r="B44" s="93"/>
      <c r="C44" s="94"/>
      <c r="D44" s="94"/>
      <c r="E44" s="95"/>
      <c r="F44" s="62"/>
      <c r="G44" s="61"/>
      <c r="H44" s="62"/>
      <c r="I44" s="61"/>
      <c r="J44" s="61"/>
      <c r="K44" s="61"/>
      <c r="L44" s="62"/>
      <c r="M44" s="63"/>
      <c r="N44" s="64"/>
      <c r="O44" s="61"/>
      <c r="P44" s="64"/>
      <c r="Q44" s="61"/>
      <c r="R44" s="76"/>
      <c r="S44" s="65"/>
      <c r="T44" s="61"/>
      <c r="U44" s="136"/>
      <c r="V44" s="100"/>
      <c r="W44" s="67"/>
      <c r="X44" s="61"/>
      <c r="Y44" s="61"/>
      <c r="Z44" s="61"/>
      <c r="AA44" s="61"/>
      <c r="AB44" s="66"/>
      <c r="AC44" s="68"/>
      <c r="AD44" s="62"/>
      <c r="AE44" s="68"/>
      <c r="AF44" s="68"/>
      <c r="AG44" s="68"/>
      <c r="AH44" s="62"/>
      <c r="AI44" s="61"/>
      <c r="AJ44" s="107"/>
      <c r="AK44" s="69"/>
      <c r="AL44" s="70"/>
    </row>
    <row r="45" spans="1:39" ht="17.25" thickTop="1" thickBot="1">
      <c r="A45" s="22"/>
      <c r="B45" s="59"/>
      <c r="C45" s="60">
        <f t="shared" ref="C45:P45" si="10">SUM(C12:C41)</f>
        <v>871</v>
      </c>
      <c r="D45" s="60">
        <f t="shared" si="10"/>
        <v>4472</v>
      </c>
      <c r="E45" s="179">
        <f t="shared" si="10"/>
        <v>456920.00000000012</v>
      </c>
      <c r="F45" s="179">
        <f t="shared" si="10"/>
        <v>473268597.60000002</v>
      </c>
      <c r="G45" s="179">
        <f t="shared" si="10"/>
        <v>102559.99999999991</v>
      </c>
      <c r="H45" s="179">
        <f t="shared" si="10"/>
        <v>159344395.19999996</v>
      </c>
      <c r="I45" s="179">
        <f t="shared" si="10"/>
        <v>632612992.79999995</v>
      </c>
      <c r="J45" s="179">
        <f t="shared" si="10"/>
        <v>47500</v>
      </c>
      <c r="K45" s="179">
        <f t="shared" si="10"/>
        <v>49199549.999999993</v>
      </c>
      <c r="L45" s="179">
        <f t="shared" si="10"/>
        <v>13780.000000000005</v>
      </c>
      <c r="M45" s="179">
        <f t="shared" si="10"/>
        <v>21409572.600000009</v>
      </c>
      <c r="N45" s="179">
        <f t="shared" si="10"/>
        <v>70609122.600000009</v>
      </c>
      <c r="O45" s="192">
        <f>SUM(O12:O41)</f>
        <v>703222115.4000001</v>
      </c>
      <c r="P45" s="180">
        <f t="shared" si="10"/>
        <v>620760</v>
      </c>
      <c r="Q45" s="181"/>
      <c r="R45" s="182"/>
      <c r="S45" s="183"/>
      <c r="T45" s="183"/>
      <c r="U45" s="184"/>
      <c r="V45" s="185">
        <f t="shared" ref="V45:AH45" si="11">SUM(V12:V41)</f>
        <v>24470.55</v>
      </c>
      <c r="W45" s="186">
        <f t="shared" si="11"/>
        <v>2771.46</v>
      </c>
      <c r="X45" s="186">
        <f t="shared" si="11"/>
        <v>49804521.93</v>
      </c>
      <c r="Y45" s="186">
        <f t="shared" si="11"/>
        <v>21699.09</v>
      </c>
      <c r="Z45" s="186">
        <f t="shared" si="11"/>
        <v>92116542.886199981</v>
      </c>
      <c r="AA45" s="185">
        <f t="shared" si="11"/>
        <v>141921064.81619996</v>
      </c>
      <c r="AB45" s="186">
        <f t="shared" si="11"/>
        <v>9772.831897548549</v>
      </c>
      <c r="AC45" s="189">
        <f t="shared" si="11"/>
        <v>0</v>
      </c>
      <c r="AD45" s="190">
        <f t="shared" si="11"/>
        <v>2500</v>
      </c>
      <c r="AE45" s="189">
        <f t="shared" si="11"/>
        <v>1444.1588400000007</v>
      </c>
      <c r="AF45" s="189">
        <f t="shared" si="11"/>
        <v>372</v>
      </c>
      <c r="AG45" s="194">
        <f t="shared" si="11"/>
        <v>4316.158840000001</v>
      </c>
      <c r="AH45" s="195">
        <f t="shared" si="11"/>
        <v>107267483</v>
      </c>
      <c r="AI45" s="196">
        <f>AH45/$AL$46</f>
        <v>8266.5489373147066</v>
      </c>
      <c r="AJ45" s="193">
        <f>SUM(AJ12:AJ41)</f>
        <v>12855.03000000001</v>
      </c>
      <c r="AK45" s="193">
        <f>SUM(AK12:AK41)</f>
        <v>244245570.00000015</v>
      </c>
      <c r="AL45" s="191">
        <f>AK45/AL46</f>
        <v>18822.740132042869</v>
      </c>
      <c r="AM45" s="22"/>
    </row>
    <row r="46" spans="1:39">
      <c r="A46" s="22"/>
      <c r="B46" s="22"/>
      <c r="C46" s="4"/>
      <c r="D46" s="10"/>
      <c r="E46" s="4"/>
      <c r="F46" s="4"/>
      <c r="G46" s="10"/>
      <c r="H46" s="4"/>
      <c r="I46" s="8"/>
      <c r="J46" s="8"/>
      <c r="K46" s="8"/>
      <c r="L46" s="15"/>
      <c r="M46" s="53"/>
      <c r="N46" s="57"/>
      <c r="O46" s="9"/>
      <c r="P46" s="57"/>
      <c r="Q46" s="9"/>
      <c r="R46" s="89"/>
      <c r="S46" s="13"/>
      <c r="T46" s="71" t="s">
        <v>53</v>
      </c>
      <c r="U46" s="109" t="e">
        <f>U45/S45</f>
        <v>#DIV/0!</v>
      </c>
      <c r="V46" s="139" t="s">
        <v>54</v>
      </c>
      <c r="W46" s="10"/>
      <c r="X46" s="10"/>
      <c r="Y46" s="103"/>
      <c r="Z46" s="10"/>
      <c r="AA46" s="10"/>
      <c r="AB46" s="10"/>
      <c r="AC46" s="14"/>
      <c r="AD46" s="6"/>
      <c r="AE46" s="14"/>
      <c r="AF46" s="14"/>
      <c r="AG46" s="6"/>
      <c r="AH46" s="160"/>
      <c r="AI46" s="10"/>
      <c r="AJ46" s="77"/>
      <c r="AK46" s="10"/>
      <c r="AL46" s="108">
        <v>12976.09</v>
      </c>
      <c r="AM46" s="22"/>
    </row>
    <row r="47" spans="1:39">
      <c r="A47" s="22"/>
      <c r="B47" s="22"/>
      <c r="C47" s="4"/>
      <c r="D47" s="10"/>
      <c r="E47" s="4"/>
      <c r="F47" s="4"/>
      <c r="G47" s="10"/>
      <c r="H47" s="4"/>
      <c r="I47" s="8"/>
      <c r="J47" s="8"/>
      <c r="K47" s="8"/>
      <c r="L47" s="15"/>
      <c r="M47" s="53"/>
      <c r="N47" s="57"/>
      <c r="O47" s="9"/>
      <c r="P47" s="57">
        <f>O45/P45</f>
        <v>1132.8405751014886</v>
      </c>
      <c r="Q47" s="9"/>
      <c r="R47" s="89"/>
      <c r="S47" s="13"/>
      <c r="T47" s="161"/>
      <c r="U47" s="109"/>
      <c r="V47" s="139"/>
      <c r="W47" s="159"/>
      <c r="X47" s="159">
        <f>X45/W45</f>
        <v>17970.5</v>
      </c>
      <c r="Y47" s="103"/>
      <c r="Z47" s="159">
        <f>Z45/Y45</f>
        <v>4245.1799999999994</v>
      </c>
      <c r="AA47" s="10">
        <f>AA45/V45</f>
        <v>5799.6679607201295</v>
      </c>
      <c r="AB47" s="10"/>
      <c r="AC47" s="14"/>
      <c r="AD47" s="6"/>
      <c r="AE47" s="14"/>
      <c r="AF47" s="14"/>
      <c r="AG47" s="6"/>
      <c r="AH47" s="160">
        <f>AH45/AG45</f>
        <v>24852.533694056536</v>
      </c>
      <c r="AI47" s="10"/>
      <c r="AJ47" s="77"/>
      <c r="AK47" s="10">
        <f>AK45/AJ45</f>
        <v>18999.999999999996</v>
      </c>
      <c r="AL47" s="108"/>
      <c r="AM47" s="22"/>
    </row>
    <row r="48" spans="1:39">
      <c r="A48" s="22"/>
      <c r="B48" s="22"/>
      <c r="C48" s="4"/>
      <c r="D48" s="10"/>
      <c r="E48" s="4"/>
      <c r="F48" s="4"/>
      <c r="G48" s="10"/>
      <c r="H48" s="4"/>
      <c r="I48" s="8"/>
      <c r="J48" s="8"/>
      <c r="K48" s="8"/>
      <c r="L48" s="15"/>
      <c r="M48" s="53"/>
      <c r="N48" s="57"/>
      <c r="O48" s="9"/>
      <c r="P48" s="57"/>
      <c r="Q48" s="9"/>
      <c r="R48" s="89"/>
      <c r="S48" s="13"/>
      <c r="T48" s="71"/>
      <c r="U48" s="109"/>
      <c r="V48" s="139"/>
      <c r="W48" s="10"/>
      <c r="X48" s="10"/>
      <c r="Y48" s="103"/>
      <c r="Z48" s="159"/>
      <c r="AA48" s="10"/>
      <c r="AB48" s="10"/>
      <c r="AC48" s="14"/>
      <c r="AD48" s="6"/>
      <c r="AE48" s="14">
        <f>1444/50</f>
        <v>28.88</v>
      </c>
      <c r="AF48" s="14"/>
      <c r="AG48" s="165"/>
      <c r="AH48" s="160"/>
      <c r="AI48" s="10"/>
      <c r="AJ48" s="77"/>
      <c r="AK48" s="10"/>
      <c r="AL48" s="108"/>
      <c r="AM48" s="22"/>
    </row>
    <row r="49" spans="1:39" s="142" customFormat="1">
      <c r="A49" s="140"/>
      <c r="B49" s="140"/>
      <c r="C49" s="141"/>
      <c r="E49" s="141"/>
      <c r="F49" s="141"/>
      <c r="H49" s="141"/>
      <c r="L49" s="141"/>
      <c r="M49" s="143"/>
      <c r="N49" s="144"/>
      <c r="P49" s="144"/>
      <c r="R49" s="145"/>
      <c r="T49" s="158"/>
      <c r="Y49" s="164"/>
      <c r="AD49" s="141"/>
      <c r="AG49" s="158"/>
      <c r="AH49" s="141"/>
      <c r="AJ49" s="145"/>
      <c r="AL49" s="146"/>
      <c r="AM49" s="140"/>
    </row>
    <row r="50" spans="1:39" s="142" customFormat="1">
      <c r="A50" s="140"/>
      <c r="B50" s="140"/>
      <c r="C50" s="141"/>
      <c r="E50" s="141"/>
      <c r="F50" s="141"/>
      <c r="H50" s="141"/>
      <c r="L50" s="141"/>
      <c r="M50" s="143"/>
      <c r="N50" s="144"/>
      <c r="P50" s="144"/>
      <c r="R50" s="145"/>
      <c r="S50" s="158"/>
      <c r="T50" s="158"/>
      <c r="Z50" s="158"/>
      <c r="AD50" s="141"/>
      <c r="AH50" s="141"/>
      <c r="AJ50" s="145"/>
      <c r="AL50" s="146"/>
      <c r="AM50" s="140"/>
    </row>
    <row r="51" spans="1:39" s="142" customFormat="1">
      <c r="A51" s="140"/>
      <c r="B51" s="140"/>
      <c r="C51" s="141"/>
      <c r="E51" s="141"/>
      <c r="F51" s="141"/>
      <c r="H51" s="141"/>
      <c r="L51" s="141"/>
      <c r="M51" s="143"/>
      <c r="N51" s="144"/>
      <c r="P51" s="144"/>
      <c r="R51" s="145"/>
      <c r="X51" s="158"/>
      <c r="AD51" s="141"/>
      <c r="AH51" s="141"/>
      <c r="AJ51" s="145"/>
      <c r="AL51" s="146"/>
      <c r="AM51" s="140"/>
    </row>
    <row r="52" spans="1:39" s="142" customFormat="1">
      <c r="A52" s="140"/>
      <c r="B52" s="140"/>
      <c r="C52" s="141"/>
      <c r="E52" s="141"/>
      <c r="F52" s="141"/>
      <c r="H52" s="141"/>
      <c r="L52" s="141"/>
      <c r="M52" s="143"/>
      <c r="N52" s="144"/>
      <c r="P52" s="144"/>
      <c r="R52" s="145"/>
      <c r="S52" s="158"/>
      <c r="AD52" s="141"/>
      <c r="AH52" s="141"/>
      <c r="AJ52" s="145"/>
      <c r="AL52" s="146"/>
      <c r="AM52" s="140"/>
    </row>
    <row r="53" spans="1:39" s="142" customFormat="1">
      <c r="A53" s="140"/>
      <c r="B53" s="140"/>
      <c r="C53" s="141"/>
      <c r="E53" s="141"/>
      <c r="F53" s="141"/>
      <c r="H53" s="141"/>
      <c r="L53" s="141"/>
      <c r="M53" s="143"/>
      <c r="N53" s="144"/>
      <c r="P53" s="144"/>
      <c r="R53" s="145"/>
      <c r="T53" s="158"/>
      <c r="AD53" s="141"/>
      <c r="AH53" s="141"/>
      <c r="AJ53" s="145"/>
      <c r="AL53" s="146"/>
      <c r="AM53" s="140"/>
    </row>
    <row r="54" spans="1:39" s="142" customFormat="1">
      <c r="A54" s="140"/>
      <c r="B54" s="140"/>
      <c r="C54" s="141"/>
      <c r="E54" s="141"/>
      <c r="F54" s="141"/>
      <c r="H54" s="141"/>
      <c r="L54" s="141"/>
      <c r="M54" s="143"/>
      <c r="N54" s="144"/>
      <c r="P54" s="144"/>
      <c r="R54" s="145"/>
      <c r="AD54" s="141"/>
      <c r="AH54" s="141"/>
      <c r="AJ54" s="145"/>
      <c r="AL54" s="146"/>
      <c r="AM54" s="140"/>
    </row>
    <row r="55" spans="1:39" s="142" customFormat="1">
      <c r="A55" s="140"/>
      <c r="B55" s="140"/>
      <c r="C55" s="141"/>
      <c r="E55" s="141"/>
      <c r="F55" s="141"/>
      <c r="H55" s="141"/>
      <c r="L55" s="141"/>
      <c r="M55" s="143"/>
      <c r="N55" s="144"/>
      <c r="P55" s="144"/>
      <c r="R55" s="145"/>
      <c r="AD55" s="141"/>
      <c r="AH55" s="141"/>
      <c r="AJ55" s="145"/>
      <c r="AL55" s="146"/>
      <c r="AM55" s="140"/>
    </row>
    <row r="56" spans="1:39" s="142" customFormat="1">
      <c r="A56" s="140"/>
      <c r="B56" s="140"/>
      <c r="C56" s="141"/>
      <c r="E56" s="141"/>
      <c r="F56" s="141"/>
      <c r="H56" s="141"/>
      <c r="L56" s="141"/>
      <c r="M56" s="143"/>
      <c r="N56" s="144"/>
      <c r="P56" s="144"/>
      <c r="R56" s="145"/>
      <c r="AD56" s="141"/>
      <c r="AH56" s="141"/>
      <c r="AJ56" s="145"/>
      <c r="AL56" s="146"/>
      <c r="AM56" s="140"/>
    </row>
    <row r="57" spans="1:39" s="142" customFormat="1">
      <c r="A57" s="140"/>
      <c r="B57" s="140"/>
      <c r="C57" s="141"/>
      <c r="E57" s="141"/>
      <c r="F57" s="141"/>
      <c r="H57" s="141"/>
      <c r="L57" s="141"/>
      <c r="M57" s="143"/>
      <c r="N57" s="144"/>
      <c r="P57" s="144"/>
      <c r="R57" s="145"/>
      <c r="AD57" s="141"/>
      <c r="AH57" s="141"/>
      <c r="AJ57" s="145"/>
      <c r="AL57" s="146"/>
      <c r="AM57" s="140"/>
    </row>
    <row r="58" spans="1:39" s="142" customFormat="1">
      <c r="A58" s="140"/>
      <c r="B58" s="140"/>
      <c r="C58" s="141"/>
      <c r="E58" s="141"/>
      <c r="F58" s="141"/>
      <c r="H58" s="141"/>
      <c r="L58" s="141"/>
      <c r="M58" s="143"/>
      <c r="N58" s="144"/>
      <c r="P58" s="144"/>
      <c r="R58" s="145"/>
      <c r="AD58" s="141"/>
      <c r="AH58" s="141"/>
      <c r="AJ58" s="145"/>
      <c r="AL58" s="146"/>
      <c r="AM58" s="140"/>
    </row>
    <row r="59" spans="1:39" s="142" customFormat="1">
      <c r="A59" s="140"/>
      <c r="B59" s="140"/>
      <c r="C59" s="141"/>
      <c r="E59" s="141"/>
      <c r="F59" s="141"/>
      <c r="H59" s="141"/>
      <c r="L59" s="141"/>
      <c r="M59" s="143"/>
      <c r="N59" s="144"/>
      <c r="P59" s="144"/>
      <c r="R59" s="145"/>
      <c r="AD59" s="141"/>
      <c r="AH59" s="141"/>
      <c r="AJ59" s="145"/>
      <c r="AL59" s="146"/>
      <c r="AM59" s="140"/>
    </row>
    <row r="60" spans="1:39" s="142" customFormat="1">
      <c r="A60" s="140"/>
      <c r="B60" s="140"/>
      <c r="C60" s="141"/>
      <c r="E60" s="141"/>
      <c r="F60" s="141"/>
      <c r="H60" s="141"/>
      <c r="L60" s="141"/>
      <c r="M60" s="143"/>
      <c r="N60" s="144"/>
      <c r="P60" s="144"/>
      <c r="R60" s="145"/>
      <c r="AD60" s="141"/>
      <c r="AH60" s="141"/>
      <c r="AJ60" s="145"/>
      <c r="AL60" s="146"/>
      <c r="AM60" s="140"/>
    </row>
    <row r="61" spans="1:39" s="142" customFormat="1">
      <c r="A61" s="140"/>
      <c r="B61" s="140"/>
      <c r="C61" s="141"/>
      <c r="E61" s="141"/>
      <c r="F61" s="141"/>
      <c r="H61" s="141"/>
      <c r="I61" s="141"/>
      <c r="J61" s="141"/>
      <c r="L61" s="141"/>
      <c r="M61" s="143"/>
      <c r="N61" s="144"/>
      <c r="P61" s="144"/>
      <c r="R61" s="145"/>
      <c r="AD61" s="141"/>
      <c r="AH61" s="141"/>
      <c r="AJ61" s="145"/>
      <c r="AL61" s="146"/>
      <c r="AM61" s="140"/>
    </row>
    <row r="62" spans="1:39" s="142" customFormat="1">
      <c r="A62" s="140"/>
      <c r="B62" s="140"/>
      <c r="C62" s="141"/>
      <c r="E62" s="141"/>
      <c r="F62" s="141"/>
      <c r="H62" s="141"/>
      <c r="L62" s="141"/>
      <c r="M62" s="143"/>
      <c r="N62" s="144"/>
      <c r="P62" s="144"/>
      <c r="R62" s="145"/>
      <c r="AD62" s="141"/>
      <c r="AH62" s="141"/>
      <c r="AJ62" s="145"/>
      <c r="AL62" s="146"/>
      <c r="AM62" s="140"/>
    </row>
    <row r="63" spans="1:39" s="142" customFormat="1">
      <c r="A63" s="140"/>
      <c r="B63" s="140"/>
      <c r="C63" s="141"/>
      <c r="E63" s="141"/>
      <c r="F63" s="141"/>
      <c r="H63" s="141"/>
      <c r="L63" s="141"/>
      <c r="M63" s="143"/>
      <c r="N63" s="144"/>
      <c r="P63" s="144"/>
      <c r="R63" s="145"/>
      <c r="AD63" s="141"/>
      <c r="AH63" s="141"/>
      <c r="AJ63" s="145"/>
      <c r="AL63" s="146"/>
      <c r="AM63" s="140"/>
    </row>
    <row r="64" spans="1:39" s="142" customFormat="1">
      <c r="A64" s="140"/>
      <c r="B64" s="140"/>
      <c r="C64" s="141"/>
      <c r="E64" s="141"/>
      <c r="F64" s="141"/>
      <c r="H64" s="141"/>
      <c r="L64" s="141"/>
      <c r="M64" s="143"/>
      <c r="N64" s="144"/>
      <c r="P64" s="144"/>
      <c r="R64" s="145"/>
      <c r="AD64" s="141"/>
      <c r="AH64" s="141"/>
      <c r="AJ64" s="145"/>
      <c r="AL64" s="146"/>
      <c r="AM64" s="140"/>
    </row>
    <row r="65" spans="1:39" s="142" customFormat="1">
      <c r="A65" s="140"/>
      <c r="B65" s="140"/>
      <c r="C65" s="141"/>
      <c r="E65" s="141"/>
      <c r="F65" s="141"/>
      <c r="H65" s="141"/>
      <c r="L65" s="141"/>
      <c r="M65" s="143"/>
      <c r="N65" s="144"/>
      <c r="P65" s="144"/>
      <c r="R65" s="145"/>
      <c r="AD65" s="141"/>
      <c r="AH65" s="141"/>
      <c r="AJ65" s="145"/>
      <c r="AL65" s="146"/>
      <c r="AM65" s="140"/>
    </row>
    <row r="66" spans="1:39" s="142" customFormat="1">
      <c r="A66" s="140"/>
      <c r="B66" s="140"/>
      <c r="C66" s="141"/>
      <c r="E66" s="141"/>
      <c r="F66" s="141"/>
      <c r="H66" s="141"/>
      <c r="L66" s="141"/>
      <c r="M66" s="143"/>
      <c r="N66" s="144"/>
      <c r="P66" s="144"/>
      <c r="R66" s="145"/>
      <c r="AD66" s="141"/>
      <c r="AH66" s="141"/>
      <c r="AJ66" s="145"/>
      <c r="AL66" s="146"/>
      <c r="AM66" s="140"/>
    </row>
    <row r="67" spans="1:39" s="142" customFormat="1">
      <c r="A67" s="140"/>
      <c r="B67" s="140"/>
      <c r="C67" s="141"/>
      <c r="E67" s="141"/>
      <c r="F67" s="141"/>
      <c r="H67" s="141"/>
      <c r="L67" s="141"/>
      <c r="M67" s="143"/>
      <c r="N67" s="144"/>
      <c r="P67" s="144"/>
      <c r="R67" s="145"/>
      <c r="AD67" s="141"/>
      <c r="AH67" s="141"/>
      <c r="AJ67" s="145"/>
      <c r="AL67" s="146"/>
      <c r="AM67" s="140"/>
    </row>
    <row r="68" spans="1:39" s="142" customFormat="1">
      <c r="A68" s="140"/>
      <c r="B68" s="140"/>
      <c r="C68" s="141"/>
      <c r="E68" s="141"/>
      <c r="F68" s="141"/>
      <c r="H68" s="141"/>
      <c r="L68" s="141"/>
      <c r="M68" s="143"/>
      <c r="N68" s="144"/>
      <c r="P68" s="144"/>
      <c r="R68" s="145"/>
      <c r="AD68" s="141"/>
      <c r="AH68" s="141"/>
      <c r="AJ68" s="145"/>
      <c r="AL68" s="146"/>
      <c r="AM68" s="140"/>
    </row>
  </sheetData>
  <mergeCells count="18"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AJ9:AL9"/>
    <mergeCell ref="R9:R10"/>
    <mergeCell ref="S9:S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6"/>
  <sheetViews>
    <sheetView workbookViewId="0">
      <pane xSplit="1" ySplit="5" topLeftCell="B21" activePane="bottomRight" state="frozen"/>
      <selection pane="bottomRight" activeCell="G13" sqref="G13"/>
      <selection pane="bottomLeft" activeCell="A6" sqref="A6"/>
      <selection pane="topRight" activeCell="B1" sqref="B1"/>
    </sheetView>
  </sheetViews>
  <sheetFormatPr defaultRowHeight="1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>
      <c r="A1" s="23" t="s">
        <v>16</v>
      </c>
    </row>
    <row r="2" spans="1:3" ht="18">
      <c r="A2" s="254">
        <v>44713</v>
      </c>
      <c r="B2" s="255"/>
      <c r="C2" s="255"/>
    </row>
    <row r="3" spans="1:3">
      <c r="A3" s="257" t="s">
        <v>18</v>
      </c>
      <c r="B3" s="256" t="s">
        <v>19</v>
      </c>
      <c r="C3" s="256" t="s">
        <v>13</v>
      </c>
    </row>
    <row r="4" spans="1:3">
      <c r="A4" s="257"/>
      <c r="B4" s="256"/>
      <c r="C4" s="256"/>
    </row>
    <row r="5" spans="1:3">
      <c r="A5" s="257"/>
      <c r="B5" s="256"/>
      <c r="C5" s="256"/>
    </row>
    <row r="6" spans="1:3">
      <c r="A6" s="1">
        <v>1</v>
      </c>
      <c r="B6" s="211">
        <v>14</v>
      </c>
      <c r="C6" s="212">
        <v>80</v>
      </c>
    </row>
    <row r="7" spans="1:3">
      <c r="A7" s="1">
        <v>2</v>
      </c>
      <c r="B7" s="213">
        <v>16</v>
      </c>
      <c r="C7" s="214">
        <v>80</v>
      </c>
    </row>
    <row r="8" spans="1:3">
      <c r="A8" s="1">
        <f>A7+1</f>
        <v>3</v>
      </c>
      <c r="B8" s="213">
        <v>15</v>
      </c>
      <c r="C8" s="214">
        <v>82</v>
      </c>
    </row>
    <row r="9" spans="1:3">
      <c r="A9" s="1">
        <f>A8+1</f>
        <v>4</v>
      </c>
      <c r="B9" s="213">
        <v>18</v>
      </c>
      <c r="C9" s="214">
        <v>108</v>
      </c>
    </row>
    <row r="10" spans="1:3">
      <c r="A10" s="1">
        <f t="shared" ref="A10:A35" si="0">A9+1</f>
        <v>5</v>
      </c>
      <c r="B10" s="213">
        <v>16</v>
      </c>
      <c r="C10" s="214">
        <v>112</v>
      </c>
    </row>
    <row r="11" spans="1:3">
      <c r="A11" s="1">
        <f t="shared" si="0"/>
        <v>6</v>
      </c>
      <c r="B11" s="213">
        <v>12</v>
      </c>
      <c r="C11" s="214">
        <v>76</v>
      </c>
    </row>
    <row r="12" spans="1:3">
      <c r="A12" s="1">
        <f t="shared" si="0"/>
        <v>7</v>
      </c>
      <c r="B12" s="213">
        <v>14</v>
      </c>
      <c r="C12" s="214">
        <v>90</v>
      </c>
    </row>
    <row r="13" spans="1:3">
      <c r="A13" s="1">
        <f t="shared" si="0"/>
        <v>8</v>
      </c>
      <c r="B13" s="213">
        <v>19</v>
      </c>
      <c r="C13" s="214">
        <v>105</v>
      </c>
    </row>
    <row r="14" spans="1:3">
      <c r="A14" s="1">
        <f t="shared" si="0"/>
        <v>9</v>
      </c>
      <c r="B14" s="213">
        <v>24</v>
      </c>
      <c r="C14" s="214">
        <v>124</v>
      </c>
    </row>
    <row r="15" spans="1:3">
      <c r="A15" s="1">
        <f t="shared" si="0"/>
        <v>10</v>
      </c>
      <c r="B15" s="213">
        <v>29</v>
      </c>
      <c r="C15" s="214">
        <v>133</v>
      </c>
    </row>
    <row r="16" spans="1:3">
      <c r="A16" s="1">
        <f t="shared" si="0"/>
        <v>11</v>
      </c>
      <c r="B16" s="213">
        <v>24</v>
      </c>
      <c r="C16" s="214">
        <v>130</v>
      </c>
    </row>
    <row r="17" spans="1:3">
      <c r="A17" s="1">
        <f t="shared" si="0"/>
        <v>12</v>
      </c>
      <c r="B17" s="213">
        <v>23</v>
      </c>
      <c r="C17" s="214">
        <v>118</v>
      </c>
    </row>
    <row r="18" spans="1:3">
      <c r="A18" s="1">
        <f t="shared" si="0"/>
        <v>13</v>
      </c>
      <c r="B18" s="213">
        <v>33</v>
      </c>
      <c r="C18" s="214">
        <v>134</v>
      </c>
    </row>
    <row r="19" spans="1:3">
      <c r="A19" s="1">
        <f t="shared" si="0"/>
        <v>14</v>
      </c>
      <c r="B19" s="213">
        <v>35</v>
      </c>
      <c r="C19" s="214">
        <v>159</v>
      </c>
    </row>
    <row r="20" spans="1:3">
      <c r="A20" s="1">
        <f t="shared" si="0"/>
        <v>15</v>
      </c>
      <c r="B20" s="213">
        <v>37</v>
      </c>
      <c r="C20" s="214">
        <v>165</v>
      </c>
    </row>
    <row r="21" spans="1:3">
      <c r="A21" s="1">
        <f t="shared" si="0"/>
        <v>16</v>
      </c>
      <c r="B21" s="213">
        <v>44</v>
      </c>
      <c r="C21" s="214">
        <v>158</v>
      </c>
    </row>
    <row r="22" spans="1:3">
      <c r="A22" s="1">
        <f t="shared" si="0"/>
        <v>17</v>
      </c>
      <c r="B22" s="213">
        <v>44</v>
      </c>
      <c r="C22" s="214">
        <v>215</v>
      </c>
    </row>
    <row r="23" spans="1:3">
      <c r="A23" s="1">
        <f t="shared" si="0"/>
        <v>18</v>
      </c>
      <c r="B23" s="213">
        <v>41</v>
      </c>
      <c r="C23" s="214">
        <v>171</v>
      </c>
    </row>
    <row r="24" spans="1:3">
      <c r="A24" s="1">
        <f t="shared" si="0"/>
        <v>19</v>
      </c>
      <c r="B24" s="213">
        <v>34</v>
      </c>
      <c r="C24" s="214">
        <v>169</v>
      </c>
    </row>
    <row r="25" spans="1:3">
      <c r="A25" s="1">
        <f t="shared" si="0"/>
        <v>20</v>
      </c>
      <c r="B25" s="213">
        <v>33</v>
      </c>
      <c r="C25" s="214">
        <v>191</v>
      </c>
    </row>
    <row r="26" spans="1:3">
      <c r="A26" s="1">
        <f t="shared" si="0"/>
        <v>21</v>
      </c>
      <c r="B26" s="213">
        <v>30</v>
      </c>
      <c r="C26" s="214">
        <v>195</v>
      </c>
    </row>
    <row r="27" spans="1:3">
      <c r="A27" s="1">
        <f t="shared" si="0"/>
        <v>22</v>
      </c>
      <c r="B27" s="213">
        <v>26</v>
      </c>
      <c r="C27" s="214">
        <v>188</v>
      </c>
    </row>
    <row r="28" spans="1:3">
      <c r="A28" s="1">
        <f t="shared" si="0"/>
        <v>23</v>
      </c>
      <c r="B28" s="213">
        <v>36</v>
      </c>
      <c r="C28" s="214">
        <v>183</v>
      </c>
    </row>
    <row r="29" spans="1:3">
      <c r="A29" s="1">
        <f t="shared" si="0"/>
        <v>24</v>
      </c>
      <c r="B29" s="213">
        <v>40</v>
      </c>
      <c r="C29" s="214">
        <v>204</v>
      </c>
    </row>
    <row r="30" spans="1:3">
      <c r="A30" s="1">
        <f t="shared" si="0"/>
        <v>25</v>
      </c>
      <c r="B30" s="213">
        <v>38</v>
      </c>
      <c r="C30" s="214">
        <v>205</v>
      </c>
    </row>
    <row r="31" spans="1:3">
      <c r="A31" s="1">
        <f t="shared" si="0"/>
        <v>26</v>
      </c>
      <c r="B31" s="213">
        <v>37</v>
      </c>
      <c r="C31" s="214">
        <v>210</v>
      </c>
    </row>
    <row r="32" spans="1:3">
      <c r="A32" s="1">
        <f t="shared" si="0"/>
        <v>27</v>
      </c>
      <c r="B32" s="213">
        <v>27</v>
      </c>
      <c r="C32" s="214">
        <v>150</v>
      </c>
    </row>
    <row r="33" spans="1:3">
      <c r="A33" s="1">
        <f t="shared" si="0"/>
        <v>28</v>
      </c>
      <c r="B33" s="213">
        <v>36</v>
      </c>
      <c r="C33" s="214">
        <v>133</v>
      </c>
    </row>
    <row r="34" spans="1:3">
      <c r="A34" s="1">
        <f t="shared" si="0"/>
        <v>29</v>
      </c>
      <c r="B34" s="213">
        <v>42</v>
      </c>
      <c r="C34" s="214">
        <v>190</v>
      </c>
    </row>
    <row r="35" spans="1:3">
      <c r="A35" s="1">
        <f t="shared" si="0"/>
        <v>30</v>
      </c>
      <c r="B35" s="213">
        <v>34</v>
      </c>
      <c r="C35" s="214">
        <v>214</v>
      </c>
    </row>
    <row r="36" spans="1:3">
      <c r="B36" s="5">
        <f>SUM(B6:B35)</f>
        <v>871</v>
      </c>
      <c r="C36" s="5">
        <f>SUM(C6:C35)</f>
        <v>4472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aa9498c5a7e064436d8ab2129fb525cb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3b0100120dad97a179440cd528b1e982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3F63AC17-9EFD-48DA-BB12-4FD1F7102A5E}"/>
</file>

<file path=customXml/itemProps3.xml><?xml version="1.0" encoding="utf-8"?>
<ds:datastoreItem xmlns:ds="http://schemas.openxmlformats.org/officeDocument/2006/customXml" ds:itemID="{791A9A56-7608-42D1-BFCE-B2ADB4341E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 Safitri</cp:lastModifiedBy>
  <cp:revision/>
  <dcterms:created xsi:type="dcterms:W3CDTF">2020-09-16T08:52:25Z</dcterms:created>
  <dcterms:modified xsi:type="dcterms:W3CDTF">2022-07-01T09:00:10Z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