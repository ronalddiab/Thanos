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"/>
    </mc:Choice>
  </mc:AlternateContent>
  <xr:revisionPtr revIDLastSave="0" documentId="13_ncr:1_{02F05D22-4E7D-40A7-A46D-409743294D27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May" sheetId="2" r:id="rId2"/>
  </sheets>
  <calcPr calcId="191029"/>
</workbook>
</file>

<file path=xl/calcChain.xml><?xml version="1.0" encoding="utf-8"?>
<calcChain xmlns="http://schemas.openxmlformats.org/spreadsheetml/2006/main">
  <c r="Q39" i="2" l="1"/>
  <c r="O39" i="2"/>
  <c r="M39" i="2"/>
  <c r="K39" i="2"/>
  <c r="I39" i="2"/>
  <c r="G39" i="2"/>
  <c r="E39" i="2"/>
  <c r="C39" i="2"/>
  <c r="M32" i="1" l="1"/>
  <c r="K32" i="1"/>
  <c r="I32" i="1"/>
  <c r="G32" i="1"/>
  <c r="E32" i="1"/>
  <c r="B32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E30" i="1"/>
  <c r="E31" i="1"/>
  <c r="Q38" i="2"/>
  <c r="O38" i="2"/>
  <c r="M38" i="2"/>
  <c r="K38" i="2"/>
  <c r="I38" i="2"/>
  <c r="G38" i="2"/>
  <c r="E38" i="2"/>
  <c r="G31" i="1" s="1"/>
  <c r="C38" i="2"/>
  <c r="Q37" i="2"/>
  <c r="O37" i="2"/>
  <c r="M37" i="2"/>
  <c r="K37" i="2"/>
  <c r="I37" i="2"/>
  <c r="G37" i="2"/>
  <c r="E37" i="2"/>
  <c r="G30" i="1" s="1"/>
  <c r="C37" i="2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K28" i="1" s="1"/>
  <c r="E35" i="2"/>
  <c r="G28" i="1" s="1"/>
  <c r="C35" i="2"/>
  <c r="E28" i="1" s="1"/>
  <c r="Q34" i="2"/>
  <c r="O34" i="2"/>
  <c r="M34" i="2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K22" i="1" s="1"/>
  <c r="E29" i="2"/>
  <c r="G22" i="1" s="1"/>
  <c r="C29" i="2"/>
  <c r="E22" i="1" s="1"/>
  <c r="Q28" i="2"/>
  <c r="O28" i="2"/>
  <c r="M28" i="2"/>
  <c r="K28" i="2"/>
  <c r="I28" i="2"/>
  <c r="G28" i="2"/>
  <c r="E28" i="2"/>
  <c r="G21" i="1" s="1"/>
  <c r="C28" i="2"/>
  <c r="E21" i="1" s="1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I5" i="1" s="1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10" i="2"/>
  <c r="I10" i="2"/>
  <c r="G10" i="2"/>
  <c r="E10" i="2"/>
  <c r="G3" i="1" s="1"/>
  <c r="C10" i="2"/>
  <c r="E3" i="1" s="1"/>
  <c r="Q9" i="2"/>
  <c r="O9" i="2"/>
  <c r="M9" i="2"/>
  <c r="M41" i="2" s="1"/>
  <c r="K9" i="2"/>
  <c r="I9" i="2"/>
  <c r="G9" i="2"/>
  <c r="E9" i="2"/>
  <c r="C9" i="2"/>
  <c r="O41" i="2" l="1"/>
  <c r="K3" i="1"/>
  <c r="K9" i="1"/>
  <c r="K15" i="1"/>
  <c r="K21" i="1"/>
  <c r="K27" i="1"/>
  <c r="I4" i="1"/>
  <c r="I10" i="1"/>
  <c r="I13" i="1"/>
  <c r="I16" i="1"/>
  <c r="I19" i="1"/>
  <c r="I22" i="1"/>
  <c r="I28" i="1"/>
  <c r="I31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<sst xmlns="http://schemas.openxmlformats.org/spreadsheetml/2006/main" count="73" uniqueCount="35">
  <si>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</si>
  <si>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</si>
  <si>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</si>
  <si>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</si>
  <si>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</si>
  <si>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</si>
  <si>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</si>
  <si>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</si>
  <si>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</si>
  <si>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</si>
  <si>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</si>
  <si>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</si>
  <si>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</si>
  <si>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</si>
  <si>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</si>
  <si>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</si>
  <si>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</si>
  <si>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</si>
  <si>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</si>
  <si>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</si>
  <si>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</si>
  <si>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</si>
  <si>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</si>
  <si>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</si>
  <si>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</si>
  <si>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</si>
  <si>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</si>
  <si>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</si>
  <si>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</si>
  <si>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</si>
  <si>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</si>
  <si>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</si>
  <si>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</si>
  <si>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</si>
  <si>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May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</si>
</sst>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G1" workbookViewId="0">
      <selection activeCell="M30" sqref="M30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IF(May!C9&gt;0,May!C9,0)</f>
        <v>3000</v>
      </c>
      <c r="F2" s="9">
        <v>0.13619999999999999</v>
      </c>
      <c r="G2" s="4">
        <f>IF(May!E9&gt;0,May!E9,0)</f>
        <v>3.141</v>
      </c>
      <c r="H2" s="10">
        <v>1.28</v>
      </c>
      <c r="I2" s="4">
        <f>IF((May!I9+May!O9)&gt;0,(May!I9+May!O9),0)</f>
        <v>590</v>
      </c>
      <c r="J2" s="10">
        <v>0.04</v>
      </c>
      <c r="K2" s="4">
        <f>IF((May!G9+May!M9)&gt;0,(May!G9+May!M9),0)</f>
        <v>2.6</v>
      </c>
      <c r="L2" s="10">
        <v>39</v>
      </c>
      <c r="M2" s="4">
        <f>May!R9</f>
        <v>0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IF(May!C10&gt;0,May!C10,0)</f>
        <v>3600</v>
      </c>
      <c r="F3" s="9">
        <v>0.13619999999999999</v>
      </c>
      <c r="G3" s="4">
        <f>IF(May!E10&gt;0,May!E10,0)</f>
        <v>5.2349999999999994</v>
      </c>
      <c r="H3" s="10">
        <v>1.28</v>
      </c>
      <c r="I3" s="4">
        <f>IF((May!I10+May!O10)&gt;0,(May!I10+May!O10),0)</f>
        <v>2276</v>
      </c>
      <c r="J3" s="10">
        <v>0.04</v>
      </c>
      <c r="K3" s="4">
        <f>IF((May!G10+May!M10)&gt;0,(May!G10+May!M10),0)</f>
        <v>4.2</v>
      </c>
      <c r="L3" s="10">
        <v>39</v>
      </c>
      <c r="M3" s="4">
        <f>May!R10</f>
        <v>0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10</v>
      </c>
      <c r="D4" s="14">
        <v>2021</v>
      </c>
      <c r="E4" s="4">
        <f>IF(May!C11&gt;0,May!C11,0)</f>
        <v>3600</v>
      </c>
      <c r="F4" s="9">
        <v>0.13619999999999999</v>
      </c>
      <c r="G4" s="4">
        <f>IF(May!E11&gt;0,May!E11,0)</f>
        <v>4.1879999999999997</v>
      </c>
      <c r="H4" s="10">
        <v>1.28</v>
      </c>
      <c r="I4" s="4">
        <f>IF((May!I11+May!O11)&gt;0,(May!I11+May!O11),0)</f>
        <v>1590</v>
      </c>
      <c r="J4" s="10">
        <v>0.04</v>
      </c>
      <c r="K4" s="4">
        <f>IF((May!G11+May!M11)&gt;0,(May!G11+May!M11),0)</f>
        <v>4.3</v>
      </c>
      <c r="L4" s="10">
        <v>39</v>
      </c>
      <c r="M4" s="4">
        <f>May!R11</f>
        <v>0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IF(May!C12&gt;0,May!C12,0)</f>
        <v>3900</v>
      </c>
      <c r="F5" s="9">
        <v>0.13619999999999999</v>
      </c>
      <c r="G5" s="4">
        <f>IF(May!E12&gt;0,May!E12,0)</f>
        <v>4.1879999999999997</v>
      </c>
      <c r="H5" s="10">
        <v>1.28</v>
      </c>
      <c r="I5" s="4">
        <f>IF((May!I12+May!O12)&gt;0,(May!I12+May!O12),0)</f>
        <v>1504</v>
      </c>
      <c r="J5" s="10">
        <v>0.04</v>
      </c>
      <c r="K5" s="4">
        <f>IF((May!G12+May!M12)&gt;0,(May!G12+May!M12),0)</f>
        <v>3.3000000000000003</v>
      </c>
      <c r="L5" s="10">
        <v>39</v>
      </c>
      <c r="M5" s="4">
        <f>May!R12</f>
        <v>0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IF(May!C13&gt;0,May!C13,0)</f>
        <v>4200</v>
      </c>
      <c r="F6" s="9">
        <v>0.13619999999999999</v>
      </c>
      <c r="G6" s="4">
        <f>IF(May!E13&gt;0,May!E13,0)</f>
        <v>5.2349999999999994</v>
      </c>
      <c r="H6" s="10">
        <v>1.28</v>
      </c>
      <c r="I6" s="4">
        <f>IF((May!I13+May!O13)&gt;0,(May!I13+May!O13),0)</f>
        <v>1290</v>
      </c>
      <c r="J6" s="10">
        <v>0.04</v>
      </c>
      <c r="K6" s="4">
        <f>IF((May!G13+May!M13)&gt;0,(May!G13+May!M13),0)</f>
        <v>3.6000000000000005</v>
      </c>
      <c r="L6" s="10">
        <v>39</v>
      </c>
      <c r="M6" s="4">
        <f>May!R13</f>
        <v>0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IF(May!C14&gt;0,May!C14,0)</f>
        <v>3900</v>
      </c>
      <c r="F7" s="9">
        <v>0.13619999999999999</v>
      </c>
      <c r="G7" s="4">
        <f>IF(May!E14&gt;0,May!E14,0)</f>
        <v>4.1879999999999997</v>
      </c>
      <c r="H7" s="10">
        <v>1.28</v>
      </c>
      <c r="I7" s="4">
        <f>IF((May!I14+May!O14)&gt;0,(May!I14+May!O14),0)</f>
        <v>1000</v>
      </c>
      <c r="J7" s="10">
        <v>0.04</v>
      </c>
      <c r="K7" s="4">
        <f>IF((May!G14+May!M14)&gt;0,(May!G14+May!M14),0)</f>
        <v>3.2</v>
      </c>
      <c r="L7" s="10">
        <v>39</v>
      </c>
      <c r="M7" s="4">
        <f>May!R14</f>
        <v>0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IF(May!C15&gt;0,May!C15,0)</f>
        <v>3300</v>
      </c>
      <c r="F8" s="9">
        <v>0.13619999999999999</v>
      </c>
      <c r="G8" s="4">
        <f>IF(May!E15&gt;0,May!E15,0)</f>
        <v>4.1879999999999997</v>
      </c>
      <c r="H8" s="10">
        <v>1.28</v>
      </c>
      <c r="I8" s="4">
        <f>IF((May!I15+May!O15)&gt;0,(May!I15+May!O15),0)</f>
        <v>70</v>
      </c>
      <c r="J8" s="10">
        <v>0.04</v>
      </c>
      <c r="K8" s="4">
        <f>IF((May!G15+May!M15)&gt;0,(May!G15+May!M15),0)</f>
        <v>2.6</v>
      </c>
      <c r="L8" s="10">
        <v>39</v>
      </c>
      <c r="M8" s="4">
        <f>May!R15</f>
        <v>0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IF(May!C16&gt;0,May!C16,0)</f>
        <v>3600</v>
      </c>
      <c r="F9" s="9">
        <v>0.13619999999999999</v>
      </c>
      <c r="G9" s="4">
        <f>IF(May!E16&gt;0,May!E16,0)</f>
        <v>5.2349999999999994</v>
      </c>
      <c r="H9" s="10">
        <v>1.28</v>
      </c>
      <c r="I9" s="4">
        <f>IF((May!I16+May!O16)&gt;0,(May!I16+May!O16),0)</f>
        <v>218</v>
      </c>
      <c r="J9" s="10">
        <v>0.04</v>
      </c>
      <c r="K9" s="4">
        <f>IF((May!G16+May!M16)&gt;0,(May!G16+May!M16),0)</f>
        <v>3.2</v>
      </c>
      <c r="L9" s="10">
        <v>39</v>
      </c>
      <c r="M9" s="4">
        <f>May!R16</f>
        <v>0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IF(May!C17&gt;0,May!C17,0)</f>
        <v>3600</v>
      </c>
      <c r="F10" s="9">
        <v>0.13619999999999999</v>
      </c>
      <c r="G10" s="4">
        <f>IF(May!E17&gt;0,May!E17,0)</f>
        <v>4.1879999999999997</v>
      </c>
      <c r="H10" s="10">
        <v>1.28</v>
      </c>
      <c r="I10" s="4">
        <f>IF((May!I17+May!O17)&gt;0,(May!I17+May!O17),0)</f>
        <v>887</v>
      </c>
      <c r="J10" s="10">
        <v>0.04</v>
      </c>
      <c r="K10" s="4">
        <f>IF((May!G17+May!M17)&gt;0,(May!G17+May!M17),0)</f>
        <v>3.1000000000000005</v>
      </c>
      <c r="L10" s="10">
        <v>39</v>
      </c>
      <c r="M10" s="4">
        <f>May!R17</f>
        <v>0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IF(May!C18&gt;0,May!C18,0)</f>
        <v>4200</v>
      </c>
      <c r="F11" s="9">
        <v>0.13619999999999999</v>
      </c>
      <c r="G11" s="4">
        <f>IF(May!E18&gt;0,May!E18,0)</f>
        <v>4.1879999999999997</v>
      </c>
      <c r="H11" s="10">
        <v>1.28</v>
      </c>
      <c r="I11" s="4">
        <f>IF((May!I18+May!O18)&gt;0,(May!I18+May!O18),0)</f>
        <v>486</v>
      </c>
      <c r="J11" s="10">
        <v>0.04</v>
      </c>
      <c r="K11" s="4">
        <f>IF((May!G18+May!M18)&gt;0,(May!G18+May!M18),0)</f>
        <v>3.3</v>
      </c>
      <c r="L11" s="10">
        <v>39</v>
      </c>
      <c r="M11" s="4">
        <f>May!R18</f>
        <v>0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IF(May!C19&gt;0,May!C19,0)</f>
        <v>4200</v>
      </c>
      <c r="F12" s="9">
        <v>0.13619999999999999</v>
      </c>
      <c r="G12" s="4">
        <f>IF(May!E19&gt;0,May!E19,0)</f>
        <v>4.1879999999999997</v>
      </c>
      <c r="H12" s="10">
        <v>1.28</v>
      </c>
      <c r="I12" s="4">
        <f>IF((May!I19+May!O19)&gt;0,(May!I19+May!O19),0)</f>
        <v>664</v>
      </c>
      <c r="J12" s="10">
        <v>0.04</v>
      </c>
      <c r="K12" s="4">
        <f>IF((May!G19+May!M19)&gt;0,(May!G19+May!M19),0)</f>
        <v>2.8</v>
      </c>
      <c r="L12" s="10">
        <v>39</v>
      </c>
      <c r="M12" s="4">
        <f>May!R19</f>
        <v>0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IF(May!C20&gt;0,May!C20,0)</f>
        <v>4200</v>
      </c>
      <c r="F13" s="9">
        <v>0.13619999999999999</v>
      </c>
      <c r="G13" s="4">
        <f>IF(May!E20&gt;0,May!E20,0)</f>
        <v>5.2349999999999994</v>
      </c>
      <c r="H13" s="10">
        <v>1.28</v>
      </c>
      <c r="I13" s="4">
        <f>IF((May!I20+May!O20)&gt;0,(May!I20+May!O20),0)</f>
        <v>725</v>
      </c>
      <c r="J13" s="10">
        <v>0.04</v>
      </c>
      <c r="K13" s="4">
        <f>IF((May!G20+May!M20)&gt;0,(May!G20+May!M20),0)</f>
        <v>3.4000000000000004</v>
      </c>
      <c r="L13" s="10">
        <v>39</v>
      </c>
      <c r="M13" s="4">
        <f>May!R20</f>
        <v>0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IF(May!C21&gt;0,May!C21,0)</f>
        <v>3300</v>
      </c>
      <c r="F14" s="9">
        <v>0.13619999999999999</v>
      </c>
      <c r="G14" s="4">
        <f>IF(May!E21&gt;0,May!E21,0)</f>
        <v>3.141</v>
      </c>
      <c r="H14" s="10">
        <v>1.28</v>
      </c>
      <c r="I14" s="4">
        <f>IF((May!I21+May!O21)&gt;0,(May!I21+May!O21),0)</f>
        <v>105</v>
      </c>
      <c r="J14" s="10">
        <v>0.04</v>
      </c>
      <c r="K14" s="4">
        <f>IF((May!G21+May!M21)&gt;0,(May!G21+May!M21),0)</f>
        <v>2.7</v>
      </c>
      <c r="L14" s="10">
        <v>39</v>
      </c>
      <c r="M14" s="4">
        <f>May!R21</f>
        <v>0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IF(May!C22&gt;0,May!C22,0)</f>
        <v>3300</v>
      </c>
      <c r="F15" s="9">
        <v>0.13619999999999999</v>
      </c>
      <c r="G15" s="4">
        <f>IF(May!E22&gt;0,May!E22,0)</f>
        <v>4.1879999999999997</v>
      </c>
      <c r="H15" s="10">
        <v>1.28</v>
      </c>
      <c r="I15" s="4">
        <f>IF((May!I22+May!O22)&gt;0,(May!I22+May!O22),0)</f>
        <v>260</v>
      </c>
      <c r="J15" s="10">
        <v>0.04</v>
      </c>
      <c r="K15" s="4">
        <f>IF((May!G22+May!M22)&gt;0,(May!G22+May!M22),0)</f>
        <v>3.3000000000000003</v>
      </c>
      <c r="L15" s="10">
        <v>39</v>
      </c>
      <c r="M15" s="4">
        <f>May!R22</f>
        <v>0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IF(May!C23&gt;0,May!C23,0)</f>
        <v>4500</v>
      </c>
      <c r="F16" s="9">
        <v>0.13619999999999999</v>
      </c>
      <c r="G16" s="4">
        <f>IF(May!E23&gt;0,May!E23,0)</f>
        <v>5.2349999999999994</v>
      </c>
      <c r="H16" s="10">
        <v>1.28</v>
      </c>
      <c r="I16" s="4">
        <f>IF((May!I23+May!O23)&gt;0,(May!I23+May!O23),0)</f>
        <v>86</v>
      </c>
      <c r="J16" s="10">
        <v>0.04</v>
      </c>
      <c r="K16" s="4">
        <f>IF((May!G23+May!M23)&gt;0,(May!G23+May!M23),0)</f>
        <v>2.8000000000000003</v>
      </c>
      <c r="L16" s="10">
        <v>39</v>
      </c>
      <c r="M16" s="4">
        <f>May!R23</f>
        <v>0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IF(May!C24&gt;0,May!C24,0)</f>
        <v>2700</v>
      </c>
      <c r="F17" s="9">
        <v>0.13619999999999999</v>
      </c>
      <c r="G17" s="4">
        <f>IF(May!E24&gt;0,May!E24,0)</f>
        <v>3.141</v>
      </c>
      <c r="H17" s="10">
        <v>1.28</v>
      </c>
      <c r="I17" s="4">
        <f>IF((May!I24+May!O24)&gt;0,(May!I24+May!O24),0)</f>
        <v>47</v>
      </c>
      <c r="J17" s="10">
        <v>0.04</v>
      </c>
      <c r="K17" s="4">
        <f>IF((May!G24+May!M24)&gt;0,(May!G24+May!M24),0)</f>
        <v>5.7</v>
      </c>
      <c r="L17" s="10">
        <v>39</v>
      </c>
      <c r="M17" s="4">
        <f>May!R24</f>
        <v>0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IF(May!C25&gt;0,May!C25,0)</f>
        <v>3300</v>
      </c>
      <c r="F18" s="9">
        <v>0.13619999999999999</v>
      </c>
      <c r="G18" s="4">
        <f>IF(May!E25&gt;0,May!E25,0)</f>
        <v>4.1879999999999997</v>
      </c>
      <c r="H18" s="10">
        <v>1.28</v>
      </c>
      <c r="I18" s="4">
        <f>IF((May!I25+May!O25)&gt;0,(May!I25+May!O25),0)</f>
        <v>47</v>
      </c>
      <c r="J18" s="10">
        <v>0.04</v>
      </c>
      <c r="K18" s="4">
        <f>IF((May!G25+May!M25)&gt;0,(May!G25+May!M25),0)</f>
        <v>3.5000000000000004</v>
      </c>
      <c r="L18" s="10">
        <v>39</v>
      </c>
      <c r="M18" s="4">
        <f>May!R25</f>
        <v>0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IF(May!C26&gt;0,May!C26,0)</f>
        <v>3600</v>
      </c>
      <c r="F19" s="9">
        <v>0.13619999999999999</v>
      </c>
      <c r="G19" s="4">
        <f>IF(May!E26&gt;0,May!E26,0)</f>
        <v>4.1879999999999997</v>
      </c>
      <c r="H19" s="10">
        <v>1.28</v>
      </c>
      <c r="I19" s="4">
        <f>IF((May!I26+May!O26)&gt;0,(May!I26+May!O26),0)</f>
        <v>138</v>
      </c>
      <c r="J19" s="10">
        <v>0.04</v>
      </c>
      <c r="K19" s="4">
        <f>IF((May!G26+May!M26)&gt;0,(May!G26+May!M26),0)</f>
        <v>4</v>
      </c>
      <c r="L19" s="10">
        <v>39</v>
      </c>
      <c r="M19" s="4">
        <f>May!R26</f>
        <v>0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IF(May!C27&gt;0,May!C27,0)</f>
        <v>3900</v>
      </c>
      <c r="F20" s="9">
        <v>0.13619999999999999</v>
      </c>
      <c r="G20" s="4">
        <f>IF(May!E27&gt;0,May!E27,0)</f>
        <v>5.2349999999999994</v>
      </c>
      <c r="H20" s="10">
        <v>1.28</v>
      </c>
      <c r="I20" s="4">
        <f>IF((May!I27+May!O27)&gt;0,(May!I27+May!O27),0)</f>
        <v>78</v>
      </c>
      <c r="J20" s="10">
        <v>0.04</v>
      </c>
      <c r="K20" s="4">
        <f>IF((May!G27+May!M27)&gt;0,(May!G27+May!M27),0)</f>
        <v>3.6000000000000005</v>
      </c>
      <c r="L20" s="10">
        <v>39</v>
      </c>
      <c r="M20" s="4">
        <f>May!R27</f>
        <v>0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IF(May!C28&gt;0,May!C28,0)</f>
        <v>3900</v>
      </c>
      <c r="F21" s="9">
        <v>0.13619999999999999</v>
      </c>
      <c r="G21" s="4">
        <f>IF(May!E28&gt;0,May!E28,0)</f>
        <v>4.1879999999999997</v>
      </c>
      <c r="H21" s="10">
        <v>1.28</v>
      </c>
      <c r="I21" s="4">
        <f>IF((May!I28+May!O28)&gt;0,(May!I28+May!O28),0)</f>
        <v>79</v>
      </c>
      <c r="J21" s="10">
        <v>0.04</v>
      </c>
      <c r="K21" s="4">
        <f>IF((May!G28+May!M28)&gt;0,(May!G28+May!M28),0)</f>
        <v>4.1000000000000005</v>
      </c>
      <c r="L21" s="10">
        <v>39</v>
      </c>
      <c r="M21" s="4">
        <f>May!R28</f>
        <v>0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IF(May!C29&gt;0,May!C29,0)</f>
        <v>3900</v>
      </c>
      <c r="F22" s="9">
        <v>0.13619999999999999</v>
      </c>
      <c r="G22" s="4">
        <f>IF(May!E29&gt;0,May!E29,0)</f>
        <v>5.2349999999999994</v>
      </c>
      <c r="H22" s="10">
        <v>1.28</v>
      </c>
      <c r="I22" s="4">
        <f>IF((May!I29+May!O29)&gt;0,(May!I29+May!O29),0)</f>
        <v>285</v>
      </c>
      <c r="J22" s="10">
        <v>0.04</v>
      </c>
      <c r="K22" s="4">
        <f>IF((May!G29+May!M29)&gt;0,(May!G29+May!M29),0)</f>
        <v>4.3</v>
      </c>
      <c r="L22" s="10">
        <v>39</v>
      </c>
      <c r="M22" s="4">
        <f>May!R29</f>
        <v>0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IF(May!C30&gt;0,May!C30,0)</f>
        <v>4200</v>
      </c>
      <c r="F23" s="9">
        <v>0.13619999999999999</v>
      </c>
      <c r="G23" s="4">
        <f>IF(May!E30&gt;0,May!E30,0)</f>
        <v>4.1879999999999997</v>
      </c>
      <c r="H23" s="10">
        <v>1.28</v>
      </c>
      <c r="I23" s="4">
        <f>IF((May!I30+May!O30)&gt;0,(May!I30+May!O30),0)</f>
        <v>508</v>
      </c>
      <c r="J23" s="10">
        <v>0.04</v>
      </c>
      <c r="K23" s="4">
        <f>IF((May!G30+May!M30)&gt;0,(May!G30+May!M30),0)</f>
        <v>3.2</v>
      </c>
      <c r="L23" s="10">
        <v>39</v>
      </c>
      <c r="M23" s="4">
        <f>May!R30</f>
        <v>0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IF(May!C31&gt;0,May!C31,0)</f>
        <v>3300</v>
      </c>
      <c r="F24" s="9">
        <v>0.13619999999999999</v>
      </c>
      <c r="G24" s="4">
        <f>IF(May!E31&gt;0,May!E31,0)</f>
        <v>4.1879999999999997</v>
      </c>
      <c r="H24" s="10">
        <v>1.28</v>
      </c>
      <c r="I24" s="4">
        <f>IF((May!I31+May!O31)&gt;0,(May!I31+May!O31),0)</f>
        <v>277</v>
      </c>
      <c r="J24" s="10">
        <v>0.04</v>
      </c>
      <c r="K24" s="4">
        <f>IF((May!G31+May!M31)&gt;0,(May!G31+May!M31),0)</f>
        <v>2.9000000000000004</v>
      </c>
      <c r="L24" s="10">
        <v>39</v>
      </c>
      <c r="M24" s="4">
        <f>May!R31</f>
        <v>0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IF(May!C32&gt;0,May!C32,0)</f>
        <v>3900</v>
      </c>
      <c r="F25" s="9">
        <v>0.13619999999999999</v>
      </c>
      <c r="G25" s="4">
        <f>IF(May!E32&gt;0,May!E32,0)</f>
        <v>4.1879999999999997</v>
      </c>
      <c r="H25" s="10">
        <v>1.28</v>
      </c>
      <c r="I25" s="4">
        <f>IF((May!I32+May!O32)&gt;0,(May!I32+May!O32),0)</f>
        <v>544</v>
      </c>
      <c r="J25" s="10">
        <v>0.04</v>
      </c>
      <c r="K25" s="4">
        <f>IF((May!G32+May!M32)&gt;0,(May!G32+May!M32),0)</f>
        <v>3.4000000000000004</v>
      </c>
      <c r="L25" s="10">
        <v>39</v>
      </c>
      <c r="M25" s="4">
        <f>May!R32</f>
        <v>0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IF(May!C33&gt;0,May!C33,0)</f>
        <v>4200</v>
      </c>
      <c r="F26" s="9">
        <v>0.13619999999999999</v>
      </c>
      <c r="G26" s="4">
        <f>IF(May!E33&gt;0,May!E33,0)</f>
        <v>5.2349999999999994</v>
      </c>
      <c r="H26" s="10">
        <v>1.28</v>
      </c>
      <c r="I26" s="4">
        <f>IF((May!I33+May!O33)&gt;0,(May!I33+May!O33),0)</f>
        <v>444</v>
      </c>
      <c r="J26" s="10">
        <v>0.04</v>
      </c>
      <c r="K26" s="4">
        <f>IF((May!G33+May!M33)&gt;0,(May!G33+May!M33),0)</f>
        <v>4.6000000000000005</v>
      </c>
      <c r="L26" s="10">
        <v>39</v>
      </c>
      <c r="M26" s="4">
        <f>May!R33</f>
        <v>0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IF(May!C34&gt;0,May!C34,0)</f>
        <v>4500</v>
      </c>
      <c r="F27" s="9">
        <v>0.13619999999999999</v>
      </c>
      <c r="G27" s="4">
        <f>IF(May!E34&gt;0,May!E34,0)</f>
        <v>4.1879999999999997</v>
      </c>
      <c r="H27" s="10">
        <v>1.28</v>
      </c>
      <c r="I27" s="4">
        <f>IF((May!I34+May!O34)&gt;0,(May!I34+May!O34),0)</f>
        <v>528</v>
      </c>
      <c r="J27" s="10">
        <v>0.04</v>
      </c>
      <c r="K27" s="4">
        <f>IF((May!G34+May!M34)&gt;0,(May!G34+May!M34),0)</f>
        <v>3.9000000000000004</v>
      </c>
      <c r="L27" s="10">
        <v>39</v>
      </c>
      <c r="M27" s="4">
        <f>May!R34</f>
        <v>0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IF(May!C35&gt;0,May!C35,0)</f>
        <v>3900</v>
      </c>
      <c r="F28" s="9">
        <v>0.13619999999999999</v>
      </c>
      <c r="G28" s="4">
        <f>IF(May!E35&gt;0,May!E35,0)</f>
        <v>4.1879999999999997</v>
      </c>
      <c r="H28" s="10">
        <v>1.28</v>
      </c>
      <c r="I28" s="4">
        <f>IF((May!I35+May!O35)&gt;0,(May!I35+May!O35),0)</f>
        <v>1033</v>
      </c>
      <c r="J28" s="10">
        <v>0.04</v>
      </c>
      <c r="K28" s="4">
        <f>IF((May!G35+May!M35)&gt;0,(May!G35+May!M35),0)</f>
        <v>3.6</v>
      </c>
      <c r="L28" s="10">
        <v>39</v>
      </c>
      <c r="M28" s="4">
        <f>May!R35</f>
        <v>0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IF(May!C36&gt;0,May!C36,0)</f>
        <v>4800</v>
      </c>
      <c r="F29" s="9">
        <v>0.13619999999999999</v>
      </c>
      <c r="G29" s="4">
        <f>IF(May!E36&gt;0,May!E36,0)</f>
        <v>5.2349999999999994</v>
      </c>
      <c r="H29" s="10">
        <v>1.28</v>
      </c>
      <c r="I29" s="4">
        <f>IF((May!I36+May!O36)&gt;0,(May!I36+May!O36),0)</f>
        <v>3830</v>
      </c>
      <c r="J29" s="10">
        <v>0.04</v>
      </c>
      <c r="K29" s="4">
        <f>IF((May!G36+May!M36)&gt;0,(May!G36+May!M36),0)</f>
        <v>5.6000000000000005</v>
      </c>
      <c r="L29" s="10">
        <v>39</v>
      </c>
      <c r="M29" s="4">
        <f>May!R36</f>
        <v>0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IF(May!C37&gt;0,May!C37,0)</f>
        <v>3600</v>
      </c>
      <c r="F30" s="9">
        <v>0.13619999999999999</v>
      </c>
      <c r="G30" s="4">
        <f>IF(May!E37&gt;0,May!E37,0)</f>
        <v>3.141</v>
      </c>
      <c r="H30" s="10">
        <v>1.28</v>
      </c>
      <c r="I30" s="4">
        <f>IF((May!I37+May!O37)&gt;0,(May!I37+May!O37),0)</f>
        <v>551</v>
      </c>
      <c r="J30" s="10">
        <v>0.04</v>
      </c>
      <c r="K30" s="4">
        <f>IF((May!G37+May!M37)&gt;0,(May!G37+May!M37),0)</f>
        <v>3.4000000000000004</v>
      </c>
      <c r="L30" s="10">
        <v>39</v>
      </c>
      <c r="M30" s="4">
        <f>May!R37</f>
        <v>0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IF(May!C38&gt;0,May!C38,0)</f>
        <v>4800</v>
      </c>
      <c r="F31" s="9">
        <v>0.13619999999999999</v>
      </c>
      <c r="G31" s="4">
        <f>IF(May!E38&gt;0,May!E38,0)</f>
        <v>5.2349999999999994</v>
      </c>
      <c r="H31" s="10">
        <v>1.28</v>
      </c>
      <c r="I31" s="4">
        <f>IF((May!I38+May!O38)&gt;0,(May!I38+May!O38),0)</f>
        <v>746</v>
      </c>
      <c r="J31" s="10">
        <v>0.04</v>
      </c>
      <c r="K31" s="4">
        <f>IF((May!G38+May!M38)&gt;0,(May!G38+May!M38),0)</f>
        <v>4</v>
      </c>
      <c r="L31" s="10">
        <v>39</v>
      </c>
      <c r="M31" s="4">
        <f>May!R38</f>
        <v>0</v>
      </c>
    </row>
    <row r="32" spans="1:13" x14ac:dyDescent="0.25">
      <c r="A32" s="3" t="s">
        <v>7</v>
      </c>
      <c r="B32" s="2">
        <f t="shared" si="0"/>
        <v>31</v>
      </c>
      <c r="C32" s="14">
        <v>10</v>
      </c>
      <c r="D32" s="14">
        <v>2021</v>
      </c>
      <c r="E32" s="4">
        <f>IF(May!C39&gt;0,May!C39,0)</f>
        <v>6900</v>
      </c>
      <c r="F32" s="9">
        <v>0.13619999999999999</v>
      </c>
      <c r="G32" s="4">
        <f>IF(May!E39&gt;0,May!E39,0)</f>
        <v>8.3759999999999994</v>
      </c>
      <c r="H32" s="10">
        <v>1.28</v>
      </c>
      <c r="I32" s="4">
        <f>IF((May!I39+May!O39)&gt;0,(May!I39+May!O39),0)</f>
        <v>1436</v>
      </c>
      <c r="J32" s="10">
        <v>0.04</v>
      </c>
      <c r="K32" s="4">
        <f>IF((May!G39+May!M39)&gt;0,(May!G39+May!M39),0)</f>
        <v>7.3000000000000007</v>
      </c>
      <c r="L32" s="10">
        <v>39</v>
      </c>
      <c r="M32" s="4">
        <f>May!R39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showWhiteSpace="0" topLeftCell="I24" zoomScaleNormal="100" workbookViewId="0">
      <selection activeCell="R9" sqref="R9:R39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13982</v>
      </c>
      <c r="C6" s="21"/>
      <c r="D6" s="21">
        <v>47141</v>
      </c>
      <c r="E6" s="21"/>
      <c r="F6" s="21">
        <v>27534</v>
      </c>
      <c r="G6" s="21"/>
      <c r="H6" s="21">
        <v>10679870</v>
      </c>
      <c r="I6" s="21"/>
      <c r="J6" s="21">
        <v>341083</v>
      </c>
      <c r="K6" s="21"/>
      <c r="L6" s="21">
        <v>7618</v>
      </c>
      <c r="M6" s="21"/>
      <c r="N6" s="22">
        <v>27715440</v>
      </c>
      <c r="O6" s="22"/>
      <c r="P6" s="22">
        <v>6227195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13992</v>
      </c>
      <c r="C9" s="29">
        <f>+(B9-B6)*300</f>
        <v>3000</v>
      </c>
      <c r="D9" s="29">
        <v>47144</v>
      </c>
      <c r="E9" s="29">
        <f>+(D9-D6)*1.047</f>
        <v>3.141</v>
      </c>
      <c r="F9" s="29">
        <v>27541</v>
      </c>
      <c r="G9" s="29">
        <f>+(F9-F6)*0.1</f>
        <v>0.70000000000000007</v>
      </c>
      <c r="H9" s="29">
        <v>10679960</v>
      </c>
      <c r="I9" s="29">
        <f>+H9-H6</f>
        <v>90</v>
      </c>
      <c r="J9" s="29">
        <v>341083</v>
      </c>
      <c r="K9" s="29">
        <f>+J9-J6</f>
        <v>0</v>
      </c>
      <c r="L9" s="29">
        <v>7637</v>
      </c>
      <c r="M9" s="29">
        <f>+(L9-L6)*0.1</f>
        <v>1.9000000000000001</v>
      </c>
      <c r="N9" s="29">
        <v>27715940</v>
      </c>
      <c r="O9" s="29">
        <f>+N9-N6</f>
        <v>500</v>
      </c>
      <c r="P9" s="29">
        <v>6227195</v>
      </c>
      <c r="Q9" s="29">
        <f>+P9-P6</f>
        <v>0</v>
      </c>
      <c r="R9" s="29">
        <v>0</v>
      </c>
    </row>
    <row r="10" spans="1:18" ht="20.25" customHeight="1" x14ac:dyDescent="0.25">
      <c r="A10" s="29">
        <v>2</v>
      </c>
      <c r="B10" s="29">
        <v>14004</v>
      </c>
      <c r="C10" s="29">
        <f>+(B10-B9)*300</f>
        <v>3600</v>
      </c>
      <c r="D10" s="29">
        <v>47149</v>
      </c>
      <c r="E10" s="29">
        <f>+(D10-D9)*1.047</f>
        <v>5.2349999999999994</v>
      </c>
      <c r="F10" s="29">
        <v>27548</v>
      </c>
      <c r="G10" s="29">
        <f>+(F10-F9)*0.1</f>
        <v>0.70000000000000007</v>
      </c>
      <c r="H10" s="29">
        <v>10680061</v>
      </c>
      <c r="I10" s="29">
        <f>+H10-H9</f>
        <v>101</v>
      </c>
      <c r="J10" s="29">
        <v>341087</v>
      </c>
      <c r="K10" s="29">
        <f>+J10-J9</f>
        <v>4</v>
      </c>
      <c r="L10" s="29">
        <v>7672</v>
      </c>
      <c r="M10" s="29">
        <f>+(L10-L9)*0.1</f>
        <v>3.5</v>
      </c>
      <c r="N10" s="29">
        <v>27718115</v>
      </c>
      <c r="O10" s="29">
        <f>+N10-N9</f>
        <v>2175</v>
      </c>
      <c r="P10" s="29">
        <v>6227195</v>
      </c>
      <c r="Q10" s="29">
        <f>+P10-P9</f>
        <v>0</v>
      </c>
      <c r="R10" s="29">
        <v>0</v>
      </c>
    </row>
    <row r="11" spans="1:18" ht="20.25" customHeight="1" x14ac:dyDescent="0.25">
      <c r="A11" s="29">
        <v>3</v>
      </c>
      <c r="B11" s="29">
        <v>14016</v>
      </c>
      <c r="C11" s="29">
        <f t="shared" ref="C11:C39" si="0">+(B11-B10)*300</f>
        <v>3600</v>
      </c>
      <c r="D11" s="29">
        <v>47153</v>
      </c>
      <c r="E11" s="29">
        <f t="shared" ref="E11:E39" si="1">+(D11-D10)*1.047</f>
        <v>4.1879999999999997</v>
      </c>
      <c r="F11" s="29">
        <v>27556</v>
      </c>
      <c r="G11" s="29">
        <f t="shared" ref="G11:G39" si="2">+(F11-F10)*0.1</f>
        <v>0.8</v>
      </c>
      <c r="H11" s="29">
        <v>10680161</v>
      </c>
      <c r="I11" s="29">
        <f>+H11-H10</f>
        <v>100</v>
      </c>
      <c r="J11" s="29">
        <v>341098</v>
      </c>
      <c r="K11" s="29">
        <f>+J11-J10</f>
        <v>11</v>
      </c>
      <c r="L11" s="29">
        <v>7707</v>
      </c>
      <c r="M11" s="29">
        <f t="shared" ref="M11:M39" si="3">+(L11-L10)*0.1</f>
        <v>3.5</v>
      </c>
      <c r="N11" s="29">
        <v>27719605</v>
      </c>
      <c r="O11" s="29">
        <f>+N11-N10</f>
        <v>1490</v>
      </c>
      <c r="P11" s="29">
        <v>6227198</v>
      </c>
      <c r="Q11" s="29">
        <f>+P11-P10</f>
        <v>3</v>
      </c>
      <c r="R11" s="29">
        <v>0</v>
      </c>
    </row>
    <row r="12" spans="1:18" ht="20.25" customHeight="1" x14ac:dyDescent="0.25">
      <c r="A12" s="29">
        <v>4</v>
      </c>
      <c r="B12" s="29">
        <v>14029</v>
      </c>
      <c r="C12" s="29">
        <f t="shared" si="0"/>
        <v>3900</v>
      </c>
      <c r="D12" s="29">
        <v>47157</v>
      </c>
      <c r="E12" s="29">
        <f t="shared" si="1"/>
        <v>4.1879999999999997</v>
      </c>
      <c r="F12" s="29">
        <v>27563</v>
      </c>
      <c r="G12" s="29">
        <f t="shared" si="2"/>
        <v>0.70000000000000007</v>
      </c>
      <c r="H12" s="29">
        <v>10680450</v>
      </c>
      <c r="I12" s="29">
        <f t="shared" ref="I12:K39" si="4">+H12-H11</f>
        <v>289</v>
      </c>
      <c r="J12" s="29">
        <v>341137</v>
      </c>
      <c r="K12" s="29">
        <f t="shared" si="4"/>
        <v>39</v>
      </c>
      <c r="L12" s="29">
        <v>7733</v>
      </c>
      <c r="M12" s="29">
        <f t="shared" si="3"/>
        <v>2.6</v>
      </c>
      <c r="N12" s="29">
        <v>27720820</v>
      </c>
      <c r="O12" s="29">
        <f t="shared" ref="O12:Q27" si="5">+N12-N11</f>
        <v>1215</v>
      </c>
      <c r="P12" s="29">
        <v>6227202</v>
      </c>
      <c r="Q12" s="29">
        <f t="shared" si="5"/>
        <v>4</v>
      </c>
      <c r="R12" s="29">
        <v>0</v>
      </c>
    </row>
    <row r="13" spans="1:18" ht="20.25" customHeight="1" x14ac:dyDescent="0.25">
      <c r="A13" s="29">
        <v>5</v>
      </c>
      <c r="B13" s="29">
        <v>14043</v>
      </c>
      <c r="C13" s="29">
        <f t="shared" si="0"/>
        <v>4200</v>
      </c>
      <c r="D13" s="29">
        <v>47162</v>
      </c>
      <c r="E13" s="29">
        <f t="shared" si="1"/>
        <v>5.2349999999999994</v>
      </c>
      <c r="F13" s="29">
        <v>27570</v>
      </c>
      <c r="G13" s="29">
        <f t="shared" si="2"/>
        <v>0.70000000000000007</v>
      </c>
      <c r="H13" s="29">
        <v>10680705</v>
      </c>
      <c r="I13" s="29">
        <f t="shared" si="4"/>
        <v>255</v>
      </c>
      <c r="J13" s="29">
        <v>341169</v>
      </c>
      <c r="K13" s="29">
        <f t="shared" si="4"/>
        <v>32</v>
      </c>
      <c r="L13" s="29">
        <v>7762</v>
      </c>
      <c r="M13" s="29">
        <f t="shared" si="3"/>
        <v>2.9000000000000004</v>
      </c>
      <c r="N13" s="29">
        <v>27721855</v>
      </c>
      <c r="O13" s="29">
        <f t="shared" si="5"/>
        <v>1035</v>
      </c>
      <c r="P13" s="29">
        <v>6227230</v>
      </c>
      <c r="Q13" s="29">
        <f t="shared" si="5"/>
        <v>28</v>
      </c>
      <c r="R13" s="29">
        <v>0</v>
      </c>
    </row>
    <row r="14" spans="1:18" ht="20.25" customHeight="1" x14ac:dyDescent="0.25">
      <c r="A14" s="29">
        <v>6</v>
      </c>
      <c r="B14" s="29">
        <v>14056</v>
      </c>
      <c r="C14" s="29">
        <f t="shared" si="0"/>
        <v>3900</v>
      </c>
      <c r="D14" s="29">
        <v>47166</v>
      </c>
      <c r="E14" s="29">
        <f t="shared" si="1"/>
        <v>4.1879999999999997</v>
      </c>
      <c r="F14" s="29">
        <v>27577</v>
      </c>
      <c r="G14" s="29">
        <f t="shared" si="2"/>
        <v>0.70000000000000007</v>
      </c>
      <c r="H14" s="29">
        <v>10680998</v>
      </c>
      <c r="I14" s="29">
        <f t="shared" si="4"/>
        <v>293</v>
      </c>
      <c r="J14" s="29">
        <v>341180</v>
      </c>
      <c r="K14" s="29">
        <f t="shared" si="4"/>
        <v>11</v>
      </c>
      <c r="L14" s="29">
        <v>7787</v>
      </c>
      <c r="M14" s="29">
        <f t="shared" si="3"/>
        <v>2.5</v>
      </c>
      <c r="N14" s="29">
        <v>27722562</v>
      </c>
      <c r="O14" s="29">
        <f t="shared" si="5"/>
        <v>707</v>
      </c>
      <c r="P14" s="29">
        <v>6227234</v>
      </c>
      <c r="Q14" s="29">
        <f t="shared" si="5"/>
        <v>4</v>
      </c>
      <c r="R14" s="29">
        <v>0</v>
      </c>
    </row>
    <row r="15" spans="1:18" ht="20.25" customHeight="1" x14ac:dyDescent="0.25">
      <c r="A15" s="29">
        <v>7</v>
      </c>
      <c r="B15" s="29">
        <v>14067</v>
      </c>
      <c r="C15" s="29">
        <f t="shared" si="0"/>
        <v>3300</v>
      </c>
      <c r="D15" s="29">
        <v>47170</v>
      </c>
      <c r="E15" s="29">
        <f t="shared" si="1"/>
        <v>4.1879999999999997</v>
      </c>
      <c r="F15" s="29">
        <v>27582</v>
      </c>
      <c r="G15" s="29">
        <f t="shared" si="2"/>
        <v>0.5</v>
      </c>
      <c r="H15" s="29">
        <v>10681063</v>
      </c>
      <c r="I15" s="29">
        <f t="shared" si="4"/>
        <v>65</v>
      </c>
      <c r="J15" s="29">
        <v>341185</v>
      </c>
      <c r="K15" s="29">
        <f t="shared" si="4"/>
        <v>5</v>
      </c>
      <c r="L15" s="29">
        <v>7808</v>
      </c>
      <c r="M15" s="29">
        <f t="shared" si="3"/>
        <v>2.1</v>
      </c>
      <c r="N15" s="29">
        <v>27722567</v>
      </c>
      <c r="O15" s="29">
        <f t="shared" si="5"/>
        <v>5</v>
      </c>
      <c r="P15" s="29">
        <v>6227234</v>
      </c>
      <c r="Q15" s="29">
        <f t="shared" si="5"/>
        <v>0</v>
      </c>
      <c r="R15" s="29">
        <v>0</v>
      </c>
    </row>
    <row r="16" spans="1:18" ht="20.25" customHeight="1" x14ac:dyDescent="0.25">
      <c r="A16" s="29">
        <v>8</v>
      </c>
      <c r="B16" s="29">
        <v>14079</v>
      </c>
      <c r="C16" s="29">
        <f t="shared" si="0"/>
        <v>3600</v>
      </c>
      <c r="D16" s="29">
        <v>47175</v>
      </c>
      <c r="E16" s="29">
        <f t="shared" si="1"/>
        <v>5.2349999999999994</v>
      </c>
      <c r="F16" s="29">
        <v>27589</v>
      </c>
      <c r="G16" s="29">
        <f t="shared" si="2"/>
        <v>0.70000000000000007</v>
      </c>
      <c r="H16" s="29">
        <v>10681248</v>
      </c>
      <c r="I16" s="29">
        <f t="shared" si="4"/>
        <v>185</v>
      </c>
      <c r="J16" s="29">
        <v>341186</v>
      </c>
      <c r="K16" s="29">
        <f t="shared" si="4"/>
        <v>1</v>
      </c>
      <c r="L16" s="29">
        <v>7833</v>
      </c>
      <c r="M16" s="29">
        <f t="shared" si="3"/>
        <v>2.5</v>
      </c>
      <c r="N16" s="29">
        <v>27722600</v>
      </c>
      <c r="O16" s="29">
        <f t="shared" si="5"/>
        <v>33</v>
      </c>
      <c r="P16" s="29">
        <v>6227235</v>
      </c>
      <c r="Q16" s="29">
        <f t="shared" si="5"/>
        <v>1</v>
      </c>
      <c r="R16" s="29">
        <v>0</v>
      </c>
    </row>
    <row r="17" spans="1:18" ht="20.25" customHeight="1" x14ac:dyDescent="0.25">
      <c r="A17" s="29">
        <v>9</v>
      </c>
      <c r="B17" s="29">
        <v>14091</v>
      </c>
      <c r="C17" s="29">
        <f>+(B17-B16)*300</f>
        <v>3600</v>
      </c>
      <c r="D17" s="29">
        <v>47179</v>
      </c>
      <c r="E17" s="29">
        <f t="shared" si="1"/>
        <v>4.1879999999999997</v>
      </c>
      <c r="F17" s="29">
        <v>27597</v>
      </c>
      <c r="G17" s="29">
        <f t="shared" si="2"/>
        <v>0.8</v>
      </c>
      <c r="H17" s="29">
        <v>10681385</v>
      </c>
      <c r="I17" s="29">
        <f t="shared" si="4"/>
        <v>137</v>
      </c>
      <c r="J17" s="29">
        <v>341191</v>
      </c>
      <c r="K17" s="29">
        <f t="shared" si="4"/>
        <v>5</v>
      </c>
      <c r="L17" s="29">
        <v>7856</v>
      </c>
      <c r="M17" s="29">
        <f t="shared" si="3"/>
        <v>2.3000000000000003</v>
      </c>
      <c r="N17" s="29">
        <v>27723350</v>
      </c>
      <c r="O17" s="29">
        <f t="shared" si="5"/>
        <v>750</v>
      </c>
      <c r="P17" s="29">
        <v>6227238</v>
      </c>
      <c r="Q17" s="29">
        <f t="shared" si="5"/>
        <v>3</v>
      </c>
      <c r="R17" s="29">
        <v>0</v>
      </c>
    </row>
    <row r="18" spans="1:18" ht="20.25" customHeight="1" x14ac:dyDescent="0.25">
      <c r="A18" s="29">
        <v>10</v>
      </c>
      <c r="B18" s="29">
        <v>14105</v>
      </c>
      <c r="C18" s="29">
        <f t="shared" si="0"/>
        <v>4200</v>
      </c>
      <c r="D18" s="29">
        <v>47183</v>
      </c>
      <c r="E18" s="29">
        <f t="shared" si="1"/>
        <v>4.1879999999999997</v>
      </c>
      <c r="F18" s="29">
        <v>27605</v>
      </c>
      <c r="G18" s="29">
        <f t="shared" si="2"/>
        <v>0.8</v>
      </c>
      <c r="H18" s="29">
        <v>10681471</v>
      </c>
      <c r="I18" s="29">
        <f t="shared" si="4"/>
        <v>86</v>
      </c>
      <c r="J18" s="29">
        <v>341201</v>
      </c>
      <c r="K18" s="29">
        <f t="shared" si="4"/>
        <v>10</v>
      </c>
      <c r="L18" s="29">
        <v>7881</v>
      </c>
      <c r="M18" s="29">
        <f t="shared" si="3"/>
        <v>2.5</v>
      </c>
      <c r="N18" s="29">
        <v>27723750</v>
      </c>
      <c r="O18" s="29">
        <f t="shared" si="5"/>
        <v>400</v>
      </c>
      <c r="P18" s="29">
        <v>6227260</v>
      </c>
      <c r="Q18" s="29">
        <f t="shared" si="5"/>
        <v>22</v>
      </c>
      <c r="R18" s="29">
        <v>0</v>
      </c>
    </row>
    <row r="19" spans="1:18" ht="20.25" customHeight="1" x14ac:dyDescent="0.25">
      <c r="A19" s="29">
        <v>11</v>
      </c>
      <c r="B19" s="29">
        <v>14119</v>
      </c>
      <c r="C19" s="29">
        <f t="shared" si="0"/>
        <v>4200</v>
      </c>
      <c r="D19" s="29">
        <v>47187</v>
      </c>
      <c r="E19" s="29">
        <f t="shared" si="1"/>
        <v>4.1879999999999997</v>
      </c>
      <c r="F19" s="29">
        <v>27613</v>
      </c>
      <c r="G19" s="29">
        <f t="shared" si="2"/>
        <v>0.8</v>
      </c>
      <c r="H19" s="29">
        <v>10681670</v>
      </c>
      <c r="I19" s="29">
        <f t="shared" si="4"/>
        <v>199</v>
      </c>
      <c r="J19" s="29">
        <v>341203</v>
      </c>
      <c r="K19" s="29">
        <f t="shared" si="4"/>
        <v>2</v>
      </c>
      <c r="L19" s="29">
        <v>7901</v>
      </c>
      <c r="M19" s="29">
        <f t="shared" si="3"/>
        <v>2</v>
      </c>
      <c r="N19" s="29">
        <v>27724215</v>
      </c>
      <c r="O19" s="29">
        <f t="shared" si="5"/>
        <v>465</v>
      </c>
      <c r="P19" s="29">
        <v>6227299</v>
      </c>
      <c r="Q19" s="29">
        <f t="shared" si="5"/>
        <v>39</v>
      </c>
      <c r="R19" s="29">
        <v>0</v>
      </c>
    </row>
    <row r="20" spans="1:18" ht="20.25" customHeight="1" x14ac:dyDescent="0.25">
      <c r="A20" s="29">
        <v>12</v>
      </c>
      <c r="B20" s="29">
        <v>14133</v>
      </c>
      <c r="C20" s="29">
        <f t="shared" si="0"/>
        <v>4200</v>
      </c>
      <c r="D20" s="29">
        <v>47192</v>
      </c>
      <c r="E20" s="29">
        <f t="shared" si="1"/>
        <v>5.2349999999999994</v>
      </c>
      <c r="F20" s="29">
        <v>27621</v>
      </c>
      <c r="G20" s="29">
        <f t="shared" si="2"/>
        <v>0.8</v>
      </c>
      <c r="H20" s="29">
        <v>10681860</v>
      </c>
      <c r="I20" s="29">
        <f t="shared" si="4"/>
        <v>190</v>
      </c>
      <c r="J20" s="29">
        <v>341205</v>
      </c>
      <c r="K20" s="29">
        <f t="shared" si="4"/>
        <v>2</v>
      </c>
      <c r="L20" s="29">
        <v>7927</v>
      </c>
      <c r="M20" s="29">
        <f t="shared" si="3"/>
        <v>2.6</v>
      </c>
      <c r="N20" s="29">
        <v>27724750</v>
      </c>
      <c r="O20" s="29">
        <f t="shared" si="5"/>
        <v>535</v>
      </c>
      <c r="P20" s="29">
        <v>6227800</v>
      </c>
      <c r="Q20" s="29">
        <f t="shared" si="5"/>
        <v>501</v>
      </c>
      <c r="R20" s="29">
        <v>0</v>
      </c>
    </row>
    <row r="21" spans="1:18" ht="20.25" customHeight="1" x14ac:dyDescent="0.25">
      <c r="A21" s="29">
        <v>13</v>
      </c>
      <c r="B21" s="29">
        <v>14144</v>
      </c>
      <c r="C21" s="29">
        <f t="shared" si="0"/>
        <v>3300</v>
      </c>
      <c r="D21" s="29">
        <v>47195</v>
      </c>
      <c r="E21" s="29">
        <f t="shared" si="1"/>
        <v>3.141</v>
      </c>
      <c r="F21" s="29">
        <v>27627</v>
      </c>
      <c r="G21" s="29">
        <f t="shared" si="2"/>
        <v>0.60000000000000009</v>
      </c>
      <c r="H21" s="29">
        <v>10681915</v>
      </c>
      <c r="I21" s="29">
        <f t="shared" si="4"/>
        <v>55</v>
      </c>
      <c r="J21" s="29">
        <v>341205</v>
      </c>
      <c r="K21" s="29">
        <f t="shared" si="4"/>
        <v>0</v>
      </c>
      <c r="L21" s="29">
        <v>7948</v>
      </c>
      <c r="M21" s="29">
        <f t="shared" si="3"/>
        <v>2.1</v>
      </c>
      <c r="N21" s="29">
        <v>27724800</v>
      </c>
      <c r="O21" s="29">
        <f t="shared" si="5"/>
        <v>50</v>
      </c>
      <c r="P21" s="29">
        <v>6227800</v>
      </c>
      <c r="Q21" s="29">
        <f t="shared" si="5"/>
        <v>0</v>
      </c>
      <c r="R21" s="29">
        <v>0</v>
      </c>
    </row>
    <row r="22" spans="1:18" ht="20.25" customHeight="1" x14ac:dyDescent="0.25">
      <c r="A22" s="29">
        <v>14</v>
      </c>
      <c r="B22" s="29">
        <v>14155</v>
      </c>
      <c r="C22" s="29">
        <f t="shared" si="0"/>
        <v>3300</v>
      </c>
      <c r="D22" s="29">
        <v>47199</v>
      </c>
      <c r="E22" s="29">
        <f t="shared" si="1"/>
        <v>4.1879999999999997</v>
      </c>
      <c r="F22" s="29">
        <v>27634</v>
      </c>
      <c r="G22" s="29">
        <f t="shared" si="2"/>
        <v>0.70000000000000007</v>
      </c>
      <c r="H22" s="29">
        <v>10682095</v>
      </c>
      <c r="I22" s="29">
        <f t="shared" si="4"/>
        <v>180</v>
      </c>
      <c r="J22" s="29">
        <v>341206</v>
      </c>
      <c r="K22" s="29">
        <f t="shared" si="4"/>
        <v>1</v>
      </c>
      <c r="L22" s="29">
        <v>7974</v>
      </c>
      <c r="M22" s="29">
        <f t="shared" si="3"/>
        <v>2.6</v>
      </c>
      <c r="N22" s="29">
        <v>27724880</v>
      </c>
      <c r="O22" s="29">
        <f t="shared" si="5"/>
        <v>80</v>
      </c>
      <c r="P22" s="29">
        <v>6227800</v>
      </c>
      <c r="Q22" s="29">
        <f t="shared" si="5"/>
        <v>0</v>
      </c>
      <c r="R22" s="29">
        <v>0</v>
      </c>
    </row>
    <row r="23" spans="1:18" ht="20.25" customHeight="1" x14ac:dyDescent="0.25">
      <c r="A23" s="29">
        <v>15</v>
      </c>
      <c r="B23" s="29">
        <v>14170</v>
      </c>
      <c r="C23" s="29">
        <f t="shared" si="0"/>
        <v>4500</v>
      </c>
      <c r="D23" s="29">
        <v>47204</v>
      </c>
      <c r="E23" s="29">
        <f t="shared" si="1"/>
        <v>5.2349999999999994</v>
      </c>
      <c r="F23" s="29">
        <v>27643</v>
      </c>
      <c r="G23" s="29">
        <f t="shared" si="2"/>
        <v>0.9</v>
      </c>
      <c r="H23" s="29">
        <v>10682131</v>
      </c>
      <c r="I23" s="29">
        <f t="shared" si="4"/>
        <v>36</v>
      </c>
      <c r="J23" s="29">
        <v>341216</v>
      </c>
      <c r="K23" s="29">
        <f t="shared" si="4"/>
        <v>10</v>
      </c>
      <c r="L23" s="29">
        <v>7993</v>
      </c>
      <c r="M23" s="29">
        <f t="shared" si="3"/>
        <v>1.9000000000000001</v>
      </c>
      <c r="N23" s="29">
        <v>27724930</v>
      </c>
      <c r="O23" s="29">
        <f t="shared" si="5"/>
        <v>50</v>
      </c>
      <c r="P23" s="29">
        <v>6227801</v>
      </c>
      <c r="Q23" s="29">
        <f t="shared" si="5"/>
        <v>1</v>
      </c>
      <c r="R23" s="29">
        <v>0</v>
      </c>
    </row>
    <row r="24" spans="1:18" ht="20.25" customHeight="1" x14ac:dyDescent="0.25">
      <c r="A24" s="29">
        <v>16</v>
      </c>
      <c r="B24" s="29">
        <v>14179</v>
      </c>
      <c r="C24" s="29">
        <f t="shared" si="0"/>
        <v>2700</v>
      </c>
      <c r="D24" s="29">
        <v>47207</v>
      </c>
      <c r="E24" s="29">
        <f t="shared" si="1"/>
        <v>3.141</v>
      </c>
      <c r="F24" s="29">
        <v>27648</v>
      </c>
      <c r="G24" s="29">
        <f t="shared" si="2"/>
        <v>0.5</v>
      </c>
      <c r="H24" s="29">
        <v>10682158</v>
      </c>
      <c r="I24" s="29">
        <f t="shared" si="4"/>
        <v>27</v>
      </c>
      <c r="J24" s="29">
        <v>341216</v>
      </c>
      <c r="K24" s="29">
        <f t="shared" si="4"/>
        <v>0</v>
      </c>
      <c r="L24" s="29">
        <v>8045</v>
      </c>
      <c r="M24" s="29">
        <f t="shared" si="3"/>
        <v>5.2</v>
      </c>
      <c r="N24" s="29">
        <v>27724950</v>
      </c>
      <c r="O24" s="29">
        <f t="shared" si="5"/>
        <v>20</v>
      </c>
      <c r="P24" s="29">
        <v>6227801</v>
      </c>
      <c r="Q24" s="29">
        <f t="shared" si="5"/>
        <v>0</v>
      </c>
      <c r="R24" s="29">
        <v>0</v>
      </c>
    </row>
    <row r="25" spans="1:18" ht="20.25" customHeight="1" x14ac:dyDescent="0.25">
      <c r="A25" s="29">
        <v>17</v>
      </c>
      <c r="B25" s="29">
        <v>14190</v>
      </c>
      <c r="C25" s="29">
        <f t="shared" si="0"/>
        <v>3300</v>
      </c>
      <c r="D25" s="29">
        <v>47211</v>
      </c>
      <c r="E25" s="29">
        <f t="shared" si="1"/>
        <v>4.1879999999999997</v>
      </c>
      <c r="F25" s="29">
        <v>27654</v>
      </c>
      <c r="G25" s="29">
        <f t="shared" si="2"/>
        <v>0.60000000000000009</v>
      </c>
      <c r="H25" s="29">
        <v>10682205</v>
      </c>
      <c r="I25" s="29">
        <f t="shared" si="4"/>
        <v>47</v>
      </c>
      <c r="J25" s="29">
        <v>341218</v>
      </c>
      <c r="K25" s="29">
        <f t="shared" si="4"/>
        <v>2</v>
      </c>
      <c r="L25" s="29">
        <v>8074</v>
      </c>
      <c r="M25" s="29">
        <f t="shared" si="3"/>
        <v>2.9000000000000004</v>
      </c>
      <c r="N25" s="29">
        <v>27724950</v>
      </c>
      <c r="O25" s="29">
        <f t="shared" si="5"/>
        <v>0</v>
      </c>
      <c r="P25" s="29">
        <v>6227801</v>
      </c>
      <c r="Q25" s="29">
        <f t="shared" si="5"/>
        <v>0</v>
      </c>
      <c r="R25" s="29">
        <v>0</v>
      </c>
    </row>
    <row r="26" spans="1:18" ht="20.25" customHeight="1" x14ac:dyDescent="0.25">
      <c r="A26" s="29">
        <v>18</v>
      </c>
      <c r="B26" s="29">
        <v>14202</v>
      </c>
      <c r="C26" s="29">
        <f t="shared" si="0"/>
        <v>3600</v>
      </c>
      <c r="D26" s="29">
        <v>47215</v>
      </c>
      <c r="E26" s="29">
        <f t="shared" si="1"/>
        <v>4.1879999999999997</v>
      </c>
      <c r="F26" s="29">
        <v>27661</v>
      </c>
      <c r="G26" s="29">
        <f t="shared" si="2"/>
        <v>0.70000000000000007</v>
      </c>
      <c r="H26" s="29">
        <v>10682260</v>
      </c>
      <c r="I26" s="29">
        <f t="shared" si="4"/>
        <v>55</v>
      </c>
      <c r="J26" s="29">
        <v>341223</v>
      </c>
      <c r="K26" s="29">
        <f t="shared" si="4"/>
        <v>5</v>
      </c>
      <c r="L26" s="29">
        <v>8107</v>
      </c>
      <c r="M26" s="29">
        <f t="shared" si="3"/>
        <v>3.3000000000000003</v>
      </c>
      <c r="N26" s="29">
        <v>27725033</v>
      </c>
      <c r="O26" s="29">
        <f t="shared" si="5"/>
        <v>83</v>
      </c>
      <c r="P26" s="29">
        <v>6227801</v>
      </c>
      <c r="Q26" s="29">
        <f t="shared" si="5"/>
        <v>0</v>
      </c>
      <c r="R26" s="29">
        <v>0</v>
      </c>
    </row>
    <row r="27" spans="1:18" ht="20.25" customHeight="1" x14ac:dyDescent="0.25">
      <c r="A27" s="29">
        <v>19</v>
      </c>
      <c r="B27" s="29">
        <v>14215</v>
      </c>
      <c r="C27" s="29">
        <f t="shared" si="0"/>
        <v>3900</v>
      </c>
      <c r="D27" s="29">
        <v>47220</v>
      </c>
      <c r="E27" s="29">
        <f t="shared" si="1"/>
        <v>5.2349999999999994</v>
      </c>
      <c r="F27" s="29">
        <v>27668</v>
      </c>
      <c r="G27" s="29">
        <f t="shared" si="2"/>
        <v>0.70000000000000007</v>
      </c>
      <c r="H27" s="29">
        <v>10682328</v>
      </c>
      <c r="I27" s="29">
        <f t="shared" si="4"/>
        <v>68</v>
      </c>
      <c r="J27" s="29">
        <v>341223</v>
      </c>
      <c r="K27" s="29">
        <f t="shared" si="4"/>
        <v>0</v>
      </c>
      <c r="L27" s="29">
        <v>8136</v>
      </c>
      <c r="M27" s="29">
        <f t="shared" si="3"/>
        <v>2.9000000000000004</v>
      </c>
      <c r="N27" s="29">
        <v>27725043</v>
      </c>
      <c r="O27" s="29">
        <f t="shared" si="5"/>
        <v>10</v>
      </c>
      <c r="P27" s="29">
        <v>6227802</v>
      </c>
      <c r="Q27" s="29">
        <f t="shared" si="5"/>
        <v>1</v>
      </c>
      <c r="R27" s="29">
        <v>0</v>
      </c>
    </row>
    <row r="28" spans="1:18" ht="20.25" customHeight="1" x14ac:dyDescent="0.25">
      <c r="A28" s="29">
        <v>20</v>
      </c>
      <c r="B28" s="29">
        <v>14228</v>
      </c>
      <c r="C28" s="29">
        <f t="shared" si="0"/>
        <v>3900</v>
      </c>
      <c r="D28" s="29">
        <v>47224</v>
      </c>
      <c r="E28" s="29">
        <f t="shared" si="1"/>
        <v>4.1879999999999997</v>
      </c>
      <c r="F28" s="29">
        <v>27676</v>
      </c>
      <c r="G28" s="29">
        <f t="shared" si="2"/>
        <v>0.8</v>
      </c>
      <c r="H28" s="29">
        <v>10682387</v>
      </c>
      <c r="I28" s="29">
        <f t="shared" si="4"/>
        <v>59</v>
      </c>
      <c r="J28" s="29">
        <v>341225</v>
      </c>
      <c r="K28" s="29">
        <f t="shared" si="4"/>
        <v>2</v>
      </c>
      <c r="L28" s="29">
        <v>8169</v>
      </c>
      <c r="M28" s="29">
        <f t="shared" si="3"/>
        <v>3.3000000000000003</v>
      </c>
      <c r="N28" s="29">
        <v>27725063</v>
      </c>
      <c r="O28" s="29">
        <f t="shared" ref="O28:Q39" si="6">+N28-N27</f>
        <v>20</v>
      </c>
      <c r="P28" s="29">
        <v>6227805</v>
      </c>
      <c r="Q28" s="29">
        <f t="shared" si="6"/>
        <v>3</v>
      </c>
      <c r="R28" s="29">
        <v>0</v>
      </c>
    </row>
    <row r="29" spans="1:18" ht="20.25" customHeight="1" x14ac:dyDescent="0.25">
      <c r="A29" s="29">
        <v>21</v>
      </c>
      <c r="B29" s="29">
        <v>14241</v>
      </c>
      <c r="C29" s="29">
        <f t="shared" si="0"/>
        <v>3900</v>
      </c>
      <c r="D29" s="29">
        <v>47229</v>
      </c>
      <c r="E29" s="29">
        <f t="shared" si="1"/>
        <v>5.2349999999999994</v>
      </c>
      <c r="F29" s="29">
        <v>27684</v>
      </c>
      <c r="G29" s="29">
        <f t="shared" si="2"/>
        <v>0.8</v>
      </c>
      <c r="H29" s="29">
        <v>10682495</v>
      </c>
      <c r="I29" s="29">
        <f t="shared" si="4"/>
        <v>108</v>
      </c>
      <c r="J29" s="29">
        <v>341231</v>
      </c>
      <c r="K29" s="29">
        <f t="shared" si="4"/>
        <v>6</v>
      </c>
      <c r="L29" s="29">
        <v>8204</v>
      </c>
      <c r="M29" s="29">
        <f t="shared" si="3"/>
        <v>3.5</v>
      </c>
      <c r="N29" s="29">
        <v>27725240</v>
      </c>
      <c r="O29" s="29">
        <f t="shared" si="6"/>
        <v>177</v>
      </c>
      <c r="P29" s="29">
        <v>6227806</v>
      </c>
      <c r="Q29" s="29">
        <f t="shared" si="6"/>
        <v>1</v>
      </c>
      <c r="R29" s="29">
        <v>0</v>
      </c>
    </row>
    <row r="30" spans="1:18" ht="20.25" customHeight="1" x14ac:dyDescent="0.25">
      <c r="A30" s="29">
        <v>22</v>
      </c>
      <c r="B30" s="29">
        <v>14255</v>
      </c>
      <c r="C30" s="29">
        <f t="shared" si="0"/>
        <v>4200</v>
      </c>
      <c r="D30" s="29">
        <v>47233</v>
      </c>
      <c r="E30" s="29">
        <f t="shared" si="1"/>
        <v>4.1879999999999997</v>
      </c>
      <c r="F30" s="29">
        <v>27692</v>
      </c>
      <c r="G30" s="29">
        <f t="shared" si="2"/>
        <v>0.8</v>
      </c>
      <c r="H30" s="29">
        <v>10682580</v>
      </c>
      <c r="I30" s="29">
        <f t="shared" si="4"/>
        <v>85</v>
      </c>
      <c r="J30" s="29">
        <v>341233</v>
      </c>
      <c r="K30" s="29">
        <f t="shared" si="4"/>
        <v>2</v>
      </c>
      <c r="L30" s="29">
        <v>8228</v>
      </c>
      <c r="M30" s="29">
        <f t="shared" si="3"/>
        <v>2.4000000000000004</v>
      </c>
      <c r="N30" s="29">
        <v>27725663</v>
      </c>
      <c r="O30" s="29">
        <f t="shared" si="6"/>
        <v>423</v>
      </c>
      <c r="P30" s="29">
        <v>6227806</v>
      </c>
      <c r="Q30" s="29">
        <f t="shared" si="6"/>
        <v>0</v>
      </c>
      <c r="R30" s="29">
        <v>0</v>
      </c>
    </row>
    <row r="31" spans="1:18" ht="20.25" customHeight="1" x14ac:dyDescent="0.25">
      <c r="A31" s="29">
        <v>23</v>
      </c>
      <c r="B31" s="29">
        <v>14266</v>
      </c>
      <c r="C31" s="29">
        <f t="shared" si="0"/>
        <v>3300</v>
      </c>
      <c r="D31" s="29">
        <v>47237</v>
      </c>
      <c r="E31" s="29">
        <f t="shared" si="1"/>
        <v>4.1879999999999997</v>
      </c>
      <c r="F31" s="29">
        <v>27697</v>
      </c>
      <c r="G31" s="29">
        <f t="shared" si="2"/>
        <v>0.5</v>
      </c>
      <c r="H31" s="29">
        <v>10682605</v>
      </c>
      <c r="I31" s="29">
        <f t="shared" si="4"/>
        <v>25</v>
      </c>
      <c r="J31" s="29">
        <v>341233</v>
      </c>
      <c r="K31" s="29">
        <f t="shared" si="4"/>
        <v>0</v>
      </c>
      <c r="L31" s="29">
        <v>8252</v>
      </c>
      <c r="M31" s="29">
        <f t="shared" si="3"/>
        <v>2.4000000000000004</v>
      </c>
      <c r="N31" s="29">
        <v>27725915</v>
      </c>
      <c r="O31" s="29">
        <f t="shared" si="6"/>
        <v>252</v>
      </c>
      <c r="P31" s="29">
        <v>6227806</v>
      </c>
      <c r="Q31" s="29">
        <f t="shared" si="6"/>
        <v>0</v>
      </c>
      <c r="R31" s="29">
        <v>0</v>
      </c>
    </row>
    <row r="32" spans="1:18" ht="20.25" customHeight="1" x14ac:dyDescent="0.25">
      <c r="A32" s="29">
        <v>24</v>
      </c>
      <c r="B32" s="29">
        <v>14279</v>
      </c>
      <c r="C32" s="29">
        <f t="shared" si="0"/>
        <v>3900</v>
      </c>
      <c r="D32" s="29">
        <v>47241</v>
      </c>
      <c r="E32" s="29">
        <f t="shared" si="1"/>
        <v>4.1879999999999997</v>
      </c>
      <c r="F32" s="29">
        <v>27704</v>
      </c>
      <c r="G32" s="29">
        <f t="shared" si="2"/>
        <v>0.70000000000000007</v>
      </c>
      <c r="H32" s="29">
        <v>10682635</v>
      </c>
      <c r="I32" s="29">
        <f t="shared" si="4"/>
        <v>30</v>
      </c>
      <c r="J32" s="29">
        <v>341236</v>
      </c>
      <c r="K32" s="29">
        <f t="shared" si="4"/>
        <v>3</v>
      </c>
      <c r="L32" s="29">
        <v>8279</v>
      </c>
      <c r="M32" s="29">
        <f t="shared" si="3"/>
        <v>2.7</v>
      </c>
      <c r="N32" s="29">
        <v>27726429</v>
      </c>
      <c r="O32" s="29">
        <f t="shared" si="6"/>
        <v>514</v>
      </c>
      <c r="P32" s="29">
        <v>6227807</v>
      </c>
      <c r="Q32" s="29">
        <f t="shared" si="6"/>
        <v>1</v>
      </c>
      <c r="R32" s="29">
        <v>0</v>
      </c>
    </row>
    <row r="33" spans="1:18" ht="20.25" customHeight="1" x14ac:dyDescent="0.25">
      <c r="A33" s="29">
        <v>25</v>
      </c>
      <c r="B33" s="29">
        <v>14293</v>
      </c>
      <c r="C33" s="29">
        <f t="shared" si="0"/>
        <v>4200</v>
      </c>
      <c r="D33" s="29">
        <v>47246</v>
      </c>
      <c r="E33" s="29">
        <f t="shared" si="1"/>
        <v>5.2349999999999994</v>
      </c>
      <c r="F33" s="29">
        <v>27711</v>
      </c>
      <c r="G33" s="29">
        <f t="shared" si="2"/>
        <v>0.70000000000000007</v>
      </c>
      <c r="H33" s="29">
        <v>10682768</v>
      </c>
      <c r="I33" s="29">
        <f t="shared" si="4"/>
        <v>133</v>
      </c>
      <c r="J33" s="29">
        <v>341241</v>
      </c>
      <c r="K33" s="29">
        <f t="shared" si="4"/>
        <v>5</v>
      </c>
      <c r="L33" s="29">
        <v>8318</v>
      </c>
      <c r="M33" s="29">
        <f t="shared" si="3"/>
        <v>3.9000000000000004</v>
      </c>
      <c r="N33" s="29">
        <v>27726740</v>
      </c>
      <c r="O33" s="29">
        <f t="shared" si="6"/>
        <v>311</v>
      </c>
      <c r="P33" s="29">
        <v>6227807</v>
      </c>
      <c r="Q33" s="29">
        <f t="shared" si="6"/>
        <v>0</v>
      </c>
      <c r="R33" s="29">
        <v>0</v>
      </c>
    </row>
    <row r="34" spans="1:18" ht="20.25" customHeight="1" x14ac:dyDescent="0.25">
      <c r="A34" s="29">
        <v>26</v>
      </c>
      <c r="B34" s="29">
        <v>14308</v>
      </c>
      <c r="C34" s="29">
        <f t="shared" si="0"/>
        <v>4500</v>
      </c>
      <c r="D34" s="29">
        <v>47250</v>
      </c>
      <c r="E34" s="29">
        <f t="shared" si="1"/>
        <v>4.1879999999999997</v>
      </c>
      <c r="F34" s="29">
        <v>27721</v>
      </c>
      <c r="G34" s="29">
        <f t="shared" si="2"/>
        <v>1</v>
      </c>
      <c r="H34" s="29">
        <v>10682923</v>
      </c>
      <c r="I34" s="29">
        <f t="shared" si="4"/>
        <v>155</v>
      </c>
      <c r="J34" s="29">
        <v>341243</v>
      </c>
      <c r="K34" s="29">
        <f t="shared" si="4"/>
        <v>2</v>
      </c>
      <c r="L34" s="29">
        <v>8347</v>
      </c>
      <c r="M34" s="29">
        <f t="shared" si="3"/>
        <v>2.9000000000000004</v>
      </c>
      <c r="N34" s="29">
        <v>27727113</v>
      </c>
      <c r="O34" s="29">
        <f t="shared" si="6"/>
        <v>373</v>
      </c>
      <c r="P34" s="29">
        <v>6227807</v>
      </c>
      <c r="Q34" s="29">
        <f t="shared" si="6"/>
        <v>0</v>
      </c>
      <c r="R34" s="29">
        <v>0</v>
      </c>
    </row>
    <row r="35" spans="1:18" ht="20.25" customHeight="1" x14ac:dyDescent="0.25">
      <c r="A35" s="29">
        <v>27</v>
      </c>
      <c r="B35" s="29">
        <v>14321</v>
      </c>
      <c r="C35" s="29">
        <f t="shared" si="0"/>
        <v>3900</v>
      </c>
      <c r="D35" s="29">
        <v>47254</v>
      </c>
      <c r="E35" s="29">
        <f t="shared" si="1"/>
        <v>4.1879999999999997</v>
      </c>
      <c r="F35" s="29">
        <v>27726</v>
      </c>
      <c r="G35" s="29">
        <f t="shared" si="2"/>
        <v>0.5</v>
      </c>
      <c r="H35" s="29">
        <v>10683086</v>
      </c>
      <c r="I35" s="29">
        <f t="shared" si="4"/>
        <v>163</v>
      </c>
      <c r="J35" s="29">
        <v>341245</v>
      </c>
      <c r="K35" s="29">
        <f t="shared" si="4"/>
        <v>2</v>
      </c>
      <c r="L35" s="29">
        <v>8378</v>
      </c>
      <c r="M35" s="29">
        <f t="shared" si="3"/>
        <v>3.1</v>
      </c>
      <c r="N35" s="29">
        <v>27727983</v>
      </c>
      <c r="O35" s="29">
        <f t="shared" si="6"/>
        <v>870</v>
      </c>
      <c r="P35" s="29">
        <v>6227808</v>
      </c>
      <c r="Q35" s="29">
        <f t="shared" si="6"/>
        <v>1</v>
      </c>
      <c r="R35" s="29">
        <v>0</v>
      </c>
    </row>
    <row r="36" spans="1:18" ht="20.25" customHeight="1" x14ac:dyDescent="0.25">
      <c r="A36" s="29">
        <v>28</v>
      </c>
      <c r="B36" s="29">
        <v>14337</v>
      </c>
      <c r="C36" s="29">
        <f t="shared" si="0"/>
        <v>4800</v>
      </c>
      <c r="D36" s="29">
        <v>47259</v>
      </c>
      <c r="E36" s="29">
        <f t="shared" si="1"/>
        <v>5.2349999999999994</v>
      </c>
      <c r="F36" s="29">
        <v>27734</v>
      </c>
      <c r="G36" s="29">
        <f t="shared" si="2"/>
        <v>0.8</v>
      </c>
      <c r="H36" s="29">
        <v>10683295</v>
      </c>
      <c r="I36" s="29">
        <f t="shared" si="4"/>
        <v>209</v>
      </c>
      <c r="J36" s="29">
        <v>341247</v>
      </c>
      <c r="K36" s="29">
        <f t="shared" si="4"/>
        <v>2</v>
      </c>
      <c r="L36" s="29">
        <v>8426</v>
      </c>
      <c r="M36" s="29">
        <f t="shared" si="3"/>
        <v>4.8000000000000007</v>
      </c>
      <c r="N36" s="29">
        <v>27731604</v>
      </c>
      <c r="O36" s="29">
        <f t="shared" si="6"/>
        <v>3621</v>
      </c>
      <c r="P36" s="29">
        <v>6227830</v>
      </c>
      <c r="Q36" s="29">
        <f t="shared" si="6"/>
        <v>22</v>
      </c>
      <c r="R36" s="29">
        <v>0</v>
      </c>
    </row>
    <row r="37" spans="1:18" ht="20.25" customHeight="1" x14ac:dyDescent="0.25">
      <c r="A37" s="29">
        <v>29</v>
      </c>
      <c r="B37" s="29">
        <v>14349</v>
      </c>
      <c r="C37" s="29">
        <f t="shared" si="0"/>
        <v>3600</v>
      </c>
      <c r="D37" s="29">
        <v>47262</v>
      </c>
      <c r="E37" s="29">
        <f t="shared" si="1"/>
        <v>3.141</v>
      </c>
      <c r="F37" s="29">
        <v>27741</v>
      </c>
      <c r="G37" s="29">
        <f t="shared" si="2"/>
        <v>0.70000000000000007</v>
      </c>
      <c r="H37" s="29">
        <v>10683345</v>
      </c>
      <c r="I37" s="29">
        <f t="shared" si="4"/>
        <v>50</v>
      </c>
      <c r="J37" s="29">
        <v>341249</v>
      </c>
      <c r="K37" s="29">
        <f t="shared" si="4"/>
        <v>2</v>
      </c>
      <c r="L37" s="29">
        <v>8453</v>
      </c>
      <c r="M37" s="29">
        <f t="shared" si="3"/>
        <v>2.7</v>
      </c>
      <c r="N37" s="29">
        <v>27732105</v>
      </c>
      <c r="O37" s="29">
        <f t="shared" si="6"/>
        <v>501</v>
      </c>
      <c r="P37" s="29">
        <v>6227830</v>
      </c>
      <c r="Q37" s="29">
        <f t="shared" si="6"/>
        <v>0</v>
      </c>
      <c r="R37" s="29">
        <v>0</v>
      </c>
    </row>
    <row r="38" spans="1:18" ht="20.25" customHeight="1" x14ac:dyDescent="0.25">
      <c r="A38" s="29">
        <v>30</v>
      </c>
      <c r="B38" s="29">
        <v>14365</v>
      </c>
      <c r="C38" s="29">
        <f t="shared" si="0"/>
        <v>4800</v>
      </c>
      <c r="D38" s="29">
        <v>47267</v>
      </c>
      <c r="E38" s="29">
        <f t="shared" si="1"/>
        <v>5.2349999999999994</v>
      </c>
      <c r="F38" s="29">
        <v>27749</v>
      </c>
      <c r="G38" s="29">
        <f t="shared" si="2"/>
        <v>0.8</v>
      </c>
      <c r="H38" s="29">
        <v>10683400</v>
      </c>
      <c r="I38" s="29">
        <f t="shared" si="4"/>
        <v>55</v>
      </c>
      <c r="J38" s="29">
        <v>341251</v>
      </c>
      <c r="K38" s="29">
        <f t="shared" si="4"/>
        <v>2</v>
      </c>
      <c r="L38" s="29">
        <v>8485</v>
      </c>
      <c r="M38" s="29">
        <f t="shared" si="3"/>
        <v>3.2</v>
      </c>
      <c r="N38" s="29">
        <v>27732796</v>
      </c>
      <c r="O38" s="29">
        <f t="shared" si="6"/>
        <v>691</v>
      </c>
      <c r="P38" s="29">
        <v>6227830</v>
      </c>
      <c r="Q38" s="29">
        <f t="shared" si="6"/>
        <v>0</v>
      </c>
      <c r="R38" s="29">
        <v>0</v>
      </c>
    </row>
    <row r="39" spans="1:18" ht="20.25" customHeight="1" x14ac:dyDescent="0.25">
      <c r="A39" s="29">
        <v>31</v>
      </c>
      <c r="B39" s="29">
        <v>14388</v>
      </c>
      <c r="C39" s="29">
        <f t="shared" si="0"/>
        <v>6900</v>
      </c>
      <c r="D39" s="29">
        <v>47275</v>
      </c>
      <c r="E39" s="29">
        <f t="shared" si="1"/>
        <v>8.3759999999999994</v>
      </c>
      <c r="F39" s="29">
        <v>27771</v>
      </c>
      <c r="G39" s="29">
        <f t="shared" si="2"/>
        <v>2.2000000000000002</v>
      </c>
      <c r="H39" s="29">
        <v>10683482</v>
      </c>
      <c r="I39" s="29">
        <f t="shared" si="4"/>
        <v>82</v>
      </c>
      <c r="J39" s="29">
        <v>341254</v>
      </c>
      <c r="K39" s="29">
        <f t="shared" si="4"/>
        <v>3</v>
      </c>
      <c r="L39" s="29">
        <v>8536</v>
      </c>
      <c r="M39" s="29">
        <f t="shared" si="3"/>
        <v>5.1000000000000005</v>
      </c>
      <c r="N39" s="29">
        <v>27734150</v>
      </c>
      <c r="O39" s="29">
        <f t="shared" si="6"/>
        <v>1354</v>
      </c>
      <c r="P39" s="29">
        <v>6227837</v>
      </c>
      <c r="Q39" s="29">
        <f t="shared" si="6"/>
        <v>7</v>
      </c>
      <c r="R39" s="29">
        <v>0</v>
      </c>
    </row>
    <row r="41" spans="1:18" x14ac:dyDescent="0.25">
      <c r="A41" s="30" t="s">
        <v>26</v>
      </c>
      <c r="C41" s="31">
        <f>SUM(C9:C40)</f>
        <v>121800</v>
      </c>
      <c r="E41" s="31">
        <f>SUM(E9:E40)</f>
        <v>140.29800000000003</v>
      </c>
      <c r="G41" s="31">
        <f>SUM(G9:G40)</f>
        <v>23.7</v>
      </c>
      <c r="I41" s="31">
        <f>SUM(I9:I40)</f>
        <v>3612</v>
      </c>
      <c r="K41" s="31">
        <f>SUM(K9:K40)</f>
        <v>171</v>
      </c>
      <c r="M41" s="31">
        <f>SUM(M9:M40)</f>
        <v>91.8</v>
      </c>
      <c r="O41" s="31">
        <f>SUM(O9:O40)</f>
        <v>18710</v>
      </c>
      <c r="Q41" s="31">
        <f>SUM(Q9:Q40)</f>
        <v>642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2021-10-14T22:02:55Z</dcterms:modified>
  <cp:category/>
  <cp:contentStatus/>
</cp:coreProperties>
</file>