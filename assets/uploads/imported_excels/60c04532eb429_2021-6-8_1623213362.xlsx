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4000" windowHeight="960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0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1" i="2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O14" i="1"/>
  <c r="P14" i="1" s="1"/>
  <c r="O15" i="1"/>
  <c r="O16" i="1"/>
  <c r="O17" i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3" i="1"/>
  <c r="P15" i="1"/>
  <c r="P16" i="1"/>
  <c r="P17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L14" i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13" i="1"/>
  <c r="M14" i="1"/>
  <c r="M21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18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18" i="1"/>
  <c r="G20" i="1"/>
  <c r="G22" i="1"/>
  <c r="G26" i="1"/>
  <c r="D1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<sst xmlns="http://schemas.openxmlformats.org/spreadsheetml/2006/main" count="441" uniqueCount="144">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</sst>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-2397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62">
        <v>1.27</v>
      </c>
      <c r="G10" s="47">
        <f>Gas!C11*0.9147</f>
        <v>0</v>
      </c>
      <c r="H10" s="163">
        <v>3.65</v>
      </c>
      <c r="I10" s="165">
        <f>Submetering!H10+Submetering!AD10+Submetering!AE10</f>
        <v>-194</v>
      </c>
      <c r="J10" s="165">
        <v>10.029999999999999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62">
        <v>1.27</v>
      </c>
      <c r="G11" s="47">
        <f>Gas!C12*0.9147</f>
        <v>0</v>
      </c>
      <c r="H11" s="163">
        <v>3.65</v>
      </c>
      <c r="I11" s="165">
        <f>Submetering!H11+Submetering!AD11+Submetering!AE11</f>
        <v>-194</v>
      </c>
      <c r="J11" s="165">
        <v>10.029999999999999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62">
        <v>1.27</v>
      </c>
      <c r="G12" s="47">
        <f>Gas!C13*0.9147</f>
        <v>0</v>
      </c>
      <c r="H12" s="163">
        <v>3.65</v>
      </c>
      <c r="I12" s="165">
        <f>Submetering!H12+Submetering!AD12+Submetering!AE12</f>
        <v>-194</v>
      </c>
      <c r="J12" s="165">
        <v>10.029999999999999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 t="str">
        <f>ELECT.!F10</f>
        <v>0</v>
      </c>
      <c r="J9" s="47" t="str">
        <f>ELECT.!H10</f>
        <v>0</v>
      </c>
      <c r="K9" s="47" t="str">
        <f>ELECT.!K10</f>
        <v>0</v>
      </c>
      <c r="L9" s="47" t="str">
        <f>ELECT.!M10</f>
        <v>0</v>
      </c>
      <c r="M9" s="47">
        <f>ELECT.!O10</f>
        <v>0</v>
      </c>
      <c r="N9" s="47" t="str">
        <f>ELECT.!Q10</f>
        <v>0</v>
      </c>
      <c r="O9" s="47" t="str">
        <f>ELECT.!S10</f>
        <v>0</v>
      </c>
      <c r="P9" s="47">
        <f>ELECT.!W10*2</f>
        <v>0</v>
      </c>
      <c r="Q9" s="47">
        <f>ELECT.!D10</f>
        <v>0</v>
      </c>
      <c r="R9" s="48" t="str">
        <f>BTU!C10</f>
        <v>0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 t="str">
        <f>BTU!F11</f>
        <v>0</v>
      </c>
      <c r="T10" s="48" t="str">
        <f>BTU!I11</f>
        <v>0</v>
      </c>
      <c r="U10" s="48" t="str">
        <f>BTU!O11</f>
        <v>0</v>
      </c>
      <c r="V10" s="48" t="str">
        <f>BTU!L11</f>
        <v>0</v>
      </c>
      <c r="W10" s="48" t="str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T10" sqref="T1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f t="shared" ref="P10:P33" si="10">P9</f>
        <v>107070</v>
      </c>
      <c r="Q10" s="16">
        <f>P10-P9</f>
        <v>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f t="shared" ref="B10:B33" si="11">B10</f>
        <v>45370</v>
      </c>
      <c r="C11" s="16">
        <f t="shared" si="0"/>
        <v>0</v>
      </c>
      <c r="D11" s="42">
        <f t="shared" ref="D10:D33" si="12">D10</f>
        <v>39575</v>
      </c>
      <c r="E11" s="16">
        <f t="shared" si="1"/>
        <v>0</v>
      </c>
      <c r="F11" s="42">
        <f t="shared" ref="F10:F33" si="13">F10</f>
        <v>20439</v>
      </c>
      <c r="G11" s="16">
        <f t="shared" si="2"/>
        <v>0</v>
      </c>
      <c r="H11" s="42">
        <f t="shared" ref="H10:H33" si="14">H10</f>
        <v>243146</v>
      </c>
      <c r="I11" s="16">
        <f t="shared" si="3"/>
        <v>0</v>
      </c>
      <c r="J11" s="42">
        <v>303517</v>
      </c>
      <c r="K11" s="16">
        <f t="shared" si="4"/>
        <v>0</v>
      </c>
      <c r="L11" s="42">
        <f t="shared" ref="L10:L33" si="15">L10</f>
        <v>25014</v>
      </c>
      <c r="M11" s="16">
        <f t="shared" si="5"/>
        <v>0</v>
      </c>
      <c r="N11" s="42">
        <f t="shared" ref="N10:N33" si="16">N10</f>
        <v>215570</v>
      </c>
      <c r="O11" s="16">
        <f t="shared" si="6"/>
        <v>0</v>
      </c>
      <c r="P11" s="42">
        <f t="shared" si="10"/>
        <v>107070</v>
      </c>
      <c r="Q11" s="16">
        <f t="shared" si="7"/>
        <v>0</v>
      </c>
      <c r="R11" s="1">
        <v>55047</v>
      </c>
      <c r="S11" s="16">
        <f t="shared" si="8"/>
        <v>0</v>
      </c>
      <c r="T11" s="42">
        <f t="shared" ref="T10:T33" si="17">T10</f>
        <v>3660</v>
      </c>
      <c r="U11" s="16">
        <f t="shared" si="9"/>
        <v>0</v>
      </c>
    </row>
    <row r="12" spans="1:24" ht="13.5" thickBot="1" x14ac:dyDescent="0.25">
      <c r="A12" s="10">
        <v>44357</v>
      </c>
      <c r="B12" s="42">
        <f t="shared" si="11"/>
        <v>45370</v>
      </c>
      <c r="C12" s="16">
        <f t="shared" si="0"/>
        <v>0</v>
      </c>
      <c r="D12" s="42">
        <f t="shared" si="12"/>
        <v>39575</v>
      </c>
      <c r="E12" s="16">
        <f t="shared" si="1"/>
        <v>0</v>
      </c>
      <c r="F12" s="42">
        <f t="shared" si="13"/>
        <v>20439</v>
      </c>
      <c r="G12" s="16">
        <f t="shared" si="2"/>
        <v>0</v>
      </c>
      <c r="H12" s="42">
        <f t="shared" si="14"/>
        <v>243146</v>
      </c>
      <c r="I12" s="16">
        <f t="shared" si="3"/>
        <v>0</v>
      </c>
      <c r="J12" s="42">
        <v>303517</v>
      </c>
      <c r="K12" s="16">
        <f t="shared" si="4"/>
        <v>0</v>
      </c>
      <c r="L12" s="42">
        <f t="shared" si="15"/>
        <v>25014</v>
      </c>
      <c r="M12" s="16">
        <f t="shared" si="5"/>
        <v>0</v>
      </c>
      <c r="N12" s="42">
        <f t="shared" si="16"/>
        <v>215570</v>
      </c>
      <c r="O12" s="16">
        <f t="shared" si="6"/>
        <v>0</v>
      </c>
      <c r="P12" s="42">
        <f t="shared" si="10"/>
        <v>107070</v>
      </c>
      <c r="Q12" s="16">
        <f t="shared" si="7"/>
        <v>0</v>
      </c>
      <c r="R12" s="1">
        <v>55047</v>
      </c>
      <c r="S12" s="16">
        <f t="shared" si="8"/>
        <v>0</v>
      </c>
      <c r="T12" s="42">
        <f t="shared" si="17"/>
        <v>3660</v>
      </c>
      <c r="U12" s="16">
        <f t="shared" si="9"/>
        <v>0</v>
      </c>
    </row>
    <row r="13" spans="1:24" ht="13.5" thickBot="1" x14ac:dyDescent="0.25">
      <c r="A13" s="10">
        <v>44358</v>
      </c>
      <c r="B13" s="42">
        <f t="shared" si="11"/>
        <v>45370</v>
      </c>
      <c r="C13" s="16">
        <f t="shared" si="0"/>
        <v>0</v>
      </c>
      <c r="D13" s="42">
        <f t="shared" si="12"/>
        <v>39575</v>
      </c>
      <c r="E13" s="16">
        <f t="shared" si="1"/>
        <v>0</v>
      </c>
      <c r="F13" s="42">
        <f t="shared" si="13"/>
        <v>20439</v>
      </c>
      <c r="G13" s="16">
        <f t="shared" si="2"/>
        <v>0</v>
      </c>
      <c r="H13" s="42">
        <f t="shared" si="14"/>
        <v>243146</v>
      </c>
      <c r="I13" s="16">
        <f t="shared" si="3"/>
        <v>0</v>
      </c>
      <c r="J13" s="42">
        <v>303517</v>
      </c>
      <c r="K13" s="16">
        <f t="shared" si="4"/>
        <v>0</v>
      </c>
      <c r="L13" s="42">
        <f t="shared" si="15"/>
        <v>25014</v>
      </c>
      <c r="M13" s="16">
        <f t="shared" si="5"/>
        <v>0</v>
      </c>
      <c r="N13" s="42">
        <f t="shared" si="16"/>
        <v>215570</v>
      </c>
      <c r="O13" s="16">
        <f t="shared" si="6"/>
        <v>0</v>
      </c>
      <c r="P13" s="42">
        <f t="shared" si="10"/>
        <v>107070</v>
      </c>
      <c r="Q13" s="16">
        <f t="shared" si="7"/>
        <v>0</v>
      </c>
      <c r="R13" s="1">
        <v>55047</v>
      </c>
      <c r="S13" s="16">
        <f t="shared" si="8"/>
        <v>0</v>
      </c>
      <c r="T13" s="42">
        <f t="shared" si="17"/>
        <v>3660</v>
      </c>
      <c r="U13" s="16">
        <f t="shared" si="9"/>
        <v>0</v>
      </c>
    </row>
    <row r="14" spans="1:24" ht="13.5" thickBot="1" x14ac:dyDescent="0.25">
      <c r="A14" s="10">
        <v>44359</v>
      </c>
      <c r="B14" s="42">
        <f t="shared" si="11"/>
        <v>45370</v>
      </c>
      <c r="C14" s="16">
        <f t="shared" si="0"/>
        <v>0</v>
      </c>
      <c r="D14" s="42">
        <f t="shared" si="12"/>
        <v>39575</v>
      </c>
      <c r="E14" s="16">
        <f t="shared" si="1"/>
        <v>0</v>
      </c>
      <c r="F14" s="42">
        <f t="shared" si="13"/>
        <v>20439</v>
      </c>
      <c r="G14" s="16">
        <f t="shared" si="2"/>
        <v>0</v>
      </c>
      <c r="H14" s="42">
        <f t="shared" si="14"/>
        <v>243146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si="15"/>
        <v>25014</v>
      </c>
      <c r="M14" s="16">
        <f t="shared" si="5"/>
        <v>0</v>
      </c>
      <c r="N14" s="42">
        <f t="shared" si="16"/>
        <v>215570</v>
      </c>
      <c r="O14" s="16">
        <f t="shared" si="6"/>
        <v>0</v>
      </c>
      <c r="P14" s="42">
        <f t="shared" si="10"/>
        <v>107070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si="17"/>
        <v>3660</v>
      </c>
      <c r="U14" s="16">
        <f>(T14-T13)*800/5</f>
        <v>0</v>
      </c>
    </row>
    <row r="15" spans="1:24" ht="13.5" thickBot="1" x14ac:dyDescent="0.25">
      <c r="A15" s="10">
        <v>44360</v>
      </c>
      <c r="B15" s="42">
        <f t="shared" si="11"/>
        <v>45370</v>
      </c>
      <c r="C15" s="16">
        <f t="shared" si="0"/>
        <v>0</v>
      </c>
      <c r="D15" s="42">
        <f t="shared" si="12"/>
        <v>39575</v>
      </c>
      <c r="E15" s="16">
        <f t="shared" si="1"/>
        <v>0</v>
      </c>
      <c r="F15" s="42">
        <f t="shared" si="13"/>
        <v>20439</v>
      </c>
      <c r="G15" s="16">
        <f t="shared" si="2"/>
        <v>0</v>
      </c>
      <c r="H15" s="42">
        <f t="shared" si="14"/>
        <v>243146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5"/>
        <v>25014</v>
      </c>
      <c r="M15" s="16">
        <f t="shared" si="5"/>
        <v>0</v>
      </c>
      <c r="N15" s="42">
        <f t="shared" si="16"/>
        <v>215570</v>
      </c>
      <c r="O15" s="16">
        <f t="shared" si="6"/>
        <v>0</v>
      </c>
      <c r="P15" s="42">
        <f t="shared" si="10"/>
        <v>107070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3660</v>
      </c>
      <c r="U15" s="16">
        <f>(T15-T14)*800/5</f>
        <v>0</v>
      </c>
      <c r="X15" t="s">
        <v>12</v>
      </c>
    </row>
    <row r="16" spans="1:24" ht="13.5" thickBot="1" x14ac:dyDescent="0.25">
      <c r="A16" s="10">
        <v>44361</v>
      </c>
      <c r="B16" s="42">
        <f t="shared" si="11"/>
        <v>45370</v>
      </c>
      <c r="C16" s="16">
        <f t="shared" si="0"/>
        <v>0</v>
      </c>
      <c r="D16" s="42">
        <f t="shared" si="12"/>
        <v>39575</v>
      </c>
      <c r="E16" s="16">
        <f t="shared" si="1"/>
        <v>0</v>
      </c>
      <c r="F16" s="42">
        <f t="shared" si="13"/>
        <v>20439</v>
      </c>
      <c r="G16" s="16">
        <f t="shared" si="2"/>
        <v>0</v>
      </c>
      <c r="H16" s="42">
        <f t="shared" si="14"/>
        <v>243146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5"/>
        <v>25014</v>
      </c>
      <c r="M16" s="16">
        <f t="shared" si="5"/>
        <v>0</v>
      </c>
      <c r="N16" s="42">
        <f t="shared" si="16"/>
        <v>215570</v>
      </c>
      <c r="O16" s="16">
        <f t="shared" si="6"/>
        <v>0</v>
      </c>
      <c r="P16" s="42">
        <f t="shared" si="10"/>
        <v>107070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3660</v>
      </c>
      <c r="U16" s="16">
        <f t="shared" si="9"/>
        <v>0</v>
      </c>
      <c r="W16" t="s">
        <v>12</v>
      </c>
    </row>
    <row r="17" spans="1:23" ht="13.5" thickBot="1" x14ac:dyDescent="0.25">
      <c r="A17" s="10">
        <v>44362</v>
      </c>
      <c r="B17" s="42">
        <f t="shared" si="11"/>
        <v>45370</v>
      </c>
      <c r="C17" s="16">
        <f t="shared" si="0"/>
        <v>0</v>
      </c>
      <c r="D17" s="42">
        <f t="shared" si="12"/>
        <v>39575</v>
      </c>
      <c r="E17" s="16">
        <f t="shared" si="1"/>
        <v>0</v>
      </c>
      <c r="F17" s="42">
        <f t="shared" si="13"/>
        <v>20439</v>
      </c>
      <c r="G17" s="16">
        <f t="shared" si="2"/>
        <v>0</v>
      </c>
      <c r="H17" s="42">
        <f t="shared" si="14"/>
        <v>243146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5"/>
        <v>25014</v>
      </c>
      <c r="M17" s="16">
        <f t="shared" si="5"/>
        <v>0</v>
      </c>
      <c r="N17" s="42">
        <f t="shared" si="16"/>
        <v>215570</v>
      </c>
      <c r="O17" s="16">
        <f t="shared" si="6"/>
        <v>0</v>
      </c>
      <c r="P17" s="42">
        <f t="shared" si="10"/>
        <v>107070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3660</v>
      </c>
      <c r="U17" s="16">
        <f t="shared" si="9"/>
        <v>0</v>
      </c>
    </row>
    <row r="18" spans="1:23" ht="13.5" thickBot="1" x14ac:dyDescent="0.25">
      <c r="A18" s="10">
        <v>44363</v>
      </c>
      <c r="B18" s="42">
        <f t="shared" si="11"/>
        <v>45370</v>
      </c>
      <c r="C18" s="16">
        <f t="shared" si="0"/>
        <v>0</v>
      </c>
      <c r="D18" s="42">
        <f t="shared" si="12"/>
        <v>39575</v>
      </c>
      <c r="E18" s="16">
        <f t="shared" si="1"/>
        <v>0</v>
      </c>
      <c r="F18" s="42">
        <f t="shared" si="13"/>
        <v>20439</v>
      </c>
      <c r="G18" s="16">
        <f t="shared" si="2"/>
        <v>0</v>
      </c>
      <c r="H18" s="42">
        <f t="shared" si="14"/>
        <v>243146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5"/>
        <v>25014</v>
      </c>
      <c r="M18" s="16">
        <f t="shared" si="5"/>
        <v>0</v>
      </c>
      <c r="N18" s="42">
        <f t="shared" si="16"/>
        <v>215570</v>
      </c>
      <c r="O18" s="16">
        <f t="shared" si="6"/>
        <v>0</v>
      </c>
      <c r="P18" s="42">
        <f t="shared" si="10"/>
        <v>107070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3660</v>
      </c>
      <c r="U18" s="16">
        <f t="shared" si="9"/>
        <v>0</v>
      </c>
    </row>
    <row r="19" spans="1:23" ht="13.5" thickBot="1" x14ac:dyDescent="0.25">
      <c r="A19" s="10">
        <v>44364</v>
      </c>
      <c r="B19" s="42">
        <f t="shared" si="11"/>
        <v>45370</v>
      </c>
      <c r="C19" s="16">
        <f t="shared" si="0"/>
        <v>0</v>
      </c>
      <c r="D19" s="42">
        <f t="shared" si="12"/>
        <v>39575</v>
      </c>
      <c r="E19" s="16">
        <f t="shared" si="1"/>
        <v>0</v>
      </c>
      <c r="F19" s="42">
        <f t="shared" si="13"/>
        <v>20439</v>
      </c>
      <c r="G19" s="16">
        <f t="shared" si="2"/>
        <v>0</v>
      </c>
      <c r="H19" s="42">
        <f t="shared" si="14"/>
        <v>243146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5"/>
        <v>25014</v>
      </c>
      <c r="M19" s="16">
        <f t="shared" si="5"/>
        <v>0</v>
      </c>
      <c r="N19" s="42">
        <f t="shared" si="16"/>
        <v>215570</v>
      </c>
      <c r="O19" s="16">
        <f t="shared" si="6"/>
        <v>0</v>
      </c>
      <c r="P19" s="42">
        <f t="shared" si="10"/>
        <v>107070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3660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1"/>
        <v>45370</v>
      </c>
      <c r="C20" s="16">
        <f t="shared" si="0"/>
        <v>0</v>
      </c>
      <c r="D20" s="42">
        <f t="shared" si="12"/>
        <v>39575</v>
      </c>
      <c r="E20" s="16">
        <f t="shared" si="1"/>
        <v>0</v>
      </c>
      <c r="F20" s="42">
        <f t="shared" si="13"/>
        <v>20439</v>
      </c>
      <c r="G20" s="16">
        <f t="shared" si="2"/>
        <v>0</v>
      </c>
      <c r="H20" s="42">
        <f t="shared" si="14"/>
        <v>243146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25014</v>
      </c>
      <c r="M20" s="16">
        <f t="shared" si="5"/>
        <v>0</v>
      </c>
      <c r="N20" s="42">
        <f t="shared" si="16"/>
        <v>215570</v>
      </c>
      <c r="O20" s="16">
        <f t="shared" si="6"/>
        <v>0</v>
      </c>
      <c r="P20" s="42">
        <f t="shared" si="10"/>
        <v>107070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3660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1"/>
        <v>45370</v>
      </c>
      <c r="C21" s="16">
        <f t="shared" si="0"/>
        <v>0</v>
      </c>
      <c r="D21" s="42">
        <f t="shared" si="12"/>
        <v>39575</v>
      </c>
      <c r="E21" s="16">
        <f t="shared" si="1"/>
        <v>0</v>
      </c>
      <c r="F21" s="42">
        <f t="shared" si="13"/>
        <v>20439</v>
      </c>
      <c r="G21" s="16">
        <f t="shared" si="2"/>
        <v>0</v>
      </c>
      <c r="H21" s="42">
        <f t="shared" si="14"/>
        <v>243146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25014</v>
      </c>
      <c r="M21" s="16">
        <f t="shared" si="5"/>
        <v>0</v>
      </c>
      <c r="N21" s="42">
        <f t="shared" si="16"/>
        <v>215570</v>
      </c>
      <c r="O21" s="16">
        <f t="shared" si="6"/>
        <v>0</v>
      </c>
      <c r="P21" s="42">
        <f t="shared" si="10"/>
        <v>107070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3660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1"/>
        <v>45370</v>
      </c>
      <c r="C22" s="16">
        <f t="shared" si="0"/>
        <v>0</v>
      </c>
      <c r="D22" s="42">
        <f t="shared" si="12"/>
        <v>39575</v>
      </c>
      <c r="E22" s="16">
        <f t="shared" si="1"/>
        <v>0</v>
      </c>
      <c r="F22" s="42">
        <f t="shared" si="13"/>
        <v>20439</v>
      </c>
      <c r="G22" s="16">
        <f t="shared" si="2"/>
        <v>0</v>
      </c>
      <c r="H22" s="42">
        <f t="shared" si="14"/>
        <v>243146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25014</v>
      </c>
      <c r="M22" s="16">
        <f t="shared" si="5"/>
        <v>0</v>
      </c>
      <c r="N22" s="42">
        <f t="shared" si="16"/>
        <v>215570</v>
      </c>
      <c r="O22" s="16">
        <f t="shared" si="6"/>
        <v>0</v>
      </c>
      <c r="P22" s="42">
        <f t="shared" si="10"/>
        <v>107070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3660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1"/>
        <v>45370</v>
      </c>
      <c r="C23" s="16">
        <f t="shared" si="0"/>
        <v>0</v>
      </c>
      <c r="D23" s="42">
        <f t="shared" si="12"/>
        <v>39575</v>
      </c>
      <c r="E23" s="16">
        <f t="shared" si="1"/>
        <v>0</v>
      </c>
      <c r="F23" s="42">
        <f t="shared" si="13"/>
        <v>20439</v>
      </c>
      <c r="G23" s="16">
        <f t="shared" si="2"/>
        <v>0</v>
      </c>
      <c r="H23" s="42">
        <f t="shared" si="14"/>
        <v>243146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25014</v>
      </c>
      <c r="M23" s="16">
        <f t="shared" si="5"/>
        <v>0</v>
      </c>
      <c r="N23" s="42">
        <f t="shared" si="16"/>
        <v>215570</v>
      </c>
      <c r="O23" s="16">
        <f t="shared" si="6"/>
        <v>0</v>
      </c>
      <c r="P23" s="42">
        <f t="shared" si="10"/>
        <v>107070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3660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1"/>
        <v>45370</v>
      </c>
      <c r="C24" s="16">
        <f t="shared" si="0"/>
        <v>0</v>
      </c>
      <c r="D24" s="42">
        <f t="shared" si="12"/>
        <v>39575</v>
      </c>
      <c r="E24" s="16">
        <f t="shared" si="1"/>
        <v>0</v>
      </c>
      <c r="F24" s="42">
        <f t="shared" si="13"/>
        <v>20439</v>
      </c>
      <c r="G24" s="16">
        <f t="shared" si="2"/>
        <v>0</v>
      </c>
      <c r="H24" s="42">
        <f t="shared" si="14"/>
        <v>243146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25014</v>
      </c>
      <c r="M24" s="16">
        <f t="shared" si="5"/>
        <v>0</v>
      </c>
      <c r="N24" s="42">
        <f t="shared" si="16"/>
        <v>215570</v>
      </c>
      <c r="O24" s="16">
        <f t="shared" si="6"/>
        <v>0</v>
      </c>
      <c r="P24" s="42">
        <f t="shared" si="10"/>
        <v>107070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3660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1"/>
        <v>45370</v>
      </c>
      <c r="C25" s="16">
        <f t="shared" si="0"/>
        <v>0</v>
      </c>
      <c r="D25" s="42">
        <f t="shared" si="12"/>
        <v>39575</v>
      </c>
      <c r="E25" s="16">
        <f t="shared" si="1"/>
        <v>0</v>
      </c>
      <c r="F25" s="42">
        <f t="shared" si="13"/>
        <v>20439</v>
      </c>
      <c r="G25" s="16">
        <f t="shared" si="2"/>
        <v>0</v>
      </c>
      <c r="H25" s="42">
        <f t="shared" si="14"/>
        <v>243146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25014</v>
      </c>
      <c r="M25" s="16">
        <f t="shared" si="5"/>
        <v>0</v>
      </c>
      <c r="N25" s="42">
        <f t="shared" si="16"/>
        <v>215570</v>
      </c>
      <c r="O25" s="16">
        <f t="shared" si="6"/>
        <v>0</v>
      </c>
      <c r="P25" s="42">
        <f t="shared" si="10"/>
        <v>107070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3660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1"/>
        <v>45370</v>
      </c>
      <c r="C26" s="16">
        <f t="shared" si="0"/>
        <v>0</v>
      </c>
      <c r="D26" s="42">
        <f t="shared" si="12"/>
        <v>39575</v>
      </c>
      <c r="E26" s="16">
        <f t="shared" si="1"/>
        <v>0</v>
      </c>
      <c r="F26" s="42">
        <f t="shared" si="13"/>
        <v>20439</v>
      </c>
      <c r="G26" s="16">
        <f t="shared" si="2"/>
        <v>0</v>
      </c>
      <c r="H26" s="42">
        <f t="shared" si="14"/>
        <v>243146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25014</v>
      </c>
      <c r="M26" s="16">
        <f t="shared" si="5"/>
        <v>0</v>
      </c>
      <c r="N26" s="42">
        <f t="shared" si="16"/>
        <v>215570</v>
      </c>
      <c r="O26" s="16">
        <f t="shared" si="6"/>
        <v>0</v>
      </c>
      <c r="P26" s="42">
        <f t="shared" si="10"/>
        <v>107070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3660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1"/>
        <v>45370</v>
      </c>
      <c r="C27" s="16">
        <f t="shared" si="0"/>
        <v>0</v>
      </c>
      <c r="D27" s="42">
        <f t="shared" si="12"/>
        <v>39575</v>
      </c>
      <c r="E27" s="16">
        <f t="shared" si="1"/>
        <v>0</v>
      </c>
      <c r="F27" s="42">
        <f t="shared" si="13"/>
        <v>20439</v>
      </c>
      <c r="G27" s="16">
        <f t="shared" si="2"/>
        <v>0</v>
      </c>
      <c r="H27" s="42">
        <f t="shared" si="14"/>
        <v>243146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25014</v>
      </c>
      <c r="M27" s="16">
        <f t="shared" si="5"/>
        <v>0</v>
      </c>
      <c r="N27" s="42">
        <f t="shared" si="16"/>
        <v>215570</v>
      </c>
      <c r="O27" s="16">
        <f t="shared" si="6"/>
        <v>0</v>
      </c>
      <c r="P27" s="42">
        <f t="shared" si="10"/>
        <v>107070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3660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1"/>
        <v>45370</v>
      </c>
      <c r="C28" s="16">
        <f t="shared" si="0"/>
        <v>0</v>
      </c>
      <c r="D28" s="42">
        <f t="shared" si="12"/>
        <v>39575</v>
      </c>
      <c r="E28" s="16">
        <f t="shared" si="1"/>
        <v>0</v>
      </c>
      <c r="F28" s="42">
        <f t="shared" si="13"/>
        <v>20439</v>
      </c>
      <c r="G28" s="16">
        <f t="shared" si="2"/>
        <v>0</v>
      </c>
      <c r="H28" s="42">
        <f t="shared" si="14"/>
        <v>243146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25014</v>
      </c>
      <c r="M28" s="16">
        <f t="shared" si="5"/>
        <v>0</v>
      </c>
      <c r="N28" s="42">
        <f t="shared" si="16"/>
        <v>215570</v>
      </c>
      <c r="O28" s="16">
        <f t="shared" si="6"/>
        <v>0</v>
      </c>
      <c r="P28" s="42">
        <f t="shared" si="10"/>
        <v>107070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3660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1"/>
        <v>45370</v>
      </c>
      <c r="C29" s="16">
        <f t="shared" si="0"/>
        <v>0</v>
      </c>
      <c r="D29" s="42">
        <f t="shared" si="12"/>
        <v>39575</v>
      </c>
      <c r="E29" s="16">
        <f t="shared" si="1"/>
        <v>0</v>
      </c>
      <c r="F29" s="42">
        <f t="shared" si="13"/>
        <v>20439</v>
      </c>
      <c r="G29" s="16">
        <f t="shared" si="2"/>
        <v>0</v>
      </c>
      <c r="H29" s="42">
        <f t="shared" si="14"/>
        <v>243146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25014</v>
      </c>
      <c r="M29" s="16">
        <f t="shared" si="5"/>
        <v>0</v>
      </c>
      <c r="N29" s="42">
        <f t="shared" si="16"/>
        <v>215570</v>
      </c>
      <c r="O29" s="16">
        <f t="shared" si="6"/>
        <v>0</v>
      </c>
      <c r="P29" s="42">
        <f t="shared" si="10"/>
        <v>107070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3660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1"/>
        <v>45370</v>
      </c>
      <c r="C30" s="16">
        <f t="shared" si="0"/>
        <v>0</v>
      </c>
      <c r="D30" s="42">
        <f t="shared" si="12"/>
        <v>39575</v>
      </c>
      <c r="E30" s="16">
        <f t="shared" si="1"/>
        <v>0</v>
      </c>
      <c r="F30" s="42">
        <f t="shared" si="13"/>
        <v>20439</v>
      </c>
      <c r="G30" s="16">
        <f t="shared" si="2"/>
        <v>0</v>
      </c>
      <c r="H30" s="42">
        <f t="shared" si="14"/>
        <v>243146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25014</v>
      </c>
      <c r="M30" s="16">
        <f t="shared" si="5"/>
        <v>0</v>
      </c>
      <c r="N30" s="42">
        <f t="shared" si="16"/>
        <v>215570</v>
      </c>
      <c r="O30" s="16">
        <f t="shared" si="6"/>
        <v>0</v>
      </c>
      <c r="P30" s="42">
        <f t="shared" si="10"/>
        <v>107070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3660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1"/>
        <v>45370</v>
      </c>
      <c r="C31" s="16">
        <f t="shared" si="0"/>
        <v>0</v>
      </c>
      <c r="D31" s="42">
        <f t="shared" si="12"/>
        <v>39575</v>
      </c>
      <c r="E31" s="16">
        <f t="shared" si="1"/>
        <v>0</v>
      </c>
      <c r="F31" s="42">
        <f t="shared" si="13"/>
        <v>20439</v>
      </c>
      <c r="G31" s="16">
        <f t="shared" si="2"/>
        <v>0</v>
      </c>
      <c r="H31" s="42">
        <f t="shared" si="14"/>
        <v>243146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25014</v>
      </c>
      <c r="M31" s="16">
        <f t="shared" si="5"/>
        <v>0</v>
      </c>
      <c r="N31" s="42">
        <f t="shared" si="16"/>
        <v>215570</v>
      </c>
      <c r="O31" s="16">
        <f t="shared" si="6"/>
        <v>0</v>
      </c>
      <c r="P31" s="42">
        <f t="shared" si="10"/>
        <v>107070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3660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1"/>
        <v>45370</v>
      </c>
      <c r="C32" s="16">
        <f t="shared" si="0"/>
        <v>0</v>
      </c>
      <c r="D32" s="42">
        <f t="shared" si="12"/>
        <v>39575</v>
      </c>
      <c r="E32" s="16">
        <f t="shared" si="1"/>
        <v>0</v>
      </c>
      <c r="F32" s="42">
        <f t="shared" si="13"/>
        <v>20439</v>
      </c>
      <c r="G32" s="16">
        <f t="shared" si="2"/>
        <v>0</v>
      </c>
      <c r="H32" s="42">
        <f t="shared" si="14"/>
        <v>243146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25014</v>
      </c>
      <c r="M32" s="16">
        <f t="shared" si="5"/>
        <v>0</v>
      </c>
      <c r="N32" s="42">
        <f t="shared" si="16"/>
        <v>215570</v>
      </c>
      <c r="O32" s="16">
        <f t="shared" si="6"/>
        <v>0</v>
      </c>
      <c r="P32" s="42">
        <f t="shared" si="10"/>
        <v>107070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3660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1"/>
        <v>45370</v>
      </c>
      <c r="C33" s="16">
        <f t="shared" si="0"/>
        <v>0</v>
      </c>
      <c r="D33" s="42">
        <f t="shared" si="12"/>
        <v>39575</v>
      </c>
      <c r="E33" s="16">
        <f t="shared" si="1"/>
        <v>0</v>
      </c>
      <c r="F33" s="42">
        <f t="shared" si="13"/>
        <v>20439</v>
      </c>
      <c r="G33" s="16">
        <f t="shared" si="2"/>
        <v>0</v>
      </c>
      <c r="H33" s="42">
        <f t="shared" si="14"/>
        <v>243146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25014</v>
      </c>
      <c r="M33" s="16">
        <f t="shared" si="5"/>
        <v>0</v>
      </c>
      <c r="N33" s="42">
        <f t="shared" si="16"/>
        <v>215570</v>
      </c>
      <c r="O33" s="16">
        <f t="shared" si="6"/>
        <v>0</v>
      </c>
      <c r="P33" s="42">
        <f t="shared" si="10"/>
        <v>107070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3660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6720</v>
      </c>
      <c r="D34" s="13"/>
      <c r="E34" s="11">
        <f>SUM(E3:E33)</f>
        <v>3840</v>
      </c>
      <c r="F34" s="13"/>
      <c r="G34" s="11">
        <f>SUM(G3:G33)</f>
        <v>560</v>
      </c>
      <c r="H34" s="13"/>
      <c r="I34" s="11">
        <f>SUM(I3:I33)</f>
        <v>561</v>
      </c>
      <c r="J34" s="13"/>
      <c r="K34" s="11">
        <f>SUM(K3:K33)</f>
        <v>0</v>
      </c>
      <c r="L34" s="13"/>
      <c r="M34" s="11">
        <f>SUM(M3:M33)</f>
        <v>4800</v>
      </c>
      <c r="N34" s="43"/>
      <c r="O34" s="11">
        <f>SUM(O3:O33)</f>
        <v>26</v>
      </c>
      <c r="P34" s="13"/>
      <c r="Q34" s="11">
        <f>SUM(Q3:Q33)</f>
        <v>899</v>
      </c>
      <c r="R34" s="1"/>
      <c r="S34" s="11">
        <f>SUM(S3:S33)</f>
        <v>0</v>
      </c>
      <c r="T34" s="1"/>
      <c r="U34" s="11">
        <f>SUM(U3:U33)</f>
        <v>1280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L10" sqref="L1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/>
      <c r="C11" s="49">
        <f t="shared" si="9"/>
        <v>0</v>
      </c>
      <c r="D11" s="3"/>
      <c r="E11" s="49">
        <f t="shared" si="4"/>
        <v>0</v>
      </c>
      <c r="F11" s="3"/>
      <c r="G11" s="49">
        <f t="shared" si="7"/>
        <v>0</v>
      </c>
      <c r="H11" s="3"/>
      <c r="I11" s="54">
        <f t="shared" si="8"/>
        <v>0</v>
      </c>
      <c r="J11" s="23">
        <f t="shared" si="5"/>
        <v>0</v>
      </c>
      <c r="K11" s="24">
        <f t="shared" si="6"/>
        <v>0</v>
      </c>
      <c r="N11" t="s">
        <v>12</v>
      </c>
    </row>
    <row r="12" spans="1:14" ht="16.5" thickBot="1" x14ac:dyDescent="0.3">
      <c r="A12" s="10">
        <v>44357</v>
      </c>
      <c r="B12" s="3"/>
      <c r="C12" s="49">
        <f t="shared" si="9"/>
        <v>0</v>
      </c>
      <c r="D12" s="3"/>
      <c r="E12" s="49">
        <f t="shared" si="4"/>
        <v>0</v>
      </c>
      <c r="F12" s="3"/>
      <c r="G12" s="49">
        <f t="shared" si="7"/>
        <v>0</v>
      </c>
      <c r="H12" s="3"/>
      <c r="I12" s="54">
        <f t="shared" si="8"/>
        <v>0</v>
      </c>
      <c r="J12" s="23">
        <f t="shared" si="5"/>
        <v>0</v>
      </c>
      <c r="K12" s="24">
        <f t="shared" si="6"/>
        <v>0</v>
      </c>
    </row>
    <row r="13" spans="1:14" ht="16.5" thickBot="1" x14ac:dyDescent="0.3">
      <c r="A13" s="10">
        <v>44358</v>
      </c>
      <c r="B13" s="3"/>
      <c r="C13" s="49">
        <f t="shared" si="9"/>
        <v>0</v>
      </c>
      <c r="D13" s="3"/>
      <c r="E13" s="49">
        <f t="shared" si="4"/>
        <v>0</v>
      </c>
      <c r="F13" s="3"/>
      <c r="G13" s="49">
        <f t="shared" si="7"/>
        <v>0</v>
      </c>
      <c r="H13" s="3"/>
      <c r="I13" s="54">
        <f t="shared" si="8"/>
        <v>0</v>
      </c>
      <c r="J13" s="23">
        <f t="shared" si="5"/>
        <v>0</v>
      </c>
      <c r="K13" s="24">
        <f t="shared" si="6"/>
        <v>0</v>
      </c>
    </row>
    <row r="14" spans="1:14" ht="16.5" thickBot="1" x14ac:dyDescent="0.3">
      <c r="A14" s="10">
        <v>44359</v>
      </c>
      <c r="B14" s="3"/>
      <c r="C14" s="49">
        <f t="shared" si="9"/>
        <v>0</v>
      </c>
      <c r="D14" s="3"/>
      <c r="E14" s="49">
        <f t="shared" si="4"/>
        <v>0</v>
      </c>
      <c r="F14" s="3"/>
      <c r="G14" s="49">
        <f t="shared" si="7"/>
        <v>0</v>
      </c>
      <c r="H14" s="3"/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44360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44361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44362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10570</v>
      </c>
      <c r="D34" s="3"/>
      <c r="E34" s="66">
        <f>SUM(E3:E33)</f>
        <v>16.2</v>
      </c>
      <c r="F34" s="3"/>
      <c r="G34" s="66">
        <f>SUM(G3:G33)</f>
        <v>5059.8</v>
      </c>
      <c r="H34" s="3"/>
      <c r="I34" s="66">
        <f>SUM(I3:I33)</f>
        <v>29.591999999999999</v>
      </c>
      <c r="J34" s="66">
        <f>SUM(J3:J33)</f>
        <v>15675.591999999999</v>
      </c>
      <c r="K34" s="66">
        <f>SUM(K3:K33)</f>
        <v>91858.969120000009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A9" sqref="A9:XFD9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/>
      <c r="C10" s="161"/>
      <c r="D10" s="49">
        <f t="shared" si="11"/>
        <v>0</v>
      </c>
      <c r="E10" s="137"/>
      <c r="F10" s="49" t="str">
        <f t="shared" si="12"/>
        <v>0</v>
      </c>
      <c r="G10" s="141"/>
      <c r="H10" s="49" t="str">
        <f t="shared" si="13"/>
        <v>0</v>
      </c>
      <c r="I10" s="138">
        <f t="shared" si="14"/>
        <v>0</v>
      </c>
      <c r="J10" s="137"/>
      <c r="K10" s="49" t="str">
        <f t="shared" si="15"/>
        <v>0</v>
      </c>
      <c r="L10" s="139"/>
      <c r="M10" s="49" t="str">
        <f t="shared" si="16"/>
        <v>0</v>
      </c>
      <c r="N10" s="137"/>
      <c r="O10" s="49">
        <f t="shared" si="23"/>
        <v>0</v>
      </c>
      <c r="P10" s="139"/>
      <c r="Q10" s="49" t="str">
        <f t="shared" si="17"/>
        <v>0</v>
      </c>
      <c r="R10" s="137"/>
      <c r="S10" s="49" t="str">
        <f t="shared" si="18"/>
        <v>0</v>
      </c>
      <c r="T10" s="137">
        <v>0</v>
      </c>
      <c r="U10" s="140"/>
      <c r="V10" s="137"/>
      <c r="W10" s="49" t="str">
        <f t="shared" si="19"/>
        <v>0</v>
      </c>
      <c r="X10" s="28">
        <f t="shared" si="20"/>
        <v>0</v>
      </c>
      <c r="Y10" s="35">
        <f t="shared" si="21"/>
        <v>0</v>
      </c>
      <c r="Z10" s="27">
        <f t="shared" si="22"/>
        <v>0</v>
      </c>
      <c r="AA10" s="27">
        <f t="shared" si="24"/>
        <v>23811.942211199999</v>
      </c>
    </row>
    <row r="11" spans="1:27" ht="15.75" customHeight="1" thickBot="1" x14ac:dyDescent="0.25">
      <c r="A11" s="10">
        <v>44356</v>
      </c>
      <c r="B11" s="49"/>
      <c r="C11" s="161"/>
      <c r="D11" s="49">
        <f t="shared" si="11"/>
        <v>0</v>
      </c>
      <c r="E11" s="137"/>
      <c r="F11" s="49">
        <f t="shared" si="12"/>
        <v>0</v>
      </c>
      <c r="G11" s="141"/>
      <c r="H11" s="49">
        <f t="shared" si="13"/>
        <v>0</v>
      </c>
      <c r="I11" s="138">
        <f t="shared" si="14"/>
        <v>0</v>
      </c>
      <c r="J11" s="137"/>
      <c r="K11" s="49">
        <f t="shared" si="15"/>
        <v>0</v>
      </c>
      <c r="L11" s="139"/>
      <c r="M11" s="49">
        <f t="shared" si="16"/>
        <v>0</v>
      </c>
      <c r="N11" s="137"/>
      <c r="O11" s="49">
        <f t="shared" si="23"/>
        <v>0</v>
      </c>
      <c r="P11" s="139"/>
      <c r="Q11" s="49">
        <f t="shared" si="17"/>
        <v>0</v>
      </c>
      <c r="R11" s="137"/>
      <c r="S11" s="49">
        <f t="shared" si="18"/>
        <v>0</v>
      </c>
      <c r="T11" s="137">
        <v>0</v>
      </c>
      <c r="U11" s="140"/>
      <c r="V11" s="137"/>
      <c r="W11" s="49">
        <f t="shared" si="19"/>
        <v>0</v>
      </c>
      <c r="X11" s="28">
        <f t="shared" si="20"/>
        <v>0</v>
      </c>
      <c r="Y11" s="35">
        <f t="shared" si="21"/>
        <v>0</v>
      </c>
      <c r="Z11" s="27">
        <f t="shared" si="22"/>
        <v>0</v>
      </c>
      <c r="AA11" s="27">
        <f t="shared" si="24"/>
        <v>16787.046702399999</v>
      </c>
    </row>
    <row r="12" spans="1:27" ht="16.5" thickBot="1" x14ac:dyDescent="0.25">
      <c r="A12" s="10">
        <v>44357</v>
      </c>
      <c r="B12" s="49"/>
      <c r="C12" s="161"/>
      <c r="D12" s="49">
        <f t="shared" si="11"/>
        <v>0</v>
      </c>
      <c r="E12" s="137"/>
      <c r="F12" s="49">
        <f t="shared" si="12"/>
        <v>0</v>
      </c>
      <c r="G12" s="141"/>
      <c r="H12" s="49">
        <f t="shared" si="13"/>
        <v>0</v>
      </c>
      <c r="I12" s="138">
        <f t="shared" si="14"/>
        <v>0</v>
      </c>
      <c r="J12" s="137"/>
      <c r="K12" s="49">
        <f t="shared" si="15"/>
        <v>0</v>
      </c>
      <c r="L12" s="139"/>
      <c r="M12" s="49">
        <f t="shared" si="16"/>
        <v>0</v>
      </c>
      <c r="N12" s="137"/>
      <c r="O12" s="49">
        <f t="shared" si="23"/>
        <v>0</v>
      </c>
      <c r="P12" s="139"/>
      <c r="Q12" s="49">
        <f t="shared" si="17"/>
        <v>0</v>
      </c>
      <c r="R12" s="137"/>
      <c r="S12" s="49">
        <f t="shared" si="18"/>
        <v>0</v>
      </c>
      <c r="T12" s="137">
        <v>0</v>
      </c>
      <c r="U12" s="140"/>
      <c r="V12" s="137"/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7567.9031999999997</v>
      </c>
    </row>
    <row r="13" spans="1:27" ht="16.5" thickBot="1" x14ac:dyDescent="0.25">
      <c r="A13" s="10">
        <v>44358</v>
      </c>
      <c r="B13" s="49"/>
      <c r="C13" s="161"/>
      <c r="D13" s="49">
        <f t="shared" si="11"/>
        <v>0</v>
      </c>
      <c r="E13" s="137"/>
      <c r="F13" s="49">
        <f t="shared" si="12"/>
        <v>0</v>
      </c>
      <c r="G13" s="141"/>
      <c r="H13" s="49">
        <f t="shared" si="13"/>
        <v>0</v>
      </c>
      <c r="I13" s="138">
        <f t="shared" si="14"/>
        <v>0</v>
      </c>
      <c r="J13" s="137"/>
      <c r="K13" s="49">
        <f t="shared" si="15"/>
        <v>0</v>
      </c>
      <c r="L13" s="139"/>
      <c r="M13" s="49">
        <f t="shared" si="16"/>
        <v>0</v>
      </c>
      <c r="N13" s="137"/>
      <c r="O13" s="49">
        <f t="shared" si="23"/>
        <v>0</v>
      </c>
      <c r="P13" s="139"/>
      <c r="Q13" s="49">
        <f t="shared" si="17"/>
        <v>0</v>
      </c>
      <c r="R13" s="137"/>
      <c r="S13" s="49">
        <f>IF((R13-R12)&lt;0,"0",(R13-R12))</f>
        <v>0</v>
      </c>
      <c r="T13" s="137">
        <v>0</v>
      </c>
      <c r="U13" s="140"/>
      <c r="V13" s="137"/>
      <c r="W13" s="49">
        <f t="shared" si="19"/>
        <v>0</v>
      </c>
      <c r="X13" s="28">
        <f t="shared" si="20"/>
        <v>0</v>
      </c>
      <c r="Y13" s="35">
        <f t="shared" si="21"/>
        <v>0</v>
      </c>
      <c r="Z13" s="27">
        <f t="shared" si="22"/>
        <v>0</v>
      </c>
      <c r="AA13" s="27">
        <f t="shared" si="24"/>
        <v>0</v>
      </c>
    </row>
    <row r="14" spans="1:27" ht="16.5" thickBot="1" x14ac:dyDescent="0.25">
      <c r="A14" s="10">
        <v>44359</v>
      </c>
      <c r="B14" s="49"/>
      <c r="C14" s="161"/>
      <c r="D14" s="49">
        <f t="shared" si="11"/>
        <v>0</v>
      </c>
      <c r="E14" s="137"/>
      <c r="F14" s="49">
        <f>IF((E14-E13)&lt;0,"0",(E14-E13))</f>
        <v>0</v>
      </c>
      <c r="G14" s="141"/>
      <c r="H14" s="49">
        <f t="shared" si="13"/>
        <v>0</v>
      </c>
      <c r="I14" s="138">
        <f t="shared" si="14"/>
        <v>0</v>
      </c>
      <c r="J14" s="137"/>
      <c r="K14" s="49">
        <f t="shared" si="15"/>
        <v>0</v>
      </c>
      <c r="L14" s="139"/>
      <c r="M14" s="49">
        <f t="shared" si="16"/>
        <v>0</v>
      </c>
      <c r="N14" s="137"/>
      <c r="O14" s="49">
        <f t="shared" si="23"/>
        <v>0</v>
      </c>
      <c r="P14" s="139"/>
      <c r="Q14" s="49">
        <f t="shared" si="17"/>
        <v>0</v>
      </c>
      <c r="R14" s="137"/>
      <c r="S14" s="49">
        <f>IF((R14-R13)&lt;0,"0",(R14-R13))</f>
        <v>0</v>
      </c>
      <c r="T14" s="137">
        <v>0</v>
      </c>
      <c r="U14" s="140"/>
      <c r="V14" s="137"/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0</v>
      </c>
    </row>
    <row r="15" spans="1:27" ht="16.5" thickBot="1" x14ac:dyDescent="0.25">
      <c r="A15" s="10">
        <v>44360</v>
      </c>
      <c r="B15" s="49"/>
      <c r="C15" s="161"/>
      <c r="D15" s="49">
        <f t="shared" si="11"/>
        <v>0</v>
      </c>
      <c r="E15" s="137"/>
      <c r="F15" s="49">
        <f>IF((E15-E14)&lt;0,"0",(E15-E14))</f>
        <v>0</v>
      </c>
      <c r="G15" s="141"/>
      <c r="H15" s="49">
        <f t="shared" si="13"/>
        <v>0</v>
      </c>
      <c r="I15" s="138">
        <f t="shared" si="14"/>
        <v>0</v>
      </c>
      <c r="J15" s="137"/>
      <c r="K15" s="49">
        <f t="shared" si="15"/>
        <v>0</v>
      </c>
      <c r="L15" s="139"/>
      <c r="M15" s="49">
        <f t="shared" si="16"/>
        <v>0</v>
      </c>
      <c r="N15" s="137"/>
      <c r="O15" s="49">
        <f t="shared" si="23"/>
        <v>0</v>
      </c>
      <c r="P15" s="139"/>
      <c r="Q15" s="49">
        <f t="shared" si="17"/>
        <v>0</v>
      </c>
      <c r="R15" s="137"/>
      <c r="S15" s="49">
        <f>IF((R15-R14)&lt;0,"0",(R15-R14))</f>
        <v>0</v>
      </c>
      <c r="T15" s="137">
        <v>0</v>
      </c>
      <c r="U15" s="140"/>
      <c r="V15" s="137"/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0</v>
      </c>
    </row>
    <row r="16" spans="1:27" ht="16.5" thickBot="1" x14ac:dyDescent="0.25">
      <c r="A16" s="10">
        <v>44361</v>
      </c>
      <c r="B16" s="49"/>
      <c r="C16" s="161"/>
      <c r="D16" s="49">
        <f t="shared" si="11"/>
        <v>0</v>
      </c>
      <c r="E16" s="137"/>
      <c r="F16" s="49">
        <f>IF((E16-E15)&lt;0,"0",(E16-E15))</f>
        <v>0</v>
      </c>
      <c r="G16" s="141"/>
      <c r="H16" s="49">
        <f t="shared" si="13"/>
        <v>0</v>
      </c>
      <c r="I16" s="138">
        <f t="shared" si="14"/>
        <v>0</v>
      </c>
      <c r="J16" s="137"/>
      <c r="K16" s="49">
        <f t="shared" si="15"/>
        <v>0</v>
      </c>
      <c r="L16" s="139"/>
      <c r="M16" s="49">
        <f t="shared" si="16"/>
        <v>0</v>
      </c>
      <c r="N16" s="137"/>
      <c r="O16" s="49">
        <f t="shared" si="23"/>
        <v>0</v>
      </c>
      <c r="P16" s="139"/>
      <c r="Q16" s="49">
        <f t="shared" si="17"/>
        <v>0</v>
      </c>
      <c r="R16" s="137"/>
      <c r="S16" s="49">
        <f t="shared" si="18"/>
        <v>0</v>
      </c>
      <c r="T16" s="137">
        <v>0</v>
      </c>
      <c r="U16" s="140"/>
      <c r="V16" s="137"/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0</v>
      </c>
    </row>
    <row r="17" spans="1:27" s="151" customFormat="1" ht="16.5" thickBot="1" x14ac:dyDescent="0.25">
      <c r="A17" s="10">
        <v>44362</v>
      </c>
      <c r="B17" s="146"/>
      <c r="C17" s="161"/>
      <c r="D17" s="49">
        <f t="shared" si="11"/>
        <v>0</v>
      </c>
      <c r="E17" s="137"/>
      <c r="F17" s="146">
        <f t="shared" si="12"/>
        <v>0</v>
      </c>
      <c r="G17" s="141"/>
      <c r="H17" s="49">
        <f t="shared" si="13"/>
        <v>0</v>
      </c>
      <c r="I17" s="148">
        <f t="shared" si="14"/>
        <v>0</v>
      </c>
      <c r="J17" s="137"/>
      <c r="K17" s="146">
        <f t="shared" si="15"/>
        <v>0</v>
      </c>
      <c r="L17" s="139"/>
      <c r="M17" s="146">
        <f t="shared" si="16"/>
        <v>0</v>
      </c>
      <c r="N17" s="137"/>
      <c r="O17" s="146">
        <f t="shared" si="23"/>
        <v>0</v>
      </c>
      <c r="P17" s="139"/>
      <c r="Q17" s="146">
        <f t="shared" si="17"/>
        <v>0</v>
      </c>
      <c r="R17" s="137"/>
      <c r="S17" s="146">
        <f t="shared" si="18"/>
        <v>0</v>
      </c>
      <c r="T17" s="147">
        <v>0</v>
      </c>
      <c r="U17" s="140"/>
      <c r="V17" s="137"/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44363</v>
      </c>
      <c r="B18" s="146"/>
      <c r="C18" s="161"/>
      <c r="D18" s="49">
        <f t="shared" si="11"/>
        <v>0</v>
      </c>
      <c r="E18" s="137"/>
      <c r="F18" s="146">
        <f t="shared" si="12"/>
        <v>0</v>
      </c>
      <c r="G18" s="141"/>
      <c r="H18" s="49">
        <f t="shared" si="13"/>
        <v>0</v>
      </c>
      <c r="I18" s="148">
        <f t="shared" si="14"/>
        <v>0</v>
      </c>
      <c r="J18" s="137"/>
      <c r="K18" s="146">
        <f t="shared" si="15"/>
        <v>0</v>
      </c>
      <c r="L18" s="139"/>
      <c r="M18" s="146">
        <f t="shared" si="16"/>
        <v>0</v>
      </c>
      <c r="N18" s="137"/>
      <c r="O18" s="146">
        <f t="shared" si="23"/>
        <v>0</v>
      </c>
      <c r="P18" s="139"/>
      <c r="Q18" s="146">
        <f t="shared" si="17"/>
        <v>0</v>
      </c>
      <c r="R18" s="137"/>
      <c r="S18" s="146">
        <f t="shared" si="18"/>
        <v>0</v>
      </c>
      <c r="T18" s="147">
        <v>0</v>
      </c>
      <c r="U18" s="140"/>
      <c r="V18" s="137"/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>
        <f t="shared" si="12"/>
        <v>0</v>
      </c>
      <c r="G19" s="141"/>
      <c r="H19" s="49">
        <f t="shared" si="13"/>
        <v>0</v>
      </c>
      <c r="I19" s="148">
        <f t="shared" si="14"/>
        <v>0</v>
      </c>
      <c r="J19" s="137"/>
      <c r="K19" s="146">
        <f t="shared" si="15"/>
        <v>0</v>
      </c>
      <c r="L19" s="139"/>
      <c r="M19" s="146">
        <f t="shared" si="16"/>
        <v>0</v>
      </c>
      <c r="N19" s="137"/>
      <c r="O19" s="146">
        <f t="shared" si="23"/>
        <v>0</v>
      </c>
      <c r="P19" s="139"/>
      <c r="Q19" s="146">
        <f t="shared" si="17"/>
        <v>0</v>
      </c>
      <c r="R19" s="137"/>
      <c r="S19" s="146">
        <f t="shared" si="18"/>
        <v>0</v>
      </c>
      <c r="T19" s="147">
        <v>0</v>
      </c>
      <c r="U19" s="140"/>
      <c r="V19" s="137"/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1344</v>
      </c>
      <c r="C34" s="159"/>
      <c r="D34" s="159">
        <f>SUM(D2:D33)</f>
        <v>3840</v>
      </c>
      <c r="E34" s="159">
        <v>0</v>
      </c>
      <c r="F34" s="159">
        <f>SUM(F2:F33)</f>
        <v>106145</v>
      </c>
      <c r="G34" s="159">
        <v>0</v>
      </c>
      <c r="H34" s="159">
        <f>SUM(H2:H33)</f>
        <v>360026</v>
      </c>
      <c r="I34" s="159">
        <f>SUM(I5:I33)</f>
        <v>326040</v>
      </c>
      <c r="J34" s="159">
        <v>0</v>
      </c>
      <c r="K34" s="159">
        <f>SUM(K2:K33)</f>
        <v>42345</v>
      </c>
      <c r="L34" s="159">
        <v>0</v>
      </c>
      <c r="M34" s="159">
        <f>SUM(M2:M33)</f>
        <v>39579</v>
      </c>
      <c r="N34" s="159">
        <v>0</v>
      </c>
      <c r="O34" s="159">
        <f>SUM(O2:O33)</f>
        <v>69142</v>
      </c>
      <c r="P34" s="159">
        <v>0</v>
      </c>
      <c r="Q34" s="159">
        <f>SUM(Q2:Q33)</f>
        <v>78195</v>
      </c>
      <c r="R34" s="159">
        <v>0</v>
      </c>
      <c r="S34" s="159">
        <f>SUM(S2:S33)</f>
        <v>70632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80072</v>
      </c>
      <c r="X34" s="159">
        <f>SUM(X5:X33)</f>
        <v>263373</v>
      </c>
      <c r="Y34" s="159">
        <f>SUM(Y2:Y33)</f>
        <v>90107</v>
      </c>
      <c r="Z34" s="159">
        <f>SUM(Z2:Z33)</f>
        <v>57907.834316800006</v>
      </c>
      <c r="AA34" s="159">
        <f>SUM(AA2:AA33)</f>
        <v>221924.87447519999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C10" sqref="C1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/>
      <c r="C11" s="55" t="str">
        <f t="shared" si="0"/>
        <v>0</v>
      </c>
    </row>
    <row r="12" spans="1:9" ht="24" thickBot="1" x14ac:dyDescent="0.4">
      <c r="A12" s="10">
        <v>44357</v>
      </c>
      <c r="B12" s="154"/>
      <c r="C12" s="55">
        <f t="shared" si="0"/>
        <v>0</v>
      </c>
    </row>
    <row r="13" spans="1:9" ht="24" thickBot="1" x14ac:dyDescent="0.4">
      <c r="A13" s="10">
        <v>44358</v>
      </c>
      <c r="B13" s="154"/>
      <c r="C13" s="55">
        <f t="shared" si="0"/>
        <v>0</v>
      </c>
    </row>
    <row r="14" spans="1:9" ht="24" thickBot="1" x14ac:dyDescent="0.4">
      <c r="A14" s="10">
        <v>44359</v>
      </c>
      <c r="B14" s="154"/>
      <c r="C14" s="55">
        <f t="shared" si="0"/>
        <v>0</v>
      </c>
    </row>
    <row r="15" spans="1:9" ht="24" thickBot="1" x14ac:dyDescent="0.4">
      <c r="A15" s="10">
        <v>44360</v>
      </c>
      <c r="B15" s="154"/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44361</v>
      </c>
      <c r="B16" s="154"/>
      <c r="C16" s="55">
        <f t="shared" si="0"/>
        <v>0</v>
      </c>
    </row>
    <row r="17" spans="1:9" ht="25.5" customHeight="1" thickBot="1" x14ac:dyDescent="0.4">
      <c r="A17" s="10">
        <v>44362</v>
      </c>
      <c r="B17" s="154"/>
      <c r="C17" s="55">
        <f t="shared" si="0"/>
        <v>0</v>
      </c>
      <c r="F17" s="152"/>
    </row>
    <row r="18" spans="1:9" ht="24" thickBot="1" x14ac:dyDescent="0.4">
      <c r="A18" s="10">
        <v>44363</v>
      </c>
      <c r="B18" s="154"/>
      <c r="C18" s="55">
        <f t="shared" si="0"/>
        <v>0</v>
      </c>
    </row>
    <row r="19" spans="1:9" ht="24" thickBot="1" x14ac:dyDescent="0.4">
      <c r="A19" s="10">
        <v>44364</v>
      </c>
      <c r="B19" s="154"/>
      <c r="C19" s="55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16200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zoomScale="87" zoomScaleNormal="87" workbookViewId="0">
      <pane xSplit="1" topLeftCell="G1" activePane="topRight" state="frozen"/>
      <selection pane="topRight" activeCell="U10" sqref="U10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/>
      <c r="C10" s="54" t="str">
        <f t="shared" si="11"/>
        <v>0</v>
      </c>
      <c r="D10" s="38">
        <f t="shared" si="12"/>
        <v>0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11.919000000001233</v>
      </c>
      <c r="U10" s="40">
        <f t="shared" si="23"/>
        <v>22646.100000002341</v>
      </c>
    </row>
    <row r="11" spans="1:25" ht="16.5" thickBot="1" x14ac:dyDescent="0.25">
      <c r="A11" s="10">
        <v>44356</v>
      </c>
      <c r="B11" s="1"/>
      <c r="C11" s="54">
        <f t="shared" si="11"/>
        <v>0</v>
      </c>
      <c r="D11" s="38">
        <f t="shared" si="12"/>
        <v>0</v>
      </c>
      <c r="E11" s="1"/>
      <c r="F11" s="54" t="str">
        <f t="shared" si="13"/>
        <v>0</v>
      </c>
      <c r="G11" s="38">
        <f t="shared" si="14"/>
        <v>0</v>
      </c>
      <c r="H11" s="1"/>
      <c r="I11" s="54" t="str">
        <f t="shared" si="15"/>
        <v>0</v>
      </c>
      <c r="J11" s="38">
        <f t="shared" si="16"/>
        <v>0</v>
      </c>
      <c r="K11" s="7"/>
      <c r="L11" s="54" t="str">
        <f t="shared" si="17"/>
        <v>0</v>
      </c>
      <c r="M11" s="38">
        <f t="shared" si="18"/>
        <v>0</v>
      </c>
      <c r="N11" s="7"/>
      <c r="O11" s="54" t="str">
        <f t="shared" si="19"/>
        <v>0</v>
      </c>
      <c r="P11" s="38">
        <f t="shared" si="20"/>
        <v>0</v>
      </c>
      <c r="Q11" s="7"/>
      <c r="R11" s="54" t="str">
        <f t="shared" si="21"/>
        <v>0</v>
      </c>
      <c r="S11" s="38">
        <f t="shared" si="22"/>
        <v>0</v>
      </c>
      <c r="T11" s="8">
        <f t="shared" si="24"/>
        <v>0</v>
      </c>
      <c r="U11" s="40">
        <f t="shared" si="23"/>
        <v>0</v>
      </c>
    </row>
    <row r="12" spans="1:25" ht="16.5" thickBot="1" x14ac:dyDescent="0.25">
      <c r="A12" s="10">
        <v>44357</v>
      </c>
      <c r="B12" s="1"/>
      <c r="C12" s="54">
        <f t="shared" si="11"/>
        <v>0</v>
      </c>
      <c r="D12" s="38">
        <f t="shared" si="12"/>
        <v>0</v>
      </c>
      <c r="E12" s="1"/>
      <c r="F12" s="54">
        <f t="shared" si="13"/>
        <v>0</v>
      </c>
      <c r="G12" s="38">
        <f t="shared" si="14"/>
        <v>0</v>
      </c>
      <c r="H12" s="1"/>
      <c r="I12" s="54">
        <f t="shared" si="15"/>
        <v>0</v>
      </c>
      <c r="J12" s="38">
        <f t="shared" si="16"/>
        <v>0</v>
      </c>
      <c r="K12" s="7"/>
      <c r="L12" s="54">
        <f t="shared" si="17"/>
        <v>0</v>
      </c>
      <c r="M12" s="38">
        <f t="shared" si="18"/>
        <v>0</v>
      </c>
      <c r="N12" s="7"/>
      <c r="O12" s="54">
        <f t="shared" si="19"/>
        <v>0</v>
      </c>
      <c r="P12" s="38">
        <f t="shared" si="20"/>
        <v>0</v>
      </c>
      <c r="Q12" s="7"/>
      <c r="R12" s="54">
        <f t="shared" si="21"/>
        <v>0</v>
      </c>
      <c r="S12" s="38">
        <f t="shared" si="22"/>
        <v>0</v>
      </c>
      <c r="T12" s="8">
        <f t="shared" si="24"/>
        <v>0</v>
      </c>
      <c r="U12" s="40">
        <f t="shared" si="23"/>
        <v>0</v>
      </c>
    </row>
    <row r="13" spans="1:25" ht="16.5" thickBot="1" x14ac:dyDescent="0.25">
      <c r="A13" s="10">
        <v>44358</v>
      </c>
      <c r="B13" s="1"/>
      <c r="C13" s="54">
        <f t="shared" si="11"/>
        <v>0</v>
      </c>
      <c r="D13" s="38">
        <f t="shared" si="12"/>
        <v>0</v>
      </c>
      <c r="E13" s="1"/>
      <c r="F13" s="54">
        <f t="shared" si="13"/>
        <v>0</v>
      </c>
      <c r="G13" s="38">
        <f t="shared" si="14"/>
        <v>0</v>
      </c>
      <c r="H13" s="1"/>
      <c r="I13" s="54">
        <f t="shared" si="15"/>
        <v>0</v>
      </c>
      <c r="J13" s="38">
        <f t="shared" si="16"/>
        <v>0</v>
      </c>
      <c r="K13" s="7"/>
      <c r="L13" s="54">
        <f t="shared" si="17"/>
        <v>0</v>
      </c>
      <c r="M13" s="38">
        <f t="shared" si="18"/>
        <v>0</v>
      </c>
      <c r="N13" s="7"/>
      <c r="O13" s="54">
        <f t="shared" si="19"/>
        <v>0</v>
      </c>
      <c r="P13" s="38">
        <f t="shared" si="20"/>
        <v>0</v>
      </c>
      <c r="Q13" s="7"/>
      <c r="R13" s="54">
        <f t="shared" si="21"/>
        <v>0</v>
      </c>
      <c r="S13" s="38">
        <f t="shared" si="22"/>
        <v>0</v>
      </c>
      <c r="T13" s="8">
        <f t="shared" si="24"/>
        <v>0</v>
      </c>
      <c r="U13" s="40">
        <f t="shared" si="23"/>
        <v>0</v>
      </c>
    </row>
    <row r="14" spans="1:25" ht="16.5" thickBot="1" x14ac:dyDescent="0.25">
      <c r="A14" s="10">
        <v>44359</v>
      </c>
      <c r="B14" s="1"/>
      <c r="C14" s="54">
        <f t="shared" si="11"/>
        <v>0</v>
      </c>
      <c r="D14" s="38">
        <f t="shared" si="12"/>
        <v>0</v>
      </c>
      <c r="E14" s="1"/>
      <c r="F14" s="54">
        <f t="shared" si="13"/>
        <v>0</v>
      </c>
      <c r="G14" s="38">
        <f t="shared" si="14"/>
        <v>0</v>
      </c>
      <c r="H14" s="1"/>
      <c r="I14" s="54">
        <f t="shared" si="15"/>
        <v>0</v>
      </c>
      <c r="J14" s="38">
        <f t="shared" si="16"/>
        <v>0</v>
      </c>
      <c r="K14" s="7"/>
      <c r="L14" s="54">
        <f t="shared" si="17"/>
        <v>0</v>
      </c>
      <c r="M14" s="38">
        <f t="shared" si="18"/>
        <v>0</v>
      </c>
      <c r="N14" s="7"/>
      <c r="O14" s="54">
        <f t="shared" si="19"/>
        <v>0</v>
      </c>
      <c r="P14" s="38">
        <f t="shared" si="20"/>
        <v>0</v>
      </c>
      <c r="Q14" s="7"/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44360</v>
      </c>
      <c r="B15" s="1"/>
      <c r="C15" s="54">
        <f t="shared" si="11"/>
        <v>0</v>
      </c>
      <c r="D15" s="38">
        <f t="shared" si="12"/>
        <v>0</v>
      </c>
      <c r="E15" s="1"/>
      <c r="F15" s="54">
        <f t="shared" si="13"/>
        <v>0</v>
      </c>
      <c r="G15" s="38">
        <f t="shared" si="14"/>
        <v>0</v>
      </c>
      <c r="H15" s="1"/>
      <c r="I15" s="54">
        <f t="shared" si="15"/>
        <v>0</v>
      </c>
      <c r="J15" s="38">
        <f t="shared" si="16"/>
        <v>0</v>
      </c>
      <c r="K15" s="7"/>
      <c r="L15" s="54">
        <f t="shared" si="17"/>
        <v>0</v>
      </c>
      <c r="M15" s="38">
        <f t="shared" si="18"/>
        <v>0</v>
      </c>
      <c r="N15" s="7"/>
      <c r="O15" s="54">
        <f t="shared" si="19"/>
        <v>0</v>
      </c>
      <c r="P15" s="38">
        <f t="shared" si="20"/>
        <v>0</v>
      </c>
      <c r="Q15" s="7"/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44361</v>
      </c>
      <c r="B16" s="1"/>
      <c r="C16" s="54">
        <f t="shared" si="11"/>
        <v>0</v>
      </c>
      <c r="D16" s="38">
        <f t="shared" si="12"/>
        <v>0</v>
      </c>
      <c r="E16" s="1"/>
      <c r="F16" s="54">
        <f t="shared" si="13"/>
        <v>0</v>
      </c>
      <c r="G16" s="38">
        <f t="shared" si="14"/>
        <v>0</v>
      </c>
      <c r="H16" s="1"/>
      <c r="I16" s="54">
        <f t="shared" si="15"/>
        <v>0</v>
      </c>
      <c r="J16" s="38">
        <f t="shared" si="16"/>
        <v>0</v>
      </c>
      <c r="K16" s="7"/>
      <c r="L16" s="54">
        <f t="shared" si="17"/>
        <v>0</v>
      </c>
      <c r="M16" s="38">
        <f t="shared" si="18"/>
        <v>0</v>
      </c>
      <c r="N16" s="7"/>
      <c r="O16" s="54">
        <f t="shared" si="19"/>
        <v>0</v>
      </c>
      <c r="P16" s="38">
        <f t="shared" si="20"/>
        <v>0</v>
      </c>
      <c r="Q16" s="7"/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44362</v>
      </c>
      <c r="B17" s="1"/>
      <c r="C17" s="54">
        <f t="shared" si="11"/>
        <v>0</v>
      </c>
      <c r="D17" s="38">
        <f t="shared" si="12"/>
        <v>0</v>
      </c>
      <c r="E17" s="1"/>
      <c r="F17" s="54">
        <f t="shared" si="13"/>
        <v>0</v>
      </c>
      <c r="G17" s="38">
        <f t="shared" si="14"/>
        <v>0</v>
      </c>
      <c r="H17" s="1"/>
      <c r="I17" s="54">
        <f t="shared" si="15"/>
        <v>0</v>
      </c>
      <c r="J17" s="38">
        <f t="shared" si="16"/>
        <v>0</v>
      </c>
      <c r="K17" s="7"/>
      <c r="L17" s="54">
        <f t="shared" si="17"/>
        <v>0</v>
      </c>
      <c r="M17" s="38">
        <f t="shared" si="18"/>
        <v>0</v>
      </c>
      <c r="N17" s="7"/>
      <c r="O17" s="54">
        <f t="shared" si="19"/>
        <v>0</v>
      </c>
      <c r="P17" s="38">
        <f t="shared" si="20"/>
        <v>0</v>
      </c>
      <c r="Q17" s="7"/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44363</v>
      </c>
      <c r="B18" s="1"/>
      <c r="C18" s="54">
        <f t="shared" si="11"/>
        <v>0</v>
      </c>
      <c r="D18" s="38">
        <f t="shared" si="12"/>
        <v>0</v>
      </c>
      <c r="E18" s="1"/>
      <c r="F18" s="54">
        <f t="shared" si="13"/>
        <v>0</v>
      </c>
      <c r="G18" s="38">
        <f t="shared" si="14"/>
        <v>0</v>
      </c>
      <c r="H18" s="1"/>
      <c r="I18" s="54">
        <f t="shared" si="15"/>
        <v>0</v>
      </c>
      <c r="J18" s="38">
        <f t="shared" si="16"/>
        <v>0</v>
      </c>
      <c r="K18" s="7"/>
      <c r="L18" s="54">
        <f t="shared" si="17"/>
        <v>0</v>
      </c>
      <c r="M18" s="38">
        <f t="shared" si="18"/>
        <v>0</v>
      </c>
      <c r="N18" s="7"/>
      <c r="O18" s="54">
        <f t="shared" si="19"/>
        <v>0</v>
      </c>
      <c r="P18" s="38">
        <f t="shared" si="20"/>
        <v>0</v>
      </c>
      <c r="Q18" s="7"/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44364</v>
      </c>
      <c r="B19" s="1"/>
      <c r="C19" s="54">
        <f t="shared" si="11"/>
        <v>0</v>
      </c>
      <c r="D19" s="38">
        <f t="shared" si="12"/>
        <v>0</v>
      </c>
      <c r="E19" s="1"/>
      <c r="F19" s="54">
        <f t="shared" si="13"/>
        <v>0</v>
      </c>
      <c r="G19" s="38">
        <f t="shared" si="14"/>
        <v>0</v>
      </c>
      <c r="H19" s="1"/>
      <c r="I19" s="54">
        <f t="shared" si="15"/>
        <v>0</v>
      </c>
      <c r="J19" s="38">
        <f t="shared" si="16"/>
        <v>0</v>
      </c>
      <c r="K19" s="7"/>
      <c r="L19" s="54">
        <f t="shared" si="17"/>
        <v>0</v>
      </c>
      <c r="M19" s="38">
        <f t="shared" si="18"/>
        <v>0</v>
      </c>
      <c r="N19" s="7"/>
      <c r="O19" s="54">
        <f t="shared" si="19"/>
        <v>0</v>
      </c>
      <c r="P19" s="38">
        <f t="shared" si="20"/>
        <v>0</v>
      </c>
      <c r="Q19" s="7"/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60.165000000000873</v>
      </c>
      <c r="D34" s="159">
        <f>SUM(D2:D33)</f>
        <v>133265.99999999889</v>
      </c>
      <c r="E34" s="159">
        <v>0</v>
      </c>
      <c r="F34" s="159">
        <f>SUM(F2:F33)</f>
        <v>21.414999999999964</v>
      </c>
      <c r="G34" s="159">
        <f>SUM(G2:G33)</f>
        <v>40688.499999999927</v>
      </c>
      <c r="H34" s="159"/>
      <c r="I34" s="159">
        <f>SUM(I2:I33)</f>
        <v>66</v>
      </c>
      <c r="J34" s="159">
        <f>SUM(J2:J33)</f>
        <v>125400</v>
      </c>
      <c r="K34" s="159"/>
      <c r="L34" s="159">
        <f>SUM(L2:L33)</f>
        <v>18.660000000001673</v>
      </c>
      <c r="M34" s="159">
        <f>SUM(M2:M33)</f>
        <v>35454.00000000318</v>
      </c>
      <c r="N34" s="159"/>
      <c r="O34" s="159">
        <f>SUM(O2:O33)</f>
        <v>11.885999999999967</v>
      </c>
      <c r="P34" s="159">
        <f>SUM(P2:P33)</f>
        <v>22583.39999999994</v>
      </c>
      <c r="Q34" s="159"/>
      <c r="R34" s="159">
        <f>SUM(R2:R33)</f>
        <v>20.1899999999996</v>
      </c>
      <c r="S34" s="159">
        <f>SUM(S2:S33)</f>
        <v>38360.999999999236</v>
      </c>
      <c r="T34" s="159">
        <f>SUM(T2:T33)</f>
        <v>208.29100000000062</v>
      </c>
      <c r="U34" s="159">
        <f>SUM(U2:U33)</f>
        <v>395752.90000000119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-13261688</v>
      </c>
      <c r="D7" s="115">
        <f t="shared" si="0"/>
        <v>-16842343.760000002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10001</v>
      </c>
      <c r="D8" s="115">
        <f t="shared" si="0"/>
        <v>12701.27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1306</v>
      </c>
      <c r="D9" s="115">
        <f t="shared" si="0"/>
        <v>1658.6200000000001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4800</v>
      </c>
      <c r="D10" s="115">
        <f t="shared" si="0"/>
        <v>6096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899</v>
      </c>
      <c r="D11" s="115">
        <f t="shared" si="0"/>
        <v>1141.73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3660</v>
      </c>
      <c r="K16" s="104">
        <f>(J16-I16)*160</f>
        <v>1280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25014</v>
      </c>
      <c r="K18" s="104">
        <f>(J18-I18)*160</f>
        <v>4800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107070</v>
      </c>
      <c r="K19" s="104">
        <f>J19-I19</f>
        <v>899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45370</v>
      </c>
      <c r="K21" s="104">
        <f>(J21-I21)*120</f>
        <v>5040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39575</v>
      </c>
      <c r="K22" s="104">
        <f>(J22-I22)*160</f>
        <v>3840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20439</v>
      </c>
      <c r="K23" s="104">
        <f>(J23-I23)*20</f>
        <v>560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243146</v>
      </c>
      <c r="K24" s="104">
        <f>J24-I24</f>
        <v>561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215570</v>
      </c>
      <c r="K25" s="104">
        <f>J25-I25</f>
        <v>26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2021-06-09T04:29:28Z</dcterms:modified>
</cp:coreProperties>
</file>