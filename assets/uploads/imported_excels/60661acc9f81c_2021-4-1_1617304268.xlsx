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28a67037406f182d/المستندات/"/>
    </mc:Choice>
  </mc:AlternateContent>
  <xr:revisionPtr revIDLastSave="1" documentId="8_{876F83B8-7751-4376-99D8-E57B00D3653F}" xr6:coauthVersionLast="46" xr6:coauthVersionMax="46" xr10:uidLastSave="{88AB40C5-20CA-4EA9-A91E-15ED4B9297D1}"/>
  <bookViews>
    <workbookView xWindow="-120" yWindow="-120" windowWidth="20730" windowHeight="11160" tabRatio="434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5" i="3" l="1"/>
  <c r="Y35" i="3"/>
  <c r="AC35" i="3"/>
  <c r="AI35" i="3"/>
  <c r="AK35" i="3"/>
  <c r="EB35" i="3"/>
  <c r="DX35" i="3"/>
  <c r="DM35" i="3"/>
  <c r="DJ35" i="3"/>
  <c r="DG35" i="3"/>
  <c r="DD35" i="3"/>
  <c r="DA35" i="3"/>
  <c r="CX35" i="3"/>
  <c r="CU35" i="3"/>
  <c r="CR35" i="3"/>
  <c r="CO35" i="3"/>
  <c r="BZ35" i="3"/>
  <c r="BV35" i="3"/>
  <c r="BT35" i="3"/>
  <c r="BS35" i="3"/>
  <c r="BU35" i="3"/>
  <c r="BG35" i="3"/>
  <c r="BO35" i="3"/>
  <c r="BE35" i="3"/>
  <c r="BQ35" i="3"/>
  <c r="BI35" i="3"/>
  <c r="C35" i="3"/>
  <c r="R35" i="3"/>
  <c r="EE35" i="3"/>
  <c r="EF35" i="3"/>
  <c r="DZ35" i="3"/>
  <c r="ED35" i="3"/>
  <c r="CQ35" i="3"/>
  <c r="CT35" i="3"/>
  <c r="CW35" i="3"/>
  <c r="DP35" i="3"/>
  <c r="DS35" i="3"/>
  <c r="DV35" i="3"/>
  <c r="CB35" i="3"/>
  <c r="CC35" i="3"/>
  <c r="BM35" i="3"/>
  <c r="AM35" i="3"/>
  <c r="AO35" i="3"/>
  <c r="AQ35" i="3"/>
  <c r="AS35" i="3"/>
  <c r="AU35" i="3"/>
  <c r="AW35" i="3"/>
  <c r="AY35" i="3"/>
  <c r="BA35" i="3"/>
  <c r="T35" i="3"/>
  <c r="E35" i="3"/>
  <c r="BC35" i="3" l="1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R32" i="1" l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<sst xmlns="http://schemas.openxmlformats.org/spreadsheetml/2006/main" count="263" uniqueCount="127">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</sst>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C000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Fill="1" applyBorder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Fill="1" applyBorder="1" applyAlignment="1" applyProtection="1">
      <alignment horizontal="center"/>
      <protection locked="0"/>
    </xf>
    <xf numFmtId="0" fontId="6" fillId="0" borderId="8" xfId="2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 wrapText="1"/>
      <protection locked="0"/>
    </xf>
    <xf numFmtId="0" fontId="5" fillId="4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6" fillId="0" borderId="2" xfId="2" applyFont="1" applyFill="1" applyBorder="1" applyProtection="1">
      <protection locked="0"/>
    </xf>
    <xf numFmtId="0" fontId="5" fillId="0" borderId="0" xfId="2" applyFont="1" applyFill="1" applyBorder="1" applyProtection="1">
      <protection locked="0"/>
    </xf>
    <xf numFmtId="0" fontId="6" fillId="0" borderId="3" xfId="0" applyFont="1" applyFill="1" applyBorder="1" applyAlignment="1" applyProtection="1">
      <protection locked="0"/>
    </xf>
    <xf numFmtId="0" fontId="6" fillId="0" borderId="8" xfId="0" applyFont="1" applyFill="1" applyBorder="1" applyAlignment="1" applyProtection="1">
      <protection locked="0"/>
    </xf>
    <xf numFmtId="0" fontId="5" fillId="0" borderId="0" xfId="0" applyFont="1" applyFill="1" applyBorder="1" applyAlignment="1" applyProtection="1">
      <protection locked="0"/>
    </xf>
    <xf numFmtId="0" fontId="6" fillId="0" borderId="4" xfId="2" applyFont="1" applyFill="1" applyBorder="1" applyAlignment="1" applyProtection="1">
      <alignment horizontal="center"/>
      <protection locked="0"/>
    </xf>
    <xf numFmtId="0" fontId="0" fillId="0" borderId="10" xfId="0" applyFont="1" applyBorder="1"/>
    <xf numFmtId="0" fontId="0" fillId="0" borderId="18" xfId="0" applyFont="1" applyBorder="1"/>
    <xf numFmtId="1" fontId="0" fillId="0" borderId="6" xfId="0" applyNumberFormat="1" applyFont="1" applyFill="1" applyBorder="1"/>
    <xf numFmtId="0" fontId="0" fillId="0" borderId="6" xfId="0" applyFont="1" applyBorder="1"/>
    <xf numFmtId="1" fontId="0" fillId="2" borderId="6" xfId="0" applyNumberFormat="1" applyFont="1" applyFill="1" applyBorder="1"/>
    <xf numFmtId="0" fontId="0" fillId="0" borderId="17" xfId="0" applyFont="1" applyBorder="1"/>
    <xf numFmtId="0" fontId="0" fillId="0" borderId="11" xfId="0" applyFont="1" applyBorder="1" applyAlignment="1">
      <alignment wrapText="1"/>
    </xf>
    <xf numFmtId="0" fontId="0" fillId="0" borderId="0" xfId="0" applyFont="1" applyBorder="1"/>
    <xf numFmtId="0" fontId="0" fillId="0" borderId="12" xfId="0" applyFont="1" applyBorder="1"/>
    <xf numFmtId="0" fontId="0" fillId="0" borderId="6" xfId="0" applyFont="1" applyBorder="1" applyProtection="1">
      <protection locked="0"/>
    </xf>
    <xf numFmtId="0" fontId="0" fillId="0" borderId="13" xfId="0" applyFont="1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ont="1" applyFill="1" applyBorder="1"/>
    <xf numFmtId="0" fontId="0" fillId="0" borderId="14" xfId="0" applyFont="1" applyBorder="1"/>
    <xf numFmtId="0" fontId="0" fillId="0" borderId="15" xfId="0" applyFont="1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ont="1" applyFill="1" applyBorder="1"/>
    <xf numFmtId="0" fontId="0" fillId="0" borderId="15" xfId="0" applyFont="1" applyBorder="1"/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6" borderId="3" xfId="0" applyFont="1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7" xfId="0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8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Fill="1" applyBorder="1" applyAlignment="1" applyProtection="1">
      <alignment horizontal="center"/>
      <protection locked="0"/>
    </xf>
    <xf numFmtId="0" fontId="6" fillId="0" borderId="8" xfId="0" applyFont="1" applyFill="1" applyBorder="1" applyAlignment="1" applyProtection="1">
      <alignment horizontal="center"/>
      <protection locked="0"/>
    </xf>
    <xf numFmtId="0" fontId="6" fillId="0" borderId="5" xfId="0" applyFont="1" applyFill="1" applyBorder="1" applyAlignment="1" applyProtection="1">
      <alignment horizontal="center"/>
      <protection locked="0"/>
    </xf>
    <xf numFmtId="0" fontId="6" fillId="0" borderId="15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11" xfId="1" xr:uid="{00000000-0005-0000-0000-000001000000}"/>
    <cellStyle name="Normal 2" xfId="2" xr:uid="{00000000-0005-0000-0000-000002000000}"/>
  </cellStyles>
  <dxfs count="9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C2" sqref="C2:D3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/>
      <c r="M1" s="16"/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3</v>
      </c>
      <c r="D2" s="7">
        <v>2021</v>
      </c>
      <c r="E2" s="8">
        <f>HOTEL!E4</f>
        <v>6266</v>
      </c>
      <c r="F2" s="17">
        <v>6.21</v>
      </c>
      <c r="G2" s="8">
        <f>HOTEL!CK4</f>
        <v>0</v>
      </c>
      <c r="H2" s="17">
        <v>57.45</v>
      </c>
      <c r="I2" s="8">
        <f>HOTEL!V4+HOTEL!Y4</f>
        <v>56</v>
      </c>
      <c r="J2" s="17">
        <f>P2</f>
        <v>99.999029744525643</v>
      </c>
      <c r="K2" s="7">
        <f>HOTEL!EE4</f>
        <v>2</v>
      </c>
      <c r="L2" s="19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99.999029744525643</v>
      </c>
      <c r="Q2" s="7">
        <v>6.21</v>
      </c>
      <c r="R2" s="17">
        <f>H2</f>
        <v>57.45</v>
      </c>
      <c r="S2" s="7">
        <v>33.880000000000003</v>
      </c>
      <c r="T2" s="8">
        <f>G2*H2</f>
        <v>0</v>
      </c>
      <c r="U2" s="8">
        <f>I2*P2</f>
        <v>5599.9456656934362</v>
      </c>
    </row>
    <row r="3" spans="1:21" x14ac:dyDescent="0.2">
      <c r="A3" s="2" t="s">
        <v>19</v>
      </c>
      <c r="B3" s="7">
        <f>B2+1</f>
        <v>2</v>
      </c>
      <c r="C3" s="7">
        <v>3</v>
      </c>
      <c r="D3" s="7">
        <v>2021</v>
      </c>
      <c r="E3" s="8">
        <f>HOTEL!E5</f>
        <v>6059</v>
      </c>
      <c r="F3" s="17">
        <v>6.21</v>
      </c>
      <c r="G3" s="8">
        <f>HOTEL!CK5</f>
        <v>108</v>
      </c>
      <c r="H3" s="17">
        <v>57.45</v>
      </c>
      <c r="I3" s="8">
        <f>HOTEL!V5+HOTEL!Y5</f>
        <v>60</v>
      </c>
      <c r="J3" s="17">
        <f t="shared" ref="J3:J31" si="1">P3</f>
        <v>99.998960441654788</v>
      </c>
      <c r="K3" s="7">
        <f>HOTEL!EE5</f>
        <v>2</v>
      </c>
      <c r="L3" s="19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99.998960441654788</v>
      </c>
      <c r="Q3" s="7">
        <v>6.21</v>
      </c>
      <c r="R3" s="17">
        <f t="shared" ref="R3:R31" si="2">H3</f>
        <v>57.45</v>
      </c>
      <c r="S3" s="7">
        <v>33.880000000000003</v>
      </c>
      <c r="T3" s="8">
        <f t="shared" ref="T3:T19" si="3">G3*H3</f>
        <v>6204.6</v>
      </c>
      <c r="U3" s="8">
        <f t="shared" ref="U3:U31" si="4">I3*P3</f>
        <v>5999.937626499287</v>
      </c>
    </row>
    <row r="4" spans="1:21" x14ac:dyDescent="0.2">
      <c r="A4" s="2" t="s">
        <v>19</v>
      </c>
      <c r="B4" s="7">
        <f t="shared" ref="B4:B30" si="5">B3+1</f>
        <v>3</v>
      </c>
      <c r="C4" s="7">
        <v>3</v>
      </c>
      <c r="D4" s="7">
        <v>2021</v>
      </c>
      <c r="E4" s="8">
        <f>HOTEL!E6</f>
        <v>6475</v>
      </c>
      <c r="F4" s="17">
        <v>6.21</v>
      </c>
      <c r="G4" s="8">
        <f>HOTEL!CK6</f>
        <v>0</v>
      </c>
      <c r="H4" s="17">
        <v>57.45</v>
      </c>
      <c r="I4" s="8">
        <f>HOTEL!V6+HOTEL!Y6</f>
        <v>71</v>
      </c>
      <c r="J4" s="17">
        <f t="shared" si="1"/>
        <v>99.998769859510389</v>
      </c>
      <c r="K4" s="7">
        <f>HOTEL!EE6</f>
        <v>2</v>
      </c>
      <c r="L4" s="19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99.998769859510389</v>
      </c>
      <c r="Q4" s="7">
        <v>6.21</v>
      </c>
      <c r="R4" s="17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7099.9126600252375</v>
      </c>
    </row>
    <row r="5" spans="1:21" x14ac:dyDescent="0.2">
      <c r="A5" s="2" t="s">
        <v>19</v>
      </c>
      <c r="B5" s="7">
        <f t="shared" si="5"/>
        <v>4</v>
      </c>
      <c r="C5" s="7">
        <v>3</v>
      </c>
      <c r="D5" s="7">
        <v>2021</v>
      </c>
      <c r="E5" s="8">
        <f>HOTEL!E7</f>
        <v>6476</v>
      </c>
      <c r="F5" s="17">
        <v>6.21</v>
      </c>
      <c r="G5" s="8">
        <f>HOTEL!CK7</f>
        <v>0</v>
      </c>
      <c r="H5" s="17">
        <v>57.45</v>
      </c>
      <c r="I5" s="8">
        <f>HOTEL!V7+HOTEL!Y7</f>
        <v>77</v>
      </c>
      <c r="J5" s="17">
        <f t="shared" si="1"/>
        <v>99.998665906077377</v>
      </c>
      <c r="K5" s="7">
        <f>HOTEL!EE7</f>
        <v>2</v>
      </c>
      <c r="L5" s="19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99.998665906077377</v>
      </c>
      <c r="Q5" s="7">
        <v>6.21</v>
      </c>
      <c r="R5" s="17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7699.8972747679582</v>
      </c>
    </row>
    <row r="6" spans="1:21" x14ac:dyDescent="0.2">
      <c r="A6" s="2" t="s">
        <v>19</v>
      </c>
      <c r="B6" s="7">
        <f t="shared" si="5"/>
        <v>5</v>
      </c>
      <c r="C6" s="7">
        <v>3</v>
      </c>
      <c r="D6" s="7">
        <v>2021</v>
      </c>
      <c r="E6" s="8">
        <f>HOTEL!E8</f>
        <v>5896</v>
      </c>
      <c r="F6" s="17">
        <v>6.21</v>
      </c>
      <c r="G6" s="8">
        <f>HOTEL!CK8</f>
        <v>0</v>
      </c>
      <c r="H6" s="17">
        <v>57.45</v>
      </c>
      <c r="I6" s="8">
        <f>HOTEL!V8+HOTEL!Y8</f>
        <v>33</v>
      </c>
      <c r="J6" s="17">
        <f t="shared" si="1"/>
        <v>99.999428238857547</v>
      </c>
      <c r="K6" s="7">
        <f>HOTEL!EE8</f>
        <v>2</v>
      </c>
      <c r="L6" s="19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99.999428238857547</v>
      </c>
      <c r="Q6" s="7">
        <v>6.21</v>
      </c>
      <c r="R6" s="17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3299.981131882299</v>
      </c>
    </row>
    <row r="7" spans="1:21" x14ac:dyDescent="0.2">
      <c r="A7" s="2" t="s">
        <v>19</v>
      </c>
      <c r="B7" s="7">
        <f t="shared" si="5"/>
        <v>6</v>
      </c>
      <c r="C7" s="7">
        <v>3</v>
      </c>
      <c r="D7" s="7">
        <v>2021</v>
      </c>
      <c r="E7" s="8">
        <f>HOTEL!E9</f>
        <v>5315</v>
      </c>
      <c r="F7" s="17">
        <v>6.21</v>
      </c>
      <c r="G7" s="8">
        <f>HOTEL!CK9</f>
        <v>108</v>
      </c>
      <c r="H7" s="17">
        <v>57.45</v>
      </c>
      <c r="I7" s="8">
        <f>HOTEL!V9+HOTEL!Y9</f>
        <v>40</v>
      </c>
      <c r="J7" s="17">
        <f t="shared" si="1"/>
        <v>99.999306957464512</v>
      </c>
      <c r="K7" s="7">
        <f>HOTEL!EE9</f>
        <v>2</v>
      </c>
      <c r="L7" s="19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99.999306957464512</v>
      </c>
      <c r="Q7" s="7">
        <v>6.21</v>
      </c>
      <c r="R7" s="17">
        <f t="shared" si="2"/>
        <v>57.45</v>
      </c>
      <c r="S7" s="7">
        <v>33.880000000000003</v>
      </c>
      <c r="T7" s="8">
        <f t="shared" si="3"/>
        <v>6204.6</v>
      </c>
      <c r="U7" s="8">
        <f t="shared" si="4"/>
        <v>3999.9722782985805</v>
      </c>
    </row>
    <row r="8" spans="1:21" x14ac:dyDescent="0.2">
      <c r="A8" s="2" t="s">
        <v>19</v>
      </c>
      <c r="B8" s="7">
        <f t="shared" si="5"/>
        <v>7</v>
      </c>
      <c r="C8" s="7">
        <v>3</v>
      </c>
      <c r="D8" s="7">
        <v>2021</v>
      </c>
      <c r="E8" s="8">
        <f>HOTEL!E10</f>
        <v>6678</v>
      </c>
      <c r="F8" s="17">
        <v>6.21</v>
      </c>
      <c r="G8" s="8">
        <f>HOTEL!CK10</f>
        <v>0</v>
      </c>
      <c r="H8" s="17">
        <v>57.45</v>
      </c>
      <c r="I8" s="8">
        <f>HOTEL!V10+HOTEL!Y10</f>
        <v>35</v>
      </c>
      <c r="J8" s="17">
        <f t="shared" si="1"/>
        <v>99.999393586985491</v>
      </c>
      <c r="K8" s="7">
        <f>HOTEL!EE10</f>
        <v>2</v>
      </c>
      <c r="L8" s="19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99.999393586985491</v>
      </c>
      <c r="Q8" s="7">
        <v>6.21</v>
      </c>
      <c r="R8" s="17">
        <f t="shared" si="2"/>
        <v>57.45</v>
      </c>
      <c r="S8" s="7">
        <v>33.880000000000003</v>
      </c>
      <c r="T8" s="8">
        <f t="shared" si="3"/>
        <v>0</v>
      </c>
      <c r="U8" s="8">
        <f t="shared" si="4"/>
        <v>3499.9787755444922</v>
      </c>
    </row>
    <row r="9" spans="1:21" x14ac:dyDescent="0.2">
      <c r="A9" s="2" t="s">
        <v>19</v>
      </c>
      <c r="B9" s="7">
        <f t="shared" si="5"/>
        <v>8</v>
      </c>
      <c r="C9" s="7">
        <v>3</v>
      </c>
      <c r="D9" s="7">
        <v>2021</v>
      </c>
      <c r="E9" s="8">
        <f>HOTEL!E11</f>
        <v>5960</v>
      </c>
      <c r="F9" s="17">
        <v>6.21</v>
      </c>
      <c r="G9" s="8">
        <f>HOTEL!CK11</f>
        <v>108</v>
      </c>
      <c r="H9" s="17">
        <v>57.45</v>
      </c>
      <c r="I9" s="8">
        <f>HOTEL!V11+HOTEL!Y11</f>
        <v>55</v>
      </c>
      <c r="J9" s="17">
        <f t="shared" si="1"/>
        <v>99.999047070266101</v>
      </c>
      <c r="K9" s="7">
        <f>HOTEL!EE11</f>
        <v>2</v>
      </c>
      <c r="L9" s="19"/>
      <c r="N9" s="7">
        <f>HOTEL!X19</f>
        <v>152370</v>
      </c>
      <c r="O9" s="7">
        <f>N9*2500</f>
        <v>380925000</v>
      </c>
      <c r="P9" s="8">
        <f>IFERROR(((((HOTEL!V11*34))+(N9*2500))/(I9+N9*25)),0)</f>
        <v>99.999047070266101</v>
      </c>
      <c r="Q9" s="7">
        <v>6.21</v>
      </c>
      <c r="R9" s="17">
        <f t="shared" si="2"/>
        <v>57.45</v>
      </c>
      <c r="S9" s="7">
        <v>33.880000000000003</v>
      </c>
      <c r="T9" s="8">
        <f>G9*H9</f>
        <v>6204.6</v>
      </c>
      <c r="U9" s="8">
        <f t="shared" si="4"/>
        <v>5499.9475888646357</v>
      </c>
    </row>
    <row r="10" spans="1:21" x14ac:dyDescent="0.2">
      <c r="A10" s="2" t="s">
        <v>19</v>
      </c>
      <c r="B10" s="7">
        <f t="shared" si="5"/>
        <v>9</v>
      </c>
      <c r="C10" s="7">
        <v>3</v>
      </c>
      <c r="D10" s="7">
        <v>2021</v>
      </c>
      <c r="E10" s="8">
        <f>HOTEL!E12</f>
        <v>5456</v>
      </c>
      <c r="F10" s="17">
        <v>6.21</v>
      </c>
      <c r="G10" s="8">
        <f>HOTEL!CK12</f>
        <v>108</v>
      </c>
      <c r="H10" s="17">
        <v>57.45</v>
      </c>
      <c r="I10" s="8">
        <f>HOTEL!V12+HOTEL!Y12</f>
        <v>5</v>
      </c>
      <c r="J10" s="17">
        <f t="shared" si="1"/>
        <v>99.999913368887093</v>
      </c>
      <c r="K10" s="7">
        <f>HOTEL!EE12</f>
        <v>2</v>
      </c>
      <c r="L10" s="19"/>
      <c r="N10" s="7">
        <f>HOTEL!X20</f>
        <v>152370</v>
      </c>
      <c r="O10" s="7">
        <f t="shared" si="0"/>
        <v>380925000</v>
      </c>
      <c r="P10" s="8">
        <f>IFERROR(((((HOTEL!V12*34))+(N10*2500))/(I10+N10*25)),0)</f>
        <v>99.999913368887093</v>
      </c>
      <c r="Q10" s="7">
        <v>6.21</v>
      </c>
      <c r="R10" s="17">
        <f t="shared" si="2"/>
        <v>57.45</v>
      </c>
      <c r="S10" s="7">
        <v>33.93</v>
      </c>
      <c r="T10" s="8">
        <f t="shared" si="3"/>
        <v>6204.6</v>
      </c>
      <c r="U10" s="8">
        <f t="shared" si="4"/>
        <v>499.99956684443544</v>
      </c>
    </row>
    <row r="11" spans="1:21" x14ac:dyDescent="0.2">
      <c r="A11" s="2" t="s">
        <v>19</v>
      </c>
      <c r="B11" s="7">
        <f t="shared" si="5"/>
        <v>10</v>
      </c>
      <c r="C11" s="7">
        <v>3</v>
      </c>
      <c r="D11" s="7">
        <v>2021</v>
      </c>
      <c r="E11" s="8">
        <f>HOTEL!E13</f>
        <v>6272</v>
      </c>
      <c r="F11" s="17">
        <v>6.21</v>
      </c>
      <c r="G11" s="8">
        <f>HOTEL!CK13</f>
        <v>0</v>
      </c>
      <c r="H11" s="17">
        <v>57.45</v>
      </c>
      <c r="I11" s="8">
        <f>HOTEL!V13+HOTEL!Y13</f>
        <v>32</v>
      </c>
      <c r="J11" s="17">
        <f t="shared" si="1"/>
        <v>99.999445564807232</v>
      </c>
      <c r="K11" s="7">
        <f>HOTEL!EE13</f>
        <v>2</v>
      </c>
      <c r="L11" s="19"/>
      <c r="N11" s="7">
        <f>HOTEL!X21</f>
        <v>152370</v>
      </c>
      <c r="O11" s="7">
        <f>N11*2500</f>
        <v>380925000</v>
      </c>
      <c r="P11" s="8">
        <f>IFERROR(((((HOTEL!V13*34))+(N11*2500))/(I11+N11*25)),0)</f>
        <v>99.999445564807232</v>
      </c>
      <c r="Q11" s="7">
        <v>6.21</v>
      </c>
      <c r="R11" s="17">
        <f t="shared" si="2"/>
        <v>57.45</v>
      </c>
      <c r="S11" s="7">
        <v>33.93</v>
      </c>
      <c r="T11" s="8">
        <f>G11*H11</f>
        <v>0</v>
      </c>
      <c r="U11" s="8">
        <f t="shared" si="4"/>
        <v>3199.9822580738314</v>
      </c>
    </row>
    <row r="12" spans="1:21" x14ac:dyDescent="0.2">
      <c r="A12" s="2" t="s">
        <v>19</v>
      </c>
      <c r="B12" s="7">
        <f t="shared" si="5"/>
        <v>11</v>
      </c>
      <c r="C12" s="7">
        <v>3</v>
      </c>
      <c r="D12" s="7">
        <v>2021</v>
      </c>
      <c r="E12" s="8">
        <f>HOTEL!E14</f>
        <v>5797</v>
      </c>
      <c r="F12" s="17">
        <v>6.21</v>
      </c>
      <c r="G12" s="8">
        <f>HOTEL!CK14</f>
        <v>108</v>
      </c>
      <c r="H12" s="17">
        <v>57.45</v>
      </c>
      <c r="I12" s="8">
        <f>HOTEL!V14+HOTEL!Y14</f>
        <v>28</v>
      </c>
      <c r="J12" s="17">
        <f t="shared" si="1"/>
        <v>99.999514868696906</v>
      </c>
      <c r="K12" s="7">
        <f>HOTEL!EE14</f>
        <v>2</v>
      </c>
      <c r="L12" s="19"/>
      <c r="N12" s="7">
        <f>HOTEL!X22</f>
        <v>152370</v>
      </c>
      <c r="O12" s="7">
        <f>N12*2500</f>
        <v>380925000</v>
      </c>
      <c r="P12" s="8">
        <f>IFERROR(((((HOTEL!V14*34))+(N12*2500))/(I12+N12*25)),0)</f>
        <v>99.999514868696906</v>
      </c>
      <c r="Q12" s="7">
        <v>6.21</v>
      </c>
      <c r="R12" s="17">
        <f t="shared" si="2"/>
        <v>57.45</v>
      </c>
      <c r="S12" s="7">
        <v>33.93</v>
      </c>
      <c r="T12" s="8">
        <f>G12*H12</f>
        <v>6204.6</v>
      </c>
      <c r="U12" s="8">
        <f t="shared" si="4"/>
        <v>2799.9864163235134</v>
      </c>
    </row>
    <row r="13" spans="1:21" x14ac:dyDescent="0.2">
      <c r="A13" s="2" t="s">
        <v>19</v>
      </c>
      <c r="B13" s="7">
        <f t="shared" si="5"/>
        <v>12</v>
      </c>
      <c r="C13" s="7">
        <v>3</v>
      </c>
      <c r="D13" s="7">
        <v>2021</v>
      </c>
      <c r="E13" s="8">
        <f>HOTEL!E15</f>
        <v>5602</v>
      </c>
      <c r="F13" s="17">
        <v>6.21</v>
      </c>
      <c r="G13" s="8">
        <f>HOTEL!CK15</f>
        <v>108</v>
      </c>
      <c r="H13" s="17">
        <v>57.45</v>
      </c>
      <c r="I13" s="8">
        <f>HOTEL!V15+HOTEL!Y15</f>
        <v>10</v>
      </c>
      <c r="J13" s="17">
        <f t="shared" si="1"/>
        <v>99.999826738001602</v>
      </c>
      <c r="K13" s="7">
        <f>HOTEL!EE15</f>
        <v>2</v>
      </c>
      <c r="L13" s="19"/>
      <c r="N13" s="7">
        <f>HOTEL!X23</f>
        <v>152370</v>
      </c>
      <c r="O13" s="7">
        <f t="shared" si="0"/>
        <v>380925000</v>
      </c>
      <c r="P13" s="8">
        <f>IFERROR(((((HOTEL!V15*34))+(N13*2500))/(I13+N13*25)),0)</f>
        <v>99.999826738001602</v>
      </c>
      <c r="Q13" s="7">
        <v>6.21</v>
      </c>
      <c r="R13" s="17">
        <f t="shared" si="2"/>
        <v>57.45</v>
      </c>
      <c r="S13" s="7">
        <v>33.93</v>
      </c>
      <c r="T13" s="8">
        <f t="shared" si="3"/>
        <v>6204.6</v>
      </c>
      <c r="U13" s="8">
        <f t="shared" si="4"/>
        <v>999.99826738001605</v>
      </c>
    </row>
    <row r="14" spans="1:21" x14ac:dyDescent="0.2">
      <c r="A14" s="2" t="s">
        <v>19</v>
      </c>
      <c r="B14" s="7">
        <f t="shared" si="5"/>
        <v>13</v>
      </c>
      <c r="C14" s="7">
        <v>3</v>
      </c>
      <c r="D14" s="7">
        <v>2021</v>
      </c>
      <c r="E14" s="8">
        <f>HOTEL!E16</f>
        <v>6460</v>
      </c>
      <c r="F14" s="17">
        <v>6.21</v>
      </c>
      <c r="G14" s="8">
        <f>HOTEL!CK16</f>
        <v>108</v>
      </c>
      <c r="H14" s="17">
        <v>57.45</v>
      </c>
      <c r="I14" s="8">
        <f>HOTEL!V16+HOTEL!Y16</f>
        <v>77</v>
      </c>
      <c r="J14" s="17">
        <f t="shared" si="1"/>
        <v>99.998665906077377</v>
      </c>
      <c r="K14" s="7">
        <f>HOTEL!EE16</f>
        <v>2</v>
      </c>
      <c r="L14" s="19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99.998665906077377</v>
      </c>
      <c r="Q14" s="7">
        <v>6.21</v>
      </c>
      <c r="R14" s="17">
        <f t="shared" si="2"/>
        <v>57.45</v>
      </c>
      <c r="S14" s="7">
        <v>33.93</v>
      </c>
      <c r="T14" s="8">
        <f t="shared" si="3"/>
        <v>6204.6</v>
      </c>
      <c r="U14" s="8">
        <f t="shared" si="4"/>
        <v>7699.8972747679582</v>
      </c>
    </row>
    <row r="15" spans="1:21" x14ac:dyDescent="0.2">
      <c r="A15" s="2" t="s">
        <v>19</v>
      </c>
      <c r="B15" s="7">
        <f t="shared" si="5"/>
        <v>14</v>
      </c>
      <c r="C15" s="7">
        <v>3</v>
      </c>
      <c r="D15" s="7">
        <v>2021</v>
      </c>
      <c r="E15" s="8">
        <f>HOTEL!E17</f>
        <v>6717</v>
      </c>
      <c r="F15" s="17">
        <v>6.21</v>
      </c>
      <c r="G15" s="8">
        <f>HOTEL!CK17</f>
        <v>108</v>
      </c>
      <c r="H15" s="17">
        <v>57.45</v>
      </c>
      <c r="I15" s="8">
        <f>HOTEL!V17+HOTEL!Y17</f>
        <v>46</v>
      </c>
      <c r="J15" s="17">
        <f t="shared" si="1"/>
        <v>99.999203002339542</v>
      </c>
      <c r="K15" s="7">
        <f>HOTEL!EE17</f>
        <v>2</v>
      </c>
      <c r="L15" s="19"/>
      <c r="N15" s="7">
        <f>HOTEL!X25</f>
        <v>152370</v>
      </c>
      <c r="O15" s="7">
        <f t="shared" si="0"/>
        <v>380925000</v>
      </c>
      <c r="P15" s="8">
        <f>IFERROR(((((HOTEL!V17*34))+(N15*2500))/(I15+N15*25)),0)</f>
        <v>99.999203002339542</v>
      </c>
      <c r="Q15" s="7">
        <v>6.21</v>
      </c>
      <c r="R15" s="17">
        <f t="shared" si="2"/>
        <v>57.45</v>
      </c>
      <c r="S15" s="7">
        <v>33.93</v>
      </c>
      <c r="T15" s="8">
        <f t="shared" si="3"/>
        <v>6204.6</v>
      </c>
      <c r="U15" s="8">
        <f t="shared" si="4"/>
        <v>4599.9633381076192</v>
      </c>
    </row>
    <row r="16" spans="1:21" x14ac:dyDescent="0.2">
      <c r="A16" s="2" t="s">
        <v>19</v>
      </c>
      <c r="B16" s="7">
        <f t="shared" si="5"/>
        <v>15</v>
      </c>
      <c r="C16" s="7">
        <v>3</v>
      </c>
      <c r="D16" s="7">
        <v>2021</v>
      </c>
      <c r="E16" s="8">
        <f>HOTEL!E18</f>
        <v>6181</v>
      </c>
      <c r="F16" s="17">
        <v>6.21</v>
      </c>
      <c r="G16" s="8">
        <f>HOTEL!CK18</f>
        <v>0</v>
      </c>
      <c r="H16" s="17">
        <v>57.45</v>
      </c>
      <c r="I16" s="8">
        <f>HOTEL!V18+HOTEL!Y18</f>
        <v>63</v>
      </c>
      <c r="J16" s="17">
        <f t="shared" si="1"/>
        <v>99.998908464597164</v>
      </c>
      <c r="K16" s="7">
        <f>HOTEL!EE18</f>
        <v>2</v>
      </c>
      <c r="L16" s="19"/>
      <c r="N16" s="7">
        <f>HOTEL!X26</f>
        <v>152370</v>
      </c>
      <c r="O16" s="7">
        <f t="shared" si="0"/>
        <v>380925000</v>
      </c>
      <c r="P16" s="8">
        <f>IFERROR(((((HOTEL!V18*34))+(N16*2500))/(I16+N16*25)),0)</f>
        <v>99.998908464597164</v>
      </c>
      <c r="Q16" s="7">
        <v>6.21</v>
      </c>
      <c r="R16" s="17">
        <f t="shared" si="2"/>
        <v>57.45</v>
      </c>
      <c r="S16" s="7">
        <v>33.93</v>
      </c>
      <c r="T16" s="8">
        <f t="shared" si="3"/>
        <v>0</v>
      </c>
      <c r="U16" s="8">
        <f t="shared" si="4"/>
        <v>6299.9312332696218</v>
      </c>
    </row>
    <row r="17" spans="1:21" x14ac:dyDescent="0.2">
      <c r="A17" s="2" t="s">
        <v>19</v>
      </c>
      <c r="B17" s="7">
        <f t="shared" si="5"/>
        <v>16</v>
      </c>
      <c r="C17" s="7">
        <v>3</v>
      </c>
      <c r="D17" s="7">
        <v>2021</v>
      </c>
      <c r="E17" s="8">
        <f>HOTEL!E19</f>
        <v>7186</v>
      </c>
      <c r="F17" s="17">
        <v>6.21</v>
      </c>
      <c r="G17" s="8">
        <f>HOTEL!CK19</f>
        <v>108</v>
      </c>
      <c r="H17" s="17">
        <v>57.45</v>
      </c>
      <c r="I17" s="8">
        <f>HOTEL!V19+HOTEL!Y19</f>
        <v>39</v>
      </c>
      <c r="J17" s="17">
        <f t="shared" si="1"/>
        <v>99.999324283350518</v>
      </c>
      <c r="K17" s="7">
        <f>HOTEL!EE19</f>
        <v>2</v>
      </c>
      <c r="L17" s="19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99.999324283350518</v>
      </c>
      <c r="Q17" s="7">
        <v>6.21</v>
      </c>
      <c r="R17" s="17">
        <f t="shared" si="2"/>
        <v>57.45</v>
      </c>
      <c r="S17" s="7">
        <v>33.93</v>
      </c>
      <c r="T17" s="8">
        <f t="shared" si="3"/>
        <v>6204.6</v>
      </c>
      <c r="U17" s="8">
        <f t="shared" si="4"/>
        <v>3899.97364705067</v>
      </c>
    </row>
    <row r="18" spans="1:21" x14ac:dyDescent="0.2">
      <c r="A18" s="2" t="s">
        <v>19</v>
      </c>
      <c r="B18" s="7">
        <f t="shared" si="5"/>
        <v>17</v>
      </c>
      <c r="C18" s="7">
        <v>3</v>
      </c>
      <c r="D18" s="7">
        <v>2021</v>
      </c>
      <c r="E18" s="8">
        <f>HOTEL!E20</f>
        <v>7582</v>
      </c>
      <c r="F18" s="17">
        <v>6.21</v>
      </c>
      <c r="G18" s="8">
        <f>HOTEL!CK20</f>
        <v>0</v>
      </c>
      <c r="H18" s="17">
        <v>57.45</v>
      </c>
      <c r="I18" s="8">
        <f>HOTEL!V20+HOTEL!Y20</f>
        <v>38</v>
      </c>
      <c r="J18" s="17">
        <f t="shared" si="1"/>
        <v>99.999341609245619</v>
      </c>
      <c r="K18" s="7">
        <f>HOTEL!EE20</f>
        <v>2</v>
      </c>
      <c r="L18" s="19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99.999341609245619</v>
      </c>
      <c r="Q18" s="7">
        <v>6.21</v>
      </c>
      <c r="R18" s="17">
        <f t="shared" si="2"/>
        <v>57.45</v>
      </c>
      <c r="S18" s="7">
        <v>33.93</v>
      </c>
      <c r="T18" s="8">
        <f t="shared" si="3"/>
        <v>0</v>
      </c>
      <c r="U18" s="8">
        <f t="shared" si="4"/>
        <v>3799.9749811513334</v>
      </c>
    </row>
    <row r="19" spans="1:21" x14ac:dyDescent="0.2">
      <c r="A19" s="2" t="s">
        <v>19</v>
      </c>
      <c r="B19" s="7">
        <f t="shared" si="5"/>
        <v>18</v>
      </c>
      <c r="C19" s="7">
        <v>3</v>
      </c>
      <c r="D19" s="7">
        <v>2021</v>
      </c>
      <c r="E19" s="8">
        <f>HOTEL!E21</f>
        <v>7644</v>
      </c>
      <c r="F19" s="17">
        <v>6.21</v>
      </c>
      <c r="G19" s="8">
        <f>HOTEL!CK21</f>
        <v>0</v>
      </c>
      <c r="H19" s="17">
        <v>57.45</v>
      </c>
      <c r="I19" s="8">
        <f>HOTEL!V21+HOTEL!Y21</f>
        <v>40</v>
      </c>
      <c r="J19" s="17">
        <f t="shared" si="1"/>
        <v>99.999306957464512</v>
      </c>
      <c r="K19" s="7">
        <f>HOTEL!EE21</f>
        <v>2</v>
      </c>
      <c r="L19" s="19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99.999306957464512</v>
      </c>
      <c r="Q19" s="7">
        <v>6.21</v>
      </c>
      <c r="R19" s="17">
        <f t="shared" si="2"/>
        <v>57.45</v>
      </c>
      <c r="S19" s="7">
        <v>33.93</v>
      </c>
      <c r="T19" s="8">
        <f t="shared" si="3"/>
        <v>0</v>
      </c>
      <c r="U19" s="8">
        <f t="shared" si="4"/>
        <v>3999.9722782985805</v>
      </c>
    </row>
    <row r="20" spans="1:21" x14ac:dyDescent="0.2">
      <c r="A20" s="2" t="s">
        <v>19</v>
      </c>
      <c r="B20" s="7">
        <f t="shared" si="5"/>
        <v>19</v>
      </c>
      <c r="C20" s="7">
        <v>3</v>
      </c>
      <c r="D20" s="7">
        <v>2021</v>
      </c>
      <c r="E20" s="8">
        <f>HOTEL!E22</f>
        <v>7367</v>
      </c>
      <c r="F20" s="17">
        <v>6.21</v>
      </c>
      <c r="G20" s="8">
        <f>HOTEL!CK22</f>
        <v>0</v>
      </c>
      <c r="H20" s="17">
        <v>57.45</v>
      </c>
      <c r="I20" s="8">
        <f>HOTEL!V22+HOTEL!Y22</f>
        <v>31</v>
      </c>
      <c r="J20" s="17">
        <f t="shared" si="1"/>
        <v>99.999462890765997</v>
      </c>
      <c r="K20" s="7">
        <f>HOTEL!EE22</f>
        <v>2</v>
      </c>
      <c r="L20" s="19"/>
      <c r="N20" s="7">
        <f>HOTEL!X30</f>
        <v>152370</v>
      </c>
      <c r="O20" s="7">
        <f>N20*2500</f>
        <v>380925000</v>
      </c>
      <c r="P20" s="8">
        <f>IFERROR(((((HOTEL!V22*34))+(N20*2500))/(I20+N20*25)),0)</f>
        <v>99.999462890765997</v>
      </c>
      <c r="Q20" s="7">
        <v>6.21</v>
      </c>
      <c r="R20" s="17">
        <f t="shared" si="2"/>
        <v>57.45</v>
      </c>
      <c r="S20" s="7">
        <v>33.93</v>
      </c>
      <c r="T20" s="8">
        <f>G20*H20</f>
        <v>0</v>
      </c>
      <c r="U20" s="8">
        <f t="shared" si="4"/>
        <v>3099.9833496137458</v>
      </c>
    </row>
    <row r="21" spans="1:21" x14ac:dyDescent="0.2">
      <c r="A21" s="2" t="s">
        <v>19</v>
      </c>
      <c r="B21" s="7">
        <f t="shared" si="5"/>
        <v>20</v>
      </c>
      <c r="C21" s="7">
        <v>3</v>
      </c>
      <c r="D21" s="7">
        <v>2021</v>
      </c>
      <c r="E21" s="8">
        <f>HOTEL!E23</f>
        <v>7657</v>
      </c>
      <c r="F21" s="17">
        <v>6.21</v>
      </c>
      <c r="G21" s="8">
        <f>HOTEL!CK23</f>
        <v>108</v>
      </c>
      <c r="H21" s="17">
        <v>57.45</v>
      </c>
      <c r="I21" s="8">
        <f>HOTEL!V23+HOTEL!Y23</f>
        <v>46</v>
      </c>
      <c r="J21" s="17">
        <f t="shared" si="1"/>
        <v>99.999203002339542</v>
      </c>
      <c r="K21" s="7">
        <f>HOTEL!EE23</f>
        <v>2</v>
      </c>
      <c r="L21" s="19"/>
      <c r="N21" s="7">
        <f>HOTEL!X31</f>
        <v>152370</v>
      </c>
      <c r="O21" s="7">
        <f>N21*2500</f>
        <v>380925000</v>
      </c>
      <c r="P21" s="8">
        <f>IFERROR(((((HOTEL!V23*34))+(N21*2500))/(I21+N21*25)),0)</f>
        <v>99.999203002339542</v>
      </c>
      <c r="Q21" s="7">
        <v>6.21</v>
      </c>
      <c r="R21" s="17">
        <f t="shared" si="2"/>
        <v>57.45</v>
      </c>
      <c r="S21" s="7">
        <v>33.93</v>
      </c>
      <c r="T21" s="8">
        <f>G21*H21</f>
        <v>6204.6</v>
      </c>
      <c r="U21" s="8">
        <f t="shared" si="4"/>
        <v>4599.9633381076192</v>
      </c>
    </row>
    <row r="22" spans="1:21" x14ac:dyDescent="0.2">
      <c r="A22" s="2" t="s">
        <v>19</v>
      </c>
      <c r="B22" s="7">
        <f t="shared" si="5"/>
        <v>21</v>
      </c>
      <c r="C22" s="7">
        <v>3</v>
      </c>
      <c r="D22" s="7">
        <v>2021</v>
      </c>
      <c r="E22" s="8">
        <f>HOTEL!E24</f>
        <v>7274</v>
      </c>
      <c r="F22" s="17">
        <v>6.21</v>
      </c>
      <c r="G22" s="8">
        <f>HOTEL!CK24</f>
        <v>0</v>
      </c>
      <c r="H22" s="17">
        <v>57.45</v>
      </c>
      <c r="I22" s="8">
        <f>HOTEL!V24+HOTEL!Y24</f>
        <v>54</v>
      </c>
      <c r="J22" s="17">
        <f t="shared" si="1"/>
        <v>99.999064396015655</v>
      </c>
      <c r="K22" s="7">
        <f>HOTEL!EE24</f>
        <v>2</v>
      </c>
      <c r="L22" s="19"/>
      <c r="N22" s="7">
        <f>HOTEL!X32</f>
        <v>152370</v>
      </c>
      <c r="O22" s="7">
        <f t="shared" ref="O22:O31" si="6">N22*2500</f>
        <v>380925000</v>
      </c>
      <c r="P22" s="8">
        <f>IFERROR(((((HOTEL!V24*34))+(N22*2500))/(I22+N22*25)),0)</f>
        <v>99.999064396015655</v>
      </c>
      <c r="Q22" s="7">
        <v>6.21</v>
      </c>
      <c r="R22" s="17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5399.9494773848455</v>
      </c>
    </row>
    <row r="23" spans="1:21" x14ac:dyDescent="0.2">
      <c r="A23" s="2" t="s">
        <v>19</v>
      </c>
      <c r="B23" s="7">
        <f t="shared" si="5"/>
        <v>22</v>
      </c>
      <c r="C23" s="7">
        <v>3</v>
      </c>
      <c r="D23" s="7">
        <v>2021</v>
      </c>
      <c r="E23" s="8">
        <f>HOTEL!E25</f>
        <v>7089</v>
      </c>
      <c r="F23" s="17">
        <v>6.21</v>
      </c>
      <c r="G23" s="8">
        <f>HOTEL!CK25</f>
        <v>108</v>
      </c>
      <c r="H23" s="17">
        <v>57.45</v>
      </c>
      <c r="I23" s="8">
        <f>HOTEL!V25+HOTEL!Y25</f>
        <v>32</v>
      </c>
      <c r="J23" s="17">
        <f t="shared" si="1"/>
        <v>99.999445564807232</v>
      </c>
      <c r="K23" s="7">
        <f>HOTEL!EE25</f>
        <v>2</v>
      </c>
      <c r="L23" s="19"/>
      <c r="N23" s="7">
        <f>HOTEL!X33</f>
        <v>152370</v>
      </c>
      <c r="O23" s="7">
        <f t="shared" si="6"/>
        <v>380925000</v>
      </c>
      <c r="P23" s="8">
        <f>IFERROR(((((HOTEL!V25*34))+(N23*2500))/(I23+N23*25)),0)</f>
        <v>99.999445564807232</v>
      </c>
      <c r="Q23" s="7">
        <v>6.21</v>
      </c>
      <c r="R23" s="17">
        <f t="shared" si="2"/>
        <v>57.45</v>
      </c>
      <c r="S23" s="7">
        <v>33.93</v>
      </c>
      <c r="T23" s="8">
        <f t="shared" si="7"/>
        <v>6204.6</v>
      </c>
      <c r="U23" s="8">
        <f t="shared" si="4"/>
        <v>3199.9822580738314</v>
      </c>
    </row>
    <row r="24" spans="1:21" x14ac:dyDescent="0.2">
      <c r="A24" s="2" t="s">
        <v>19</v>
      </c>
      <c r="B24" s="7">
        <f t="shared" si="5"/>
        <v>23</v>
      </c>
      <c r="C24" s="7">
        <v>3</v>
      </c>
      <c r="D24" s="7">
        <v>2021</v>
      </c>
      <c r="E24" s="8">
        <f>HOTEL!E26</f>
        <v>6887</v>
      </c>
      <c r="F24" s="17">
        <v>6.21</v>
      </c>
      <c r="G24" s="8">
        <f>HOTEL!CK26</f>
        <v>0</v>
      </c>
      <c r="H24" s="17">
        <v>57.45</v>
      </c>
      <c r="I24" s="8">
        <f>HOTEL!V26+HOTEL!Y26</f>
        <v>35</v>
      </c>
      <c r="J24" s="17">
        <f t="shared" si="1"/>
        <v>99.999393586985491</v>
      </c>
      <c r="K24" s="7">
        <f>HOTEL!EE26</f>
        <v>2</v>
      </c>
      <c r="L24" s="19"/>
      <c r="N24" s="7">
        <f>HOTEL!X34</f>
        <v>152370</v>
      </c>
      <c r="O24" s="7">
        <f t="shared" si="6"/>
        <v>380925000</v>
      </c>
      <c r="P24" s="8">
        <f>IFERROR(((((HOTEL!V26*34))+(N24*2500))/(I24+N24*25)),0)</f>
        <v>99.999393586985491</v>
      </c>
      <c r="Q24" s="7">
        <v>6.21</v>
      </c>
      <c r="R24" s="17">
        <f t="shared" si="2"/>
        <v>57.45</v>
      </c>
      <c r="S24" s="7">
        <v>33.93</v>
      </c>
      <c r="T24" s="8">
        <f t="shared" si="7"/>
        <v>0</v>
      </c>
      <c r="U24" s="8">
        <f t="shared" si="4"/>
        <v>3499.9787755444922</v>
      </c>
    </row>
    <row r="25" spans="1:21" x14ac:dyDescent="0.2">
      <c r="A25" s="2" t="s">
        <v>19</v>
      </c>
      <c r="B25" s="7">
        <f t="shared" si="5"/>
        <v>24</v>
      </c>
      <c r="C25" s="7">
        <v>3</v>
      </c>
      <c r="D25" s="7">
        <v>2021</v>
      </c>
      <c r="E25" s="8">
        <f>HOTEL!E27</f>
        <v>6986</v>
      </c>
      <c r="F25" s="17">
        <v>6.21</v>
      </c>
      <c r="G25" s="8">
        <f>HOTEL!CK27</f>
        <v>108</v>
      </c>
      <c r="H25" s="17">
        <v>57.45</v>
      </c>
      <c r="I25" s="8">
        <f>HOTEL!V27+HOTEL!Y27</f>
        <v>50</v>
      </c>
      <c r="J25" s="17">
        <f t="shared" si="1"/>
        <v>34</v>
      </c>
      <c r="K25" s="7">
        <f>HOTEL!EE27</f>
        <v>3</v>
      </c>
      <c r="L25" s="19"/>
      <c r="N25" s="7">
        <f>HOTEL!X35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17">
        <f t="shared" si="2"/>
        <v>57.45</v>
      </c>
      <c r="S25" s="7">
        <v>33.93</v>
      </c>
      <c r="T25" s="8">
        <f t="shared" si="7"/>
        <v>6204.6</v>
      </c>
      <c r="U25" s="8">
        <f t="shared" si="4"/>
        <v>1700</v>
      </c>
    </row>
    <row r="26" spans="1:21" x14ac:dyDescent="0.2">
      <c r="A26" s="2" t="s">
        <v>19</v>
      </c>
      <c r="B26" s="7">
        <f>B25+1</f>
        <v>25</v>
      </c>
      <c r="C26" s="7">
        <v>3</v>
      </c>
      <c r="D26" s="7">
        <v>2021</v>
      </c>
      <c r="E26" s="8">
        <f>HOTEL!E28</f>
        <v>7173</v>
      </c>
      <c r="F26" s="17">
        <v>6.21</v>
      </c>
      <c r="G26" s="8">
        <f>HOTEL!CK28</f>
        <v>0</v>
      </c>
      <c r="H26" s="17">
        <v>57.45</v>
      </c>
      <c r="I26" s="8">
        <f>HOTEL!V28+HOTEL!Y28</f>
        <v>36</v>
      </c>
      <c r="J26" s="17">
        <f t="shared" si="1"/>
        <v>34</v>
      </c>
      <c r="K26" s="7">
        <f>HOTEL!EE28</f>
        <v>3</v>
      </c>
      <c r="L26" s="19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7">
        <f t="shared" si="2"/>
        <v>57.45</v>
      </c>
      <c r="S26" s="7">
        <v>33.93</v>
      </c>
      <c r="T26" s="8">
        <f t="shared" si="7"/>
        <v>0</v>
      </c>
      <c r="U26" s="8">
        <f t="shared" si="4"/>
        <v>1224</v>
      </c>
    </row>
    <row r="27" spans="1:21" x14ac:dyDescent="0.2">
      <c r="A27" s="2" t="s">
        <v>19</v>
      </c>
      <c r="B27" s="7">
        <f t="shared" si="5"/>
        <v>26</v>
      </c>
      <c r="C27" s="7">
        <v>3</v>
      </c>
      <c r="D27" s="7">
        <v>2021</v>
      </c>
      <c r="E27" s="8">
        <f>HOTEL!E29</f>
        <v>6291</v>
      </c>
      <c r="F27" s="17">
        <v>6.21</v>
      </c>
      <c r="G27" s="8">
        <f>HOTEL!CK29</f>
        <v>0</v>
      </c>
      <c r="H27" s="17">
        <v>57.45</v>
      </c>
      <c r="I27" s="8">
        <f>HOTEL!V29+HOTEL!Y29</f>
        <v>31</v>
      </c>
      <c r="J27" s="17">
        <f t="shared" si="1"/>
        <v>34</v>
      </c>
      <c r="K27" s="7">
        <f>HOTEL!EE29</f>
        <v>3</v>
      </c>
      <c r="L27" s="19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7">
        <f t="shared" si="2"/>
        <v>57.45</v>
      </c>
      <c r="S27" s="7">
        <v>33.93</v>
      </c>
      <c r="T27" s="8">
        <f t="shared" si="7"/>
        <v>0</v>
      </c>
      <c r="U27" s="8">
        <f t="shared" si="4"/>
        <v>1054</v>
      </c>
    </row>
    <row r="28" spans="1:21" x14ac:dyDescent="0.2">
      <c r="A28" s="2" t="s">
        <v>19</v>
      </c>
      <c r="B28" s="7">
        <f t="shared" si="5"/>
        <v>27</v>
      </c>
      <c r="C28" s="7">
        <v>3</v>
      </c>
      <c r="D28" s="7">
        <v>2021</v>
      </c>
      <c r="E28" s="8">
        <f>HOTEL!E30</f>
        <v>6130</v>
      </c>
      <c r="F28" s="17">
        <v>6.21</v>
      </c>
      <c r="G28" s="8">
        <f>HOTEL!CK30</f>
        <v>0</v>
      </c>
      <c r="H28" s="17">
        <v>57.45</v>
      </c>
      <c r="I28" s="8">
        <f>HOTEL!V30+HOTEL!Y30</f>
        <v>34</v>
      </c>
      <c r="J28" s="17">
        <f t="shared" si="1"/>
        <v>34</v>
      </c>
      <c r="K28" s="7">
        <f>HOTEL!EE30</f>
        <v>3</v>
      </c>
      <c r="L28" s="19"/>
      <c r="N28" s="7">
        <f>HOTEL!X38</f>
        <v>0</v>
      </c>
      <c r="O28" s="7">
        <f t="shared" si="6"/>
        <v>0</v>
      </c>
      <c r="P28" s="8">
        <f>IFERROR(((((HOTEL!V30*34))+(N28*2500))/(I28+N28*25)),0)</f>
        <v>34</v>
      </c>
      <c r="Q28" s="7">
        <v>6.21</v>
      </c>
      <c r="R28" s="17">
        <f t="shared" si="2"/>
        <v>57.45</v>
      </c>
      <c r="S28" s="7">
        <v>33.93</v>
      </c>
      <c r="T28" s="8">
        <f t="shared" si="7"/>
        <v>0</v>
      </c>
      <c r="U28" s="8">
        <f t="shared" si="4"/>
        <v>1156</v>
      </c>
    </row>
    <row r="29" spans="1:21" x14ac:dyDescent="0.2">
      <c r="A29" s="2" t="s">
        <v>19</v>
      </c>
      <c r="B29" s="7">
        <f t="shared" si="5"/>
        <v>28</v>
      </c>
      <c r="C29" s="7">
        <v>3</v>
      </c>
      <c r="D29" s="7">
        <v>2021</v>
      </c>
      <c r="E29" s="8">
        <f>HOTEL!E31</f>
        <v>6136</v>
      </c>
      <c r="F29" s="17">
        <v>6.21</v>
      </c>
      <c r="G29" s="8">
        <f>HOTEL!CK31</f>
        <v>0</v>
      </c>
      <c r="H29" s="17">
        <v>57.45</v>
      </c>
      <c r="I29" s="8">
        <f>HOTEL!V31+HOTEL!Y31</f>
        <v>33</v>
      </c>
      <c r="J29" s="17">
        <f t="shared" si="1"/>
        <v>34</v>
      </c>
      <c r="K29" s="7">
        <f>HOTEL!EE31</f>
        <v>3</v>
      </c>
      <c r="L29" s="19"/>
      <c r="N29" s="7">
        <f>HOTEL!X39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17">
        <f t="shared" si="2"/>
        <v>57.45</v>
      </c>
      <c r="S29" s="7">
        <v>33.93</v>
      </c>
      <c r="T29" s="8">
        <f t="shared" si="7"/>
        <v>0</v>
      </c>
      <c r="U29" s="8">
        <f t="shared" si="4"/>
        <v>1122</v>
      </c>
    </row>
    <row r="30" spans="1:21" x14ac:dyDescent="0.2">
      <c r="A30" s="2" t="s">
        <v>19</v>
      </c>
      <c r="B30" s="7">
        <f t="shared" si="5"/>
        <v>29</v>
      </c>
      <c r="C30" s="7">
        <v>3</v>
      </c>
      <c r="D30" s="7">
        <v>2021</v>
      </c>
      <c r="E30" s="8">
        <f>HOTEL!E32</f>
        <v>6254</v>
      </c>
      <c r="F30" s="17">
        <v>6.21</v>
      </c>
      <c r="G30" s="8">
        <f>HOTEL!CK32</f>
        <v>0</v>
      </c>
      <c r="H30" s="17">
        <v>57.45</v>
      </c>
      <c r="I30" s="8">
        <f>HOTEL!V32+HOTEL!Y32</f>
        <v>32</v>
      </c>
      <c r="J30" s="17">
        <f t="shared" si="1"/>
        <v>34</v>
      </c>
      <c r="K30" s="7">
        <f>HOTEL!EE32</f>
        <v>3</v>
      </c>
      <c r="L30" s="19"/>
      <c r="N30" s="7">
        <f>HOTEL!X40</f>
        <v>0</v>
      </c>
      <c r="O30" s="7">
        <f t="shared" si="6"/>
        <v>0</v>
      </c>
      <c r="P30" s="8">
        <f>IFERROR(((((HOTEL!V32*34))+(N30*2500))/(I30+N30*25)),0)</f>
        <v>34</v>
      </c>
      <c r="Q30" s="7">
        <v>6.21</v>
      </c>
      <c r="R30" s="17">
        <f t="shared" si="2"/>
        <v>57.45</v>
      </c>
      <c r="T30" s="8">
        <f t="shared" si="7"/>
        <v>0</v>
      </c>
      <c r="U30" s="8">
        <f t="shared" si="4"/>
        <v>1088</v>
      </c>
    </row>
    <row r="31" spans="1:21" x14ac:dyDescent="0.2">
      <c r="A31" s="2" t="s">
        <v>19</v>
      </c>
      <c r="B31" s="7">
        <f>B30+1</f>
        <v>30</v>
      </c>
      <c r="C31" s="7">
        <v>3</v>
      </c>
      <c r="D31" s="7">
        <v>2021</v>
      </c>
      <c r="E31" s="8">
        <f>HOTEL!E33</f>
        <v>6237</v>
      </c>
      <c r="F31" s="17">
        <v>6.21</v>
      </c>
      <c r="G31" s="8">
        <f>HOTEL!CK33</f>
        <v>0</v>
      </c>
      <c r="H31" s="17">
        <v>57.45</v>
      </c>
      <c r="I31" s="8">
        <f>HOTEL!V33+HOTEL!Y33</f>
        <v>41</v>
      </c>
      <c r="J31" s="17">
        <f t="shared" si="1"/>
        <v>34</v>
      </c>
      <c r="K31" s="7">
        <f>HOTEL!EE33</f>
        <v>3</v>
      </c>
      <c r="L31" s="19"/>
      <c r="N31" s="7">
        <f>HOTEL!X41</f>
        <v>0</v>
      </c>
      <c r="O31" s="7">
        <f t="shared" si="6"/>
        <v>0</v>
      </c>
      <c r="P31" s="8">
        <f>IFERROR(((((HOTEL!V33*34))+(N31*2500))/(I31+N31*25)),0)</f>
        <v>34</v>
      </c>
      <c r="Q31" s="7">
        <v>6.21</v>
      </c>
      <c r="R31" s="17">
        <f t="shared" si="2"/>
        <v>57.45</v>
      </c>
      <c r="T31" s="8">
        <f t="shared" si="7"/>
        <v>0</v>
      </c>
      <c r="U31" s="8">
        <f t="shared" si="4"/>
        <v>1394</v>
      </c>
    </row>
    <row r="32" spans="1:21" x14ac:dyDescent="0.2">
      <c r="A32" s="2" t="s">
        <v>19</v>
      </c>
      <c r="B32" s="7">
        <f>B31+1</f>
        <v>31</v>
      </c>
      <c r="C32" s="7">
        <v>3</v>
      </c>
      <c r="D32" s="7">
        <v>2021</v>
      </c>
      <c r="E32" s="8">
        <f>HOTEL!E34</f>
        <v>6355</v>
      </c>
      <c r="F32" s="17">
        <v>6.21</v>
      </c>
      <c r="G32" s="8">
        <f>HOTEL!CK34</f>
        <v>0</v>
      </c>
      <c r="H32" s="17">
        <v>57.45</v>
      </c>
      <c r="I32" s="8">
        <f>HOTEL!V34+HOTEL!Y34</f>
        <v>34</v>
      </c>
      <c r="J32" s="17">
        <f t="shared" ref="J32" si="8">P32</f>
        <v>34</v>
      </c>
      <c r="K32" s="7">
        <f>HOTEL!EE34</f>
        <v>3</v>
      </c>
      <c r="L32" s="19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34</v>
      </c>
      <c r="Q32" s="7">
        <v>6.21</v>
      </c>
      <c r="R32" s="17">
        <f t="shared" ref="R32" si="10">H32</f>
        <v>57.45</v>
      </c>
      <c r="T32" s="8">
        <f t="shared" ref="T32" si="11">G32*H32</f>
        <v>0</v>
      </c>
      <c r="U32" s="8">
        <f t="shared" ref="U32" si="12">I32*P32</f>
        <v>1156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workbookViewId="0">
      <selection activeCell="C2" sqref="C2:D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1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x14ac:dyDescent="0.2">
      <c r="A2" s="2" t="s">
        <v>19</v>
      </c>
      <c r="B2" s="7">
        <v>1</v>
      </c>
      <c r="C2" s="7">
        <v>3</v>
      </c>
      <c r="D2" s="7">
        <v>2021</v>
      </c>
      <c r="E2" s="7">
        <f>TOTAL!E2</f>
        <v>6266</v>
      </c>
      <c r="F2" s="7">
        <f>HOTEL!R4</f>
        <v>96</v>
      </c>
      <c r="G2" s="7">
        <f>HOTEL!T4</f>
        <v>4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50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1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1</v>
      </c>
      <c r="W2" s="7">
        <f>HOTEL!BM4</f>
        <v>20</v>
      </c>
      <c r="X2" s="7">
        <f>HOTEL!BT4</f>
        <v>0</v>
      </c>
      <c r="Y2" s="7">
        <f>HOTEL!CO4</f>
        <v>2.44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2.39</v>
      </c>
      <c r="AD2" s="8">
        <f>HOTEL!DD4</f>
        <v>0</v>
      </c>
      <c r="AE2" s="7">
        <f>HOTEL!DG4</f>
        <v>0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14.34</v>
      </c>
      <c r="AK2" s="7">
        <f>TOTAL!K2</f>
        <v>2</v>
      </c>
    </row>
    <row r="3" spans="1:38" x14ac:dyDescent="0.2">
      <c r="A3" s="2" t="s">
        <v>19</v>
      </c>
      <c r="B3" s="7">
        <f>B2+1</f>
        <v>2</v>
      </c>
      <c r="C3" s="7">
        <v>3</v>
      </c>
      <c r="D3" s="7">
        <v>2021</v>
      </c>
      <c r="E3" s="7">
        <f>TOTAL!E3</f>
        <v>6059</v>
      </c>
      <c r="F3" s="7">
        <f>HOTEL!R5</f>
        <v>63</v>
      </c>
      <c r="G3" s="7">
        <f>HOTEL!T5</f>
        <v>48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50</v>
      </c>
      <c r="M3" s="7">
        <f>HOTEL!AE5</f>
        <v>0</v>
      </c>
      <c r="N3" s="7">
        <f>HOTEL!AI5</f>
        <v>20</v>
      </c>
      <c r="O3" s="7">
        <f>HOTEL!AM5</f>
        <v>4</v>
      </c>
      <c r="P3" s="7">
        <f>HOTEL!AO5</f>
        <v>0</v>
      </c>
      <c r="Q3" s="7">
        <f>HOTEL!AQ5</f>
        <v>0</v>
      </c>
      <c r="R3" s="7">
        <f>HOTEL!AS5</f>
        <v>0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4.88</v>
      </c>
      <c r="Z3" s="7">
        <f>HOTEL!CR4</f>
        <v>0</v>
      </c>
      <c r="AA3" s="7">
        <f>HOTEL!CU5</f>
        <v>0</v>
      </c>
      <c r="AB3" s="8">
        <f>HOTEL!CX5</f>
        <v>12.2</v>
      </c>
      <c r="AC3" s="7">
        <f>HOTEL!DA5</f>
        <v>4.78</v>
      </c>
      <c r="AD3" s="8">
        <f>HOTEL!DD5</f>
        <v>0</v>
      </c>
      <c r="AE3" s="7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4.78</v>
      </c>
      <c r="AK3" s="7">
        <f>TOTAL!K3</f>
        <v>2</v>
      </c>
    </row>
    <row r="4" spans="1:38" x14ac:dyDescent="0.2">
      <c r="A4" s="2" t="s">
        <v>19</v>
      </c>
      <c r="B4" s="7">
        <f t="shared" ref="B4:B32" si="1">B3+1</f>
        <v>3</v>
      </c>
      <c r="C4" s="7">
        <v>3</v>
      </c>
      <c r="D4" s="7">
        <v>2021</v>
      </c>
      <c r="E4" s="7">
        <f>TOTAL!E4</f>
        <v>6475</v>
      </c>
      <c r="F4" s="7">
        <f>HOTEL!R6</f>
        <v>33</v>
      </c>
      <c r="G4" s="7">
        <f>HOTEL!T6</f>
        <v>1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70</v>
      </c>
      <c r="M4" s="7">
        <f>HOTEL!AE6</f>
        <v>0</v>
      </c>
      <c r="N4" s="7">
        <f>HOTEL!AI6</f>
        <v>30</v>
      </c>
      <c r="O4" s="7">
        <f>HOTEL!AM6</f>
        <v>1</v>
      </c>
      <c r="P4" s="7">
        <f>HOTEL!AO6</f>
        <v>0</v>
      </c>
      <c r="Q4" s="7">
        <f>HOTEL!AQ6</f>
        <v>0</v>
      </c>
      <c r="R4" s="7">
        <f>HOTEL!AS6</f>
        <v>1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10</v>
      </c>
      <c r="Y4" s="7">
        <f>HOTEL!CO6</f>
        <v>4.88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2.39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9.56</v>
      </c>
      <c r="AK4" s="7">
        <f>TOTAL!K4</f>
        <v>2</v>
      </c>
    </row>
    <row r="5" spans="1:38" x14ac:dyDescent="0.2">
      <c r="A5" s="2" t="s">
        <v>19</v>
      </c>
      <c r="B5" s="7">
        <f t="shared" si="1"/>
        <v>4</v>
      </c>
      <c r="C5" s="7">
        <v>3</v>
      </c>
      <c r="D5" s="7">
        <v>2021</v>
      </c>
      <c r="E5" s="7">
        <f>TOTAL!E5</f>
        <v>6476</v>
      </c>
      <c r="F5" s="7">
        <f>HOTEL!R7</f>
        <v>138</v>
      </c>
      <c r="G5" s="7">
        <f>HOTEL!T7</f>
        <v>4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80</v>
      </c>
      <c r="M5" s="7">
        <f>HOTEL!AE7</f>
        <v>10</v>
      </c>
      <c r="N5" s="7">
        <f>HOTEL!AI7</f>
        <v>40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1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30</v>
      </c>
      <c r="X5" s="7">
        <f>HOTEL!BT7</f>
        <v>10</v>
      </c>
      <c r="Y5" s="7">
        <f>HOTEL!CO7</f>
        <v>7.32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2.39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14.34</v>
      </c>
      <c r="AK5" s="7">
        <f>TOTAL!K5</f>
        <v>2</v>
      </c>
    </row>
    <row r="6" spans="1:38" x14ac:dyDescent="0.2">
      <c r="A6" s="2" t="s">
        <v>19</v>
      </c>
      <c r="B6" s="7">
        <f t="shared" si="1"/>
        <v>5</v>
      </c>
      <c r="C6" s="7">
        <v>3</v>
      </c>
      <c r="D6" s="7">
        <v>2021</v>
      </c>
      <c r="E6" s="7">
        <f>TOTAL!E6</f>
        <v>5896</v>
      </c>
      <c r="F6" s="7">
        <f>HOTEL!R8</f>
        <v>91</v>
      </c>
      <c r="G6" s="7">
        <f>HOTEL!T8</f>
        <v>3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20</v>
      </c>
      <c r="M6" s="7">
        <f>HOTEL!AE8</f>
        <v>0</v>
      </c>
      <c r="N6" s="7">
        <f>HOTEL!AI8</f>
        <v>0</v>
      </c>
      <c r="O6" s="7">
        <f>HOTEL!AM8</f>
        <v>1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20</v>
      </c>
      <c r="X6" s="7">
        <f>HOTEL!BT8</f>
        <v>0</v>
      </c>
      <c r="Y6" s="7">
        <f>HOTEL!CO8</f>
        <v>2.44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0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x14ac:dyDescent="0.2">
      <c r="A7" s="2" t="s">
        <v>19</v>
      </c>
      <c r="B7" s="7">
        <f t="shared" si="1"/>
        <v>6</v>
      </c>
      <c r="C7" s="7">
        <v>3</v>
      </c>
      <c r="D7" s="7">
        <v>2021</v>
      </c>
      <c r="E7" s="7">
        <f>TOTAL!E7</f>
        <v>5315</v>
      </c>
      <c r="F7" s="7">
        <f>HOTEL!R9</f>
        <v>26</v>
      </c>
      <c r="G7" s="7">
        <f>HOTEL!T9</f>
        <v>0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20</v>
      </c>
      <c r="M7" s="7">
        <f>HOTEL!AE9</f>
        <v>0</v>
      </c>
      <c r="N7" s="7">
        <f>HOTEL!AI9</f>
        <v>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1</v>
      </c>
      <c r="W7" s="7">
        <f>HOTEL!BM9</f>
        <v>10</v>
      </c>
      <c r="X7" s="7">
        <f>HOTEL!BT9</f>
        <v>10</v>
      </c>
      <c r="Y7" s="7">
        <f>HOTEL!CO9</f>
        <v>4.88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2.39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14.34</v>
      </c>
      <c r="AK7" s="7">
        <f>TOTAL!K7</f>
        <v>2</v>
      </c>
    </row>
    <row r="8" spans="1:38" x14ac:dyDescent="0.2">
      <c r="A8" s="2" t="s">
        <v>19</v>
      </c>
      <c r="B8" s="7">
        <f t="shared" si="1"/>
        <v>7</v>
      </c>
      <c r="C8" s="7">
        <v>3</v>
      </c>
      <c r="D8" s="7">
        <v>2021</v>
      </c>
      <c r="E8" s="7">
        <f>TOTAL!E8</f>
        <v>6678</v>
      </c>
      <c r="F8" s="7">
        <f>HOTEL!R10</f>
        <v>163</v>
      </c>
      <c r="G8" s="7">
        <f>HOTEL!T10</f>
        <v>4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20</v>
      </c>
      <c r="M8" s="7">
        <f>HOTEL!AE10</f>
        <v>0</v>
      </c>
      <c r="N8" s="7">
        <f>HOTEL!AI10</f>
        <v>0</v>
      </c>
      <c r="O8" s="7">
        <f>HOTEL!AM10</f>
        <v>0</v>
      </c>
      <c r="P8" s="7">
        <f>HOTEL!AO10</f>
        <v>1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20</v>
      </c>
      <c r="X8" s="7">
        <f>HOTEL!BT10</f>
        <v>0</v>
      </c>
      <c r="Y8" s="7">
        <f>HOTEL!CO10</f>
        <v>2.44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2.39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14.34</v>
      </c>
      <c r="AK8" s="7">
        <f>TOTAL!K8</f>
        <v>2</v>
      </c>
    </row>
    <row r="9" spans="1:38" x14ac:dyDescent="0.2">
      <c r="A9" s="2" t="s">
        <v>19</v>
      </c>
      <c r="B9" s="7">
        <f t="shared" si="1"/>
        <v>8</v>
      </c>
      <c r="C9" s="7">
        <v>3</v>
      </c>
      <c r="D9" s="7">
        <v>2021</v>
      </c>
      <c r="E9" s="7">
        <f>TOTAL!E9</f>
        <v>5960</v>
      </c>
      <c r="F9" s="7">
        <f>HOTEL!R11</f>
        <v>59</v>
      </c>
      <c r="G9" s="7">
        <f>HOTEL!T11</f>
        <v>3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30</v>
      </c>
      <c r="M9" s="7">
        <f>HOTEL!AE11</f>
        <v>5</v>
      </c>
      <c r="N9" s="7">
        <f>HOTEL!AI11</f>
        <v>20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10</v>
      </c>
      <c r="X9" s="7">
        <f>HOTEL!BT11</f>
        <v>0</v>
      </c>
      <c r="Y9" s="7">
        <f>HOTEL!CO11</f>
        <v>2.44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4.78</v>
      </c>
      <c r="AK9" s="7">
        <f>TOTAL!K9</f>
        <v>2</v>
      </c>
    </row>
    <row r="10" spans="1:38" x14ac:dyDescent="0.2">
      <c r="A10" s="2" t="s">
        <v>19</v>
      </c>
      <c r="B10" s="7">
        <f t="shared" si="1"/>
        <v>9</v>
      </c>
      <c r="C10" s="7">
        <v>3</v>
      </c>
      <c r="D10" s="7">
        <v>2021</v>
      </c>
      <c r="E10" s="7">
        <f>TOTAL!E10</f>
        <v>5456</v>
      </c>
      <c r="F10" s="7">
        <f>HOTEL!R12</f>
        <v>24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30</v>
      </c>
      <c r="M10" s="7">
        <f>HOTEL!AE12</f>
        <v>0</v>
      </c>
      <c r="N10" s="7">
        <f>HOTEL!AI12</f>
        <v>10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1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20</v>
      </c>
      <c r="X10" s="7">
        <f>HOTEL!BT12</f>
        <v>0</v>
      </c>
      <c r="Y10" s="7">
        <f>HOTEL!CO12</f>
        <v>2.44</v>
      </c>
      <c r="Z10" s="7">
        <f>HOTEL!CR11</f>
        <v>0</v>
      </c>
      <c r="AA10" s="7">
        <f>HOTEL!CU12</f>
        <v>0</v>
      </c>
      <c r="AB10" s="8">
        <f>HOTEL!CX12</f>
        <v>2.44</v>
      </c>
      <c r="AC10" s="7">
        <f>HOTEL!DA12</f>
        <v>2.39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9.56</v>
      </c>
      <c r="AK10" s="7">
        <f>TOTAL!K10</f>
        <v>2</v>
      </c>
    </row>
    <row r="11" spans="1:38" x14ac:dyDescent="0.2">
      <c r="A11" s="2" t="s">
        <v>19</v>
      </c>
      <c r="B11" s="7">
        <f t="shared" si="1"/>
        <v>10</v>
      </c>
      <c r="C11" s="7">
        <v>3</v>
      </c>
      <c r="D11" s="7">
        <v>2021</v>
      </c>
      <c r="E11" s="7">
        <f>TOTAL!E11</f>
        <v>6272</v>
      </c>
      <c r="F11" s="7">
        <f>HOTEL!R13</f>
        <v>90</v>
      </c>
      <c r="G11" s="7">
        <f>HOTEL!T13</f>
        <v>4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20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10</v>
      </c>
      <c r="X11" s="7">
        <f>HOTEL!BT13</f>
        <v>10</v>
      </c>
      <c r="Y11" s="7">
        <f>HOTEL!CO13</f>
        <v>0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14.34</v>
      </c>
      <c r="AK11" s="7">
        <f>TOTAL!K11</f>
        <v>2</v>
      </c>
    </row>
    <row r="12" spans="1:38" x14ac:dyDescent="0.2">
      <c r="A12" s="2" t="s">
        <v>19</v>
      </c>
      <c r="B12" s="7">
        <f t="shared" si="1"/>
        <v>11</v>
      </c>
      <c r="C12" s="7">
        <v>3</v>
      </c>
      <c r="D12" s="7">
        <v>2021</v>
      </c>
      <c r="E12" s="7">
        <f>TOTAL!E12</f>
        <v>5797</v>
      </c>
      <c r="F12" s="7">
        <f>HOTEL!R14</f>
        <v>65</v>
      </c>
      <c r="G12" s="7">
        <f>HOTEL!T14</f>
        <v>3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10</v>
      </c>
      <c r="M12" s="7">
        <f>HOTEL!AE14</f>
        <v>0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10</v>
      </c>
      <c r="X12" s="7">
        <f>HOTEL!BT14</f>
        <v>0</v>
      </c>
      <c r="Y12" s="7">
        <f>HOTEL!CO14</f>
        <v>2.1960000000000002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4.78</v>
      </c>
      <c r="AK12" s="7">
        <f>TOTAL!K12</f>
        <v>2</v>
      </c>
    </row>
    <row r="13" spans="1:38" x14ac:dyDescent="0.2">
      <c r="A13" s="2" t="s">
        <v>19</v>
      </c>
      <c r="B13" s="7">
        <f t="shared" si="1"/>
        <v>12</v>
      </c>
      <c r="C13" s="7">
        <v>3</v>
      </c>
      <c r="D13" s="7">
        <v>2021</v>
      </c>
      <c r="E13" s="7">
        <f>TOTAL!E13</f>
        <v>5602</v>
      </c>
      <c r="F13" s="7">
        <f>HOTEL!R15</f>
        <v>45</v>
      </c>
      <c r="G13" s="7">
        <f>HOTEL!T15</f>
        <v>1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30</v>
      </c>
      <c r="M13" s="7">
        <f>HOTEL!AE15</f>
        <v>0</v>
      </c>
      <c r="N13" s="7">
        <f>HOTEL!AI15</f>
        <v>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1</v>
      </c>
      <c r="W13" s="7">
        <f>HOTEL!BM15</f>
        <v>20</v>
      </c>
      <c r="X13" s="7">
        <f>HOTEL!BT15</f>
        <v>10</v>
      </c>
      <c r="Y13" s="7">
        <f>HOTEL!CO15</f>
        <v>0.97599999999999998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2.39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9.56</v>
      </c>
      <c r="AK13" s="7">
        <f>TOTAL!K13</f>
        <v>2</v>
      </c>
    </row>
    <row r="14" spans="1:38" x14ac:dyDescent="0.2">
      <c r="A14" s="2" t="s">
        <v>19</v>
      </c>
      <c r="B14" s="7">
        <f t="shared" si="1"/>
        <v>13</v>
      </c>
      <c r="C14" s="7">
        <v>3</v>
      </c>
      <c r="D14" s="7">
        <v>2021</v>
      </c>
      <c r="E14" s="7">
        <f>TOTAL!E14</f>
        <v>6460</v>
      </c>
      <c r="F14" s="7">
        <f>HOTEL!R16</f>
        <v>97</v>
      </c>
      <c r="G14" s="7">
        <f>HOTEL!T16</f>
        <v>4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20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16</v>
      </c>
      <c r="W14" s="7">
        <f>HOTEL!BM16</f>
        <v>10</v>
      </c>
      <c r="X14" s="7">
        <f>HOTEL!BT16</f>
        <v>10</v>
      </c>
      <c r="Y14" s="7">
        <f>HOTEL!CO16</f>
        <v>2.6840000000000002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0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16.73</v>
      </c>
      <c r="AK14" s="7">
        <f>TOTAL!K14</f>
        <v>2</v>
      </c>
    </row>
    <row r="15" spans="1:38" x14ac:dyDescent="0.2">
      <c r="A15" s="2" t="s">
        <v>19</v>
      </c>
      <c r="B15" s="7">
        <f t="shared" si="1"/>
        <v>14</v>
      </c>
      <c r="C15" s="7">
        <v>3</v>
      </c>
      <c r="D15" s="7">
        <v>2021</v>
      </c>
      <c r="E15" s="8">
        <f>TOTAL!E15</f>
        <v>6717</v>
      </c>
      <c r="F15" s="7">
        <f>HOTEL!R17</f>
        <v>22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60</v>
      </c>
      <c r="M15" s="7">
        <f>HOTEL!AE17</f>
        <v>12</v>
      </c>
      <c r="N15" s="7">
        <f>HOTEL!AI17</f>
        <v>20</v>
      </c>
      <c r="O15" s="7">
        <f>HOTEL!AM17</f>
        <v>1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1</v>
      </c>
      <c r="W15" s="7">
        <f>HOTEL!BM17</f>
        <v>20</v>
      </c>
      <c r="X15" s="7">
        <f>HOTEL!BT17</f>
        <v>20</v>
      </c>
      <c r="Y15" s="7">
        <f>HOTEL!CO17</f>
        <v>2.9279999999999999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2.39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7.17</v>
      </c>
      <c r="AK15" s="7">
        <f>TOTAL!K15</f>
        <v>2</v>
      </c>
    </row>
    <row r="16" spans="1:38" x14ac:dyDescent="0.2">
      <c r="A16" s="2" t="s">
        <v>19</v>
      </c>
      <c r="B16" s="7">
        <f t="shared" si="1"/>
        <v>15</v>
      </c>
      <c r="C16" s="7">
        <v>3</v>
      </c>
      <c r="D16" s="7">
        <v>2021</v>
      </c>
      <c r="E16" s="7">
        <f>TOTAL!E16</f>
        <v>6181</v>
      </c>
      <c r="F16" s="7">
        <f>HOTEL!R18</f>
        <v>56</v>
      </c>
      <c r="G16" s="7">
        <f>HOTEL!T18</f>
        <v>2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60</v>
      </c>
      <c r="M16" s="7">
        <f>HOTEL!AE18</f>
        <v>0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1</v>
      </c>
      <c r="W16" s="7">
        <f>HOTEL!BM18</f>
        <v>50</v>
      </c>
      <c r="X16" s="7">
        <f>HOTEL!BT18</f>
        <v>10</v>
      </c>
      <c r="Y16" s="7">
        <f>HOTEL!CO18</f>
        <v>3.1720000000000002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11.95</v>
      </c>
      <c r="AK16" s="7">
        <f>TOTAL!K16</f>
        <v>2</v>
      </c>
    </row>
    <row r="17" spans="1:37" x14ac:dyDescent="0.2">
      <c r="A17" s="2" t="s">
        <v>19</v>
      </c>
      <c r="B17" s="7">
        <f t="shared" si="1"/>
        <v>16</v>
      </c>
      <c r="C17" s="7">
        <v>3</v>
      </c>
      <c r="D17" s="7">
        <v>2021</v>
      </c>
      <c r="E17" s="7">
        <f>TOTAL!E17</f>
        <v>7186</v>
      </c>
      <c r="F17" s="7">
        <f>HOTEL!R19</f>
        <v>50</v>
      </c>
      <c r="G17" s="7">
        <f>HOTEL!T19</f>
        <v>2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30</v>
      </c>
      <c r="M17" s="7">
        <f>HOTEL!AE19</f>
        <v>1</v>
      </c>
      <c r="N17" s="7">
        <f>HOTEL!AI19</f>
        <v>10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1</v>
      </c>
      <c r="W17" s="7">
        <f>HOTEL!BM19</f>
        <v>10</v>
      </c>
      <c r="X17" s="7">
        <f>HOTEL!BT19</f>
        <v>10</v>
      </c>
      <c r="Y17" s="7">
        <f>HOTEL!CO19</f>
        <v>2.6840000000000002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2.39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x14ac:dyDescent="0.2">
      <c r="A18" s="2" t="s">
        <v>19</v>
      </c>
      <c r="B18" s="7">
        <f t="shared" si="1"/>
        <v>17</v>
      </c>
      <c r="C18" s="7">
        <v>3</v>
      </c>
      <c r="D18" s="7">
        <v>2021</v>
      </c>
      <c r="E18" s="7">
        <f>TOTAL!E18</f>
        <v>7582</v>
      </c>
      <c r="F18" s="7">
        <f>HOTEL!R20</f>
        <v>71</v>
      </c>
      <c r="G18" s="7">
        <f>HOTEL!T20</f>
        <v>3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20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1</v>
      </c>
      <c r="W18" s="7">
        <f>HOTEL!BM20</f>
        <v>20</v>
      </c>
      <c r="X18" s="7">
        <f>HOTEL!BT20</f>
        <v>0</v>
      </c>
      <c r="Y18" s="7">
        <f>HOTEL!CO20</f>
        <v>1.952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23.9</v>
      </c>
      <c r="AK18" s="7">
        <f>TOTAL!K18</f>
        <v>2</v>
      </c>
    </row>
    <row r="19" spans="1:37" x14ac:dyDescent="0.2">
      <c r="A19" s="2" t="s">
        <v>19</v>
      </c>
      <c r="B19" s="7">
        <f t="shared" si="1"/>
        <v>18</v>
      </c>
      <c r="C19" s="7">
        <v>3</v>
      </c>
      <c r="D19" s="7">
        <v>2021</v>
      </c>
      <c r="E19" s="7">
        <f>TOTAL!E19</f>
        <v>7644</v>
      </c>
      <c r="F19" s="7">
        <f>HOTEL!R21</f>
        <v>119</v>
      </c>
      <c r="G19" s="7">
        <f>HOTEL!T21</f>
        <v>4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40</v>
      </c>
      <c r="M19" s="7">
        <f>HOTEL!AE21</f>
        <v>0</v>
      </c>
      <c r="N19" s="7">
        <f>HOTEL!AI21</f>
        <v>10</v>
      </c>
      <c r="O19" s="7">
        <f>HOTEL!AM21</f>
        <v>1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2</v>
      </c>
      <c r="W19" s="7">
        <f>HOTEL!BM21</f>
        <v>30</v>
      </c>
      <c r="X19" s="7">
        <f>HOTEL!BT21</f>
        <v>0</v>
      </c>
      <c r="Y19" s="7">
        <f>HOTEL!CO21</f>
        <v>2.9279999999999999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2.39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11.95</v>
      </c>
      <c r="AK19" s="7">
        <f>TOTAL!K19</f>
        <v>2</v>
      </c>
    </row>
    <row r="20" spans="1:37" x14ac:dyDescent="0.2">
      <c r="A20" s="2" t="s">
        <v>19</v>
      </c>
      <c r="B20" s="7">
        <f t="shared" si="1"/>
        <v>19</v>
      </c>
      <c r="C20" s="7">
        <v>3</v>
      </c>
      <c r="D20" s="7">
        <v>2021</v>
      </c>
      <c r="E20" s="7">
        <f>TOTAL!E20</f>
        <v>7367</v>
      </c>
      <c r="F20" s="7">
        <f>HOTEL!R22</f>
        <v>38</v>
      </c>
      <c r="G20" s="7">
        <f>HOTEL!T22</f>
        <v>1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30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1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10</v>
      </c>
      <c r="X20" s="7">
        <f>HOTEL!BT22</f>
        <v>20</v>
      </c>
      <c r="Y20" s="7">
        <f>HOTEL!CO22</f>
        <v>2.1960000000000002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4.78</v>
      </c>
      <c r="AK20" s="7">
        <f>TOTAL!K20</f>
        <v>2</v>
      </c>
    </row>
    <row r="21" spans="1:37" x14ac:dyDescent="0.2">
      <c r="A21" s="2" t="s">
        <v>19</v>
      </c>
      <c r="B21" s="7">
        <f t="shared" si="1"/>
        <v>20</v>
      </c>
      <c r="C21" s="7">
        <v>3</v>
      </c>
      <c r="D21" s="7">
        <v>2021</v>
      </c>
      <c r="E21" s="7">
        <f>TOTAL!E21</f>
        <v>7657</v>
      </c>
      <c r="F21" s="7">
        <f>HOTEL!R23</f>
        <v>110</v>
      </c>
      <c r="G21" s="7">
        <f>HOTEL!T23</f>
        <v>5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40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1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2</v>
      </c>
      <c r="W21" s="7">
        <f>HOTEL!BM23</f>
        <v>40</v>
      </c>
      <c r="X21" s="7">
        <f>HOTEL!BT23</f>
        <v>0</v>
      </c>
      <c r="Y21" s="7">
        <f>HOTEL!CO23</f>
        <v>2.1960000000000002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2.39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9.56</v>
      </c>
      <c r="AK21" s="7">
        <f>TOTAL!K21</f>
        <v>2</v>
      </c>
    </row>
    <row r="22" spans="1:37" x14ac:dyDescent="0.2">
      <c r="A22" s="2" t="s">
        <v>19</v>
      </c>
      <c r="B22" s="7">
        <f t="shared" si="1"/>
        <v>21</v>
      </c>
      <c r="C22" s="7">
        <v>3</v>
      </c>
      <c r="D22" s="7">
        <v>2021</v>
      </c>
      <c r="E22" s="7">
        <f>TOTAL!E22</f>
        <v>7274</v>
      </c>
      <c r="F22" s="7">
        <f>HOTEL!R24</f>
        <v>59</v>
      </c>
      <c r="G22" s="7">
        <f>HOTEL!T24</f>
        <v>2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50</v>
      </c>
      <c r="M22" s="7">
        <f>HOTEL!AE24</f>
        <v>0</v>
      </c>
      <c r="N22" s="7">
        <f>HOTEL!AI24</f>
        <v>30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10</v>
      </c>
      <c r="X22" s="7">
        <f>HOTEL!BT24</f>
        <v>10</v>
      </c>
      <c r="Y22" s="7">
        <f>HOTEL!CO24</f>
        <v>2.1960000000000002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2.39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16.73</v>
      </c>
      <c r="AK22" s="7">
        <f>TOTAL!K22</f>
        <v>2</v>
      </c>
    </row>
    <row r="23" spans="1:37" x14ac:dyDescent="0.2">
      <c r="A23" s="2" t="s">
        <v>19</v>
      </c>
      <c r="B23" s="7">
        <f t="shared" si="1"/>
        <v>22</v>
      </c>
      <c r="C23" s="7">
        <v>3</v>
      </c>
      <c r="D23" s="7">
        <v>2021</v>
      </c>
      <c r="E23" s="7">
        <f>TOTAL!E23</f>
        <v>7089</v>
      </c>
      <c r="F23" s="7">
        <f>HOTEL!R25</f>
        <v>28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30</v>
      </c>
      <c r="M23" s="7">
        <f>HOTEL!AE25</f>
        <v>0</v>
      </c>
      <c r="N23" s="7">
        <f>HOTEL!AI25</f>
        <v>0</v>
      </c>
      <c r="O23" s="7">
        <f>HOTEL!AM25</f>
        <v>1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20</v>
      </c>
      <c r="X23" s="7">
        <f>HOTEL!BT25</f>
        <v>10</v>
      </c>
      <c r="Y23" s="7">
        <f>HOTEL!CO25</f>
        <v>2.1960000000000002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4.78</v>
      </c>
      <c r="AK23" s="7">
        <f>TOTAL!K23</f>
        <v>2</v>
      </c>
    </row>
    <row r="24" spans="1:37" x14ac:dyDescent="0.2">
      <c r="A24" s="2" t="s">
        <v>19</v>
      </c>
      <c r="B24" s="7">
        <f t="shared" si="1"/>
        <v>23</v>
      </c>
      <c r="C24" s="7">
        <v>3</v>
      </c>
      <c r="D24" s="7">
        <v>2021</v>
      </c>
      <c r="E24" s="7">
        <f>TOTAL!E24</f>
        <v>6887</v>
      </c>
      <c r="F24" s="7">
        <f>HOTEL!R26</f>
        <v>110</v>
      </c>
      <c r="G24" s="7">
        <f>HOTEL!T26</f>
        <v>2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30</v>
      </c>
      <c r="M24" s="7">
        <f>HOTEL!AE26</f>
        <v>0</v>
      </c>
      <c r="N24" s="7">
        <f>HOTEL!AI26</f>
        <v>10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1</v>
      </c>
      <c r="W24" s="7">
        <f>HOTEL!BM26</f>
        <v>20</v>
      </c>
      <c r="X24" s="7">
        <f>HOTEL!BT26</f>
        <v>0</v>
      </c>
      <c r="Y24" s="7">
        <f>HOTEL!CO26</f>
        <v>2.44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2.39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7.17</v>
      </c>
      <c r="AK24" s="7">
        <f>TOTAL!K24</f>
        <v>2</v>
      </c>
    </row>
    <row r="25" spans="1:37" x14ac:dyDescent="0.2">
      <c r="A25" s="2" t="s">
        <v>19</v>
      </c>
      <c r="B25" s="7">
        <f t="shared" si="1"/>
        <v>24</v>
      </c>
      <c r="C25" s="7">
        <v>3</v>
      </c>
      <c r="D25" s="7">
        <v>2021</v>
      </c>
      <c r="E25" s="7">
        <f>TOTAL!E25</f>
        <v>6986</v>
      </c>
      <c r="F25" s="7">
        <f>HOTEL!R27</f>
        <v>62</v>
      </c>
      <c r="G25" s="7">
        <f>HOTEL!T27</f>
        <v>4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60</v>
      </c>
      <c r="M25" s="7">
        <f>HOTEL!AE27</f>
        <v>26</v>
      </c>
      <c r="N25" s="7">
        <f>HOTEL!AI27</f>
        <v>20</v>
      </c>
      <c r="O25" s="7">
        <f>HOTEL!AM27</f>
        <v>1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30</v>
      </c>
      <c r="X25" s="7">
        <f>HOTEL!BT27</f>
        <v>10</v>
      </c>
      <c r="Y25" s="7">
        <f>HOTEL!CO27</f>
        <v>1.952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2.39</v>
      </c>
      <c r="AD25" s="8">
        <f>HOTEL!DD27</f>
        <v>0</v>
      </c>
      <c r="AE25" s="7">
        <f>HOTEL!DG27</f>
        <v>40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16.73</v>
      </c>
      <c r="AK25" s="7">
        <f>TOTAL!K25</f>
        <v>3</v>
      </c>
    </row>
    <row r="26" spans="1:37" x14ac:dyDescent="0.2">
      <c r="A26" s="2" t="s">
        <v>19</v>
      </c>
      <c r="B26" s="7">
        <f>B25+1</f>
        <v>25</v>
      </c>
      <c r="C26" s="7">
        <v>3</v>
      </c>
      <c r="D26" s="7">
        <v>2021</v>
      </c>
      <c r="E26" s="7">
        <f>TOTAL!E26</f>
        <v>7173</v>
      </c>
      <c r="F26" s="7">
        <f>HOTEL!R28</f>
        <v>29</v>
      </c>
      <c r="G26" s="7">
        <f>HOTEL!T28</f>
        <v>1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20</v>
      </c>
      <c r="M26" s="7">
        <f>HOTEL!AE28</f>
        <v>0</v>
      </c>
      <c r="N26" s="7">
        <f>HOTEL!AI28</f>
        <v>10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1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10</v>
      </c>
      <c r="X26" s="7">
        <f>HOTEL!BT28</f>
        <v>0</v>
      </c>
      <c r="Y26" s="7">
        <f>HOTEL!CO28</f>
        <v>2.44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4.5410000000000004</v>
      </c>
      <c r="AK26" s="7">
        <f>TOTAL!K26</f>
        <v>3</v>
      </c>
    </row>
    <row r="27" spans="1:37" x14ac:dyDescent="0.2">
      <c r="A27" s="2" t="s">
        <v>19</v>
      </c>
      <c r="B27" s="7">
        <f t="shared" si="1"/>
        <v>26</v>
      </c>
      <c r="C27" s="7">
        <v>3</v>
      </c>
      <c r="D27" s="7">
        <v>2021</v>
      </c>
      <c r="E27" s="7">
        <f>TOTAL!E27</f>
        <v>6291</v>
      </c>
      <c r="F27" s="7">
        <f>HOTEL!R29</f>
        <v>93</v>
      </c>
      <c r="G27" s="7">
        <f>HOTEL!T29</f>
        <v>4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 t="shared" si="2"/>
        <v>10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10</v>
      </c>
      <c r="X27" s="7">
        <f>HOTEL!BT29</f>
        <v>0</v>
      </c>
      <c r="Y27" s="7">
        <f>HOTEL!CO29</f>
        <v>2.6840000000000002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2.39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9.56</v>
      </c>
      <c r="AK27" s="7">
        <f>TOTAL!K27</f>
        <v>3</v>
      </c>
    </row>
    <row r="28" spans="1:37" x14ac:dyDescent="0.2">
      <c r="A28" s="2" t="s">
        <v>19</v>
      </c>
      <c r="B28" s="7">
        <f t="shared" si="1"/>
        <v>27</v>
      </c>
      <c r="C28" s="7">
        <v>3</v>
      </c>
      <c r="D28" s="7">
        <v>2021</v>
      </c>
      <c r="E28" s="7">
        <f>TOTAL!E28</f>
        <v>6130</v>
      </c>
      <c r="F28" s="7">
        <f>HOTEL!R30</f>
        <v>62</v>
      </c>
      <c r="G28" s="7">
        <f>HOTEL!T30</f>
        <v>2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40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30</v>
      </c>
      <c r="X28" s="7">
        <f>HOTEL!BT30</f>
        <v>10</v>
      </c>
      <c r="Y28" s="7">
        <f>HOTEL!CO30</f>
        <v>0.73199999999999998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2.39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9.7989999999999995</v>
      </c>
      <c r="AK28" s="7">
        <f>TOTAL!K28</f>
        <v>3</v>
      </c>
    </row>
    <row r="29" spans="1:37" x14ac:dyDescent="0.2">
      <c r="A29" s="2" t="s">
        <v>19</v>
      </c>
      <c r="B29" s="7">
        <f t="shared" si="1"/>
        <v>28</v>
      </c>
      <c r="C29" s="7">
        <v>3</v>
      </c>
      <c r="D29" s="7">
        <v>2021</v>
      </c>
      <c r="E29" s="7">
        <f>TOTAL!E29</f>
        <v>6136</v>
      </c>
      <c r="F29" s="7">
        <f>HOTEL!R31</f>
        <v>27</v>
      </c>
      <c r="G29" s="7">
        <f>HOTEL!T31</f>
        <v>1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20</v>
      </c>
      <c r="M29" s="7">
        <f>HOTEL!AE31</f>
        <v>0</v>
      </c>
      <c r="N29" s="7">
        <f>HOTEL!AI31</f>
        <v>10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10</v>
      </c>
      <c r="X29" s="7">
        <f>HOTEL!BT31</f>
        <v>0</v>
      </c>
      <c r="Y29" s="7">
        <f>HOTEL!CO31</f>
        <v>1.22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4.3019999999999996</v>
      </c>
      <c r="AK29" s="7">
        <f>TOTAL!K29</f>
        <v>3</v>
      </c>
    </row>
    <row r="30" spans="1:37" x14ac:dyDescent="0.2">
      <c r="A30" s="2" t="s">
        <v>19</v>
      </c>
      <c r="B30" s="7">
        <f t="shared" si="1"/>
        <v>29</v>
      </c>
      <c r="C30" s="7">
        <v>3</v>
      </c>
      <c r="D30" s="7">
        <v>2021</v>
      </c>
      <c r="E30" s="7">
        <f>TOTAL!E30</f>
        <v>6254</v>
      </c>
      <c r="F30" s="7">
        <f>HOTEL!R32</f>
        <v>82</v>
      </c>
      <c r="G30" s="7">
        <f>HOTEL!T32</f>
        <v>3</v>
      </c>
      <c r="H30" s="8">
        <f>HOTEL!DX32</f>
        <v>30761.69</v>
      </c>
      <c r="I30" s="8">
        <f>HOTEL!DZ32</f>
        <v>150065.71</v>
      </c>
      <c r="J30" s="8">
        <f>HOTEL!EB32</f>
        <v>37281.61</v>
      </c>
      <c r="K30" s="8">
        <f>HOTEL!ED32</f>
        <v>58982.81</v>
      </c>
      <c r="L30" s="7">
        <f t="shared" si="2"/>
        <v>20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1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20</v>
      </c>
      <c r="X30" s="7">
        <f>HOTEL!BT32</f>
        <v>0</v>
      </c>
      <c r="Y30" s="7">
        <f>HOTEL!CO32</f>
        <v>2.6840000000000002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9.7989999999999995</v>
      </c>
      <c r="AK30" s="7">
        <f>TOTAL!K30</f>
        <v>3</v>
      </c>
    </row>
    <row r="31" spans="1:37" x14ac:dyDescent="0.2">
      <c r="A31" s="2" t="s">
        <v>19</v>
      </c>
      <c r="B31" s="7">
        <f t="shared" si="1"/>
        <v>30</v>
      </c>
      <c r="C31" s="7">
        <v>3</v>
      </c>
      <c r="D31" s="7">
        <v>2021</v>
      </c>
      <c r="E31" s="7">
        <f>TOTAL!E31</f>
        <v>6237</v>
      </c>
      <c r="F31" s="7">
        <f>HOTEL!R33</f>
        <v>98</v>
      </c>
      <c r="G31" s="7">
        <f>HOTEL!T33</f>
        <v>3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40</v>
      </c>
      <c r="M31" s="7">
        <f>HOTEL!AE33</f>
        <v>0</v>
      </c>
      <c r="N31" s="7">
        <f>HOTEL!AI33</f>
        <v>0</v>
      </c>
      <c r="O31" s="7">
        <f>HOTEL!AM33</f>
        <v>1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30</v>
      </c>
      <c r="X31" s="7">
        <f>HOTEL!BT33</f>
        <v>10</v>
      </c>
      <c r="Y31" s="7">
        <f>HOTEL!CO33</f>
        <v>3.66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2.39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14.579000000000001</v>
      </c>
      <c r="AK31" s="7">
        <f>TOTAL!K31</f>
        <v>3</v>
      </c>
    </row>
    <row r="32" spans="1:37" x14ac:dyDescent="0.2">
      <c r="A32" s="2" t="s">
        <v>19</v>
      </c>
      <c r="B32" s="7">
        <f t="shared" si="1"/>
        <v>31</v>
      </c>
      <c r="C32" s="7">
        <v>3</v>
      </c>
      <c r="D32" s="7">
        <v>2021</v>
      </c>
      <c r="E32" s="7">
        <f>TOTAL!E32</f>
        <v>6355</v>
      </c>
      <c r="F32" s="7">
        <f>HOTEL!R34</f>
        <v>28</v>
      </c>
      <c r="G32" s="7">
        <f>HOTEL!T34</f>
        <v>1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20</v>
      </c>
      <c r="M32" s="7">
        <f>HOTEL!AE34</f>
        <v>7</v>
      </c>
      <c r="N32" s="7">
        <f>HOTEL!AI34</f>
        <v>0</v>
      </c>
      <c r="O32" s="7">
        <f>HOTEL!AM34</f>
        <v>0</v>
      </c>
      <c r="P32" s="7">
        <f>HOTEL!AO34</f>
        <v>1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10</v>
      </c>
      <c r="X32" s="7">
        <f>HOTEL!BT34</f>
        <v>10</v>
      </c>
      <c r="Y32" s="7">
        <f>HOTEL!CO34</f>
        <v>4.6360000000000001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2.39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4.3019999999999996</v>
      </c>
      <c r="AK32" s="7">
        <f>TOTAL!K32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N60"/>
  <sheetViews>
    <sheetView tabSelected="1" zoomScale="85" zoomScaleNormal="85" workbookViewId="0">
      <pane xSplit="1" ySplit="2" topLeftCell="DS21" activePane="bottomRight" state="frozen"/>
      <selection pane="topRight" activeCell="B1" sqref="B1"/>
      <selection pane="bottomLeft" activeCell="A3" sqref="A3"/>
      <selection pane="bottomRight" activeCell="EE35" sqref="EE35:EF35"/>
    </sheetView>
  </sheetViews>
  <sheetFormatPr defaultRowHeight="12.75" x14ac:dyDescent="0.2"/>
  <cols>
    <col min="1" max="1" width="8.85546875" style="7" customWidth="1"/>
    <col min="2" max="2" width="11" style="21" customWidth="1"/>
    <col min="3" max="3" width="10.5703125" style="12" bestFit="1" customWidth="1"/>
    <col min="4" max="4" width="11.140625" style="7" bestFit="1" customWidth="1"/>
    <col min="5" max="5" width="11" style="12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3" customWidth="1"/>
    <col min="11" max="11" width="8.85546875" style="7" customWidth="1"/>
    <col min="12" max="12" width="8.85546875" style="13" customWidth="1"/>
    <col min="13" max="13" width="8.85546875" style="7" customWidth="1"/>
    <col min="14" max="14" width="8.85546875" style="13" customWidth="1"/>
    <col min="15" max="15" width="8.85546875" style="7" customWidth="1"/>
    <col min="16" max="16" width="8.85546875" style="13" customWidth="1"/>
    <col min="17" max="17" width="11.7109375" style="7" customWidth="1"/>
    <col min="18" max="18" width="9.85546875" style="13" bestFit="1" customWidth="1"/>
    <col min="19" max="19" width="15" style="7" customWidth="1"/>
    <col min="20" max="20" width="13.28515625" style="13" customWidth="1"/>
    <col min="21" max="21" width="8.85546875" style="28" customWidth="1"/>
    <col min="22" max="22" width="8.85546875" style="13" customWidth="1"/>
    <col min="23" max="23" width="8.85546875" style="7" customWidth="1"/>
    <col min="24" max="24" width="12" style="7" bestFit="1" customWidth="1"/>
    <col min="25" max="25" width="8.85546875" style="13" customWidth="1"/>
    <col min="26" max="26" width="8.85546875" style="7" customWidth="1"/>
    <col min="27" max="27" width="8.85546875" style="13" bestFit="1" customWidth="1"/>
    <col min="28" max="28" width="8.85546875" style="7" customWidth="1"/>
    <col min="29" max="29" width="8.85546875" style="13" bestFit="1" customWidth="1"/>
    <col min="30" max="30" width="13.7109375" style="7" bestFit="1" customWidth="1"/>
    <col min="31" max="31" width="8.85546875" style="13" customWidth="1"/>
    <col min="32" max="33" width="0" style="7" hidden="1" customWidth="1"/>
    <col min="34" max="34" width="8.85546875" style="7" customWidth="1"/>
    <col min="35" max="35" width="9.7109375" style="13" bestFit="1" customWidth="1"/>
    <col min="36" max="36" width="8.85546875" style="7" customWidth="1"/>
    <col min="37" max="37" width="9.7109375" style="13" bestFit="1" customWidth="1"/>
    <col min="38" max="38" width="8.85546875" style="7" customWidth="1"/>
    <col min="39" max="39" width="8.85546875" style="13" customWidth="1"/>
    <col min="40" max="40" width="8.85546875" style="7" customWidth="1"/>
    <col min="41" max="41" width="8.85546875" style="13" customWidth="1"/>
    <col min="42" max="42" width="8.85546875" style="7" customWidth="1"/>
    <col min="43" max="43" width="8.85546875" style="13" customWidth="1"/>
    <col min="44" max="44" width="8.85546875" style="7" customWidth="1"/>
    <col min="45" max="45" width="8.85546875" style="13" customWidth="1"/>
    <col min="46" max="46" width="8.85546875" style="7" customWidth="1"/>
    <col min="47" max="47" width="8.85546875" style="13" customWidth="1"/>
    <col min="48" max="48" width="8.85546875" style="7" customWidth="1"/>
    <col min="49" max="49" width="8.85546875" style="13" customWidth="1"/>
    <col min="50" max="50" width="8.85546875" style="7" customWidth="1"/>
    <col min="51" max="51" width="8.85546875" style="13" customWidth="1"/>
    <col min="52" max="52" width="8.85546875" style="7" customWidth="1"/>
    <col min="53" max="53" width="8.85546875" style="13" customWidth="1"/>
    <col min="54" max="54" width="12.85546875" style="7" bestFit="1" customWidth="1"/>
    <col min="55" max="55" width="8.5703125" style="13" bestFit="1" customWidth="1"/>
    <col min="56" max="56" width="13.140625" style="7" bestFit="1" customWidth="1"/>
    <col min="57" max="57" width="8.42578125" style="13" bestFit="1" customWidth="1"/>
    <col min="58" max="58" width="15.42578125" style="7" customWidth="1"/>
    <col min="59" max="59" width="8.85546875" style="13" customWidth="1"/>
    <col min="60" max="60" width="17.28515625" style="7" bestFit="1" customWidth="1"/>
    <col min="61" max="61" width="8.85546875" style="13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28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32" customFormat="1" ht="39.75" customHeight="1" thickBot="1" x14ac:dyDescent="0.3">
      <c r="B1" s="118" t="s">
        <v>52</v>
      </c>
      <c r="C1" s="120"/>
      <c r="D1" s="120"/>
      <c r="E1" s="120"/>
      <c r="F1" s="120"/>
      <c r="G1" s="120"/>
      <c r="H1" s="120"/>
      <c r="I1" s="121" t="s">
        <v>53</v>
      </c>
      <c r="J1" s="121"/>
      <c r="K1" s="121"/>
      <c r="L1" s="121"/>
      <c r="M1" s="121" t="s">
        <v>54</v>
      </c>
      <c r="N1" s="121"/>
      <c r="O1" s="121"/>
      <c r="P1" s="121"/>
      <c r="Q1" s="33" t="s">
        <v>55</v>
      </c>
      <c r="R1" s="99" t="s">
        <v>56</v>
      </c>
      <c r="S1" s="34" t="s">
        <v>22</v>
      </c>
      <c r="T1" s="35" t="s">
        <v>56</v>
      </c>
      <c r="U1" s="118" t="s">
        <v>57</v>
      </c>
      <c r="V1" s="119"/>
      <c r="W1" s="36" t="s">
        <v>58</v>
      </c>
      <c r="X1" s="36"/>
      <c r="Y1" s="36"/>
      <c r="Z1" s="37"/>
      <c r="AA1" s="37"/>
      <c r="AB1" s="122" t="s">
        <v>59</v>
      </c>
      <c r="AC1" s="122"/>
      <c r="AD1" s="100" t="s">
        <v>60</v>
      </c>
      <c r="AE1" s="100"/>
      <c r="AF1" s="36" t="s">
        <v>61</v>
      </c>
      <c r="AG1" s="100" t="s">
        <v>56</v>
      </c>
      <c r="AH1" s="116" t="s">
        <v>62</v>
      </c>
      <c r="AI1" s="117"/>
      <c r="AJ1" s="116" t="s">
        <v>63</v>
      </c>
      <c r="AK1" s="117"/>
      <c r="AL1" s="118" t="s">
        <v>64</v>
      </c>
      <c r="AM1" s="119"/>
      <c r="AN1" s="118" t="s">
        <v>65</v>
      </c>
      <c r="AO1" s="119"/>
      <c r="AP1" s="118" t="s">
        <v>66</v>
      </c>
      <c r="AQ1" s="119"/>
      <c r="AR1" s="118" t="s">
        <v>67</v>
      </c>
      <c r="AS1" s="119"/>
      <c r="AT1" s="118" t="s">
        <v>68</v>
      </c>
      <c r="AU1" s="119"/>
      <c r="AV1" s="118" t="s">
        <v>69</v>
      </c>
      <c r="AW1" s="119"/>
      <c r="AX1" s="118" t="s">
        <v>70</v>
      </c>
      <c r="AY1" s="119"/>
      <c r="AZ1" s="118" t="s">
        <v>71</v>
      </c>
      <c r="BA1" s="119"/>
      <c r="BB1" s="38"/>
      <c r="BC1" s="38"/>
      <c r="BD1" s="38"/>
      <c r="BE1" s="38"/>
      <c r="BF1" s="38"/>
      <c r="BG1" s="38"/>
      <c r="BH1" s="100"/>
      <c r="BI1" s="100"/>
      <c r="BJ1" s="100"/>
      <c r="BK1" s="100"/>
      <c r="BL1" s="116" t="s">
        <v>72</v>
      </c>
      <c r="BM1" s="117"/>
      <c r="BN1" s="116" t="s">
        <v>73</v>
      </c>
      <c r="BO1" s="117"/>
      <c r="BP1" s="118" t="s">
        <v>74</v>
      </c>
      <c r="BQ1" s="119"/>
      <c r="BR1" s="116" t="s">
        <v>75</v>
      </c>
      <c r="BS1" s="117"/>
      <c r="BT1" s="37"/>
      <c r="BU1" s="37"/>
      <c r="BV1" s="37"/>
      <c r="BW1" s="39" t="s">
        <v>76</v>
      </c>
      <c r="BX1" s="40"/>
      <c r="BY1" s="40"/>
      <c r="BZ1" s="40"/>
      <c r="CA1" s="41" t="s">
        <v>77</v>
      </c>
      <c r="CB1" s="42"/>
      <c r="CC1" s="43"/>
      <c r="CV1" s="113" t="s">
        <v>78</v>
      </c>
      <c r="CW1" s="114"/>
      <c r="CX1" s="115"/>
      <c r="CY1" s="118" t="s">
        <v>64</v>
      </c>
      <c r="CZ1" s="120"/>
      <c r="DA1" s="119"/>
      <c r="DB1" s="113" t="s">
        <v>65</v>
      </c>
      <c r="DC1" s="114"/>
      <c r="DD1" s="115"/>
      <c r="DE1" s="113" t="s">
        <v>66</v>
      </c>
      <c r="DF1" s="114"/>
      <c r="DG1" s="115"/>
      <c r="DH1" s="113" t="s">
        <v>67</v>
      </c>
      <c r="DI1" s="114"/>
      <c r="DJ1" s="115"/>
      <c r="DK1" s="113" t="s">
        <v>68</v>
      </c>
      <c r="DL1" s="114"/>
      <c r="DM1" s="115"/>
      <c r="DN1" s="113" t="s">
        <v>69</v>
      </c>
      <c r="DO1" s="114"/>
      <c r="DP1" s="115"/>
      <c r="DQ1" s="113" t="s">
        <v>70</v>
      </c>
      <c r="DR1" s="114"/>
      <c r="DS1" s="115"/>
      <c r="DT1" s="113" t="s">
        <v>71</v>
      </c>
      <c r="DU1" s="114"/>
      <c r="DV1" s="115"/>
      <c r="DW1" s="44"/>
      <c r="DX1" s="44"/>
      <c r="DY1" s="44"/>
      <c r="DZ1" s="44"/>
      <c r="EH1" s="123" t="s">
        <v>79</v>
      </c>
      <c r="EI1" s="123"/>
      <c r="EJ1" s="123"/>
    </row>
    <row r="2" spans="1:143" customFormat="1" ht="39" thickBot="1" x14ac:dyDescent="0.25">
      <c r="A2" s="45" t="s">
        <v>80</v>
      </c>
      <c r="B2" s="46" t="s">
        <v>81</v>
      </c>
      <c r="C2" s="47" t="s">
        <v>56</v>
      </c>
      <c r="D2" s="48" t="s">
        <v>82</v>
      </c>
      <c r="E2" s="49" t="s">
        <v>56</v>
      </c>
      <c r="F2" s="48" t="s">
        <v>83</v>
      </c>
      <c r="G2" s="50" t="s">
        <v>84</v>
      </c>
      <c r="H2" s="51" t="s">
        <v>85</v>
      </c>
      <c r="I2" s="52"/>
      <c r="J2" s="52"/>
      <c r="K2" s="53"/>
      <c r="L2" s="48"/>
      <c r="M2" s="54"/>
      <c r="N2" s="48"/>
      <c r="O2" s="48"/>
      <c r="P2" s="48"/>
      <c r="Q2" s="48"/>
      <c r="R2" s="48"/>
      <c r="S2" s="55"/>
      <c r="T2" s="56"/>
      <c r="U2" s="48" t="s">
        <v>86</v>
      </c>
      <c r="V2" s="57" t="s">
        <v>56</v>
      </c>
      <c r="W2" s="58"/>
      <c r="X2" s="58" t="s">
        <v>87</v>
      </c>
      <c r="Y2" s="58" t="s">
        <v>88</v>
      </c>
      <c r="Z2" s="59" t="s">
        <v>89</v>
      </c>
      <c r="AA2" s="59"/>
      <c r="AB2" s="58" t="s">
        <v>90</v>
      </c>
      <c r="AC2" s="58" t="s">
        <v>56</v>
      </c>
      <c r="AD2" s="58"/>
      <c r="AE2" s="58" t="s">
        <v>56</v>
      </c>
      <c r="AF2" s="58"/>
      <c r="AG2" s="58"/>
      <c r="AH2" s="48" t="s">
        <v>91</v>
      </c>
      <c r="AI2" s="48" t="s">
        <v>92</v>
      </c>
      <c r="AJ2" s="48"/>
      <c r="AK2" s="48"/>
      <c r="AL2" s="48" t="s">
        <v>93</v>
      </c>
      <c r="AM2" s="48" t="s">
        <v>88</v>
      </c>
      <c r="AN2" s="48" t="s">
        <v>65</v>
      </c>
      <c r="AO2" s="48" t="s">
        <v>88</v>
      </c>
      <c r="AP2" s="48" t="s">
        <v>66</v>
      </c>
      <c r="AQ2" s="48" t="s">
        <v>88</v>
      </c>
      <c r="AR2" s="48" t="s">
        <v>67</v>
      </c>
      <c r="AS2" s="48" t="s">
        <v>92</v>
      </c>
      <c r="AT2" s="48" t="s">
        <v>68</v>
      </c>
      <c r="AU2" s="48" t="s">
        <v>92</v>
      </c>
      <c r="AV2" s="48" t="s">
        <v>69</v>
      </c>
      <c r="AW2" s="48" t="s">
        <v>92</v>
      </c>
      <c r="AX2" s="48" t="s">
        <v>70</v>
      </c>
      <c r="AY2" s="48" t="s">
        <v>88</v>
      </c>
      <c r="AZ2" s="48" t="s">
        <v>71</v>
      </c>
      <c r="BA2" s="48" t="s">
        <v>88</v>
      </c>
      <c r="BB2" s="48" t="s">
        <v>94</v>
      </c>
      <c r="BC2" s="48" t="s">
        <v>88</v>
      </c>
      <c r="BD2" s="48" t="s">
        <v>95</v>
      </c>
      <c r="BE2" s="48" t="s">
        <v>88</v>
      </c>
      <c r="BF2" s="48" t="s">
        <v>96</v>
      </c>
      <c r="BG2" s="48" t="s">
        <v>88</v>
      </c>
      <c r="BH2" s="58" t="s">
        <v>97</v>
      </c>
      <c r="BI2" s="58" t="s">
        <v>92</v>
      </c>
      <c r="BJ2" s="58" t="s">
        <v>98</v>
      </c>
      <c r="BK2" s="58" t="s">
        <v>99</v>
      </c>
      <c r="BL2" s="48" t="s">
        <v>100</v>
      </c>
      <c r="BM2" s="48" t="s">
        <v>92</v>
      </c>
      <c r="BN2" s="48"/>
      <c r="BO2" s="48"/>
      <c r="BP2" s="48" t="s">
        <v>101</v>
      </c>
      <c r="BQ2" s="48" t="s">
        <v>92</v>
      </c>
      <c r="BR2" s="48"/>
      <c r="BS2" s="48"/>
      <c r="BT2" s="58" t="s">
        <v>101</v>
      </c>
      <c r="BU2" s="59" t="s">
        <v>102</v>
      </c>
      <c r="BV2" s="59" t="s">
        <v>103</v>
      </c>
      <c r="BW2" s="60" t="s">
        <v>104</v>
      </c>
      <c r="BX2" s="61" t="s">
        <v>105</v>
      </c>
      <c r="BY2" s="61" t="s">
        <v>106</v>
      </c>
      <c r="BZ2" s="61" t="s">
        <v>56</v>
      </c>
      <c r="CA2" s="48" t="s">
        <v>107</v>
      </c>
      <c r="CB2" s="48" t="s">
        <v>92</v>
      </c>
      <c r="CC2" s="58" t="s">
        <v>108</v>
      </c>
      <c r="CD2" s="58" t="s">
        <v>109</v>
      </c>
      <c r="CE2" s="58" t="s">
        <v>105</v>
      </c>
      <c r="CF2" s="58" t="s">
        <v>110</v>
      </c>
      <c r="CG2" s="62" t="s">
        <v>105</v>
      </c>
      <c r="CH2" s="58" t="s">
        <v>111</v>
      </c>
      <c r="CI2" s="58" t="s">
        <v>105</v>
      </c>
      <c r="CJ2" s="58" t="s">
        <v>112</v>
      </c>
      <c r="CK2" s="63" t="s">
        <v>92</v>
      </c>
      <c r="CL2" s="63" t="s">
        <v>113</v>
      </c>
      <c r="CM2" s="63" t="s">
        <v>114</v>
      </c>
      <c r="CN2" s="63" t="s">
        <v>115</v>
      </c>
      <c r="CO2" s="63" t="s">
        <v>116</v>
      </c>
      <c r="CP2" s="63" t="s">
        <v>117</v>
      </c>
      <c r="CQ2" s="63" t="s">
        <v>115</v>
      </c>
      <c r="CR2" s="63" t="s">
        <v>116</v>
      </c>
      <c r="CS2" s="63" t="s">
        <v>118</v>
      </c>
      <c r="CT2" s="63" t="s">
        <v>115</v>
      </c>
      <c r="CU2" s="63" t="s">
        <v>116</v>
      </c>
      <c r="CV2" s="48"/>
      <c r="CW2" s="63" t="s">
        <v>115</v>
      </c>
      <c r="CX2" s="63" t="s">
        <v>116</v>
      </c>
      <c r="CY2" s="48"/>
      <c r="CZ2" s="63" t="s">
        <v>115</v>
      </c>
      <c r="DA2" s="63" t="s">
        <v>116</v>
      </c>
      <c r="DB2" s="48"/>
      <c r="DC2" s="63" t="s">
        <v>115</v>
      </c>
      <c r="DD2" s="63" t="s">
        <v>116</v>
      </c>
      <c r="DE2" s="48"/>
      <c r="DF2" s="63" t="s">
        <v>115</v>
      </c>
      <c r="DG2" s="63" t="s">
        <v>116</v>
      </c>
      <c r="DH2" s="48"/>
      <c r="DI2" s="63" t="s">
        <v>115</v>
      </c>
      <c r="DJ2" s="63" t="s">
        <v>116</v>
      </c>
      <c r="DK2" s="48"/>
      <c r="DL2" s="63" t="s">
        <v>115</v>
      </c>
      <c r="DM2" s="63" t="s">
        <v>116</v>
      </c>
      <c r="DN2" s="48"/>
      <c r="DO2" s="63" t="s">
        <v>115</v>
      </c>
      <c r="DP2" s="63" t="s">
        <v>116</v>
      </c>
      <c r="DQ2" s="48"/>
      <c r="DR2" s="63" t="s">
        <v>115</v>
      </c>
      <c r="DS2" s="63" t="s">
        <v>116</v>
      </c>
      <c r="DT2" s="48"/>
      <c r="DU2" s="63" t="s">
        <v>115</v>
      </c>
      <c r="DV2" s="63" t="s">
        <v>116</v>
      </c>
      <c r="DW2" s="64">
        <v>145</v>
      </c>
      <c r="DX2" s="65" t="s">
        <v>56</v>
      </c>
      <c r="DY2" s="64">
        <v>146</v>
      </c>
      <c r="DZ2" s="66" t="s">
        <v>56</v>
      </c>
      <c r="EA2" s="66" t="s">
        <v>119</v>
      </c>
      <c r="EB2" s="66" t="s">
        <v>56</v>
      </c>
      <c r="EC2" s="66" t="s">
        <v>120</v>
      </c>
      <c r="ED2" s="66" t="s">
        <v>56</v>
      </c>
      <c r="EE2" s="9" t="s">
        <v>121</v>
      </c>
      <c r="EF2" s="10" t="s">
        <v>122</v>
      </c>
      <c r="EG2" s="67" t="s">
        <v>123</v>
      </c>
      <c r="EH2" s="66" t="s">
        <v>124</v>
      </c>
      <c r="EI2" s="66" t="s">
        <v>125</v>
      </c>
      <c r="EJ2" s="65" t="s">
        <v>126</v>
      </c>
    </row>
    <row r="3" spans="1:143" s="21" customFormat="1" ht="15.75" thickBot="1" x14ac:dyDescent="0.3">
      <c r="A3" s="68">
        <v>44255</v>
      </c>
      <c r="B3" s="69">
        <v>6452825</v>
      </c>
      <c r="C3" s="70">
        <v>5869</v>
      </c>
      <c r="D3" s="69">
        <v>5701596</v>
      </c>
      <c r="E3" s="70">
        <v>5606</v>
      </c>
      <c r="F3" s="71">
        <v>0.95518827699999997</v>
      </c>
      <c r="G3" s="71">
        <v>524</v>
      </c>
      <c r="H3" s="71">
        <v>478</v>
      </c>
      <c r="I3" s="93">
        <v>287894</v>
      </c>
      <c r="J3" s="73">
        <v>0</v>
      </c>
      <c r="K3" s="72">
        <v>773</v>
      </c>
      <c r="L3" s="73">
        <v>0</v>
      </c>
      <c r="M3" s="74">
        <v>633765</v>
      </c>
      <c r="N3" s="70">
        <v>0</v>
      </c>
      <c r="O3" s="74">
        <v>991</v>
      </c>
      <c r="P3" s="73">
        <v>0</v>
      </c>
      <c r="Q3" s="69">
        <v>2545624</v>
      </c>
      <c r="R3" s="73">
        <v>25</v>
      </c>
      <c r="S3" s="69">
        <v>2191525</v>
      </c>
      <c r="T3" s="73">
        <v>1</v>
      </c>
      <c r="U3" s="69">
        <v>107968</v>
      </c>
      <c r="V3" s="73">
        <v>29</v>
      </c>
      <c r="W3" s="89">
        <v>100</v>
      </c>
      <c r="X3" s="74">
        <v>152370</v>
      </c>
      <c r="Y3" s="73">
        <v>0</v>
      </c>
      <c r="Z3" s="74">
        <v>39467</v>
      </c>
      <c r="AA3" s="78">
        <v>3</v>
      </c>
      <c r="AB3" s="74">
        <v>1110</v>
      </c>
      <c r="AC3" s="102">
        <v>0</v>
      </c>
      <c r="AD3" s="74">
        <v>4521</v>
      </c>
      <c r="AE3" s="79">
        <v>0</v>
      </c>
      <c r="AF3" s="69">
        <v>579380</v>
      </c>
      <c r="AG3" s="73">
        <v>30</v>
      </c>
      <c r="AH3" s="69">
        <v>579860</v>
      </c>
      <c r="AI3" s="73">
        <v>10</v>
      </c>
      <c r="AJ3" s="80">
        <v>458</v>
      </c>
      <c r="AK3" s="70">
        <v>0</v>
      </c>
      <c r="AL3" s="69">
        <v>52216</v>
      </c>
      <c r="AM3" s="77">
        <v>1</v>
      </c>
      <c r="AN3" s="69">
        <v>8909</v>
      </c>
      <c r="AO3" s="70">
        <v>0</v>
      </c>
      <c r="AP3" s="69">
        <v>10571</v>
      </c>
      <c r="AQ3" s="73">
        <v>0</v>
      </c>
      <c r="AR3" s="69">
        <v>14547</v>
      </c>
      <c r="AS3" s="73">
        <v>0</v>
      </c>
      <c r="AT3" s="69">
        <v>19369</v>
      </c>
      <c r="AU3" s="77">
        <v>0</v>
      </c>
      <c r="AV3" s="69">
        <v>20677</v>
      </c>
      <c r="AW3" s="78">
        <v>0</v>
      </c>
      <c r="AX3" s="69">
        <v>13871</v>
      </c>
      <c r="AY3" s="78">
        <v>0</v>
      </c>
      <c r="AZ3" s="69">
        <v>6189</v>
      </c>
      <c r="BA3" s="79">
        <v>0</v>
      </c>
      <c r="BB3" s="69">
        <v>26455</v>
      </c>
      <c r="BC3" s="79">
        <v>1</v>
      </c>
      <c r="BD3" s="69">
        <v>1115</v>
      </c>
      <c r="BE3" s="79">
        <v>0</v>
      </c>
      <c r="BF3" s="69">
        <v>4369</v>
      </c>
      <c r="BG3" s="79">
        <v>0</v>
      </c>
      <c r="BH3" s="69">
        <v>3636</v>
      </c>
      <c r="BI3" s="70">
        <v>0</v>
      </c>
      <c r="BJ3" s="78">
        <v>0</v>
      </c>
      <c r="BK3" s="78">
        <v>10</v>
      </c>
      <c r="BL3" s="74">
        <v>600230</v>
      </c>
      <c r="BM3" s="78">
        <v>30</v>
      </c>
      <c r="BN3" s="88">
        <v>676</v>
      </c>
      <c r="BO3" s="81">
        <v>0</v>
      </c>
      <c r="BP3" s="74">
        <v>778120</v>
      </c>
      <c r="BQ3" s="78">
        <v>10</v>
      </c>
      <c r="BR3" s="88">
        <v>6487</v>
      </c>
      <c r="BS3" s="78">
        <v>0</v>
      </c>
      <c r="BT3" s="81">
        <v>0</v>
      </c>
      <c r="BU3" s="78">
        <v>40</v>
      </c>
      <c r="BV3" s="82">
        <v>1</v>
      </c>
      <c r="BW3" s="69">
        <v>126</v>
      </c>
      <c r="BX3" s="83">
        <v>15750.41</v>
      </c>
      <c r="BY3" s="69"/>
      <c r="BZ3" s="103">
        <v>0</v>
      </c>
      <c r="CA3" s="84">
        <v>206430</v>
      </c>
      <c r="CB3" s="78">
        <v>0.3</v>
      </c>
      <c r="CC3" s="81">
        <v>1.7130000000000001</v>
      </c>
      <c r="CD3" s="84">
        <v>43</v>
      </c>
      <c r="CE3" s="104">
        <v>4633</v>
      </c>
      <c r="CF3" s="84">
        <v>42</v>
      </c>
      <c r="CG3" s="81">
        <v>4526</v>
      </c>
      <c r="CH3" s="84">
        <v>44</v>
      </c>
      <c r="CI3" s="105">
        <v>4741</v>
      </c>
      <c r="CJ3" s="106">
        <v>13900</v>
      </c>
      <c r="CK3" s="107">
        <v>108</v>
      </c>
      <c r="CL3" s="76"/>
      <c r="CM3" s="69">
        <v>34470</v>
      </c>
      <c r="CN3" s="78">
        <v>1</v>
      </c>
      <c r="CO3" s="81">
        <v>2.44</v>
      </c>
      <c r="CP3" s="69">
        <v>34300</v>
      </c>
      <c r="CQ3" s="78">
        <v>0</v>
      </c>
      <c r="CR3" s="81">
        <v>0</v>
      </c>
      <c r="CS3" s="74">
        <v>10235.6</v>
      </c>
      <c r="CT3" s="78">
        <v>0</v>
      </c>
      <c r="CU3" s="81">
        <v>0</v>
      </c>
      <c r="CV3" s="74">
        <v>832139</v>
      </c>
      <c r="CW3" s="78">
        <v>0</v>
      </c>
      <c r="CX3" s="81">
        <v>0</v>
      </c>
      <c r="CY3" s="69">
        <v>5950</v>
      </c>
      <c r="CZ3" s="78">
        <v>0.6</v>
      </c>
      <c r="DA3" s="81">
        <v>1.4339999999999999</v>
      </c>
      <c r="DB3" s="69">
        <v>7420</v>
      </c>
      <c r="DC3" s="78">
        <v>0</v>
      </c>
      <c r="DD3" s="78">
        <v>0</v>
      </c>
      <c r="DE3" s="74">
        <v>3840</v>
      </c>
      <c r="DF3" s="78">
        <v>0</v>
      </c>
      <c r="DG3" s="78">
        <v>0</v>
      </c>
      <c r="DH3" s="69">
        <v>1855.9</v>
      </c>
      <c r="DI3" s="78">
        <v>0</v>
      </c>
      <c r="DJ3" s="78">
        <v>0</v>
      </c>
      <c r="DK3" s="69">
        <v>5081.7</v>
      </c>
      <c r="DL3" s="78">
        <v>0</v>
      </c>
      <c r="DM3" s="78">
        <v>0</v>
      </c>
      <c r="DN3" s="69">
        <v>4454.7</v>
      </c>
      <c r="DO3" s="78">
        <v>0</v>
      </c>
      <c r="DP3" s="78">
        <v>0</v>
      </c>
      <c r="DQ3" s="69">
        <v>5089.6000000000004</v>
      </c>
      <c r="DR3" s="78">
        <v>0</v>
      </c>
      <c r="DS3" s="78">
        <v>0</v>
      </c>
      <c r="DT3" s="69">
        <v>4813</v>
      </c>
      <c r="DU3" s="78">
        <v>4.0999999999999996</v>
      </c>
      <c r="DV3" s="81">
        <v>9.7989999999999995</v>
      </c>
      <c r="DW3" s="69">
        <v>12871</v>
      </c>
      <c r="DX3" s="81">
        <v>0</v>
      </c>
      <c r="DY3" s="69">
        <v>62789</v>
      </c>
      <c r="DZ3" s="111">
        <v>0</v>
      </c>
      <c r="EA3" s="69">
        <v>15599</v>
      </c>
      <c r="EB3" s="111">
        <v>0</v>
      </c>
      <c r="EC3" s="69">
        <v>24679</v>
      </c>
      <c r="ED3" s="111">
        <v>0</v>
      </c>
      <c r="EE3" s="69">
        <v>2</v>
      </c>
      <c r="EF3" s="69">
        <v>6</v>
      </c>
      <c r="EG3" s="85">
        <v>1.4999999999999999E-2</v>
      </c>
      <c r="EH3" s="68"/>
      <c r="EI3" s="68"/>
      <c r="EJ3" s="68"/>
      <c r="EK3"/>
      <c r="EL3"/>
      <c r="EM3"/>
    </row>
    <row r="4" spans="1:143" ht="15.75" thickBot="1" x14ac:dyDescent="0.3">
      <c r="A4" s="68">
        <v>44256</v>
      </c>
      <c r="B4" s="86">
        <v>6459307</v>
      </c>
      <c r="C4" s="70">
        <v>6482</v>
      </c>
      <c r="D4" s="74">
        <v>5707862</v>
      </c>
      <c r="E4" s="70">
        <v>6266</v>
      </c>
      <c r="F4" s="71">
        <v>0.96667695200000003</v>
      </c>
      <c r="G4" s="71">
        <v>320</v>
      </c>
      <c r="H4" s="71">
        <v>478</v>
      </c>
      <c r="I4" s="93">
        <v>287894</v>
      </c>
      <c r="J4" s="73">
        <v>0</v>
      </c>
      <c r="K4" s="72">
        <v>773</v>
      </c>
      <c r="L4" s="73">
        <v>0</v>
      </c>
      <c r="M4" s="74">
        <v>633765</v>
      </c>
      <c r="N4" s="73">
        <v>0</v>
      </c>
      <c r="O4" s="74">
        <v>991</v>
      </c>
      <c r="P4" s="73">
        <v>0</v>
      </c>
      <c r="Q4" s="74">
        <v>2545720</v>
      </c>
      <c r="R4" s="73">
        <v>96</v>
      </c>
      <c r="S4" s="74">
        <v>2191529</v>
      </c>
      <c r="T4" s="73">
        <v>4</v>
      </c>
      <c r="U4" s="71">
        <v>108024</v>
      </c>
      <c r="V4" s="73">
        <v>56</v>
      </c>
      <c r="W4" s="89">
        <v>100</v>
      </c>
      <c r="X4" s="74">
        <v>152370</v>
      </c>
      <c r="Y4" s="70">
        <v>0</v>
      </c>
      <c r="Z4" s="74">
        <v>39467</v>
      </c>
      <c r="AA4" s="78">
        <v>0</v>
      </c>
      <c r="AB4" s="98">
        <v>1110</v>
      </c>
      <c r="AC4" s="102">
        <v>0</v>
      </c>
      <c r="AD4" s="72">
        <v>4521</v>
      </c>
      <c r="AE4" s="79">
        <v>0</v>
      </c>
      <c r="AF4" s="74">
        <v>579390</v>
      </c>
      <c r="AG4" s="73">
        <v>10</v>
      </c>
      <c r="AH4" s="74">
        <v>579890</v>
      </c>
      <c r="AI4" s="73">
        <v>30</v>
      </c>
      <c r="AJ4" s="87">
        <v>458</v>
      </c>
      <c r="AK4" s="70">
        <v>0</v>
      </c>
      <c r="AL4" s="89">
        <v>52217</v>
      </c>
      <c r="AM4" s="77">
        <v>1</v>
      </c>
      <c r="AN4" s="72">
        <v>8909</v>
      </c>
      <c r="AO4" s="70">
        <v>0</v>
      </c>
      <c r="AP4" s="74">
        <v>10571</v>
      </c>
      <c r="AQ4" s="70">
        <v>0</v>
      </c>
      <c r="AR4" s="74">
        <v>14548</v>
      </c>
      <c r="AS4" s="70">
        <v>1</v>
      </c>
      <c r="AT4" s="74">
        <v>19369</v>
      </c>
      <c r="AU4" s="70">
        <v>0</v>
      </c>
      <c r="AV4" s="74">
        <v>20677</v>
      </c>
      <c r="AW4" s="78">
        <v>0</v>
      </c>
      <c r="AX4" s="69">
        <v>13871</v>
      </c>
      <c r="AY4" s="78">
        <v>0</v>
      </c>
      <c r="AZ4" s="74">
        <v>6190</v>
      </c>
      <c r="BA4" s="70">
        <v>1</v>
      </c>
      <c r="BB4" s="74">
        <v>26455</v>
      </c>
      <c r="BC4" s="70">
        <v>0</v>
      </c>
      <c r="BD4" s="74">
        <v>1115</v>
      </c>
      <c r="BE4" s="70">
        <v>0</v>
      </c>
      <c r="BF4" s="74">
        <v>4371</v>
      </c>
      <c r="BG4" s="70">
        <v>2</v>
      </c>
      <c r="BH4" s="74">
        <v>3636</v>
      </c>
      <c r="BI4" s="70">
        <v>0</v>
      </c>
      <c r="BJ4" s="78">
        <v>1</v>
      </c>
      <c r="BK4" s="78">
        <v>29</v>
      </c>
      <c r="BL4" s="74">
        <v>600250</v>
      </c>
      <c r="BM4" s="78">
        <v>20</v>
      </c>
      <c r="BN4" s="88">
        <v>676</v>
      </c>
      <c r="BO4" s="70">
        <v>0</v>
      </c>
      <c r="BP4" s="74">
        <v>778150</v>
      </c>
      <c r="BQ4" s="78">
        <v>30</v>
      </c>
      <c r="BR4" s="88">
        <v>6488</v>
      </c>
      <c r="BS4" s="78">
        <v>1</v>
      </c>
      <c r="BT4" s="81">
        <v>0</v>
      </c>
      <c r="BU4" s="78">
        <v>50</v>
      </c>
      <c r="BV4" s="82">
        <v>3</v>
      </c>
      <c r="BW4" s="74">
        <v>126</v>
      </c>
      <c r="BX4" s="83">
        <v>15750.41</v>
      </c>
      <c r="BY4" s="89"/>
      <c r="BZ4" s="103">
        <v>0</v>
      </c>
      <c r="CA4" s="93">
        <v>206431</v>
      </c>
      <c r="CB4" s="78">
        <v>1</v>
      </c>
      <c r="CC4" s="81">
        <v>5.71</v>
      </c>
      <c r="CD4" s="98">
        <v>43</v>
      </c>
      <c r="CE4" s="104">
        <v>4633</v>
      </c>
      <c r="CF4" s="93">
        <v>42</v>
      </c>
      <c r="CG4" s="81">
        <v>4526</v>
      </c>
      <c r="CH4" s="98">
        <v>44</v>
      </c>
      <c r="CI4" s="105">
        <v>4741</v>
      </c>
      <c r="CJ4" s="106">
        <v>13900</v>
      </c>
      <c r="CK4" s="107">
        <v>0</v>
      </c>
      <c r="CL4" s="74"/>
      <c r="CM4" s="74">
        <v>34471</v>
      </c>
      <c r="CN4" s="78">
        <v>1</v>
      </c>
      <c r="CO4" s="81">
        <v>2.44</v>
      </c>
      <c r="CP4" s="69">
        <v>34300</v>
      </c>
      <c r="CQ4" s="78">
        <v>0</v>
      </c>
      <c r="CR4" s="81">
        <v>0</v>
      </c>
      <c r="CS4" s="74">
        <v>10235.6</v>
      </c>
      <c r="CT4" s="78">
        <v>0</v>
      </c>
      <c r="CU4" s="81">
        <v>0</v>
      </c>
      <c r="CV4" s="74">
        <v>832139</v>
      </c>
      <c r="CW4" s="78">
        <v>0</v>
      </c>
      <c r="CX4" s="81">
        <v>0</v>
      </c>
      <c r="CY4" s="72">
        <v>5951</v>
      </c>
      <c r="CZ4" s="78">
        <v>1</v>
      </c>
      <c r="DA4" s="81">
        <v>2.39</v>
      </c>
      <c r="DB4" s="74">
        <v>7420</v>
      </c>
      <c r="DC4" s="78">
        <v>0</v>
      </c>
      <c r="DD4" s="78">
        <v>0</v>
      </c>
      <c r="DE4" s="74">
        <v>3840</v>
      </c>
      <c r="DF4" s="78">
        <v>0</v>
      </c>
      <c r="DG4" s="78">
        <v>0</v>
      </c>
      <c r="DH4" s="74">
        <v>1855.9</v>
      </c>
      <c r="DI4" s="78">
        <v>0</v>
      </c>
      <c r="DJ4" s="78">
        <v>0</v>
      </c>
      <c r="DK4" s="74">
        <v>5081.7</v>
      </c>
      <c r="DL4" s="78">
        <v>0</v>
      </c>
      <c r="DM4" s="78">
        <v>0</v>
      </c>
      <c r="DN4" s="74">
        <v>4454.7</v>
      </c>
      <c r="DO4" s="78">
        <v>0</v>
      </c>
      <c r="DP4" s="78">
        <v>0</v>
      </c>
      <c r="DQ4" s="74">
        <v>5089.6000000000004</v>
      </c>
      <c r="DR4" s="78">
        <v>0</v>
      </c>
      <c r="DS4" s="78">
        <v>0</v>
      </c>
      <c r="DT4" s="74">
        <v>4819</v>
      </c>
      <c r="DU4" s="78">
        <v>6</v>
      </c>
      <c r="DV4" s="81">
        <v>14.34</v>
      </c>
      <c r="DW4" s="89">
        <v>12871</v>
      </c>
      <c r="DX4" s="81">
        <v>0</v>
      </c>
      <c r="DY4" s="89">
        <v>62789</v>
      </c>
      <c r="DZ4" s="81">
        <v>0</v>
      </c>
      <c r="EA4" s="90">
        <v>15599</v>
      </c>
      <c r="EB4" s="81">
        <v>0</v>
      </c>
      <c r="EC4" s="69">
        <v>24679</v>
      </c>
      <c r="ED4" s="81">
        <v>0</v>
      </c>
      <c r="EE4" s="90">
        <v>2</v>
      </c>
      <c r="EF4" s="91">
        <v>6</v>
      </c>
      <c r="EG4" s="85">
        <v>1.4999999999999999E-2</v>
      </c>
      <c r="EH4" s="108"/>
      <c r="EI4" s="68"/>
      <c r="EJ4" s="68"/>
      <c r="EK4"/>
      <c r="EL4"/>
      <c r="EM4"/>
    </row>
    <row r="5" spans="1:143" ht="15.75" thickBot="1" x14ac:dyDescent="0.3">
      <c r="A5" s="68">
        <v>44257</v>
      </c>
      <c r="B5" s="71">
        <v>6465622</v>
      </c>
      <c r="C5" s="70">
        <v>6315</v>
      </c>
      <c r="D5" s="71">
        <v>5713921</v>
      </c>
      <c r="E5" s="70">
        <v>6059</v>
      </c>
      <c r="F5" s="71">
        <v>0.95946159900000005</v>
      </c>
      <c r="G5" s="71">
        <v>340</v>
      </c>
      <c r="H5" s="71">
        <v>478</v>
      </c>
      <c r="I5" s="93">
        <v>287894</v>
      </c>
      <c r="J5" s="73">
        <v>0</v>
      </c>
      <c r="K5" s="72">
        <v>773</v>
      </c>
      <c r="L5" s="73">
        <v>0</v>
      </c>
      <c r="M5" s="74">
        <v>633765</v>
      </c>
      <c r="N5" s="73">
        <v>0</v>
      </c>
      <c r="O5" s="74">
        <v>991</v>
      </c>
      <c r="P5" s="73">
        <v>0</v>
      </c>
      <c r="Q5" s="74">
        <v>2545783</v>
      </c>
      <c r="R5" s="73">
        <v>63</v>
      </c>
      <c r="S5" s="74">
        <v>2191577</v>
      </c>
      <c r="T5" s="73">
        <v>48</v>
      </c>
      <c r="U5" s="74">
        <v>108084</v>
      </c>
      <c r="V5" s="73">
        <v>60</v>
      </c>
      <c r="W5" s="89">
        <v>100</v>
      </c>
      <c r="X5" s="74">
        <v>152370</v>
      </c>
      <c r="Y5" s="70">
        <v>0</v>
      </c>
      <c r="Z5" s="92">
        <v>39479</v>
      </c>
      <c r="AA5" s="78">
        <v>12</v>
      </c>
      <c r="AB5" s="89">
        <v>1110</v>
      </c>
      <c r="AC5" s="102">
        <v>0</v>
      </c>
      <c r="AD5" s="93">
        <v>4521</v>
      </c>
      <c r="AE5" s="79">
        <v>0</v>
      </c>
      <c r="AF5" s="71">
        <v>579400</v>
      </c>
      <c r="AG5" s="73">
        <v>10</v>
      </c>
      <c r="AH5" s="71">
        <v>579910</v>
      </c>
      <c r="AI5" s="73">
        <v>20</v>
      </c>
      <c r="AJ5" s="87">
        <v>461</v>
      </c>
      <c r="AK5" s="70">
        <v>3</v>
      </c>
      <c r="AL5" s="98">
        <v>52221</v>
      </c>
      <c r="AM5" s="77">
        <v>4</v>
      </c>
      <c r="AN5" s="93">
        <v>8909</v>
      </c>
      <c r="AO5" s="70">
        <v>0</v>
      </c>
      <c r="AP5" s="71">
        <v>10571</v>
      </c>
      <c r="AQ5" s="70">
        <v>0</v>
      </c>
      <c r="AR5" s="71">
        <v>14548</v>
      </c>
      <c r="AS5" s="70">
        <v>0</v>
      </c>
      <c r="AT5" s="74">
        <v>19369</v>
      </c>
      <c r="AU5" s="70">
        <v>0</v>
      </c>
      <c r="AV5" s="74">
        <v>20677</v>
      </c>
      <c r="AW5" s="78">
        <v>0</v>
      </c>
      <c r="AX5" s="74">
        <v>13871</v>
      </c>
      <c r="AY5" s="78">
        <v>0</v>
      </c>
      <c r="AZ5" s="74">
        <v>6190</v>
      </c>
      <c r="BA5" s="70">
        <v>0</v>
      </c>
      <c r="BB5" s="71">
        <v>26456</v>
      </c>
      <c r="BC5" s="70">
        <v>1</v>
      </c>
      <c r="BD5" s="71">
        <v>1115</v>
      </c>
      <c r="BE5" s="70">
        <v>0</v>
      </c>
      <c r="BF5" s="71">
        <v>4371</v>
      </c>
      <c r="BG5" s="70">
        <v>0</v>
      </c>
      <c r="BH5" s="74">
        <v>3636</v>
      </c>
      <c r="BI5" s="70">
        <v>0</v>
      </c>
      <c r="BJ5" s="78">
        <v>0</v>
      </c>
      <c r="BK5" s="78">
        <v>20</v>
      </c>
      <c r="BL5" s="71">
        <v>600270</v>
      </c>
      <c r="BM5" s="78">
        <v>20</v>
      </c>
      <c r="BN5" s="87">
        <v>676</v>
      </c>
      <c r="BO5" s="70">
        <v>0</v>
      </c>
      <c r="BP5" s="74">
        <v>778180</v>
      </c>
      <c r="BQ5" s="78">
        <v>30</v>
      </c>
      <c r="BR5" s="87">
        <v>6492</v>
      </c>
      <c r="BS5" s="78">
        <v>4</v>
      </c>
      <c r="BT5" s="81">
        <v>10</v>
      </c>
      <c r="BU5" s="78">
        <v>50</v>
      </c>
      <c r="BV5" s="82">
        <v>4</v>
      </c>
      <c r="BW5" s="74">
        <v>126</v>
      </c>
      <c r="BX5" s="83">
        <v>15750.41</v>
      </c>
      <c r="BY5" s="74"/>
      <c r="BZ5" s="103">
        <v>0</v>
      </c>
      <c r="CA5" s="71">
        <v>206452</v>
      </c>
      <c r="CB5" s="78">
        <v>21</v>
      </c>
      <c r="CC5" s="81">
        <v>119.91</v>
      </c>
      <c r="CD5" s="98">
        <v>43</v>
      </c>
      <c r="CE5" s="104">
        <v>4633</v>
      </c>
      <c r="CF5" s="93">
        <v>42</v>
      </c>
      <c r="CG5" s="81">
        <v>4526</v>
      </c>
      <c r="CH5" s="98">
        <v>43</v>
      </c>
      <c r="CI5" s="105">
        <v>4633</v>
      </c>
      <c r="CJ5" s="106">
        <v>13792</v>
      </c>
      <c r="CK5" s="107">
        <v>108</v>
      </c>
      <c r="CL5" s="74"/>
      <c r="CM5" s="71">
        <v>34473</v>
      </c>
      <c r="CN5" s="78">
        <v>2</v>
      </c>
      <c r="CO5" s="81">
        <v>4.88</v>
      </c>
      <c r="CP5" s="74">
        <v>34300</v>
      </c>
      <c r="CQ5" s="78">
        <v>0</v>
      </c>
      <c r="CR5" s="81">
        <v>0</v>
      </c>
      <c r="CS5" s="74">
        <v>10235.6</v>
      </c>
      <c r="CT5" s="78">
        <v>0</v>
      </c>
      <c r="CU5" s="81">
        <v>0</v>
      </c>
      <c r="CV5" s="74">
        <v>832144</v>
      </c>
      <c r="CW5" s="78">
        <v>5</v>
      </c>
      <c r="CX5" s="81">
        <v>12.2</v>
      </c>
      <c r="CY5" s="74">
        <v>5953</v>
      </c>
      <c r="CZ5" s="78">
        <v>2</v>
      </c>
      <c r="DA5" s="81">
        <v>4.78</v>
      </c>
      <c r="DB5" s="71">
        <v>7420</v>
      </c>
      <c r="DC5" s="78">
        <v>0</v>
      </c>
      <c r="DD5" s="78">
        <v>0</v>
      </c>
      <c r="DE5" s="71">
        <v>3840</v>
      </c>
      <c r="DF5" s="78">
        <v>0</v>
      </c>
      <c r="DG5" s="78">
        <v>0</v>
      </c>
      <c r="DH5" s="74">
        <v>1855.9</v>
      </c>
      <c r="DI5" s="78">
        <v>0</v>
      </c>
      <c r="DJ5" s="78">
        <v>0</v>
      </c>
      <c r="DK5" s="74">
        <v>5081.7</v>
      </c>
      <c r="DL5" s="78">
        <v>0</v>
      </c>
      <c r="DM5" s="78">
        <v>0</v>
      </c>
      <c r="DN5" s="74">
        <v>4454.7</v>
      </c>
      <c r="DO5" s="78">
        <v>0</v>
      </c>
      <c r="DP5" s="78">
        <v>0</v>
      </c>
      <c r="DQ5" s="74">
        <v>5089.6000000000004</v>
      </c>
      <c r="DR5" s="78">
        <v>0</v>
      </c>
      <c r="DS5" s="78">
        <v>0</v>
      </c>
      <c r="DT5" s="74">
        <v>4821</v>
      </c>
      <c r="DU5" s="78">
        <v>2</v>
      </c>
      <c r="DV5" s="81">
        <v>4.78</v>
      </c>
      <c r="DW5" s="89">
        <v>12871</v>
      </c>
      <c r="DX5" s="81">
        <v>0</v>
      </c>
      <c r="DY5" s="89">
        <v>62789</v>
      </c>
      <c r="DZ5" s="81">
        <v>0</v>
      </c>
      <c r="EA5" s="90">
        <v>15599</v>
      </c>
      <c r="EB5" s="81">
        <v>0</v>
      </c>
      <c r="EC5" s="69">
        <v>24679</v>
      </c>
      <c r="ED5" s="81">
        <v>0</v>
      </c>
      <c r="EE5" s="90">
        <v>2</v>
      </c>
      <c r="EF5" s="91">
        <v>6</v>
      </c>
      <c r="EG5" s="85">
        <v>1.4999999999999999E-2</v>
      </c>
      <c r="EH5" s="108"/>
      <c r="EI5" s="68"/>
      <c r="EJ5" s="68"/>
      <c r="EK5"/>
      <c r="EL5"/>
      <c r="EM5"/>
    </row>
    <row r="6" spans="1:143" s="21" customFormat="1" ht="15.75" thickBot="1" x14ac:dyDescent="0.3">
      <c r="A6" s="68">
        <v>44258</v>
      </c>
      <c r="B6" s="71">
        <v>6472310</v>
      </c>
      <c r="C6" s="70">
        <v>6688</v>
      </c>
      <c r="D6" s="71">
        <v>5720396</v>
      </c>
      <c r="E6" s="70">
        <v>6475</v>
      </c>
      <c r="F6" s="71">
        <v>0.968151914</v>
      </c>
      <c r="G6" s="71">
        <v>374</v>
      </c>
      <c r="H6" s="72">
        <v>478</v>
      </c>
      <c r="I6" s="72">
        <v>287894</v>
      </c>
      <c r="J6" s="73">
        <v>0</v>
      </c>
      <c r="K6" s="72">
        <v>773</v>
      </c>
      <c r="L6" s="73">
        <v>0</v>
      </c>
      <c r="M6" s="74">
        <v>633765</v>
      </c>
      <c r="N6" s="73">
        <v>0</v>
      </c>
      <c r="O6" s="74">
        <v>991</v>
      </c>
      <c r="P6" s="73">
        <v>0</v>
      </c>
      <c r="Q6" s="74">
        <v>2545816</v>
      </c>
      <c r="R6" s="73">
        <v>33</v>
      </c>
      <c r="S6" s="74">
        <v>2191578</v>
      </c>
      <c r="T6" s="73">
        <v>1</v>
      </c>
      <c r="U6" s="74">
        <v>108155</v>
      </c>
      <c r="V6" s="73">
        <v>71</v>
      </c>
      <c r="W6" s="98">
        <v>100</v>
      </c>
      <c r="X6" s="74">
        <v>152370</v>
      </c>
      <c r="Y6" s="70">
        <v>0</v>
      </c>
      <c r="Z6" s="92">
        <v>39485</v>
      </c>
      <c r="AA6" s="78">
        <v>6</v>
      </c>
      <c r="AB6" s="89">
        <v>1110</v>
      </c>
      <c r="AC6" s="102">
        <v>0</v>
      </c>
      <c r="AD6" s="93">
        <v>4521</v>
      </c>
      <c r="AE6" s="79">
        <v>0</v>
      </c>
      <c r="AF6" s="71">
        <v>579450</v>
      </c>
      <c r="AG6" s="73">
        <v>50</v>
      </c>
      <c r="AH6" s="71">
        <v>579940</v>
      </c>
      <c r="AI6" s="73">
        <v>30</v>
      </c>
      <c r="AJ6" s="87">
        <v>465</v>
      </c>
      <c r="AK6" s="70">
        <v>4</v>
      </c>
      <c r="AL6" s="71">
        <v>52222</v>
      </c>
      <c r="AM6" s="77">
        <v>1</v>
      </c>
      <c r="AN6" s="71">
        <v>8909</v>
      </c>
      <c r="AO6" s="70">
        <v>0</v>
      </c>
      <c r="AP6" s="71">
        <v>10571</v>
      </c>
      <c r="AQ6" s="70">
        <v>0</v>
      </c>
      <c r="AR6" s="71">
        <v>14549</v>
      </c>
      <c r="AS6" s="70">
        <v>1</v>
      </c>
      <c r="AT6" s="74">
        <v>19369</v>
      </c>
      <c r="AU6" s="70">
        <v>0</v>
      </c>
      <c r="AV6" s="74">
        <v>20677</v>
      </c>
      <c r="AW6" s="78">
        <v>0</v>
      </c>
      <c r="AX6" s="74">
        <v>13871</v>
      </c>
      <c r="AY6" s="78">
        <v>0</v>
      </c>
      <c r="AZ6" s="74">
        <v>6190</v>
      </c>
      <c r="BA6" s="70">
        <v>0</v>
      </c>
      <c r="BB6" s="71">
        <v>26457</v>
      </c>
      <c r="BC6" s="70">
        <v>1</v>
      </c>
      <c r="BD6" s="71">
        <v>1115</v>
      </c>
      <c r="BE6" s="70">
        <v>0</v>
      </c>
      <c r="BF6" s="71">
        <v>4372</v>
      </c>
      <c r="BG6" s="70">
        <v>1</v>
      </c>
      <c r="BH6" s="74">
        <v>3636</v>
      </c>
      <c r="BI6" s="70">
        <v>0</v>
      </c>
      <c r="BJ6" s="78">
        <v>1</v>
      </c>
      <c r="BK6" s="78">
        <v>29</v>
      </c>
      <c r="BL6" s="71">
        <v>600300</v>
      </c>
      <c r="BM6" s="78">
        <v>30</v>
      </c>
      <c r="BN6" s="87">
        <v>676</v>
      </c>
      <c r="BO6" s="70">
        <v>0</v>
      </c>
      <c r="BP6" s="74">
        <v>778220</v>
      </c>
      <c r="BQ6" s="78">
        <v>40</v>
      </c>
      <c r="BR6" s="87">
        <v>6503</v>
      </c>
      <c r="BS6" s="78">
        <v>11</v>
      </c>
      <c r="BT6" s="81">
        <v>10</v>
      </c>
      <c r="BU6" s="78">
        <v>70</v>
      </c>
      <c r="BV6" s="82">
        <v>2</v>
      </c>
      <c r="BW6" s="74">
        <v>126</v>
      </c>
      <c r="BX6" s="83">
        <v>15750.41</v>
      </c>
      <c r="BY6" s="74"/>
      <c r="BZ6" s="103">
        <v>0</v>
      </c>
      <c r="CA6" s="71">
        <v>206454</v>
      </c>
      <c r="CB6" s="78">
        <v>2</v>
      </c>
      <c r="CC6" s="81">
        <v>11.42</v>
      </c>
      <c r="CD6" s="98">
        <v>43</v>
      </c>
      <c r="CE6" s="104">
        <v>4633</v>
      </c>
      <c r="CF6" s="93">
        <v>42</v>
      </c>
      <c r="CG6" s="81">
        <v>4526</v>
      </c>
      <c r="CH6" s="98">
        <v>43</v>
      </c>
      <c r="CI6" s="105">
        <v>4633</v>
      </c>
      <c r="CJ6" s="106">
        <v>13792</v>
      </c>
      <c r="CK6" s="107">
        <v>0</v>
      </c>
      <c r="CL6" s="74"/>
      <c r="CM6" s="71">
        <v>34475</v>
      </c>
      <c r="CN6" s="78">
        <v>2</v>
      </c>
      <c r="CO6" s="81">
        <v>4.88</v>
      </c>
      <c r="CP6" s="74">
        <v>34300</v>
      </c>
      <c r="CQ6" s="78">
        <v>0</v>
      </c>
      <c r="CR6" s="81">
        <v>0</v>
      </c>
      <c r="CS6" s="74">
        <v>10235.6</v>
      </c>
      <c r="CT6" s="78">
        <v>0</v>
      </c>
      <c r="CU6" s="81">
        <v>0</v>
      </c>
      <c r="CV6" s="74">
        <v>832144</v>
      </c>
      <c r="CW6" s="78">
        <v>0</v>
      </c>
      <c r="CX6" s="81">
        <v>0</v>
      </c>
      <c r="CY6" s="74">
        <v>5954</v>
      </c>
      <c r="CZ6" s="78">
        <v>1</v>
      </c>
      <c r="DA6" s="81">
        <v>2.39</v>
      </c>
      <c r="DB6" s="71">
        <v>7420</v>
      </c>
      <c r="DC6" s="78">
        <v>0</v>
      </c>
      <c r="DD6" s="78">
        <v>0</v>
      </c>
      <c r="DE6" s="71">
        <v>3840</v>
      </c>
      <c r="DF6" s="78">
        <v>0</v>
      </c>
      <c r="DG6" s="78">
        <v>0</v>
      </c>
      <c r="DH6" s="74">
        <v>1855.9</v>
      </c>
      <c r="DI6" s="78">
        <v>0</v>
      </c>
      <c r="DJ6" s="78">
        <v>0</v>
      </c>
      <c r="DK6" s="74">
        <v>5081.7</v>
      </c>
      <c r="DL6" s="78">
        <v>0</v>
      </c>
      <c r="DM6" s="78">
        <v>0</v>
      </c>
      <c r="DN6" s="74">
        <v>4454.7</v>
      </c>
      <c r="DO6" s="78">
        <v>0</v>
      </c>
      <c r="DP6" s="78">
        <v>0</v>
      </c>
      <c r="DQ6" s="74">
        <v>5089.6000000000004</v>
      </c>
      <c r="DR6" s="78">
        <v>0</v>
      </c>
      <c r="DS6" s="78">
        <v>0</v>
      </c>
      <c r="DT6" s="74">
        <v>4825</v>
      </c>
      <c r="DU6" s="78">
        <v>4</v>
      </c>
      <c r="DV6" s="81">
        <v>9.56</v>
      </c>
      <c r="DW6" s="89">
        <v>12871</v>
      </c>
      <c r="DX6" s="81">
        <v>0</v>
      </c>
      <c r="DY6" s="89">
        <v>62789</v>
      </c>
      <c r="DZ6" s="81">
        <v>0</v>
      </c>
      <c r="EA6" s="90">
        <v>15599</v>
      </c>
      <c r="EB6" s="81">
        <v>0</v>
      </c>
      <c r="EC6" s="90">
        <v>24679</v>
      </c>
      <c r="ED6" s="81">
        <v>0</v>
      </c>
      <c r="EE6" s="90">
        <v>2</v>
      </c>
      <c r="EF6" s="91">
        <v>6</v>
      </c>
      <c r="EG6" s="85">
        <v>1.4999999999999999E-2</v>
      </c>
      <c r="EH6" s="109"/>
      <c r="EI6" s="68"/>
      <c r="EJ6" s="68"/>
      <c r="EK6"/>
      <c r="EL6"/>
      <c r="EM6"/>
    </row>
    <row r="7" spans="1:143" s="21" customFormat="1" ht="15.75" thickBot="1" x14ac:dyDescent="0.3">
      <c r="A7" s="68">
        <v>44259</v>
      </c>
      <c r="B7" s="74">
        <v>6478961</v>
      </c>
      <c r="C7" s="70">
        <v>6651</v>
      </c>
      <c r="D7" s="74">
        <v>5726872</v>
      </c>
      <c r="E7" s="70">
        <v>6476</v>
      </c>
      <c r="F7" s="71">
        <v>0.97368816700000005</v>
      </c>
      <c r="G7" s="71">
        <v>374</v>
      </c>
      <c r="H7" s="71">
        <v>478</v>
      </c>
      <c r="I7" s="72">
        <v>287894</v>
      </c>
      <c r="J7" s="73">
        <v>0</v>
      </c>
      <c r="K7" s="72">
        <v>773</v>
      </c>
      <c r="L7" s="70">
        <v>0</v>
      </c>
      <c r="M7" s="74">
        <v>633765</v>
      </c>
      <c r="N7" s="70">
        <v>0</v>
      </c>
      <c r="O7" s="74">
        <v>991</v>
      </c>
      <c r="P7" s="73">
        <v>0</v>
      </c>
      <c r="Q7" s="74">
        <v>2545954</v>
      </c>
      <c r="R7" s="73">
        <v>138</v>
      </c>
      <c r="S7" s="74">
        <v>2191582</v>
      </c>
      <c r="T7" s="73">
        <v>4</v>
      </c>
      <c r="U7" s="74">
        <v>108232</v>
      </c>
      <c r="V7" s="73">
        <v>77</v>
      </c>
      <c r="W7" s="98">
        <v>100</v>
      </c>
      <c r="X7" s="74">
        <v>152370</v>
      </c>
      <c r="Y7" s="70">
        <v>0</v>
      </c>
      <c r="Z7" s="92">
        <v>39494</v>
      </c>
      <c r="AA7" s="78">
        <v>9</v>
      </c>
      <c r="AB7" s="74">
        <v>1110</v>
      </c>
      <c r="AC7" s="102">
        <v>0</v>
      </c>
      <c r="AD7" s="71">
        <v>4531</v>
      </c>
      <c r="AE7" s="79">
        <v>10</v>
      </c>
      <c r="AF7" s="71">
        <v>579470</v>
      </c>
      <c r="AG7" s="73">
        <v>20</v>
      </c>
      <c r="AH7" s="71">
        <v>579980</v>
      </c>
      <c r="AI7" s="73">
        <v>40</v>
      </c>
      <c r="AJ7" s="87">
        <v>467</v>
      </c>
      <c r="AK7" s="70">
        <v>2</v>
      </c>
      <c r="AL7" s="71">
        <v>52222</v>
      </c>
      <c r="AM7" s="77">
        <v>0</v>
      </c>
      <c r="AN7" s="74">
        <v>8909</v>
      </c>
      <c r="AO7" s="70">
        <v>0</v>
      </c>
      <c r="AP7" s="74">
        <v>10571</v>
      </c>
      <c r="AQ7" s="70">
        <v>0</v>
      </c>
      <c r="AR7" s="71">
        <v>14550</v>
      </c>
      <c r="AS7" s="70">
        <v>1</v>
      </c>
      <c r="AT7" s="74">
        <v>19369</v>
      </c>
      <c r="AU7" s="70">
        <v>0</v>
      </c>
      <c r="AV7" s="74">
        <v>20677</v>
      </c>
      <c r="AW7" s="78">
        <v>0</v>
      </c>
      <c r="AX7" s="74">
        <v>13871</v>
      </c>
      <c r="AY7" s="78">
        <v>0</v>
      </c>
      <c r="AZ7" s="74">
        <v>6190</v>
      </c>
      <c r="BA7" s="70">
        <v>0</v>
      </c>
      <c r="BB7" s="71">
        <v>26458</v>
      </c>
      <c r="BC7" s="70">
        <v>1</v>
      </c>
      <c r="BD7" s="71">
        <v>1115</v>
      </c>
      <c r="BE7" s="70">
        <v>0</v>
      </c>
      <c r="BF7" s="71">
        <v>4372</v>
      </c>
      <c r="BG7" s="70">
        <v>0</v>
      </c>
      <c r="BH7" s="74">
        <v>3636</v>
      </c>
      <c r="BI7" s="70">
        <v>0</v>
      </c>
      <c r="BJ7" s="78">
        <v>1</v>
      </c>
      <c r="BK7" s="78">
        <v>39</v>
      </c>
      <c r="BL7" s="71">
        <v>600330</v>
      </c>
      <c r="BM7" s="78">
        <v>30</v>
      </c>
      <c r="BN7" s="87">
        <v>676</v>
      </c>
      <c r="BO7" s="70">
        <v>0</v>
      </c>
      <c r="BP7" s="74">
        <v>778270</v>
      </c>
      <c r="BQ7" s="78">
        <v>50</v>
      </c>
      <c r="BR7" s="87">
        <v>6513</v>
      </c>
      <c r="BS7" s="78">
        <v>10</v>
      </c>
      <c r="BT7" s="81">
        <v>10</v>
      </c>
      <c r="BU7" s="78">
        <v>80</v>
      </c>
      <c r="BV7" s="82">
        <v>1</v>
      </c>
      <c r="BW7" s="74">
        <v>126</v>
      </c>
      <c r="BX7" s="83">
        <v>15750.41</v>
      </c>
      <c r="BY7" s="74"/>
      <c r="BZ7" s="103">
        <v>0</v>
      </c>
      <c r="CA7" s="71">
        <v>206455</v>
      </c>
      <c r="CB7" s="78">
        <v>1</v>
      </c>
      <c r="CC7" s="81">
        <v>5.71</v>
      </c>
      <c r="CD7" s="71">
        <v>43</v>
      </c>
      <c r="CE7" s="104">
        <v>4633</v>
      </c>
      <c r="CF7" s="71">
        <v>42</v>
      </c>
      <c r="CG7" s="81">
        <v>4526</v>
      </c>
      <c r="CH7" s="74">
        <v>43</v>
      </c>
      <c r="CI7" s="105">
        <v>4633</v>
      </c>
      <c r="CJ7" s="106">
        <v>13792</v>
      </c>
      <c r="CK7" s="107">
        <v>0</v>
      </c>
      <c r="CL7" s="74"/>
      <c r="CM7" s="74">
        <v>34478</v>
      </c>
      <c r="CN7" s="78">
        <v>3</v>
      </c>
      <c r="CO7" s="81">
        <v>7.32</v>
      </c>
      <c r="CP7" s="74">
        <v>34300</v>
      </c>
      <c r="CQ7" s="78">
        <v>0</v>
      </c>
      <c r="CR7" s="81">
        <v>0</v>
      </c>
      <c r="CS7" s="74">
        <v>10235.6</v>
      </c>
      <c r="CT7" s="78">
        <v>0</v>
      </c>
      <c r="CU7" s="81">
        <v>0</v>
      </c>
      <c r="CV7" s="74">
        <v>832144</v>
      </c>
      <c r="CW7" s="78">
        <v>0</v>
      </c>
      <c r="CX7" s="81">
        <v>0</v>
      </c>
      <c r="CY7" s="74">
        <v>5955</v>
      </c>
      <c r="CZ7" s="78">
        <v>1</v>
      </c>
      <c r="DA7" s="81">
        <v>2.39</v>
      </c>
      <c r="DB7" s="74">
        <v>7420</v>
      </c>
      <c r="DC7" s="78">
        <v>0</v>
      </c>
      <c r="DD7" s="78">
        <v>0</v>
      </c>
      <c r="DE7" s="71">
        <v>3840</v>
      </c>
      <c r="DF7" s="78">
        <v>0</v>
      </c>
      <c r="DG7" s="78">
        <v>0</v>
      </c>
      <c r="DH7" s="74">
        <v>1855.9</v>
      </c>
      <c r="DI7" s="78">
        <v>0</v>
      </c>
      <c r="DJ7" s="78">
        <v>0</v>
      </c>
      <c r="DK7" s="74">
        <v>5081.7</v>
      </c>
      <c r="DL7" s="78">
        <v>0</v>
      </c>
      <c r="DM7" s="78">
        <v>0</v>
      </c>
      <c r="DN7" s="74">
        <v>4454.7</v>
      </c>
      <c r="DO7" s="78">
        <v>0</v>
      </c>
      <c r="DP7" s="78">
        <v>0</v>
      </c>
      <c r="DQ7" s="74">
        <v>5089.6000000000004</v>
      </c>
      <c r="DR7" s="78">
        <v>0</v>
      </c>
      <c r="DS7" s="78">
        <v>0</v>
      </c>
      <c r="DT7" s="74">
        <v>4831</v>
      </c>
      <c r="DU7" s="78">
        <v>6</v>
      </c>
      <c r="DV7" s="81">
        <v>14.34</v>
      </c>
      <c r="DW7" s="89">
        <v>12871</v>
      </c>
      <c r="DX7" s="81">
        <v>0</v>
      </c>
      <c r="DY7" s="89">
        <v>62789</v>
      </c>
      <c r="DZ7" s="81">
        <v>0</v>
      </c>
      <c r="EA7" s="90">
        <v>15599</v>
      </c>
      <c r="EB7" s="81">
        <v>0</v>
      </c>
      <c r="EC7" s="90">
        <v>24679</v>
      </c>
      <c r="ED7" s="81">
        <v>0</v>
      </c>
      <c r="EE7" s="90">
        <v>2</v>
      </c>
      <c r="EF7" s="91">
        <v>6</v>
      </c>
      <c r="EG7" s="85">
        <v>1.4999999999999999E-2</v>
      </c>
      <c r="EH7" s="109"/>
      <c r="EI7" s="68"/>
      <c r="EJ7" s="68"/>
      <c r="EK7"/>
      <c r="EL7"/>
      <c r="EM7"/>
    </row>
    <row r="8" spans="1:143" s="21" customFormat="1" ht="15.75" thickBot="1" x14ac:dyDescent="0.3">
      <c r="A8" s="68">
        <v>44260</v>
      </c>
      <c r="B8" s="74">
        <v>6485112</v>
      </c>
      <c r="C8" s="70">
        <v>6151</v>
      </c>
      <c r="D8" s="74">
        <v>5732768</v>
      </c>
      <c r="E8" s="70">
        <v>5896</v>
      </c>
      <c r="F8" s="71">
        <v>0.95854332600000003</v>
      </c>
      <c r="G8" s="71">
        <v>394</v>
      </c>
      <c r="H8" s="71">
        <v>478</v>
      </c>
      <c r="I8" s="93">
        <v>287902</v>
      </c>
      <c r="J8" s="73">
        <v>8</v>
      </c>
      <c r="K8" s="72">
        <v>774</v>
      </c>
      <c r="L8" s="70">
        <v>0</v>
      </c>
      <c r="M8" s="74">
        <v>633790</v>
      </c>
      <c r="N8" s="70">
        <v>0</v>
      </c>
      <c r="O8" s="74">
        <v>991</v>
      </c>
      <c r="P8" s="73">
        <v>0</v>
      </c>
      <c r="Q8" s="74">
        <v>2546045</v>
      </c>
      <c r="R8" s="73">
        <v>91</v>
      </c>
      <c r="S8" s="74">
        <v>2191585</v>
      </c>
      <c r="T8" s="73">
        <v>3</v>
      </c>
      <c r="U8" s="74">
        <v>108265</v>
      </c>
      <c r="V8" s="73">
        <v>33</v>
      </c>
      <c r="W8" s="98">
        <v>100</v>
      </c>
      <c r="X8" s="74">
        <v>152370</v>
      </c>
      <c r="Y8" s="70">
        <v>0</v>
      </c>
      <c r="Z8" s="92">
        <v>39497</v>
      </c>
      <c r="AA8" s="78">
        <v>3</v>
      </c>
      <c r="AB8" s="74">
        <v>1110</v>
      </c>
      <c r="AC8" s="102">
        <v>0</v>
      </c>
      <c r="AD8" s="71">
        <v>4531</v>
      </c>
      <c r="AE8" s="79">
        <v>0</v>
      </c>
      <c r="AF8" s="71">
        <v>579490</v>
      </c>
      <c r="AG8" s="73">
        <v>20</v>
      </c>
      <c r="AH8" s="71">
        <v>579980</v>
      </c>
      <c r="AI8" s="73">
        <v>0</v>
      </c>
      <c r="AJ8" s="87">
        <v>467</v>
      </c>
      <c r="AK8" s="70">
        <v>0</v>
      </c>
      <c r="AL8" s="74">
        <v>52223</v>
      </c>
      <c r="AM8" s="77">
        <v>1</v>
      </c>
      <c r="AN8" s="74">
        <v>8909</v>
      </c>
      <c r="AO8" s="70">
        <v>0</v>
      </c>
      <c r="AP8" s="74">
        <v>10571</v>
      </c>
      <c r="AQ8" s="70">
        <v>0</v>
      </c>
      <c r="AR8" s="71">
        <v>14550</v>
      </c>
      <c r="AS8" s="70">
        <v>0</v>
      </c>
      <c r="AT8" s="74">
        <v>19369</v>
      </c>
      <c r="AU8" s="70">
        <v>0</v>
      </c>
      <c r="AV8" s="74">
        <v>20677</v>
      </c>
      <c r="AW8" s="78">
        <v>0</v>
      </c>
      <c r="AX8" s="74">
        <v>13871</v>
      </c>
      <c r="AY8" s="78">
        <v>0</v>
      </c>
      <c r="AZ8" s="74">
        <v>6190</v>
      </c>
      <c r="BA8" s="70">
        <v>0</v>
      </c>
      <c r="BB8" s="74">
        <v>26458</v>
      </c>
      <c r="BC8" s="70">
        <v>0</v>
      </c>
      <c r="BD8" s="71">
        <v>1115</v>
      </c>
      <c r="BE8" s="70">
        <v>0</v>
      </c>
      <c r="BF8" s="71">
        <v>4372</v>
      </c>
      <c r="BG8" s="70">
        <v>0</v>
      </c>
      <c r="BH8" s="74">
        <v>3636</v>
      </c>
      <c r="BI8" s="70">
        <v>0</v>
      </c>
      <c r="BJ8" s="78">
        <v>0</v>
      </c>
      <c r="BK8" s="78">
        <v>0</v>
      </c>
      <c r="BL8" s="71">
        <v>600350</v>
      </c>
      <c r="BM8" s="78">
        <v>20</v>
      </c>
      <c r="BN8" s="87">
        <v>676</v>
      </c>
      <c r="BO8" s="70">
        <v>0</v>
      </c>
      <c r="BP8" s="74">
        <v>778270</v>
      </c>
      <c r="BQ8" s="78">
        <v>0</v>
      </c>
      <c r="BR8" s="87">
        <v>6518</v>
      </c>
      <c r="BS8" s="78">
        <v>5</v>
      </c>
      <c r="BT8" s="81">
        <v>0</v>
      </c>
      <c r="BU8" s="78">
        <v>20</v>
      </c>
      <c r="BV8" s="82">
        <v>1</v>
      </c>
      <c r="BW8" s="74">
        <v>126</v>
      </c>
      <c r="BX8" s="83">
        <v>15750.41</v>
      </c>
      <c r="BY8" s="74"/>
      <c r="BZ8" s="103">
        <v>0</v>
      </c>
      <c r="CA8" s="74">
        <v>206455</v>
      </c>
      <c r="CB8" s="78">
        <v>0</v>
      </c>
      <c r="CC8" s="81">
        <v>0</v>
      </c>
      <c r="CD8" s="71">
        <v>43</v>
      </c>
      <c r="CE8" s="104">
        <v>4633</v>
      </c>
      <c r="CF8" s="74">
        <v>42</v>
      </c>
      <c r="CG8" s="81">
        <v>4526</v>
      </c>
      <c r="CH8" s="74">
        <v>43</v>
      </c>
      <c r="CI8" s="105">
        <v>4633</v>
      </c>
      <c r="CJ8" s="106">
        <v>13792</v>
      </c>
      <c r="CK8" s="107">
        <v>0</v>
      </c>
      <c r="CL8" s="74"/>
      <c r="CM8" s="74">
        <v>34479</v>
      </c>
      <c r="CN8" s="78">
        <v>1</v>
      </c>
      <c r="CO8" s="81">
        <v>2.44</v>
      </c>
      <c r="CP8" s="74">
        <v>34300</v>
      </c>
      <c r="CQ8" s="78">
        <v>0</v>
      </c>
      <c r="CR8" s="81">
        <v>0</v>
      </c>
      <c r="CS8" s="74">
        <v>10235.6</v>
      </c>
      <c r="CT8" s="78">
        <v>0</v>
      </c>
      <c r="CU8" s="81">
        <v>0</v>
      </c>
      <c r="CV8" s="74">
        <v>832144</v>
      </c>
      <c r="CW8" s="78">
        <v>0</v>
      </c>
      <c r="CX8" s="81">
        <v>0</v>
      </c>
      <c r="CY8" s="74">
        <v>5955</v>
      </c>
      <c r="CZ8" s="78">
        <v>0</v>
      </c>
      <c r="DA8" s="81">
        <v>0</v>
      </c>
      <c r="DB8" s="74">
        <v>7420</v>
      </c>
      <c r="DC8" s="78">
        <v>0</v>
      </c>
      <c r="DD8" s="78">
        <v>0</v>
      </c>
      <c r="DE8" s="74">
        <v>3840</v>
      </c>
      <c r="DF8" s="78">
        <v>0</v>
      </c>
      <c r="DG8" s="78">
        <v>0</v>
      </c>
      <c r="DH8" s="74">
        <v>1855.9</v>
      </c>
      <c r="DI8" s="78">
        <v>0</v>
      </c>
      <c r="DJ8" s="78">
        <v>0</v>
      </c>
      <c r="DK8" s="74">
        <v>5081.7</v>
      </c>
      <c r="DL8" s="78">
        <v>0</v>
      </c>
      <c r="DM8" s="78">
        <v>0</v>
      </c>
      <c r="DN8" s="74">
        <v>4454.7</v>
      </c>
      <c r="DO8" s="78">
        <v>0</v>
      </c>
      <c r="DP8" s="78">
        <v>0</v>
      </c>
      <c r="DQ8" s="74">
        <v>5089.6000000000004</v>
      </c>
      <c r="DR8" s="78">
        <v>0</v>
      </c>
      <c r="DS8" s="78">
        <v>0</v>
      </c>
      <c r="DT8" s="74">
        <v>4831</v>
      </c>
      <c r="DU8" s="78">
        <v>0</v>
      </c>
      <c r="DV8" s="81">
        <v>0</v>
      </c>
      <c r="DW8" s="89">
        <v>12871</v>
      </c>
      <c r="DX8" s="81">
        <v>0</v>
      </c>
      <c r="DY8" s="89">
        <v>62789</v>
      </c>
      <c r="DZ8" s="81">
        <v>0</v>
      </c>
      <c r="EA8" s="90">
        <v>15599</v>
      </c>
      <c r="EB8" s="81">
        <v>0</v>
      </c>
      <c r="EC8" s="90">
        <v>24679</v>
      </c>
      <c r="ED8" s="81">
        <v>0</v>
      </c>
      <c r="EE8" s="90">
        <v>2</v>
      </c>
      <c r="EF8" s="91">
        <v>6</v>
      </c>
      <c r="EG8" s="85">
        <v>1.4999999999999999E-2</v>
      </c>
      <c r="EH8" s="109"/>
      <c r="EI8" s="68"/>
      <c r="EJ8" s="68"/>
      <c r="EK8"/>
      <c r="EL8"/>
      <c r="EM8"/>
    </row>
    <row r="9" spans="1:143" s="21" customFormat="1" ht="15.75" thickBot="1" x14ac:dyDescent="0.3">
      <c r="A9" s="68">
        <v>44261</v>
      </c>
      <c r="B9" s="74">
        <v>6490630</v>
      </c>
      <c r="C9" s="70">
        <v>5518</v>
      </c>
      <c r="D9" s="74">
        <v>5738083</v>
      </c>
      <c r="E9" s="70">
        <v>5315</v>
      </c>
      <c r="F9" s="71">
        <v>0.96321130799999999</v>
      </c>
      <c r="G9" s="71">
        <v>394</v>
      </c>
      <c r="H9" s="71">
        <v>478</v>
      </c>
      <c r="I9" s="93">
        <v>287902</v>
      </c>
      <c r="J9" s="73">
        <v>0</v>
      </c>
      <c r="K9" s="72">
        <v>774</v>
      </c>
      <c r="L9" s="70">
        <v>0</v>
      </c>
      <c r="M9" s="74">
        <v>633790</v>
      </c>
      <c r="N9" s="70">
        <v>0</v>
      </c>
      <c r="O9" s="74">
        <v>991</v>
      </c>
      <c r="P9" s="73">
        <v>0</v>
      </c>
      <c r="Q9" s="74">
        <v>2546071</v>
      </c>
      <c r="R9" s="73">
        <v>26</v>
      </c>
      <c r="S9" s="74">
        <v>2191585</v>
      </c>
      <c r="T9" s="73">
        <v>0</v>
      </c>
      <c r="U9" s="74">
        <v>108305</v>
      </c>
      <c r="V9" s="73">
        <v>40</v>
      </c>
      <c r="W9" s="98">
        <v>100</v>
      </c>
      <c r="X9" s="74">
        <v>152370</v>
      </c>
      <c r="Y9" s="70">
        <v>0</v>
      </c>
      <c r="Z9" s="92">
        <v>39478</v>
      </c>
      <c r="AA9" s="78">
        <v>0</v>
      </c>
      <c r="AB9" s="74">
        <v>1110</v>
      </c>
      <c r="AC9" s="102">
        <v>0</v>
      </c>
      <c r="AD9" s="71">
        <v>4531</v>
      </c>
      <c r="AE9" s="79">
        <v>0</v>
      </c>
      <c r="AF9" s="71">
        <v>579490</v>
      </c>
      <c r="AG9" s="73">
        <v>0</v>
      </c>
      <c r="AH9" s="71">
        <v>579980</v>
      </c>
      <c r="AI9" s="73">
        <v>0</v>
      </c>
      <c r="AJ9" s="87">
        <v>467</v>
      </c>
      <c r="AK9" s="70">
        <v>0</v>
      </c>
      <c r="AL9" s="71">
        <v>52223</v>
      </c>
      <c r="AM9" s="77">
        <v>0</v>
      </c>
      <c r="AN9" s="74">
        <v>8909</v>
      </c>
      <c r="AO9" s="70">
        <v>0</v>
      </c>
      <c r="AP9" s="74">
        <v>10571</v>
      </c>
      <c r="AQ9" s="70">
        <v>0</v>
      </c>
      <c r="AR9" s="71">
        <v>14550</v>
      </c>
      <c r="AS9" s="70">
        <v>0</v>
      </c>
      <c r="AT9" s="74">
        <v>19369</v>
      </c>
      <c r="AU9" s="70">
        <v>0</v>
      </c>
      <c r="AV9" s="74">
        <v>20677</v>
      </c>
      <c r="AW9" s="78">
        <v>0</v>
      </c>
      <c r="AX9" s="74">
        <v>13871</v>
      </c>
      <c r="AY9" s="78">
        <v>0</v>
      </c>
      <c r="AZ9" s="74">
        <v>6191</v>
      </c>
      <c r="BA9" s="70">
        <v>1</v>
      </c>
      <c r="BB9" s="71">
        <v>26459</v>
      </c>
      <c r="BC9" s="70">
        <v>1</v>
      </c>
      <c r="BD9" s="71">
        <v>1115</v>
      </c>
      <c r="BE9" s="70">
        <v>0</v>
      </c>
      <c r="BF9" s="71">
        <v>4372</v>
      </c>
      <c r="BG9" s="70">
        <v>0</v>
      </c>
      <c r="BH9" s="74">
        <v>3636</v>
      </c>
      <c r="BI9" s="70">
        <v>0</v>
      </c>
      <c r="BJ9" s="78">
        <v>0</v>
      </c>
      <c r="BK9" s="78">
        <v>0</v>
      </c>
      <c r="BL9" s="71">
        <v>600360</v>
      </c>
      <c r="BM9" s="78">
        <v>10</v>
      </c>
      <c r="BN9" s="87">
        <v>676</v>
      </c>
      <c r="BO9" s="70">
        <v>0</v>
      </c>
      <c r="BP9" s="74">
        <v>778280</v>
      </c>
      <c r="BQ9" s="78">
        <v>10</v>
      </c>
      <c r="BR9" s="87">
        <v>6519</v>
      </c>
      <c r="BS9" s="78">
        <v>1</v>
      </c>
      <c r="BT9" s="81">
        <v>10</v>
      </c>
      <c r="BU9" s="78">
        <v>20</v>
      </c>
      <c r="BV9" s="82">
        <v>1</v>
      </c>
      <c r="BW9" s="74">
        <v>126</v>
      </c>
      <c r="BX9" s="83">
        <v>15750.41</v>
      </c>
      <c r="BY9" s="74"/>
      <c r="BZ9" s="103">
        <v>0</v>
      </c>
      <c r="CA9" s="74">
        <v>206456</v>
      </c>
      <c r="CB9" s="78">
        <v>1</v>
      </c>
      <c r="CC9" s="81">
        <v>5.71</v>
      </c>
      <c r="CD9" s="74">
        <v>42</v>
      </c>
      <c r="CE9" s="104">
        <v>4526</v>
      </c>
      <c r="CF9" s="74">
        <v>42</v>
      </c>
      <c r="CG9" s="81">
        <v>4526</v>
      </c>
      <c r="CH9" s="74">
        <v>43</v>
      </c>
      <c r="CI9" s="105">
        <v>4633</v>
      </c>
      <c r="CJ9" s="106">
        <v>13684</v>
      </c>
      <c r="CK9" s="107">
        <v>108</v>
      </c>
      <c r="CL9" s="74"/>
      <c r="CM9" s="74">
        <v>34481</v>
      </c>
      <c r="CN9" s="78">
        <v>2</v>
      </c>
      <c r="CO9" s="81">
        <v>4.88</v>
      </c>
      <c r="CP9" s="74">
        <v>34300</v>
      </c>
      <c r="CQ9" s="78">
        <v>0</v>
      </c>
      <c r="CR9" s="81">
        <v>0</v>
      </c>
      <c r="CS9" s="71">
        <v>10235.6</v>
      </c>
      <c r="CT9" s="78">
        <v>0</v>
      </c>
      <c r="CU9" s="81">
        <v>0</v>
      </c>
      <c r="CV9" s="74">
        <v>832144</v>
      </c>
      <c r="CW9" s="78">
        <v>0</v>
      </c>
      <c r="CX9" s="81">
        <v>0</v>
      </c>
      <c r="CY9" s="74">
        <v>5956</v>
      </c>
      <c r="CZ9" s="78">
        <v>1</v>
      </c>
      <c r="DA9" s="81">
        <v>2.39</v>
      </c>
      <c r="DB9" s="74">
        <v>7420</v>
      </c>
      <c r="DC9" s="78">
        <v>0</v>
      </c>
      <c r="DD9" s="78">
        <v>0</v>
      </c>
      <c r="DE9" s="74">
        <v>3840</v>
      </c>
      <c r="DF9" s="78">
        <v>0</v>
      </c>
      <c r="DG9" s="78">
        <v>0</v>
      </c>
      <c r="DH9" s="74">
        <v>1855.9</v>
      </c>
      <c r="DI9" s="78">
        <v>0</v>
      </c>
      <c r="DJ9" s="78">
        <v>0</v>
      </c>
      <c r="DK9" s="74">
        <v>5081.7</v>
      </c>
      <c r="DL9" s="78">
        <v>0</v>
      </c>
      <c r="DM9" s="78">
        <v>0</v>
      </c>
      <c r="DN9" s="74">
        <v>4454.7</v>
      </c>
      <c r="DO9" s="78">
        <v>0</v>
      </c>
      <c r="DP9" s="78">
        <v>0</v>
      </c>
      <c r="DQ9" s="74">
        <v>5089.6000000000004</v>
      </c>
      <c r="DR9" s="78">
        <v>0</v>
      </c>
      <c r="DS9" s="78">
        <v>0</v>
      </c>
      <c r="DT9" s="74">
        <v>4837</v>
      </c>
      <c r="DU9" s="78">
        <v>6</v>
      </c>
      <c r="DV9" s="81">
        <v>14.34</v>
      </c>
      <c r="DW9" s="89">
        <v>12871</v>
      </c>
      <c r="DX9" s="81">
        <v>0</v>
      </c>
      <c r="DY9" s="89">
        <v>62789</v>
      </c>
      <c r="DZ9" s="81">
        <v>0</v>
      </c>
      <c r="EA9" s="90">
        <v>15599</v>
      </c>
      <c r="EB9" s="81">
        <v>0</v>
      </c>
      <c r="EC9" s="90">
        <v>24679</v>
      </c>
      <c r="ED9" s="81">
        <v>0</v>
      </c>
      <c r="EE9" s="90">
        <v>2</v>
      </c>
      <c r="EF9" s="91">
        <v>6</v>
      </c>
      <c r="EG9" s="85">
        <v>1.4999999999999999E-2</v>
      </c>
      <c r="EH9" s="109"/>
      <c r="EI9" s="68"/>
      <c r="EJ9" s="68"/>
      <c r="EK9"/>
      <c r="EL9"/>
      <c r="EM9"/>
    </row>
    <row r="10" spans="1:143" s="21" customFormat="1" ht="15.75" thickBot="1" x14ac:dyDescent="0.3">
      <c r="A10" s="68">
        <v>44262</v>
      </c>
      <c r="B10" s="74">
        <v>6497526</v>
      </c>
      <c r="C10" s="70">
        <v>6896</v>
      </c>
      <c r="D10" s="74">
        <v>5744761</v>
      </c>
      <c r="E10" s="70">
        <v>6678</v>
      </c>
      <c r="F10" s="71">
        <v>0.968387471</v>
      </c>
      <c r="G10" s="71">
        <v>394</v>
      </c>
      <c r="H10" s="71">
        <v>478</v>
      </c>
      <c r="I10" s="93">
        <v>287902</v>
      </c>
      <c r="J10" s="73">
        <v>0</v>
      </c>
      <c r="K10" s="72">
        <v>774</v>
      </c>
      <c r="L10" s="70">
        <v>0</v>
      </c>
      <c r="M10" s="74">
        <v>633790</v>
      </c>
      <c r="N10" s="70">
        <v>0</v>
      </c>
      <c r="O10" s="74">
        <v>991</v>
      </c>
      <c r="P10" s="73">
        <v>0</v>
      </c>
      <c r="Q10" s="74">
        <v>2546234</v>
      </c>
      <c r="R10" s="73">
        <v>163</v>
      </c>
      <c r="S10" s="74">
        <v>2191589</v>
      </c>
      <c r="T10" s="73">
        <v>4</v>
      </c>
      <c r="U10" s="74">
        <v>108340</v>
      </c>
      <c r="V10" s="73">
        <v>35</v>
      </c>
      <c r="W10" s="98">
        <v>100</v>
      </c>
      <c r="X10" s="74">
        <v>152370</v>
      </c>
      <c r="Y10" s="70">
        <v>0</v>
      </c>
      <c r="Z10" s="92">
        <v>39500</v>
      </c>
      <c r="AA10" s="78">
        <v>22</v>
      </c>
      <c r="AB10" s="74">
        <v>1111</v>
      </c>
      <c r="AC10" s="102">
        <v>1</v>
      </c>
      <c r="AD10" s="71">
        <v>4531</v>
      </c>
      <c r="AE10" s="79">
        <v>0</v>
      </c>
      <c r="AF10" s="71">
        <v>579490</v>
      </c>
      <c r="AG10" s="73">
        <v>0</v>
      </c>
      <c r="AH10" s="71">
        <v>579980</v>
      </c>
      <c r="AI10" s="73">
        <v>0</v>
      </c>
      <c r="AJ10" s="87">
        <v>467</v>
      </c>
      <c r="AK10" s="70">
        <v>0</v>
      </c>
      <c r="AL10" s="71">
        <v>52223</v>
      </c>
      <c r="AM10" s="77">
        <v>0</v>
      </c>
      <c r="AN10" s="74">
        <v>8910</v>
      </c>
      <c r="AO10" s="70">
        <v>1</v>
      </c>
      <c r="AP10" s="74">
        <v>10571</v>
      </c>
      <c r="AQ10" s="70">
        <v>0</v>
      </c>
      <c r="AR10" s="71">
        <v>14550</v>
      </c>
      <c r="AS10" s="70">
        <v>0</v>
      </c>
      <c r="AT10" s="74">
        <v>19369</v>
      </c>
      <c r="AU10" s="70">
        <v>0</v>
      </c>
      <c r="AV10" s="74">
        <v>20677</v>
      </c>
      <c r="AW10" s="78">
        <v>0</v>
      </c>
      <c r="AX10" s="74">
        <v>13871</v>
      </c>
      <c r="AY10" s="78">
        <v>0</v>
      </c>
      <c r="AZ10" s="74">
        <v>6191</v>
      </c>
      <c r="BA10" s="70">
        <v>0</v>
      </c>
      <c r="BB10" s="71">
        <v>26459</v>
      </c>
      <c r="BC10" s="70">
        <v>0</v>
      </c>
      <c r="BD10" s="71">
        <v>1115</v>
      </c>
      <c r="BE10" s="70">
        <v>0</v>
      </c>
      <c r="BF10" s="71">
        <v>4372</v>
      </c>
      <c r="BG10" s="70">
        <v>0</v>
      </c>
      <c r="BH10" s="74">
        <v>3636</v>
      </c>
      <c r="BI10" s="70">
        <v>0</v>
      </c>
      <c r="BJ10" s="78">
        <v>0</v>
      </c>
      <c r="BK10" s="78">
        <v>0</v>
      </c>
      <c r="BL10" s="71">
        <v>600380</v>
      </c>
      <c r="BM10" s="78">
        <v>20</v>
      </c>
      <c r="BN10" s="87">
        <v>676</v>
      </c>
      <c r="BO10" s="70">
        <v>0</v>
      </c>
      <c r="BP10" s="71">
        <v>778280</v>
      </c>
      <c r="BQ10" s="78">
        <v>0</v>
      </c>
      <c r="BR10" s="87">
        <v>6519</v>
      </c>
      <c r="BS10" s="78">
        <v>0</v>
      </c>
      <c r="BT10" s="81">
        <v>0</v>
      </c>
      <c r="BU10" s="78">
        <v>20</v>
      </c>
      <c r="BV10" s="82">
        <v>1</v>
      </c>
      <c r="BW10" s="74">
        <v>126</v>
      </c>
      <c r="BX10" s="83">
        <v>15750.41</v>
      </c>
      <c r="BY10" s="74"/>
      <c r="BZ10" s="103">
        <v>0</v>
      </c>
      <c r="CA10" s="74">
        <v>206456</v>
      </c>
      <c r="CB10" s="78">
        <v>0</v>
      </c>
      <c r="CC10" s="81">
        <v>0</v>
      </c>
      <c r="CD10" s="74">
        <v>42</v>
      </c>
      <c r="CE10" s="104">
        <v>4526</v>
      </c>
      <c r="CF10" s="74">
        <v>42</v>
      </c>
      <c r="CG10" s="81">
        <v>4526</v>
      </c>
      <c r="CH10" s="74">
        <v>43</v>
      </c>
      <c r="CI10" s="105">
        <v>4633</v>
      </c>
      <c r="CJ10" s="106">
        <v>13684</v>
      </c>
      <c r="CK10" s="107">
        <v>0</v>
      </c>
      <c r="CL10" s="74"/>
      <c r="CM10" s="74">
        <v>34482</v>
      </c>
      <c r="CN10" s="78">
        <v>1</v>
      </c>
      <c r="CO10" s="81">
        <v>2.44</v>
      </c>
      <c r="CP10" s="74">
        <v>34300</v>
      </c>
      <c r="CQ10" s="78">
        <v>0</v>
      </c>
      <c r="CR10" s="81">
        <v>0</v>
      </c>
      <c r="CS10" s="74">
        <v>10235.6</v>
      </c>
      <c r="CT10" s="78">
        <v>0</v>
      </c>
      <c r="CU10" s="81">
        <v>0</v>
      </c>
      <c r="CV10" s="74">
        <v>832144</v>
      </c>
      <c r="CW10" s="78">
        <v>0</v>
      </c>
      <c r="CX10" s="81">
        <v>0</v>
      </c>
      <c r="CY10" s="74">
        <v>5957</v>
      </c>
      <c r="CZ10" s="78">
        <v>1</v>
      </c>
      <c r="DA10" s="81">
        <v>2.39</v>
      </c>
      <c r="DB10" s="74">
        <v>7420</v>
      </c>
      <c r="DC10" s="78">
        <v>0</v>
      </c>
      <c r="DD10" s="78">
        <v>0</v>
      </c>
      <c r="DE10" s="74">
        <v>3840</v>
      </c>
      <c r="DF10" s="78">
        <v>0</v>
      </c>
      <c r="DG10" s="78">
        <v>0</v>
      </c>
      <c r="DH10" s="74">
        <v>1855.9</v>
      </c>
      <c r="DI10" s="78">
        <v>0</v>
      </c>
      <c r="DJ10" s="78">
        <v>0</v>
      </c>
      <c r="DK10" s="74">
        <v>5081.7</v>
      </c>
      <c r="DL10" s="78">
        <v>0</v>
      </c>
      <c r="DM10" s="78">
        <v>0</v>
      </c>
      <c r="DN10" s="74">
        <v>4454.7</v>
      </c>
      <c r="DO10" s="78">
        <v>0</v>
      </c>
      <c r="DP10" s="78">
        <v>0</v>
      </c>
      <c r="DQ10" s="74">
        <v>5089.6000000000004</v>
      </c>
      <c r="DR10" s="78">
        <v>0</v>
      </c>
      <c r="DS10" s="78">
        <v>0</v>
      </c>
      <c r="DT10" s="74">
        <v>4843</v>
      </c>
      <c r="DU10" s="78">
        <v>6</v>
      </c>
      <c r="DV10" s="81">
        <v>14.34</v>
      </c>
      <c r="DW10" s="89">
        <v>12871</v>
      </c>
      <c r="DX10" s="81">
        <v>0</v>
      </c>
      <c r="DY10" s="89">
        <v>62789</v>
      </c>
      <c r="DZ10" s="81">
        <v>0</v>
      </c>
      <c r="EA10" s="90">
        <v>15599</v>
      </c>
      <c r="EB10" s="81">
        <v>0</v>
      </c>
      <c r="EC10" s="90">
        <v>24679</v>
      </c>
      <c r="ED10" s="81">
        <v>0</v>
      </c>
      <c r="EE10" s="90">
        <v>2</v>
      </c>
      <c r="EF10" s="91">
        <v>6</v>
      </c>
      <c r="EG10" s="85">
        <v>1.4999999999999999E-2</v>
      </c>
      <c r="EH10" s="109"/>
      <c r="EI10" s="68"/>
      <c r="EJ10" s="68"/>
      <c r="EK10"/>
      <c r="EL10"/>
      <c r="EM10"/>
    </row>
    <row r="11" spans="1:143" s="21" customFormat="1" ht="15.75" thickBot="1" x14ac:dyDescent="0.3">
      <c r="A11" s="68">
        <v>44263</v>
      </c>
      <c r="B11" s="74">
        <v>6503697</v>
      </c>
      <c r="C11" s="70">
        <v>6171</v>
      </c>
      <c r="D11" s="74">
        <v>5750721</v>
      </c>
      <c r="E11" s="70">
        <v>5960</v>
      </c>
      <c r="F11" s="71">
        <v>0.96580781100000002</v>
      </c>
      <c r="G11" s="71">
        <v>394</v>
      </c>
      <c r="H11" s="71">
        <v>478</v>
      </c>
      <c r="I11" s="93">
        <v>287902</v>
      </c>
      <c r="J11" s="73">
        <v>0</v>
      </c>
      <c r="K11" s="72">
        <v>774</v>
      </c>
      <c r="L11" s="70">
        <v>0</v>
      </c>
      <c r="M11" s="74">
        <v>633790</v>
      </c>
      <c r="N11" s="70">
        <v>0</v>
      </c>
      <c r="O11" s="74">
        <v>991</v>
      </c>
      <c r="P11" s="73">
        <v>0</v>
      </c>
      <c r="Q11" s="74">
        <v>2546293</v>
      </c>
      <c r="R11" s="73">
        <v>59</v>
      </c>
      <c r="S11" s="74">
        <v>2191592</v>
      </c>
      <c r="T11" s="73">
        <v>3</v>
      </c>
      <c r="U11" s="74">
        <v>108395</v>
      </c>
      <c r="V11" s="73">
        <v>55</v>
      </c>
      <c r="W11" s="98">
        <v>100</v>
      </c>
      <c r="X11" s="74">
        <v>152370</v>
      </c>
      <c r="Y11" s="70">
        <v>0</v>
      </c>
      <c r="Z11" s="92">
        <v>39504</v>
      </c>
      <c r="AA11" s="78">
        <v>4</v>
      </c>
      <c r="AB11" s="74">
        <v>1111</v>
      </c>
      <c r="AC11" s="102">
        <v>0</v>
      </c>
      <c r="AD11" s="71">
        <v>4536</v>
      </c>
      <c r="AE11" s="79">
        <v>5</v>
      </c>
      <c r="AF11" s="71">
        <v>579510</v>
      </c>
      <c r="AG11" s="73">
        <v>20</v>
      </c>
      <c r="AH11" s="71">
        <v>580000</v>
      </c>
      <c r="AI11" s="73">
        <v>20</v>
      </c>
      <c r="AJ11" s="87">
        <v>467</v>
      </c>
      <c r="AK11" s="70">
        <v>0</v>
      </c>
      <c r="AL11" s="71">
        <v>52223</v>
      </c>
      <c r="AM11" s="77">
        <v>0</v>
      </c>
      <c r="AN11" s="74">
        <v>8910</v>
      </c>
      <c r="AO11" s="70">
        <v>0</v>
      </c>
      <c r="AP11" s="74">
        <v>10571</v>
      </c>
      <c r="AQ11" s="70">
        <v>0</v>
      </c>
      <c r="AR11" s="71">
        <v>14550</v>
      </c>
      <c r="AS11" s="70">
        <v>0</v>
      </c>
      <c r="AT11" s="74">
        <v>19369</v>
      </c>
      <c r="AU11" s="70">
        <v>0</v>
      </c>
      <c r="AV11" s="74">
        <v>20677</v>
      </c>
      <c r="AW11" s="78">
        <v>0</v>
      </c>
      <c r="AX11" s="74">
        <v>13871</v>
      </c>
      <c r="AY11" s="78">
        <v>0</v>
      </c>
      <c r="AZ11" s="74">
        <v>6191</v>
      </c>
      <c r="BA11" s="70">
        <v>0</v>
      </c>
      <c r="BB11" s="71">
        <v>26460</v>
      </c>
      <c r="BC11" s="70">
        <v>1</v>
      </c>
      <c r="BD11" s="71">
        <v>1115</v>
      </c>
      <c r="BE11" s="70">
        <v>0</v>
      </c>
      <c r="BF11" s="71">
        <v>4372</v>
      </c>
      <c r="BG11" s="70">
        <v>0</v>
      </c>
      <c r="BH11" s="74">
        <v>3636</v>
      </c>
      <c r="BI11" s="70">
        <v>0</v>
      </c>
      <c r="BJ11" s="78">
        <v>0</v>
      </c>
      <c r="BK11" s="78">
        <v>20</v>
      </c>
      <c r="BL11" s="71">
        <v>600390</v>
      </c>
      <c r="BM11" s="78">
        <v>10</v>
      </c>
      <c r="BN11" s="87">
        <v>676</v>
      </c>
      <c r="BO11" s="70">
        <v>0</v>
      </c>
      <c r="BP11" s="71">
        <v>778300</v>
      </c>
      <c r="BQ11" s="78">
        <v>20</v>
      </c>
      <c r="BR11" s="87">
        <v>6522</v>
      </c>
      <c r="BS11" s="78">
        <v>3</v>
      </c>
      <c r="BT11" s="81">
        <v>0</v>
      </c>
      <c r="BU11" s="78">
        <v>30</v>
      </c>
      <c r="BV11" s="82">
        <v>0</v>
      </c>
      <c r="BW11" s="74">
        <v>125</v>
      </c>
      <c r="BX11" s="83">
        <v>15594.96</v>
      </c>
      <c r="BY11" s="74"/>
      <c r="BZ11" s="103">
        <v>0</v>
      </c>
      <c r="CA11" s="74">
        <v>206456</v>
      </c>
      <c r="CB11" s="78">
        <v>0</v>
      </c>
      <c r="CC11" s="81">
        <v>0</v>
      </c>
      <c r="CD11" s="74">
        <v>42</v>
      </c>
      <c r="CE11" s="104">
        <v>4526</v>
      </c>
      <c r="CF11" s="74">
        <v>42</v>
      </c>
      <c r="CG11" s="81">
        <v>4526</v>
      </c>
      <c r="CH11" s="74">
        <v>42</v>
      </c>
      <c r="CI11" s="105">
        <v>4526</v>
      </c>
      <c r="CJ11" s="106">
        <v>13577</v>
      </c>
      <c r="CK11" s="107">
        <v>108</v>
      </c>
      <c r="CL11" s="74"/>
      <c r="CM11" s="74">
        <v>34483</v>
      </c>
      <c r="CN11" s="78">
        <v>1</v>
      </c>
      <c r="CO11" s="81">
        <v>2.44</v>
      </c>
      <c r="CP11" s="74">
        <v>34300</v>
      </c>
      <c r="CQ11" s="78">
        <v>0</v>
      </c>
      <c r="CR11" s="81">
        <v>0</v>
      </c>
      <c r="CS11" s="74">
        <v>10235.6</v>
      </c>
      <c r="CT11" s="78">
        <v>0</v>
      </c>
      <c r="CU11" s="81">
        <v>0</v>
      </c>
      <c r="CV11" s="74">
        <v>832144</v>
      </c>
      <c r="CW11" s="78">
        <v>0</v>
      </c>
      <c r="CX11" s="81">
        <v>0</v>
      </c>
      <c r="CY11" s="74">
        <v>5957</v>
      </c>
      <c r="CZ11" s="78">
        <v>0</v>
      </c>
      <c r="DA11" s="81">
        <v>0</v>
      </c>
      <c r="DB11" s="74">
        <v>7420</v>
      </c>
      <c r="DC11" s="78">
        <v>0</v>
      </c>
      <c r="DD11" s="78">
        <v>0</v>
      </c>
      <c r="DE11" s="74">
        <v>3840</v>
      </c>
      <c r="DF11" s="78">
        <v>0</v>
      </c>
      <c r="DG11" s="78">
        <v>0</v>
      </c>
      <c r="DH11" s="74">
        <v>1855.9</v>
      </c>
      <c r="DI11" s="78">
        <v>0</v>
      </c>
      <c r="DJ11" s="78">
        <v>0</v>
      </c>
      <c r="DK11" s="74">
        <v>5081.7</v>
      </c>
      <c r="DL11" s="78">
        <v>0</v>
      </c>
      <c r="DM11" s="78">
        <v>0</v>
      </c>
      <c r="DN11" s="74">
        <v>4454.7</v>
      </c>
      <c r="DO11" s="78">
        <v>0</v>
      </c>
      <c r="DP11" s="78">
        <v>0</v>
      </c>
      <c r="DQ11" s="74">
        <v>5089.6000000000004</v>
      </c>
      <c r="DR11" s="78">
        <v>0</v>
      </c>
      <c r="DS11" s="78">
        <v>0</v>
      </c>
      <c r="DT11" s="74">
        <v>4845</v>
      </c>
      <c r="DU11" s="78">
        <v>2</v>
      </c>
      <c r="DV11" s="81">
        <v>4.78</v>
      </c>
      <c r="DW11" s="89">
        <v>12871</v>
      </c>
      <c r="DX11" s="81">
        <v>0</v>
      </c>
      <c r="DY11" s="89">
        <v>62789</v>
      </c>
      <c r="DZ11" s="81">
        <v>0</v>
      </c>
      <c r="EA11" s="90">
        <v>15599</v>
      </c>
      <c r="EB11" s="81">
        <v>0</v>
      </c>
      <c r="EC11" s="90">
        <v>24679</v>
      </c>
      <c r="ED11" s="81">
        <v>0</v>
      </c>
      <c r="EE11" s="90">
        <v>2</v>
      </c>
      <c r="EF11" s="91">
        <v>6</v>
      </c>
      <c r="EG11" s="85">
        <v>1.4999999999999999E-2</v>
      </c>
      <c r="EH11" s="109"/>
      <c r="EI11" s="68"/>
      <c r="EJ11" s="68"/>
      <c r="EK11"/>
      <c r="EL11"/>
      <c r="EM11"/>
    </row>
    <row r="12" spans="1:143" s="21" customFormat="1" ht="15.75" thickBot="1" x14ac:dyDescent="0.3">
      <c r="A12" s="68">
        <v>44264</v>
      </c>
      <c r="B12" s="74">
        <v>6509392</v>
      </c>
      <c r="C12" s="70">
        <v>5695</v>
      </c>
      <c r="D12" s="74">
        <v>5756177</v>
      </c>
      <c r="E12" s="70">
        <v>5456</v>
      </c>
      <c r="F12" s="71">
        <v>0.95803336299999997</v>
      </c>
      <c r="G12" s="71">
        <v>394</v>
      </c>
      <c r="H12" s="71">
        <v>474</v>
      </c>
      <c r="I12" s="93">
        <v>287902</v>
      </c>
      <c r="J12" s="73">
        <v>0</v>
      </c>
      <c r="K12" s="72">
        <v>774</v>
      </c>
      <c r="L12" s="70">
        <v>0</v>
      </c>
      <c r="M12" s="74">
        <v>633790</v>
      </c>
      <c r="N12" s="70">
        <v>0</v>
      </c>
      <c r="O12" s="74">
        <v>991</v>
      </c>
      <c r="P12" s="73">
        <v>0</v>
      </c>
      <c r="Q12" s="74">
        <v>2546317</v>
      </c>
      <c r="R12" s="73">
        <v>24</v>
      </c>
      <c r="S12" s="74">
        <v>2191592</v>
      </c>
      <c r="T12" s="73">
        <v>0</v>
      </c>
      <c r="U12" s="74">
        <v>108400</v>
      </c>
      <c r="V12" s="73">
        <v>5</v>
      </c>
      <c r="W12" s="98">
        <v>100</v>
      </c>
      <c r="X12" s="74">
        <v>152370</v>
      </c>
      <c r="Y12" s="70">
        <v>0</v>
      </c>
      <c r="Z12" s="92">
        <v>39507</v>
      </c>
      <c r="AA12" s="78">
        <v>3</v>
      </c>
      <c r="AB12" s="74">
        <v>1111</v>
      </c>
      <c r="AC12" s="102">
        <v>0</v>
      </c>
      <c r="AD12" s="71">
        <v>4536</v>
      </c>
      <c r="AE12" s="79">
        <v>0</v>
      </c>
      <c r="AF12" s="71">
        <v>579520</v>
      </c>
      <c r="AG12" s="73">
        <v>10</v>
      </c>
      <c r="AH12" s="71">
        <v>580010</v>
      </c>
      <c r="AI12" s="73">
        <v>10</v>
      </c>
      <c r="AJ12" s="87">
        <v>467</v>
      </c>
      <c r="AK12" s="70">
        <v>0</v>
      </c>
      <c r="AL12" s="71">
        <v>52223</v>
      </c>
      <c r="AM12" s="77">
        <v>0</v>
      </c>
      <c r="AN12" s="74">
        <v>8910</v>
      </c>
      <c r="AO12" s="70">
        <v>0</v>
      </c>
      <c r="AP12" s="74">
        <v>10571</v>
      </c>
      <c r="AQ12" s="70">
        <v>0</v>
      </c>
      <c r="AR12" s="71">
        <v>14551</v>
      </c>
      <c r="AS12" s="70">
        <v>1</v>
      </c>
      <c r="AT12" s="74">
        <v>19369</v>
      </c>
      <c r="AU12" s="70">
        <v>0</v>
      </c>
      <c r="AV12" s="74">
        <v>20677</v>
      </c>
      <c r="AW12" s="78">
        <v>0</v>
      </c>
      <c r="AX12" s="74">
        <v>13871</v>
      </c>
      <c r="AY12" s="78">
        <v>0</v>
      </c>
      <c r="AZ12" s="74">
        <v>6191</v>
      </c>
      <c r="BA12" s="70">
        <v>0</v>
      </c>
      <c r="BB12" s="71">
        <v>26460</v>
      </c>
      <c r="BC12" s="70">
        <v>0</v>
      </c>
      <c r="BD12" s="71">
        <v>1115</v>
      </c>
      <c r="BE12" s="70">
        <v>0</v>
      </c>
      <c r="BF12" s="71">
        <v>4372</v>
      </c>
      <c r="BG12" s="70">
        <v>0</v>
      </c>
      <c r="BH12" s="74">
        <v>3636</v>
      </c>
      <c r="BI12" s="70">
        <v>0</v>
      </c>
      <c r="BJ12" s="78">
        <v>1</v>
      </c>
      <c r="BK12" s="78">
        <v>9</v>
      </c>
      <c r="BL12" s="74">
        <v>600410</v>
      </c>
      <c r="BM12" s="78">
        <v>20</v>
      </c>
      <c r="BN12" s="87">
        <v>676</v>
      </c>
      <c r="BO12" s="70">
        <v>0</v>
      </c>
      <c r="BP12" s="71">
        <v>778310</v>
      </c>
      <c r="BQ12" s="78">
        <v>10</v>
      </c>
      <c r="BR12" s="87">
        <v>6523</v>
      </c>
      <c r="BS12" s="78">
        <v>1</v>
      </c>
      <c r="BT12" s="81">
        <v>0</v>
      </c>
      <c r="BU12" s="78">
        <v>30</v>
      </c>
      <c r="BV12" s="82">
        <v>1</v>
      </c>
      <c r="BW12" s="74">
        <v>125</v>
      </c>
      <c r="BX12" s="83">
        <v>15594.96</v>
      </c>
      <c r="BY12" s="74"/>
      <c r="BZ12" s="103">
        <v>0</v>
      </c>
      <c r="CA12" s="74">
        <v>206456</v>
      </c>
      <c r="CB12" s="78">
        <v>0</v>
      </c>
      <c r="CC12" s="81">
        <v>0</v>
      </c>
      <c r="CD12" s="74">
        <v>42</v>
      </c>
      <c r="CE12" s="104">
        <v>4526</v>
      </c>
      <c r="CF12" s="74">
        <v>41</v>
      </c>
      <c r="CG12" s="81">
        <v>4418</v>
      </c>
      <c r="CH12" s="74">
        <v>42</v>
      </c>
      <c r="CI12" s="105">
        <v>4526</v>
      </c>
      <c r="CJ12" s="106">
        <v>13469</v>
      </c>
      <c r="CK12" s="107">
        <v>108</v>
      </c>
      <c r="CL12" s="74"/>
      <c r="CM12" s="74">
        <v>34484</v>
      </c>
      <c r="CN12" s="78">
        <v>1</v>
      </c>
      <c r="CO12" s="81">
        <v>2.44</v>
      </c>
      <c r="CP12" s="74">
        <v>34300</v>
      </c>
      <c r="CQ12" s="78">
        <v>0</v>
      </c>
      <c r="CR12" s="81">
        <v>0</v>
      </c>
      <c r="CS12" s="74">
        <v>10235.6</v>
      </c>
      <c r="CT12" s="78">
        <v>0</v>
      </c>
      <c r="CU12" s="81">
        <v>0</v>
      </c>
      <c r="CV12" s="74">
        <v>832145</v>
      </c>
      <c r="CW12" s="78">
        <v>1</v>
      </c>
      <c r="CX12" s="81">
        <v>2.44</v>
      </c>
      <c r="CY12" s="74">
        <v>5958</v>
      </c>
      <c r="CZ12" s="78">
        <v>1</v>
      </c>
      <c r="DA12" s="81">
        <v>2.39</v>
      </c>
      <c r="DB12" s="74">
        <v>7420</v>
      </c>
      <c r="DC12" s="78">
        <v>0</v>
      </c>
      <c r="DD12" s="78">
        <v>0</v>
      </c>
      <c r="DE12" s="74">
        <v>3840</v>
      </c>
      <c r="DF12" s="78">
        <v>0</v>
      </c>
      <c r="DG12" s="78">
        <v>0</v>
      </c>
      <c r="DH12" s="74">
        <v>1855.9</v>
      </c>
      <c r="DI12" s="78">
        <v>0</v>
      </c>
      <c r="DJ12" s="78">
        <v>0</v>
      </c>
      <c r="DK12" s="74">
        <v>5081.7</v>
      </c>
      <c r="DL12" s="78">
        <v>0</v>
      </c>
      <c r="DM12" s="78">
        <v>0</v>
      </c>
      <c r="DN12" s="74">
        <v>4454.7</v>
      </c>
      <c r="DO12" s="78">
        <v>0</v>
      </c>
      <c r="DP12" s="78">
        <v>0</v>
      </c>
      <c r="DQ12" s="74">
        <v>5089.6000000000004</v>
      </c>
      <c r="DR12" s="78">
        <v>0</v>
      </c>
      <c r="DS12" s="78">
        <v>0</v>
      </c>
      <c r="DT12" s="74">
        <v>4849</v>
      </c>
      <c r="DU12" s="78">
        <v>4</v>
      </c>
      <c r="DV12" s="81">
        <v>9.56</v>
      </c>
      <c r="DW12" s="89">
        <v>12871</v>
      </c>
      <c r="DX12" s="81">
        <v>0</v>
      </c>
      <c r="DY12" s="89">
        <v>62789</v>
      </c>
      <c r="DZ12" s="81">
        <v>0</v>
      </c>
      <c r="EA12" s="90">
        <v>15599</v>
      </c>
      <c r="EB12" s="81">
        <v>0</v>
      </c>
      <c r="EC12" s="90">
        <v>24679</v>
      </c>
      <c r="ED12" s="81">
        <v>0</v>
      </c>
      <c r="EE12" s="90">
        <v>2</v>
      </c>
      <c r="EF12" s="91">
        <v>6</v>
      </c>
      <c r="EG12" s="85">
        <v>1.4999999999999999E-2</v>
      </c>
      <c r="EH12" s="109"/>
      <c r="EI12" s="68"/>
      <c r="EJ12" s="68"/>
      <c r="EK12"/>
      <c r="EL12"/>
      <c r="EM12"/>
    </row>
    <row r="13" spans="1:143" s="21" customFormat="1" ht="15.75" thickBot="1" x14ac:dyDescent="0.3">
      <c r="A13" s="68">
        <v>44265</v>
      </c>
      <c r="B13" s="74">
        <v>6515886</v>
      </c>
      <c r="C13" s="70">
        <v>6494</v>
      </c>
      <c r="D13" s="74">
        <v>5762449</v>
      </c>
      <c r="E13" s="70">
        <v>6272</v>
      </c>
      <c r="F13" s="71">
        <v>0.96581459800000002</v>
      </c>
      <c r="G13" s="71">
        <v>396</v>
      </c>
      <c r="H13" s="71">
        <v>478</v>
      </c>
      <c r="I13" s="93">
        <v>287902</v>
      </c>
      <c r="J13" s="73">
        <v>0</v>
      </c>
      <c r="K13" s="72">
        <v>774</v>
      </c>
      <c r="L13" s="70">
        <v>0</v>
      </c>
      <c r="M13" s="74">
        <v>633790</v>
      </c>
      <c r="N13" s="70">
        <v>0</v>
      </c>
      <c r="O13" s="74">
        <v>991</v>
      </c>
      <c r="P13" s="73">
        <v>0</v>
      </c>
      <c r="Q13" s="74">
        <v>2546407</v>
      </c>
      <c r="R13" s="73">
        <v>90</v>
      </c>
      <c r="S13" s="74">
        <v>2191596</v>
      </c>
      <c r="T13" s="73">
        <v>4</v>
      </c>
      <c r="U13" s="74">
        <v>108432</v>
      </c>
      <c r="V13" s="73">
        <v>32</v>
      </c>
      <c r="W13" s="98">
        <v>100</v>
      </c>
      <c r="X13" s="74">
        <v>152370</v>
      </c>
      <c r="Y13" s="70">
        <v>0</v>
      </c>
      <c r="Z13" s="71">
        <v>39509</v>
      </c>
      <c r="AA13" s="78">
        <v>2</v>
      </c>
      <c r="AB13" s="74">
        <v>1111</v>
      </c>
      <c r="AC13" s="102">
        <v>0</v>
      </c>
      <c r="AD13" s="71">
        <v>4536</v>
      </c>
      <c r="AE13" s="79">
        <v>0</v>
      </c>
      <c r="AF13" s="71">
        <v>579550</v>
      </c>
      <c r="AG13" s="73">
        <v>30</v>
      </c>
      <c r="AH13" s="71">
        <v>580010</v>
      </c>
      <c r="AI13" s="73">
        <v>0</v>
      </c>
      <c r="AJ13" s="87">
        <v>467</v>
      </c>
      <c r="AK13" s="70">
        <v>0</v>
      </c>
      <c r="AL13" s="71">
        <v>52223</v>
      </c>
      <c r="AM13" s="77">
        <v>0</v>
      </c>
      <c r="AN13" s="74">
        <v>8910</v>
      </c>
      <c r="AO13" s="70">
        <v>0</v>
      </c>
      <c r="AP13" s="74">
        <v>10571</v>
      </c>
      <c r="AQ13" s="70">
        <v>0</v>
      </c>
      <c r="AR13" s="71">
        <v>14551</v>
      </c>
      <c r="AS13" s="70">
        <v>0</v>
      </c>
      <c r="AT13" s="74">
        <v>19369</v>
      </c>
      <c r="AU13" s="70">
        <v>0</v>
      </c>
      <c r="AV13" s="74">
        <v>20677</v>
      </c>
      <c r="AW13" s="78">
        <v>0</v>
      </c>
      <c r="AX13" s="74">
        <v>13871</v>
      </c>
      <c r="AY13" s="78">
        <v>0</v>
      </c>
      <c r="AZ13" s="74">
        <v>6191</v>
      </c>
      <c r="BA13" s="70">
        <v>0</v>
      </c>
      <c r="BB13" s="74">
        <v>26460</v>
      </c>
      <c r="BC13" s="70">
        <v>0</v>
      </c>
      <c r="BD13" s="71">
        <v>1115</v>
      </c>
      <c r="BE13" s="70">
        <v>0</v>
      </c>
      <c r="BF13" s="71">
        <v>4372</v>
      </c>
      <c r="BG13" s="70">
        <v>0</v>
      </c>
      <c r="BH13" s="74">
        <v>3636</v>
      </c>
      <c r="BI13" s="70">
        <v>0</v>
      </c>
      <c r="BJ13" s="78">
        <v>0</v>
      </c>
      <c r="BK13" s="78">
        <v>0</v>
      </c>
      <c r="BL13" s="74">
        <v>600420</v>
      </c>
      <c r="BM13" s="78">
        <v>10</v>
      </c>
      <c r="BN13" s="87">
        <v>676</v>
      </c>
      <c r="BO13" s="70">
        <v>0</v>
      </c>
      <c r="BP13" s="71">
        <v>778320</v>
      </c>
      <c r="BQ13" s="78">
        <v>10</v>
      </c>
      <c r="BR13" s="87">
        <v>6524</v>
      </c>
      <c r="BS13" s="78">
        <v>1</v>
      </c>
      <c r="BT13" s="81">
        <v>10</v>
      </c>
      <c r="BU13" s="78">
        <v>20</v>
      </c>
      <c r="BV13" s="82">
        <v>0</v>
      </c>
      <c r="BW13" s="74">
        <v>125</v>
      </c>
      <c r="BX13" s="83">
        <v>15594.96</v>
      </c>
      <c r="BY13" s="74"/>
      <c r="BZ13" s="103">
        <v>0</v>
      </c>
      <c r="CA13" s="74">
        <v>206456</v>
      </c>
      <c r="CB13" s="78">
        <v>0</v>
      </c>
      <c r="CC13" s="81">
        <v>0</v>
      </c>
      <c r="CD13" s="74">
        <v>42</v>
      </c>
      <c r="CE13" s="104">
        <v>4526</v>
      </c>
      <c r="CF13" s="74">
        <v>41</v>
      </c>
      <c r="CG13" s="81">
        <v>4418</v>
      </c>
      <c r="CH13" s="74">
        <v>42</v>
      </c>
      <c r="CI13" s="105">
        <v>4526</v>
      </c>
      <c r="CJ13" s="106">
        <v>13469</v>
      </c>
      <c r="CK13" s="107">
        <v>0</v>
      </c>
      <c r="CL13" s="74"/>
      <c r="CM13" s="74">
        <v>34484</v>
      </c>
      <c r="CN13" s="78">
        <v>0</v>
      </c>
      <c r="CO13" s="81">
        <v>0</v>
      </c>
      <c r="CP13" s="74">
        <v>34300</v>
      </c>
      <c r="CQ13" s="78">
        <v>0</v>
      </c>
      <c r="CR13" s="81">
        <v>0</v>
      </c>
      <c r="CS13" s="74">
        <v>10235.6</v>
      </c>
      <c r="CT13" s="78">
        <v>0</v>
      </c>
      <c r="CU13" s="81">
        <v>0</v>
      </c>
      <c r="CV13" s="74">
        <v>832145</v>
      </c>
      <c r="CW13" s="78">
        <v>0</v>
      </c>
      <c r="CX13" s="81">
        <v>0</v>
      </c>
      <c r="CY13" s="74">
        <v>5958</v>
      </c>
      <c r="CZ13" s="78">
        <v>0</v>
      </c>
      <c r="DA13" s="81">
        <v>0</v>
      </c>
      <c r="DB13" s="74">
        <v>7420</v>
      </c>
      <c r="DC13" s="78">
        <v>0</v>
      </c>
      <c r="DD13" s="78">
        <v>0</v>
      </c>
      <c r="DE13" s="74">
        <v>3840</v>
      </c>
      <c r="DF13" s="78">
        <v>0</v>
      </c>
      <c r="DG13" s="78">
        <v>0</v>
      </c>
      <c r="DH13" s="74">
        <v>1855.9</v>
      </c>
      <c r="DI13" s="78">
        <v>0</v>
      </c>
      <c r="DJ13" s="78">
        <v>0</v>
      </c>
      <c r="DK13" s="74">
        <v>5081.7</v>
      </c>
      <c r="DL13" s="78">
        <v>0</v>
      </c>
      <c r="DM13" s="78">
        <v>0</v>
      </c>
      <c r="DN13" s="74">
        <v>4454.7</v>
      </c>
      <c r="DO13" s="78">
        <v>0</v>
      </c>
      <c r="DP13" s="78">
        <v>0</v>
      </c>
      <c r="DQ13" s="74">
        <v>5089.6000000000004</v>
      </c>
      <c r="DR13" s="78">
        <v>0</v>
      </c>
      <c r="DS13" s="78">
        <v>0</v>
      </c>
      <c r="DT13" s="74">
        <v>4855</v>
      </c>
      <c r="DU13" s="78">
        <v>6</v>
      </c>
      <c r="DV13" s="81">
        <v>14.34</v>
      </c>
      <c r="DW13" s="89">
        <v>12871</v>
      </c>
      <c r="DX13" s="81">
        <v>0</v>
      </c>
      <c r="DY13" s="89">
        <v>62789</v>
      </c>
      <c r="DZ13" s="81">
        <v>0</v>
      </c>
      <c r="EA13" s="90">
        <v>15599</v>
      </c>
      <c r="EB13" s="81">
        <v>0</v>
      </c>
      <c r="EC13" s="90">
        <v>24679</v>
      </c>
      <c r="ED13" s="81">
        <v>0</v>
      </c>
      <c r="EE13" s="90">
        <v>2</v>
      </c>
      <c r="EF13" s="91">
        <v>6</v>
      </c>
      <c r="EG13" s="85">
        <v>1.4999999999999999E-2</v>
      </c>
      <c r="EH13" s="109"/>
      <c r="EI13" s="68"/>
      <c r="EJ13" s="68"/>
      <c r="EK13"/>
      <c r="EL13"/>
      <c r="EM13"/>
    </row>
    <row r="14" spans="1:143" s="21" customFormat="1" ht="15.75" thickBot="1" x14ac:dyDescent="0.3">
      <c r="A14" s="68">
        <v>44266</v>
      </c>
      <c r="B14" s="74">
        <v>6521900</v>
      </c>
      <c r="C14" s="70">
        <v>6014</v>
      </c>
      <c r="D14" s="74">
        <v>5768246</v>
      </c>
      <c r="E14" s="70">
        <v>5797</v>
      </c>
      <c r="F14" s="71">
        <v>0.96391752600000002</v>
      </c>
      <c r="G14" s="71">
        <v>394</v>
      </c>
      <c r="H14" s="71">
        <v>478</v>
      </c>
      <c r="I14" s="93">
        <v>287902</v>
      </c>
      <c r="J14" s="73">
        <v>0</v>
      </c>
      <c r="K14" s="72">
        <v>774</v>
      </c>
      <c r="L14" s="70">
        <v>0</v>
      </c>
      <c r="M14" s="74">
        <v>633790</v>
      </c>
      <c r="N14" s="70">
        <v>0</v>
      </c>
      <c r="O14" s="74">
        <v>991</v>
      </c>
      <c r="P14" s="73">
        <v>0</v>
      </c>
      <c r="Q14" s="74">
        <v>2546472</v>
      </c>
      <c r="R14" s="73">
        <v>65</v>
      </c>
      <c r="S14" s="74">
        <v>2191599</v>
      </c>
      <c r="T14" s="73">
        <v>3</v>
      </c>
      <c r="U14" s="74">
        <v>108460</v>
      </c>
      <c r="V14" s="73">
        <v>28</v>
      </c>
      <c r="W14" s="98">
        <v>100</v>
      </c>
      <c r="X14" s="74">
        <v>152370</v>
      </c>
      <c r="Y14" s="70">
        <v>0</v>
      </c>
      <c r="Z14" s="71">
        <v>39511</v>
      </c>
      <c r="AA14" s="78">
        <v>2</v>
      </c>
      <c r="AB14" s="74">
        <v>1111</v>
      </c>
      <c r="AC14" s="102">
        <v>0</v>
      </c>
      <c r="AD14" s="71">
        <v>4536</v>
      </c>
      <c r="AE14" s="79">
        <v>0</v>
      </c>
      <c r="AF14" s="71">
        <v>579560</v>
      </c>
      <c r="AG14" s="73">
        <v>10</v>
      </c>
      <c r="AH14" s="71">
        <v>580010</v>
      </c>
      <c r="AI14" s="73">
        <v>0</v>
      </c>
      <c r="AJ14" s="87">
        <v>467</v>
      </c>
      <c r="AK14" s="70">
        <v>0</v>
      </c>
      <c r="AL14" s="71">
        <v>52223</v>
      </c>
      <c r="AM14" s="77">
        <v>0</v>
      </c>
      <c r="AN14" s="74">
        <v>8910</v>
      </c>
      <c r="AO14" s="70">
        <v>0</v>
      </c>
      <c r="AP14" s="74">
        <v>10571</v>
      </c>
      <c r="AQ14" s="70">
        <v>0</v>
      </c>
      <c r="AR14" s="71">
        <v>14551</v>
      </c>
      <c r="AS14" s="70">
        <v>0</v>
      </c>
      <c r="AT14" s="74">
        <v>19369</v>
      </c>
      <c r="AU14" s="70">
        <v>0</v>
      </c>
      <c r="AV14" s="74">
        <v>20677</v>
      </c>
      <c r="AW14" s="78">
        <v>0</v>
      </c>
      <c r="AX14" s="74">
        <v>13871</v>
      </c>
      <c r="AY14" s="78">
        <v>0</v>
      </c>
      <c r="AZ14" s="74">
        <v>6191</v>
      </c>
      <c r="BA14" s="70">
        <v>0</v>
      </c>
      <c r="BB14" s="74">
        <v>26460</v>
      </c>
      <c r="BC14" s="70">
        <v>0</v>
      </c>
      <c r="BD14" s="71">
        <v>1115</v>
      </c>
      <c r="BE14" s="70">
        <v>0</v>
      </c>
      <c r="BF14" s="71">
        <v>4372</v>
      </c>
      <c r="BG14" s="70">
        <v>0</v>
      </c>
      <c r="BH14" s="74">
        <v>3636</v>
      </c>
      <c r="BI14" s="70">
        <v>0</v>
      </c>
      <c r="BJ14" s="78">
        <v>0</v>
      </c>
      <c r="BK14" s="78">
        <v>0</v>
      </c>
      <c r="BL14" s="74">
        <v>600430</v>
      </c>
      <c r="BM14" s="78">
        <v>10</v>
      </c>
      <c r="BN14" s="87">
        <v>676</v>
      </c>
      <c r="BO14" s="70">
        <v>0</v>
      </c>
      <c r="BP14" s="71">
        <v>778320</v>
      </c>
      <c r="BQ14" s="78">
        <v>0</v>
      </c>
      <c r="BR14" s="87">
        <v>6524</v>
      </c>
      <c r="BS14" s="78">
        <v>0</v>
      </c>
      <c r="BT14" s="81">
        <v>0</v>
      </c>
      <c r="BU14" s="78">
        <v>10</v>
      </c>
      <c r="BV14" s="82">
        <v>0</v>
      </c>
      <c r="BW14" s="74">
        <v>125</v>
      </c>
      <c r="BX14" s="83">
        <v>15594.96</v>
      </c>
      <c r="BY14" s="74"/>
      <c r="BZ14" s="103">
        <v>0</v>
      </c>
      <c r="CA14" s="74">
        <v>206456</v>
      </c>
      <c r="CB14" s="78">
        <v>0</v>
      </c>
      <c r="CC14" s="81">
        <v>0</v>
      </c>
      <c r="CD14" s="74">
        <v>41</v>
      </c>
      <c r="CE14" s="104">
        <v>4418</v>
      </c>
      <c r="CF14" s="74">
        <v>41</v>
      </c>
      <c r="CG14" s="81">
        <v>4418</v>
      </c>
      <c r="CH14" s="74">
        <v>42</v>
      </c>
      <c r="CI14" s="105">
        <v>4526</v>
      </c>
      <c r="CJ14" s="106">
        <v>13361</v>
      </c>
      <c r="CK14" s="107">
        <v>108</v>
      </c>
      <c r="CL14" s="74"/>
      <c r="CM14" s="74">
        <v>34484.9</v>
      </c>
      <c r="CN14" s="78">
        <v>0.9</v>
      </c>
      <c r="CO14" s="81">
        <v>2.1960000000000002</v>
      </c>
      <c r="CP14" s="74">
        <v>34300</v>
      </c>
      <c r="CQ14" s="78">
        <v>0</v>
      </c>
      <c r="CR14" s="81">
        <v>0</v>
      </c>
      <c r="CS14" s="74">
        <v>10235.6</v>
      </c>
      <c r="CT14" s="78">
        <v>0</v>
      </c>
      <c r="CU14" s="81">
        <v>0</v>
      </c>
      <c r="CV14" s="74">
        <v>832145</v>
      </c>
      <c r="CW14" s="78">
        <v>0</v>
      </c>
      <c r="CX14" s="81">
        <v>0</v>
      </c>
      <c r="CY14" s="74">
        <v>5958</v>
      </c>
      <c r="CZ14" s="78">
        <v>0</v>
      </c>
      <c r="DA14" s="81">
        <v>0</v>
      </c>
      <c r="DB14" s="74">
        <v>7420</v>
      </c>
      <c r="DC14" s="78">
        <v>0</v>
      </c>
      <c r="DD14" s="78">
        <v>0</v>
      </c>
      <c r="DE14" s="74">
        <v>3840</v>
      </c>
      <c r="DF14" s="78">
        <v>0</v>
      </c>
      <c r="DG14" s="78">
        <v>0</v>
      </c>
      <c r="DH14" s="74">
        <v>1855.9</v>
      </c>
      <c r="DI14" s="78">
        <v>0</v>
      </c>
      <c r="DJ14" s="78">
        <v>0</v>
      </c>
      <c r="DK14" s="74">
        <v>5081.7</v>
      </c>
      <c r="DL14" s="78">
        <v>0</v>
      </c>
      <c r="DM14" s="78">
        <v>0</v>
      </c>
      <c r="DN14" s="74">
        <v>4454.7</v>
      </c>
      <c r="DO14" s="78">
        <v>0</v>
      </c>
      <c r="DP14" s="78">
        <v>0</v>
      </c>
      <c r="DQ14" s="74">
        <v>5089.6000000000004</v>
      </c>
      <c r="DR14" s="78">
        <v>0</v>
      </c>
      <c r="DS14" s="78">
        <v>0</v>
      </c>
      <c r="DT14" s="74">
        <v>4857</v>
      </c>
      <c r="DU14" s="78">
        <v>2</v>
      </c>
      <c r="DV14" s="81">
        <v>4.78</v>
      </c>
      <c r="DW14" s="89">
        <v>12871</v>
      </c>
      <c r="DX14" s="81">
        <v>0</v>
      </c>
      <c r="DY14" s="89">
        <v>62789</v>
      </c>
      <c r="DZ14" s="81">
        <v>0</v>
      </c>
      <c r="EA14" s="90">
        <v>15599</v>
      </c>
      <c r="EB14" s="81">
        <v>0</v>
      </c>
      <c r="EC14" s="90">
        <v>24679</v>
      </c>
      <c r="ED14" s="81">
        <v>0</v>
      </c>
      <c r="EE14" s="90">
        <v>2</v>
      </c>
      <c r="EF14" s="91">
        <v>6</v>
      </c>
      <c r="EG14" s="85">
        <v>1.4999999999999999E-2</v>
      </c>
      <c r="EH14" s="109"/>
      <c r="EI14" s="68"/>
      <c r="EJ14" s="68"/>
      <c r="EK14"/>
      <c r="EL14"/>
      <c r="EM14"/>
    </row>
    <row r="15" spans="1:143" s="21" customFormat="1" ht="15.75" thickBot="1" x14ac:dyDescent="0.3">
      <c r="A15" s="68">
        <v>44267</v>
      </c>
      <c r="B15" s="74">
        <v>6527732</v>
      </c>
      <c r="C15" s="70">
        <v>5832</v>
      </c>
      <c r="D15" s="74">
        <v>5773848</v>
      </c>
      <c r="E15" s="70">
        <v>5602</v>
      </c>
      <c r="F15" s="71">
        <v>0.96056241399999998</v>
      </c>
      <c r="G15" s="71">
        <v>394</v>
      </c>
      <c r="H15" s="71">
        <v>478</v>
      </c>
      <c r="I15" s="93">
        <v>287902</v>
      </c>
      <c r="J15" s="73">
        <v>0</v>
      </c>
      <c r="K15" s="72">
        <v>774</v>
      </c>
      <c r="L15" s="70">
        <v>0</v>
      </c>
      <c r="M15" s="74">
        <v>633790</v>
      </c>
      <c r="N15" s="70">
        <v>0</v>
      </c>
      <c r="O15" s="74">
        <v>991</v>
      </c>
      <c r="P15" s="73">
        <v>0</v>
      </c>
      <c r="Q15" s="74">
        <v>2546517</v>
      </c>
      <c r="R15" s="73">
        <v>45</v>
      </c>
      <c r="S15" s="74">
        <v>2191600</v>
      </c>
      <c r="T15" s="73">
        <v>1</v>
      </c>
      <c r="U15" s="74">
        <v>108470</v>
      </c>
      <c r="V15" s="73">
        <v>10</v>
      </c>
      <c r="W15" s="98">
        <v>100</v>
      </c>
      <c r="X15" s="74">
        <v>152370</v>
      </c>
      <c r="Y15" s="70">
        <v>0</v>
      </c>
      <c r="Z15" s="71">
        <v>39512</v>
      </c>
      <c r="AA15" s="78">
        <v>1</v>
      </c>
      <c r="AB15" s="74">
        <v>1111</v>
      </c>
      <c r="AC15" s="102">
        <v>0</v>
      </c>
      <c r="AD15" s="74">
        <v>4536</v>
      </c>
      <c r="AE15" s="79">
        <v>0</v>
      </c>
      <c r="AF15" s="74">
        <v>579570</v>
      </c>
      <c r="AG15" s="73">
        <v>10</v>
      </c>
      <c r="AH15" s="74">
        <v>580010</v>
      </c>
      <c r="AI15" s="73">
        <v>0</v>
      </c>
      <c r="AJ15" s="87">
        <v>467</v>
      </c>
      <c r="AK15" s="70">
        <v>0</v>
      </c>
      <c r="AL15" s="71">
        <v>52223</v>
      </c>
      <c r="AM15" s="77">
        <v>0</v>
      </c>
      <c r="AN15" s="74">
        <v>8910</v>
      </c>
      <c r="AO15" s="70">
        <v>0</v>
      </c>
      <c r="AP15" s="74">
        <v>10571</v>
      </c>
      <c r="AQ15" s="70">
        <v>0</v>
      </c>
      <c r="AR15" s="71">
        <v>14551</v>
      </c>
      <c r="AS15" s="70">
        <v>0</v>
      </c>
      <c r="AT15" s="74">
        <v>19369</v>
      </c>
      <c r="AU15" s="70">
        <v>0</v>
      </c>
      <c r="AV15" s="74">
        <v>20677</v>
      </c>
      <c r="AW15" s="78">
        <v>0</v>
      </c>
      <c r="AX15" s="74">
        <v>13871</v>
      </c>
      <c r="AY15" s="78">
        <v>0</v>
      </c>
      <c r="AZ15" s="74">
        <v>6192</v>
      </c>
      <c r="BA15" s="70">
        <v>1</v>
      </c>
      <c r="BB15" s="74">
        <v>26461</v>
      </c>
      <c r="BC15" s="70">
        <v>1</v>
      </c>
      <c r="BD15" s="71">
        <v>1115</v>
      </c>
      <c r="BE15" s="70">
        <v>0</v>
      </c>
      <c r="BF15" s="71">
        <v>4372</v>
      </c>
      <c r="BG15" s="70">
        <v>0</v>
      </c>
      <c r="BH15" s="74">
        <v>3636</v>
      </c>
      <c r="BI15" s="70">
        <v>0</v>
      </c>
      <c r="BJ15" s="78">
        <v>0</v>
      </c>
      <c r="BK15" s="78">
        <v>0</v>
      </c>
      <c r="BL15" s="74">
        <v>600450</v>
      </c>
      <c r="BM15" s="78">
        <v>20</v>
      </c>
      <c r="BN15" s="87">
        <v>676</v>
      </c>
      <c r="BO15" s="70">
        <v>0</v>
      </c>
      <c r="BP15" s="71">
        <v>778330</v>
      </c>
      <c r="BQ15" s="78">
        <v>10</v>
      </c>
      <c r="BR15" s="87">
        <v>6525</v>
      </c>
      <c r="BS15" s="78">
        <v>1</v>
      </c>
      <c r="BT15" s="81">
        <v>10</v>
      </c>
      <c r="BU15" s="78">
        <v>30</v>
      </c>
      <c r="BV15" s="82">
        <v>1</v>
      </c>
      <c r="BW15" s="74">
        <v>125</v>
      </c>
      <c r="BX15" s="83">
        <v>15594.96</v>
      </c>
      <c r="BY15" s="74"/>
      <c r="BZ15" s="103">
        <v>0</v>
      </c>
      <c r="CA15" s="74">
        <v>206456</v>
      </c>
      <c r="CB15" s="78">
        <v>0</v>
      </c>
      <c r="CC15" s="81">
        <v>0</v>
      </c>
      <c r="CD15" s="74">
        <v>41</v>
      </c>
      <c r="CE15" s="104">
        <v>4418</v>
      </c>
      <c r="CF15" s="74">
        <v>40</v>
      </c>
      <c r="CG15" s="81">
        <v>4310</v>
      </c>
      <c r="CH15" s="74">
        <v>42</v>
      </c>
      <c r="CI15" s="105">
        <v>4526</v>
      </c>
      <c r="CJ15" s="106">
        <v>13253</v>
      </c>
      <c r="CK15" s="107">
        <v>108</v>
      </c>
      <c r="CL15" s="94"/>
      <c r="CM15" s="74">
        <v>34485.300000000003</v>
      </c>
      <c r="CN15" s="78">
        <v>0.4</v>
      </c>
      <c r="CO15" s="81">
        <v>0.97599999999999998</v>
      </c>
      <c r="CP15" s="74">
        <v>34300</v>
      </c>
      <c r="CQ15" s="78">
        <v>0</v>
      </c>
      <c r="CR15" s="81">
        <v>0</v>
      </c>
      <c r="CS15" s="74">
        <v>10235.6</v>
      </c>
      <c r="CT15" s="78">
        <v>0</v>
      </c>
      <c r="CU15" s="81">
        <v>0</v>
      </c>
      <c r="CV15" s="74">
        <v>832145</v>
      </c>
      <c r="CW15" s="78">
        <v>0</v>
      </c>
      <c r="CX15" s="81">
        <v>0</v>
      </c>
      <c r="CY15" s="74">
        <v>5959</v>
      </c>
      <c r="CZ15" s="78">
        <v>1</v>
      </c>
      <c r="DA15" s="81">
        <v>2.39</v>
      </c>
      <c r="DB15" s="74">
        <v>7420</v>
      </c>
      <c r="DC15" s="78">
        <v>0</v>
      </c>
      <c r="DD15" s="78">
        <v>0</v>
      </c>
      <c r="DE15" s="74">
        <v>3840</v>
      </c>
      <c r="DF15" s="78">
        <v>0</v>
      </c>
      <c r="DG15" s="78">
        <v>0</v>
      </c>
      <c r="DH15" s="74">
        <v>1855.9</v>
      </c>
      <c r="DI15" s="78">
        <v>0</v>
      </c>
      <c r="DJ15" s="78">
        <v>0</v>
      </c>
      <c r="DK15" s="74">
        <v>5081.7</v>
      </c>
      <c r="DL15" s="78">
        <v>0</v>
      </c>
      <c r="DM15" s="78">
        <v>0</v>
      </c>
      <c r="DN15" s="74">
        <v>4454.7</v>
      </c>
      <c r="DO15" s="78">
        <v>0</v>
      </c>
      <c r="DP15" s="78">
        <v>0</v>
      </c>
      <c r="DQ15" s="74">
        <v>5089.6000000000004</v>
      </c>
      <c r="DR15" s="78">
        <v>0</v>
      </c>
      <c r="DS15" s="78">
        <v>0</v>
      </c>
      <c r="DT15" s="74">
        <v>4861</v>
      </c>
      <c r="DU15" s="78">
        <v>4</v>
      </c>
      <c r="DV15" s="81">
        <v>9.56</v>
      </c>
      <c r="DW15" s="89">
        <v>12871</v>
      </c>
      <c r="DX15" s="81">
        <v>0</v>
      </c>
      <c r="DY15" s="89">
        <v>62789</v>
      </c>
      <c r="DZ15" s="81">
        <v>0</v>
      </c>
      <c r="EA15" s="90">
        <v>15599</v>
      </c>
      <c r="EB15" s="81">
        <v>0</v>
      </c>
      <c r="EC15" s="90">
        <v>24679</v>
      </c>
      <c r="ED15" s="81">
        <v>0</v>
      </c>
      <c r="EE15" s="90">
        <v>2</v>
      </c>
      <c r="EF15" s="91">
        <v>6</v>
      </c>
      <c r="EG15" s="85">
        <v>1.4999999999999999E-2</v>
      </c>
      <c r="EH15" s="109"/>
      <c r="EI15" s="68"/>
      <c r="EJ15" s="68"/>
      <c r="EK15"/>
      <c r="EL15"/>
      <c r="EM15"/>
    </row>
    <row r="16" spans="1:143" s="21" customFormat="1" ht="15.75" thickBot="1" x14ac:dyDescent="0.3">
      <c r="A16" s="68">
        <v>44268</v>
      </c>
      <c r="B16" s="74">
        <v>6534457</v>
      </c>
      <c r="C16" s="70">
        <v>6725</v>
      </c>
      <c r="D16" s="74">
        <v>5780308</v>
      </c>
      <c r="E16" s="70">
        <v>6460</v>
      </c>
      <c r="F16" s="71">
        <v>0.96059479599999997</v>
      </c>
      <c r="G16" s="71">
        <v>394</v>
      </c>
      <c r="H16" s="71">
        <v>478</v>
      </c>
      <c r="I16" s="93">
        <v>287902</v>
      </c>
      <c r="J16" s="73">
        <v>0</v>
      </c>
      <c r="K16" s="72">
        <v>774</v>
      </c>
      <c r="L16" s="70">
        <v>0</v>
      </c>
      <c r="M16" s="74">
        <v>633790</v>
      </c>
      <c r="N16" s="70">
        <v>0</v>
      </c>
      <c r="O16" s="74">
        <v>991</v>
      </c>
      <c r="P16" s="73">
        <v>0</v>
      </c>
      <c r="Q16" s="74">
        <v>2546614</v>
      </c>
      <c r="R16" s="73">
        <v>97</v>
      </c>
      <c r="S16" s="74">
        <v>2191604</v>
      </c>
      <c r="T16" s="73">
        <v>4</v>
      </c>
      <c r="U16" s="74">
        <v>108547</v>
      </c>
      <c r="V16" s="73">
        <v>77</v>
      </c>
      <c r="W16" s="98">
        <v>100</v>
      </c>
      <c r="X16" s="74">
        <v>152370</v>
      </c>
      <c r="Y16" s="70">
        <v>0</v>
      </c>
      <c r="Z16" s="71">
        <v>39517</v>
      </c>
      <c r="AA16" s="78">
        <v>5</v>
      </c>
      <c r="AB16" s="74">
        <v>1111</v>
      </c>
      <c r="AC16" s="102">
        <v>0</v>
      </c>
      <c r="AD16" s="74">
        <v>4536</v>
      </c>
      <c r="AE16" s="79">
        <v>0</v>
      </c>
      <c r="AF16" s="74">
        <v>579570</v>
      </c>
      <c r="AG16" s="73">
        <v>0</v>
      </c>
      <c r="AH16" s="74">
        <v>580010</v>
      </c>
      <c r="AI16" s="73">
        <v>0</v>
      </c>
      <c r="AJ16" s="95">
        <v>467</v>
      </c>
      <c r="AK16" s="70">
        <v>0</v>
      </c>
      <c r="AL16" s="71">
        <v>52223</v>
      </c>
      <c r="AM16" s="77">
        <v>0</v>
      </c>
      <c r="AN16" s="74">
        <v>8910</v>
      </c>
      <c r="AO16" s="70">
        <v>0</v>
      </c>
      <c r="AP16" s="74">
        <v>10571</v>
      </c>
      <c r="AQ16" s="70">
        <v>0</v>
      </c>
      <c r="AR16" s="71">
        <v>14551</v>
      </c>
      <c r="AS16" s="70">
        <v>0</v>
      </c>
      <c r="AT16" s="74">
        <v>19369</v>
      </c>
      <c r="AU16" s="70">
        <v>0</v>
      </c>
      <c r="AV16" s="74">
        <v>20677</v>
      </c>
      <c r="AW16" s="78">
        <v>0</v>
      </c>
      <c r="AX16" s="74">
        <v>13871</v>
      </c>
      <c r="AY16" s="78">
        <v>0</v>
      </c>
      <c r="AZ16" s="74">
        <v>6208</v>
      </c>
      <c r="BA16" s="70">
        <v>16</v>
      </c>
      <c r="BB16" s="74">
        <v>26461</v>
      </c>
      <c r="BC16" s="70">
        <v>0</v>
      </c>
      <c r="BD16" s="71">
        <v>1115</v>
      </c>
      <c r="BE16" s="70">
        <v>0</v>
      </c>
      <c r="BF16" s="71">
        <v>4372</v>
      </c>
      <c r="BG16" s="70">
        <v>0</v>
      </c>
      <c r="BH16" s="74">
        <v>3636</v>
      </c>
      <c r="BI16" s="70">
        <v>0</v>
      </c>
      <c r="BJ16" s="78">
        <v>0</v>
      </c>
      <c r="BK16" s="78">
        <v>0</v>
      </c>
      <c r="BL16" s="74">
        <v>600460</v>
      </c>
      <c r="BM16" s="78">
        <v>10</v>
      </c>
      <c r="BN16" s="87">
        <v>676</v>
      </c>
      <c r="BO16" s="70">
        <v>0</v>
      </c>
      <c r="BP16" s="74">
        <v>778340</v>
      </c>
      <c r="BQ16" s="78">
        <v>10</v>
      </c>
      <c r="BR16" s="87">
        <v>6547</v>
      </c>
      <c r="BS16" s="78">
        <v>22</v>
      </c>
      <c r="BT16" s="81">
        <v>10</v>
      </c>
      <c r="BU16" s="78">
        <v>20</v>
      </c>
      <c r="BV16" s="82">
        <v>16</v>
      </c>
      <c r="BW16" s="74">
        <v>125</v>
      </c>
      <c r="BX16" s="83">
        <v>15594.96</v>
      </c>
      <c r="BY16" s="74"/>
      <c r="BZ16" s="103">
        <v>0</v>
      </c>
      <c r="CA16" s="74">
        <v>206456</v>
      </c>
      <c r="CB16" s="78">
        <v>0</v>
      </c>
      <c r="CC16" s="81">
        <v>0</v>
      </c>
      <c r="CD16" s="74">
        <v>41</v>
      </c>
      <c r="CE16" s="104">
        <v>4418</v>
      </c>
      <c r="CF16" s="74">
        <v>40</v>
      </c>
      <c r="CG16" s="81">
        <v>4310</v>
      </c>
      <c r="CH16" s="74">
        <v>41</v>
      </c>
      <c r="CI16" s="105">
        <v>4418</v>
      </c>
      <c r="CJ16" s="106">
        <v>13146</v>
      </c>
      <c r="CK16" s="107">
        <v>108</v>
      </c>
      <c r="CL16" s="74"/>
      <c r="CM16" s="74">
        <v>34486.400000000001</v>
      </c>
      <c r="CN16" s="78">
        <v>1.1000000000000001</v>
      </c>
      <c r="CO16" s="81">
        <v>2.6840000000000002</v>
      </c>
      <c r="CP16" s="74">
        <v>34300</v>
      </c>
      <c r="CQ16" s="78">
        <v>0</v>
      </c>
      <c r="CR16" s="81">
        <v>0</v>
      </c>
      <c r="CS16" s="74">
        <v>10235.6</v>
      </c>
      <c r="CT16" s="78">
        <v>0</v>
      </c>
      <c r="CU16" s="81">
        <v>0</v>
      </c>
      <c r="CV16" s="74">
        <v>832145</v>
      </c>
      <c r="CW16" s="78">
        <v>0</v>
      </c>
      <c r="CX16" s="81">
        <v>0</v>
      </c>
      <c r="CY16" s="74">
        <v>5959</v>
      </c>
      <c r="CZ16" s="78">
        <v>0</v>
      </c>
      <c r="DA16" s="81">
        <v>0</v>
      </c>
      <c r="DB16" s="74">
        <v>7420</v>
      </c>
      <c r="DC16" s="78">
        <v>0</v>
      </c>
      <c r="DD16" s="78">
        <v>0</v>
      </c>
      <c r="DE16" s="74">
        <v>3840</v>
      </c>
      <c r="DF16" s="78">
        <v>0</v>
      </c>
      <c r="DG16" s="78">
        <v>0</v>
      </c>
      <c r="DH16" s="74">
        <v>1855.9</v>
      </c>
      <c r="DI16" s="78">
        <v>0</v>
      </c>
      <c r="DJ16" s="78">
        <v>0</v>
      </c>
      <c r="DK16" s="74">
        <v>5081.7</v>
      </c>
      <c r="DL16" s="78">
        <v>0</v>
      </c>
      <c r="DM16" s="78">
        <v>0</v>
      </c>
      <c r="DN16" s="74">
        <v>4454.7</v>
      </c>
      <c r="DO16" s="78">
        <v>0</v>
      </c>
      <c r="DP16" s="78">
        <v>0</v>
      </c>
      <c r="DQ16" s="74">
        <v>5089.6000000000004</v>
      </c>
      <c r="DR16" s="78">
        <v>0</v>
      </c>
      <c r="DS16" s="78">
        <v>0</v>
      </c>
      <c r="DT16" s="74">
        <v>4868</v>
      </c>
      <c r="DU16" s="78">
        <v>7</v>
      </c>
      <c r="DV16" s="81">
        <v>16.73</v>
      </c>
      <c r="DW16" s="89">
        <v>12871</v>
      </c>
      <c r="DX16" s="81">
        <v>0</v>
      </c>
      <c r="DY16" s="89">
        <v>62789</v>
      </c>
      <c r="DZ16" s="81">
        <v>0</v>
      </c>
      <c r="EA16" s="90">
        <v>15599</v>
      </c>
      <c r="EB16" s="81">
        <v>0</v>
      </c>
      <c r="EC16" s="90">
        <v>24679</v>
      </c>
      <c r="ED16" s="81">
        <v>0</v>
      </c>
      <c r="EE16" s="90">
        <v>2</v>
      </c>
      <c r="EF16" s="91">
        <v>6</v>
      </c>
      <c r="EG16" s="85">
        <v>1.4999999999999999E-2</v>
      </c>
      <c r="EH16" s="109"/>
      <c r="EI16" s="68"/>
      <c r="EJ16" s="68"/>
      <c r="EK16"/>
      <c r="EL16"/>
      <c r="EM16"/>
    </row>
    <row r="17" spans="1:144" s="30" customFormat="1" ht="15.75" thickBot="1" x14ac:dyDescent="0.3">
      <c r="A17" s="68">
        <v>44269</v>
      </c>
      <c r="B17" s="74">
        <v>6541284</v>
      </c>
      <c r="C17" s="70">
        <v>6827</v>
      </c>
      <c r="D17" s="74">
        <v>5787025</v>
      </c>
      <c r="E17" s="70">
        <v>6717</v>
      </c>
      <c r="F17" s="71">
        <v>0.983887505</v>
      </c>
      <c r="G17" s="71">
        <v>460</v>
      </c>
      <c r="H17" s="71">
        <v>478</v>
      </c>
      <c r="I17" s="93">
        <v>287902</v>
      </c>
      <c r="J17" s="73">
        <v>0</v>
      </c>
      <c r="K17" s="72">
        <v>774</v>
      </c>
      <c r="L17" s="70">
        <v>0</v>
      </c>
      <c r="M17" s="74">
        <v>633790</v>
      </c>
      <c r="N17" s="70">
        <v>0</v>
      </c>
      <c r="O17" s="74">
        <v>991</v>
      </c>
      <c r="P17" s="73">
        <v>0</v>
      </c>
      <c r="Q17" s="74">
        <v>2546636</v>
      </c>
      <c r="R17" s="73">
        <v>22</v>
      </c>
      <c r="S17" s="74">
        <v>2191604</v>
      </c>
      <c r="T17" s="73">
        <v>0</v>
      </c>
      <c r="U17" s="74">
        <v>108593</v>
      </c>
      <c r="V17" s="73">
        <v>46</v>
      </c>
      <c r="W17" s="98">
        <v>100</v>
      </c>
      <c r="X17" s="74">
        <v>152370</v>
      </c>
      <c r="Y17" s="70">
        <v>0</v>
      </c>
      <c r="Z17" s="71">
        <v>39522</v>
      </c>
      <c r="AA17" s="78">
        <v>5</v>
      </c>
      <c r="AB17" s="74">
        <v>1111</v>
      </c>
      <c r="AC17" s="102">
        <v>0</v>
      </c>
      <c r="AD17" s="74">
        <v>4548</v>
      </c>
      <c r="AE17" s="79">
        <v>12</v>
      </c>
      <c r="AF17" s="74">
        <v>579600</v>
      </c>
      <c r="AG17" s="73">
        <v>30</v>
      </c>
      <c r="AH17" s="74">
        <v>580030</v>
      </c>
      <c r="AI17" s="73">
        <v>20</v>
      </c>
      <c r="AJ17" s="95">
        <v>467</v>
      </c>
      <c r="AK17" s="70">
        <v>0</v>
      </c>
      <c r="AL17" s="71">
        <v>52224</v>
      </c>
      <c r="AM17" s="77">
        <v>1</v>
      </c>
      <c r="AN17" s="74">
        <v>8910</v>
      </c>
      <c r="AO17" s="70">
        <v>0</v>
      </c>
      <c r="AP17" s="74">
        <v>10571</v>
      </c>
      <c r="AQ17" s="70">
        <v>0</v>
      </c>
      <c r="AR17" s="71">
        <v>14551</v>
      </c>
      <c r="AS17" s="70">
        <v>0</v>
      </c>
      <c r="AT17" s="74">
        <v>19369</v>
      </c>
      <c r="AU17" s="70">
        <v>0</v>
      </c>
      <c r="AV17" s="74">
        <v>20677</v>
      </c>
      <c r="AW17" s="78">
        <v>0</v>
      </c>
      <c r="AX17" s="74">
        <v>13871</v>
      </c>
      <c r="AY17" s="78">
        <v>0</v>
      </c>
      <c r="AZ17" s="74">
        <v>6209</v>
      </c>
      <c r="BA17" s="70">
        <v>1</v>
      </c>
      <c r="BB17" s="74">
        <v>26461</v>
      </c>
      <c r="BC17" s="70">
        <v>0</v>
      </c>
      <c r="BD17" s="71">
        <v>1115</v>
      </c>
      <c r="BE17" s="70">
        <v>0</v>
      </c>
      <c r="BF17" s="71">
        <v>4372</v>
      </c>
      <c r="BG17" s="70">
        <v>0</v>
      </c>
      <c r="BH17" s="74">
        <v>3636</v>
      </c>
      <c r="BI17" s="70">
        <v>0</v>
      </c>
      <c r="BJ17" s="78">
        <v>0</v>
      </c>
      <c r="BK17" s="78">
        <v>20</v>
      </c>
      <c r="BL17" s="74">
        <v>600480</v>
      </c>
      <c r="BM17" s="78">
        <v>20</v>
      </c>
      <c r="BN17" s="87">
        <v>676</v>
      </c>
      <c r="BO17" s="70">
        <v>0</v>
      </c>
      <c r="BP17" s="74">
        <v>778380</v>
      </c>
      <c r="BQ17" s="78">
        <v>40</v>
      </c>
      <c r="BR17" s="87">
        <v>6552</v>
      </c>
      <c r="BS17" s="78">
        <v>5</v>
      </c>
      <c r="BT17" s="81">
        <v>20</v>
      </c>
      <c r="BU17" s="78">
        <v>60</v>
      </c>
      <c r="BV17" s="82">
        <v>2</v>
      </c>
      <c r="BW17" s="74">
        <v>125</v>
      </c>
      <c r="BX17" s="83">
        <v>15594.96</v>
      </c>
      <c r="BY17" s="74"/>
      <c r="BZ17" s="103">
        <v>0</v>
      </c>
      <c r="CA17" s="74">
        <v>206459</v>
      </c>
      <c r="CB17" s="78">
        <v>3</v>
      </c>
      <c r="CC17" s="81">
        <v>17.13</v>
      </c>
      <c r="CD17" s="74">
        <v>40</v>
      </c>
      <c r="CE17" s="104">
        <v>4310</v>
      </c>
      <c r="CF17" s="74">
        <v>40</v>
      </c>
      <c r="CG17" s="81">
        <v>4310</v>
      </c>
      <c r="CH17" s="74">
        <v>41</v>
      </c>
      <c r="CI17" s="105">
        <v>4418</v>
      </c>
      <c r="CJ17" s="106">
        <v>13038</v>
      </c>
      <c r="CK17" s="107">
        <v>108</v>
      </c>
      <c r="CL17" s="74"/>
      <c r="CM17" s="74">
        <v>34487.599999999999</v>
      </c>
      <c r="CN17" s="78">
        <v>1.2</v>
      </c>
      <c r="CO17" s="81">
        <v>2.9279999999999999</v>
      </c>
      <c r="CP17" s="74">
        <v>34300</v>
      </c>
      <c r="CQ17" s="78">
        <v>0</v>
      </c>
      <c r="CR17" s="81">
        <v>0</v>
      </c>
      <c r="CS17" s="74">
        <v>10235.6</v>
      </c>
      <c r="CT17" s="78">
        <v>0</v>
      </c>
      <c r="CU17" s="81">
        <v>0</v>
      </c>
      <c r="CV17" s="74">
        <v>832145</v>
      </c>
      <c r="CW17" s="78">
        <v>0</v>
      </c>
      <c r="CX17" s="81">
        <v>0</v>
      </c>
      <c r="CY17" s="74">
        <v>5960</v>
      </c>
      <c r="CZ17" s="78">
        <v>1</v>
      </c>
      <c r="DA17" s="81">
        <v>2.39</v>
      </c>
      <c r="DB17" s="74">
        <v>7420</v>
      </c>
      <c r="DC17" s="78">
        <v>0</v>
      </c>
      <c r="DD17" s="78">
        <v>0</v>
      </c>
      <c r="DE17" s="74">
        <v>3840</v>
      </c>
      <c r="DF17" s="78">
        <v>0</v>
      </c>
      <c r="DG17" s="78">
        <v>0</v>
      </c>
      <c r="DH17" s="74">
        <v>1855.9</v>
      </c>
      <c r="DI17" s="78">
        <v>0</v>
      </c>
      <c r="DJ17" s="78">
        <v>0</v>
      </c>
      <c r="DK17" s="74">
        <v>5081.7</v>
      </c>
      <c r="DL17" s="78">
        <v>0</v>
      </c>
      <c r="DM17" s="78">
        <v>0</v>
      </c>
      <c r="DN17" s="74">
        <v>4454.7</v>
      </c>
      <c r="DO17" s="78">
        <v>0</v>
      </c>
      <c r="DP17" s="78">
        <v>0</v>
      </c>
      <c r="DQ17" s="74">
        <v>5089.6000000000004</v>
      </c>
      <c r="DR17" s="78">
        <v>0</v>
      </c>
      <c r="DS17" s="78">
        <v>0</v>
      </c>
      <c r="DT17" s="74">
        <v>4871</v>
      </c>
      <c r="DU17" s="78">
        <v>3</v>
      </c>
      <c r="DV17" s="81">
        <v>7.17</v>
      </c>
      <c r="DW17" s="89">
        <v>12871</v>
      </c>
      <c r="DX17" s="81">
        <v>0</v>
      </c>
      <c r="DY17" s="89">
        <v>62789</v>
      </c>
      <c r="DZ17" s="81">
        <v>0</v>
      </c>
      <c r="EA17" s="90">
        <v>15599</v>
      </c>
      <c r="EB17" s="81">
        <v>0</v>
      </c>
      <c r="EC17" s="90">
        <v>24679</v>
      </c>
      <c r="ED17" s="81">
        <v>0</v>
      </c>
      <c r="EE17" s="90">
        <v>2</v>
      </c>
      <c r="EF17" s="91">
        <v>6</v>
      </c>
      <c r="EG17" s="85">
        <v>1.4999999999999999E-2</v>
      </c>
      <c r="EH17" s="110"/>
      <c r="EI17" s="68"/>
      <c r="EJ17" s="68"/>
      <c r="EK17"/>
      <c r="EL17"/>
      <c r="EM17"/>
    </row>
    <row r="18" spans="1:144" s="21" customFormat="1" ht="15.75" thickBot="1" x14ac:dyDescent="0.3">
      <c r="A18" s="68">
        <v>44270</v>
      </c>
      <c r="B18" s="74">
        <v>6547849</v>
      </c>
      <c r="C18" s="70">
        <v>6565</v>
      </c>
      <c r="D18" s="74">
        <v>5793206</v>
      </c>
      <c r="E18" s="70">
        <v>6181</v>
      </c>
      <c r="F18" s="71">
        <v>0.94150799699999999</v>
      </c>
      <c r="G18" s="71">
        <v>460</v>
      </c>
      <c r="H18" s="71">
        <v>478</v>
      </c>
      <c r="I18" s="93">
        <v>287902</v>
      </c>
      <c r="J18" s="73">
        <v>0</v>
      </c>
      <c r="K18" s="72">
        <v>774</v>
      </c>
      <c r="L18" s="70">
        <v>0</v>
      </c>
      <c r="M18" s="74">
        <v>633790</v>
      </c>
      <c r="N18" s="70">
        <v>0</v>
      </c>
      <c r="O18" s="74">
        <v>991</v>
      </c>
      <c r="P18" s="73">
        <v>0</v>
      </c>
      <c r="Q18" s="74">
        <v>2546692</v>
      </c>
      <c r="R18" s="73">
        <v>56</v>
      </c>
      <c r="S18" s="74">
        <v>2191606</v>
      </c>
      <c r="T18" s="73">
        <v>2</v>
      </c>
      <c r="U18" s="74">
        <v>108656</v>
      </c>
      <c r="V18" s="73">
        <v>63</v>
      </c>
      <c r="W18" s="98">
        <v>100</v>
      </c>
      <c r="X18" s="74">
        <v>152370</v>
      </c>
      <c r="Y18" s="70">
        <v>0</v>
      </c>
      <c r="Z18" s="71">
        <v>39529</v>
      </c>
      <c r="AA18" s="78">
        <v>7</v>
      </c>
      <c r="AB18" s="74">
        <v>1111</v>
      </c>
      <c r="AC18" s="102">
        <v>0</v>
      </c>
      <c r="AD18" s="74">
        <v>4548</v>
      </c>
      <c r="AE18" s="79">
        <v>0</v>
      </c>
      <c r="AF18" s="74">
        <v>579620</v>
      </c>
      <c r="AG18" s="73">
        <v>20</v>
      </c>
      <c r="AH18" s="74">
        <v>580030</v>
      </c>
      <c r="AI18" s="73">
        <v>0</v>
      </c>
      <c r="AJ18" s="95">
        <v>467</v>
      </c>
      <c r="AK18" s="70">
        <v>0</v>
      </c>
      <c r="AL18" s="71">
        <v>52224</v>
      </c>
      <c r="AM18" s="77">
        <v>0</v>
      </c>
      <c r="AN18" s="74">
        <v>8910</v>
      </c>
      <c r="AO18" s="70">
        <v>0</v>
      </c>
      <c r="AP18" s="74">
        <v>10571</v>
      </c>
      <c r="AQ18" s="70">
        <v>0</v>
      </c>
      <c r="AR18" s="71">
        <v>14551</v>
      </c>
      <c r="AS18" s="70">
        <v>0</v>
      </c>
      <c r="AT18" s="74">
        <v>19369</v>
      </c>
      <c r="AU18" s="70">
        <v>0</v>
      </c>
      <c r="AV18" s="74">
        <v>20677</v>
      </c>
      <c r="AW18" s="78">
        <v>0</v>
      </c>
      <c r="AX18" s="74">
        <v>13871</v>
      </c>
      <c r="AY18" s="78">
        <v>0</v>
      </c>
      <c r="AZ18" s="74">
        <v>6210</v>
      </c>
      <c r="BA18" s="70">
        <v>1</v>
      </c>
      <c r="BB18" s="74">
        <v>26462</v>
      </c>
      <c r="BC18" s="70">
        <v>1</v>
      </c>
      <c r="BD18" s="71">
        <v>1115</v>
      </c>
      <c r="BE18" s="70">
        <v>0</v>
      </c>
      <c r="BF18" s="71">
        <v>4372</v>
      </c>
      <c r="BG18" s="70">
        <v>0</v>
      </c>
      <c r="BH18" s="74">
        <v>3636</v>
      </c>
      <c r="BI18" s="70">
        <v>0</v>
      </c>
      <c r="BJ18" s="78">
        <v>0</v>
      </c>
      <c r="BK18" s="78">
        <v>0</v>
      </c>
      <c r="BL18" s="74">
        <v>600530</v>
      </c>
      <c r="BM18" s="78">
        <v>50</v>
      </c>
      <c r="BN18" s="87">
        <v>676</v>
      </c>
      <c r="BO18" s="70">
        <v>0</v>
      </c>
      <c r="BP18" s="74">
        <v>778390</v>
      </c>
      <c r="BQ18" s="78">
        <v>10</v>
      </c>
      <c r="BR18" s="87">
        <v>6564</v>
      </c>
      <c r="BS18" s="78">
        <v>12</v>
      </c>
      <c r="BT18" s="81">
        <v>10</v>
      </c>
      <c r="BU18" s="78">
        <v>60</v>
      </c>
      <c r="BV18" s="82">
        <v>1</v>
      </c>
      <c r="BW18" s="74">
        <v>125</v>
      </c>
      <c r="BX18" s="83">
        <v>15594.96</v>
      </c>
      <c r="BY18" s="74"/>
      <c r="BZ18" s="103">
        <v>0</v>
      </c>
      <c r="CA18" s="74">
        <v>206459</v>
      </c>
      <c r="CB18" s="78">
        <v>0</v>
      </c>
      <c r="CC18" s="81">
        <v>0</v>
      </c>
      <c r="CD18" s="74">
        <v>40</v>
      </c>
      <c r="CE18" s="104">
        <v>4310</v>
      </c>
      <c r="CF18" s="74">
        <v>40</v>
      </c>
      <c r="CG18" s="81">
        <v>4310</v>
      </c>
      <c r="CH18" s="74">
        <v>41</v>
      </c>
      <c r="CI18" s="105">
        <v>4418</v>
      </c>
      <c r="CJ18" s="106">
        <v>13038</v>
      </c>
      <c r="CK18" s="107">
        <v>0</v>
      </c>
      <c r="CL18" s="74"/>
      <c r="CM18" s="74">
        <v>34488.9</v>
      </c>
      <c r="CN18" s="78">
        <v>1.3</v>
      </c>
      <c r="CO18" s="81">
        <v>3.1720000000000002</v>
      </c>
      <c r="CP18" s="74">
        <v>34300</v>
      </c>
      <c r="CQ18" s="78">
        <v>0</v>
      </c>
      <c r="CR18" s="81">
        <v>0</v>
      </c>
      <c r="CS18" s="74">
        <v>10235.6</v>
      </c>
      <c r="CT18" s="78">
        <v>0</v>
      </c>
      <c r="CU18" s="81">
        <v>0</v>
      </c>
      <c r="CV18" s="74">
        <v>832145</v>
      </c>
      <c r="CW18" s="78">
        <v>0</v>
      </c>
      <c r="CX18" s="81">
        <v>0</v>
      </c>
      <c r="CY18" s="74">
        <v>5960</v>
      </c>
      <c r="CZ18" s="78">
        <v>0</v>
      </c>
      <c r="DA18" s="81">
        <v>0</v>
      </c>
      <c r="DB18" s="74">
        <v>7420</v>
      </c>
      <c r="DC18" s="78">
        <v>0</v>
      </c>
      <c r="DD18" s="78">
        <v>0</v>
      </c>
      <c r="DE18" s="74">
        <v>3840</v>
      </c>
      <c r="DF18" s="78">
        <v>0</v>
      </c>
      <c r="DG18" s="78">
        <v>0</v>
      </c>
      <c r="DH18" s="74">
        <v>1855.9</v>
      </c>
      <c r="DI18" s="78">
        <v>0</v>
      </c>
      <c r="DJ18" s="78">
        <v>0</v>
      </c>
      <c r="DK18" s="74">
        <v>5081.7</v>
      </c>
      <c r="DL18" s="78">
        <v>0</v>
      </c>
      <c r="DM18" s="78">
        <v>0</v>
      </c>
      <c r="DN18" s="74">
        <v>4454.7</v>
      </c>
      <c r="DO18" s="78">
        <v>0</v>
      </c>
      <c r="DP18" s="78">
        <v>0</v>
      </c>
      <c r="DQ18" s="74">
        <v>5089.6000000000004</v>
      </c>
      <c r="DR18" s="78">
        <v>0</v>
      </c>
      <c r="DS18" s="78">
        <v>0</v>
      </c>
      <c r="DT18" s="74">
        <v>4876</v>
      </c>
      <c r="DU18" s="78">
        <v>5</v>
      </c>
      <c r="DV18" s="81">
        <v>11.95</v>
      </c>
      <c r="DW18" s="89">
        <v>12871</v>
      </c>
      <c r="DX18" s="81">
        <v>0</v>
      </c>
      <c r="DY18" s="89">
        <v>62789</v>
      </c>
      <c r="DZ18" s="81">
        <v>0</v>
      </c>
      <c r="EA18" s="90">
        <v>15599</v>
      </c>
      <c r="EB18" s="81">
        <v>0</v>
      </c>
      <c r="EC18" s="90">
        <v>24679</v>
      </c>
      <c r="ED18" s="81">
        <v>0</v>
      </c>
      <c r="EE18" s="90">
        <v>2</v>
      </c>
      <c r="EF18" s="91">
        <v>6</v>
      </c>
      <c r="EG18" s="85">
        <v>1.4999999999999999E-2</v>
      </c>
      <c r="EH18" s="109"/>
      <c r="EI18" s="68"/>
      <c r="EJ18" s="68"/>
      <c r="EK18"/>
      <c r="EL18"/>
      <c r="EM18"/>
      <c r="EN18"/>
    </row>
    <row r="19" spans="1:144" s="21" customFormat="1" ht="15.75" thickBot="1" x14ac:dyDescent="0.3">
      <c r="A19" s="68">
        <v>44271</v>
      </c>
      <c r="B19" s="74">
        <v>6555201</v>
      </c>
      <c r="C19" s="70">
        <v>7352</v>
      </c>
      <c r="D19" s="74">
        <v>5800392</v>
      </c>
      <c r="E19" s="70">
        <v>7186</v>
      </c>
      <c r="F19" s="71">
        <v>0.97742110999999998</v>
      </c>
      <c r="G19" s="71">
        <v>460</v>
      </c>
      <c r="H19" s="71">
        <v>478</v>
      </c>
      <c r="I19" s="93">
        <v>287902</v>
      </c>
      <c r="J19" s="73">
        <v>0</v>
      </c>
      <c r="K19" s="72">
        <v>774</v>
      </c>
      <c r="L19" s="70">
        <v>0</v>
      </c>
      <c r="M19" s="74">
        <v>633790</v>
      </c>
      <c r="N19" s="70">
        <v>0</v>
      </c>
      <c r="O19" s="74">
        <v>991</v>
      </c>
      <c r="P19" s="73">
        <v>0</v>
      </c>
      <c r="Q19" s="74">
        <v>2546742</v>
      </c>
      <c r="R19" s="73">
        <v>50</v>
      </c>
      <c r="S19" s="74">
        <v>2191608</v>
      </c>
      <c r="T19" s="73">
        <v>2</v>
      </c>
      <c r="U19" s="74">
        <v>108695</v>
      </c>
      <c r="V19" s="73">
        <v>39</v>
      </c>
      <c r="W19" s="98">
        <v>100</v>
      </c>
      <c r="X19" s="74">
        <v>152370</v>
      </c>
      <c r="Y19" s="70">
        <v>0</v>
      </c>
      <c r="Z19" s="71">
        <v>39533</v>
      </c>
      <c r="AA19" s="78">
        <v>4</v>
      </c>
      <c r="AB19" s="74">
        <v>1111</v>
      </c>
      <c r="AC19" s="102">
        <v>0</v>
      </c>
      <c r="AD19" s="74">
        <v>4549</v>
      </c>
      <c r="AE19" s="79">
        <v>1</v>
      </c>
      <c r="AF19" s="74">
        <v>579650</v>
      </c>
      <c r="AG19" s="73">
        <v>30</v>
      </c>
      <c r="AH19" s="74">
        <v>580040</v>
      </c>
      <c r="AI19" s="73">
        <v>10</v>
      </c>
      <c r="AJ19" s="96">
        <v>467</v>
      </c>
      <c r="AK19" s="70">
        <v>0</v>
      </c>
      <c r="AL19" s="74">
        <v>52224</v>
      </c>
      <c r="AM19" s="77">
        <v>0</v>
      </c>
      <c r="AN19" s="74">
        <v>8910</v>
      </c>
      <c r="AO19" s="70">
        <v>0</v>
      </c>
      <c r="AP19" s="74">
        <v>10571</v>
      </c>
      <c r="AQ19" s="70">
        <v>0</v>
      </c>
      <c r="AR19" s="71">
        <v>14551</v>
      </c>
      <c r="AS19" s="70">
        <v>0</v>
      </c>
      <c r="AT19" s="74">
        <v>19369</v>
      </c>
      <c r="AU19" s="70">
        <v>0</v>
      </c>
      <c r="AV19" s="74">
        <v>20677</v>
      </c>
      <c r="AW19" s="78">
        <v>0</v>
      </c>
      <c r="AX19" s="74">
        <v>13871</v>
      </c>
      <c r="AY19" s="78">
        <v>0</v>
      </c>
      <c r="AZ19" s="74">
        <v>6211</v>
      </c>
      <c r="BA19" s="70">
        <v>1</v>
      </c>
      <c r="BB19" s="74">
        <v>26462</v>
      </c>
      <c r="BC19" s="70">
        <v>0</v>
      </c>
      <c r="BD19" s="74">
        <v>1115</v>
      </c>
      <c r="BE19" s="70">
        <v>0</v>
      </c>
      <c r="BF19" s="74">
        <v>4372</v>
      </c>
      <c r="BG19" s="70">
        <v>0</v>
      </c>
      <c r="BH19" s="74">
        <v>3636</v>
      </c>
      <c r="BI19" s="70">
        <v>0</v>
      </c>
      <c r="BJ19" s="78">
        <v>0</v>
      </c>
      <c r="BK19" s="78">
        <v>10</v>
      </c>
      <c r="BL19" s="74">
        <v>600540</v>
      </c>
      <c r="BM19" s="78">
        <v>10</v>
      </c>
      <c r="BN19" s="87">
        <v>676</v>
      </c>
      <c r="BO19" s="70">
        <v>0</v>
      </c>
      <c r="BP19" s="74">
        <v>778410</v>
      </c>
      <c r="BQ19" s="78">
        <v>20</v>
      </c>
      <c r="BR19" s="87">
        <v>6571</v>
      </c>
      <c r="BS19" s="78">
        <v>7</v>
      </c>
      <c r="BT19" s="81">
        <v>10</v>
      </c>
      <c r="BU19" s="78">
        <v>30</v>
      </c>
      <c r="BV19" s="82">
        <v>1</v>
      </c>
      <c r="BW19" s="74">
        <v>125</v>
      </c>
      <c r="BX19" s="83">
        <v>15594.96</v>
      </c>
      <c r="BY19" s="74"/>
      <c r="BZ19" s="103">
        <v>0</v>
      </c>
      <c r="CA19" s="74">
        <v>206459</v>
      </c>
      <c r="CB19" s="78">
        <v>0</v>
      </c>
      <c r="CC19" s="81">
        <v>0</v>
      </c>
      <c r="CD19" s="74">
        <v>40</v>
      </c>
      <c r="CE19" s="104">
        <v>4310</v>
      </c>
      <c r="CF19" s="74">
        <v>39</v>
      </c>
      <c r="CG19" s="81">
        <v>4202</v>
      </c>
      <c r="CH19" s="74">
        <v>41</v>
      </c>
      <c r="CI19" s="105">
        <v>4418</v>
      </c>
      <c r="CJ19" s="106">
        <v>12930</v>
      </c>
      <c r="CK19" s="107">
        <v>108</v>
      </c>
      <c r="CL19" s="74"/>
      <c r="CM19" s="74">
        <v>34490</v>
      </c>
      <c r="CN19" s="78">
        <v>1.1000000000000001</v>
      </c>
      <c r="CO19" s="81">
        <v>2.6840000000000002</v>
      </c>
      <c r="CP19" s="74">
        <v>34300</v>
      </c>
      <c r="CQ19" s="78">
        <v>0</v>
      </c>
      <c r="CR19" s="81">
        <v>0</v>
      </c>
      <c r="CS19" s="74">
        <v>10235.6</v>
      </c>
      <c r="CT19" s="78">
        <v>0</v>
      </c>
      <c r="CU19" s="81">
        <v>0</v>
      </c>
      <c r="CV19" s="74">
        <v>832145</v>
      </c>
      <c r="CW19" s="78">
        <v>0</v>
      </c>
      <c r="CX19" s="81">
        <v>0</v>
      </c>
      <c r="CY19" s="74">
        <v>5961</v>
      </c>
      <c r="CZ19" s="78">
        <v>1</v>
      </c>
      <c r="DA19" s="81">
        <v>2.39</v>
      </c>
      <c r="DB19" s="74">
        <v>7420</v>
      </c>
      <c r="DC19" s="78">
        <v>0</v>
      </c>
      <c r="DD19" s="78">
        <v>0</v>
      </c>
      <c r="DE19" s="74">
        <v>3840</v>
      </c>
      <c r="DF19" s="78">
        <v>0</v>
      </c>
      <c r="DG19" s="78">
        <v>0</v>
      </c>
      <c r="DH19" s="74">
        <v>1855.9</v>
      </c>
      <c r="DI19" s="78">
        <v>0</v>
      </c>
      <c r="DJ19" s="78">
        <v>0</v>
      </c>
      <c r="DK19" s="74">
        <v>5081.7</v>
      </c>
      <c r="DL19" s="78">
        <v>0</v>
      </c>
      <c r="DM19" s="78">
        <v>0</v>
      </c>
      <c r="DN19" s="74">
        <v>4454.7</v>
      </c>
      <c r="DO19" s="78">
        <v>0</v>
      </c>
      <c r="DP19" s="78">
        <v>0</v>
      </c>
      <c r="DQ19" s="74">
        <v>5089.6000000000004</v>
      </c>
      <c r="DR19" s="78">
        <v>0</v>
      </c>
      <c r="DS19" s="78">
        <v>0</v>
      </c>
      <c r="DT19" s="74">
        <v>4876</v>
      </c>
      <c r="DU19" s="78">
        <v>0</v>
      </c>
      <c r="DV19" s="81">
        <v>0</v>
      </c>
      <c r="DW19" s="89">
        <v>12871</v>
      </c>
      <c r="DX19" s="81">
        <v>0</v>
      </c>
      <c r="DY19" s="89">
        <v>62789</v>
      </c>
      <c r="DZ19" s="81">
        <v>0</v>
      </c>
      <c r="EA19" s="90">
        <v>15599</v>
      </c>
      <c r="EB19" s="81">
        <v>0</v>
      </c>
      <c r="EC19" s="90">
        <v>24679</v>
      </c>
      <c r="ED19" s="81">
        <v>0</v>
      </c>
      <c r="EE19" s="90">
        <v>2</v>
      </c>
      <c r="EF19" s="91">
        <v>6</v>
      </c>
      <c r="EG19" s="85">
        <v>1.4999999999999999E-2</v>
      </c>
      <c r="EH19" s="109"/>
      <c r="EI19" s="68"/>
      <c r="EJ19" s="68"/>
      <c r="EK19"/>
      <c r="EL19"/>
      <c r="EM19"/>
    </row>
    <row r="20" spans="1:144" s="21" customFormat="1" ht="15.75" thickBot="1" x14ac:dyDescent="0.3">
      <c r="A20" s="68">
        <v>44272</v>
      </c>
      <c r="B20" s="74">
        <v>6563121</v>
      </c>
      <c r="C20" s="70">
        <v>7920</v>
      </c>
      <c r="D20" s="74">
        <v>5807974</v>
      </c>
      <c r="E20" s="70">
        <v>7582</v>
      </c>
      <c r="F20" s="71">
        <v>0.95732323200000002</v>
      </c>
      <c r="G20" s="71">
        <v>464</v>
      </c>
      <c r="H20" s="71">
        <v>478</v>
      </c>
      <c r="I20" s="93">
        <v>287902</v>
      </c>
      <c r="J20" s="73">
        <v>0</v>
      </c>
      <c r="K20" s="72">
        <v>774</v>
      </c>
      <c r="L20" s="70">
        <v>0</v>
      </c>
      <c r="M20" s="74">
        <v>633790</v>
      </c>
      <c r="N20" s="70">
        <v>0</v>
      </c>
      <c r="O20" s="74">
        <v>991</v>
      </c>
      <c r="P20" s="73">
        <v>0</v>
      </c>
      <c r="Q20" s="74">
        <v>2546813</v>
      </c>
      <c r="R20" s="73">
        <v>71</v>
      </c>
      <c r="S20" s="74">
        <v>2191611</v>
      </c>
      <c r="T20" s="73">
        <v>3</v>
      </c>
      <c r="U20" s="74">
        <v>108733</v>
      </c>
      <c r="V20" s="73">
        <v>38</v>
      </c>
      <c r="W20" s="98">
        <v>100</v>
      </c>
      <c r="X20" s="74">
        <v>152370</v>
      </c>
      <c r="Y20" s="70">
        <v>0</v>
      </c>
      <c r="Z20" s="71">
        <v>39536</v>
      </c>
      <c r="AA20" s="78">
        <v>3</v>
      </c>
      <c r="AB20" s="74">
        <v>1111</v>
      </c>
      <c r="AC20" s="102">
        <v>0</v>
      </c>
      <c r="AD20" s="74">
        <v>4549</v>
      </c>
      <c r="AE20" s="79">
        <v>0</v>
      </c>
      <c r="AF20" s="74">
        <v>579670</v>
      </c>
      <c r="AG20" s="73">
        <v>20</v>
      </c>
      <c r="AH20" s="74">
        <v>580040</v>
      </c>
      <c r="AI20" s="73">
        <v>0</v>
      </c>
      <c r="AJ20" s="96">
        <v>467</v>
      </c>
      <c r="AK20" s="70">
        <v>0</v>
      </c>
      <c r="AL20" s="74">
        <v>52224</v>
      </c>
      <c r="AM20" s="77">
        <v>0</v>
      </c>
      <c r="AN20" s="74">
        <v>8910</v>
      </c>
      <c r="AO20" s="70">
        <v>0</v>
      </c>
      <c r="AP20" s="74">
        <v>10571</v>
      </c>
      <c r="AQ20" s="70">
        <v>0</v>
      </c>
      <c r="AR20" s="74">
        <v>14551</v>
      </c>
      <c r="AS20" s="70">
        <v>0</v>
      </c>
      <c r="AT20" s="74">
        <v>19369</v>
      </c>
      <c r="AU20" s="70">
        <v>0</v>
      </c>
      <c r="AV20" s="74">
        <v>20677</v>
      </c>
      <c r="AW20" s="78">
        <v>0</v>
      </c>
      <c r="AX20" s="74">
        <v>13871</v>
      </c>
      <c r="AY20" s="78">
        <v>0</v>
      </c>
      <c r="AZ20" s="74">
        <v>6212</v>
      </c>
      <c r="BA20" s="70">
        <v>1</v>
      </c>
      <c r="BB20" s="74">
        <v>26462</v>
      </c>
      <c r="BC20" s="70">
        <v>0</v>
      </c>
      <c r="BD20" s="74">
        <v>1115</v>
      </c>
      <c r="BE20" s="70">
        <v>0</v>
      </c>
      <c r="BF20" s="74">
        <v>4372</v>
      </c>
      <c r="BG20" s="70">
        <v>0</v>
      </c>
      <c r="BH20" s="74">
        <v>3636</v>
      </c>
      <c r="BI20" s="70">
        <v>0</v>
      </c>
      <c r="BJ20" s="78">
        <v>0</v>
      </c>
      <c r="BK20" s="78">
        <v>0</v>
      </c>
      <c r="BL20" s="74">
        <v>600560</v>
      </c>
      <c r="BM20" s="78">
        <v>20</v>
      </c>
      <c r="BN20" s="87">
        <v>693</v>
      </c>
      <c r="BO20" s="70">
        <v>17</v>
      </c>
      <c r="BP20" s="74">
        <v>778410</v>
      </c>
      <c r="BQ20" s="78">
        <v>0</v>
      </c>
      <c r="BR20" s="88">
        <v>6579</v>
      </c>
      <c r="BS20" s="78">
        <v>8</v>
      </c>
      <c r="BT20" s="81">
        <v>0</v>
      </c>
      <c r="BU20" s="78">
        <v>20</v>
      </c>
      <c r="BV20" s="82">
        <v>1</v>
      </c>
      <c r="BW20" s="74">
        <v>125</v>
      </c>
      <c r="BX20" s="83">
        <v>15594.96</v>
      </c>
      <c r="BY20" s="74"/>
      <c r="BZ20" s="103">
        <v>0</v>
      </c>
      <c r="CA20" s="74">
        <v>206460.1</v>
      </c>
      <c r="CB20" s="78">
        <v>1.1000000000000001</v>
      </c>
      <c r="CC20" s="81">
        <v>6.2809999999999997</v>
      </c>
      <c r="CD20" s="74">
        <v>40</v>
      </c>
      <c r="CE20" s="104">
        <v>4310</v>
      </c>
      <c r="CF20" s="74">
        <v>39</v>
      </c>
      <c r="CG20" s="81">
        <v>4202</v>
      </c>
      <c r="CH20" s="74">
        <v>41</v>
      </c>
      <c r="CI20" s="105">
        <v>4418</v>
      </c>
      <c r="CJ20" s="106">
        <v>12930</v>
      </c>
      <c r="CK20" s="107">
        <v>0</v>
      </c>
      <c r="CL20" s="74"/>
      <c r="CM20" s="74">
        <v>34490.800000000003</v>
      </c>
      <c r="CN20" s="78">
        <v>0.8</v>
      </c>
      <c r="CO20" s="81">
        <v>1.952</v>
      </c>
      <c r="CP20" s="74">
        <v>34300</v>
      </c>
      <c r="CQ20" s="78">
        <v>0</v>
      </c>
      <c r="CR20" s="81">
        <v>0</v>
      </c>
      <c r="CS20" s="74">
        <v>10235.6</v>
      </c>
      <c r="CT20" s="78">
        <v>0</v>
      </c>
      <c r="CU20" s="81">
        <v>0</v>
      </c>
      <c r="CV20" s="74">
        <v>832145</v>
      </c>
      <c r="CW20" s="78">
        <v>0</v>
      </c>
      <c r="CX20" s="81">
        <v>0</v>
      </c>
      <c r="CY20" s="74">
        <v>5961</v>
      </c>
      <c r="CZ20" s="78">
        <v>0</v>
      </c>
      <c r="DA20" s="81">
        <v>0</v>
      </c>
      <c r="DB20" s="74">
        <v>7420</v>
      </c>
      <c r="DC20" s="78">
        <v>0</v>
      </c>
      <c r="DD20" s="78">
        <v>0</v>
      </c>
      <c r="DE20" s="74">
        <v>3840</v>
      </c>
      <c r="DF20" s="78">
        <v>0</v>
      </c>
      <c r="DG20" s="78">
        <v>0</v>
      </c>
      <c r="DH20" s="74">
        <v>1855.9</v>
      </c>
      <c r="DI20" s="78">
        <v>0</v>
      </c>
      <c r="DJ20" s="78">
        <v>0</v>
      </c>
      <c r="DK20" s="74">
        <v>5081.7</v>
      </c>
      <c r="DL20" s="78">
        <v>0</v>
      </c>
      <c r="DM20" s="78">
        <v>0</v>
      </c>
      <c r="DN20" s="74">
        <v>4454.7</v>
      </c>
      <c r="DO20" s="78">
        <v>0</v>
      </c>
      <c r="DP20" s="78">
        <v>0</v>
      </c>
      <c r="DQ20" s="74">
        <v>5089.6000000000004</v>
      </c>
      <c r="DR20" s="78">
        <v>0</v>
      </c>
      <c r="DS20" s="78">
        <v>0</v>
      </c>
      <c r="DT20" s="74">
        <v>4886</v>
      </c>
      <c r="DU20" s="78">
        <v>10</v>
      </c>
      <c r="DV20" s="81">
        <v>23.9</v>
      </c>
      <c r="DW20" s="89">
        <v>12871</v>
      </c>
      <c r="DX20" s="81">
        <v>0</v>
      </c>
      <c r="DY20" s="89">
        <v>62789</v>
      </c>
      <c r="DZ20" s="81">
        <v>0</v>
      </c>
      <c r="EA20" s="90">
        <v>15599</v>
      </c>
      <c r="EB20" s="81">
        <v>0</v>
      </c>
      <c r="EC20" s="90">
        <v>24679</v>
      </c>
      <c r="ED20" s="81">
        <v>0</v>
      </c>
      <c r="EE20" s="90">
        <v>2</v>
      </c>
      <c r="EF20" s="91">
        <v>6</v>
      </c>
      <c r="EG20" s="85">
        <v>1.4999999999999999E-2</v>
      </c>
      <c r="EH20" s="109"/>
      <c r="EI20" s="68"/>
      <c r="EJ20" s="68"/>
      <c r="EK20"/>
      <c r="EL20"/>
      <c r="EM20"/>
    </row>
    <row r="21" spans="1:144" s="21" customFormat="1" ht="15.75" thickBot="1" x14ac:dyDescent="0.3">
      <c r="A21" s="68">
        <v>44273</v>
      </c>
      <c r="B21" s="74">
        <v>6571008</v>
      </c>
      <c r="C21" s="70">
        <v>7887</v>
      </c>
      <c r="D21" s="74">
        <v>5815618</v>
      </c>
      <c r="E21" s="70">
        <v>7644</v>
      </c>
      <c r="F21" s="71">
        <v>0.96918980600000004</v>
      </c>
      <c r="G21" s="71">
        <v>464</v>
      </c>
      <c r="H21" s="71">
        <v>478</v>
      </c>
      <c r="I21" s="93">
        <v>287902</v>
      </c>
      <c r="J21" s="73">
        <v>0</v>
      </c>
      <c r="K21" s="72">
        <v>774</v>
      </c>
      <c r="L21" s="70">
        <v>0</v>
      </c>
      <c r="M21" s="74">
        <v>633790</v>
      </c>
      <c r="N21" s="70">
        <v>0</v>
      </c>
      <c r="O21" s="74">
        <v>991</v>
      </c>
      <c r="P21" s="73">
        <v>0</v>
      </c>
      <c r="Q21" s="74">
        <v>2546932</v>
      </c>
      <c r="R21" s="73">
        <v>119</v>
      </c>
      <c r="S21" s="74">
        <v>2191615</v>
      </c>
      <c r="T21" s="73">
        <v>4</v>
      </c>
      <c r="U21" s="74">
        <v>108773</v>
      </c>
      <c r="V21" s="73">
        <v>40</v>
      </c>
      <c r="W21" s="98">
        <v>100</v>
      </c>
      <c r="X21" s="74">
        <v>152370</v>
      </c>
      <c r="Y21" s="70">
        <v>0</v>
      </c>
      <c r="Z21" s="71">
        <v>39541</v>
      </c>
      <c r="AA21" s="78">
        <v>5</v>
      </c>
      <c r="AB21" s="74">
        <v>1111</v>
      </c>
      <c r="AC21" s="102">
        <v>0</v>
      </c>
      <c r="AD21" s="74">
        <v>4549</v>
      </c>
      <c r="AE21" s="79">
        <v>0</v>
      </c>
      <c r="AF21" s="74">
        <v>579680</v>
      </c>
      <c r="AG21" s="73">
        <v>10</v>
      </c>
      <c r="AH21" s="74">
        <v>580050</v>
      </c>
      <c r="AI21" s="73">
        <v>10</v>
      </c>
      <c r="AJ21" s="96">
        <v>467</v>
      </c>
      <c r="AK21" s="70">
        <v>0</v>
      </c>
      <c r="AL21" s="74">
        <v>52225</v>
      </c>
      <c r="AM21" s="77">
        <v>1</v>
      </c>
      <c r="AN21" s="74">
        <v>8910</v>
      </c>
      <c r="AO21" s="70">
        <v>0</v>
      </c>
      <c r="AP21" s="74">
        <v>10571</v>
      </c>
      <c r="AQ21" s="70">
        <v>0</v>
      </c>
      <c r="AR21" s="74">
        <v>14551</v>
      </c>
      <c r="AS21" s="70">
        <v>0</v>
      </c>
      <c r="AT21" s="74">
        <v>19369</v>
      </c>
      <c r="AU21" s="70">
        <v>0</v>
      </c>
      <c r="AV21" s="74">
        <v>20677</v>
      </c>
      <c r="AW21" s="78">
        <v>0</v>
      </c>
      <c r="AX21" s="74">
        <v>13871</v>
      </c>
      <c r="AY21" s="78">
        <v>0</v>
      </c>
      <c r="AZ21" s="74">
        <v>6214</v>
      </c>
      <c r="BA21" s="70">
        <v>2</v>
      </c>
      <c r="BB21" s="74">
        <v>26463</v>
      </c>
      <c r="BC21" s="70">
        <v>1</v>
      </c>
      <c r="BD21" s="74">
        <v>1115</v>
      </c>
      <c r="BE21" s="70">
        <v>0</v>
      </c>
      <c r="BF21" s="74">
        <v>4373</v>
      </c>
      <c r="BG21" s="70">
        <v>1</v>
      </c>
      <c r="BH21" s="74">
        <v>3636</v>
      </c>
      <c r="BI21" s="70">
        <v>0</v>
      </c>
      <c r="BJ21" s="78">
        <v>0</v>
      </c>
      <c r="BK21" s="78">
        <v>10</v>
      </c>
      <c r="BL21" s="74">
        <v>600590</v>
      </c>
      <c r="BM21" s="78">
        <v>30</v>
      </c>
      <c r="BN21" s="87">
        <v>693</v>
      </c>
      <c r="BO21" s="70">
        <v>0</v>
      </c>
      <c r="BP21" s="74">
        <v>778420</v>
      </c>
      <c r="BQ21" s="78">
        <v>10</v>
      </c>
      <c r="BR21" s="88">
        <v>6587</v>
      </c>
      <c r="BS21" s="78">
        <v>8</v>
      </c>
      <c r="BT21" s="81">
        <v>0</v>
      </c>
      <c r="BU21" s="78">
        <v>40</v>
      </c>
      <c r="BV21" s="82">
        <v>3</v>
      </c>
      <c r="BW21" s="74">
        <v>125</v>
      </c>
      <c r="BX21" s="83">
        <v>15594.96</v>
      </c>
      <c r="BY21" s="74"/>
      <c r="BZ21" s="103">
        <v>0</v>
      </c>
      <c r="CA21" s="74">
        <v>206460.5</v>
      </c>
      <c r="CB21" s="78">
        <v>0.4</v>
      </c>
      <c r="CC21" s="81">
        <v>2.2839999999999998</v>
      </c>
      <c r="CD21" s="74">
        <v>40</v>
      </c>
      <c r="CE21" s="104">
        <v>4310</v>
      </c>
      <c r="CF21" s="74">
        <v>39</v>
      </c>
      <c r="CG21" s="81">
        <v>4202</v>
      </c>
      <c r="CH21" s="74">
        <v>41</v>
      </c>
      <c r="CI21" s="105">
        <v>4418</v>
      </c>
      <c r="CJ21" s="106">
        <v>12930</v>
      </c>
      <c r="CK21" s="107">
        <v>0</v>
      </c>
      <c r="CL21" s="74"/>
      <c r="CM21" s="74">
        <v>34492</v>
      </c>
      <c r="CN21" s="78">
        <v>1.2</v>
      </c>
      <c r="CO21" s="81">
        <v>2.9279999999999999</v>
      </c>
      <c r="CP21" s="74">
        <v>34300</v>
      </c>
      <c r="CQ21" s="78">
        <v>0</v>
      </c>
      <c r="CR21" s="81">
        <v>0</v>
      </c>
      <c r="CS21" s="74">
        <v>10235.6</v>
      </c>
      <c r="CT21" s="78">
        <v>0</v>
      </c>
      <c r="CU21" s="81">
        <v>0</v>
      </c>
      <c r="CV21" s="74">
        <v>832145</v>
      </c>
      <c r="CW21" s="78">
        <v>0</v>
      </c>
      <c r="CX21" s="81">
        <v>0</v>
      </c>
      <c r="CY21" s="74">
        <v>5962</v>
      </c>
      <c r="CZ21" s="78">
        <v>1</v>
      </c>
      <c r="DA21" s="81">
        <v>2.39</v>
      </c>
      <c r="DB21" s="74">
        <v>7420</v>
      </c>
      <c r="DC21" s="78">
        <v>0</v>
      </c>
      <c r="DD21" s="78">
        <v>0</v>
      </c>
      <c r="DE21" s="74">
        <v>3840</v>
      </c>
      <c r="DF21" s="78">
        <v>0</v>
      </c>
      <c r="DG21" s="78">
        <v>0</v>
      </c>
      <c r="DH21" s="74">
        <v>1855.9</v>
      </c>
      <c r="DI21" s="78">
        <v>0</v>
      </c>
      <c r="DJ21" s="78">
        <v>0</v>
      </c>
      <c r="DK21" s="74">
        <v>5081.7</v>
      </c>
      <c r="DL21" s="78">
        <v>0</v>
      </c>
      <c r="DM21" s="78">
        <v>0</v>
      </c>
      <c r="DN21" s="74">
        <v>4454.7</v>
      </c>
      <c r="DO21" s="78">
        <v>0</v>
      </c>
      <c r="DP21" s="78">
        <v>0</v>
      </c>
      <c r="DQ21" s="74">
        <v>5089.6000000000004</v>
      </c>
      <c r="DR21" s="78">
        <v>0</v>
      </c>
      <c r="DS21" s="78">
        <v>0</v>
      </c>
      <c r="DT21" s="74">
        <v>4891</v>
      </c>
      <c r="DU21" s="78">
        <v>5</v>
      </c>
      <c r="DV21" s="81">
        <v>11.95</v>
      </c>
      <c r="DW21" s="89">
        <v>12871</v>
      </c>
      <c r="DX21" s="81">
        <v>0</v>
      </c>
      <c r="DY21" s="89">
        <v>62789</v>
      </c>
      <c r="DZ21" s="81">
        <v>0</v>
      </c>
      <c r="EA21" s="90">
        <v>15599</v>
      </c>
      <c r="EB21" s="81">
        <v>0</v>
      </c>
      <c r="EC21" s="90">
        <v>24679</v>
      </c>
      <c r="ED21" s="81">
        <v>0</v>
      </c>
      <c r="EE21" s="90">
        <v>2</v>
      </c>
      <c r="EF21" s="91">
        <v>6</v>
      </c>
      <c r="EG21" s="85">
        <v>1.4999999999999999E-2</v>
      </c>
      <c r="EH21" s="109"/>
      <c r="EI21" s="68"/>
      <c r="EJ21" s="68"/>
      <c r="EK21"/>
      <c r="EL21"/>
      <c r="EM21"/>
    </row>
    <row r="22" spans="1:144" s="21" customFormat="1" ht="15.75" thickBot="1" x14ac:dyDescent="0.3">
      <c r="A22" s="68">
        <v>44274</v>
      </c>
      <c r="B22" s="74">
        <v>6578500</v>
      </c>
      <c r="C22" s="70">
        <v>7492</v>
      </c>
      <c r="D22" s="74">
        <v>5822985</v>
      </c>
      <c r="E22" s="70">
        <v>7367</v>
      </c>
      <c r="F22" s="71">
        <v>0.98331553699999996</v>
      </c>
      <c r="G22" s="71">
        <v>476</v>
      </c>
      <c r="H22" s="71">
        <v>478</v>
      </c>
      <c r="I22" s="93">
        <v>288023</v>
      </c>
      <c r="J22" s="73">
        <v>121</v>
      </c>
      <c r="K22" s="72">
        <v>774</v>
      </c>
      <c r="L22" s="70">
        <v>0</v>
      </c>
      <c r="M22" s="74">
        <v>633922</v>
      </c>
      <c r="N22" s="70">
        <v>132</v>
      </c>
      <c r="O22" s="74">
        <v>992</v>
      </c>
      <c r="P22" s="73">
        <v>1</v>
      </c>
      <c r="Q22" s="74">
        <v>2546970</v>
      </c>
      <c r="R22" s="73">
        <v>38</v>
      </c>
      <c r="S22" s="74">
        <v>2191616</v>
      </c>
      <c r="T22" s="73">
        <v>1</v>
      </c>
      <c r="U22" s="74">
        <v>108804</v>
      </c>
      <c r="V22" s="73">
        <v>31</v>
      </c>
      <c r="W22" s="89">
        <v>100</v>
      </c>
      <c r="X22" s="74">
        <v>152370</v>
      </c>
      <c r="Y22" s="73">
        <v>0</v>
      </c>
      <c r="Z22" s="71">
        <v>39544</v>
      </c>
      <c r="AA22" s="78">
        <v>3</v>
      </c>
      <c r="AB22" s="74">
        <v>1112</v>
      </c>
      <c r="AC22" s="102">
        <v>1</v>
      </c>
      <c r="AD22" s="74">
        <v>4549</v>
      </c>
      <c r="AE22" s="79">
        <v>0</v>
      </c>
      <c r="AF22" s="74">
        <v>579690</v>
      </c>
      <c r="AG22" s="73">
        <v>10</v>
      </c>
      <c r="AH22" s="74">
        <v>580050</v>
      </c>
      <c r="AI22" s="73">
        <v>0</v>
      </c>
      <c r="AJ22" s="96">
        <v>467</v>
      </c>
      <c r="AK22" s="70">
        <v>0</v>
      </c>
      <c r="AL22" s="74">
        <v>52225</v>
      </c>
      <c r="AM22" s="77">
        <v>0</v>
      </c>
      <c r="AN22" s="74">
        <v>8911</v>
      </c>
      <c r="AO22" s="70">
        <v>1</v>
      </c>
      <c r="AP22" s="74">
        <v>10571</v>
      </c>
      <c r="AQ22" s="70">
        <v>0</v>
      </c>
      <c r="AR22" s="74">
        <v>14551</v>
      </c>
      <c r="AS22" s="70">
        <v>0</v>
      </c>
      <c r="AT22" s="74">
        <v>19369</v>
      </c>
      <c r="AU22" s="70">
        <v>0</v>
      </c>
      <c r="AV22" s="74">
        <v>20677</v>
      </c>
      <c r="AW22" s="78">
        <v>0</v>
      </c>
      <c r="AX22" s="74">
        <v>13871</v>
      </c>
      <c r="AY22" s="78">
        <v>0</v>
      </c>
      <c r="AZ22" s="74">
        <v>6214</v>
      </c>
      <c r="BA22" s="70">
        <v>0</v>
      </c>
      <c r="BB22" s="74">
        <v>26463</v>
      </c>
      <c r="BC22" s="70">
        <v>0</v>
      </c>
      <c r="BD22" s="74">
        <v>1115</v>
      </c>
      <c r="BE22" s="70">
        <v>0</v>
      </c>
      <c r="BF22" s="74">
        <v>4373</v>
      </c>
      <c r="BG22" s="70">
        <v>0</v>
      </c>
      <c r="BH22" s="74">
        <v>3636</v>
      </c>
      <c r="BI22" s="70">
        <v>0</v>
      </c>
      <c r="BJ22" s="78">
        <v>0</v>
      </c>
      <c r="BK22" s="78">
        <v>0</v>
      </c>
      <c r="BL22" s="74">
        <v>600600</v>
      </c>
      <c r="BM22" s="78">
        <v>10</v>
      </c>
      <c r="BN22" s="87">
        <v>694</v>
      </c>
      <c r="BO22" s="70">
        <v>1</v>
      </c>
      <c r="BP22" s="74">
        <v>778440</v>
      </c>
      <c r="BQ22" s="78">
        <v>20</v>
      </c>
      <c r="BR22" s="88">
        <v>6589</v>
      </c>
      <c r="BS22" s="78">
        <v>2</v>
      </c>
      <c r="BT22" s="81">
        <v>20</v>
      </c>
      <c r="BU22" s="78">
        <v>30</v>
      </c>
      <c r="BV22" s="82">
        <v>1</v>
      </c>
      <c r="BW22" s="74">
        <v>125</v>
      </c>
      <c r="BX22" s="83">
        <v>15594.96</v>
      </c>
      <c r="BY22" s="74"/>
      <c r="BZ22" s="103">
        <v>0</v>
      </c>
      <c r="CA22" s="74">
        <v>206460.79999999999</v>
      </c>
      <c r="CB22" s="78">
        <v>0.3</v>
      </c>
      <c r="CC22" s="81">
        <v>1.7130000000000001</v>
      </c>
      <c r="CD22" s="74">
        <v>40</v>
      </c>
      <c r="CE22" s="104">
        <v>4310</v>
      </c>
      <c r="CF22" s="74">
        <v>39</v>
      </c>
      <c r="CG22" s="81">
        <v>4202</v>
      </c>
      <c r="CH22" s="74">
        <v>41</v>
      </c>
      <c r="CI22" s="105">
        <v>4418</v>
      </c>
      <c r="CJ22" s="106">
        <v>12930</v>
      </c>
      <c r="CK22" s="107">
        <v>0</v>
      </c>
      <c r="CL22" s="74"/>
      <c r="CM22" s="74">
        <v>34492.9</v>
      </c>
      <c r="CN22" s="78">
        <v>0.9</v>
      </c>
      <c r="CO22" s="81">
        <v>2.1960000000000002</v>
      </c>
      <c r="CP22" s="74">
        <v>34300</v>
      </c>
      <c r="CQ22" s="78">
        <v>0</v>
      </c>
      <c r="CR22" s="81">
        <v>0</v>
      </c>
      <c r="CS22" s="74">
        <v>10235.6</v>
      </c>
      <c r="CT22" s="78">
        <v>0</v>
      </c>
      <c r="CU22" s="81">
        <v>0</v>
      </c>
      <c r="CV22" s="74">
        <v>832145</v>
      </c>
      <c r="CW22" s="78">
        <v>0</v>
      </c>
      <c r="CX22" s="81">
        <v>0</v>
      </c>
      <c r="CY22" s="74">
        <v>5962</v>
      </c>
      <c r="CZ22" s="78">
        <v>0</v>
      </c>
      <c r="DA22" s="81">
        <v>0</v>
      </c>
      <c r="DB22" s="74">
        <v>7420</v>
      </c>
      <c r="DC22" s="78">
        <v>0</v>
      </c>
      <c r="DD22" s="78">
        <v>0</v>
      </c>
      <c r="DE22" s="74">
        <v>3840</v>
      </c>
      <c r="DF22" s="78">
        <v>0</v>
      </c>
      <c r="DG22" s="78">
        <v>0</v>
      </c>
      <c r="DH22" s="74">
        <v>1855.9</v>
      </c>
      <c r="DI22" s="78">
        <v>0</v>
      </c>
      <c r="DJ22" s="78">
        <v>0</v>
      </c>
      <c r="DK22" s="74">
        <v>5081.7</v>
      </c>
      <c r="DL22" s="78">
        <v>0</v>
      </c>
      <c r="DM22" s="78">
        <v>0</v>
      </c>
      <c r="DN22" s="74">
        <v>4454.7</v>
      </c>
      <c r="DO22" s="78"/>
      <c r="DP22" s="78">
        <v>0</v>
      </c>
      <c r="DQ22" s="74">
        <v>5089.6000000000004</v>
      </c>
      <c r="DR22" s="78">
        <v>0</v>
      </c>
      <c r="DS22" s="78">
        <v>0</v>
      </c>
      <c r="DT22" s="74">
        <v>4893</v>
      </c>
      <c r="DU22" s="78">
        <v>2</v>
      </c>
      <c r="DV22" s="81">
        <v>4.78</v>
      </c>
      <c r="DW22" s="89">
        <v>12871</v>
      </c>
      <c r="DX22" s="81">
        <v>0</v>
      </c>
      <c r="DY22" s="89">
        <v>62789</v>
      </c>
      <c r="DZ22" s="81">
        <v>0</v>
      </c>
      <c r="EA22" s="90">
        <v>15599</v>
      </c>
      <c r="EB22" s="81">
        <v>0</v>
      </c>
      <c r="EC22" s="90">
        <v>24679</v>
      </c>
      <c r="ED22" s="81">
        <v>0</v>
      </c>
      <c r="EE22" s="90">
        <v>2</v>
      </c>
      <c r="EF22" s="91">
        <v>6</v>
      </c>
      <c r="EG22" s="85">
        <v>1.4999999999999999E-2</v>
      </c>
      <c r="EH22" s="109"/>
      <c r="EI22" s="68"/>
      <c r="EJ22" s="68"/>
      <c r="EK22"/>
      <c r="EL22"/>
      <c r="EM22"/>
    </row>
    <row r="23" spans="1:144" s="21" customFormat="1" ht="15.75" thickBot="1" x14ac:dyDescent="0.3">
      <c r="A23" s="68">
        <v>44275</v>
      </c>
      <c r="B23" s="74">
        <v>6586545</v>
      </c>
      <c r="C23" s="70">
        <v>8045</v>
      </c>
      <c r="D23" s="74">
        <v>5830642</v>
      </c>
      <c r="E23" s="70">
        <v>7657</v>
      </c>
      <c r="F23" s="71">
        <v>0.95177128700000002</v>
      </c>
      <c r="G23" s="71">
        <v>476</v>
      </c>
      <c r="H23" s="71">
        <v>478</v>
      </c>
      <c r="I23" s="93">
        <v>288023</v>
      </c>
      <c r="J23" s="73">
        <v>0</v>
      </c>
      <c r="K23" s="72">
        <v>774</v>
      </c>
      <c r="L23" s="70">
        <v>0</v>
      </c>
      <c r="M23" s="74">
        <v>633922</v>
      </c>
      <c r="N23" s="70">
        <v>0</v>
      </c>
      <c r="O23" s="74">
        <v>992</v>
      </c>
      <c r="P23" s="73">
        <v>0</v>
      </c>
      <c r="Q23" s="74">
        <v>2547080</v>
      </c>
      <c r="R23" s="73">
        <v>110</v>
      </c>
      <c r="S23" s="74">
        <v>2191621</v>
      </c>
      <c r="T23" s="73">
        <v>5</v>
      </c>
      <c r="U23" s="74">
        <v>108850</v>
      </c>
      <c r="V23" s="73">
        <v>46</v>
      </c>
      <c r="W23" s="89">
        <v>100</v>
      </c>
      <c r="X23" s="74">
        <v>152370</v>
      </c>
      <c r="Y23" s="73">
        <v>0</v>
      </c>
      <c r="Z23" s="71">
        <v>39547</v>
      </c>
      <c r="AA23" s="78">
        <v>3</v>
      </c>
      <c r="AB23" s="74">
        <v>1112</v>
      </c>
      <c r="AC23" s="102">
        <v>0</v>
      </c>
      <c r="AD23" s="74">
        <v>4549</v>
      </c>
      <c r="AE23" s="79">
        <v>0</v>
      </c>
      <c r="AF23" s="20"/>
      <c r="AG23" s="20"/>
      <c r="AH23" s="74">
        <v>580050</v>
      </c>
      <c r="AI23" s="73">
        <v>0</v>
      </c>
      <c r="AJ23" s="96">
        <v>467</v>
      </c>
      <c r="AK23" s="70">
        <v>0</v>
      </c>
      <c r="AL23" s="74">
        <v>52225</v>
      </c>
      <c r="AM23" s="77">
        <v>0</v>
      </c>
      <c r="AN23" s="74">
        <v>8911</v>
      </c>
      <c r="AO23" s="70">
        <v>0</v>
      </c>
      <c r="AP23" s="74">
        <v>10571</v>
      </c>
      <c r="AQ23" s="70">
        <v>0</v>
      </c>
      <c r="AR23" s="74">
        <v>14552</v>
      </c>
      <c r="AS23" s="70">
        <v>1</v>
      </c>
      <c r="AT23" s="74">
        <v>19369</v>
      </c>
      <c r="AU23" s="70">
        <v>0</v>
      </c>
      <c r="AV23" s="74">
        <v>20677</v>
      </c>
      <c r="AW23" s="78">
        <v>0</v>
      </c>
      <c r="AX23" s="74">
        <v>13871</v>
      </c>
      <c r="AY23" s="78">
        <v>0</v>
      </c>
      <c r="AZ23" s="74">
        <v>6216</v>
      </c>
      <c r="BA23" s="70">
        <v>2</v>
      </c>
      <c r="BB23" s="74">
        <v>26464</v>
      </c>
      <c r="BC23" s="70">
        <v>1</v>
      </c>
      <c r="BD23" s="74">
        <v>1115</v>
      </c>
      <c r="BE23" s="70">
        <v>0</v>
      </c>
      <c r="BF23" s="74">
        <v>4373</v>
      </c>
      <c r="BG23" s="70">
        <v>0</v>
      </c>
      <c r="BH23" s="74">
        <v>3636</v>
      </c>
      <c r="BI23" s="70">
        <v>0</v>
      </c>
      <c r="BJ23" s="78">
        <v>1</v>
      </c>
      <c r="BK23" s="112">
        <v>-1</v>
      </c>
      <c r="BL23" s="74">
        <v>600640</v>
      </c>
      <c r="BM23" s="78">
        <v>40</v>
      </c>
      <c r="BN23" s="87">
        <v>703</v>
      </c>
      <c r="BO23" s="70">
        <v>9</v>
      </c>
      <c r="BP23" s="74">
        <v>778440</v>
      </c>
      <c r="BQ23" s="78">
        <v>0</v>
      </c>
      <c r="BR23" s="88">
        <v>6596</v>
      </c>
      <c r="BS23" s="78">
        <v>7</v>
      </c>
      <c r="BT23" s="81">
        <v>0</v>
      </c>
      <c r="BU23" s="78">
        <v>40</v>
      </c>
      <c r="BV23" s="82">
        <v>3</v>
      </c>
      <c r="BW23" s="74">
        <v>125</v>
      </c>
      <c r="BX23" s="83">
        <v>15594.96</v>
      </c>
      <c r="BY23" s="74"/>
      <c r="BZ23" s="103">
        <v>0</v>
      </c>
      <c r="CA23" s="74">
        <v>206461.2</v>
      </c>
      <c r="CB23" s="78">
        <v>0.4</v>
      </c>
      <c r="CC23" s="81">
        <v>2.2839999999999998</v>
      </c>
      <c r="CD23" s="74">
        <v>40</v>
      </c>
      <c r="CE23" s="104">
        <v>4310</v>
      </c>
      <c r="CF23" s="74">
        <v>39</v>
      </c>
      <c r="CG23" s="81">
        <v>4202</v>
      </c>
      <c r="CH23" s="74">
        <v>40</v>
      </c>
      <c r="CI23" s="105">
        <v>4310</v>
      </c>
      <c r="CJ23" s="106">
        <v>12822</v>
      </c>
      <c r="CK23" s="107">
        <v>108</v>
      </c>
      <c r="CL23" s="74"/>
      <c r="CM23" s="74">
        <v>34493.800000000003</v>
      </c>
      <c r="CN23" s="78">
        <v>0.9</v>
      </c>
      <c r="CO23" s="81">
        <v>2.1960000000000002</v>
      </c>
      <c r="CP23" s="74">
        <v>34300</v>
      </c>
      <c r="CQ23" s="78">
        <v>0</v>
      </c>
      <c r="CR23" s="81">
        <v>0</v>
      </c>
      <c r="CS23" s="74">
        <v>10235.6</v>
      </c>
      <c r="CT23" s="78">
        <v>0</v>
      </c>
      <c r="CU23" s="81">
        <v>0</v>
      </c>
      <c r="CV23" s="74">
        <v>832145</v>
      </c>
      <c r="CW23" s="78">
        <v>0</v>
      </c>
      <c r="CX23" s="81">
        <v>0</v>
      </c>
      <c r="CY23" s="74">
        <v>5963</v>
      </c>
      <c r="CZ23" s="78">
        <v>1</v>
      </c>
      <c r="DA23" s="81">
        <v>2.39</v>
      </c>
      <c r="DB23" s="74">
        <v>7420</v>
      </c>
      <c r="DC23" s="78">
        <v>0</v>
      </c>
      <c r="DD23" s="78">
        <v>0</v>
      </c>
      <c r="DE23" s="74">
        <v>3840</v>
      </c>
      <c r="DF23" s="78">
        <v>0</v>
      </c>
      <c r="DG23" s="78">
        <v>0</v>
      </c>
      <c r="DH23" s="74">
        <v>1855.9</v>
      </c>
      <c r="DI23" s="78">
        <v>0</v>
      </c>
      <c r="DJ23" s="78">
        <v>0</v>
      </c>
      <c r="DK23" s="74">
        <v>5081.7</v>
      </c>
      <c r="DL23" s="78">
        <v>0</v>
      </c>
      <c r="DM23" s="78">
        <v>0</v>
      </c>
      <c r="DN23" s="74">
        <v>4454.7</v>
      </c>
      <c r="DO23" s="78">
        <v>0</v>
      </c>
      <c r="DP23" s="78">
        <v>0</v>
      </c>
      <c r="DQ23" s="74">
        <v>5089.6000000000004</v>
      </c>
      <c r="DR23" s="78">
        <v>0</v>
      </c>
      <c r="DS23" s="78">
        <v>0</v>
      </c>
      <c r="DT23" s="74">
        <v>4897</v>
      </c>
      <c r="DU23" s="78">
        <v>4</v>
      </c>
      <c r="DV23" s="81">
        <v>9.56</v>
      </c>
      <c r="DW23" s="89">
        <v>12871</v>
      </c>
      <c r="DX23" s="81">
        <v>0</v>
      </c>
      <c r="DY23" s="89">
        <v>62789</v>
      </c>
      <c r="DZ23" s="81">
        <v>0</v>
      </c>
      <c r="EA23" s="90">
        <v>15599</v>
      </c>
      <c r="EB23" s="81">
        <v>0</v>
      </c>
      <c r="EC23" s="90">
        <v>24679</v>
      </c>
      <c r="ED23" s="81">
        <v>0</v>
      </c>
      <c r="EE23" s="90">
        <v>2</v>
      </c>
      <c r="EF23" s="91">
        <v>6</v>
      </c>
      <c r="EG23" s="85">
        <v>1.4999999999999999E-2</v>
      </c>
      <c r="EH23" s="109"/>
      <c r="EI23" s="68"/>
      <c r="EJ23" s="68"/>
      <c r="EK23"/>
      <c r="EL23"/>
      <c r="EM23"/>
    </row>
    <row r="24" spans="1:144" s="21" customFormat="1" ht="15.75" thickBot="1" x14ac:dyDescent="0.3">
      <c r="A24" s="68">
        <v>44276</v>
      </c>
      <c r="B24" s="74">
        <v>6594222</v>
      </c>
      <c r="C24" s="70">
        <v>7677</v>
      </c>
      <c r="D24" s="74">
        <v>5837916</v>
      </c>
      <c r="E24" s="70">
        <v>7274</v>
      </c>
      <c r="F24" s="71">
        <v>0.94750553599999998</v>
      </c>
      <c r="G24" s="71">
        <v>476</v>
      </c>
      <c r="H24" s="71">
        <v>478</v>
      </c>
      <c r="I24" s="93">
        <v>288023</v>
      </c>
      <c r="J24" s="73">
        <v>0</v>
      </c>
      <c r="K24" s="72">
        <v>774</v>
      </c>
      <c r="L24" s="70">
        <v>0</v>
      </c>
      <c r="M24" s="74">
        <v>633922</v>
      </c>
      <c r="N24" s="70">
        <v>0</v>
      </c>
      <c r="O24" s="74">
        <v>992</v>
      </c>
      <c r="P24" s="73">
        <v>0</v>
      </c>
      <c r="Q24" s="74">
        <v>2547139</v>
      </c>
      <c r="R24" s="73">
        <v>59</v>
      </c>
      <c r="S24" s="74">
        <v>2191623</v>
      </c>
      <c r="T24" s="73">
        <v>2</v>
      </c>
      <c r="U24" s="74">
        <v>108904</v>
      </c>
      <c r="V24" s="73">
        <v>54</v>
      </c>
      <c r="W24" s="98">
        <v>100</v>
      </c>
      <c r="X24" s="74">
        <v>152370</v>
      </c>
      <c r="Y24" s="73">
        <v>0</v>
      </c>
      <c r="Z24" s="71">
        <v>39553</v>
      </c>
      <c r="AA24" s="78">
        <v>6</v>
      </c>
      <c r="AB24" s="74">
        <v>1112</v>
      </c>
      <c r="AC24" s="102">
        <v>0</v>
      </c>
      <c r="AD24" s="74">
        <v>4549</v>
      </c>
      <c r="AE24" s="79">
        <v>0</v>
      </c>
      <c r="AF24" s="20"/>
      <c r="AG24" s="20"/>
      <c r="AH24" s="74">
        <v>580080</v>
      </c>
      <c r="AI24" s="73">
        <v>30</v>
      </c>
      <c r="AJ24" s="96">
        <v>467</v>
      </c>
      <c r="AK24" s="70">
        <v>0</v>
      </c>
      <c r="AL24" s="74">
        <v>52225</v>
      </c>
      <c r="AM24" s="77">
        <v>0</v>
      </c>
      <c r="AN24" s="74">
        <v>8911</v>
      </c>
      <c r="AO24" s="70">
        <v>0</v>
      </c>
      <c r="AP24" s="74">
        <v>10571</v>
      </c>
      <c r="AQ24" s="70">
        <v>0</v>
      </c>
      <c r="AR24" s="74">
        <v>14552</v>
      </c>
      <c r="AS24" s="70">
        <v>0</v>
      </c>
      <c r="AT24" s="74">
        <v>19369</v>
      </c>
      <c r="AU24" s="73">
        <v>0</v>
      </c>
      <c r="AV24" s="74">
        <v>20677</v>
      </c>
      <c r="AW24" s="78">
        <v>0</v>
      </c>
      <c r="AX24" s="74">
        <v>13871</v>
      </c>
      <c r="AY24" s="78">
        <v>0</v>
      </c>
      <c r="AZ24" s="74">
        <v>6216</v>
      </c>
      <c r="BA24" s="70">
        <v>0</v>
      </c>
      <c r="BB24" s="74">
        <v>26464</v>
      </c>
      <c r="BC24" s="70">
        <v>0</v>
      </c>
      <c r="BD24" s="74">
        <v>1115</v>
      </c>
      <c r="BE24" s="70">
        <v>0</v>
      </c>
      <c r="BF24" s="74">
        <v>4373</v>
      </c>
      <c r="BG24" s="70">
        <v>0</v>
      </c>
      <c r="BH24" s="74">
        <v>3636</v>
      </c>
      <c r="BI24" s="70">
        <v>0</v>
      </c>
      <c r="BJ24" s="78">
        <v>0</v>
      </c>
      <c r="BK24" s="78">
        <v>30</v>
      </c>
      <c r="BL24" s="74">
        <v>600650</v>
      </c>
      <c r="BM24" s="78">
        <v>10</v>
      </c>
      <c r="BN24" s="87">
        <v>703</v>
      </c>
      <c r="BO24" s="70">
        <v>0</v>
      </c>
      <c r="BP24" s="74">
        <v>778480</v>
      </c>
      <c r="BQ24" s="78">
        <v>40</v>
      </c>
      <c r="BR24" s="88">
        <v>6599</v>
      </c>
      <c r="BS24" s="78">
        <v>3</v>
      </c>
      <c r="BT24" s="81">
        <v>10</v>
      </c>
      <c r="BU24" s="78">
        <v>50</v>
      </c>
      <c r="BV24" s="82">
        <v>0</v>
      </c>
      <c r="BW24" s="74">
        <v>125</v>
      </c>
      <c r="BX24" s="83">
        <v>15594.96</v>
      </c>
      <c r="BY24" s="74"/>
      <c r="BZ24" s="103">
        <v>0</v>
      </c>
      <c r="CA24" s="74">
        <v>206461.5</v>
      </c>
      <c r="CB24" s="78">
        <v>0.3</v>
      </c>
      <c r="CC24" s="81">
        <v>1.7130000000000001</v>
      </c>
      <c r="CD24" s="74">
        <v>40</v>
      </c>
      <c r="CE24" s="104">
        <v>4310</v>
      </c>
      <c r="CF24" s="74">
        <v>39</v>
      </c>
      <c r="CG24" s="81">
        <v>4202</v>
      </c>
      <c r="CH24" s="74">
        <v>40</v>
      </c>
      <c r="CI24" s="105">
        <v>4310</v>
      </c>
      <c r="CJ24" s="106">
        <v>12822</v>
      </c>
      <c r="CK24" s="107">
        <v>0</v>
      </c>
      <c r="CL24" s="74"/>
      <c r="CM24" s="74">
        <v>34494.699999999997</v>
      </c>
      <c r="CN24" s="78">
        <v>0.9</v>
      </c>
      <c r="CO24" s="81">
        <v>2.1960000000000002</v>
      </c>
      <c r="CP24" s="74">
        <v>34300</v>
      </c>
      <c r="CQ24" s="78">
        <v>0</v>
      </c>
      <c r="CR24" s="81">
        <v>0</v>
      </c>
      <c r="CS24" s="74">
        <v>10235.6</v>
      </c>
      <c r="CT24" s="78">
        <v>0</v>
      </c>
      <c r="CU24" s="81">
        <v>0</v>
      </c>
      <c r="CV24" s="74">
        <v>832145</v>
      </c>
      <c r="CW24" s="78">
        <v>0</v>
      </c>
      <c r="CX24" s="81">
        <v>0</v>
      </c>
      <c r="CY24" s="74">
        <v>5964</v>
      </c>
      <c r="CZ24" s="78">
        <v>1</v>
      </c>
      <c r="DA24" s="81">
        <v>2.39</v>
      </c>
      <c r="DB24" s="74">
        <v>7420</v>
      </c>
      <c r="DC24" s="78">
        <v>0</v>
      </c>
      <c r="DD24" s="78">
        <v>0</v>
      </c>
      <c r="DE24" s="74">
        <v>3840</v>
      </c>
      <c r="DF24" s="78">
        <v>0</v>
      </c>
      <c r="DG24" s="78">
        <v>0</v>
      </c>
      <c r="DH24" s="74">
        <v>1855.9</v>
      </c>
      <c r="DI24" s="78">
        <v>0</v>
      </c>
      <c r="DJ24" s="78">
        <v>0</v>
      </c>
      <c r="DK24" s="74">
        <v>5081.7</v>
      </c>
      <c r="DL24" s="78">
        <v>0</v>
      </c>
      <c r="DM24" s="78">
        <v>0</v>
      </c>
      <c r="DN24" s="74">
        <v>4454.7</v>
      </c>
      <c r="DO24" s="78">
        <v>0</v>
      </c>
      <c r="DP24" s="78">
        <v>0</v>
      </c>
      <c r="DQ24" s="74">
        <v>5089.6000000000004</v>
      </c>
      <c r="DR24" s="78">
        <v>0</v>
      </c>
      <c r="DS24" s="78">
        <v>0</v>
      </c>
      <c r="DT24" s="74">
        <v>4904</v>
      </c>
      <c r="DU24" s="78">
        <v>7</v>
      </c>
      <c r="DV24" s="81">
        <v>16.73</v>
      </c>
      <c r="DW24" s="89">
        <v>12871</v>
      </c>
      <c r="DX24" s="81">
        <v>0</v>
      </c>
      <c r="DY24" s="89">
        <v>62789</v>
      </c>
      <c r="DZ24" s="81">
        <v>0</v>
      </c>
      <c r="EA24" s="90">
        <v>15599</v>
      </c>
      <c r="EB24" s="81">
        <v>0</v>
      </c>
      <c r="EC24" s="90">
        <v>24679</v>
      </c>
      <c r="ED24" s="81">
        <v>0</v>
      </c>
      <c r="EE24" s="90">
        <v>2</v>
      </c>
      <c r="EF24" s="91">
        <v>6</v>
      </c>
      <c r="EG24" s="85">
        <v>1.4999999999999999E-2</v>
      </c>
      <c r="EH24" s="109"/>
      <c r="EI24" s="68"/>
      <c r="EJ24" s="68"/>
      <c r="EK24"/>
      <c r="EL24"/>
      <c r="EM24"/>
    </row>
    <row r="25" spans="1:144" s="21" customFormat="1" ht="15.75" thickBot="1" x14ac:dyDescent="0.3">
      <c r="A25" s="68">
        <v>44277</v>
      </c>
      <c r="B25" s="74">
        <v>6601760</v>
      </c>
      <c r="C25" s="70">
        <v>7538</v>
      </c>
      <c r="D25" s="74">
        <v>5845005</v>
      </c>
      <c r="E25" s="70">
        <v>7089</v>
      </c>
      <c r="F25" s="71">
        <v>0.94043512900000004</v>
      </c>
      <c r="G25" s="71">
        <v>528</v>
      </c>
      <c r="H25" s="71">
        <v>478</v>
      </c>
      <c r="I25" s="93">
        <v>288023</v>
      </c>
      <c r="J25" s="73">
        <v>0</v>
      </c>
      <c r="K25" s="72">
        <v>774</v>
      </c>
      <c r="L25" s="70">
        <v>0</v>
      </c>
      <c r="M25" s="74">
        <v>633922</v>
      </c>
      <c r="N25" s="70">
        <v>0</v>
      </c>
      <c r="O25" s="74">
        <v>992</v>
      </c>
      <c r="P25" s="73">
        <v>0</v>
      </c>
      <c r="Q25" s="74">
        <v>2547167</v>
      </c>
      <c r="R25" s="73">
        <v>28</v>
      </c>
      <c r="S25" s="74">
        <v>2191623</v>
      </c>
      <c r="T25" s="73">
        <v>0</v>
      </c>
      <c r="U25" s="74">
        <v>108936</v>
      </c>
      <c r="V25" s="73">
        <v>32</v>
      </c>
      <c r="W25" s="89">
        <v>100</v>
      </c>
      <c r="X25" s="74">
        <v>152370</v>
      </c>
      <c r="Y25" s="73">
        <v>0</v>
      </c>
      <c r="Z25" s="71">
        <v>39555</v>
      </c>
      <c r="AA25" s="78">
        <v>2</v>
      </c>
      <c r="AB25" s="74">
        <v>1112</v>
      </c>
      <c r="AC25" s="102">
        <v>0</v>
      </c>
      <c r="AD25" s="74">
        <v>4549</v>
      </c>
      <c r="AE25" s="79">
        <v>0</v>
      </c>
      <c r="AF25" s="20"/>
      <c r="AG25" s="20"/>
      <c r="AH25" s="74">
        <v>580080</v>
      </c>
      <c r="AI25" s="73">
        <v>0</v>
      </c>
      <c r="AJ25" s="96">
        <v>467</v>
      </c>
      <c r="AK25" s="70">
        <v>0</v>
      </c>
      <c r="AL25" s="74">
        <v>52226</v>
      </c>
      <c r="AM25" s="77">
        <v>1</v>
      </c>
      <c r="AN25" s="74">
        <v>8911</v>
      </c>
      <c r="AO25" s="70">
        <v>0</v>
      </c>
      <c r="AP25" s="74">
        <v>10571</v>
      </c>
      <c r="AQ25" s="73">
        <v>0</v>
      </c>
      <c r="AR25" s="74">
        <v>14552</v>
      </c>
      <c r="AS25" s="70">
        <v>0</v>
      </c>
      <c r="AT25" s="74">
        <v>19369</v>
      </c>
      <c r="AU25" s="73">
        <v>0</v>
      </c>
      <c r="AV25" s="74">
        <v>20677</v>
      </c>
      <c r="AW25" s="78">
        <v>0</v>
      </c>
      <c r="AX25" s="74">
        <v>13871</v>
      </c>
      <c r="AY25" s="81">
        <v>0</v>
      </c>
      <c r="AZ25" s="74">
        <v>6216</v>
      </c>
      <c r="BA25" s="70">
        <v>0</v>
      </c>
      <c r="BB25" s="74">
        <v>26464</v>
      </c>
      <c r="BC25" s="70">
        <v>0</v>
      </c>
      <c r="BD25" s="74">
        <v>1115</v>
      </c>
      <c r="BE25" s="70">
        <v>0</v>
      </c>
      <c r="BF25" s="74">
        <v>4373</v>
      </c>
      <c r="BG25" s="70">
        <v>0</v>
      </c>
      <c r="BH25" s="74">
        <v>3636</v>
      </c>
      <c r="BI25" s="70">
        <v>0</v>
      </c>
      <c r="BJ25" s="78">
        <v>0</v>
      </c>
      <c r="BK25" s="78">
        <v>0</v>
      </c>
      <c r="BL25" s="74">
        <v>600670</v>
      </c>
      <c r="BM25" s="78">
        <v>20</v>
      </c>
      <c r="BN25" s="87">
        <v>703</v>
      </c>
      <c r="BO25" s="70">
        <v>0</v>
      </c>
      <c r="BP25" s="74">
        <v>778490</v>
      </c>
      <c r="BQ25" s="78">
        <v>10</v>
      </c>
      <c r="BR25" s="88">
        <v>6602</v>
      </c>
      <c r="BS25" s="78">
        <v>3</v>
      </c>
      <c r="BT25" s="81">
        <v>10</v>
      </c>
      <c r="BU25" s="78">
        <v>30</v>
      </c>
      <c r="BV25" s="82">
        <v>1</v>
      </c>
      <c r="BW25" s="74">
        <v>125</v>
      </c>
      <c r="BX25" s="83">
        <v>15594.96</v>
      </c>
      <c r="BY25" s="74"/>
      <c r="BZ25" s="103">
        <v>0</v>
      </c>
      <c r="CA25" s="74">
        <v>206461.7</v>
      </c>
      <c r="CB25" s="78">
        <v>0.2</v>
      </c>
      <c r="CC25" s="81">
        <v>1.1419999999999999</v>
      </c>
      <c r="CD25" s="74">
        <v>39</v>
      </c>
      <c r="CE25" s="104">
        <v>4202</v>
      </c>
      <c r="CF25" s="74">
        <v>39</v>
      </c>
      <c r="CG25" s="81">
        <v>4202</v>
      </c>
      <c r="CH25" s="74">
        <v>40</v>
      </c>
      <c r="CI25" s="105">
        <v>4310</v>
      </c>
      <c r="CJ25" s="106">
        <v>12715</v>
      </c>
      <c r="CK25" s="107">
        <v>108</v>
      </c>
      <c r="CL25" s="74"/>
      <c r="CM25" s="74">
        <v>34495.599999999999</v>
      </c>
      <c r="CN25" s="78">
        <v>0.9</v>
      </c>
      <c r="CO25" s="81">
        <v>2.1960000000000002</v>
      </c>
      <c r="CP25" s="74">
        <v>34300</v>
      </c>
      <c r="CQ25" s="78">
        <v>0</v>
      </c>
      <c r="CR25" s="81">
        <v>0</v>
      </c>
      <c r="CS25" s="74">
        <v>10235.6</v>
      </c>
      <c r="CT25" s="78">
        <v>0</v>
      </c>
      <c r="CU25" s="81">
        <v>0</v>
      </c>
      <c r="CV25" s="74">
        <v>832145</v>
      </c>
      <c r="CW25" s="78">
        <v>0</v>
      </c>
      <c r="CX25" s="81">
        <v>0</v>
      </c>
      <c r="CY25" s="74">
        <v>5964</v>
      </c>
      <c r="CZ25" s="78">
        <v>0</v>
      </c>
      <c r="DA25" s="81">
        <v>0</v>
      </c>
      <c r="DB25" s="74">
        <v>7420</v>
      </c>
      <c r="DC25" s="78">
        <v>0</v>
      </c>
      <c r="DD25" s="78">
        <v>0</v>
      </c>
      <c r="DE25" s="74">
        <v>3840</v>
      </c>
      <c r="DF25" s="78">
        <v>0</v>
      </c>
      <c r="DG25" s="78">
        <v>0</v>
      </c>
      <c r="DH25" s="74">
        <v>1855.9</v>
      </c>
      <c r="DI25" s="78">
        <v>0</v>
      </c>
      <c r="DJ25" s="78">
        <v>0</v>
      </c>
      <c r="DK25" s="74">
        <v>5081.7</v>
      </c>
      <c r="DL25" s="78">
        <v>0</v>
      </c>
      <c r="DM25" s="78">
        <v>0</v>
      </c>
      <c r="DN25" s="74">
        <v>4454.7</v>
      </c>
      <c r="DO25" s="78">
        <v>0</v>
      </c>
      <c r="DP25" s="78">
        <v>0</v>
      </c>
      <c r="DQ25" s="74">
        <v>5089.6000000000004</v>
      </c>
      <c r="DR25" s="78">
        <v>0</v>
      </c>
      <c r="DS25" s="78">
        <v>0</v>
      </c>
      <c r="DT25" s="74">
        <v>4906</v>
      </c>
      <c r="DU25" s="78">
        <v>2</v>
      </c>
      <c r="DV25" s="81">
        <v>4.78</v>
      </c>
      <c r="DW25" s="89">
        <v>12871</v>
      </c>
      <c r="DX25" s="81">
        <v>0</v>
      </c>
      <c r="DY25" s="89">
        <v>62789</v>
      </c>
      <c r="DZ25" s="81">
        <v>0</v>
      </c>
      <c r="EA25" s="90">
        <v>15599</v>
      </c>
      <c r="EB25" s="81">
        <v>0</v>
      </c>
      <c r="EC25" s="90">
        <v>24679</v>
      </c>
      <c r="ED25" s="81">
        <v>0</v>
      </c>
      <c r="EE25" s="90">
        <v>2</v>
      </c>
      <c r="EF25" s="91">
        <v>6</v>
      </c>
      <c r="EG25" s="85">
        <v>1.4999999999999999E-2</v>
      </c>
      <c r="EH25" s="109"/>
      <c r="EI25" s="68"/>
      <c r="EJ25" s="68"/>
      <c r="EK25"/>
      <c r="EL25"/>
      <c r="EM25"/>
    </row>
    <row r="26" spans="1:144" s="21" customFormat="1" ht="15.75" thickBot="1" x14ac:dyDescent="0.3">
      <c r="A26" s="68">
        <v>44278</v>
      </c>
      <c r="B26" s="74">
        <v>6608811</v>
      </c>
      <c r="C26" s="70">
        <v>7051</v>
      </c>
      <c r="D26" s="74">
        <v>5851892</v>
      </c>
      <c r="E26" s="70">
        <v>6887</v>
      </c>
      <c r="F26" s="71">
        <v>0.97674088800000003</v>
      </c>
      <c r="G26" s="71">
        <v>528</v>
      </c>
      <c r="H26" s="71">
        <v>478</v>
      </c>
      <c r="I26" s="93">
        <v>288023</v>
      </c>
      <c r="J26" s="73">
        <v>0</v>
      </c>
      <c r="K26" s="72">
        <v>774</v>
      </c>
      <c r="L26" s="70">
        <v>0</v>
      </c>
      <c r="M26" s="74">
        <v>633922</v>
      </c>
      <c r="N26" s="70"/>
      <c r="O26" s="74">
        <v>992</v>
      </c>
      <c r="P26" s="73">
        <v>0</v>
      </c>
      <c r="Q26" s="74">
        <v>2547277</v>
      </c>
      <c r="R26" s="73">
        <v>110</v>
      </c>
      <c r="S26" s="74">
        <v>2191625</v>
      </c>
      <c r="T26" s="73">
        <v>2</v>
      </c>
      <c r="U26" s="74">
        <v>108971</v>
      </c>
      <c r="V26" s="73">
        <v>35</v>
      </c>
      <c r="W26" s="89">
        <v>100</v>
      </c>
      <c r="X26" s="74">
        <v>152370</v>
      </c>
      <c r="Y26" s="73">
        <v>0</v>
      </c>
      <c r="Z26" s="71">
        <v>39559</v>
      </c>
      <c r="AA26" s="78">
        <v>4</v>
      </c>
      <c r="AB26" s="74">
        <v>1112</v>
      </c>
      <c r="AC26" s="102">
        <v>0</v>
      </c>
      <c r="AD26" s="74">
        <v>4549</v>
      </c>
      <c r="AE26" s="79">
        <v>0</v>
      </c>
      <c r="AF26" s="20"/>
      <c r="AG26" s="20"/>
      <c r="AH26" s="74">
        <v>580090</v>
      </c>
      <c r="AI26" s="73">
        <v>10</v>
      </c>
      <c r="AJ26" s="96">
        <v>467</v>
      </c>
      <c r="AK26" s="70">
        <v>0</v>
      </c>
      <c r="AL26" s="74">
        <v>52226</v>
      </c>
      <c r="AM26" s="77">
        <v>0</v>
      </c>
      <c r="AN26" s="74">
        <v>8911</v>
      </c>
      <c r="AO26" s="70">
        <v>0</v>
      </c>
      <c r="AP26" s="74">
        <v>10571</v>
      </c>
      <c r="AQ26" s="73">
        <v>0</v>
      </c>
      <c r="AR26" s="74">
        <v>14552</v>
      </c>
      <c r="AS26" s="70">
        <v>0</v>
      </c>
      <c r="AT26" s="74">
        <v>19369</v>
      </c>
      <c r="AU26" s="73">
        <v>0</v>
      </c>
      <c r="AV26" s="74">
        <v>20677</v>
      </c>
      <c r="AW26" s="78">
        <v>0</v>
      </c>
      <c r="AX26" s="74">
        <v>13871</v>
      </c>
      <c r="AY26" s="81">
        <v>0</v>
      </c>
      <c r="AZ26" s="74">
        <v>6217</v>
      </c>
      <c r="BA26" s="70">
        <v>1</v>
      </c>
      <c r="BB26" s="74">
        <v>26464</v>
      </c>
      <c r="BC26" s="70">
        <v>0</v>
      </c>
      <c r="BD26" s="74">
        <v>1115</v>
      </c>
      <c r="BE26" s="70">
        <v>0</v>
      </c>
      <c r="BF26" s="74">
        <v>4373</v>
      </c>
      <c r="BG26" s="70">
        <v>0</v>
      </c>
      <c r="BH26" s="74">
        <v>3636</v>
      </c>
      <c r="BI26" s="70">
        <v>0</v>
      </c>
      <c r="BJ26" s="78">
        <v>0</v>
      </c>
      <c r="BK26" s="78">
        <v>10</v>
      </c>
      <c r="BL26" s="74">
        <v>600690</v>
      </c>
      <c r="BM26" s="78">
        <v>20</v>
      </c>
      <c r="BN26" s="87">
        <v>706</v>
      </c>
      <c r="BO26" s="70">
        <v>3</v>
      </c>
      <c r="BP26" s="74">
        <v>778500</v>
      </c>
      <c r="BQ26" s="78">
        <v>10</v>
      </c>
      <c r="BR26" s="88">
        <v>6608</v>
      </c>
      <c r="BS26" s="78">
        <v>6</v>
      </c>
      <c r="BT26" s="81">
        <v>0</v>
      </c>
      <c r="BU26" s="78">
        <v>30</v>
      </c>
      <c r="BV26" s="82">
        <v>1</v>
      </c>
      <c r="BW26" s="74">
        <v>125</v>
      </c>
      <c r="BX26" s="83">
        <v>15594.96</v>
      </c>
      <c r="BY26" s="74"/>
      <c r="BZ26" s="103">
        <v>0</v>
      </c>
      <c r="CA26" s="74">
        <v>206462</v>
      </c>
      <c r="CB26" s="78">
        <v>0.3</v>
      </c>
      <c r="CC26" s="81">
        <v>1.7130000000000001</v>
      </c>
      <c r="CD26" s="74">
        <v>39</v>
      </c>
      <c r="CE26" s="104">
        <v>4202</v>
      </c>
      <c r="CF26" s="74">
        <v>39</v>
      </c>
      <c r="CG26" s="81">
        <v>4202</v>
      </c>
      <c r="CH26" s="74">
        <v>40</v>
      </c>
      <c r="CI26" s="105">
        <v>4310</v>
      </c>
      <c r="CJ26" s="106">
        <v>12715</v>
      </c>
      <c r="CK26" s="107">
        <v>0</v>
      </c>
      <c r="CL26" s="74"/>
      <c r="CM26" s="74">
        <v>34496.6</v>
      </c>
      <c r="CN26" s="78">
        <v>1</v>
      </c>
      <c r="CO26" s="81">
        <v>2.44</v>
      </c>
      <c r="CP26" s="74">
        <v>34300</v>
      </c>
      <c r="CQ26" s="78">
        <v>0</v>
      </c>
      <c r="CR26" s="81">
        <v>0</v>
      </c>
      <c r="CS26" s="74">
        <v>10235.6</v>
      </c>
      <c r="CT26" s="78">
        <v>0</v>
      </c>
      <c r="CU26" s="81">
        <v>0</v>
      </c>
      <c r="CV26" s="74">
        <v>832145</v>
      </c>
      <c r="CW26" s="78">
        <v>0</v>
      </c>
      <c r="CX26" s="81">
        <v>0</v>
      </c>
      <c r="CY26" s="74">
        <v>5965</v>
      </c>
      <c r="CZ26" s="78">
        <v>1</v>
      </c>
      <c r="DA26" s="81">
        <v>2.39</v>
      </c>
      <c r="DB26" s="74">
        <v>7420</v>
      </c>
      <c r="DC26" s="78">
        <v>0</v>
      </c>
      <c r="DD26" s="78">
        <v>0</v>
      </c>
      <c r="DE26" s="74">
        <v>3840</v>
      </c>
      <c r="DF26" s="78">
        <v>0</v>
      </c>
      <c r="DG26" s="78">
        <v>0</v>
      </c>
      <c r="DH26" s="74">
        <v>1855.9</v>
      </c>
      <c r="DI26" s="78">
        <v>0</v>
      </c>
      <c r="DJ26" s="78">
        <v>0</v>
      </c>
      <c r="DK26" s="74">
        <v>5081.7</v>
      </c>
      <c r="DL26" s="78">
        <v>0</v>
      </c>
      <c r="DM26" s="78">
        <v>0</v>
      </c>
      <c r="DN26" s="74">
        <v>4454.7</v>
      </c>
      <c r="DO26" s="78">
        <v>0</v>
      </c>
      <c r="DP26" s="78">
        <v>0</v>
      </c>
      <c r="DQ26" s="74">
        <v>5089.6000000000004</v>
      </c>
      <c r="DR26" s="78">
        <v>0</v>
      </c>
      <c r="DS26" s="78">
        <v>0</v>
      </c>
      <c r="DT26" s="74">
        <v>4909</v>
      </c>
      <c r="DU26" s="78">
        <v>3</v>
      </c>
      <c r="DV26" s="81">
        <v>7.17</v>
      </c>
      <c r="DW26" s="89">
        <v>12871</v>
      </c>
      <c r="DX26" s="81">
        <v>0</v>
      </c>
      <c r="DY26" s="89">
        <v>62789</v>
      </c>
      <c r="DZ26" s="81">
        <v>0</v>
      </c>
      <c r="EA26" s="90">
        <v>15599</v>
      </c>
      <c r="EB26" s="81">
        <v>0</v>
      </c>
      <c r="EC26" s="90">
        <v>24679</v>
      </c>
      <c r="ED26" s="81">
        <v>0</v>
      </c>
      <c r="EE26" s="90">
        <v>2</v>
      </c>
      <c r="EF26" s="91">
        <v>6</v>
      </c>
      <c r="EG26" s="85">
        <v>1.4999999999999999E-2</v>
      </c>
      <c r="EH26" s="109"/>
      <c r="EI26" s="68"/>
      <c r="EJ26" s="68"/>
      <c r="EK26"/>
      <c r="EL26"/>
      <c r="EM26"/>
    </row>
    <row r="27" spans="1:144" s="21" customFormat="1" ht="15.75" thickBot="1" x14ac:dyDescent="0.3">
      <c r="A27" s="68">
        <v>44279</v>
      </c>
      <c r="B27" s="74">
        <v>6616216</v>
      </c>
      <c r="C27" s="70">
        <v>7405</v>
      </c>
      <c r="D27" s="74">
        <v>5858878</v>
      </c>
      <c r="E27" s="70">
        <v>6986</v>
      </c>
      <c r="F27" s="71">
        <v>0.94341660999999999</v>
      </c>
      <c r="G27" s="71">
        <v>528</v>
      </c>
      <c r="H27" s="71">
        <v>478</v>
      </c>
      <c r="I27" s="93">
        <v>288023</v>
      </c>
      <c r="J27" s="73">
        <v>0</v>
      </c>
      <c r="K27" s="72">
        <v>774</v>
      </c>
      <c r="L27" s="70">
        <v>0</v>
      </c>
      <c r="M27" s="74">
        <v>633922</v>
      </c>
      <c r="N27" s="70">
        <v>0</v>
      </c>
      <c r="O27" s="74">
        <v>992</v>
      </c>
      <c r="P27" s="73">
        <v>0</v>
      </c>
      <c r="Q27" s="74">
        <v>2547339</v>
      </c>
      <c r="R27" s="73">
        <v>62</v>
      </c>
      <c r="S27" s="74">
        <v>2191629</v>
      </c>
      <c r="T27" s="73">
        <v>4</v>
      </c>
      <c r="U27" s="74">
        <v>109021</v>
      </c>
      <c r="V27" s="73">
        <v>50</v>
      </c>
      <c r="W27" s="89">
        <v>100</v>
      </c>
      <c r="X27" s="74">
        <v>152370</v>
      </c>
      <c r="Y27" s="73">
        <v>0</v>
      </c>
      <c r="Z27" s="71">
        <v>39564</v>
      </c>
      <c r="AA27" s="78">
        <v>5</v>
      </c>
      <c r="AB27" s="74">
        <v>1112</v>
      </c>
      <c r="AC27" s="102">
        <v>0</v>
      </c>
      <c r="AD27" s="74">
        <v>4575</v>
      </c>
      <c r="AE27" s="79">
        <v>26</v>
      </c>
      <c r="AF27" s="20"/>
      <c r="AG27" s="20"/>
      <c r="AH27" s="74">
        <v>580110</v>
      </c>
      <c r="AI27" s="73">
        <v>20</v>
      </c>
      <c r="AJ27" s="96">
        <v>467</v>
      </c>
      <c r="AK27" s="70">
        <v>0</v>
      </c>
      <c r="AL27" s="74">
        <v>52227</v>
      </c>
      <c r="AM27" s="77">
        <v>1</v>
      </c>
      <c r="AN27" s="74">
        <v>8911</v>
      </c>
      <c r="AO27" s="70">
        <v>0</v>
      </c>
      <c r="AP27" s="74">
        <v>10571</v>
      </c>
      <c r="AQ27" s="73">
        <v>0</v>
      </c>
      <c r="AR27" s="74">
        <v>14552</v>
      </c>
      <c r="AS27" s="70">
        <v>0</v>
      </c>
      <c r="AT27" s="74">
        <v>19369</v>
      </c>
      <c r="AU27" s="73">
        <v>0</v>
      </c>
      <c r="AV27" s="74">
        <v>20677</v>
      </c>
      <c r="AW27" s="78">
        <v>0</v>
      </c>
      <c r="AX27" s="74">
        <v>13871</v>
      </c>
      <c r="AY27" s="81">
        <v>0</v>
      </c>
      <c r="AZ27" s="74">
        <v>6217</v>
      </c>
      <c r="BA27" s="70">
        <v>0</v>
      </c>
      <c r="BB27" s="74">
        <v>26465</v>
      </c>
      <c r="BC27" s="70">
        <v>1</v>
      </c>
      <c r="BD27" s="74">
        <v>1115</v>
      </c>
      <c r="BE27" s="70">
        <v>0</v>
      </c>
      <c r="BF27" s="74">
        <v>4373</v>
      </c>
      <c r="BG27" s="70">
        <v>0</v>
      </c>
      <c r="BH27" s="74">
        <v>3636</v>
      </c>
      <c r="BI27" s="70">
        <v>0</v>
      </c>
      <c r="BJ27" s="78">
        <v>0</v>
      </c>
      <c r="BK27" s="78">
        <v>20</v>
      </c>
      <c r="BL27" s="74">
        <v>600720</v>
      </c>
      <c r="BM27" s="78">
        <v>30</v>
      </c>
      <c r="BN27" s="87">
        <v>706</v>
      </c>
      <c r="BO27" s="70">
        <v>0</v>
      </c>
      <c r="BP27" s="74">
        <v>778530</v>
      </c>
      <c r="BQ27" s="78">
        <v>30</v>
      </c>
      <c r="BR27" s="88">
        <v>6609</v>
      </c>
      <c r="BS27" s="78">
        <v>1</v>
      </c>
      <c r="BT27" s="81">
        <v>10</v>
      </c>
      <c r="BU27" s="78">
        <v>60</v>
      </c>
      <c r="BV27" s="82">
        <v>1</v>
      </c>
      <c r="BW27" s="74">
        <v>125</v>
      </c>
      <c r="BX27" s="83">
        <v>15594.96</v>
      </c>
      <c r="BY27" s="74"/>
      <c r="BZ27" s="103">
        <v>0</v>
      </c>
      <c r="CA27" s="74">
        <v>206462.2</v>
      </c>
      <c r="CB27" s="78">
        <v>0.2</v>
      </c>
      <c r="CC27" s="81">
        <v>1.1419999999999999</v>
      </c>
      <c r="CD27" s="74">
        <v>39</v>
      </c>
      <c r="CE27" s="104">
        <v>4202</v>
      </c>
      <c r="CF27" s="74">
        <v>38</v>
      </c>
      <c r="CG27" s="81">
        <v>4095</v>
      </c>
      <c r="CH27" s="74">
        <v>40</v>
      </c>
      <c r="CI27" s="105">
        <v>4310</v>
      </c>
      <c r="CJ27" s="106">
        <v>12607</v>
      </c>
      <c r="CK27" s="107">
        <v>108</v>
      </c>
      <c r="CL27" s="74"/>
      <c r="CM27" s="74">
        <v>34497.4</v>
      </c>
      <c r="CN27" s="78">
        <v>0.8</v>
      </c>
      <c r="CO27" s="81">
        <v>1.952</v>
      </c>
      <c r="CP27" s="74">
        <v>34300</v>
      </c>
      <c r="CQ27" s="78">
        <v>0</v>
      </c>
      <c r="CR27" s="81">
        <v>0</v>
      </c>
      <c r="CS27" s="74">
        <v>10235.6</v>
      </c>
      <c r="CT27" s="78">
        <v>0</v>
      </c>
      <c r="CU27" s="81">
        <v>0</v>
      </c>
      <c r="CV27" s="74">
        <v>832145</v>
      </c>
      <c r="CW27" s="78">
        <v>0</v>
      </c>
      <c r="CX27" s="81">
        <v>0</v>
      </c>
      <c r="CY27" s="74">
        <v>5966</v>
      </c>
      <c r="CZ27" s="78">
        <v>1</v>
      </c>
      <c r="DA27" s="81">
        <v>2.39</v>
      </c>
      <c r="DB27" s="74">
        <v>7420</v>
      </c>
      <c r="DC27" s="78">
        <v>0</v>
      </c>
      <c r="DD27" s="78">
        <v>0</v>
      </c>
      <c r="DE27" s="74">
        <v>3840</v>
      </c>
      <c r="DF27" s="78">
        <v>0</v>
      </c>
      <c r="DG27" s="78">
        <v>40</v>
      </c>
      <c r="DH27" s="74">
        <v>1855.9</v>
      </c>
      <c r="DI27" s="78">
        <v>0</v>
      </c>
      <c r="DJ27" s="78">
        <v>0</v>
      </c>
      <c r="DK27" s="74">
        <v>5081.7</v>
      </c>
      <c r="DL27" s="78">
        <v>0</v>
      </c>
      <c r="DM27" s="78">
        <v>0</v>
      </c>
      <c r="DN27" s="74">
        <v>4454.7</v>
      </c>
      <c r="DO27" s="78">
        <v>0</v>
      </c>
      <c r="DP27" s="78">
        <v>0</v>
      </c>
      <c r="DQ27" s="74">
        <v>5089.6000000000004</v>
      </c>
      <c r="DR27" s="78">
        <v>0</v>
      </c>
      <c r="DS27" s="78">
        <v>0</v>
      </c>
      <c r="DT27" s="74">
        <v>4916</v>
      </c>
      <c r="DU27" s="78">
        <v>7</v>
      </c>
      <c r="DV27" s="81">
        <v>16.73</v>
      </c>
      <c r="DW27" s="89">
        <v>12871</v>
      </c>
      <c r="DX27" s="81">
        <v>0</v>
      </c>
      <c r="DY27" s="89">
        <v>62789</v>
      </c>
      <c r="DZ27" s="81">
        <v>0</v>
      </c>
      <c r="EA27" s="90">
        <v>15599</v>
      </c>
      <c r="EB27" s="81">
        <v>0</v>
      </c>
      <c r="EC27" s="90">
        <v>24679</v>
      </c>
      <c r="ED27" s="81">
        <v>0</v>
      </c>
      <c r="EE27" s="90">
        <v>3</v>
      </c>
      <c r="EF27" s="91">
        <v>7</v>
      </c>
      <c r="EG27" s="85">
        <v>2.3E-2</v>
      </c>
      <c r="EH27" s="109"/>
      <c r="EI27" s="68"/>
      <c r="EJ27" s="68"/>
      <c r="EK27"/>
      <c r="EL27"/>
      <c r="EM27"/>
    </row>
    <row r="28" spans="1:144" s="21" customFormat="1" ht="15.75" thickBot="1" x14ac:dyDescent="0.3">
      <c r="A28" s="68">
        <v>44280</v>
      </c>
      <c r="B28" s="74">
        <v>6623580</v>
      </c>
      <c r="C28" s="70">
        <v>7364</v>
      </c>
      <c r="D28" s="74">
        <v>5866051</v>
      </c>
      <c r="E28" s="70">
        <v>7173</v>
      </c>
      <c r="F28" s="71">
        <v>0.97406300899999998</v>
      </c>
      <c r="G28" s="71">
        <v>528</v>
      </c>
      <c r="H28" s="71">
        <v>478</v>
      </c>
      <c r="I28" s="93">
        <v>288023</v>
      </c>
      <c r="J28" s="73">
        <v>0</v>
      </c>
      <c r="K28" s="72">
        <v>774</v>
      </c>
      <c r="L28" s="70">
        <v>0</v>
      </c>
      <c r="M28" s="74">
        <v>633922</v>
      </c>
      <c r="N28" s="70">
        <v>0</v>
      </c>
      <c r="O28" s="74">
        <v>992</v>
      </c>
      <c r="P28" s="73">
        <v>0</v>
      </c>
      <c r="Q28" s="74">
        <v>2547368</v>
      </c>
      <c r="R28" s="73">
        <v>29</v>
      </c>
      <c r="S28" s="74">
        <v>2191630</v>
      </c>
      <c r="T28" s="73">
        <v>1</v>
      </c>
      <c r="U28" s="74">
        <v>109057</v>
      </c>
      <c r="V28" s="73">
        <v>36</v>
      </c>
      <c r="W28" s="89">
        <v>100</v>
      </c>
      <c r="X28" s="74">
        <v>152370</v>
      </c>
      <c r="Y28" s="73">
        <v>0</v>
      </c>
      <c r="Z28" s="71">
        <v>39567</v>
      </c>
      <c r="AA28" s="78">
        <v>3</v>
      </c>
      <c r="AB28" s="74">
        <v>1112</v>
      </c>
      <c r="AC28" s="102">
        <v>0</v>
      </c>
      <c r="AD28" s="74">
        <v>4575</v>
      </c>
      <c r="AE28" s="79">
        <v>0</v>
      </c>
      <c r="AF28" s="20"/>
      <c r="AG28" s="20"/>
      <c r="AH28" s="74">
        <v>580120</v>
      </c>
      <c r="AI28" s="73">
        <v>10</v>
      </c>
      <c r="AJ28" s="96">
        <v>467</v>
      </c>
      <c r="AK28" s="70">
        <v>0</v>
      </c>
      <c r="AL28" s="74">
        <v>52227</v>
      </c>
      <c r="AM28" s="77">
        <v>0</v>
      </c>
      <c r="AN28" s="74">
        <v>8911</v>
      </c>
      <c r="AO28" s="70">
        <v>0</v>
      </c>
      <c r="AP28" s="74">
        <v>10571</v>
      </c>
      <c r="AQ28" s="73">
        <v>0</v>
      </c>
      <c r="AR28" s="74">
        <v>14553</v>
      </c>
      <c r="AS28" s="70">
        <v>1</v>
      </c>
      <c r="AT28" s="74">
        <v>19369</v>
      </c>
      <c r="AU28" s="73">
        <v>0</v>
      </c>
      <c r="AV28" s="74">
        <v>20677</v>
      </c>
      <c r="AW28" s="78">
        <v>0</v>
      </c>
      <c r="AX28" s="74">
        <v>13871</v>
      </c>
      <c r="AY28" s="81">
        <v>0</v>
      </c>
      <c r="AZ28" s="74">
        <v>6217</v>
      </c>
      <c r="BA28" s="70">
        <v>0</v>
      </c>
      <c r="BB28" s="74">
        <v>26465</v>
      </c>
      <c r="BC28" s="70">
        <v>0</v>
      </c>
      <c r="BD28" s="74">
        <v>1115</v>
      </c>
      <c r="BE28" s="70">
        <v>0</v>
      </c>
      <c r="BF28" s="74">
        <v>4373</v>
      </c>
      <c r="BG28" s="70">
        <v>0</v>
      </c>
      <c r="BH28" s="74">
        <v>3636</v>
      </c>
      <c r="BI28" s="70">
        <v>0</v>
      </c>
      <c r="BJ28" s="78">
        <v>1</v>
      </c>
      <c r="BK28" s="78">
        <v>9</v>
      </c>
      <c r="BL28" s="74">
        <v>600730</v>
      </c>
      <c r="BM28" s="78">
        <v>10</v>
      </c>
      <c r="BN28" s="88">
        <v>706</v>
      </c>
      <c r="BO28" s="70">
        <v>0</v>
      </c>
      <c r="BP28" s="74">
        <v>778540</v>
      </c>
      <c r="BQ28" s="78">
        <v>10</v>
      </c>
      <c r="BR28" s="88">
        <v>6612</v>
      </c>
      <c r="BS28" s="78">
        <v>3</v>
      </c>
      <c r="BT28" s="81">
        <v>0</v>
      </c>
      <c r="BU28" s="78">
        <v>20</v>
      </c>
      <c r="BV28" s="82">
        <v>1</v>
      </c>
      <c r="BW28" s="74">
        <v>125</v>
      </c>
      <c r="BX28" s="83">
        <v>15594.96</v>
      </c>
      <c r="BY28" s="74"/>
      <c r="BZ28" s="103">
        <v>0</v>
      </c>
      <c r="CA28" s="74">
        <v>206462.4</v>
      </c>
      <c r="CB28" s="78">
        <v>0.2</v>
      </c>
      <c r="CC28" s="81">
        <v>1.1419999999999999</v>
      </c>
      <c r="CD28" s="74">
        <v>39</v>
      </c>
      <c r="CE28" s="104">
        <v>4202</v>
      </c>
      <c r="CF28" s="74">
        <v>38</v>
      </c>
      <c r="CG28" s="81">
        <v>4095</v>
      </c>
      <c r="CH28" s="74">
        <v>40</v>
      </c>
      <c r="CI28" s="105">
        <v>4310</v>
      </c>
      <c r="CJ28" s="106">
        <v>12607</v>
      </c>
      <c r="CK28" s="107">
        <v>0</v>
      </c>
      <c r="CL28" s="74"/>
      <c r="CM28" s="74">
        <v>34498.400000000001</v>
      </c>
      <c r="CN28" s="78">
        <v>1</v>
      </c>
      <c r="CO28" s="81">
        <v>2.44</v>
      </c>
      <c r="CP28" s="74">
        <v>34300</v>
      </c>
      <c r="CQ28" s="78">
        <v>0</v>
      </c>
      <c r="CR28" s="81">
        <v>0</v>
      </c>
      <c r="CS28" s="74">
        <v>10235.6</v>
      </c>
      <c r="CT28" s="78">
        <v>0</v>
      </c>
      <c r="CU28" s="81">
        <v>0</v>
      </c>
      <c r="CV28" s="74">
        <v>832145</v>
      </c>
      <c r="CW28" s="78">
        <v>0</v>
      </c>
      <c r="CX28" s="81">
        <v>0</v>
      </c>
      <c r="CY28" s="74">
        <v>5966</v>
      </c>
      <c r="CZ28" s="78">
        <v>0</v>
      </c>
      <c r="DA28" s="81">
        <v>0</v>
      </c>
      <c r="DB28" s="74">
        <v>7420</v>
      </c>
      <c r="DC28" s="78">
        <v>0</v>
      </c>
      <c r="DD28" s="78">
        <v>0</v>
      </c>
      <c r="DE28" s="74">
        <v>3840</v>
      </c>
      <c r="DF28" s="78">
        <v>0</v>
      </c>
      <c r="DG28" s="78">
        <v>0</v>
      </c>
      <c r="DH28" s="74">
        <v>1855.9</v>
      </c>
      <c r="DI28" s="78">
        <v>0</v>
      </c>
      <c r="DJ28" s="78">
        <v>0</v>
      </c>
      <c r="DK28" s="74">
        <v>5081.7</v>
      </c>
      <c r="DL28" s="78">
        <v>0</v>
      </c>
      <c r="DM28" s="78">
        <v>0</v>
      </c>
      <c r="DN28" s="74">
        <v>4454.7</v>
      </c>
      <c r="DO28" s="78">
        <v>0</v>
      </c>
      <c r="DP28" s="78">
        <v>0</v>
      </c>
      <c r="DQ28" s="74">
        <v>5089.6000000000004</v>
      </c>
      <c r="DR28" s="78">
        <v>0</v>
      </c>
      <c r="DS28" s="78">
        <v>0</v>
      </c>
      <c r="DT28" s="74">
        <v>4917.8999999999996</v>
      </c>
      <c r="DU28" s="78">
        <v>1.9</v>
      </c>
      <c r="DV28" s="81">
        <v>4.5410000000000004</v>
      </c>
      <c r="DW28" s="89">
        <v>12871</v>
      </c>
      <c r="DX28" s="81">
        <v>0</v>
      </c>
      <c r="DY28" s="89">
        <v>62789</v>
      </c>
      <c r="DZ28" s="81">
        <v>0</v>
      </c>
      <c r="EA28" s="90">
        <v>15599</v>
      </c>
      <c r="EB28" s="81">
        <v>0</v>
      </c>
      <c r="EC28" s="90">
        <v>24679</v>
      </c>
      <c r="ED28" s="81">
        <v>0</v>
      </c>
      <c r="EE28" s="90">
        <v>3</v>
      </c>
      <c r="EF28" s="91">
        <v>7</v>
      </c>
      <c r="EG28" s="85">
        <v>2.3E-2</v>
      </c>
      <c r="EH28" s="109"/>
      <c r="EI28" s="68"/>
      <c r="EJ28" s="68"/>
      <c r="EK28"/>
      <c r="EL28"/>
      <c r="EM28"/>
    </row>
    <row r="29" spans="1:144" s="21" customFormat="1" ht="15.75" thickBot="1" x14ac:dyDescent="0.3">
      <c r="A29" s="68">
        <v>44281</v>
      </c>
      <c r="B29" s="74">
        <v>6630196</v>
      </c>
      <c r="C29" s="70">
        <v>6616</v>
      </c>
      <c r="D29" s="74">
        <v>5872342</v>
      </c>
      <c r="E29" s="70">
        <v>6291</v>
      </c>
      <c r="F29" s="71">
        <v>0.95087666299999996</v>
      </c>
      <c r="G29" s="71">
        <v>528</v>
      </c>
      <c r="H29" s="71">
        <v>478</v>
      </c>
      <c r="I29" s="93">
        <v>288023</v>
      </c>
      <c r="J29" s="73">
        <v>0</v>
      </c>
      <c r="K29" s="72">
        <v>774</v>
      </c>
      <c r="L29" s="70">
        <v>0</v>
      </c>
      <c r="M29" s="74">
        <v>633922</v>
      </c>
      <c r="N29" s="70">
        <v>0</v>
      </c>
      <c r="O29" s="74">
        <v>992</v>
      </c>
      <c r="P29" s="73">
        <v>0</v>
      </c>
      <c r="Q29" s="74">
        <v>2547461</v>
      </c>
      <c r="R29" s="73">
        <v>93</v>
      </c>
      <c r="S29" s="74">
        <v>2191634</v>
      </c>
      <c r="T29" s="73">
        <v>4</v>
      </c>
      <c r="U29" s="74">
        <v>109088</v>
      </c>
      <c r="V29" s="73">
        <v>31</v>
      </c>
      <c r="W29" s="89">
        <v>100</v>
      </c>
      <c r="X29" s="74">
        <v>152370</v>
      </c>
      <c r="Y29" s="73">
        <v>0</v>
      </c>
      <c r="Z29" s="71">
        <v>39569</v>
      </c>
      <c r="AA29" s="78">
        <v>2</v>
      </c>
      <c r="AB29" s="74">
        <v>1112</v>
      </c>
      <c r="AC29" s="102">
        <v>0</v>
      </c>
      <c r="AD29" s="74">
        <v>4575</v>
      </c>
      <c r="AE29" s="79">
        <v>0</v>
      </c>
      <c r="AF29" s="20"/>
      <c r="AG29" s="20"/>
      <c r="AH29" s="74">
        <v>580120</v>
      </c>
      <c r="AI29" s="73">
        <v>0</v>
      </c>
      <c r="AJ29" s="96">
        <v>467</v>
      </c>
      <c r="AK29" s="70">
        <v>0</v>
      </c>
      <c r="AL29" s="74">
        <v>52227</v>
      </c>
      <c r="AM29" s="77">
        <v>0</v>
      </c>
      <c r="AN29" s="74">
        <v>8911</v>
      </c>
      <c r="AO29" s="70">
        <v>0</v>
      </c>
      <c r="AP29" s="74">
        <v>10571</v>
      </c>
      <c r="AQ29" s="73">
        <v>0</v>
      </c>
      <c r="AR29" s="74">
        <v>14553</v>
      </c>
      <c r="AS29" s="70">
        <v>0</v>
      </c>
      <c r="AT29" s="74">
        <v>19369</v>
      </c>
      <c r="AU29" s="73">
        <v>0</v>
      </c>
      <c r="AV29" s="74">
        <v>20677</v>
      </c>
      <c r="AW29" s="78">
        <v>0</v>
      </c>
      <c r="AX29" s="74">
        <v>13871</v>
      </c>
      <c r="AY29" s="81">
        <v>0</v>
      </c>
      <c r="AZ29" s="74">
        <v>6217</v>
      </c>
      <c r="BA29" s="70">
        <v>0</v>
      </c>
      <c r="BB29" s="74">
        <v>26466</v>
      </c>
      <c r="BC29" s="70">
        <v>1</v>
      </c>
      <c r="BD29" s="74">
        <v>1115</v>
      </c>
      <c r="BE29" s="70">
        <v>0</v>
      </c>
      <c r="BF29" s="74">
        <v>4373</v>
      </c>
      <c r="BG29" s="70">
        <v>0</v>
      </c>
      <c r="BH29" s="74">
        <v>3636</v>
      </c>
      <c r="BI29" s="70">
        <v>0</v>
      </c>
      <c r="BJ29" s="78">
        <v>0</v>
      </c>
      <c r="BK29" s="78">
        <v>0</v>
      </c>
      <c r="BL29" s="74">
        <v>600740</v>
      </c>
      <c r="BM29" s="78">
        <v>10</v>
      </c>
      <c r="BN29" s="88">
        <v>706</v>
      </c>
      <c r="BO29" s="70">
        <v>0</v>
      </c>
      <c r="BP29" s="74">
        <v>778540</v>
      </c>
      <c r="BQ29" s="78">
        <v>0</v>
      </c>
      <c r="BR29" s="88">
        <v>6613</v>
      </c>
      <c r="BS29" s="78">
        <v>1</v>
      </c>
      <c r="BT29" s="81">
        <v>0</v>
      </c>
      <c r="BU29" s="78">
        <v>10</v>
      </c>
      <c r="BV29" s="82">
        <v>0</v>
      </c>
      <c r="BW29" s="74">
        <v>125</v>
      </c>
      <c r="BX29" s="83">
        <v>15594.96</v>
      </c>
      <c r="BY29" s="74"/>
      <c r="BZ29" s="103">
        <v>0</v>
      </c>
      <c r="CA29" s="74">
        <v>206462.7</v>
      </c>
      <c r="CB29" s="78">
        <v>0.3</v>
      </c>
      <c r="CC29" s="81">
        <v>1.7130000000000001</v>
      </c>
      <c r="CD29" s="74">
        <v>39</v>
      </c>
      <c r="CE29" s="104">
        <v>4202</v>
      </c>
      <c r="CF29" s="74">
        <v>38</v>
      </c>
      <c r="CG29" s="81">
        <v>4095</v>
      </c>
      <c r="CH29" s="74">
        <v>40</v>
      </c>
      <c r="CI29" s="105">
        <v>4310</v>
      </c>
      <c r="CJ29" s="106">
        <v>12607</v>
      </c>
      <c r="CK29" s="107">
        <v>0</v>
      </c>
      <c r="CL29" s="74"/>
      <c r="CM29" s="74">
        <v>34499.5</v>
      </c>
      <c r="CN29" s="78">
        <v>1.1000000000000001</v>
      </c>
      <c r="CO29" s="81">
        <v>2.6840000000000002</v>
      </c>
      <c r="CP29" s="74">
        <v>34300</v>
      </c>
      <c r="CQ29" s="78">
        <v>0</v>
      </c>
      <c r="CR29" s="81">
        <v>0</v>
      </c>
      <c r="CS29" s="74">
        <v>10235.6</v>
      </c>
      <c r="CT29" s="78">
        <v>0</v>
      </c>
      <c r="CU29" s="81">
        <v>0</v>
      </c>
      <c r="CV29" s="74">
        <v>832145</v>
      </c>
      <c r="CW29" s="78">
        <v>0</v>
      </c>
      <c r="CX29" s="81">
        <v>0</v>
      </c>
      <c r="CY29" s="74">
        <v>5967</v>
      </c>
      <c r="CZ29" s="78">
        <v>1</v>
      </c>
      <c r="DA29" s="81">
        <v>2.39</v>
      </c>
      <c r="DB29" s="74">
        <v>7420</v>
      </c>
      <c r="DC29" s="78">
        <v>0</v>
      </c>
      <c r="DD29" s="78">
        <v>0</v>
      </c>
      <c r="DE29" s="74">
        <v>3840</v>
      </c>
      <c r="DF29" s="78">
        <v>0</v>
      </c>
      <c r="DG29" s="78">
        <v>0</v>
      </c>
      <c r="DH29" s="74">
        <v>1855.9</v>
      </c>
      <c r="DI29" s="78">
        <v>0</v>
      </c>
      <c r="DJ29" s="78">
        <v>0</v>
      </c>
      <c r="DK29" s="74">
        <v>5081.7</v>
      </c>
      <c r="DL29" s="78">
        <v>0</v>
      </c>
      <c r="DM29" s="78">
        <v>0</v>
      </c>
      <c r="DN29" s="74">
        <v>4454.7</v>
      </c>
      <c r="DO29" s="78">
        <v>0</v>
      </c>
      <c r="DP29" s="78">
        <v>0</v>
      </c>
      <c r="DQ29" s="74">
        <v>5089.6000000000004</v>
      </c>
      <c r="DR29" s="78">
        <v>0</v>
      </c>
      <c r="DS29" s="78">
        <v>0</v>
      </c>
      <c r="DT29" s="74">
        <v>4921.8999999999996</v>
      </c>
      <c r="DU29" s="78">
        <v>4</v>
      </c>
      <c r="DV29" s="81">
        <v>9.56</v>
      </c>
      <c r="DW29" s="89">
        <v>12871</v>
      </c>
      <c r="DX29" s="81">
        <v>0</v>
      </c>
      <c r="DY29" s="89">
        <v>62789</v>
      </c>
      <c r="DZ29" s="81">
        <v>0</v>
      </c>
      <c r="EA29" s="90">
        <v>15599</v>
      </c>
      <c r="EB29" s="81">
        <v>0</v>
      </c>
      <c r="EC29" s="90">
        <v>24679</v>
      </c>
      <c r="ED29" s="81">
        <v>0</v>
      </c>
      <c r="EE29" s="90">
        <v>3</v>
      </c>
      <c r="EF29" s="91">
        <v>7</v>
      </c>
      <c r="EG29" s="85">
        <v>2.3E-2</v>
      </c>
      <c r="EH29" s="109"/>
      <c r="EI29" s="68"/>
      <c r="EJ29" s="68"/>
      <c r="EK29"/>
      <c r="EL29"/>
      <c r="EM29"/>
    </row>
    <row r="30" spans="1:144" s="21" customFormat="1" ht="15.75" thickBot="1" x14ac:dyDescent="0.3">
      <c r="A30" s="68">
        <v>44282</v>
      </c>
      <c r="B30" s="74">
        <v>6636624</v>
      </c>
      <c r="C30" s="70">
        <v>6428</v>
      </c>
      <c r="D30" s="74">
        <v>5878472</v>
      </c>
      <c r="E30" s="70">
        <v>6130</v>
      </c>
      <c r="F30" s="71">
        <v>0.95364032399999998</v>
      </c>
      <c r="G30" s="71">
        <v>528</v>
      </c>
      <c r="H30" s="71">
        <v>478</v>
      </c>
      <c r="I30" s="93">
        <v>288023</v>
      </c>
      <c r="J30" s="73">
        <v>0</v>
      </c>
      <c r="K30" s="72">
        <v>774</v>
      </c>
      <c r="L30" s="70">
        <v>0</v>
      </c>
      <c r="M30" s="74">
        <v>633922</v>
      </c>
      <c r="N30" s="70">
        <v>0</v>
      </c>
      <c r="O30" s="74">
        <v>992</v>
      </c>
      <c r="P30" s="73">
        <v>0</v>
      </c>
      <c r="Q30" s="74">
        <v>2547523</v>
      </c>
      <c r="R30" s="73">
        <v>62</v>
      </c>
      <c r="S30" s="74">
        <v>2191636</v>
      </c>
      <c r="T30" s="73">
        <v>2</v>
      </c>
      <c r="U30" s="74">
        <v>109122</v>
      </c>
      <c r="V30" s="73">
        <v>34</v>
      </c>
      <c r="W30" s="89">
        <v>100</v>
      </c>
      <c r="X30" s="74">
        <v>152370</v>
      </c>
      <c r="Y30" s="73">
        <v>0</v>
      </c>
      <c r="Z30" s="74">
        <v>39569</v>
      </c>
      <c r="AA30" s="78">
        <v>0</v>
      </c>
      <c r="AB30" s="74">
        <v>1112</v>
      </c>
      <c r="AC30" s="102">
        <v>0</v>
      </c>
      <c r="AD30" s="74">
        <v>4575</v>
      </c>
      <c r="AE30" s="79">
        <v>0</v>
      </c>
      <c r="AF30" s="20"/>
      <c r="AG30" s="20"/>
      <c r="AH30" s="74">
        <v>580120</v>
      </c>
      <c r="AI30" s="73">
        <v>0</v>
      </c>
      <c r="AJ30" s="96">
        <v>467</v>
      </c>
      <c r="AK30" s="70">
        <v>0</v>
      </c>
      <c r="AL30" s="74">
        <v>52227</v>
      </c>
      <c r="AM30" s="77">
        <v>0</v>
      </c>
      <c r="AN30" s="74">
        <v>8911</v>
      </c>
      <c r="AO30" s="70">
        <v>0</v>
      </c>
      <c r="AP30" s="74">
        <v>10571</v>
      </c>
      <c r="AQ30" s="73">
        <v>0</v>
      </c>
      <c r="AR30" s="74">
        <v>14553</v>
      </c>
      <c r="AS30" s="70">
        <v>0</v>
      </c>
      <c r="AT30" s="74">
        <v>19369</v>
      </c>
      <c r="AU30" s="73">
        <v>0</v>
      </c>
      <c r="AV30" s="74">
        <v>20677</v>
      </c>
      <c r="AW30" s="78">
        <v>0</v>
      </c>
      <c r="AX30" s="74">
        <v>13871</v>
      </c>
      <c r="AY30" s="81">
        <v>0</v>
      </c>
      <c r="AZ30" s="74">
        <v>6217</v>
      </c>
      <c r="BA30" s="70">
        <v>0</v>
      </c>
      <c r="BB30" s="74">
        <v>26466</v>
      </c>
      <c r="BC30" s="70">
        <v>0</v>
      </c>
      <c r="BD30" s="74">
        <v>1115</v>
      </c>
      <c r="BE30" s="70">
        <v>0</v>
      </c>
      <c r="BF30" s="74">
        <v>4373</v>
      </c>
      <c r="BG30" s="70">
        <v>0</v>
      </c>
      <c r="BH30" s="74">
        <v>3636</v>
      </c>
      <c r="BI30" s="70">
        <v>0</v>
      </c>
      <c r="BJ30" s="78">
        <v>0</v>
      </c>
      <c r="BK30" s="78">
        <v>0</v>
      </c>
      <c r="BL30" s="74">
        <v>600770</v>
      </c>
      <c r="BM30" s="78">
        <v>30</v>
      </c>
      <c r="BN30" s="88">
        <v>707</v>
      </c>
      <c r="BO30" s="70">
        <v>1</v>
      </c>
      <c r="BP30" s="74">
        <v>778550</v>
      </c>
      <c r="BQ30" s="78">
        <v>10</v>
      </c>
      <c r="BR30" s="88">
        <v>6615</v>
      </c>
      <c r="BS30" s="78">
        <v>2</v>
      </c>
      <c r="BT30" s="81">
        <v>10</v>
      </c>
      <c r="BU30" s="78">
        <v>40</v>
      </c>
      <c r="BV30" s="82">
        <v>0</v>
      </c>
      <c r="BW30" s="74">
        <v>125</v>
      </c>
      <c r="BX30" s="83">
        <v>15594.96</v>
      </c>
      <c r="BY30" s="74"/>
      <c r="BZ30" s="103">
        <v>0</v>
      </c>
      <c r="CA30" s="74">
        <v>206463</v>
      </c>
      <c r="CB30" s="78">
        <v>0.3</v>
      </c>
      <c r="CC30" s="81">
        <v>1.7130000000000001</v>
      </c>
      <c r="CD30" s="71">
        <v>39</v>
      </c>
      <c r="CE30" s="104">
        <v>4202</v>
      </c>
      <c r="CF30" s="71">
        <v>38</v>
      </c>
      <c r="CG30" s="81">
        <v>4095</v>
      </c>
      <c r="CH30" s="71">
        <v>40</v>
      </c>
      <c r="CI30" s="105">
        <v>4310</v>
      </c>
      <c r="CJ30" s="106">
        <v>12607</v>
      </c>
      <c r="CK30" s="107">
        <v>0</v>
      </c>
      <c r="CL30" s="74"/>
      <c r="CM30" s="74">
        <v>34499.800000000003</v>
      </c>
      <c r="CN30" s="78">
        <v>0.3</v>
      </c>
      <c r="CO30" s="81">
        <v>0.73199999999999998</v>
      </c>
      <c r="CP30" s="74">
        <v>34300</v>
      </c>
      <c r="CQ30" s="78">
        <v>0</v>
      </c>
      <c r="CR30" s="81">
        <v>0</v>
      </c>
      <c r="CS30" s="74">
        <v>10235.6</v>
      </c>
      <c r="CT30" s="78">
        <v>0</v>
      </c>
      <c r="CU30" s="81">
        <v>0</v>
      </c>
      <c r="CV30" s="74">
        <v>832145</v>
      </c>
      <c r="CW30" s="78">
        <v>0</v>
      </c>
      <c r="CX30" s="81">
        <v>0</v>
      </c>
      <c r="CY30" s="74">
        <v>5968</v>
      </c>
      <c r="CZ30" s="78">
        <v>1</v>
      </c>
      <c r="DA30" s="81">
        <v>2.39</v>
      </c>
      <c r="DB30" s="74">
        <v>7420</v>
      </c>
      <c r="DC30" s="78">
        <v>0</v>
      </c>
      <c r="DD30" s="78">
        <v>0</v>
      </c>
      <c r="DE30" s="74">
        <v>3840</v>
      </c>
      <c r="DF30" s="78">
        <v>0</v>
      </c>
      <c r="DG30" s="78">
        <v>0</v>
      </c>
      <c r="DH30" s="74">
        <v>1855.9</v>
      </c>
      <c r="DI30" s="78">
        <v>0</v>
      </c>
      <c r="DJ30" s="78">
        <v>0</v>
      </c>
      <c r="DK30" s="74">
        <v>5081.7</v>
      </c>
      <c r="DL30" s="78">
        <v>0</v>
      </c>
      <c r="DM30" s="78">
        <v>0</v>
      </c>
      <c r="DN30" s="74">
        <v>4454.7</v>
      </c>
      <c r="DO30" s="78">
        <v>0</v>
      </c>
      <c r="DP30" s="78">
        <v>0</v>
      </c>
      <c r="DQ30" s="74">
        <v>5089.6000000000004</v>
      </c>
      <c r="DR30" s="78"/>
      <c r="DS30" s="78">
        <v>0</v>
      </c>
      <c r="DT30" s="74">
        <v>4926</v>
      </c>
      <c r="DU30" s="78">
        <v>4.0999999999999996</v>
      </c>
      <c r="DV30" s="81">
        <v>9.7989999999999995</v>
      </c>
      <c r="DW30" s="89">
        <v>12871</v>
      </c>
      <c r="DX30" s="81">
        <v>0</v>
      </c>
      <c r="DY30" s="89">
        <v>62789</v>
      </c>
      <c r="DZ30" s="81">
        <v>0</v>
      </c>
      <c r="EA30" s="90">
        <v>15599</v>
      </c>
      <c r="EB30" s="81">
        <v>0</v>
      </c>
      <c r="EC30" s="90">
        <v>24679</v>
      </c>
      <c r="ED30" s="81">
        <v>0</v>
      </c>
      <c r="EE30" s="90">
        <v>3</v>
      </c>
      <c r="EF30" s="91">
        <v>7</v>
      </c>
      <c r="EG30" s="85">
        <v>2.3E-2</v>
      </c>
      <c r="EH30" s="68"/>
      <c r="EI30" s="68"/>
      <c r="EJ30" s="68"/>
      <c r="EK30"/>
      <c r="EL30"/>
      <c r="EM30"/>
    </row>
    <row r="31" spans="1:144" s="21" customFormat="1" ht="15.75" thickBot="1" x14ac:dyDescent="0.3">
      <c r="A31" s="68">
        <v>44283</v>
      </c>
      <c r="B31" s="74">
        <v>6643059</v>
      </c>
      <c r="C31" s="70">
        <v>6435</v>
      </c>
      <c r="D31" s="74">
        <v>5884608</v>
      </c>
      <c r="E31" s="70">
        <v>6136</v>
      </c>
      <c r="F31" s="71">
        <v>0.953535354</v>
      </c>
      <c r="G31" s="71">
        <v>528</v>
      </c>
      <c r="H31" s="71">
        <v>478</v>
      </c>
      <c r="I31" s="93">
        <v>288023</v>
      </c>
      <c r="J31" s="73">
        <v>0</v>
      </c>
      <c r="K31" s="72">
        <v>774</v>
      </c>
      <c r="L31" s="70">
        <v>0</v>
      </c>
      <c r="M31" s="74">
        <v>633922</v>
      </c>
      <c r="N31" s="70">
        <v>0</v>
      </c>
      <c r="O31" s="74">
        <v>992</v>
      </c>
      <c r="P31" s="73">
        <v>0</v>
      </c>
      <c r="Q31" s="74">
        <v>2547550</v>
      </c>
      <c r="R31" s="73">
        <v>27</v>
      </c>
      <c r="S31" s="74">
        <v>2191637</v>
      </c>
      <c r="T31" s="73">
        <v>1</v>
      </c>
      <c r="U31" s="74">
        <v>109155</v>
      </c>
      <c r="V31" s="73">
        <v>33</v>
      </c>
      <c r="W31" s="89">
        <v>100</v>
      </c>
      <c r="X31" s="74">
        <v>152370</v>
      </c>
      <c r="Y31" s="73">
        <v>0</v>
      </c>
      <c r="Z31" s="74">
        <v>39574</v>
      </c>
      <c r="AA31" s="78">
        <v>5</v>
      </c>
      <c r="AB31" s="74">
        <v>1112</v>
      </c>
      <c r="AC31" s="102">
        <v>0</v>
      </c>
      <c r="AD31" s="74">
        <v>4575</v>
      </c>
      <c r="AE31" s="79">
        <v>0</v>
      </c>
      <c r="AF31" s="20"/>
      <c r="AG31" s="20"/>
      <c r="AH31" s="74">
        <v>580130</v>
      </c>
      <c r="AI31" s="73">
        <v>10</v>
      </c>
      <c r="AJ31" s="96">
        <v>467</v>
      </c>
      <c r="AK31" s="70">
        <v>0</v>
      </c>
      <c r="AL31" s="74">
        <v>52227</v>
      </c>
      <c r="AM31" s="77">
        <v>0</v>
      </c>
      <c r="AN31" s="74">
        <v>8911</v>
      </c>
      <c r="AO31" s="70">
        <v>0</v>
      </c>
      <c r="AP31" s="74">
        <v>10571</v>
      </c>
      <c r="AQ31" s="73">
        <v>0</v>
      </c>
      <c r="AR31" s="74">
        <v>14553</v>
      </c>
      <c r="AS31" s="73">
        <v>0</v>
      </c>
      <c r="AT31" s="74">
        <v>19369</v>
      </c>
      <c r="AU31" s="73">
        <v>0</v>
      </c>
      <c r="AV31" s="74">
        <v>20677</v>
      </c>
      <c r="AW31" s="78">
        <v>0</v>
      </c>
      <c r="AX31" s="74">
        <v>13871</v>
      </c>
      <c r="AY31" s="81">
        <v>0</v>
      </c>
      <c r="AZ31" s="74">
        <v>6217</v>
      </c>
      <c r="BA31" s="70">
        <v>0</v>
      </c>
      <c r="BB31" s="74">
        <v>26466</v>
      </c>
      <c r="BC31" s="70">
        <v>0</v>
      </c>
      <c r="BD31" s="74">
        <v>1115</v>
      </c>
      <c r="BE31" s="70">
        <v>0</v>
      </c>
      <c r="BF31" s="74">
        <v>4373</v>
      </c>
      <c r="BG31" s="70">
        <v>0</v>
      </c>
      <c r="BH31" s="74">
        <v>3636</v>
      </c>
      <c r="BI31" s="70">
        <v>0</v>
      </c>
      <c r="BJ31" s="78">
        <v>0</v>
      </c>
      <c r="BK31" s="78">
        <v>10</v>
      </c>
      <c r="BL31" s="74">
        <v>600780</v>
      </c>
      <c r="BM31" s="78">
        <v>10</v>
      </c>
      <c r="BN31" s="88">
        <v>708</v>
      </c>
      <c r="BO31" s="70">
        <v>1</v>
      </c>
      <c r="BP31" s="74">
        <v>778560</v>
      </c>
      <c r="BQ31" s="78">
        <v>10</v>
      </c>
      <c r="BR31" s="88">
        <v>6615</v>
      </c>
      <c r="BS31" s="78">
        <v>0</v>
      </c>
      <c r="BT31" s="81">
        <v>0</v>
      </c>
      <c r="BU31" s="78">
        <v>20</v>
      </c>
      <c r="BV31" s="82">
        <v>0</v>
      </c>
      <c r="BW31" s="74">
        <v>125</v>
      </c>
      <c r="BX31" s="83">
        <v>15594.96</v>
      </c>
      <c r="BY31" s="74"/>
      <c r="BZ31" s="103">
        <v>0</v>
      </c>
      <c r="CA31" s="74">
        <v>206463.2</v>
      </c>
      <c r="CB31" s="78">
        <v>0.2</v>
      </c>
      <c r="CC31" s="81">
        <v>1.1419999999999999</v>
      </c>
      <c r="CD31" s="71">
        <v>39</v>
      </c>
      <c r="CE31" s="104">
        <v>4202</v>
      </c>
      <c r="CF31" s="71">
        <v>38</v>
      </c>
      <c r="CG31" s="81">
        <v>4095</v>
      </c>
      <c r="CH31" s="71">
        <v>40</v>
      </c>
      <c r="CI31" s="105">
        <v>4310</v>
      </c>
      <c r="CJ31" s="106">
        <v>12607</v>
      </c>
      <c r="CK31" s="107">
        <v>0</v>
      </c>
      <c r="CL31" s="74"/>
      <c r="CM31" s="74">
        <v>34500.300000000003</v>
      </c>
      <c r="CN31" s="78">
        <v>0.5</v>
      </c>
      <c r="CO31" s="81">
        <v>1.22</v>
      </c>
      <c r="CP31" s="74">
        <v>34300</v>
      </c>
      <c r="CQ31" s="78">
        <v>0</v>
      </c>
      <c r="CR31" s="81">
        <v>0</v>
      </c>
      <c r="CS31" s="74">
        <v>10235.6</v>
      </c>
      <c r="CT31" s="78">
        <v>0</v>
      </c>
      <c r="CU31" s="81">
        <v>0</v>
      </c>
      <c r="CV31" s="74">
        <v>832145</v>
      </c>
      <c r="CW31" s="78">
        <v>0</v>
      </c>
      <c r="CX31" s="81">
        <v>0</v>
      </c>
      <c r="CY31" s="74">
        <v>5968</v>
      </c>
      <c r="CZ31" s="78">
        <v>0</v>
      </c>
      <c r="DA31" s="81">
        <v>0</v>
      </c>
      <c r="DB31" s="74">
        <v>7420</v>
      </c>
      <c r="DC31" s="78">
        <v>0</v>
      </c>
      <c r="DD31" s="78">
        <v>0</v>
      </c>
      <c r="DE31" s="74">
        <v>3840</v>
      </c>
      <c r="DF31" s="78">
        <v>0</v>
      </c>
      <c r="DG31" s="78">
        <v>0</v>
      </c>
      <c r="DH31" s="74">
        <v>1855.9</v>
      </c>
      <c r="DI31" s="78">
        <v>0</v>
      </c>
      <c r="DJ31" s="78">
        <v>0</v>
      </c>
      <c r="DK31" s="74">
        <v>5081.7</v>
      </c>
      <c r="DL31" s="78">
        <v>0</v>
      </c>
      <c r="DM31" s="78">
        <v>0</v>
      </c>
      <c r="DN31" s="74">
        <v>4454.7</v>
      </c>
      <c r="DO31" s="78">
        <v>0</v>
      </c>
      <c r="DP31" s="78">
        <v>0</v>
      </c>
      <c r="DQ31" s="74">
        <v>5089.6000000000004</v>
      </c>
      <c r="DR31" s="78">
        <v>0</v>
      </c>
      <c r="DS31" s="78">
        <v>0</v>
      </c>
      <c r="DT31" s="74">
        <v>4927.8</v>
      </c>
      <c r="DU31" s="78">
        <v>1.8</v>
      </c>
      <c r="DV31" s="81">
        <v>4.3019999999999996</v>
      </c>
      <c r="DW31" s="89">
        <v>12871</v>
      </c>
      <c r="DX31" s="81">
        <v>0</v>
      </c>
      <c r="DY31" s="89">
        <v>62789</v>
      </c>
      <c r="DZ31" s="81">
        <v>0</v>
      </c>
      <c r="EA31" s="90">
        <v>15599</v>
      </c>
      <c r="EB31" s="81">
        <v>0</v>
      </c>
      <c r="EC31" s="90">
        <v>24679</v>
      </c>
      <c r="ED31" s="81">
        <v>0</v>
      </c>
      <c r="EE31" s="90">
        <v>3</v>
      </c>
      <c r="EF31" s="91">
        <v>7</v>
      </c>
      <c r="EG31" s="85">
        <v>2.3E-2</v>
      </c>
      <c r="EH31" s="68"/>
      <c r="EI31" s="68"/>
      <c r="EJ31" s="68"/>
      <c r="EK31"/>
      <c r="EL31"/>
      <c r="EM31"/>
    </row>
    <row r="32" spans="1:144" s="21" customFormat="1" ht="15.75" thickBot="1" x14ac:dyDescent="0.3">
      <c r="A32" s="68">
        <v>44284</v>
      </c>
      <c r="B32" s="74">
        <v>6649667</v>
      </c>
      <c r="C32" s="70">
        <v>6608</v>
      </c>
      <c r="D32" s="74">
        <v>5890862</v>
      </c>
      <c r="E32" s="70">
        <v>6254</v>
      </c>
      <c r="F32" s="71">
        <v>0.946428571</v>
      </c>
      <c r="G32" s="71">
        <v>528</v>
      </c>
      <c r="H32" s="71">
        <v>478</v>
      </c>
      <c r="I32" s="93">
        <v>288023</v>
      </c>
      <c r="J32" s="73">
        <v>0</v>
      </c>
      <c r="K32" s="72">
        <v>774</v>
      </c>
      <c r="L32" s="70">
        <v>0</v>
      </c>
      <c r="M32" s="74">
        <v>633922</v>
      </c>
      <c r="N32" s="70">
        <v>0</v>
      </c>
      <c r="O32" s="74">
        <v>992</v>
      </c>
      <c r="P32" s="73">
        <v>0</v>
      </c>
      <c r="Q32" s="74">
        <v>2547632</v>
      </c>
      <c r="R32" s="73">
        <v>82</v>
      </c>
      <c r="S32" s="74">
        <v>2191640</v>
      </c>
      <c r="T32" s="73">
        <v>3</v>
      </c>
      <c r="U32" s="74">
        <v>109187</v>
      </c>
      <c r="V32" s="73">
        <v>32</v>
      </c>
      <c r="W32" s="89">
        <v>100</v>
      </c>
      <c r="X32" s="74">
        <v>152370</v>
      </c>
      <c r="Y32" s="73">
        <v>0</v>
      </c>
      <c r="Z32" s="74">
        <v>39576</v>
      </c>
      <c r="AA32" s="78">
        <v>2</v>
      </c>
      <c r="AB32" s="74">
        <v>1112</v>
      </c>
      <c r="AC32" s="102">
        <v>0</v>
      </c>
      <c r="AD32" s="74">
        <v>4575</v>
      </c>
      <c r="AE32" s="73">
        <v>0</v>
      </c>
      <c r="AF32" s="74"/>
      <c r="AG32" s="73"/>
      <c r="AH32" s="74">
        <v>580130</v>
      </c>
      <c r="AI32" s="73">
        <v>0</v>
      </c>
      <c r="AJ32" s="96">
        <v>467</v>
      </c>
      <c r="AK32" s="73">
        <v>0</v>
      </c>
      <c r="AL32" s="74">
        <v>52227</v>
      </c>
      <c r="AM32" s="73">
        <v>0</v>
      </c>
      <c r="AN32" s="74">
        <v>8912</v>
      </c>
      <c r="AO32" s="73">
        <v>1</v>
      </c>
      <c r="AP32" s="74">
        <v>10571</v>
      </c>
      <c r="AQ32" s="73">
        <v>0</v>
      </c>
      <c r="AR32" s="74">
        <v>14553</v>
      </c>
      <c r="AS32" s="73">
        <v>0</v>
      </c>
      <c r="AT32" s="74">
        <v>19369</v>
      </c>
      <c r="AU32" s="73"/>
      <c r="AV32" s="74">
        <v>20677</v>
      </c>
      <c r="AW32" s="78">
        <v>0</v>
      </c>
      <c r="AX32" s="74">
        <v>13871</v>
      </c>
      <c r="AY32" s="81">
        <v>0</v>
      </c>
      <c r="AZ32" s="74">
        <v>6217</v>
      </c>
      <c r="BA32" s="73">
        <v>0</v>
      </c>
      <c r="BB32" s="74">
        <v>26468</v>
      </c>
      <c r="BC32" s="73">
        <v>2</v>
      </c>
      <c r="BD32" s="74">
        <v>1115</v>
      </c>
      <c r="BE32" s="73">
        <v>0</v>
      </c>
      <c r="BF32" s="74">
        <v>4373</v>
      </c>
      <c r="BG32" s="73">
        <v>0</v>
      </c>
      <c r="BH32" s="74">
        <v>3636</v>
      </c>
      <c r="BI32" s="73">
        <v>0</v>
      </c>
      <c r="BJ32" s="78">
        <v>0</v>
      </c>
      <c r="BK32" s="78">
        <v>0</v>
      </c>
      <c r="BL32" s="74">
        <v>600800</v>
      </c>
      <c r="BM32" s="78">
        <v>20</v>
      </c>
      <c r="BN32" s="88">
        <v>708</v>
      </c>
      <c r="BO32" s="81">
        <v>0</v>
      </c>
      <c r="BP32" s="74">
        <v>778560</v>
      </c>
      <c r="BQ32" s="78">
        <v>0</v>
      </c>
      <c r="BR32" s="88">
        <v>6615</v>
      </c>
      <c r="BS32" s="78">
        <v>0</v>
      </c>
      <c r="BT32" s="81">
        <v>0</v>
      </c>
      <c r="BU32" s="78">
        <v>20</v>
      </c>
      <c r="BV32" s="82">
        <v>1</v>
      </c>
      <c r="BW32" s="74">
        <v>125</v>
      </c>
      <c r="BX32" s="83">
        <v>15594.96</v>
      </c>
      <c r="BY32" s="74"/>
      <c r="BZ32" s="103">
        <v>0</v>
      </c>
      <c r="CA32" s="71">
        <v>206463.5</v>
      </c>
      <c r="CB32" s="78">
        <v>0.3</v>
      </c>
      <c r="CC32" s="81">
        <v>1.7130000000000001</v>
      </c>
      <c r="CD32" s="71">
        <v>39</v>
      </c>
      <c r="CE32" s="104">
        <v>4202</v>
      </c>
      <c r="CF32" s="71">
        <v>38</v>
      </c>
      <c r="CG32" s="81">
        <v>4095</v>
      </c>
      <c r="CH32" s="71">
        <v>40</v>
      </c>
      <c r="CI32" s="105">
        <v>4310</v>
      </c>
      <c r="CJ32" s="106">
        <v>12607</v>
      </c>
      <c r="CK32" s="107">
        <v>0</v>
      </c>
      <c r="CL32" s="74"/>
      <c r="CM32" s="74">
        <v>34501.4</v>
      </c>
      <c r="CN32" s="78">
        <v>1.1000000000000001</v>
      </c>
      <c r="CO32" s="81">
        <v>2.6840000000000002</v>
      </c>
      <c r="CP32" s="74">
        <v>34300</v>
      </c>
      <c r="CQ32" s="78">
        <v>0</v>
      </c>
      <c r="CR32" s="81">
        <v>0</v>
      </c>
      <c r="CS32" s="74">
        <v>10235.6</v>
      </c>
      <c r="CT32" s="78">
        <v>0</v>
      </c>
      <c r="CU32" s="81">
        <v>0</v>
      </c>
      <c r="CV32" s="74">
        <v>832145</v>
      </c>
      <c r="CW32" s="78">
        <v>0</v>
      </c>
      <c r="CX32" s="81">
        <v>0</v>
      </c>
      <c r="CY32" s="74">
        <v>5968</v>
      </c>
      <c r="CZ32" s="78">
        <v>0</v>
      </c>
      <c r="DA32" s="81">
        <v>0</v>
      </c>
      <c r="DB32" s="74">
        <v>7420</v>
      </c>
      <c r="DC32" s="78">
        <v>0</v>
      </c>
      <c r="DD32" s="78">
        <v>0</v>
      </c>
      <c r="DE32" s="74">
        <v>3840</v>
      </c>
      <c r="DF32" s="78">
        <v>0</v>
      </c>
      <c r="DG32" s="78">
        <v>0</v>
      </c>
      <c r="DH32" s="74">
        <v>1855.9</v>
      </c>
      <c r="DI32" s="78">
        <v>0</v>
      </c>
      <c r="DJ32" s="78">
        <v>0</v>
      </c>
      <c r="DK32" s="74">
        <v>5081.7</v>
      </c>
      <c r="DL32" s="78">
        <v>0</v>
      </c>
      <c r="DM32" s="78">
        <v>0</v>
      </c>
      <c r="DN32" s="74">
        <v>4454.7</v>
      </c>
      <c r="DO32" s="78">
        <v>0</v>
      </c>
      <c r="DP32" s="78">
        <v>0</v>
      </c>
      <c r="DQ32" s="74">
        <v>5089.6000000000004</v>
      </c>
      <c r="DR32" s="78">
        <v>0</v>
      </c>
      <c r="DS32" s="78">
        <v>0</v>
      </c>
      <c r="DT32" s="74">
        <v>4931.8999999999996</v>
      </c>
      <c r="DU32" s="78">
        <v>4.0999999999999996</v>
      </c>
      <c r="DV32" s="81">
        <v>9.7989999999999995</v>
      </c>
      <c r="DW32" s="89">
        <v>12871</v>
      </c>
      <c r="DX32" s="81">
        <v>30761.69</v>
      </c>
      <c r="DY32" s="89">
        <v>62789</v>
      </c>
      <c r="DZ32" s="81">
        <v>150065.71</v>
      </c>
      <c r="EA32" s="90">
        <v>15599</v>
      </c>
      <c r="EB32" s="81">
        <v>37281.61</v>
      </c>
      <c r="EC32" s="90">
        <v>24679</v>
      </c>
      <c r="ED32" s="81">
        <v>58982.81</v>
      </c>
      <c r="EE32" s="90">
        <v>3</v>
      </c>
      <c r="EF32" s="91">
        <v>7</v>
      </c>
      <c r="EG32" s="85">
        <v>2.3E-2</v>
      </c>
      <c r="EH32" s="68"/>
      <c r="EI32" s="68"/>
      <c r="EJ32" s="68"/>
      <c r="EK32"/>
      <c r="EL32"/>
      <c r="EM32"/>
    </row>
    <row r="33" spans="1:143" s="21" customFormat="1" ht="15.75" thickBot="1" x14ac:dyDescent="0.3">
      <c r="A33" s="68">
        <v>44285</v>
      </c>
      <c r="B33" s="74">
        <v>6656222</v>
      </c>
      <c r="C33" s="70">
        <v>6555</v>
      </c>
      <c r="D33" s="74">
        <v>5897099</v>
      </c>
      <c r="E33" s="70">
        <v>6237</v>
      </c>
      <c r="F33" s="71">
        <v>0.95148741400000003</v>
      </c>
      <c r="G33" s="71">
        <v>528</v>
      </c>
      <c r="H33" s="71">
        <v>478</v>
      </c>
      <c r="I33" s="93">
        <v>288023</v>
      </c>
      <c r="J33" s="73">
        <v>0</v>
      </c>
      <c r="K33" s="72">
        <v>774</v>
      </c>
      <c r="L33" s="70">
        <v>0</v>
      </c>
      <c r="M33" s="74">
        <v>633922</v>
      </c>
      <c r="N33" s="70">
        <v>0</v>
      </c>
      <c r="O33" s="74">
        <v>992</v>
      </c>
      <c r="P33" s="73">
        <v>0</v>
      </c>
      <c r="Q33" s="74">
        <v>2547730</v>
      </c>
      <c r="R33" s="73">
        <v>98</v>
      </c>
      <c r="S33" s="74">
        <v>2191643</v>
      </c>
      <c r="T33" s="73">
        <v>3</v>
      </c>
      <c r="U33" s="74">
        <v>109228</v>
      </c>
      <c r="V33" s="73">
        <v>41</v>
      </c>
      <c r="W33" s="89">
        <v>100</v>
      </c>
      <c r="X33" s="74">
        <v>152370</v>
      </c>
      <c r="Y33" s="73">
        <v>0</v>
      </c>
      <c r="Z33" s="74">
        <v>39576</v>
      </c>
      <c r="AA33" s="78">
        <v>0</v>
      </c>
      <c r="AB33" s="74">
        <v>1112</v>
      </c>
      <c r="AC33" s="102">
        <v>0</v>
      </c>
      <c r="AD33" s="74">
        <v>4575</v>
      </c>
      <c r="AE33" s="79">
        <v>0</v>
      </c>
      <c r="AF33" s="74"/>
      <c r="AG33" s="73"/>
      <c r="AH33" s="74">
        <v>580130</v>
      </c>
      <c r="AI33" s="73">
        <v>0</v>
      </c>
      <c r="AJ33" s="96">
        <v>467</v>
      </c>
      <c r="AK33" s="70">
        <v>0</v>
      </c>
      <c r="AL33" s="74">
        <v>52228</v>
      </c>
      <c r="AM33" s="77">
        <v>1</v>
      </c>
      <c r="AN33" s="74">
        <v>8912</v>
      </c>
      <c r="AO33" s="70">
        <v>0</v>
      </c>
      <c r="AP33" s="74">
        <v>10571</v>
      </c>
      <c r="AQ33" s="73">
        <v>0</v>
      </c>
      <c r="AR33" s="74">
        <v>14553</v>
      </c>
      <c r="AS33" s="73">
        <v>0</v>
      </c>
      <c r="AT33" s="74">
        <v>19369</v>
      </c>
      <c r="AU33" s="73"/>
      <c r="AV33" s="74">
        <v>20677</v>
      </c>
      <c r="AW33" s="78">
        <v>0</v>
      </c>
      <c r="AX33" s="74">
        <v>13871</v>
      </c>
      <c r="AY33" s="78">
        <v>0</v>
      </c>
      <c r="AZ33" s="74">
        <v>6217</v>
      </c>
      <c r="BA33" s="70">
        <v>0</v>
      </c>
      <c r="BB33" s="74">
        <v>26468</v>
      </c>
      <c r="BC33" s="70">
        <v>0</v>
      </c>
      <c r="BD33" s="74">
        <v>1115</v>
      </c>
      <c r="BE33" s="70">
        <v>0</v>
      </c>
      <c r="BF33" s="74">
        <v>4373</v>
      </c>
      <c r="BG33" s="70">
        <v>0</v>
      </c>
      <c r="BH33" s="74">
        <v>3636</v>
      </c>
      <c r="BI33" s="70">
        <v>0</v>
      </c>
      <c r="BJ33" s="78">
        <v>0</v>
      </c>
      <c r="BK33" s="78">
        <v>0</v>
      </c>
      <c r="BL33" s="74">
        <v>600830</v>
      </c>
      <c r="BM33" s="78">
        <v>30</v>
      </c>
      <c r="BN33" s="88">
        <v>709</v>
      </c>
      <c r="BO33" s="81">
        <v>0</v>
      </c>
      <c r="BP33" s="74">
        <v>778570</v>
      </c>
      <c r="BQ33" s="78">
        <v>10</v>
      </c>
      <c r="BR33" s="88">
        <v>6622</v>
      </c>
      <c r="BS33" s="78">
        <v>7</v>
      </c>
      <c r="BT33" s="81">
        <v>10</v>
      </c>
      <c r="BU33" s="78">
        <v>40</v>
      </c>
      <c r="BV33" s="82">
        <v>1</v>
      </c>
      <c r="BW33" s="74">
        <v>125</v>
      </c>
      <c r="BX33" s="83">
        <v>15594.96</v>
      </c>
      <c r="BY33" s="74"/>
      <c r="BZ33" s="103">
        <v>0</v>
      </c>
      <c r="CA33" s="71">
        <v>206464.3</v>
      </c>
      <c r="CB33" s="78">
        <v>0.8</v>
      </c>
      <c r="CC33" s="81">
        <v>4.5679999999999996</v>
      </c>
      <c r="CD33" s="71">
        <v>39</v>
      </c>
      <c r="CE33" s="104">
        <v>4202</v>
      </c>
      <c r="CF33" s="71">
        <v>38</v>
      </c>
      <c r="CG33" s="81">
        <v>4095</v>
      </c>
      <c r="CH33" s="71">
        <v>40</v>
      </c>
      <c r="CI33" s="105">
        <v>4310</v>
      </c>
      <c r="CJ33" s="106">
        <v>12607</v>
      </c>
      <c r="CK33" s="107">
        <v>0</v>
      </c>
      <c r="CL33" s="74"/>
      <c r="CM33" s="74">
        <v>34502.9</v>
      </c>
      <c r="CN33" s="78">
        <v>1.5</v>
      </c>
      <c r="CO33" s="81">
        <v>3.66</v>
      </c>
      <c r="CP33" s="74">
        <v>34300</v>
      </c>
      <c r="CQ33" s="78">
        <v>0</v>
      </c>
      <c r="CR33" s="81">
        <v>0</v>
      </c>
      <c r="CS33" s="74">
        <v>10235.6</v>
      </c>
      <c r="CT33" s="78">
        <v>0</v>
      </c>
      <c r="CU33" s="81">
        <v>0</v>
      </c>
      <c r="CV33" s="74">
        <v>832145</v>
      </c>
      <c r="CW33" s="78">
        <v>0</v>
      </c>
      <c r="CX33" s="81">
        <v>0</v>
      </c>
      <c r="CY33" s="74">
        <v>5969</v>
      </c>
      <c r="CZ33" s="78">
        <v>1</v>
      </c>
      <c r="DA33" s="81">
        <v>2.39</v>
      </c>
      <c r="DB33" s="74">
        <v>7420</v>
      </c>
      <c r="DC33" s="78">
        <v>0</v>
      </c>
      <c r="DD33" s="78">
        <v>0</v>
      </c>
      <c r="DE33" s="74">
        <v>3840</v>
      </c>
      <c r="DF33" s="78">
        <v>0</v>
      </c>
      <c r="DG33" s="78">
        <v>0</v>
      </c>
      <c r="DH33" s="74">
        <v>1855.9</v>
      </c>
      <c r="DI33" s="78">
        <v>0</v>
      </c>
      <c r="DJ33" s="78">
        <v>0</v>
      </c>
      <c r="DK33" s="74">
        <v>5081.7</v>
      </c>
      <c r="DL33" s="78">
        <v>0</v>
      </c>
      <c r="DM33" s="78">
        <v>0</v>
      </c>
      <c r="DN33" s="74">
        <v>4454.7</v>
      </c>
      <c r="DO33" s="78">
        <v>0</v>
      </c>
      <c r="DP33" s="78">
        <v>0</v>
      </c>
      <c r="DQ33" s="74">
        <v>5089.6000000000004</v>
      </c>
      <c r="DR33" s="78">
        <v>0</v>
      </c>
      <c r="DS33" s="78">
        <v>0</v>
      </c>
      <c r="DT33" s="74">
        <v>4938</v>
      </c>
      <c r="DU33" s="78">
        <v>6.1</v>
      </c>
      <c r="DV33" s="81">
        <v>14.579000000000001</v>
      </c>
      <c r="DW33" s="89">
        <v>12871</v>
      </c>
      <c r="DX33" s="81">
        <v>0</v>
      </c>
      <c r="DY33" s="89">
        <v>62789</v>
      </c>
      <c r="DZ33" s="81">
        <v>0</v>
      </c>
      <c r="EA33" s="90">
        <v>15588</v>
      </c>
      <c r="EB33" s="81">
        <v>0</v>
      </c>
      <c r="EC33" s="90">
        <v>24679</v>
      </c>
      <c r="ED33" s="81">
        <v>0</v>
      </c>
      <c r="EE33" s="90">
        <v>3</v>
      </c>
      <c r="EF33" s="91">
        <v>7</v>
      </c>
      <c r="EG33" s="85">
        <v>2.3E-2</v>
      </c>
      <c r="EH33" s="68"/>
      <c r="EI33" s="68"/>
      <c r="EJ33" s="68"/>
      <c r="EK33"/>
      <c r="EL33"/>
      <c r="EM33"/>
    </row>
    <row r="34" spans="1:143" s="21" customFormat="1" ht="15.75" thickBot="1" x14ac:dyDescent="0.3">
      <c r="A34" s="68"/>
      <c r="B34" s="69">
        <v>6662838</v>
      </c>
      <c r="C34" s="70">
        <v>6616</v>
      </c>
      <c r="D34" s="69">
        <v>5903454</v>
      </c>
      <c r="E34" s="70">
        <v>6355</v>
      </c>
      <c r="F34" s="71">
        <v>0.960550181</v>
      </c>
      <c r="G34" s="84">
        <v>528</v>
      </c>
      <c r="H34" s="101">
        <v>478</v>
      </c>
      <c r="I34" s="84">
        <v>288023</v>
      </c>
      <c r="J34" s="73">
        <v>0</v>
      </c>
      <c r="K34" s="69">
        <v>774</v>
      </c>
      <c r="L34" s="70">
        <v>0</v>
      </c>
      <c r="M34" s="69">
        <v>633922</v>
      </c>
      <c r="N34" s="70">
        <v>0</v>
      </c>
      <c r="O34" s="74">
        <v>992</v>
      </c>
      <c r="P34" s="73">
        <v>0</v>
      </c>
      <c r="Q34" s="69">
        <v>2547758</v>
      </c>
      <c r="R34" s="73">
        <v>28</v>
      </c>
      <c r="S34" s="69">
        <v>2191644</v>
      </c>
      <c r="T34" s="73">
        <v>1</v>
      </c>
      <c r="U34" s="69">
        <v>109262</v>
      </c>
      <c r="V34" s="73">
        <v>34</v>
      </c>
      <c r="W34" s="89">
        <v>100</v>
      </c>
      <c r="X34" s="74">
        <v>152370</v>
      </c>
      <c r="Y34" s="73">
        <v>0</v>
      </c>
      <c r="Z34" s="74">
        <v>39583</v>
      </c>
      <c r="AA34" s="78">
        <v>7</v>
      </c>
      <c r="AB34" s="74">
        <v>1112</v>
      </c>
      <c r="AC34" s="102">
        <v>0</v>
      </c>
      <c r="AD34" s="74">
        <v>4582</v>
      </c>
      <c r="AE34" s="79">
        <v>7</v>
      </c>
      <c r="AF34" s="69"/>
      <c r="AG34" s="73"/>
      <c r="AH34" s="69">
        <v>580130</v>
      </c>
      <c r="AI34" s="73">
        <v>0</v>
      </c>
      <c r="AJ34" s="80">
        <v>467</v>
      </c>
      <c r="AK34" s="70">
        <v>0</v>
      </c>
      <c r="AL34" s="69">
        <v>52228</v>
      </c>
      <c r="AM34" s="77">
        <v>0</v>
      </c>
      <c r="AN34" s="69">
        <v>8913</v>
      </c>
      <c r="AO34" s="70">
        <v>1</v>
      </c>
      <c r="AP34" s="69">
        <v>10571</v>
      </c>
      <c r="AQ34" s="73">
        <v>0</v>
      </c>
      <c r="AR34" s="69">
        <v>14553</v>
      </c>
      <c r="AS34" s="73">
        <v>0</v>
      </c>
      <c r="AT34" s="69">
        <v>19369</v>
      </c>
      <c r="AU34" s="77">
        <v>0</v>
      </c>
      <c r="AV34" s="69">
        <v>20677</v>
      </c>
      <c r="AW34" s="78">
        <v>0</v>
      </c>
      <c r="AX34" s="69">
        <v>13871</v>
      </c>
      <c r="AY34" s="78">
        <v>0</v>
      </c>
      <c r="AZ34" s="69">
        <v>6218</v>
      </c>
      <c r="BA34" s="79">
        <v>0</v>
      </c>
      <c r="BB34" s="69">
        <v>26469</v>
      </c>
      <c r="BC34" s="70">
        <v>1</v>
      </c>
      <c r="BD34" s="69">
        <v>1115</v>
      </c>
      <c r="BE34" s="79">
        <v>0</v>
      </c>
      <c r="BF34" s="69">
        <v>4363</v>
      </c>
      <c r="BG34" s="79">
        <v>0</v>
      </c>
      <c r="BH34" s="69">
        <v>3636</v>
      </c>
      <c r="BI34" s="70">
        <v>0</v>
      </c>
      <c r="BJ34" s="78">
        <v>0</v>
      </c>
      <c r="BK34" s="78">
        <v>0</v>
      </c>
      <c r="BL34" s="74">
        <v>600840</v>
      </c>
      <c r="BM34" s="78">
        <v>10</v>
      </c>
      <c r="BN34" s="88">
        <v>709</v>
      </c>
      <c r="BO34" s="81">
        <v>0</v>
      </c>
      <c r="BP34" s="74">
        <v>778580</v>
      </c>
      <c r="BQ34" s="78">
        <v>10</v>
      </c>
      <c r="BR34" s="88">
        <v>6623</v>
      </c>
      <c r="BS34" s="78">
        <v>1</v>
      </c>
      <c r="BT34" s="81">
        <v>10</v>
      </c>
      <c r="BU34" s="78">
        <v>20</v>
      </c>
      <c r="BV34" s="82">
        <v>1</v>
      </c>
      <c r="BW34" s="69">
        <v>125</v>
      </c>
      <c r="BX34" s="83">
        <v>15594.96</v>
      </c>
      <c r="BY34" s="69"/>
      <c r="BZ34" s="103">
        <v>0</v>
      </c>
      <c r="CA34" s="84">
        <v>206465</v>
      </c>
      <c r="CB34" s="78">
        <v>0.7</v>
      </c>
      <c r="CC34" s="81">
        <v>3.9969999999999999</v>
      </c>
      <c r="CD34" s="84">
        <v>39</v>
      </c>
      <c r="CE34" s="104">
        <v>4202</v>
      </c>
      <c r="CF34" s="84">
        <v>38</v>
      </c>
      <c r="CG34" s="81">
        <v>4095</v>
      </c>
      <c r="CH34" s="84">
        <v>40</v>
      </c>
      <c r="CI34" s="105">
        <v>4310</v>
      </c>
      <c r="CJ34" s="106">
        <v>12607</v>
      </c>
      <c r="CK34" s="107">
        <v>0</v>
      </c>
      <c r="CL34" s="76"/>
      <c r="CM34" s="69">
        <v>34504.800000000003</v>
      </c>
      <c r="CN34" s="78">
        <v>1.9</v>
      </c>
      <c r="CO34" s="81">
        <v>4.6360000000000001</v>
      </c>
      <c r="CP34" s="69">
        <v>34300</v>
      </c>
      <c r="CQ34" s="78">
        <v>0</v>
      </c>
      <c r="CR34" s="81">
        <v>0</v>
      </c>
      <c r="CS34" s="74">
        <v>10235.6</v>
      </c>
      <c r="CT34" s="78">
        <v>0</v>
      </c>
      <c r="CU34" s="81">
        <v>0</v>
      </c>
      <c r="CV34" s="74">
        <v>832145</v>
      </c>
      <c r="CW34" s="78">
        <v>0</v>
      </c>
      <c r="CX34" s="81">
        <v>0</v>
      </c>
      <c r="CY34" s="69">
        <v>5970</v>
      </c>
      <c r="CZ34" s="78">
        <v>1</v>
      </c>
      <c r="DA34" s="81">
        <v>2.39</v>
      </c>
      <c r="DB34" s="69">
        <v>7420</v>
      </c>
      <c r="DC34" s="78">
        <v>0</v>
      </c>
      <c r="DD34" s="78">
        <v>0</v>
      </c>
      <c r="DE34" s="74">
        <v>3840</v>
      </c>
      <c r="DF34" s="78">
        <v>0</v>
      </c>
      <c r="DG34" s="78">
        <v>0</v>
      </c>
      <c r="DH34" s="69">
        <v>1855.9</v>
      </c>
      <c r="DI34" s="78">
        <v>0</v>
      </c>
      <c r="DJ34" s="78">
        <v>0</v>
      </c>
      <c r="DK34" s="69">
        <v>5081.7</v>
      </c>
      <c r="DL34" s="78">
        <v>0</v>
      </c>
      <c r="DM34" s="78">
        <v>0</v>
      </c>
      <c r="DN34" s="69">
        <v>4454.7</v>
      </c>
      <c r="DO34" s="78">
        <v>0</v>
      </c>
      <c r="DP34" s="78">
        <v>0</v>
      </c>
      <c r="DQ34" s="69">
        <v>5089.6000000000004</v>
      </c>
      <c r="DR34" s="78">
        <v>0</v>
      </c>
      <c r="DS34" s="78">
        <v>0</v>
      </c>
      <c r="DT34" s="69">
        <v>4939.8</v>
      </c>
      <c r="DU34" s="78">
        <v>1.8</v>
      </c>
      <c r="DV34" s="81">
        <v>4.3019999999999996</v>
      </c>
      <c r="DW34" s="69">
        <v>12871</v>
      </c>
      <c r="DX34" s="81">
        <v>0</v>
      </c>
      <c r="DY34" s="69">
        <v>62789</v>
      </c>
      <c r="DZ34" s="111">
        <v>0</v>
      </c>
      <c r="EA34" s="69">
        <v>15588</v>
      </c>
      <c r="EB34" s="111">
        <v>0</v>
      </c>
      <c r="EC34" s="69">
        <v>24679</v>
      </c>
      <c r="ED34" s="111">
        <v>0</v>
      </c>
      <c r="EE34" s="69">
        <v>3</v>
      </c>
      <c r="EF34" s="69">
        <v>7</v>
      </c>
      <c r="EG34" s="85">
        <v>2.3E-2</v>
      </c>
      <c r="EH34" s="68"/>
      <c r="EI34" s="68"/>
      <c r="EJ34" s="68"/>
      <c r="EK34"/>
      <c r="EL34"/>
      <c r="EM34"/>
    </row>
    <row r="35" spans="1:143" ht="15" x14ac:dyDescent="0.25">
      <c r="A35" s="75"/>
      <c r="B35" s="75"/>
      <c r="C35" s="97">
        <f>SUM(C4:C34)</f>
        <v>210013</v>
      </c>
      <c r="D35" s="75"/>
      <c r="E35" s="97">
        <f>SUM(E4:E34)</f>
        <v>201858</v>
      </c>
      <c r="F35" s="75"/>
      <c r="G35" s="75"/>
      <c r="H35" s="97">
        <v>363.06666669999998</v>
      </c>
      <c r="I35" s="75"/>
      <c r="J35" s="75"/>
      <c r="K35" s="75"/>
      <c r="L35" s="75"/>
      <c r="M35" s="75"/>
      <c r="N35" s="75"/>
      <c r="O35" s="75"/>
      <c r="P35" s="75"/>
      <c r="Q35" s="75"/>
      <c r="R35" s="97">
        <f>SUM(R4:R34)</f>
        <v>2134</v>
      </c>
      <c r="S35" s="75"/>
      <c r="T35" s="97">
        <f>SUM(T4:T34)</f>
        <v>119</v>
      </c>
      <c r="U35" s="75"/>
      <c r="V35" s="97">
        <f>SUM(V4:V34)</f>
        <v>1294</v>
      </c>
      <c r="W35" s="75"/>
      <c r="X35" s="75"/>
      <c r="Y35" s="97">
        <f>SUM(Y4:Y34)</f>
        <v>0</v>
      </c>
      <c r="AA35" s="75"/>
      <c r="AB35" s="75"/>
      <c r="AC35" s="97">
        <f>SUM(AC4:AC34)</f>
        <v>2</v>
      </c>
      <c r="AE35" s="75"/>
      <c r="AF35" s="75"/>
      <c r="AG35" s="75"/>
      <c r="AH35" s="75"/>
      <c r="AI35" s="97">
        <f>SUM(AI4:AI34)</f>
        <v>270</v>
      </c>
      <c r="AK35" s="97">
        <f t="shared" ref="AK35" si="0">SUM(AK4:AK34)</f>
        <v>9</v>
      </c>
      <c r="AM35" s="97">
        <f t="shared" ref="AM35" si="1">SUM(AM4:AM34)</f>
        <v>12</v>
      </c>
      <c r="AO35" s="97">
        <f t="shared" ref="AO35" si="2">SUM(AO4:AO34)</f>
        <v>4</v>
      </c>
      <c r="AQ35" s="97">
        <f t="shared" ref="AQ35" si="3">SUM(AQ4:AQ34)</f>
        <v>0</v>
      </c>
      <c r="AS35" s="97">
        <f t="shared" ref="AS35" si="4">SUM(AS4:AS34)</f>
        <v>6</v>
      </c>
      <c r="AU35" s="97">
        <f t="shared" ref="AU35" si="5">SUM(AU4:AU34)</f>
        <v>0</v>
      </c>
      <c r="AW35" s="97">
        <f t="shared" ref="AW35" si="6">SUM(AW4:AW34)</f>
        <v>0</v>
      </c>
      <c r="AY35" s="97">
        <f t="shared" ref="AY35" si="7">SUM(AY4:AY34)</f>
        <v>0</v>
      </c>
      <c r="BA35" s="97">
        <f t="shared" ref="BA35" si="8">SUM(BA4:BA34)</f>
        <v>28</v>
      </c>
      <c r="BC35" s="97">
        <f t="shared" ref="BC35" si="9">SUM(BC4:BC34)</f>
        <v>14</v>
      </c>
      <c r="BE35" s="97">
        <f t="shared" ref="BE35" si="10">SUM(BE4:BE34)</f>
        <v>0</v>
      </c>
      <c r="BG35" s="97">
        <f t="shared" ref="BG35" si="11">SUM(BG4:BG34)</f>
        <v>4</v>
      </c>
      <c r="BI35" s="97">
        <f t="shared" ref="BI35" si="12">SUM(BI4:BI34)</f>
        <v>0</v>
      </c>
      <c r="BJ35" s="97">
        <v>934</v>
      </c>
      <c r="BK35" s="75"/>
      <c r="BL35" s="75"/>
      <c r="BM35" s="97">
        <f t="shared" ref="BM35" si="13">SUM(BM4:BM34)</f>
        <v>610</v>
      </c>
      <c r="BN35" s="75"/>
      <c r="BO35" s="97">
        <f t="shared" ref="BO35" si="14">SUM(BO4:BO34)</f>
        <v>32</v>
      </c>
      <c r="BP35" s="75"/>
      <c r="BQ35" s="97">
        <f t="shared" ref="BQ35" si="15">SUM(BQ4:BQ34)</f>
        <v>460</v>
      </c>
      <c r="BS35" s="97">
        <f t="shared" ref="BS35" si="16">SUM(BS4:BS34)</f>
        <v>136</v>
      </c>
      <c r="BT35" s="97">
        <f t="shared" ref="BT35" si="17">SUM(BT4:BT34)</f>
        <v>190</v>
      </c>
      <c r="BU35" s="97">
        <f t="shared" ref="BU35" si="18">SUM(BU4:BU34)</f>
        <v>1070</v>
      </c>
      <c r="BV35" s="97">
        <f t="shared" ref="BV35" si="19">SUM(BV4:BV34)</f>
        <v>50</v>
      </c>
      <c r="BW35" s="15"/>
      <c r="BX35" s="75"/>
      <c r="BY35" s="75"/>
      <c r="BZ35" s="97">
        <f t="shared" ref="BZ35" si="20">SUM(BZ4:BZ34)</f>
        <v>0</v>
      </c>
      <c r="CB35" s="97">
        <f t="shared" ref="CB35:CC35" si="21">SUM(CB4:CB34)</f>
        <v>35</v>
      </c>
      <c r="CC35" s="97">
        <f t="shared" si="21"/>
        <v>199.84999999999997</v>
      </c>
      <c r="CK35" s="97">
        <f t="shared" ref="CK35" si="22">SUM(CK4:CK34)</f>
        <v>1296</v>
      </c>
      <c r="CL35" s="75"/>
      <c r="CN35" s="97">
        <f t="shared" ref="CN35:CO35" si="23">SUM(CN4:CN34)</f>
        <v>34.800000000000004</v>
      </c>
      <c r="CO35" s="97">
        <f t="shared" si="23"/>
        <v>84.911999999999964</v>
      </c>
      <c r="CQ35" s="97">
        <f t="shared" ref="CQ35" si="24">SUM(CQ4:CQ34)</f>
        <v>0</v>
      </c>
      <c r="CR35" s="97">
        <f t="shared" ref="CR35" si="25">SUM(CR4:CR34)</f>
        <v>0</v>
      </c>
      <c r="CT35" s="97">
        <f t="shared" ref="CT35" si="26">SUM(CT4:CT34)</f>
        <v>0</v>
      </c>
      <c r="CU35" s="97">
        <f t="shared" ref="CU35" si="27">SUM(CU4:CU34)</f>
        <v>0</v>
      </c>
      <c r="CW35" s="97">
        <f t="shared" ref="CW35" si="28">SUM(CW4:CW34)</f>
        <v>6</v>
      </c>
      <c r="CX35" s="97">
        <f t="shared" ref="CX35" si="29">SUM(CX4:CX34)</f>
        <v>14.639999999999999</v>
      </c>
      <c r="CZ35" s="97">
        <f t="shared" ref="CZ35" si="30">SUM(CZ4:CZ34)</f>
        <v>20</v>
      </c>
      <c r="DA35" s="97">
        <f t="shared" ref="DA35" si="31">SUM(DA4:DA34)</f>
        <v>47.800000000000004</v>
      </c>
      <c r="DC35" s="97">
        <f t="shared" ref="DC35" si="32">SUM(DC4:DC34)</f>
        <v>0</v>
      </c>
      <c r="DD35" s="97">
        <f t="shared" ref="DD35" si="33">SUM(DD4:DD34)</f>
        <v>0</v>
      </c>
      <c r="DF35" s="97">
        <f t="shared" ref="DF35" si="34">SUM(DF4:DF34)</f>
        <v>0</v>
      </c>
      <c r="DG35" s="97">
        <f t="shared" ref="DG35" si="35">SUM(DG4:DG34)</f>
        <v>40</v>
      </c>
      <c r="DI35" s="97">
        <f t="shared" ref="DI35" si="36">SUM(DI4:DI34)</f>
        <v>0</v>
      </c>
      <c r="DJ35" s="97">
        <f t="shared" ref="DJ35" si="37">SUM(DJ4:DJ34)</f>
        <v>0</v>
      </c>
      <c r="DL35" s="97">
        <f t="shared" ref="DL35" si="38">SUM(DL4:DL34)</f>
        <v>0</v>
      </c>
      <c r="DM35" s="97">
        <f t="shared" ref="DM35" si="39">SUM(DM4:DM34)</f>
        <v>0</v>
      </c>
      <c r="DO35" s="97">
        <f t="shared" ref="DO35" si="40">SUM(DO4:DO34)</f>
        <v>0</v>
      </c>
      <c r="DP35" s="97">
        <f t="shared" ref="DP35" si="41">SUM(DP4:DP34)</f>
        <v>0</v>
      </c>
      <c r="DR35" s="97">
        <f t="shared" ref="DR35" si="42">SUM(DR4:DR34)</f>
        <v>0</v>
      </c>
      <c r="DS35" s="97">
        <f t="shared" ref="DS35" si="43">SUM(DS4:DS34)</f>
        <v>0</v>
      </c>
      <c r="DU35" s="97">
        <f t="shared" ref="DU35" si="44">SUM(DU4:DU34)</f>
        <v>126.79999999999998</v>
      </c>
      <c r="DV35" s="97">
        <f t="shared" ref="DV35:DX35" si="45">SUM(DV4:DV34)</f>
        <v>303.05199999999996</v>
      </c>
      <c r="DW35" s="15"/>
      <c r="DX35" s="97">
        <f t="shared" si="45"/>
        <v>30761.69</v>
      </c>
      <c r="DY35" s="15"/>
      <c r="DZ35" s="97">
        <f t="shared" ref="DZ35" si="46">SUM(DZ4:DZ34)</f>
        <v>150065.71</v>
      </c>
      <c r="EA35" s="15"/>
      <c r="EB35" s="97">
        <f t="shared" ref="EB35" si="47">SUM(EB4:EB34)</f>
        <v>37281.61</v>
      </c>
      <c r="EC35" s="15"/>
      <c r="ED35" s="97">
        <f t="shared" ref="ED35" si="48">SUM(ED4:ED34)</f>
        <v>58982.81</v>
      </c>
      <c r="EE35" s="97">
        <f t="shared" ref="EE35" si="49">SUM(EE4:EE34)</f>
        <v>70</v>
      </c>
      <c r="EF35" s="97">
        <f t="shared" ref="EF35" si="50">SUM(EF4:EF34)</f>
        <v>194</v>
      </c>
      <c r="EG35" s="68"/>
      <c r="EH35" s="68"/>
      <c r="EI35" s="68"/>
      <c r="EJ35" s="68"/>
      <c r="EK35"/>
      <c r="EL35"/>
      <c r="EM35"/>
    </row>
    <row r="36" spans="1:143" ht="15" x14ac:dyDescent="0.25">
      <c r="S36" s="15"/>
      <c r="T36" s="14"/>
      <c r="BW36" s="15"/>
      <c r="BX36" s="15"/>
      <c r="BY36" s="15"/>
      <c r="BZ36" s="15"/>
      <c r="DW36" s="15"/>
      <c r="DX36" s="15"/>
      <c r="DY36" s="15"/>
      <c r="DZ36" s="15"/>
      <c r="EK36"/>
      <c r="EL36"/>
      <c r="EM36"/>
    </row>
    <row r="37" spans="1:143" x14ac:dyDescent="0.2">
      <c r="A37" s="24"/>
      <c r="B37" s="22"/>
      <c r="C37" s="25"/>
      <c r="D37" s="26"/>
      <c r="E37" s="25"/>
      <c r="F37" s="31"/>
      <c r="G37" s="31"/>
      <c r="H37" s="31"/>
      <c r="I37" s="31"/>
      <c r="J37" s="23"/>
      <c r="K37" s="31"/>
      <c r="L37" s="23"/>
    </row>
    <row r="38" spans="1:143" x14ac:dyDescent="0.2">
      <c r="A38" s="24"/>
      <c r="B38" s="22"/>
      <c r="C38" s="25"/>
      <c r="D38" s="26"/>
      <c r="E38" s="25"/>
      <c r="F38" s="31"/>
      <c r="G38" s="31"/>
      <c r="H38" s="31"/>
      <c r="I38" s="31"/>
      <c r="J38" s="23"/>
      <c r="K38" s="31"/>
      <c r="L38" s="23"/>
    </row>
    <row r="39" spans="1:143" x14ac:dyDescent="0.2">
      <c r="A39" s="24"/>
      <c r="B39" s="22"/>
      <c r="C39" s="25"/>
      <c r="D39" s="26"/>
      <c r="E39" s="25"/>
      <c r="F39" s="31"/>
      <c r="G39" s="31"/>
      <c r="H39" s="31"/>
      <c r="I39" s="31"/>
      <c r="J39" s="23"/>
      <c r="K39" s="31"/>
      <c r="L39" s="23"/>
    </row>
    <row r="40" spans="1:143" x14ac:dyDescent="0.2">
      <c r="A40" s="24"/>
      <c r="B40" s="22"/>
      <c r="C40" s="25"/>
      <c r="D40" s="26"/>
      <c r="E40" s="25"/>
      <c r="F40" s="31"/>
      <c r="G40" s="31"/>
      <c r="H40" s="31"/>
      <c r="I40" s="31"/>
      <c r="J40" s="23"/>
      <c r="K40" s="31"/>
      <c r="L40" s="23"/>
    </row>
    <row r="41" spans="1:143" x14ac:dyDescent="0.2">
      <c r="A41" s="24"/>
      <c r="B41" s="22"/>
      <c r="C41" s="25"/>
      <c r="D41" s="26"/>
      <c r="E41" s="25"/>
      <c r="F41" s="31"/>
      <c r="G41" s="31"/>
      <c r="H41" s="31"/>
      <c r="I41" s="31"/>
      <c r="J41" s="23"/>
      <c r="K41" s="31"/>
      <c r="L41" s="23"/>
    </row>
    <row r="42" spans="1:143" x14ac:dyDescent="0.2">
      <c r="A42" s="24"/>
      <c r="B42" s="22"/>
      <c r="C42" s="25"/>
      <c r="D42" s="26"/>
      <c r="E42" s="25"/>
      <c r="F42" s="31"/>
      <c r="G42" s="31"/>
      <c r="H42" s="31"/>
      <c r="I42" s="31"/>
      <c r="J42" s="23"/>
      <c r="K42" s="31"/>
      <c r="L42" s="23"/>
    </row>
    <row r="43" spans="1:143" x14ac:dyDescent="0.2">
      <c r="A43" s="24"/>
      <c r="B43" s="22"/>
      <c r="C43" s="25"/>
      <c r="D43" s="26"/>
      <c r="E43" s="25"/>
      <c r="F43" s="31"/>
      <c r="G43" s="31"/>
      <c r="H43" s="31"/>
      <c r="I43" s="31"/>
      <c r="J43" s="23"/>
      <c r="K43" s="31"/>
      <c r="L43" s="23"/>
    </row>
    <row r="44" spans="1:143" x14ac:dyDescent="0.2">
      <c r="A44" s="24"/>
      <c r="B44" s="22"/>
      <c r="C44" s="25"/>
      <c r="D44" s="26"/>
      <c r="E44" s="25"/>
      <c r="F44" s="31"/>
      <c r="G44" s="31"/>
      <c r="H44" s="31"/>
      <c r="I44" s="31"/>
      <c r="J44" s="23"/>
      <c r="K44" s="31"/>
      <c r="L44" s="23"/>
    </row>
    <row r="45" spans="1:143" ht="39.75" customHeight="1" x14ac:dyDescent="0.2">
      <c r="A45" s="24"/>
      <c r="B45" s="22"/>
      <c r="C45" s="25"/>
      <c r="D45" s="26"/>
      <c r="E45" s="25"/>
      <c r="F45" s="31"/>
      <c r="G45" s="31"/>
      <c r="H45" s="31"/>
      <c r="I45" s="31"/>
      <c r="J45" s="23"/>
      <c r="K45" s="31"/>
      <c r="L45" s="23"/>
    </row>
    <row r="46" spans="1:143" x14ac:dyDescent="0.2">
      <c r="A46" s="24"/>
      <c r="B46" s="22"/>
      <c r="C46" s="25"/>
      <c r="D46" s="26"/>
      <c r="E46" s="25"/>
      <c r="F46" s="31"/>
      <c r="G46" s="31"/>
      <c r="H46" s="31"/>
      <c r="I46" s="31"/>
      <c r="J46" s="23"/>
      <c r="K46" s="31"/>
      <c r="L46" s="23"/>
    </row>
    <row r="47" spans="1:143" x14ac:dyDescent="0.2">
      <c r="A47" s="24"/>
      <c r="B47" s="22"/>
      <c r="C47" s="25"/>
      <c r="D47" s="26"/>
      <c r="E47" s="25"/>
      <c r="F47" s="31"/>
      <c r="G47" s="31"/>
      <c r="H47" s="31"/>
      <c r="I47" s="31"/>
      <c r="J47" s="23"/>
      <c r="K47" s="31"/>
      <c r="L47" s="23"/>
    </row>
    <row r="48" spans="1:143" x14ac:dyDescent="0.2">
      <c r="A48" s="24"/>
      <c r="B48" s="22"/>
      <c r="C48" s="25"/>
      <c r="D48" s="26"/>
      <c r="E48" s="25"/>
      <c r="F48" s="31"/>
      <c r="G48" s="31"/>
      <c r="H48" s="31"/>
      <c r="I48" s="31"/>
      <c r="J48" s="23"/>
      <c r="K48" s="31"/>
      <c r="L48" s="23"/>
    </row>
    <row r="49" spans="1:12" x14ac:dyDescent="0.2">
      <c r="A49" s="24"/>
      <c r="B49" s="22"/>
      <c r="C49" s="25"/>
      <c r="D49" s="26"/>
      <c r="E49" s="25"/>
      <c r="F49" s="31"/>
      <c r="G49" s="31"/>
      <c r="H49" s="31"/>
      <c r="I49" s="31"/>
      <c r="J49" s="23"/>
      <c r="K49" s="31"/>
      <c r="L49" s="23"/>
    </row>
    <row r="50" spans="1:12" x14ac:dyDescent="0.2">
      <c r="A50" s="24"/>
      <c r="B50" s="22"/>
      <c r="C50" s="25"/>
      <c r="D50" s="26"/>
      <c r="E50" s="25"/>
      <c r="F50" s="31"/>
      <c r="G50" s="31"/>
      <c r="H50" s="31"/>
      <c r="I50" s="31"/>
      <c r="J50" s="23"/>
      <c r="K50" s="31"/>
      <c r="L50" s="23"/>
    </row>
    <row r="51" spans="1:12" x14ac:dyDescent="0.2">
      <c r="A51" s="24"/>
      <c r="B51" s="22"/>
      <c r="C51" s="25"/>
      <c r="D51" s="26"/>
      <c r="E51" s="25"/>
      <c r="F51" s="31"/>
      <c r="G51" s="31"/>
      <c r="H51" s="31"/>
      <c r="I51" s="31"/>
      <c r="J51" s="23"/>
      <c r="K51" s="31"/>
      <c r="L51" s="23"/>
    </row>
    <row r="52" spans="1:12" x14ac:dyDescent="0.2">
      <c r="A52" s="24"/>
      <c r="B52" s="22"/>
      <c r="C52" s="25"/>
      <c r="D52" s="31"/>
      <c r="E52" s="25"/>
      <c r="F52" s="31"/>
      <c r="G52" s="31"/>
      <c r="H52" s="31"/>
      <c r="I52" s="31"/>
      <c r="J52" s="23"/>
      <c r="K52" s="31"/>
      <c r="L52" s="23"/>
    </row>
    <row r="53" spans="1:12" x14ac:dyDescent="0.2">
      <c r="A53" s="24"/>
      <c r="B53" s="22"/>
      <c r="C53" s="25"/>
      <c r="D53" s="31"/>
      <c r="E53" s="25"/>
      <c r="F53" s="31"/>
      <c r="G53" s="31"/>
      <c r="H53" s="31"/>
      <c r="I53" s="31"/>
      <c r="J53" s="23"/>
      <c r="K53" s="31"/>
      <c r="L53" s="23"/>
    </row>
    <row r="54" spans="1:12" x14ac:dyDescent="0.2">
      <c r="A54" s="24"/>
      <c r="B54" s="22"/>
      <c r="C54" s="25"/>
      <c r="D54" s="31"/>
      <c r="E54" s="25"/>
      <c r="F54" s="31"/>
      <c r="G54" s="31"/>
      <c r="H54" s="31"/>
      <c r="I54" s="31"/>
      <c r="J54" s="23"/>
      <c r="K54" s="31"/>
      <c r="L54" s="23"/>
    </row>
    <row r="55" spans="1:12" x14ac:dyDescent="0.2">
      <c r="A55" s="24"/>
      <c r="B55" s="22"/>
      <c r="C55" s="25"/>
      <c r="D55" s="31"/>
      <c r="E55" s="25"/>
      <c r="F55" s="31"/>
      <c r="G55" s="31"/>
      <c r="H55" s="31"/>
      <c r="I55" s="31"/>
      <c r="J55" s="23"/>
      <c r="K55" s="31"/>
      <c r="L55" s="23"/>
    </row>
    <row r="56" spans="1:12" x14ac:dyDescent="0.2">
      <c r="A56" s="31"/>
      <c r="B56" s="22"/>
      <c r="C56" s="25"/>
      <c r="D56" s="31"/>
      <c r="E56" s="25"/>
      <c r="F56" s="31"/>
      <c r="G56" s="31"/>
      <c r="H56" s="31"/>
      <c r="I56" s="31"/>
      <c r="J56" s="23"/>
      <c r="K56" s="31"/>
      <c r="L56" s="23"/>
    </row>
    <row r="57" spans="1:12" x14ac:dyDescent="0.2">
      <c r="A57" s="31"/>
      <c r="B57" s="22"/>
      <c r="C57" s="25"/>
      <c r="D57" s="31"/>
      <c r="E57" s="25"/>
      <c r="F57" s="31"/>
      <c r="G57" s="31"/>
      <c r="H57" s="31"/>
      <c r="I57" s="31"/>
      <c r="J57" s="23"/>
      <c r="K57" s="31"/>
      <c r="L57" s="23"/>
    </row>
    <row r="58" spans="1:12" x14ac:dyDescent="0.2">
      <c r="A58" s="31"/>
      <c r="B58" s="22"/>
      <c r="C58" s="25"/>
      <c r="D58" s="31"/>
      <c r="E58" s="25"/>
      <c r="F58" s="31"/>
      <c r="G58" s="31"/>
      <c r="H58" s="31"/>
      <c r="I58" s="31"/>
      <c r="J58" s="23"/>
      <c r="K58" s="31"/>
      <c r="L58" s="23"/>
    </row>
    <row r="59" spans="1:12" x14ac:dyDescent="0.2">
      <c r="A59" s="31"/>
      <c r="B59" s="22"/>
      <c r="C59" s="25"/>
      <c r="D59" s="31"/>
      <c r="E59" s="25"/>
      <c r="F59" s="31"/>
      <c r="G59" s="31"/>
      <c r="H59" s="31"/>
      <c r="I59" s="31"/>
      <c r="J59" s="23"/>
      <c r="K59" s="31"/>
      <c r="L59" s="23"/>
    </row>
    <row r="60" spans="1:12" x14ac:dyDescent="0.2">
      <c r="A60" s="31"/>
      <c r="B60" s="22"/>
      <c r="C60" s="25"/>
      <c r="D60" s="31"/>
      <c r="E60" s="25"/>
      <c r="F60" s="31"/>
      <c r="G60" s="31"/>
      <c r="H60" s="31"/>
      <c r="I60" s="31"/>
      <c r="J60" s="23"/>
      <c r="K60" s="31"/>
      <c r="L60" s="23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EH37:JK45 A37:EC44 ED36:EG44 EN35:JK36 AD35 BW35 CA35 BW36:EC36 CD35:CJ35 CM35 CP35 CS35 CV35 CY35 DB35 DE35 DH35 DK35 DN35 DQ35 DT35 DW35 DY35 EA35 EC35">
    <cfRule type="cellIs" dxfId="92" priority="6496" operator="lessThan">
      <formula>0</formula>
    </cfRule>
  </conditionalFormatting>
  <conditionalFormatting sqref="I36:J36">
    <cfRule type="cellIs" dxfId="91" priority="2729" operator="lessThan">
      <formula>0</formula>
    </cfRule>
  </conditionalFormatting>
  <conditionalFormatting sqref="M36:N36">
    <cfRule type="cellIs" dxfId="90" priority="2722" operator="lessThan">
      <formula>0</formula>
    </cfRule>
  </conditionalFormatting>
  <conditionalFormatting sqref="AJ36:AK36 AJ35 AL35 AN35 AP35 AR35 AT35 AV35 AX35 AZ35 BB35 BD35 BF35 BH35">
    <cfRule type="cellIs" dxfId="89" priority="2715" operator="lessThan">
      <formula>0</formula>
    </cfRule>
  </conditionalFormatting>
  <conditionalFormatting sqref="BN36:BO36">
    <cfRule type="cellIs" dxfId="88" priority="2705" operator="lessThan">
      <formula>0</formula>
    </cfRule>
  </conditionalFormatting>
  <conditionalFormatting sqref="BR36:BS36 BR35">
    <cfRule type="cellIs" dxfId="87" priority="2696" operator="lessThan">
      <formula>0</formula>
    </cfRule>
  </conditionalFormatting>
  <conditionalFormatting sqref="BU36:BV36">
    <cfRule type="cellIs" dxfId="86" priority="2685" operator="lessThan">
      <formula>0</formula>
    </cfRule>
  </conditionalFormatting>
  <conditionalFormatting sqref="EH36:EJ36">
    <cfRule type="cellIs" dxfId="85" priority="2674" operator="lessThan">
      <formula>0</formula>
    </cfRule>
  </conditionalFormatting>
  <conditionalFormatting sqref="A1:H1 L1 AL1:BN1 BP1:BQ1 AB1:AJ1 BT1:XFD1">
    <cfRule type="cellIs" dxfId="84" priority="2614" operator="lessThan">
      <formula>0</formula>
    </cfRule>
  </conditionalFormatting>
  <conditionalFormatting sqref="BR1">
    <cfRule type="cellIs" dxfId="83" priority="2613" operator="lessThan">
      <formula>0</formula>
    </cfRule>
  </conditionalFormatting>
  <conditionalFormatting sqref="Z1:AA1">
    <cfRule type="cellIs" dxfId="82" priority="2612" operator="lessThan">
      <formula>0</formula>
    </cfRule>
  </conditionalFormatting>
  <conditionalFormatting sqref="AB2:XFD2 EK4:EM17 EK18:EN18 EK19:EM19 EK35:EM36">
    <cfRule type="cellIs" dxfId="81" priority="2608" operator="lessThan">
      <formula>0</formula>
    </cfRule>
  </conditionalFormatting>
  <conditionalFormatting sqref="Z2:AA2">
    <cfRule type="cellIs" dxfId="80" priority="2551" operator="lessThan">
      <formula>0</formula>
    </cfRule>
  </conditionalFormatting>
  <conditionalFormatting sqref="EN4:XFD17 EN19:XFD19 EO18:XFD18">
    <cfRule type="cellIs" dxfId="79" priority="1555" operator="lessThan">
      <formula>0</formula>
    </cfRule>
  </conditionalFormatting>
  <conditionalFormatting sqref="EK20:EM32">
    <cfRule type="cellIs" dxfId="78" priority="212" operator="lessThan">
      <formula>0</formula>
    </cfRule>
  </conditionalFormatting>
  <conditionalFormatting sqref="EN20:XFD32">
    <cfRule type="cellIs" dxfId="77" priority="211" operator="lessThan">
      <formula>0</formula>
    </cfRule>
  </conditionalFormatting>
  <conditionalFormatting sqref="EK33:EM34">
    <cfRule type="cellIs" dxfId="76" priority="132" operator="lessThan">
      <formula>0</formula>
    </cfRule>
  </conditionalFormatting>
  <conditionalFormatting sqref="EN33:XFD34">
    <cfRule type="cellIs" dxfId="75" priority="131" operator="lessThan">
      <formula>0</formula>
    </cfRule>
  </conditionalFormatting>
  <conditionalFormatting sqref="EK3:EM3">
    <cfRule type="cellIs" dxfId="74" priority="130" operator="lessThan">
      <formula>0</formula>
    </cfRule>
  </conditionalFormatting>
  <conditionalFormatting sqref="EN3:XFD3">
    <cfRule type="cellIs" dxfId="73" priority="129" operator="lessThan">
      <formula>0</formula>
    </cfRule>
  </conditionalFormatting>
  <conditionalFormatting sqref="AF23:AG31">
    <cfRule type="cellIs" dxfId="72" priority="58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7">
        <f>'[1]Sep 2019'!R3</f>
        <v>2054945</v>
      </c>
    </row>
    <row r="4" spans="14:14" ht="13.5" thickBot="1" x14ac:dyDescent="0.25">
      <c r="N4" s="27">
        <f>'[1]Sep 2019'!R4</f>
        <v>2055440</v>
      </c>
    </row>
    <row r="5" spans="14:14" ht="13.5" thickBot="1" x14ac:dyDescent="0.25">
      <c r="N5" s="27">
        <f>'[1]Sep 2019'!R5</f>
        <v>2056149</v>
      </c>
    </row>
    <row r="6" spans="14:14" ht="13.5" thickBot="1" x14ac:dyDescent="0.25">
      <c r="N6" s="27">
        <f>'[1]Sep 2019'!R6</f>
        <v>2056651</v>
      </c>
    </row>
    <row r="7" spans="14:14" ht="13.5" thickBot="1" x14ac:dyDescent="0.25">
      <c r="N7" s="27">
        <f>'[1]Sep 2019'!R7</f>
        <v>2057174</v>
      </c>
    </row>
    <row r="8" spans="14:14" ht="13.5" thickBot="1" x14ac:dyDescent="0.25">
      <c r="N8" s="27">
        <f>'[1]Sep 2019'!R8</f>
        <v>2057715</v>
      </c>
    </row>
    <row r="9" spans="14:14" ht="13.5" thickBot="1" x14ac:dyDescent="0.25">
      <c r="N9" s="27">
        <f>'[1]Sep 2019'!R9</f>
        <v>2058246</v>
      </c>
    </row>
    <row r="10" spans="14:14" ht="13.5" thickBot="1" x14ac:dyDescent="0.25">
      <c r="N10" s="27">
        <f>'[1]Sep 2019'!R10</f>
        <v>2058780</v>
      </c>
    </row>
    <row r="11" spans="14:14" ht="13.5" thickBot="1" x14ac:dyDescent="0.25">
      <c r="N11" s="27">
        <f>'[1]Sep 2019'!R11</f>
        <v>2059332</v>
      </c>
    </row>
    <row r="12" spans="14:14" ht="13.5" thickBot="1" x14ac:dyDescent="0.25">
      <c r="N12" s="27">
        <f>'[1]Sep 2019'!R12</f>
        <v>2059908</v>
      </c>
    </row>
    <row r="13" spans="14:14" ht="13.5" thickBot="1" x14ac:dyDescent="0.25">
      <c r="N13" s="27">
        <f>'[1]Sep 2019'!R13</f>
        <v>2060432</v>
      </c>
    </row>
    <row r="14" spans="14:14" ht="13.5" thickBot="1" x14ac:dyDescent="0.25">
      <c r="N14" s="27">
        <f>'[1]Sep 2019'!R14</f>
        <v>2061086</v>
      </c>
    </row>
    <row r="15" spans="14:14" ht="13.5" thickBot="1" x14ac:dyDescent="0.25">
      <c r="N15" s="27">
        <f>'[1]Sep 2019'!R15</f>
        <v>2061615</v>
      </c>
    </row>
    <row r="16" spans="14:14" ht="13.5" thickBot="1" x14ac:dyDescent="0.25">
      <c r="N16" s="27">
        <f>'[1]Sep 2019'!R16</f>
        <v>2062113</v>
      </c>
    </row>
    <row r="17" spans="2:125" ht="13.5" thickBot="1" x14ac:dyDescent="0.25">
      <c r="N17" s="27">
        <f>'[1]Sep 2019'!R17</f>
        <v>2062731</v>
      </c>
    </row>
    <row r="18" spans="2:125" ht="13.5" thickBot="1" x14ac:dyDescent="0.25">
      <c r="N18" s="27">
        <f>'[1]Sep 2019'!R18</f>
        <v>2063291</v>
      </c>
      <c r="S18">
        <f>'[1]Sep 2019'!W18</f>
        <v>7</v>
      </c>
      <c r="DU18" s="29">
        <f>'[1]Sep 2019'!EA18</f>
        <v>0.67</v>
      </c>
    </row>
    <row r="19" spans="2:125" ht="13.5" thickBot="1" x14ac:dyDescent="0.25">
      <c r="N19" s="27">
        <f>'[1]Sep 2019'!R19</f>
        <v>2063914</v>
      </c>
      <c r="S19">
        <f>'[1]Sep 2019'!W19</f>
        <v>7</v>
      </c>
      <c r="DU19" s="29">
        <f>'[1]Sep 2019'!EA19</f>
        <v>0.63</v>
      </c>
    </row>
    <row r="20" spans="2:125" ht="13.5" thickBot="1" x14ac:dyDescent="0.25">
      <c r="N20" s="27">
        <f>'[1]Sep 2019'!R20</f>
        <v>2064501</v>
      </c>
      <c r="S20">
        <f>'[1]Sep 2019'!W20</f>
        <v>8</v>
      </c>
      <c r="DU20" s="29">
        <f>'[1]Sep 2019'!EA20</f>
        <v>0.69</v>
      </c>
    </row>
    <row r="21" spans="2:125" ht="13.5" thickBot="1" x14ac:dyDescent="0.25">
      <c r="N21" s="27">
        <f>'[1]Sep 2019'!R21</f>
        <v>2065035</v>
      </c>
      <c r="P21">
        <f>'[1]Sep 2019'!T21</f>
        <v>426545</v>
      </c>
      <c r="S21">
        <f>'[1]Sep 2019'!W21</f>
        <v>8</v>
      </c>
      <c r="DU21" s="29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7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9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7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9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7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9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7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9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7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9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7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9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7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9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7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9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7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9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7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9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7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9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7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9">
        <f>'[1]Sep 2019'!EA33</f>
        <v>0.76</v>
      </c>
    </row>
    <row r="34" spans="2:125" ht="13.5" thickBot="1" x14ac:dyDescent="0.25">
      <c r="B34" s="20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7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9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Furlong Michael</cp:lastModifiedBy>
  <cp:revision/>
  <dcterms:created xsi:type="dcterms:W3CDTF">2016-09-19T10:41:46Z</dcterms:created>
  <dcterms:modified xsi:type="dcterms:W3CDTF">2021-04-01T09:21:03Z</dcterms:modified>
  <cp:category/>
  <cp:contentStatus/>
</cp:coreProperties>
</file>