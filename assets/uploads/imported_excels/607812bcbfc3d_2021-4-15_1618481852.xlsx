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2877" documentId="8_{5B502D95-7A37-4D5A-8B6B-374537CC2F26}" xr6:coauthVersionLast="46" xr6:coauthVersionMax="46" xr10:uidLastSave="{E92CA9AF-026D-4839-9DB7-0C91F0FCBD8F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3" i="2" l="1"/>
  <c r="N24" i="2"/>
  <c r="M24" i="2"/>
  <c r="L24" i="2"/>
  <c r="F24" i="2"/>
  <c r="K23" i="6"/>
  <c r="I23" i="6"/>
  <c r="G23" i="6"/>
  <c r="E23" i="6"/>
  <c r="C23" i="6"/>
  <c r="V22" i="2"/>
  <c r="N23" i="2"/>
  <c r="M23" i="2"/>
  <c r="L23" i="2"/>
  <c r="F23" i="2"/>
  <c r="K22" i="6"/>
  <c r="I22" i="6"/>
  <c r="G22" i="6"/>
  <c r="E22" i="6"/>
  <c r="C22" i="6"/>
  <c r="V21" i="2"/>
  <c r="N22" i="2"/>
  <c r="M22" i="2"/>
  <c r="L22" i="2"/>
  <c r="F22" i="2"/>
  <c r="K21" i="6"/>
  <c r="I21" i="6"/>
  <c r="G21" i="6"/>
  <c r="E21" i="6"/>
  <c r="C21" i="6"/>
  <c r="V18" i="2"/>
  <c r="V19" i="2"/>
  <c r="V20" i="2"/>
  <c r="N19" i="2"/>
  <c r="N20" i="2"/>
  <c r="N21" i="2"/>
  <c r="M19" i="2"/>
  <c r="M20" i="2"/>
  <c r="M21" i="2"/>
  <c r="L19" i="2"/>
  <c r="L20" i="2"/>
  <c r="L21" i="2"/>
  <c r="F19" i="2"/>
  <c r="F20" i="2"/>
  <c r="F21" i="2"/>
  <c r="K19" i="6"/>
  <c r="K20" i="6"/>
  <c r="I19" i="6"/>
  <c r="G19" i="6"/>
  <c r="E19" i="6"/>
  <c r="C19" i="6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N16" i="2"/>
  <c r="M16" i="2"/>
  <c r="L16" i="2"/>
  <c r="F16" i="2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O11" i="2"/>
  <c r="V11" i="2"/>
  <c r="V12" i="2"/>
  <c r="V13" i="2"/>
  <c r="Q14" i="2"/>
  <c r="O14" i="2"/>
  <c r="N11" i="2"/>
  <c r="N12" i="2"/>
  <c r="N13" i="2"/>
  <c r="N14" i="2"/>
  <c r="M12" i="2"/>
  <c r="M13" i="2"/>
  <c r="M14" i="2"/>
  <c r="L12" i="2"/>
  <c r="L13" i="2"/>
  <c r="L14" i="2"/>
  <c r="F12" i="2"/>
  <c r="F13" i="2"/>
  <c r="F14" i="2"/>
  <c r="K11" i="6"/>
  <c r="I11" i="6"/>
  <c r="G11" i="6"/>
  <c r="E11" i="6"/>
  <c r="C11" i="6"/>
  <c r="V10" i="2"/>
  <c r="M11" i="2"/>
  <c r="L11" i="2"/>
  <c r="F11" i="2"/>
  <c r="K10" i="6"/>
  <c r="I10" i="6"/>
  <c r="G10" i="6"/>
  <c r="E10" i="6"/>
  <c r="C10" i="6"/>
  <c r="I23" i="21"/>
  <c r="I24" i="21"/>
  <c r="I25" i="21"/>
  <c r="I26" i="21"/>
  <c r="I27" i="21"/>
  <c r="I28" i="21"/>
  <c r="I29" i="21"/>
  <c r="I30" i="21"/>
  <c r="I31" i="21"/>
  <c r="H23" i="21"/>
  <c r="H24" i="21"/>
  <c r="H25" i="21"/>
  <c r="H26" i="21"/>
  <c r="H27" i="21"/>
  <c r="H28" i="21"/>
  <c r="H29" i="21"/>
  <c r="H30" i="21"/>
  <c r="H31" i="21"/>
  <c r="G23" i="21"/>
  <c r="G24" i="21"/>
  <c r="G25" i="21"/>
  <c r="G26" i="21"/>
  <c r="G27" i="21"/>
  <c r="G28" i="21"/>
  <c r="G29" i="21"/>
  <c r="G30" i="21"/>
  <c r="G31" i="21"/>
  <c r="F23" i="21"/>
  <c r="F24" i="21"/>
  <c r="F25" i="21"/>
  <c r="F26" i="21"/>
  <c r="F27" i="21"/>
  <c r="F28" i="21"/>
  <c r="F29" i="21"/>
  <c r="F30" i="21"/>
  <c r="F31" i="21"/>
  <c r="E23" i="21"/>
  <c r="E24" i="21"/>
  <c r="E25" i="21"/>
  <c r="E26" i="21"/>
  <c r="E27" i="21"/>
  <c r="E28" i="21"/>
  <c r="E29" i="21"/>
  <c r="E30" i="21"/>
  <c r="E31" i="21"/>
  <c r="E28" i="22"/>
  <c r="E29" i="22"/>
  <c r="E30" i="22"/>
  <c r="E31" i="22"/>
  <c r="O38" i="2"/>
  <c r="O39" i="2"/>
  <c r="E23" i="22"/>
  <c r="E24" i="22"/>
  <c r="E25" i="22"/>
  <c r="E26" i="22"/>
  <c r="E27" i="22"/>
  <c r="I27" i="22"/>
  <c r="I28" i="22"/>
  <c r="I29" i="22"/>
  <c r="I30" i="22"/>
  <c r="I31" i="22"/>
  <c r="L31" i="22"/>
  <c r="K31" i="22"/>
  <c r="G30" i="22"/>
  <c r="G31" i="22"/>
  <c r="N10" i="2"/>
  <c r="M10" i="2"/>
  <c r="L10" i="2"/>
  <c r="F10" i="2"/>
  <c r="G4" i="4"/>
  <c r="E4" i="4"/>
  <c r="C4" i="4"/>
  <c r="F20" i="11"/>
  <c r="K39" i="6"/>
  <c r="I39" i="6"/>
  <c r="G39" i="6"/>
  <c r="E39" i="6"/>
  <c r="C39" i="6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I20" i="6"/>
  <c r="G20" i="6"/>
  <c r="E20" i="6"/>
  <c r="C20" i="6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K13" i="6"/>
  <c r="I13" i="6"/>
  <c r="G13" i="6"/>
  <c r="E13" i="6"/>
  <c r="C13" i="6"/>
  <c r="M5" i="4"/>
  <c r="M6" i="4"/>
  <c r="M7" i="4"/>
  <c r="M4" i="4"/>
  <c r="K12" i="6"/>
  <c r="I12" i="6"/>
  <c r="G12" i="6"/>
  <c r="E12" i="6"/>
  <c r="C12" i="6"/>
  <c r="O37" i="2"/>
  <c r="H37" i="2"/>
  <c r="H38" i="2"/>
  <c r="Q37" i="2"/>
  <c r="Q38" i="2"/>
  <c r="Q39" i="2"/>
  <c r="X37" i="2"/>
  <c r="X38" i="2"/>
  <c r="X39" i="2"/>
  <c r="F40" i="2"/>
  <c r="L27" i="22"/>
  <c r="L28" i="22"/>
  <c r="L29" i="22"/>
  <c r="K27" i="22"/>
  <c r="K28" i="22"/>
  <c r="K29" i="22"/>
  <c r="O23" i="2"/>
  <c r="G8" i="21"/>
  <c r="F7" i="21"/>
  <c r="G6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H39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K30" i="22" s="1"/>
  <c r="E40" i="2"/>
  <c r="L30" i="22" s="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G7" i="4" s="1"/>
  <c r="AD7" i="4"/>
  <c r="AE7" i="4"/>
  <c r="J8" i="4"/>
  <c r="K8" i="4"/>
  <c r="L7" i="4"/>
  <c r="N7" i="4"/>
  <c r="AC8" i="4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B13" i="11"/>
  <c r="F13" i="11"/>
  <c r="E16" i="4"/>
  <c r="I16" i="4"/>
  <c r="C10" i="4"/>
  <c r="G10" i="4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C21" i="4"/>
  <c r="E21" i="4"/>
  <c r="G12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G7" i="21"/>
  <c r="J12" i="21"/>
  <c r="E13" i="22"/>
  <c r="H10" i="2"/>
  <c r="E2" i="22"/>
  <c r="J19" i="21"/>
  <c r="M40" i="2"/>
  <c r="I44" i="2"/>
  <c r="L44" i="2"/>
  <c r="E8" i="2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P9" i="4" l="1"/>
  <c r="V15" i="2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G26" i="4"/>
  <c r="E26" i="4"/>
  <c r="C26" i="4"/>
  <c r="X12" i="2"/>
  <c r="X11" i="2"/>
  <c r="I4" i="4"/>
  <c r="L4" i="4"/>
  <c r="N4" i="4" s="1"/>
  <c r="G25" i="4"/>
  <c r="E25" i="4"/>
  <c r="C25" i="4"/>
  <c r="G24" i="4"/>
  <c r="E24" i="4"/>
  <c r="C24" i="4"/>
  <c r="X15" i="2" l="1"/>
  <c r="G7" i="22"/>
  <c r="G28" i="22"/>
  <c r="X36" i="2"/>
  <c r="G27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E6" i="21"/>
  <c r="O13" i="2"/>
  <c r="Q13" i="2"/>
  <c r="E5" i="21"/>
  <c r="E4" i="21"/>
  <c r="Q12" i="2"/>
  <c r="Q40" i="2" s="1"/>
  <c r="L40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M31" i="22"/>
  <c r="I43" i="2"/>
  <c r="L43" i="2" s="1"/>
  <c r="N43" i="2" s="1"/>
  <c r="N46" i="2" s="1"/>
  <c r="J4" i="2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X10" i="2"/>
  <c r="X40" i="2" s="1"/>
  <c r="J31" i="21" l="1"/>
  <c r="G2" i="22"/>
  <c r="M2" i="22" s="1"/>
  <c r="V40" i="2"/>
  <c r="L47" i="4"/>
  <c r="M47" i="4"/>
  <c r="M30" i="22" l="1"/>
  <c r="G29" i="22"/>
  <c r="I48" i="2"/>
  <c r="L48" i="2" s="1"/>
  <c r="N48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<sst xmlns="http://schemas.openxmlformats.org/spreadsheetml/2006/main" count="478" uniqueCount="186">
  <si>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</si>
  <si>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</si>
  <si>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</si>
  <si>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</si>
  <si>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</si>
  <si>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</si>
  <si>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</si>
  <si>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</si>
  <si>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</si>
  <si>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</si>
  <si>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</si>
  <si>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</si>
  <si>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</si>
  <si>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</si>
  <si>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</si>
  <si>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</si>
  <si>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</si>
  <si>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</si>
  <si>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</si>
  <si>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</si>
  <si>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</si>
  <si>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</si>
  <si>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</si>
  <si>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</si>
  <si>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</si>
  <si>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</si>
  <si>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</si>
  <si>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</si>
  <si>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</si>
  <si>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</si>
  <si>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</si>
  <si>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</si>
  <si>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</si>
  <si>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</si>
  <si>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</si>
  <si>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</si>
  <si>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</si>
  <si>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</si>
  <si>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</si>
  <si>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</si>
  <si>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</si>
  <si>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</si>
  <si>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</si>
  <si>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</si>
  <si>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</si>
  <si>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</si>
  <si>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</si>
  <si>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</si>
  <si>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</si>
  <si>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</si>
  <si>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</si>
  <si>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</si>
  <si>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</si>
  <si>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</si>
  <si>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</si>
  <si>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</si>
  <si>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</si>
  <si>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Avril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</si>
  <si>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</si>
  <si>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</si>
  <si>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</si>
  <si>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</si>
  <si>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</si>
  <si>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</si>
  <si>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</si>
  <si>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</si>
  <si>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</si>
  <si>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</si>
  <si>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</si>
  <si>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</si>
  <si>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</si>
  <si>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</si>
  <si>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</si>
  <si>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</si>
  <si>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</si>
  <si>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</si>
  <si>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</si>
  <si>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</si>
  <si>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</si>
  <si>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</si>
  <si>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</si>
  <si>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</si>
  <si>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</si>
  <si>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</si>
  <si>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</si>
  <si>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</si>
  <si>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</si>
  <si>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Avril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</si>
  <si>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</si>
  <si>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</si>
  <si>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</si>
  <si>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</si>
  <si>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</si>
  <si>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</si>
  <si>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</si>
  <si>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</si>
  <si>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</si>
  <si>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</si>
  <si>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</si>
  <si>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</si>
  <si>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</si>
  <si>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</si>
  <si>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</si>
  <si>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</si>
  <si>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</si>
  <si>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</si>
  <si>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</si>
  <si>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</si>
  <si>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</si>
  <si>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</si>
  <si>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</si>
  <si>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</si>
  <si>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</si>
  <si>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</si>
  <si>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</si>
  <si>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</si>
  <si>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</si>
  <si>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</si>
  <si>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</si>
  <si>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</si>
  <si>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</si>
  <si>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</si>
  <si>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</si>
  <si>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</si>
  <si>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</si>
  <si>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</si>
  <si>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</si>
  <si>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</si>
  <si>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</si>
  <si>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</si>
  <si>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</si>
  <si>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14/4/2021</t>
  </si>
  <si>
    <t>15/4/2021</t>
  </si>
  <si>
    <t>Estimation de la consommation d'Eau Sanitaire Avril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</si>
  <si>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</si>
  <si>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</si>
  <si>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</si>
  <si>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</si>
  <si>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</si>
  <si>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</si>
  <si>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</si>
  <si>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</si>
  <si>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</si>
  <si>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</si>
  <si>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</si>
  <si>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</si>
  <si>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</si>
  <si>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</si>
  <si>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</si>
  <si>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</si>
  <si>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</si>
  <si>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</si>
  <si>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</si>
  <si>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</si>
  <si>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</si>
  <si>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Avril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</si>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</sst>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115</c:v>
                </c:pt>
                <c:pt idx="1">
                  <c:v>109.10000000000582</c:v>
                </c:pt>
                <c:pt idx="2">
                  <c:v>117.39999999999418</c:v>
                </c:pt>
                <c:pt idx="3">
                  <c:v>115.5</c:v>
                </c:pt>
                <c:pt idx="4">
                  <c:v>91.30000000000291</c:v>
                </c:pt>
                <c:pt idx="5">
                  <c:v>94.399999999994179</c:v>
                </c:pt>
                <c:pt idx="6">
                  <c:v>71.30000000000291</c:v>
                </c:pt>
                <c:pt idx="7">
                  <c:v>72</c:v>
                </c:pt>
                <c:pt idx="8">
                  <c:v>83.80000000000291</c:v>
                </c:pt>
                <c:pt idx="9">
                  <c:v>77</c:v>
                </c:pt>
                <c:pt idx="10">
                  <c:v>74.80000000000291</c:v>
                </c:pt>
                <c:pt idx="11">
                  <c:v>57.099999999991269</c:v>
                </c:pt>
                <c:pt idx="12">
                  <c:v>91.80000000000291</c:v>
                </c:pt>
                <c:pt idx="13">
                  <c:v>80.5</c:v>
                </c:pt>
                <c:pt idx="14">
                  <c:v>50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3293</c:v>
                </c:pt>
                <c:pt idx="1">
                  <c:v>3047</c:v>
                </c:pt>
                <c:pt idx="2">
                  <c:v>2862</c:v>
                </c:pt>
                <c:pt idx="3">
                  <c:v>3078</c:v>
                </c:pt>
                <c:pt idx="4">
                  <c:v>3120</c:v>
                </c:pt>
                <c:pt idx="5">
                  <c:v>2905</c:v>
                </c:pt>
                <c:pt idx="6">
                  <c:v>2439</c:v>
                </c:pt>
                <c:pt idx="7">
                  <c:v>2438</c:v>
                </c:pt>
                <c:pt idx="8">
                  <c:v>2786</c:v>
                </c:pt>
                <c:pt idx="9">
                  <c:v>2459</c:v>
                </c:pt>
                <c:pt idx="10">
                  <c:v>2452</c:v>
                </c:pt>
                <c:pt idx="11">
                  <c:v>2539</c:v>
                </c:pt>
                <c:pt idx="12">
                  <c:v>2237</c:v>
                </c:pt>
                <c:pt idx="13">
                  <c:v>2357</c:v>
                </c:pt>
                <c:pt idx="14">
                  <c:v>2117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5016</c:v>
                </c:pt>
                <c:pt idx="1">
                  <c:v>5674</c:v>
                </c:pt>
                <c:pt idx="2">
                  <c:v>6376</c:v>
                </c:pt>
                <c:pt idx="3">
                  <c:v>5951</c:v>
                </c:pt>
                <c:pt idx="4">
                  <c:v>5839</c:v>
                </c:pt>
                <c:pt idx="5">
                  <c:v>5318</c:v>
                </c:pt>
                <c:pt idx="6">
                  <c:v>5314</c:v>
                </c:pt>
                <c:pt idx="7">
                  <c:v>5332</c:v>
                </c:pt>
                <c:pt idx="8">
                  <c:v>5144</c:v>
                </c:pt>
                <c:pt idx="9">
                  <c:v>5277</c:v>
                </c:pt>
                <c:pt idx="10">
                  <c:v>4776</c:v>
                </c:pt>
                <c:pt idx="11">
                  <c:v>4885</c:v>
                </c:pt>
                <c:pt idx="12">
                  <c:v>5424</c:v>
                </c:pt>
                <c:pt idx="13">
                  <c:v>5197</c:v>
                </c:pt>
                <c:pt idx="14">
                  <c:v>4583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2337</c:v>
                </c:pt>
                <c:pt idx="1">
                  <c:v>2563</c:v>
                </c:pt>
                <c:pt idx="2">
                  <c:v>2691</c:v>
                </c:pt>
                <c:pt idx="3">
                  <c:v>2427</c:v>
                </c:pt>
                <c:pt idx="4">
                  <c:v>2019</c:v>
                </c:pt>
                <c:pt idx="5">
                  <c:v>1879</c:v>
                </c:pt>
                <c:pt idx="6">
                  <c:v>2053</c:v>
                </c:pt>
                <c:pt idx="7">
                  <c:v>1942</c:v>
                </c:pt>
                <c:pt idx="8">
                  <c:v>2080</c:v>
                </c:pt>
                <c:pt idx="9">
                  <c:v>2154</c:v>
                </c:pt>
                <c:pt idx="10">
                  <c:v>1686</c:v>
                </c:pt>
                <c:pt idx="11">
                  <c:v>1931</c:v>
                </c:pt>
                <c:pt idx="12">
                  <c:v>1973</c:v>
                </c:pt>
                <c:pt idx="13">
                  <c:v>1718</c:v>
                </c:pt>
                <c:pt idx="14">
                  <c:v>1663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555.45000000000005</c:v>
                </c:pt>
                <c:pt idx="1">
                  <c:v>592.48</c:v>
                </c:pt>
                <c:pt idx="2">
                  <c:v>703.57</c:v>
                </c:pt>
                <c:pt idx="3">
                  <c:v>519.4</c:v>
                </c:pt>
                <c:pt idx="4">
                  <c:v>319.99209999999999</c:v>
                </c:pt>
                <c:pt idx="5">
                  <c:v>63.998420000000003</c:v>
                </c:pt>
                <c:pt idx="6">
                  <c:v>415.98973000000001</c:v>
                </c:pt>
                <c:pt idx="7">
                  <c:v>287.99288999999999</c:v>
                </c:pt>
                <c:pt idx="8">
                  <c:v>255.99368000000001</c:v>
                </c:pt>
                <c:pt idx="9">
                  <c:v>607.98499000000004</c:v>
                </c:pt>
                <c:pt idx="10">
                  <c:v>415.98973000000001</c:v>
                </c:pt>
                <c:pt idx="11">
                  <c:v>511.98736000000002</c:v>
                </c:pt>
                <c:pt idx="12">
                  <c:v>255.99368000000001</c:v>
                </c:pt>
                <c:pt idx="13">
                  <c:v>287.99288999999999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opLeftCell="A13" workbookViewId="0">
      <selection activeCell="E30" sqref="E30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4</v>
      </c>
      <c r="D2" s="141">
        <v>2021</v>
      </c>
      <c r="E2" s="137">
        <f>submetering!E2+submetering!F2+submetering!G2</f>
        <v>10646</v>
      </c>
      <c r="F2" s="134">
        <v>1.05</v>
      </c>
      <c r="G2" s="134">
        <f>'Consommation mensuel énergie'!V10</f>
        <v>555.45000000000005</v>
      </c>
      <c r="H2" s="134">
        <v>8.6999999999999993</v>
      </c>
      <c r="I2" s="134">
        <f>'Consommation mensuel énergie'!F10</f>
        <v>115</v>
      </c>
      <c r="J2" s="134">
        <v>11.4</v>
      </c>
      <c r="K2" s="137">
        <f>'Consommation mensuel énergie'!D10</f>
        <v>97</v>
      </c>
      <c r="L2" s="137">
        <f>'Consommation mensuel énergie'!E10</f>
        <v>141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submetering!E3+submetering!F3+submetering!G3</f>
        <v>10740</v>
      </c>
      <c r="F3" s="134">
        <v>1.05</v>
      </c>
      <c r="G3" s="134">
        <f>'Consommation mensuel énergie'!V11</f>
        <v>592.48</v>
      </c>
      <c r="H3" s="134">
        <v>8.6999999999999993</v>
      </c>
      <c r="I3" s="134">
        <f>'Consommation mensuel énergie'!F11</f>
        <v>109.10000000000582</v>
      </c>
      <c r="J3" s="134">
        <v>11.4</v>
      </c>
      <c r="K3" s="137">
        <f>'Consommation mensuel énergie'!D11</f>
        <v>100</v>
      </c>
      <c r="L3" s="137">
        <f>'Consommation mensuel énergie'!E11</f>
        <v>148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32" si="0">B3+1</f>
        <v>3</v>
      </c>
      <c r="C4" s="140">
        <v>4</v>
      </c>
      <c r="D4" s="141">
        <v>2021</v>
      </c>
      <c r="E4" s="137">
        <f>submetering!E4+submetering!F4+submetering!G4</f>
        <v>11929</v>
      </c>
      <c r="F4" s="134">
        <v>1.05</v>
      </c>
      <c r="G4" s="134">
        <f>'Consommation mensuel énergie'!V12</f>
        <v>703.57</v>
      </c>
      <c r="H4" s="134">
        <v>8.6999999999999993</v>
      </c>
      <c r="I4" s="134">
        <f>'Consommation mensuel énergie'!F12</f>
        <v>117.39999999999418</v>
      </c>
      <c r="J4" s="134">
        <v>11.4</v>
      </c>
      <c r="K4" s="137">
        <f>'Consommation mensuel énergie'!D12</f>
        <v>102</v>
      </c>
      <c r="L4" s="137">
        <f>'Consommation mensuel énergie'!E12</f>
        <v>143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submetering!E5+submetering!F5+submetering!G5</f>
        <v>11456</v>
      </c>
      <c r="F5" s="134">
        <v>1.05</v>
      </c>
      <c r="G5" s="134">
        <f>'Consommation mensuel énergie'!V13</f>
        <v>519.4</v>
      </c>
      <c r="H5" s="134">
        <v>8.6999999999999993</v>
      </c>
      <c r="I5" s="134">
        <f>'Consommation mensuel énergie'!F13</f>
        <v>115.5</v>
      </c>
      <c r="J5" s="134">
        <v>11.4</v>
      </c>
      <c r="K5" s="137">
        <f>'Consommation mensuel énergie'!D13</f>
        <v>53</v>
      </c>
      <c r="L5" s="137">
        <f>'Consommation mensuel énergie'!E13</f>
        <v>75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4</v>
      </c>
      <c r="D6" s="141">
        <v>2021</v>
      </c>
      <c r="E6" s="137" t="e">
        <f>submetering!E6+submetering!F6+submetering!G6</f>
        <v>#REF!</v>
      </c>
      <c r="F6" s="134">
        <v>1.05</v>
      </c>
      <c r="G6" s="134">
        <f>'Consommation mensuel énergie'!V14</f>
        <v>319.99209999999999</v>
      </c>
      <c r="H6" s="134">
        <v>8.6999999999999993</v>
      </c>
      <c r="I6" s="134">
        <f>'Consommation mensuel énergie'!F14</f>
        <v>91.30000000000291</v>
      </c>
      <c r="J6" s="134">
        <v>11.4</v>
      </c>
      <c r="K6" s="137">
        <f>'Consommation mensuel énergie'!D14</f>
        <v>37</v>
      </c>
      <c r="L6" s="137">
        <f>'Consommation mensuel énergie'!E14</f>
        <v>56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submetering!E7+submetering!F7+submetering!G7</f>
        <v>10102</v>
      </c>
      <c r="F7" s="134">
        <v>1.05</v>
      </c>
      <c r="G7" s="134">
        <f>'Consommation mensuel énergie'!V15</f>
        <v>63.998420000000003</v>
      </c>
      <c r="H7" s="134">
        <v>8.6999999999999993</v>
      </c>
      <c r="I7" s="134">
        <f>'Consommation mensuel énergie'!F15</f>
        <v>94.399999999994179</v>
      </c>
      <c r="J7" s="134">
        <v>11.4</v>
      </c>
      <c r="K7" s="137">
        <f>'Consommation mensuel énergie'!D15</f>
        <v>31</v>
      </c>
      <c r="L7" s="137">
        <f>'Consommation mensuel énergie'!E15</f>
        <v>44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submetering!E8+submetering!F8+submetering!G8</f>
        <v>9806</v>
      </c>
      <c r="F8" s="134">
        <v>1.05</v>
      </c>
      <c r="G8" s="134">
        <f>'Consommation mensuel énergie'!V16</f>
        <v>415.98973000000001</v>
      </c>
      <c r="H8" s="134">
        <v>8.6999999999999993</v>
      </c>
      <c r="I8" s="134">
        <f>'Consommation mensuel énergie'!F16</f>
        <v>71.30000000000291</v>
      </c>
      <c r="J8" s="134">
        <v>11.4</v>
      </c>
      <c r="K8" s="137">
        <f>'Consommation mensuel énergie'!D16</f>
        <v>34</v>
      </c>
      <c r="L8" s="137">
        <f>'Consommation mensuel énergie'!E16</f>
        <v>51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submetering!E9+submetering!F9+submetering!G9</f>
        <v>9712</v>
      </c>
      <c r="F9" s="134">
        <v>1.05</v>
      </c>
      <c r="G9" s="134">
        <f>'Consommation mensuel énergie'!V17</f>
        <v>287.99288999999999</v>
      </c>
      <c r="H9" s="134">
        <v>8.6999999999999993</v>
      </c>
      <c r="I9" s="134">
        <f>'Consommation mensuel énergie'!F17</f>
        <v>72</v>
      </c>
      <c r="J9" s="134">
        <v>11.4</v>
      </c>
      <c r="K9" s="137">
        <f>'Consommation mensuel énergie'!D17</f>
        <v>34</v>
      </c>
      <c r="L9" s="137">
        <f>'Consommation mensuel énergie'!E17</f>
        <v>53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submetering!E10+submetering!F10+submetering!G10</f>
        <v>10010</v>
      </c>
      <c r="F10" s="134">
        <v>1.05</v>
      </c>
      <c r="G10" s="134">
        <f>'Consommation mensuel énergie'!V19</f>
        <v>607.98499000000004</v>
      </c>
      <c r="H10" s="134">
        <v>8.6999999999999993</v>
      </c>
      <c r="I10" s="134">
        <f>'Consommation mensuel énergie'!F18</f>
        <v>83.80000000000291</v>
      </c>
      <c r="J10" s="134">
        <v>11.4</v>
      </c>
      <c r="K10" s="137">
        <f>'Consommation mensuel énergie'!D18</f>
        <v>35</v>
      </c>
      <c r="L10" s="137">
        <f>'Consommation mensuel énergie'!E18</f>
        <v>53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submetering!E11+submetering!F11+submetering!G11</f>
        <v>9890</v>
      </c>
      <c r="F11" s="134">
        <v>1.05</v>
      </c>
      <c r="G11" s="134">
        <f>'Consommation mensuel énergie'!V20</f>
        <v>415.98973000000001</v>
      </c>
      <c r="H11" s="134">
        <v>8.6999999999999993</v>
      </c>
      <c r="I11" s="134">
        <f>'Consommation mensuel énergie'!F19</f>
        <v>77</v>
      </c>
      <c r="J11" s="134">
        <v>11.4</v>
      </c>
      <c r="K11" s="137">
        <f>'Consommation mensuel énergie'!D19</f>
        <v>37</v>
      </c>
      <c r="L11" s="137">
        <f>'Consommation mensuel énergie'!E19</f>
        <v>58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submetering!E12+submetering!F12+submetering!G12</f>
        <v>8914</v>
      </c>
      <c r="F12" s="134">
        <v>1.05</v>
      </c>
      <c r="G12" s="134">
        <f>'Consommation mensuel énergie'!V21</f>
        <v>511.98736000000002</v>
      </c>
      <c r="H12" s="134">
        <v>8.6999999999999993</v>
      </c>
      <c r="I12" s="134">
        <f>'Consommation mensuel énergie'!F20</f>
        <v>74.80000000000291</v>
      </c>
      <c r="J12" s="134">
        <v>11.4</v>
      </c>
      <c r="K12" s="137">
        <f>'Consommation mensuel énergie'!D20</f>
        <v>28</v>
      </c>
      <c r="L12" s="137">
        <f>'Consommation mensuel énergie'!E20</f>
        <v>41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submetering!E13+submetering!F13+submetering!G13</f>
        <v>9355</v>
      </c>
      <c r="F13" s="134">
        <v>1.05</v>
      </c>
      <c r="G13" s="134">
        <f>'Consommation mensuel énergie'!V22</f>
        <v>255.99368000000001</v>
      </c>
      <c r="H13" s="134">
        <v>8.6999999999999993</v>
      </c>
      <c r="I13" s="134">
        <f>'Consommation mensuel énergie'!F21</f>
        <v>57.099999999991269</v>
      </c>
      <c r="J13" s="134">
        <v>11.4</v>
      </c>
      <c r="K13" s="137">
        <f>'Consommation mensuel énergie'!D21</f>
        <v>20</v>
      </c>
      <c r="L13" s="137">
        <f>'Consommation mensuel énergie'!E21</f>
        <v>28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submetering!E14+submetering!F14+submetering!G14</f>
        <v>9634</v>
      </c>
      <c r="F14" s="134">
        <v>1.05</v>
      </c>
      <c r="G14" s="134">
        <f>'Consommation mensuel énergie'!V23</f>
        <v>287.99288999999999</v>
      </c>
      <c r="H14" s="134">
        <v>8.6999999999999993</v>
      </c>
      <c r="I14" s="134">
        <f>'Consommation mensuel énergie'!F22</f>
        <v>91.80000000000291</v>
      </c>
      <c r="J14" s="134">
        <v>11.4</v>
      </c>
      <c r="K14" s="137">
        <f>'Consommation mensuel énergie'!D22</f>
        <v>13</v>
      </c>
      <c r="L14" s="137">
        <f>'Consommation mensuel énergie'!E22</f>
        <v>18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submetering!E15+submetering!F15+submetering!G15</f>
        <v>9272</v>
      </c>
      <c r="F15" s="134">
        <v>1.05</v>
      </c>
      <c r="G15" s="134">
        <f>'Consommation mensuel énergie'!V24</f>
        <v>0</v>
      </c>
      <c r="H15" s="134">
        <v>8.6999999999999993</v>
      </c>
      <c r="I15" s="134">
        <f>'Consommation mensuel énergie'!F23</f>
        <v>80.5</v>
      </c>
      <c r="J15" s="134">
        <v>11.4</v>
      </c>
      <c r="K15" s="137">
        <f>'Consommation mensuel énergie'!D23</f>
        <v>12</v>
      </c>
      <c r="L15" s="137">
        <f>'Consommation mensuel énergie'!E23</f>
        <v>16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submetering!E16+submetering!F16+submetering!G16</f>
        <v>8363</v>
      </c>
      <c r="F16" s="134">
        <v>1.05</v>
      </c>
      <c r="G16" s="134">
        <f>'Consommation mensuel énergie'!V25</f>
        <v>0</v>
      </c>
      <c r="H16" s="134">
        <v>8.6999999999999993</v>
      </c>
      <c r="I16" s="134">
        <f>'Consommation mensuel énergie'!F24</f>
        <v>50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8.6999999999999993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8.6999999999999993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8.6999999999999993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8.6999999999999993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énergie'!V39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énergie'!V40</f>
        <v>5794.8154699999996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énergie'!D39</f>
        <v>0</v>
      </c>
      <c r="L29" s="137">
        <f>'Consommation mensuel énergie'!E39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énergie'!V41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énergie'!D40</f>
        <v>633</v>
      </c>
      <c r="L30" s="137">
        <f>'Consommation mensuel énergie'!E40</f>
        <v>925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énergie'!V42</f>
        <v>0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énergie'!D41</f>
        <v>0</v>
      </c>
      <c r="L31" s="137">
        <f>'Consommation mensuel énergie'!E41</f>
        <v>0</v>
      </c>
      <c r="M31" s="133" t="e">
        <f>E31*F31+G31*H31+#REF!*#REF!+I31*J31</f>
        <v>#REF!</v>
      </c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8"/>
      <c r="F34" s="134"/>
      <c r="G34" s="134"/>
      <c r="H34" s="134"/>
      <c r="I34" s="134"/>
      <c r="J34" s="134"/>
    </row>
    <row r="35" spans="1:13">
      <c r="A35" s="168"/>
      <c r="F35" s="134"/>
      <c r="G35" s="134"/>
      <c r="H35" s="134"/>
      <c r="I35" s="134"/>
      <c r="J35" s="134"/>
    </row>
    <row r="36" spans="1:13">
      <c r="A36" s="168"/>
      <c r="F36" s="134"/>
      <c r="G36" s="134"/>
      <c r="H36" s="134"/>
      <c r="I36" s="134"/>
      <c r="J36" s="134"/>
    </row>
    <row r="37" spans="1:13">
      <c r="A37" s="168"/>
      <c r="F37" s="134"/>
      <c r="G37" s="134"/>
      <c r="H37" s="134"/>
      <c r="I37" s="134"/>
      <c r="J37" s="134"/>
    </row>
    <row r="38" spans="1:13">
      <c r="A38" s="168"/>
      <c r="F38" s="134"/>
      <c r="G38" s="134"/>
      <c r="H38" s="134"/>
      <c r="I38" s="134"/>
      <c r="J38" s="134"/>
    </row>
    <row r="39" spans="1:13">
      <c r="A39" s="168"/>
      <c r="F39" s="134"/>
      <c r="G39" s="134"/>
      <c r="H39" s="134"/>
      <c r="I39" s="134"/>
      <c r="J39" s="134"/>
    </row>
    <row r="40" spans="1:13">
      <c r="A40" s="168"/>
      <c r="F40" s="134"/>
      <c r="G40" s="134"/>
      <c r="H40" s="134"/>
      <c r="I40" s="134"/>
      <c r="J40" s="134"/>
    </row>
    <row r="41" spans="1:13">
      <c r="A41" s="168"/>
      <c r="F41" s="168"/>
      <c r="G41" s="168"/>
      <c r="H41" s="168"/>
      <c r="I41" s="168"/>
      <c r="J41" s="168"/>
    </row>
    <row r="42" spans="1:13">
      <c r="A42" s="168"/>
      <c r="F42" s="168"/>
      <c r="G42" s="168"/>
      <c r="H42" s="168"/>
      <c r="I42" s="168"/>
      <c r="J42" s="16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I22" sqref="I2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4</v>
      </c>
      <c r="D2" s="141">
        <v>2021</v>
      </c>
      <c r="E2" s="137">
        <f>'Consommation mensuel énergie'!L10</f>
        <v>3293</v>
      </c>
      <c r="F2" s="137">
        <f>'Consommation mensuel énergie'!M10</f>
        <v>5016</v>
      </c>
      <c r="G2" s="137">
        <f>'Consommation mensuel énergie'!N10</f>
        <v>2337</v>
      </c>
      <c r="H2" s="137">
        <f>'Consommation mensuel énergie'!D10</f>
        <v>97</v>
      </c>
      <c r="I2" s="137">
        <f>'Consommation mensuel énergie'!E10</f>
        <v>141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'Consommation mensuel énergie'!L11</f>
        <v>3047</v>
      </c>
      <c r="F3" s="137">
        <f>'Consommation mensuel énergie'!M11</f>
        <v>5674</v>
      </c>
      <c r="G3" s="137">
        <f>'Consommation mensuel énergie'!N14</f>
        <v>2019</v>
      </c>
      <c r="H3" s="137">
        <f>'Consommation mensuel énergie'!D11</f>
        <v>100</v>
      </c>
      <c r="I3" s="137">
        <f>'Consommation mensuel énergie'!E11</f>
        <v>148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32" si="0">B3+1</f>
        <v>3</v>
      </c>
      <c r="C4" s="140">
        <v>4</v>
      </c>
      <c r="D4" s="141">
        <v>2021</v>
      </c>
      <c r="E4" s="137">
        <f>'Consommation mensuel énergie'!L12</f>
        <v>2862</v>
      </c>
      <c r="F4" s="137">
        <f>'Consommation mensuel énergie'!M12</f>
        <v>6376</v>
      </c>
      <c r="G4" s="137">
        <f>'Consommation mensuel énergie'!N12</f>
        <v>2691</v>
      </c>
      <c r="H4" s="137">
        <f>'Consommation mensuel énergie'!D12</f>
        <v>102</v>
      </c>
      <c r="I4" s="137">
        <f>'Consommation mensuel énergie'!E12</f>
        <v>143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'Consommation mensuel énergie'!L13</f>
        <v>3078</v>
      </c>
      <c r="F5" s="137">
        <f>'Consommation mensuel énergie'!M13</f>
        <v>5951</v>
      </c>
      <c r="G5" s="137">
        <f>'Consommation mensuel énergie'!N13</f>
        <v>2427</v>
      </c>
      <c r="H5" s="137">
        <f>'Consommation mensuel énergie'!D13</f>
        <v>53</v>
      </c>
      <c r="I5" s="137">
        <f>'Consommation mensuel énergie'!E13</f>
        <v>75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4</v>
      </c>
      <c r="D6" s="141">
        <v>2021</v>
      </c>
      <c r="E6" s="137">
        <f>'Consommation mensuel énergie'!L14</f>
        <v>3120</v>
      </c>
      <c r="F6" s="137">
        <f>'Consommation mensuel énergie'!M14</f>
        <v>5839</v>
      </c>
      <c r="G6" s="137" t="e">
        <f>'Consommation mensuel énergie'!#REF!</f>
        <v>#REF!</v>
      </c>
      <c r="H6" s="137">
        <f>'Consommation mensuel énergie'!D14</f>
        <v>37</v>
      </c>
      <c r="I6" s="137">
        <f>'Consommation mensuel énergie'!E14</f>
        <v>56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'Consommation mensuel énergie'!L15</f>
        <v>2905</v>
      </c>
      <c r="F7" s="137">
        <f>'Consommation mensuel énergie'!M15</f>
        <v>5318</v>
      </c>
      <c r="G7" s="137">
        <f>'Consommation mensuel énergie'!N15</f>
        <v>1879</v>
      </c>
      <c r="H7" s="137">
        <f>'Consommation mensuel énergie'!D15</f>
        <v>31</v>
      </c>
      <c r="I7" s="137">
        <f>'Consommation mensuel énergie'!E15</f>
        <v>44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'Consommation mensuel énergie'!L16</f>
        <v>2439</v>
      </c>
      <c r="F8" s="137">
        <f>'Consommation mensuel énergie'!M16</f>
        <v>5314</v>
      </c>
      <c r="G8" s="137">
        <f>'Consommation mensuel énergie'!N16</f>
        <v>2053</v>
      </c>
      <c r="H8" s="137">
        <f>'Consommation mensuel énergie'!D16</f>
        <v>34</v>
      </c>
      <c r="I8" s="137">
        <f>'Consommation mensuel énergie'!E16</f>
        <v>51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'Consommation mensuel énergie'!L17</f>
        <v>2438</v>
      </c>
      <c r="F9" s="137">
        <f>'Consommation mensuel énergie'!M17</f>
        <v>5332</v>
      </c>
      <c r="G9" s="137">
        <f>'Consommation mensuel énergie'!N17</f>
        <v>1942</v>
      </c>
      <c r="H9" s="137">
        <f>'Consommation mensuel énergie'!D17</f>
        <v>34</v>
      </c>
      <c r="I9" s="137">
        <f>'Consommation mensuel énergie'!E17</f>
        <v>53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'Consommation mensuel énergie'!L18</f>
        <v>2786</v>
      </c>
      <c r="F10" s="137">
        <f>'Consommation mensuel énergie'!M18</f>
        <v>5144</v>
      </c>
      <c r="G10" s="137">
        <f>'Consommation mensuel énergie'!N18</f>
        <v>2080</v>
      </c>
      <c r="H10" s="137">
        <f>'Consommation mensuel énergie'!D18</f>
        <v>35</v>
      </c>
      <c r="I10" s="137">
        <f>'Consommation mensuel énergie'!E18</f>
        <v>53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'Consommation mensuel énergie'!L19</f>
        <v>2459</v>
      </c>
      <c r="F11" s="137">
        <f>'Consommation mensuel énergie'!M19</f>
        <v>5277</v>
      </c>
      <c r="G11" s="137">
        <f>'Consommation mensuel énergie'!N19</f>
        <v>2154</v>
      </c>
      <c r="H11" s="137">
        <f>'Consommation mensuel énergie'!D19</f>
        <v>37</v>
      </c>
      <c r="I11" s="137">
        <f>'Consommation mensuel énergie'!E19</f>
        <v>58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'Consommation mensuel énergie'!L20</f>
        <v>2452</v>
      </c>
      <c r="F12" s="137">
        <f>'Consommation mensuel énergie'!M20</f>
        <v>4776</v>
      </c>
      <c r="G12" s="137">
        <f>'Consommation mensuel énergie'!N20</f>
        <v>1686</v>
      </c>
      <c r="H12" s="137">
        <f>'Consommation mensuel énergie'!D20</f>
        <v>28</v>
      </c>
      <c r="I12" s="137">
        <f>'Consommation mensuel énergie'!E20</f>
        <v>41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'Consommation mensuel énergie'!L21</f>
        <v>2539</v>
      </c>
      <c r="F13" s="137">
        <f>'Consommation mensuel énergie'!M21</f>
        <v>4885</v>
      </c>
      <c r="G13" s="137">
        <f>'Consommation mensuel énergie'!N21</f>
        <v>1931</v>
      </c>
      <c r="H13" s="137">
        <f>'Consommation mensuel énergie'!D21</f>
        <v>20</v>
      </c>
      <c r="I13" s="137">
        <f>'Consommation mensuel énergie'!E21</f>
        <v>28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'Consommation mensuel énergie'!L22</f>
        <v>2237</v>
      </c>
      <c r="F14" s="137">
        <f>'Consommation mensuel énergie'!M22</f>
        <v>5424</v>
      </c>
      <c r="G14" s="137">
        <f>'Consommation mensuel énergie'!N22</f>
        <v>1973</v>
      </c>
      <c r="H14" s="137">
        <f>'Consommation mensuel énergie'!D22</f>
        <v>13</v>
      </c>
      <c r="I14" s="137">
        <f>'Consommation mensuel énergie'!E22</f>
        <v>18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'Consommation mensuel énergie'!L23</f>
        <v>2357</v>
      </c>
      <c r="F15" s="137">
        <f>'Consommation mensuel énergie'!M23</f>
        <v>5197</v>
      </c>
      <c r="G15" s="137">
        <f>'Consommation mensuel énergie'!N23</f>
        <v>1718</v>
      </c>
      <c r="H15" s="137">
        <f>'Consommation mensuel énergie'!D23</f>
        <v>12</v>
      </c>
      <c r="I15" s="137">
        <f>'Consommation mensuel énergie'!E23</f>
        <v>16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'Consommation mensuel énergie'!L24</f>
        <v>2117</v>
      </c>
      <c r="F16" s="137">
        <f>'Consommation mensuel énergie'!M24</f>
        <v>4583</v>
      </c>
      <c r="G16" s="137">
        <f>'Consommation mensuel énergie'!N24</f>
        <v>1663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 t="e">
        <f>E31*F31+G31*#REF!+#REF!*#REF!+#REF!*#REF!</f>
        <v>#REF!</v>
      </c>
    </row>
    <row r="32" spans="1:10">
      <c r="A32" s="168"/>
      <c r="E32" s="134"/>
      <c r="F32" s="134"/>
      <c r="G32" s="134"/>
      <c r="H32" s="133"/>
      <c r="I32" s="133"/>
    </row>
    <row r="33" spans="1:9">
      <c r="A33" s="168"/>
      <c r="E33" s="134"/>
      <c r="F33" s="134"/>
      <c r="G33" s="134"/>
      <c r="H33" s="133"/>
      <c r="I33" s="133"/>
    </row>
    <row r="34" spans="1:9">
      <c r="A34" s="168"/>
      <c r="E34" s="134"/>
      <c r="F34" s="134"/>
      <c r="G34" s="134"/>
      <c r="H34" s="133"/>
      <c r="I34" s="133"/>
    </row>
    <row r="35" spans="1:9">
      <c r="A35" s="168"/>
      <c r="E35" s="134"/>
      <c r="F35" s="134"/>
      <c r="G35" s="134"/>
      <c r="H35" s="133"/>
      <c r="I35" s="133"/>
    </row>
    <row r="36" spans="1:9">
      <c r="A36" s="168"/>
      <c r="E36" s="134"/>
      <c r="F36" s="134"/>
      <c r="G36" s="134"/>
      <c r="H36" s="133"/>
      <c r="I36" s="133"/>
    </row>
    <row r="37" spans="1:9">
      <c r="A37" s="168"/>
      <c r="E37" s="134"/>
      <c r="F37" s="134"/>
      <c r="G37" s="134"/>
      <c r="H37" s="133"/>
      <c r="I37" s="133"/>
    </row>
    <row r="38" spans="1:9">
      <c r="A38" s="168"/>
      <c r="E38" s="134"/>
      <c r="F38" s="134"/>
      <c r="G38" s="134"/>
      <c r="H38" s="133"/>
      <c r="I38" s="133"/>
    </row>
    <row r="39" spans="1:9">
      <c r="A39" s="168"/>
      <c r="E39" s="168"/>
      <c r="F39" s="168"/>
      <c r="G39" s="168"/>
    </row>
    <row r="40" spans="1:9">
      <c r="A40" s="168"/>
      <c r="E40" s="168"/>
      <c r="F40" s="168"/>
      <c r="G40" s="168"/>
    </row>
    <row r="41" spans="1:9">
      <c r="A41" s="168"/>
      <c r="E41" s="168"/>
      <c r="F41" s="168"/>
      <c r="G41" s="168"/>
    </row>
    <row r="42" spans="1:9">
      <c r="A42" s="168"/>
      <c r="E42" s="168"/>
      <c r="F42" s="168"/>
      <c r="G42" s="16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tabSelected="1" zoomScale="55" zoomScaleNormal="55" workbookViewId="0">
      <pane xSplit="3" ySplit="9" topLeftCell="D20" activePane="bottomRight" state="frozen"/>
      <selection pane="bottomRight" activeCell="E24" sqref="E24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</row>
    <row r="2" spans="1:24" ht="100.5" customHeight="1" thickBot="1">
      <c r="A2" s="226"/>
      <c r="B2" s="227"/>
      <c r="C2" s="227"/>
      <c r="D2" s="227"/>
      <c r="E2" s="227"/>
      <c r="F2" s="227"/>
      <c r="G2" s="227"/>
      <c r="H2" s="228"/>
      <c r="I2" s="237" t="s">
        <v>17</v>
      </c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</row>
    <row r="3" spans="1:24" ht="15" hidden="1" customHeight="1" thickBo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</row>
    <row r="4" spans="1:24" ht="39" hidden="1" customHeight="1" thickBot="1">
      <c r="A4" s="229"/>
      <c r="B4" s="229"/>
      <c r="C4" s="229"/>
      <c r="D4" s="159"/>
      <c r="E4" s="159"/>
      <c r="F4" s="159"/>
      <c r="G4" s="159"/>
      <c r="H4" s="159"/>
      <c r="I4" s="159"/>
      <c r="J4" s="159"/>
      <c r="K4" s="159"/>
      <c r="L4" s="159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29"/>
      <c r="B5" s="229"/>
      <c r="C5" s="229"/>
      <c r="D5" s="159"/>
      <c r="E5" s="159"/>
      <c r="F5" s="159"/>
      <c r="G5" s="159"/>
      <c r="H5" s="159"/>
      <c r="I5" s="159"/>
      <c r="J5" s="159"/>
      <c r="K5" s="159"/>
      <c r="L5" s="159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</row>
    <row r="6" spans="1:24" s="5" customFormat="1" ht="44.25" hidden="1" customHeight="1" thickBot="1">
      <c r="A6" s="3"/>
      <c r="B6" s="3"/>
      <c r="C6" s="3"/>
      <c r="D6" s="159"/>
      <c r="E6" s="159"/>
      <c r="F6" s="159"/>
      <c r="G6" s="159"/>
      <c r="H6" s="159"/>
      <c r="I6" s="159"/>
      <c r="J6" s="159"/>
      <c r="K6" s="159"/>
      <c r="L6" s="159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</row>
    <row r="7" spans="1:24" s="5" customFormat="1" ht="18.75" hidden="1" customHeight="1" thickBot="1">
      <c r="A7" s="159"/>
      <c r="B7" s="159"/>
      <c r="C7" s="159"/>
      <c r="D7" s="159"/>
      <c r="E7" s="159"/>
      <c r="F7" s="230"/>
      <c r="G7" s="230"/>
      <c r="H7" s="230"/>
      <c r="I7" s="230"/>
      <c r="J7" s="230"/>
      <c r="K7" s="230"/>
      <c r="L7" s="230"/>
      <c r="M7" s="230"/>
      <c r="N7" s="239"/>
      <c r="O7" s="239"/>
      <c r="P7" s="230"/>
      <c r="Q7" s="230"/>
      <c r="R7" s="230"/>
      <c r="S7" s="230"/>
      <c r="T7" s="230"/>
      <c r="U7" s="230"/>
      <c r="V7" s="230"/>
      <c r="W7" s="230"/>
      <c r="X7" s="230"/>
    </row>
    <row r="8" spans="1:24" ht="18.75" customHeight="1" thickBot="1">
      <c r="A8" s="230"/>
      <c r="B8" s="244" t="s">
        <v>19</v>
      </c>
      <c r="C8" s="4"/>
      <c r="D8" s="245" t="s">
        <v>20</v>
      </c>
      <c r="E8" s="245" t="s">
        <v>21</v>
      </c>
      <c r="F8" s="249" t="s">
        <v>22</v>
      </c>
      <c r="G8" s="2"/>
      <c r="H8" s="231" t="s">
        <v>23</v>
      </c>
      <c r="I8" s="232"/>
      <c r="J8" s="233"/>
      <c r="K8" s="251" t="s">
        <v>24</v>
      </c>
      <c r="L8" s="242" t="s">
        <v>25</v>
      </c>
      <c r="M8" s="242"/>
      <c r="N8" s="242"/>
      <c r="O8" s="242" t="s">
        <v>26</v>
      </c>
      <c r="P8" s="2"/>
      <c r="Q8" s="240" t="s">
        <v>23</v>
      </c>
      <c r="R8" s="2"/>
      <c r="S8" s="240" t="s">
        <v>27</v>
      </c>
      <c r="T8" s="2"/>
      <c r="U8" s="240" t="s">
        <v>28</v>
      </c>
      <c r="V8" s="247" t="s">
        <v>29</v>
      </c>
      <c r="W8" s="2"/>
      <c r="X8" s="240" t="s">
        <v>23</v>
      </c>
    </row>
    <row r="9" spans="1:24" ht="59.25" customHeight="1" thickBot="1">
      <c r="A9" s="230"/>
      <c r="B9" s="244"/>
      <c r="C9" s="4"/>
      <c r="D9" s="246"/>
      <c r="E9" s="246"/>
      <c r="F9" s="250"/>
      <c r="G9" s="2"/>
      <c r="H9" s="234"/>
      <c r="I9" s="235"/>
      <c r="J9" s="236"/>
      <c r="K9" s="252"/>
      <c r="L9" s="158" t="s">
        <v>30</v>
      </c>
      <c r="M9" s="158" t="s">
        <v>31</v>
      </c>
      <c r="N9" s="158" t="s">
        <v>32</v>
      </c>
      <c r="O9" s="243"/>
      <c r="P9" s="2"/>
      <c r="Q9" s="241"/>
      <c r="R9" s="2"/>
      <c r="S9" s="241"/>
      <c r="T9" s="2"/>
      <c r="U9" s="241"/>
      <c r="V9" s="248"/>
      <c r="W9" s="2"/>
      <c r="X9" s="241"/>
    </row>
    <row r="10" spans="1:24" ht="32.25" customHeight="1">
      <c r="A10" s="2"/>
      <c r="B10" s="6">
        <v>44287</v>
      </c>
      <c r="C10" s="7"/>
      <c r="D10" s="143">
        <v>97</v>
      </c>
      <c r="E10" s="143">
        <v>141</v>
      </c>
      <c r="F10" s="13">
        <f>'Suivi EAU-ELEC'!E9</f>
        <v>115</v>
      </c>
      <c r="G10" s="11"/>
      <c r="H10" s="208">
        <f>F10*8.79</f>
        <v>1010.8499999999999</v>
      </c>
      <c r="I10" s="209"/>
      <c r="J10" s="209"/>
      <c r="K10" s="60">
        <v>42278</v>
      </c>
      <c r="L10" s="90">
        <f>'Suivi EAU-ELEC'!G9</f>
        <v>3293</v>
      </c>
      <c r="M10" s="91">
        <f>'Suivi EAU-ELEC'!I9</f>
        <v>5016</v>
      </c>
      <c r="N10" s="91">
        <f>'Suivi EAU-ELEC'!K9</f>
        <v>2337</v>
      </c>
      <c r="O10" s="91">
        <f>L10+M10+N10</f>
        <v>10646</v>
      </c>
      <c r="P10" s="11"/>
      <c r="Q10" s="34">
        <f>L10*0.6985+M10*0.9514+N10*1.3304</f>
        <v>10181.527700000001</v>
      </c>
      <c r="R10" s="11"/>
      <c r="S10" s="28"/>
      <c r="T10" s="11"/>
      <c r="U10" s="28"/>
      <c r="V10" s="148">
        <f>'Suvi Gaz'!O4</f>
        <v>555.45000000000005</v>
      </c>
      <c r="W10" s="11"/>
      <c r="X10" s="34">
        <f>V10*9.8209</f>
        <v>5455.0189050000008</v>
      </c>
    </row>
    <row r="11" spans="1:24" ht="32.25" customHeight="1">
      <c r="A11" s="2"/>
      <c r="B11" s="6">
        <v>44288</v>
      </c>
      <c r="C11" s="7"/>
      <c r="D11" s="143">
        <v>100</v>
      </c>
      <c r="E11" s="143">
        <v>148</v>
      </c>
      <c r="F11" s="13">
        <f>'Suivi EAU-ELEC'!E10</f>
        <v>109.10000000000582</v>
      </c>
      <c r="G11" s="11"/>
      <c r="H11" s="208">
        <f t="shared" ref="H11:H21" si="0">F11*8.79</f>
        <v>958.98900000005108</v>
      </c>
      <c r="I11" s="209"/>
      <c r="J11" s="209"/>
      <c r="K11" s="60">
        <v>42279</v>
      </c>
      <c r="L11" s="90">
        <f>'Suivi EAU-ELEC'!G10</f>
        <v>3047</v>
      </c>
      <c r="M11" s="91">
        <f>'Suivi EAU-ELEC'!I10</f>
        <v>5674</v>
      </c>
      <c r="N11" s="91">
        <f>'Suivi EAU-ELEC'!K10</f>
        <v>2563</v>
      </c>
      <c r="O11" s="91">
        <f>L11+M11+N11</f>
        <v>11284</v>
      </c>
      <c r="P11" s="11"/>
      <c r="Q11" s="34">
        <f>L11*0.6985+M11*0.9514+N14*1.3304</f>
        <v>10212.6507</v>
      </c>
      <c r="R11" s="11"/>
      <c r="S11" s="28"/>
      <c r="T11" s="11"/>
      <c r="U11" s="28"/>
      <c r="V11" s="148">
        <f>'Suvi Gaz'!O5</f>
        <v>592.48</v>
      </c>
      <c r="W11" s="11"/>
      <c r="X11" s="34">
        <f t="shared" ref="X11:X39" si="1">V11*9.8209</f>
        <v>5818.6868320000003</v>
      </c>
    </row>
    <row r="12" spans="1:24" ht="32.25" customHeight="1">
      <c r="A12" s="2"/>
      <c r="B12" s="6">
        <v>44289</v>
      </c>
      <c r="C12" s="7"/>
      <c r="D12" s="143">
        <v>102</v>
      </c>
      <c r="E12" s="143">
        <v>143</v>
      </c>
      <c r="F12" s="13">
        <f>'Suivi EAU-ELEC'!E11</f>
        <v>117.39999999999418</v>
      </c>
      <c r="G12" s="11"/>
      <c r="H12" s="208">
        <f t="shared" si="0"/>
        <v>1031.9459999999488</v>
      </c>
      <c r="I12" s="209"/>
      <c r="J12" s="209"/>
      <c r="K12" s="60">
        <v>42280</v>
      </c>
      <c r="L12" s="90">
        <f>'Suivi EAU-ELEC'!G11</f>
        <v>2862</v>
      </c>
      <c r="M12" s="91">
        <f>'Suivi EAU-ELEC'!I11</f>
        <v>6376</v>
      </c>
      <c r="N12" s="91">
        <f>'Suivi EAU-ELEC'!K11</f>
        <v>2691</v>
      </c>
      <c r="O12" s="91">
        <f>L12+M12+N12</f>
        <v>11929</v>
      </c>
      <c r="P12" s="11"/>
      <c r="Q12" s="34">
        <f>L12*0.6985+M12*0.9514+N12*1.3304</f>
        <v>11645.3398</v>
      </c>
      <c r="R12" s="11"/>
      <c r="S12" s="28"/>
      <c r="T12" s="11"/>
      <c r="U12" s="28"/>
      <c r="V12" s="148">
        <f>'Suvi Gaz'!O6</f>
        <v>703.57</v>
      </c>
      <c r="W12" s="11"/>
      <c r="X12" s="34">
        <f t="shared" si="1"/>
        <v>6909.6906130000007</v>
      </c>
    </row>
    <row r="13" spans="1:24" ht="32.25" customHeight="1">
      <c r="A13" s="2"/>
      <c r="B13" s="6">
        <v>44290</v>
      </c>
      <c r="C13" s="7"/>
      <c r="D13" s="143">
        <v>53</v>
      </c>
      <c r="E13" s="143">
        <v>75</v>
      </c>
      <c r="F13" s="13">
        <f>'Suivi EAU-ELEC'!E12</f>
        <v>115.5</v>
      </c>
      <c r="G13" s="11"/>
      <c r="H13" s="208">
        <f t="shared" si="0"/>
        <v>1015.2449999999999</v>
      </c>
      <c r="I13" s="209"/>
      <c r="J13" s="209"/>
      <c r="K13" s="60">
        <v>42281</v>
      </c>
      <c r="L13" s="90">
        <f>'Suivi EAU-ELEC'!G12</f>
        <v>3078</v>
      </c>
      <c r="M13" s="91">
        <f>'Suivi EAU-ELEC'!I12</f>
        <v>5951</v>
      </c>
      <c r="N13" s="91">
        <f>'Suivi EAU-ELEC'!K12</f>
        <v>2427</v>
      </c>
      <c r="O13" s="91">
        <f t="shared" ref="O13:O39" si="2">L13+M13+N13</f>
        <v>11456</v>
      </c>
      <c r="P13" s="11"/>
      <c r="Q13" s="34">
        <f t="shared" ref="Q13:Q39" si="3">L13*0.6985+M13*0.9514+N13*1.3304</f>
        <v>11040.645199999999</v>
      </c>
      <c r="R13" s="11"/>
      <c r="S13" s="28"/>
      <c r="T13" s="11"/>
      <c r="U13" s="28"/>
      <c r="V13" s="148">
        <f>'Suvi Gaz'!O7</f>
        <v>519.4</v>
      </c>
      <c r="W13" s="11"/>
      <c r="X13" s="34">
        <f t="shared" si="1"/>
        <v>5100.9754599999997</v>
      </c>
    </row>
    <row r="14" spans="1:24" ht="32.25" customHeight="1">
      <c r="A14" s="2"/>
      <c r="B14" s="6">
        <v>44291</v>
      </c>
      <c r="C14" s="7"/>
      <c r="D14" s="143">
        <v>37</v>
      </c>
      <c r="E14" s="143">
        <v>56</v>
      </c>
      <c r="F14" s="13">
        <f>'Suivi EAU-ELEC'!E13</f>
        <v>91.30000000000291</v>
      </c>
      <c r="G14" s="12"/>
      <c r="H14" s="208">
        <f t="shared" si="0"/>
        <v>802.52700000002551</v>
      </c>
      <c r="I14" s="209"/>
      <c r="J14" s="209"/>
      <c r="K14" s="60">
        <v>42282</v>
      </c>
      <c r="L14" s="90">
        <f>'Suivi EAU-ELEC'!G13</f>
        <v>3120</v>
      </c>
      <c r="M14" s="91">
        <f>'Suivi EAU-ELEC'!I13</f>
        <v>5839</v>
      </c>
      <c r="N14" s="91">
        <f>'Suivi EAU-ELEC'!K13</f>
        <v>2019</v>
      </c>
      <c r="O14" s="91">
        <f t="shared" si="2"/>
        <v>10978</v>
      </c>
      <c r="P14" s="12"/>
      <c r="Q14" s="34">
        <f t="shared" si="3"/>
        <v>10420.622200000002</v>
      </c>
      <c r="R14" s="12"/>
      <c r="S14" s="28"/>
      <c r="T14" s="12"/>
      <c r="U14" s="28"/>
      <c r="V14" s="148">
        <f>'Suvi Gaz'!O8</f>
        <v>319.99209999999999</v>
      </c>
      <c r="W14" s="11"/>
      <c r="X14" s="34">
        <f t="shared" si="1"/>
        <v>3142.6104148899999</v>
      </c>
    </row>
    <row r="15" spans="1:24" ht="32.25" customHeight="1">
      <c r="A15" s="159"/>
      <c r="B15" s="6">
        <v>44292</v>
      </c>
      <c r="C15" s="7"/>
      <c r="D15" s="143">
        <v>31</v>
      </c>
      <c r="E15" s="143">
        <v>44</v>
      </c>
      <c r="F15" s="13">
        <f>'Suivi EAU-ELEC'!E14</f>
        <v>94.399999999994179</v>
      </c>
      <c r="G15" s="11"/>
      <c r="H15" s="208">
        <f t="shared" si="0"/>
        <v>829.77599999994879</v>
      </c>
      <c r="I15" s="209"/>
      <c r="J15" s="209"/>
      <c r="K15" s="60">
        <v>42283</v>
      </c>
      <c r="L15" s="90">
        <f>'Suivi EAU-ELEC'!G14</f>
        <v>2905</v>
      </c>
      <c r="M15" s="91">
        <f>'Suivi EAU-ELEC'!I14</f>
        <v>5318</v>
      </c>
      <c r="N15" s="91">
        <f>'Suivi EAU-ELEC'!K14</f>
        <v>1879</v>
      </c>
      <c r="O15" s="91">
        <f t="shared" si="2"/>
        <v>10102</v>
      </c>
      <c r="P15" s="12"/>
      <c r="Q15" s="34">
        <f>L15*0.6985+M15*0.9514+N15*1.3304</f>
        <v>9588.5093000000015</v>
      </c>
      <c r="R15" s="12"/>
      <c r="S15" s="28"/>
      <c r="T15" s="12"/>
      <c r="U15" s="28"/>
      <c r="V15" s="148">
        <f>'Suvi Gaz'!O9</f>
        <v>63.998420000000003</v>
      </c>
      <c r="W15" s="11"/>
      <c r="X15" s="34">
        <f t="shared" si="1"/>
        <v>628.52208297800007</v>
      </c>
    </row>
    <row r="16" spans="1:24" ht="32.25" customHeight="1">
      <c r="A16" s="159"/>
      <c r="B16" s="6">
        <v>44293</v>
      </c>
      <c r="C16" s="7"/>
      <c r="D16" s="143">
        <v>34</v>
      </c>
      <c r="E16" s="143">
        <v>51</v>
      </c>
      <c r="F16" s="13">
        <f>'Suivi EAU-ELEC'!E15</f>
        <v>71.30000000000291</v>
      </c>
      <c r="G16" s="11"/>
      <c r="H16" s="208">
        <f t="shared" si="0"/>
        <v>626.72700000002555</v>
      </c>
      <c r="I16" s="209"/>
      <c r="J16" s="209"/>
      <c r="K16" s="60">
        <v>42284</v>
      </c>
      <c r="L16" s="90">
        <f>'Suivi EAU-ELEC'!G15</f>
        <v>2439</v>
      </c>
      <c r="M16" s="91">
        <f>'Suivi EAU-ELEC'!I15</f>
        <v>5314</v>
      </c>
      <c r="N16" s="91">
        <f>'Suivi EAU-ELEC'!K15</f>
        <v>2053</v>
      </c>
      <c r="O16" s="91">
        <f t="shared" si="2"/>
        <v>9806</v>
      </c>
      <c r="P16" s="11"/>
      <c r="Q16" s="34">
        <f t="shared" si="3"/>
        <v>9490.6922999999988</v>
      </c>
      <c r="R16" s="11"/>
      <c r="S16" s="28"/>
      <c r="T16" s="11"/>
      <c r="U16" s="28"/>
      <c r="V16" s="148">
        <f>'Suvi Gaz'!O10</f>
        <v>415.98973000000001</v>
      </c>
      <c r="W16" s="11"/>
      <c r="X16" s="34">
        <f t="shared" si="1"/>
        <v>4085.393539357</v>
      </c>
    </row>
    <row r="17" spans="1:24" s="5" customFormat="1" ht="32.25" customHeight="1">
      <c r="A17" s="2"/>
      <c r="B17" s="6">
        <v>44294</v>
      </c>
      <c r="C17" s="7"/>
      <c r="D17" s="143">
        <v>34</v>
      </c>
      <c r="E17" s="143">
        <v>53</v>
      </c>
      <c r="F17" s="13">
        <f>'Suivi EAU-ELEC'!E16</f>
        <v>72</v>
      </c>
      <c r="G17" s="11"/>
      <c r="H17" s="208">
        <f t="shared" si="0"/>
        <v>632.87999999999988</v>
      </c>
      <c r="I17" s="209"/>
      <c r="J17" s="209"/>
      <c r="K17" s="60">
        <v>42285</v>
      </c>
      <c r="L17" s="90">
        <f>'Suivi EAU-ELEC'!G16</f>
        <v>2438</v>
      </c>
      <c r="M17" s="91">
        <f>'Suivi EAU-ELEC'!I16</f>
        <v>5332</v>
      </c>
      <c r="N17" s="91">
        <f>'Suivi EAU-ELEC'!K16</f>
        <v>1942</v>
      </c>
      <c r="O17" s="91">
        <f t="shared" si="2"/>
        <v>9712</v>
      </c>
      <c r="P17" s="12"/>
      <c r="Q17" s="34">
        <f t="shared" si="3"/>
        <v>9359.4446000000007</v>
      </c>
      <c r="R17" s="12"/>
      <c r="S17" s="28"/>
      <c r="T17" s="12"/>
      <c r="U17" s="28"/>
      <c r="V17" s="148">
        <f>'Suvi Gaz'!O11</f>
        <v>287.99288999999999</v>
      </c>
      <c r="W17" s="11"/>
      <c r="X17" s="34">
        <f t="shared" si="1"/>
        <v>2828.3493734009999</v>
      </c>
    </row>
    <row r="18" spans="1:24" ht="32.25" customHeight="1">
      <c r="A18" s="2"/>
      <c r="B18" s="6">
        <v>44295</v>
      </c>
      <c r="C18" s="7"/>
      <c r="D18" s="143">
        <v>35</v>
      </c>
      <c r="E18" s="143">
        <v>53</v>
      </c>
      <c r="F18" s="13">
        <f>'Suivi EAU-ELEC'!E17</f>
        <v>83.80000000000291</v>
      </c>
      <c r="G18" s="11"/>
      <c r="H18" s="208">
        <f t="shared" si="0"/>
        <v>736.60200000002555</v>
      </c>
      <c r="I18" s="209"/>
      <c r="J18" s="209"/>
      <c r="K18" s="60">
        <v>42286</v>
      </c>
      <c r="L18" s="90">
        <f>'Suivi EAU-ELEC'!G17</f>
        <v>2786</v>
      </c>
      <c r="M18" s="91">
        <f>'Suivi EAU-ELEC'!I17</f>
        <v>5144</v>
      </c>
      <c r="N18" s="91">
        <f>'Suivi EAU-ELEC'!K17</f>
        <v>2080</v>
      </c>
      <c r="O18" s="91">
        <f t="shared" si="2"/>
        <v>10010</v>
      </c>
      <c r="P18" s="12"/>
      <c r="Q18" s="34">
        <f t="shared" si="3"/>
        <v>9607.2546000000002</v>
      </c>
      <c r="R18" s="12"/>
      <c r="S18" s="28"/>
      <c r="T18" s="12"/>
      <c r="U18" s="28"/>
      <c r="V18" s="148">
        <f>'Suvi Gaz'!O12</f>
        <v>255.99368000000001</v>
      </c>
      <c r="W18" s="11"/>
      <c r="X18" s="34">
        <f t="shared" si="1"/>
        <v>2514.0883319120003</v>
      </c>
    </row>
    <row r="19" spans="1:24" ht="32.25" customHeight="1">
      <c r="A19" s="2"/>
      <c r="B19" s="6">
        <v>44296</v>
      </c>
      <c r="C19" s="7"/>
      <c r="D19" s="143">
        <v>37</v>
      </c>
      <c r="E19" s="143">
        <v>58</v>
      </c>
      <c r="F19" s="13">
        <f>'Suivi EAU-ELEC'!E18</f>
        <v>77</v>
      </c>
      <c r="G19" s="12"/>
      <c r="H19" s="208">
        <f t="shared" si="0"/>
        <v>676.82999999999993</v>
      </c>
      <c r="I19" s="209"/>
      <c r="J19" s="209"/>
      <c r="K19" s="60">
        <v>42287</v>
      </c>
      <c r="L19" s="90">
        <f>'Suivi EAU-ELEC'!G18</f>
        <v>2459</v>
      </c>
      <c r="M19" s="91">
        <f>'Suivi EAU-ELEC'!I18</f>
        <v>5277</v>
      </c>
      <c r="N19" s="91">
        <f>'Suivi EAU-ELEC'!K18</f>
        <v>2154</v>
      </c>
      <c r="O19" s="91">
        <f t="shared" si="2"/>
        <v>9890</v>
      </c>
      <c r="P19" s="12"/>
      <c r="Q19" s="34">
        <f t="shared" si="3"/>
        <v>9603.8309000000008</v>
      </c>
      <c r="R19" s="12"/>
      <c r="S19" s="28"/>
      <c r="T19" s="12"/>
      <c r="U19" s="28"/>
      <c r="V19" s="148">
        <f>'Suvi Gaz'!O13</f>
        <v>607.98499000000004</v>
      </c>
      <c r="W19" s="11"/>
      <c r="X19" s="34">
        <f t="shared" si="1"/>
        <v>5970.9597882910002</v>
      </c>
    </row>
    <row r="20" spans="1:24" ht="32.25" customHeight="1">
      <c r="A20" s="2"/>
      <c r="B20" s="6">
        <v>44297</v>
      </c>
      <c r="C20" s="7"/>
      <c r="D20" s="143">
        <v>28</v>
      </c>
      <c r="E20" s="143">
        <v>41</v>
      </c>
      <c r="F20" s="13">
        <f>'Suivi EAU-ELEC'!E19</f>
        <v>74.80000000000291</v>
      </c>
      <c r="G20" s="12"/>
      <c r="H20" s="208">
        <f t="shared" si="0"/>
        <v>657.49200000002554</v>
      </c>
      <c r="I20" s="209"/>
      <c r="J20" s="209"/>
      <c r="K20" s="60">
        <v>42288</v>
      </c>
      <c r="L20" s="90">
        <f>'Suivi EAU-ELEC'!G19</f>
        <v>2452</v>
      </c>
      <c r="M20" s="91">
        <f>'Suivi EAU-ELEC'!I19</f>
        <v>4776</v>
      </c>
      <c r="N20" s="91">
        <f>'Suivi EAU-ELEC'!K19</f>
        <v>1686</v>
      </c>
      <c r="O20" s="91">
        <f t="shared" si="2"/>
        <v>8914</v>
      </c>
      <c r="P20" s="12"/>
      <c r="Q20" s="34">
        <f t="shared" si="3"/>
        <v>8499.6628000000001</v>
      </c>
      <c r="R20" s="12"/>
      <c r="S20" s="28"/>
      <c r="T20" s="12"/>
      <c r="U20" s="28"/>
      <c r="V20" s="148">
        <f>'Suvi Gaz'!O14</f>
        <v>415.98973000000001</v>
      </c>
      <c r="W20" s="11"/>
      <c r="X20" s="34">
        <f t="shared" si="1"/>
        <v>4085.393539357</v>
      </c>
    </row>
    <row r="21" spans="1:24" ht="32.25" customHeight="1">
      <c r="A21" s="2"/>
      <c r="B21" s="6">
        <v>44298</v>
      </c>
      <c r="C21" s="7"/>
      <c r="D21" s="143">
        <v>20</v>
      </c>
      <c r="E21" s="143">
        <v>28</v>
      </c>
      <c r="F21" s="13">
        <f>'Suivi EAU-ELEC'!E20</f>
        <v>57.099999999991269</v>
      </c>
      <c r="G21" s="12"/>
      <c r="H21" s="208">
        <f t="shared" si="0"/>
        <v>501.9089999999232</v>
      </c>
      <c r="I21" s="209"/>
      <c r="J21" s="209"/>
      <c r="K21" s="60">
        <v>42289</v>
      </c>
      <c r="L21" s="90">
        <f>'Suivi EAU-ELEC'!G20</f>
        <v>2539</v>
      </c>
      <c r="M21" s="91">
        <f>'Suivi EAU-ELEC'!I20</f>
        <v>4885</v>
      </c>
      <c r="N21" s="91">
        <f>'Suivi EAU-ELEC'!K20</f>
        <v>1931</v>
      </c>
      <c r="O21" s="91">
        <f>L21+M21+N21</f>
        <v>9355</v>
      </c>
      <c r="P21" s="12"/>
      <c r="Q21" s="34">
        <f t="shared" si="3"/>
        <v>8990.0828999999994</v>
      </c>
      <c r="R21" s="12"/>
      <c r="S21" s="28"/>
      <c r="T21" s="12"/>
      <c r="U21" s="28"/>
      <c r="V21" s="148">
        <f>'Suvi Gaz'!O15</f>
        <v>511.98736000000002</v>
      </c>
      <c r="W21" s="11"/>
      <c r="X21" s="34">
        <f t="shared" si="1"/>
        <v>5028.1766638240006</v>
      </c>
    </row>
    <row r="22" spans="1:24" ht="32.25" customHeight="1">
      <c r="A22" s="2"/>
      <c r="B22" s="6">
        <v>44299</v>
      </c>
      <c r="C22" s="7"/>
      <c r="D22" s="143">
        <v>13</v>
      </c>
      <c r="E22" s="143">
        <v>18</v>
      </c>
      <c r="F22" s="13">
        <f>'Suivi EAU-ELEC'!E21</f>
        <v>91.80000000000291</v>
      </c>
      <c r="G22" s="12"/>
      <c r="H22" s="208">
        <f t="shared" ref="H22:H35" si="4">F22*8.79</f>
        <v>806.92200000002549</v>
      </c>
      <c r="I22" s="209"/>
      <c r="J22" s="209"/>
      <c r="K22" s="60">
        <v>42290</v>
      </c>
      <c r="L22" s="90">
        <f>'Suivi EAU-ELEC'!G21</f>
        <v>2237</v>
      </c>
      <c r="M22" s="91">
        <f>'Suivi EAU-ELEC'!I21</f>
        <v>5424</v>
      </c>
      <c r="N22" s="91">
        <f>'Suivi EAU-ELEC'!K21</f>
        <v>1973</v>
      </c>
      <c r="O22" s="91">
        <f t="shared" si="2"/>
        <v>9634</v>
      </c>
      <c r="P22" s="12"/>
      <c r="Q22" s="34">
        <f t="shared" si="3"/>
        <v>9347.8173000000006</v>
      </c>
      <c r="R22" s="12"/>
      <c r="S22" s="28"/>
      <c r="T22" s="12"/>
      <c r="U22" s="28"/>
      <c r="V22" s="148">
        <f>'Suvi Gaz'!O16</f>
        <v>255.99368000000001</v>
      </c>
      <c r="W22" s="11"/>
      <c r="X22" s="34">
        <f t="shared" si="1"/>
        <v>2514.0883319120003</v>
      </c>
    </row>
    <row r="23" spans="1:24" ht="32.25" customHeight="1">
      <c r="A23" s="2"/>
      <c r="B23" s="6">
        <v>44300</v>
      </c>
      <c r="C23" s="7"/>
      <c r="D23" s="143">
        <v>12</v>
      </c>
      <c r="E23" s="143">
        <v>16</v>
      </c>
      <c r="F23" s="13">
        <f>'Suivi EAU-ELEC'!E22</f>
        <v>80.5</v>
      </c>
      <c r="G23" s="14"/>
      <c r="H23" s="208">
        <f t="shared" si="4"/>
        <v>707.59499999999991</v>
      </c>
      <c r="I23" s="209"/>
      <c r="J23" s="209"/>
      <c r="K23" s="60">
        <v>42291</v>
      </c>
      <c r="L23" s="90">
        <f>'Suivi EAU-ELEC'!G22</f>
        <v>2357</v>
      </c>
      <c r="M23" s="91">
        <f>'Suivi EAU-ELEC'!I22</f>
        <v>5197</v>
      </c>
      <c r="N23" s="91">
        <f>'Suivi EAU-ELEC'!K22</f>
        <v>1718</v>
      </c>
      <c r="O23" s="91">
        <f t="shared" si="2"/>
        <v>9272</v>
      </c>
      <c r="P23" s="12"/>
      <c r="Q23" s="34">
        <f t="shared" si="3"/>
        <v>8876.4174999999996</v>
      </c>
      <c r="R23" s="12"/>
      <c r="S23" s="28"/>
      <c r="T23" s="14"/>
      <c r="U23" s="28"/>
      <c r="V23" s="148">
        <f>'Suvi Gaz'!O17</f>
        <v>287.99288999999999</v>
      </c>
      <c r="W23" s="11"/>
      <c r="X23" s="34">
        <f t="shared" si="1"/>
        <v>2828.3493734009999</v>
      </c>
    </row>
    <row r="24" spans="1:24" ht="32.25" customHeight="1">
      <c r="A24" s="2"/>
      <c r="B24" s="6">
        <v>44301</v>
      </c>
      <c r="C24" s="7"/>
      <c r="D24" s="143"/>
      <c r="E24" s="143"/>
      <c r="F24" s="13">
        <f>'Suivi EAU-ELEC'!E23</f>
        <v>50</v>
      </c>
      <c r="G24" s="14"/>
      <c r="H24" s="208">
        <f t="shared" si="4"/>
        <v>439.49999999999994</v>
      </c>
      <c r="I24" s="209"/>
      <c r="J24" s="209"/>
      <c r="K24" s="60">
        <v>42292</v>
      </c>
      <c r="L24" s="90">
        <f>'Suivi EAU-ELEC'!G23</f>
        <v>2117</v>
      </c>
      <c r="M24" s="91">
        <f>'Suivi EAU-ELEC'!I23</f>
        <v>4583</v>
      </c>
      <c r="N24" s="91">
        <f>'Suivi EAU-ELEC'!K23</f>
        <v>1663</v>
      </c>
      <c r="O24" s="91">
        <f t="shared" si="2"/>
        <v>8363</v>
      </c>
      <c r="P24" s="12"/>
      <c r="Q24" s="34">
        <f t="shared" si="3"/>
        <v>8051.4459000000006</v>
      </c>
      <c r="R24" s="12"/>
      <c r="S24" s="28"/>
      <c r="T24" s="14"/>
      <c r="U24" s="28"/>
      <c r="V24" s="148"/>
      <c r="W24" s="11"/>
      <c r="X24" s="34">
        <f t="shared" si="1"/>
        <v>0</v>
      </c>
    </row>
    <row r="25" spans="1:24" ht="32.25" customHeight="1">
      <c r="A25" s="2"/>
      <c r="B25" s="6">
        <v>44302</v>
      </c>
      <c r="C25" s="7"/>
      <c r="D25" s="143"/>
      <c r="E25" s="143"/>
      <c r="F25" s="13"/>
      <c r="G25" s="14"/>
      <c r="H25" s="208">
        <f t="shared" si="4"/>
        <v>0</v>
      </c>
      <c r="I25" s="209"/>
      <c r="J25" s="209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8"/>
      <c r="W25" s="11"/>
      <c r="X25" s="34">
        <f t="shared" si="1"/>
        <v>0</v>
      </c>
    </row>
    <row r="26" spans="1:24" ht="32.25" customHeight="1">
      <c r="A26" s="2"/>
      <c r="B26" s="6">
        <v>44303</v>
      </c>
      <c r="C26" s="7"/>
      <c r="D26" s="143"/>
      <c r="E26" s="143"/>
      <c r="F26" s="13"/>
      <c r="G26" s="14"/>
      <c r="H26" s="208">
        <f t="shared" si="4"/>
        <v>0</v>
      </c>
      <c r="I26" s="209"/>
      <c r="J26" s="209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8"/>
      <c r="W26" s="11"/>
      <c r="X26" s="34">
        <f t="shared" si="1"/>
        <v>0</v>
      </c>
    </row>
    <row r="27" spans="1:24" ht="32.25" customHeight="1">
      <c r="A27" s="2"/>
      <c r="B27" s="6">
        <v>44304</v>
      </c>
      <c r="C27" s="7"/>
      <c r="D27" s="143"/>
      <c r="E27" s="143"/>
      <c r="F27" s="13"/>
      <c r="G27" s="14"/>
      <c r="H27" s="208">
        <f t="shared" si="4"/>
        <v>0</v>
      </c>
      <c r="I27" s="209"/>
      <c r="J27" s="20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8"/>
      <c r="W27" s="11"/>
      <c r="X27" s="34">
        <f t="shared" si="1"/>
        <v>0</v>
      </c>
    </row>
    <row r="28" spans="1:24" ht="32.25" customHeight="1">
      <c r="A28" s="2"/>
      <c r="B28" s="6">
        <v>44305</v>
      </c>
      <c r="C28" s="7"/>
      <c r="D28" s="143"/>
      <c r="E28" s="143"/>
      <c r="F28" s="13"/>
      <c r="G28" s="11"/>
      <c r="H28" s="208">
        <f t="shared" si="4"/>
        <v>0</v>
      </c>
      <c r="I28" s="209"/>
      <c r="J28" s="20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8"/>
      <c r="W28" s="11"/>
      <c r="X28" s="34">
        <f t="shared" si="1"/>
        <v>0</v>
      </c>
    </row>
    <row r="29" spans="1:24" ht="32.25" customHeight="1">
      <c r="A29" s="2"/>
      <c r="B29" s="6">
        <v>44306</v>
      </c>
      <c r="C29" s="7"/>
      <c r="D29" s="143"/>
      <c r="E29" s="143"/>
      <c r="F29" s="13"/>
      <c r="G29" s="11"/>
      <c r="H29" s="208">
        <f t="shared" si="4"/>
        <v>0</v>
      </c>
      <c r="I29" s="209"/>
      <c r="J29" s="20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8"/>
      <c r="W29" s="11"/>
      <c r="X29" s="34">
        <f t="shared" si="1"/>
        <v>0</v>
      </c>
    </row>
    <row r="30" spans="1:24" ht="32.25" customHeight="1">
      <c r="A30" s="2"/>
      <c r="B30" s="6">
        <v>44307</v>
      </c>
      <c r="C30" s="7"/>
      <c r="D30" s="143"/>
      <c r="E30" s="143"/>
      <c r="F30" s="13"/>
      <c r="G30" s="11"/>
      <c r="H30" s="208">
        <f t="shared" si="4"/>
        <v>0</v>
      </c>
      <c r="I30" s="209"/>
      <c r="J30" s="209"/>
      <c r="K30" s="60">
        <v>42298</v>
      </c>
      <c r="L30" s="90"/>
      <c r="M30" s="91"/>
      <c r="N30" s="91"/>
      <c r="O30" s="91">
        <f t="shared" si="2"/>
        <v>0</v>
      </c>
      <c r="P30" s="11"/>
      <c r="Q30" s="34">
        <f t="shared" si="3"/>
        <v>0</v>
      </c>
      <c r="R30" s="11"/>
      <c r="S30" s="28"/>
      <c r="T30" s="11"/>
      <c r="U30" s="28"/>
      <c r="V30" s="148"/>
      <c r="W30" s="11"/>
      <c r="X30" s="34">
        <f t="shared" si="1"/>
        <v>0</v>
      </c>
    </row>
    <row r="31" spans="1:24" ht="27.75" customHeight="1">
      <c r="A31" s="2"/>
      <c r="B31" s="6">
        <v>44308</v>
      </c>
      <c r="C31" s="7"/>
      <c r="D31" s="143"/>
      <c r="E31" s="143"/>
      <c r="F31" s="13"/>
      <c r="G31" s="11"/>
      <c r="H31" s="208">
        <f t="shared" si="4"/>
        <v>0</v>
      </c>
      <c r="I31" s="209"/>
      <c r="J31" s="20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8"/>
      <c r="W31" s="11"/>
      <c r="X31" s="34">
        <f t="shared" si="1"/>
        <v>0</v>
      </c>
    </row>
    <row r="32" spans="1:24" ht="37.5" customHeight="1">
      <c r="A32" s="2"/>
      <c r="B32" s="6">
        <v>44309</v>
      </c>
      <c r="C32" s="7"/>
      <c r="D32" s="143"/>
      <c r="E32" s="143"/>
      <c r="F32" s="13"/>
      <c r="G32" s="11"/>
      <c r="H32" s="208">
        <f t="shared" si="4"/>
        <v>0</v>
      </c>
      <c r="I32" s="209"/>
      <c r="J32" s="20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8"/>
      <c r="W32" s="11"/>
      <c r="X32" s="34">
        <f t="shared" si="1"/>
        <v>0</v>
      </c>
    </row>
    <row r="33" spans="1:24" ht="37.5" customHeight="1">
      <c r="A33" s="2"/>
      <c r="B33" s="6">
        <v>44310</v>
      </c>
      <c r="C33" s="7"/>
      <c r="D33" s="143"/>
      <c r="E33" s="143"/>
      <c r="F33" s="13"/>
      <c r="G33" s="11"/>
      <c r="H33" s="208">
        <f t="shared" si="4"/>
        <v>0</v>
      </c>
      <c r="I33" s="209"/>
      <c r="J33" s="20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8"/>
      <c r="W33" s="11"/>
      <c r="X33" s="34">
        <f t="shared" si="1"/>
        <v>0</v>
      </c>
    </row>
    <row r="34" spans="1:24" ht="37.5" customHeight="1">
      <c r="A34" s="2"/>
      <c r="B34" s="6">
        <v>44311</v>
      </c>
      <c r="C34" s="7"/>
      <c r="D34" s="143"/>
      <c r="E34" s="143"/>
      <c r="F34" s="13"/>
      <c r="G34" s="11"/>
      <c r="H34" s="208">
        <f t="shared" si="4"/>
        <v>0</v>
      </c>
      <c r="I34" s="209"/>
      <c r="J34" s="20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8"/>
      <c r="W34" s="11"/>
      <c r="X34" s="34">
        <f t="shared" si="1"/>
        <v>0</v>
      </c>
    </row>
    <row r="35" spans="1:24" ht="33.75" customHeight="1">
      <c r="A35" s="2"/>
      <c r="B35" s="6">
        <v>44312</v>
      </c>
      <c r="C35" s="7"/>
      <c r="D35" s="143"/>
      <c r="E35" s="143"/>
      <c r="F35" s="13"/>
      <c r="G35" s="11"/>
      <c r="H35" s="208">
        <f t="shared" si="4"/>
        <v>0</v>
      </c>
      <c r="I35" s="209"/>
      <c r="J35" s="20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8"/>
      <c r="W35" s="11"/>
      <c r="X35" s="34">
        <f t="shared" si="1"/>
        <v>0</v>
      </c>
    </row>
    <row r="36" spans="1:24" ht="33.75" customHeight="1">
      <c r="A36" s="2"/>
      <c r="B36" s="6">
        <v>44313</v>
      </c>
      <c r="C36" s="7"/>
      <c r="D36" s="143"/>
      <c r="E36" s="143"/>
      <c r="F36" s="13"/>
      <c r="G36" s="11"/>
      <c r="H36" s="208">
        <f>F36*8.79</f>
        <v>0</v>
      </c>
      <c r="I36" s="209"/>
      <c r="J36" s="209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8"/>
      <c r="W36" s="11"/>
      <c r="X36" s="34">
        <f t="shared" si="1"/>
        <v>0</v>
      </c>
    </row>
    <row r="37" spans="1:24" s="154" customFormat="1" ht="33.75" customHeight="1">
      <c r="A37" s="2"/>
      <c r="B37" s="6">
        <v>44314</v>
      </c>
      <c r="C37" s="7"/>
      <c r="D37" s="143"/>
      <c r="E37" s="143"/>
      <c r="F37" s="13"/>
      <c r="G37" s="11"/>
      <c r="H37" s="208">
        <f t="shared" ref="H37:H38" si="5">F37*8.79</f>
        <v>0</v>
      </c>
      <c r="I37" s="209"/>
      <c r="J37" s="209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8"/>
      <c r="W37" s="11"/>
      <c r="X37" s="34">
        <f t="shared" si="1"/>
        <v>0</v>
      </c>
    </row>
    <row r="38" spans="1:24" s="154" customFormat="1" ht="33.75" customHeight="1">
      <c r="A38" s="2"/>
      <c r="B38" s="6">
        <v>44315</v>
      </c>
      <c r="C38" s="7"/>
      <c r="D38" s="143"/>
      <c r="E38" s="143"/>
      <c r="F38" s="13"/>
      <c r="G38" s="11"/>
      <c r="H38" s="208">
        <f t="shared" si="5"/>
        <v>0</v>
      </c>
      <c r="I38" s="209"/>
      <c r="J38" s="209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8"/>
      <c r="W38" s="11"/>
      <c r="X38" s="34">
        <f t="shared" si="1"/>
        <v>0</v>
      </c>
    </row>
    <row r="39" spans="1:24" ht="33.75" customHeight="1">
      <c r="A39" s="2"/>
      <c r="B39" s="6">
        <v>44316</v>
      </c>
      <c r="C39" s="7"/>
      <c r="D39" s="143"/>
      <c r="E39" s="143"/>
      <c r="F39" s="13"/>
      <c r="G39" s="11"/>
      <c r="H39" s="208">
        <f>F39*8.79</f>
        <v>0</v>
      </c>
      <c r="I39" s="209"/>
      <c r="J39" s="209"/>
      <c r="K39" s="60">
        <v>42305</v>
      </c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8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633</v>
      </c>
      <c r="E40" s="8">
        <f>SUM(E10:E39)</f>
        <v>925</v>
      </c>
      <c r="F40" s="155">
        <f>SUM(F10:F39)</f>
        <v>1301</v>
      </c>
      <c r="G40" s="1"/>
      <c r="H40" s="253">
        <f>SUM(H10:H39)</f>
        <v>11435.789999999999</v>
      </c>
      <c r="I40" s="254"/>
      <c r="J40" s="255"/>
      <c r="K40" s="1"/>
      <c r="L40" s="53">
        <f>SUM(L10:L39)</f>
        <v>40129</v>
      </c>
      <c r="M40" s="53">
        <f>SUM(M10:M39)</f>
        <v>80106</v>
      </c>
      <c r="N40" s="54">
        <f>SUM(N10:N39)</f>
        <v>31116</v>
      </c>
      <c r="O40" s="55">
        <f>SUM(O10:O39)</f>
        <v>151351</v>
      </c>
      <c r="P40" s="31"/>
      <c r="Q40" s="32">
        <f>SUM(Q10:Q39)</f>
        <v>144915.9437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5794.8154699999996</v>
      </c>
      <c r="W40" s="31"/>
      <c r="X40" s="32">
        <f>SUM(X10:X39)</f>
        <v>56910.303249322998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9"/>
      <c r="M41" s="159"/>
      <c r="N41" s="159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8" t="s">
        <v>33</v>
      </c>
      <c r="B42" s="189"/>
      <c r="C42" s="189"/>
      <c r="D42" s="189"/>
      <c r="E42" s="189"/>
      <c r="F42" s="190"/>
      <c r="G42" s="26"/>
      <c r="H42" s="27" t="s">
        <v>34</v>
      </c>
      <c r="I42" s="200" t="s">
        <v>35</v>
      </c>
      <c r="J42" s="201"/>
      <c r="K42" s="202"/>
      <c r="L42" s="224" t="s">
        <v>36</v>
      </c>
      <c r="M42" s="225"/>
      <c r="N42" s="188" t="s">
        <v>37</v>
      </c>
      <c r="O42" s="189"/>
      <c r="P42" s="189"/>
      <c r="Q42" s="189"/>
      <c r="R42" s="189"/>
      <c r="S42" s="189"/>
      <c r="T42" s="189"/>
      <c r="U42" s="189"/>
      <c r="V42" s="189"/>
      <c r="W42" s="189"/>
      <c r="X42" s="190"/>
    </row>
    <row r="43" spans="1:24" s="18" customFormat="1" ht="29.25" customHeight="1" thickBot="1">
      <c r="A43" s="218" t="s">
        <v>38</v>
      </c>
      <c r="B43" s="219"/>
      <c r="C43" s="220"/>
      <c r="D43" s="161" t="s">
        <v>30</v>
      </c>
      <c r="E43" s="161" t="s">
        <v>30</v>
      </c>
      <c r="F43" s="161" t="s">
        <v>30</v>
      </c>
      <c r="G43" s="16"/>
      <c r="H43" s="17">
        <v>0.69850000000000001</v>
      </c>
      <c r="I43" s="215">
        <f>L40</f>
        <v>40129</v>
      </c>
      <c r="J43" s="216"/>
      <c r="K43" s="217"/>
      <c r="L43" s="206">
        <f>I43*H43</f>
        <v>28030.106500000002</v>
      </c>
      <c r="M43" s="207"/>
      <c r="N43" s="179">
        <f>L43+L44+L45</f>
        <v>145639.6813</v>
      </c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spans="1:24" s="18" customFormat="1" ht="29.25" customHeight="1" thickBot="1">
      <c r="A44" s="221"/>
      <c r="B44" s="222"/>
      <c r="C44" s="223"/>
      <c r="D44" s="160" t="s">
        <v>31</v>
      </c>
      <c r="E44" s="160" t="s">
        <v>31</v>
      </c>
      <c r="F44" s="160" t="s">
        <v>31</v>
      </c>
      <c r="G44" s="16"/>
      <c r="H44" s="19">
        <v>0.95140000000000002</v>
      </c>
      <c r="I44" s="215">
        <f>M40</f>
        <v>80106</v>
      </c>
      <c r="J44" s="216"/>
      <c r="K44" s="217"/>
      <c r="L44" s="206">
        <f>I44*H44</f>
        <v>76212.848400000003</v>
      </c>
      <c r="M44" s="207"/>
      <c r="N44" s="182"/>
      <c r="O44" s="183"/>
      <c r="P44" s="183"/>
      <c r="Q44" s="183"/>
      <c r="R44" s="183"/>
      <c r="S44" s="183"/>
      <c r="T44" s="183"/>
      <c r="U44" s="183"/>
      <c r="V44" s="183"/>
      <c r="W44" s="183"/>
      <c r="X44" s="184"/>
    </row>
    <row r="45" spans="1:24" s="18" customFormat="1" ht="24.75" customHeight="1" thickBot="1">
      <c r="A45" s="221"/>
      <c r="B45" s="222"/>
      <c r="C45" s="223"/>
      <c r="D45" s="167" t="s">
        <v>32</v>
      </c>
      <c r="E45" s="167" t="s">
        <v>32</v>
      </c>
      <c r="F45" s="167" t="s">
        <v>32</v>
      </c>
      <c r="G45" s="20"/>
      <c r="H45" s="20">
        <v>1.3304</v>
      </c>
      <c r="I45" s="197">
        <f>N40</f>
        <v>31116</v>
      </c>
      <c r="J45" s="198"/>
      <c r="K45" s="199"/>
      <c r="L45" s="206">
        <f>I45*H45</f>
        <v>41396.7264</v>
      </c>
      <c r="M45" s="207"/>
      <c r="N45" s="185"/>
      <c r="O45" s="186"/>
      <c r="P45" s="186"/>
      <c r="Q45" s="186"/>
      <c r="R45" s="186"/>
      <c r="S45" s="186"/>
      <c r="T45" s="186"/>
      <c r="U45" s="186"/>
      <c r="V45" s="186"/>
      <c r="W45" s="186"/>
      <c r="X45" s="187"/>
    </row>
    <row r="46" spans="1:24" s="18" customFormat="1" ht="43.5" customHeight="1" thickBot="1">
      <c r="A46" s="162"/>
      <c r="B46" s="163"/>
      <c r="C46" s="163"/>
      <c r="D46" s="167"/>
      <c r="E46" s="167"/>
      <c r="F46" s="167"/>
      <c r="G46" s="16"/>
      <c r="H46" s="16"/>
      <c r="I46" s="165"/>
      <c r="J46" s="166"/>
      <c r="K46" s="167"/>
      <c r="L46" s="156"/>
      <c r="M46" s="157"/>
      <c r="N46" s="203">
        <f>N43*1.3</f>
        <v>189331.58569000001</v>
      </c>
      <c r="O46" s="204"/>
      <c r="P46" s="204"/>
      <c r="Q46" s="204"/>
      <c r="R46" s="204"/>
      <c r="S46" s="204"/>
      <c r="T46" s="204"/>
      <c r="U46" s="204"/>
      <c r="V46" s="204"/>
      <c r="W46" s="204"/>
      <c r="X46" s="205"/>
    </row>
    <row r="47" spans="1:24" s="23" customFormat="1" ht="32.25" customHeight="1" thickBot="1">
      <c r="A47" s="210" t="s">
        <v>39</v>
      </c>
      <c r="B47" s="211"/>
      <c r="C47" s="211"/>
      <c r="D47" s="211"/>
      <c r="E47" s="211"/>
      <c r="F47" s="212"/>
      <c r="G47" s="21"/>
      <c r="H47" s="22">
        <v>8.7899999999999991</v>
      </c>
      <c r="I47" s="210">
        <f>F40</f>
        <v>1301</v>
      </c>
      <c r="J47" s="211"/>
      <c r="K47" s="212"/>
      <c r="L47" s="213">
        <f>I47*H47</f>
        <v>11435.789999999999</v>
      </c>
      <c r="M47" s="214"/>
      <c r="N47" s="176">
        <f>L47</f>
        <v>11435.789999999999</v>
      </c>
      <c r="O47" s="177"/>
      <c r="P47" s="177"/>
      <c r="Q47" s="177"/>
      <c r="R47" s="177"/>
      <c r="S47" s="177"/>
      <c r="T47" s="177"/>
      <c r="U47" s="177"/>
      <c r="V47" s="177"/>
      <c r="W47" s="177"/>
      <c r="X47" s="178"/>
    </row>
    <row r="48" spans="1:24" s="23" customFormat="1" ht="36.75" customHeight="1">
      <c r="A48" s="191" t="s">
        <v>40</v>
      </c>
      <c r="B48" s="192"/>
      <c r="C48" s="192"/>
      <c r="D48" s="192"/>
      <c r="E48" s="192"/>
      <c r="F48" s="193"/>
      <c r="G48" s="24"/>
      <c r="H48" s="25">
        <v>9.8209</v>
      </c>
      <c r="I48" s="194">
        <f>V40</f>
        <v>5794.8154699999996</v>
      </c>
      <c r="J48" s="195"/>
      <c r="K48" s="196"/>
      <c r="L48" s="194">
        <f>I48*H48</f>
        <v>56910.303249322998</v>
      </c>
      <c r="M48" s="196"/>
      <c r="N48" s="173">
        <f>L48</f>
        <v>56910.303249322998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</row>
    <row r="54" spans="1:24" ht="39" customHeight="1">
      <c r="A54" s="164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</row>
    <row r="55" spans="1:24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</row>
    <row r="56" spans="1:24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</row>
    <row r="57" spans="1:24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</row>
  </sheetData>
  <mergeCells count="72">
    <mergeCell ref="H40:J40"/>
    <mergeCell ref="H30:J30"/>
    <mergeCell ref="H36:J36"/>
    <mergeCell ref="L43:M43"/>
    <mergeCell ref="H33:J33"/>
    <mergeCell ref="H31:J31"/>
    <mergeCell ref="H35:J35"/>
    <mergeCell ref="H37:J37"/>
    <mergeCell ref="H38:J38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showGridLines="0" zoomScale="70" zoomScaleNormal="70" workbookViewId="0">
      <pane xSplit="1" ySplit="8" topLeftCell="B21" activePane="bottomRight" state="frozen"/>
      <selection pane="bottomRight" activeCell="K22" sqref="K22:K23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5"/>
      <c r="B1" s="276"/>
      <c r="C1" s="276"/>
      <c r="D1" s="277"/>
      <c r="E1" s="258" t="s">
        <v>41</v>
      </c>
      <c r="F1" s="259"/>
      <c r="G1" s="259"/>
      <c r="H1" s="259"/>
      <c r="I1" s="260"/>
      <c r="J1" s="267" t="s">
        <v>42</v>
      </c>
      <c r="K1" s="268"/>
      <c r="L1" s="49"/>
    </row>
    <row r="2" spans="1:12" ht="16.5" customHeight="1">
      <c r="A2" s="278"/>
      <c r="B2" s="279"/>
      <c r="C2" s="279"/>
      <c r="D2" s="280"/>
      <c r="E2" s="261"/>
      <c r="F2" s="262"/>
      <c r="G2" s="262"/>
      <c r="H2" s="262"/>
      <c r="I2" s="263"/>
      <c r="J2" s="269"/>
      <c r="K2" s="270"/>
      <c r="L2" s="49"/>
    </row>
    <row r="3" spans="1:12" ht="48" customHeight="1">
      <c r="A3" s="281"/>
      <c r="B3" s="282"/>
      <c r="C3" s="282"/>
      <c r="D3" s="283"/>
      <c r="E3" s="264"/>
      <c r="F3" s="265"/>
      <c r="G3" s="265"/>
      <c r="H3" s="265"/>
      <c r="I3" s="266"/>
      <c r="J3" s="271"/>
      <c r="K3" s="272"/>
      <c r="L3" s="49"/>
    </row>
    <row r="6" spans="1:12" ht="10.5" customHeight="1">
      <c r="A6" s="168"/>
      <c r="B6" s="168"/>
      <c r="C6" s="168"/>
    </row>
    <row r="7" spans="1:12" ht="16.5" customHeight="1">
      <c r="A7" s="256" t="s">
        <v>43</v>
      </c>
      <c r="B7" s="284" t="s">
        <v>44</v>
      </c>
      <c r="C7" s="285"/>
      <c r="D7" s="273" t="s">
        <v>45</v>
      </c>
      <c r="E7" s="273"/>
      <c r="F7" s="274" t="s">
        <v>46</v>
      </c>
      <c r="G7" s="274"/>
      <c r="H7" s="274"/>
      <c r="I7" s="274"/>
      <c r="J7" s="274"/>
      <c r="K7" s="274"/>
    </row>
    <row r="8" spans="1:12" s="29" customFormat="1" ht="28.5" customHeight="1">
      <c r="A8" s="257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44287</v>
      </c>
      <c r="B9" s="116">
        <v>2559</v>
      </c>
      <c r="C9" s="115">
        <v>0</v>
      </c>
      <c r="D9" s="57">
        <v>106311</v>
      </c>
      <c r="E9" s="147">
        <v>115</v>
      </c>
      <c r="F9" s="51">
        <v>10460219</v>
      </c>
      <c r="G9" s="50">
        <v>3293</v>
      </c>
      <c r="H9" s="51">
        <v>17557054</v>
      </c>
      <c r="I9" s="50">
        <v>5016</v>
      </c>
      <c r="J9" s="51">
        <v>7782020</v>
      </c>
      <c r="K9" s="50">
        <v>2337</v>
      </c>
    </row>
    <row r="10" spans="1:12" ht="19.5">
      <c r="A10" s="59">
        <v>44288</v>
      </c>
      <c r="B10" s="116">
        <v>2559</v>
      </c>
      <c r="C10" s="115">
        <f>B10-B9</f>
        <v>0</v>
      </c>
      <c r="D10" s="57">
        <v>106420.1</v>
      </c>
      <c r="E10" s="147">
        <f>D10-D9</f>
        <v>109.10000000000582</v>
      </c>
      <c r="F10" s="51">
        <v>10463266</v>
      </c>
      <c r="G10" s="50">
        <f>F10-F9</f>
        <v>3047</v>
      </c>
      <c r="H10" s="51">
        <v>17562728</v>
      </c>
      <c r="I10" s="50">
        <f>H10-H9</f>
        <v>5674</v>
      </c>
      <c r="J10" s="51">
        <v>7784583</v>
      </c>
      <c r="K10" s="50">
        <f>J10-J9</f>
        <v>2563</v>
      </c>
    </row>
    <row r="11" spans="1:12" ht="19.5">
      <c r="A11" s="59">
        <v>44289</v>
      </c>
      <c r="B11" s="116">
        <v>2559</v>
      </c>
      <c r="C11" s="115">
        <f>B11-B10</f>
        <v>0</v>
      </c>
      <c r="D11" s="57">
        <v>106537.5</v>
      </c>
      <c r="E11" s="147">
        <f>D11-D10</f>
        <v>117.39999999999418</v>
      </c>
      <c r="F11" s="51">
        <v>10466128</v>
      </c>
      <c r="G11" s="50">
        <f>F11-F10</f>
        <v>2862</v>
      </c>
      <c r="H11" s="51">
        <v>17569104</v>
      </c>
      <c r="I11" s="50">
        <f>H11-H10</f>
        <v>6376</v>
      </c>
      <c r="J11" s="51">
        <v>7787274</v>
      </c>
      <c r="K11" s="50">
        <f>J11-J10</f>
        <v>2691</v>
      </c>
    </row>
    <row r="12" spans="1:12" ht="19.5">
      <c r="A12" s="59">
        <v>44290</v>
      </c>
      <c r="B12" s="116">
        <v>2559</v>
      </c>
      <c r="C12" s="115">
        <f>B12-B11</f>
        <v>0</v>
      </c>
      <c r="D12" s="57">
        <v>106653</v>
      </c>
      <c r="E12" s="147">
        <f>D12-D11</f>
        <v>115.5</v>
      </c>
      <c r="F12" s="51">
        <v>10469206</v>
      </c>
      <c r="G12" s="50">
        <f>F12-F11</f>
        <v>3078</v>
      </c>
      <c r="H12" s="51">
        <v>17575055</v>
      </c>
      <c r="I12" s="50">
        <f>H12-H11</f>
        <v>5951</v>
      </c>
      <c r="J12" s="51">
        <v>7789701</v>
      </c>
      <c r="K12" s="50">
        <f>J12-J11</f>
        <v>2427</v>
      </c>
    </row>
    <row r="13" spans="1:12" ht="19.5">
      <c r="A13" s="59">
        <v>44291</v>
      </c>
      <c r="B13" s="116">
        <v>2559</v>
      </c>
      <c r="C13" s="115">
        <f>B13-B12</f>
        <v>0</v>
      </c>
      <c r="D13" s="57">
        <v>106744.3</v>
      </c>
      <c r="E13" s="147">
        <f>D13-D12</f>
        <v>91.30000000000291</v>
      </c>
      <c r="F13" s="51">
        <v>10472326</v>
      </c>
      <c r="G13" s="50">
        <f>F13-F12</f>
        <v>3120</v>
      </c>
      <c r="H13" s="51">
        <v>17580894</v>
      </c>
      <c r="I13" s="50">
        <f>H13-H12</f>
        <v>5839</v>
      </c>
      <c r="J13" s="51">
        <v>7791720</v>
      </c>
      <c r="K13" s="50">
        <f>J13-J12</f>
        <v>2019</v>
      </c>
    </row>
    <row r="14" spans="1:12" ht="19.5">
      <c r="A14" s="59">
        <v>44292</v>
      </c>
      <c r="B14" s="116">
        <v>2559</v>
      </c>
      <c r="C14" s="115">
        <f>B14-B13</f>
        <v>0</v>
      </c>
      <c r="D14" s="57">
        <v>106838.7</v>
      </c>
      <c r="E14" s="147">
        <f>D14-D13</f>
        <v>94.399999999994179</v>
      </c>
      <c r="F14" s="51">
        <v>10475231</v>
      </c>
      <c r="G14" s="50">
        <f>F14-F13</f>
        <v>2905</v>
      </c>
      <c r="H14" s="51">
        <v>17586212</v>
      </c>
      <c r="I14" s="50">
        <f>H14-H13</f>
        <v>5318</v>
      </c>
      <c r="J14" s="51">
        <v>7793599</v>
      </c>
      <c r="K14" s="50">
        <f>J14-J13</f>
        <v>1879</v>
      </c>
    </row>
    <row r="15" spans="1:12" ht="19.5">
      <c r="A15" s="59">
        <v>44293</v>
      </c>
      <c r="B15" s="116">
        <v>2559</v>
      </c>
      <c r="C15" s="115">
        <f>B15-B14</f>
        <v>0</v>
      </c>
      <c r="D15" s="57">
        <v>106910</v>
      </c>
      <c r="E15" s="147">
        <f>D15-D14</f>
        <v>71.30000000000291</v>
      </c>
      <c r="F15" s="51">
        <v>10477670</v>
      </c>
      <c r="G15" s="50">
        <f>F15-F14</f>
        <v>2439</v>
      </c>
      <c r="H15" s="51">
        <v>17591526</v>
      </c>
      <c r="I15" s="50">
        <f>H15-H14</f>
        <v>5314</v>
      </c>
      <c r="J15" s="51">
        <v>7795652</v>
      </c>
      <c r="K15" s="50">
        <f>J15-J14</f>
        <v>2053</v>
      </c>
    </row>
    <row r="16" spans="1:12" ht="19.5">
      <c r="A16" s="59">
        <v>44294</v>
      </c>
      <c r="B16" s="116">
        <v>2559</v>
      </c>
      <c r="C16" s="115">
        <f>B16-B15</f>
        <v>0</v>
      </c>
      <c r="D16" s="57">
        <v>106982</v>
      </c>
      <c r="E16" s="147">
        <f>D16-D15</f>
        <v>72</v>
      </c>
      <c r="F16" s="51">
        <v>10480108</v>
      </c>
      <c r="G16" s="50">
        <f>F16-F15</f>
        <v>2438</v>
      </c>
      <c r="H16" s="51">
        <v>17596858</v>
      </c>
      <c r="I16" s="50">
        <f>H16-H15</f>
        <v>5332</v>
      </c>
      <c r="J16" s="51">
        <v>7797594</v>
      </c>
      <c r="K16" s="50">
        <f>J16-J15</f>
        <v>1942</v>
      </c>
    </row>
    <row r="17" spans="1:29" ht="19.5">
      <c r="A17" s="59">
        <v>44295</v>
      </c>
      <c r="B17" s="116">
        <v>2559</v>
      </c>
      <c r="C17" s="115">
        <f>B17-B16</f>
        <v>0</v>
      </c>
      <c r="D17" s="57">
        <v>107065.8</v>
      </c>
      <c r="E17" s="147">
        <f>D17-D16</f>
        <v>83.80000000000291</v>
      </c>
      <c r="F17" s="51">
        <v>10482894</v>
      </c>
      <c r="G17" s="50">
        <f t="shared" ref="G17:G19" si="0">F17-F16</f>
        <v>2786</v>
      </c>
      <c r="H17" s="51">
        <v>17602002</v>
      </c>
      <c r="I17" s="50">
        <f>H17-H16</f>
        <v>5144</v>
      </c>
      <c r="J17" s="51">
        <v>7799674</v>
      </c>
      <c r="K17" s="50">
        <f>J17-J16</f>
        <v>2080</v>
      </c>
    </row>
    <row r="18" spans="1:29" ht="19.5">
      <c r="A18" s="59">
        <v>44296</v>
      </c>
      <c r="B18" s="116">
        <v>2559</v>
      </c>
      <c r="C18" s="115">
        <f>B18-B17</f>
        <v>0</v>
      </c>
      <c r="D18" s="57">
        <v>107142.8</v>
      </c>
      <c r="E18" s="147">
        <f>D18-D17</f>
        <v>77</v>
      </c>
      <c r="F18" s="51">
        <v>10485353</v>
      </c>
      <c r="G18" s="50">
        <f t="shared" si="0"/>
        <v>2459</v>
      </c>
      <c r="H18" s="51">
        <v>17607279</v>
      </c>
      <c r="I18" s="50">
        <f>H18-H17</f>
        <v>5277</v>
      </c>
      <c r="J18" s="51">
        <v>7801828</v>
      </c>
      <c r="K18" s="50">
        <f>J18-J17</f>
        <v>2154</v>
      </c>
    </row>
    <row r="19" spans="1:29" ht="19.5">
      <c r="A19" s="59">
        <v>44297</v>
      </c>
      <c r="B19" s="116">
        <v>2559</v>
      </c>
      <c r="C19" s="115">
        <f>B19-B18</f>
        <v>0</v>
      </c>
      <c r="D19" s="57">
        <v>107217.60000000001</v>
      </c>
      <c r="E19" s="147">
        <f>D19-D18</f>
        <v>74.80000000000291</v>
      </c>
      <c r="F19" s="51">
        <v>10487805</v>
      </c>
      <c r="G19" s="50">
        <f t="shared" si="0"/>
        <v>2452</v>
      </c>
      <c r="H19" s="51">
        <v>17612055</v>
      </c>
      <c r="I19" s="50">
        <f>H19-H18</f>
        <v>4776</v>
      </c>
      <c r="J19" s="51">
        <v>7803514</v>
      </c>
      <c r="K19" s="50">
        <f t="shared" ref="K19:K23" si="1">J19-J18</f>
        <v>1686</v>
      </c>
    </row>
    <row r="20" spans="1:29" ht="25.5">
      <c r="A20" s="59">
        <v>44298</v>
      </c>
      <c r="B20" s="116">
        <v>2559</v>
      </c>
      <c r="C20" s="115">
        <f>B20-B19</f>
        <v>0</v>
      </c>
      <c r="D20" s="57">
        <v>107274.7</v>
      </c>
      <c r="E20" s="147">
        <f>D20-D19</f>
        <v>57.099999999991269</v>
      </c>
      <c r="F20" s="51">
        <v>10490344</v>
      </c>
      <c r="G20" s="50">
        <f>F20-F19</f>
        <v>2539</v>
      </c>
      <c r="H20" s="51">
        <v>17616940</v>
      </c>
      <c r="I20" s="50">
        <f>H20-H19</f>
        <v>4885</v>
      </c>
      <c r="J20" s="51">
        <v>7805445</v>
      </c>
      <c r="K20" s="50">
        <f t="shared" si="1"/>
        <v>1931</v>
      </c>
      <c r="L20" s="117" t="s">
        <v>18</v>
      </c>
      <c r="AC20" t="s">
        <v>56</v>
      </c>
    </row>
    <row r="21" spans="1:29" ht="19.5">
      <c r="A21" s="59">
        <v>44299</v>
      </c>
      <c r="B21" s="116">
        <v>2559</v>
      </c>
      <c r="C21" s="115">
        <f>B21-B20</f>
        <v>0</v>
      </c>
      <c r="D21" s="57">
        <v>107366.5</v>
      </c>
      <c r="E21" s="147">
        <f>D21-D20</f>
        <v>91.80000000000291</v>
      </c>
      <c r="F21" s="51">
        <v>10492581</v>
      </c>
      <c r="G21" s="50">
        <f>F21-F20</f>
        <v>2237</v>
      </c>
      <c r="H21" s="51">
        <v>17622364</v>
      </c>
      <c r="I21" s="50">
        <f>H21-H20</f>
        <v>5424</v>
      </c>
      <c r="J21" s="51">
        <v>7807418</v>
      </c>
      <c r="K21" s="50">
        <f t="shared" si="1"/>
        <v>1973</v>
      </c>
    </row>
    <row r="22" spans="1:29" ht="19.5">
      <c r="A22" s="59">
        <v>44300</v>
      </c>
      <c r="B22" s="116">
        <v>2559</v>
      </c>
      <c r="C22" s="115">
        <f>B22-B21</f>
        <v>0</v>
      </c>
      <c r="D22" s="57">
        <v>107447</v>
      </c>
      <c r="E22" s="147">
        <f>D22-D21</f>
        <v>80.5</v>
      </c>
      <c r="F22" s="51">
        <v>10494938</v>
      </c>
      <c r="G22" s="50">
        <f>F22-F21</f>
        <v>2357</v>
      </c>
      <c r="H22" s="51">
        <v>17627561</v>
      </c>
      <c r="I22" s="50">
        <f>H22-H21</f>
        <v>5197</v>
      </c>
      <c r="J22" s="51">
        <v>7809136</v>
      </c>
      <c r="K22" s="50">
        <f t="shared" si="1"/>
        <v>1718</v>
      </c>
    </row>
    <row r="23" spans="1:29" ht="19.5">
      <c r="A23" s="59">
        <v>44301</v>
      </c>
      <c r="B23" s="116">
        <v>2559</v>
      </c>
      <c r="C23" s="115">
        <f>B23-B22</f>
        <v>0</v>
      </c>
      <c r="D23" s="57">
        <v>107497</v>
      </c>
      <c r="E23" s="147">
        <f>D23-D22</f>
        <v>50</v>
      </c>
      <c r="F23" s="51">
        <v>10497055</v>
      </c>
      <c r="G23" s="50">
        <f>F23-F22</f>
        <v>2117</v>
      </c>
      <c r="H23" s="51">
        <v>17632144</v>
      </c>
      <c r="I23" s="50">
        <f>H23-H22</f>
        <v>4583</v>
      </c>
      <c r="J23" s="51">
        <v>7810799</v>
      </c>
      <c r="K23" s="50">
        <f t="shared" si="1"/>
        <v>1663</v>
      </c>
    </row>
    <row r="24" spans="1:29" ht="19.5">
      <c r="A24" s="59">
        <v>44302</v>
      </c>
      <c r="B24" s="116"/>
      <c r="C24" s="115"/>
      <c r="D24" s="57"/>
      <c r="E24" s="147"/>
      <c r="F24" s="51"/>
      <c r="G24" s="50"/>
      <c r="H24" s="51"/>
      <c r="I24" s="50"/>
      <c r="J24" s="51"/>
      <c r="K24" s="50"/>
    </row>
    <row r="25" spans="1:29" ht="19.5">
      <c r="A25" s="59">
        <v>44303</v>
      </c>
      <c r="B25" s="116"/>
      <c r="C25" s="115">
        <f>B25-B24</f>
        <v>0</v>
      </c>
      <c r="D25" s="57"/>
      <c r="E25" s="147">
        <f>D25-D24</f>
        <v>0</v>
      </c>
      <c r="F25" s="51"/>
      <c r="G25" s="50">
        <f>F25-F24</f>
        <v>0</v>
      </c>
      <c r="H25" s="51"/>
      <c r="I25" s="50">
        <f>H25-H24</f>
        <v>0</v>
      </c>
      <c r="J25" s="51"/>
      <c r="K25" s="50">
        <f>J25-J24</f>
        <v>0</v>
      </c>
    </row>
    <row r="26" spans="1:29" ht="19.5">
      <c r="A26" s="59">
        <v>44304</v>
      </c>
      <c r="B26" s="116"/>
      <c r="C26" s="115">
        <f>B26-B25</f>
        <v>0</v>
      </c>
      <c r="D26" s="57"/>
      <c r="E26" s="147">
        <f>D26-D25</f>
        <v>0</v>
      </c>
      <c r="F26" s="51"/>
      <c r="G26" s="50">
        <f>F26-F25</f>
        <v>0</v>
      </c>
      <c r="H26" s="51"/>
      <c r="I26" s="50">
        <f>H26-H25</f>
        <v>0</v>
      </c>
      <c r="J26" s="51"/>
      <c r="K26" s="50">
        <f>J26-J25</f>
        <v>0</v>
      </c>
    </row>
    <row r="27" spans="1:29" ht="19.5">
      <c r="A27" s="59">
        <v>44305</v>
      </c>
      <c r="B27" s="116"/>
      <c r="C27" s="115">
        <f>B27-B26</f>
        <v>0</v>
      </c>
      <c r="D27" s="57"/>
      <c r="E27" s="147">
        <f>D27-D26</f>
        <v>0</v>
      </c>
      <c r="F27" s="51"/>
      <c r="G27" s="50">
        <f>F27-F26</f>
        <v>0</v>
      </c>
      <c r="H27" s="51"/>
      <c r="I27" s="50">
        <f>H27-H26</f>
        <v>0</v>
      </c>
      <c r="J27" s="51"/>
      <c r="K27" s="50">
        <f>J27-J26</f>
        <v>0</v>
      </c>
    </row>
    <row r="28" spans="1:29" ht="19.5">
      <c r="A28" s="59">
        <v>44306</v>
      </c>
      <c r="B28" s="116"/>
      <c r="C28" s="115">
        <f>B28-B27</f>
        <v>0</v>
      </c>
      <c r="D28" s="57"/>
      <c r="E28" s="147">
        <f>D28-D27</f>
        <v>0</v>
      </c>
      <c r="F28" s="51"/>
      <c r="G28" s="50">
        <f>F28-F27</f>
        <v>0</v>
      </c>
      <c r="H28" s="51"/>
      <c r="I28" s="50">
        <f>H28-H27</f>
        <v>0</v>
      </c>
      <c r="J28" s="51"/>
      <c r="K28" s="50">
        <f>J28-J27</f>
        <v>0</v>
      </c>
    </row>
    <row r="29" spans="1:29" ht="19.5">
      <c r="A29" s="59">
        <v>44307</v>
      </c>
      <c r="B29" s="116"/>
      <c r="C29" s="115">
        <f>B29-B28</f>
        <v>0</v>
      </c>
      <c r="D29" s="57"/>
      <c r="E29" s="147">
        <f>D29-D28</f>
        <v>0</v>
      </c>
      <c r="F29" s="51"/>
      <c r="G29" s="50">
        <f>F29-F28</f>
        <v>0</v>
      </c>
      <c r="H29" s="51"/>
      <c r="I29" s="50">
        <f>H29-H28</f>
        <v>0</v>
      </c>
      <c r="J29" s="51"/>
      <c r="K29" s="50">
        <f>J29-J28</f>
        <v>0</v>
      </c>
    </row>
    <row r="30" spans="1:29" ht="19.5">
      <c r="A30" s="59">
        <v>44308</v>
      </c>
      <c r="B30" s="116"/>
      <c r="C30" s="115">
        <f>B30-B29</f>
        <v>0</v>
      </c>
      <c r="D30" s="57"/>
      <c r="E30" s="147">
        <f>D30-D29</f>
        <v>0</v>
      </c>
      <c r="F30" s="51"/>
      <c r="G30" s="50">
        <f>F30-F29</f>
        <v>0</v>
      </c>
      <c r="H30" s="51"/>
      <c r="I30" s="50">
        <f>H30-H29</f>
        <v>0</v>
      </c>
      <c r="J30" s="51"/>
      <c r="K30" s="50">
        <f>J30-J29</f>
        <v>0</v>
      </c>
    </row>
    <row r="31" spans="1:29" ht="19.5">
      <c r="A31" s="59">
        <v>44309</v>
      </c>
      <c r="B31" s="116"/>
      <c r="C31" s="115">
        <f>B31-B30</f>
        <v>0</v>
      </c>
      <c r="D31" s="57"/>
      <c r="E31" s="147">
        <f>D31-D30</f>
        <v>0</v>
      </c>
      <c r="F31" s="51"/>
      <c r="G31" s="50">
        <f>F31-F30</f>
        <v>0</v>
      </c>
      <c r="H31" s="51"/>
      <c r="I31" s="50">
        <f>H31-H30</f>
        <v>0</v>
      </c>
      <c r="J31" s="51"/>
      <c r="K31" s="50">
        <f>J31-J30</f>
        <v>0</v>
      </c>
    </row>
    <row r="32" spans="1:29" ht="19.5">
      <c r="A32" s="59">
        <v>44310</v>
      </c>
      <c r="B32" s="116"/>
      <c r="C32" s="115">
        <f>B32-B31</f>
        <v>0</v>
      </c>
      <c r="D32" s="57"/>
      <c r="E32" s="147">
        <f>D32-D31</f>
        <v>0</v>
      </c>
      <c r="F32" s="51"/>
      <c r="G32" s="50">
        <f>F32-F31</f>
        <v>0</v>
      </c>
      <c r="H32" s="51"/>
      <c r="I32" s="50">
        <f>H32-H31</f>
        <v>0</v>
      </c>
      <c r="J32" s="51"/>
      <c r="K32" s="50">
        <f>J32-J31</f>
        <v>0</v>
      </c>
    </row>
    <row r="33" spans="1:11" ht="19.5">
      <c r="A33" s="59">
        <v>44311</v>
      </c>
      <c r="B33" s="116"/>
      <c r="C33" s="115">
        <f>B33-B32</f>
        <v>0</v>
      </c>
      <c r="D33" s="57"/>
      <c r="E33" s="147">
        <f>D33-D32</f>
        <v>0</v>
      </c>
      <c r="F33" s="51"/>
      <c r="G33" s="50">
        <f>F33-F32</f>
        <v>0</v>
      </c>
      <c r="H33" s="51"/>
      <c r="I33" s="50">
        <f>H33-H32</f>
        <v>0</v>
      </c>
      <c r="J33" s="51"/>
      <c r="K33" s="50">
        <f>J33-J32</f>
        <v>0</v>
      </c>
    </row>
    <row r="34" spans="1:11" ht="19.5">
      <c r="A34" s="59">
        <v>44312</v>
      </c>
      <c r="B34" s="116"/>
      <c r="C34" s="115">
        <f>B34-B33</f>
        <v>0</v>
      </c>
      <c r="D34" s="57"/>
      <c r="E34" s="147">
        <f>D34-D33</f>
        <v>0</v>
      </c>
      <c r="F34" s="51"/>
      <c r="G34" s="50">
        <f>F34-F33</f>
        <v>0</v>
      </c>
      <c r="H34" s="51"/>
      <c r="I34" s="50">
        <f>H34-H33</f>
        <v>0</v>
      </c>
      <c r="J34" s="51"/>
      <c r="K34" s="50">
        <f>J34-J33</f>
        <v>0</v>
      </c>
    </row>
    <row r="35" spans="1:11" ht="19.5">
      <c r="A35" s="59">
        <v>44313</v>
      </c>
      <c r="B35" s="116"/>
      <c r="C35" s="115">
        <f>B35-B34</f>
        <v>0</v>
      </c>
      <c r="D35" s="57"/>
      <c r="E35" s="147">
        <f>D35-D34</f>
        <v>0</v>
      </c>
      <c r="F35" s="51"/>
      <c r="G35" s="50">
        <f>F35-F34</f>
        <v>0</v>
      </c>
      <c r="H35" s="51"/>
      <c r="I35" s="50">
        <f>H35-H34</f>
        <v>0</v>
      </c>
      <c r="J35" s="51"/>
      <c r="K35" s="50">
        <f>J35-J34</f>
        <v>0</v>
      </c>
    </row>
    <row r="36" spans="1:11" ht="19.5">
      <c r="A36" s="59">
        <v>44314</v>
      </c>
      <c r="B36" s="116"/>
      <c r="C36" s="115">
        <f>B36-B35</f>
        <v>0</v>
      </c>
      <c r="D36" s="57"/>
      <c r="E36" s="147">
        <f>D36-D35</f>
        <v>0</v>
      </c>
      <c r="F36" s="51"/>
      <c r="G36" s="50">
        <f>F36-F35</f>
        <v>0</v>
      </c>
      <c r="H36" s="51"/>
      <c r="I36" s="50">
        <f>H36-H35</f>
        <v>0</v>
      </c>
      <c r="J36" s="51"/>
      <c r="K36" s="50">
        <f>J36-J35</f>
        <v>0</v>
      </c>
    </row>
    <row r="37" spans="1:11" ht="19.5">
      <c r="A37" s="59">
        <v>44315</v>
      </c>
      <c r="B37" s="116"/>
      <c r="C37" s="115">
        <f>B37-B36</f>
        <v>0</v>
      </c>
      <c r="D37" s="57"/>
      <c r="E37" s="147">
        <f>D37-D36</f>
        <v>0</v>
      </c>
      <c r="F37" s="51"/>
      <c r="G37" s="50">
        <f>F37-F36</f>
        <v>0</v>
      </c>
      <c r="H37" s="51"/>
      <c r="I37" s="50">
        <f>H37-H36</f>
        <v>0</v>
      </c>
      <c r="J37" s="51"/>
      <c r="K37" s="50">
        <f>J37-J36</f>
        <v>0</v>
      </c>
    </row>
    <row r="38" spans="1:11" ht="19.5">
      <c r="A38" s="59">
        <v>44316</v>
      </c>
      <c r="B38" s="116"/>
      <c r="C38" s="115">
        <f>B38-B37</f>
        <v>0</v>
      </c>
      <c r="D38" s="57"/>
      <c r="E38" s="147">
        <f>D38-D37</f>
        <v>0</v>
      </c>
      <c r="F38" s="51"/>
      <c r="G38" s="50">
        <f>F38-F37</f>
        <v>0</v>
      </c>
      <c r="H38" s="51"/>
      <c r="I38" s="50">
        <f>H38-H37</f>
        <v>0</v>
      </c>
      <c r="J38" s="51"/>
      <c r="K38" s="50">
        <f>J38-J37</f>
        <v>0</v>
      </c>
    </row>
    <row r="39" spans="1:11" ht="19.5">
      <c r="A39" s="59">
        <v>44317</v>
      </c>
      <c r="B39" s="116"/>
      <c r="C39" s="115">
        <f>B39-B38</f>
        <v>0</v>
      </c>
      <c r="D39" s="57"/>
      <c r="E39" s="147">
        <f t="shared" ref="E39" si="2">D39-D38</f>
        <v>0</v>
      </c>
      <c r="F39" s="51"/>
      <c r="G39" s="50">
        <f>F39-F38</f>
        <v>0</v>
      </c>
      <c r="H39" s="51"/>
      <c r="I39" s="50">
        <f>H39-H38</f>
        <v>0</v>
      </c>
      <c r="J39" s="51"/>
      <c r="K39" s="50">
        <f>J39-J38</f>
        <v>0</v>
      </c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68"/>
      <c r="B44" s="168"/>
      <c r="C44" s="168"/>
    </row>
    <row r="45" spans="1:11">
      <c r="A45" s="168"/>
      <c r="B45" s="168"/>
      <c r="C45" s="168"/>
    </row>
    <row r="46" spans="1:11">
      <c r="A46" s="168"/>
      <c r="B46" s="168"/>
      <c r="C46" s="168"/>
    </row>
    <row r="47" spans="1:11">
      <c r="A47" s="168"/>
      <c r="B47" s="168"/>
      <c r="C47" s="16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3" stopIfTrue="1" operator="lessThanOrEqual">
      <formula>0</formula>
    </cfRule>
  </conditionalFormatting>
  <conditionalFormatting sqref="E15:E39">
    <cfRule type="cellIs" dxfId="3" priority="20" stopIfTrue="1" operator="lessThanOrEqual">
      <formula>0</formula>
    </cfRule>
  </conditionalFormatting>
  <conditionalFormatting sqref="E10:E39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5" activePane="bottomRight" state="frozen"/>
      <selection pane="bottomRight" activeCell="I18" sqref="I18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9" t="s">
        <v>57</v>
      </c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</row>
    <row r="2" spans="1:31" ht="41.25" customHeight="1" thickBot="1">
      <c r="Q2" s="294">
        <v>803</v>
      </c>
      <c r="R2" s="295"/>
      <c r="S2" s="296"/>
      <c r="T2" s="297">
        <v>519</v>
      </c>
      <c r="U2" s="295"/>
      <c r="V2" s="296"/>
      <c r="W2" s="297">
        <v>800</v>
      </c>
      <c r="X2" s="295"/>
      <c r="Y2" s="296"/>
      <c r="Z2" s="297">
        <v>802</v>
      </c>
      <c r="AA2" s="295"/>
      <c r="AB2" s="298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44287</v>
      </c>
      <c r="B4" s="41">
        <v>67</v>
      </c>
      <c r="C4" s="39">
        <f t="shared" ref="C4" si="0">IF(AC4&gt;0,((B4-R4)+(S4-B5)),IF(B5=0, ,(B4-B5)))</f>
        <v>3</v>
      </c>
      <c r="D4" s="41">
        <v>68</v>
      </c>
      <c r="E4" s="39">
        <f t="shared" ref="E4" si="1">IF(AC4&gt;0,((D4-U4)+(V4-D5)),IF(D5=0, ,(D4-D5)))</f>
        <v>4</v>
      </c>
      <c r="F4" s="41">
        <v>71</v>
      </c>
      <c r="G4" s="39">
        <f t="shared" ref="G4" si="2">IF(AC4&gt;0,((F4-X4)+(Y4-F5)),IF(F5=0, ,(F4-F5)))</f>
        <v>5</v>
      </c>
      <c r="H4" s="41">
        <v>68</v>
      </c>
      <c r="I4" s="39">
        <f>IF(AC4&gt;0,((H4-AA4)+(AB4-H5)),IF(H5=0, ,(H4-H5)))</f>
        <v>3</v>
      </c>
      <c r="J4" s="39">
        <f>B4+D4+F4+H4</f>
        <v>274</v>
      </c>
      <c r="K4" s="39">
        <f>J4/4</f>
        <v>68.5</v>
      </c>
      <c r="L4" s="39">
        <f>IF(AC4&gt;0,((K4-AD4)+(AE4-K5)),IF(K5=0, ,(K4-K5)))</f>
        <v>3.75</v>
      </c>
      <c r="M4" s="151">
        <f>7000*4</f>
        <v>28000</v>
      </c>
      <c r="N4" s="39">
        <f>L4*M4/100</f>
        <v>1050</v>
      </c>
      <c r="O4" s="39">
        <f>N4*0.529</f>
        <v>555.45000000000005</v>
      </c>
      <c r="P4" s="42">
        <f>O4*8.7</f>
        <v>4832.415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44288</v>
      </c>
      <c r="B5" s="41">
        <v>64</v>
      </c>
      <c r="C5" s="39">
        <f>IF(AC5&gt;0,((B5-R5)+(S5-B6)),IF(B6=0, ,(B5-B6)))</f>
        <v>3</v>
      </c>
      <c r="D5" s="41">
        <v>64</v>
      </c>
      <c r="E5" s="39">
        <f>IF(AC5&gt;0,((D5-U5)+(V5-D6)),IF(D6=0, ,(D5-D6)))</f>
        <v>2</v>
      </c>
      <c r="F5" s="41">
        <v>66</v>
      </c>
      <c r="G5" s="39">
        <f>IF(AC5&gt;0,((F5-X5)+(Y5-F6)),IF(F6=0, ,(F5-F6)))</f>
        <v>6</v>
      </c>
      <c r="H5" s="41">
        <v>65</v>
      </c>
      <c r="I5" s="39">
        <f>IF(AC5&gt;0,((H5-AA5)+(AB5-H6)),IF(H6=0, ,(H5-H6)))</f>
        <v>5</v>
      </c>
      <c r="J5" s="39">
        <f>B5+D5+F5+H5</f>
        <v>259</v>
      </c>
      <c r="K5" s="39">
        <f>J5/4</f>
        <v>64.75</v>
      </c>
      <c r="L5" s="39">
        <f>IF(AC5&gt;0,((K5-AD5)+(AE5-K6)),IF(K6=0, ,(K5-K6)))</f>
        <v>4</v>
      </c>
      <c r="M5" s="151">
        <f t="shared" ref="M5:M42" si="6">7000*4</f>
        <v>28000</v>
      </c>
      <c r="N5" s="39">
        <f>L5*M5/100</f>
        <v>1120</v>
      </c>
      <c r="O5" s="39">
        <f>N5*0.529</f>
        <v>592.48</v>
      </c>
      <c r="P5" s="42">
        <f t="shared" ref="P5:P38" si="7">O5*8.7</f>
        <v>5154.576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44289</v>
      </c>
      <c r="B6" s="41">
        <v>61</v>
      </c>
      <c r="C6" s="39">
        <f t="shared" ref="C6:C19" si="8">IF(AC6&gt;0,((B6-R6)+(S6-B7)),IF(B7=0, ,(B6-B7)))</f>
        <v>5</v>
      </c>
      <c r="D6" s="41">
        <v>62</v>
      </c>
      <c r="E6" s="39">
        <f>IF(AC6:AC29&gt;0,((D6-U6)+(V6-D7)),IF(D7=0, ,(D6-D7)))</f>
        <v>4</v>
      </c>
      <c r="F6" s="41">
        <v>60</v>
      </c>
      <c r="G6" s="39">
        <f t="shared" ref="G6:G26" si="9">IF(AC6&gt;0,((F6-X6)+(Y6-F7)),IF(F7=0, ,(F6-F7)))</f>
        <v>5</v>
      </c>
      <c r="H6" s="41">
        <v>60</v>
      </c>
      <c r="I6" s="39">
        <f t="shared" ref="I6:I36" si="10">IF(AC6&gt;0,((H6-AA6)+(AB6-H7)),IF(H7=0, ,(H6-H7)))</f>
        <v>5</v>
      </c>
      <c r="J6" s="39">
        <f t="shared" ref="J6:J42" si="11">B6+D6+F6+H6</f>
        <v>243</v>
      </c>
      <c r="K6" s="39">
        <f t="shared" ref="K6:K42" si="12">J6/4</f>
        <v>60.75</v>
      </c>
      <c r="L6" s="39">
        <f t="shared" ref="L6:L19" si="13">IF(AC6&gt;0,((K6-AD6)+(AE6-K7)),IF(K7=0, ,(K6-K7)))</f>
        <v>4.75</v>
      </c>
      <c r="M6" s="151">
        <f t="shared" si="6"/>
        <v>28000</v>
      </c>
      <c r="N6" s="39">
        <f t="shared" ref="N6:N42" si="14">L6*M6/100</f>
        <v>1330</v>
      </c>
      <c r="O6" s="39">
        <f>N6*0.529</f>
        <v>703.57</v>
      </c>
      <c r="P6" s="42">
        <f t="shared" si="7"/>
        <v>6121.0590000000002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44290</v>
      </c>
      <c r="B7" s="41">
        <v>56</v>
      </c>
      <c r="C7" s="39">
        <f t="shared" si="8"/>
        <v>2</v>
      </c>
      <c r="D7" s="41">
        <v>58</v>
      </c>
      <c r="E7" s="39">
        <f>IF(AC7:AC30&gt;0,((D7-U7)+(V7-D8)),IF(D8=0, ,(D7-D8)))</f>
        <v>4</v>
      </c>
      <c r="F7" s="41">
        <v>55</v>
      </c>
      <c r="G7" s="39">
        <f>IF(AC7&gt;0,((F7-X7)+(Y7-F8)),IF(F8=0, ,(F7-F8)))</f>
        <v>5</v>
      </c>
      <c r="H7" s="41">
        <v>55</v>
      </c>
      <c r="I7" s="39">
        <f t="shared" si="10"/>
        <v>3</v>
      </c>
      <c r="J7" s="39">
        <f t="shared" si="11"/>
        <v>224</v>
      </c>
      <c r="K7" s="39">
        <f t="shared" si="12"/>
        <v>56</v>
      </c>
      <c r="L7" s="39">
        <f t="shared" si="13"/>
        <v>3.5</v>
      </c>
      <c r="M7" s="151">
        <f t="shared" si="6"/>
        <v>28000</v>
      </c>
      <c r="N7" s="39">
        <f t="shared" si="14"/>
        <v>980</v>
      </c>
      <c r="O7" s="39">
        <f>N7*0.53</f>
        <v>519.4</v>
      </c>
      <c r="P7" s="42">
        <f t="shared" si="7"/>
        <v>4518.78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44291</v>
      </c>
      <c r="B8" s="41">
        <v>54</v>
      </c>
      <c r="C8" s="39">
        <f>IF(AC8&gt;0,((B8-R8)+(S8-B9)),IF(B9=0, ,(B8-B9)))</f>
        <v>4</v>
      </c>
      <c r="D8" s="41">
        <v>54</v>
      </c>
      <c r="E8" s="39">
        <f>IF(AC8:AC31&gt;0,((D8-U8)+(V8-D9)),IF(D9=0, ,(D8-D9)))</f>
        <v>5</v>
      </c>
      <c r="F8" s="41">
        <v>50</v>
      </c>
      <c r="G8" s="39">
        <f>IF(AC8&gt;0,((F8-X8)+(Y8-F9)),IF(F9=0, ,(F8-F9)))</f>
        <v>1</v>
      </c>
      <c r="H8" s="41">
        <v>52</v>
      </c>
      <c r="I8" s="39">
        <f t="shared" si="10"/>
        <v>0</v>
      </c>
      <c r="J8" s="39">
        <f t="shared" si="11"/>
        <v>210</v>
      </c>
      <c r="K8" s="39">
        <f t="shared" si="12"/>
        <v>52.5</v>
      </c>
      <c r="L8" s="39">
        <f t="shared" si="13"/>
        <v>2.5</v>
      </c>
      <c r="M8" s="151">
        <f>6049*4</f>
        <v>24196</v>
      </c>
      <c r="N8" s="39">
        <f t="shared" si="14"/>
        <v>604.9</v>
      </c>
      <c r="O8" s="150">
        <f t="shared" ref="O8:O37" si="15">N8*0.529</f>
        <v>319.99209999999999</v>
      </c>
      <c r="P8" s="42">
        <f t="shared" si="7"/>
        <v>2783.9312699999996</v>
      </c>
      <c r="Q8" s="39">
        <v>2870</v>
      </c>
      <c r="R8" s="39">
        <v>50</v>
      </c>
      <c r="S8" s="39">
        <v>85</v>
      </c>
      <c r="T8" s="39">
        <v>2832</v>
      </c>
      <c r="U8" s="39">
        <v>50</v>
      </c>
      <c r="V8" s="39">
        <v>85</v>
      </c>
      <c r="W8" s="39">
        <v>2865</v>
      </c>
      <c r="X8" s="39">
        <v>50</v>
      </c>
      <c r="Y8" s="39">
        <v>85</v>
      </c>
      <c r="Z8" s="39">
        <v>2677</v>
      </c>
      <c r="AA8" s="39">
        <v>52</v>
      </c>
      <c r="AB8" s="39">
        <v>85</v>
      </c>
      <c r="AC8" s="39">
        <f t="shared" si="3"/>
        <v>11244</v>
      </c>
      <c r="AD8" s="38">
        <f t="shared" si="4"/>
        <v>50.5</v>
      </c>
      <c r="AE8" s="38">
        <f t="shared" si="5"/>
        <v>85</v>
      </c>
    </row>
    <row r="9" spans="1:31" ht="32.25" customHeight="1">
      <c r="A9" s="40">
        <v>44292</v>
      </c>
      <c r="B9" s="41">
        <v>85</v>
      </c>
      <c r="C9" s="39">
        <f>IF(AC9&gt;0,((B9-R9)+(S9-B10)),IF(B10=0, ,(B9-B10)))</f>
        <v>1</v>
      </c>
      <c r="D9" s="41">
        <v>84</v>
      </c>
      <c r="E9" s="39">
        <f>IF(AC9&gt;0,((D9-U9)+(V9-D10)),IF(D10=0, ,(D9-D10)))</f>
        <v>0</v>
      </c>
      <c r="F9" s="41">
        <v>84</v>
      </c>
      <c r="G9" s="39">
        <f>IF(AC9&gt;0,((F9-X9)+(Y9-F10)),IF(F10=0, ,(F9-F10)))</f>
        <v>0</v>
      </c>
      <c r="H9" s="41">
        <v>85</v>
      </c>
      <c r="I9" s="39">
        <f t="shared" si="10"/>
        <v>1</v>
      </c>
      <c r="J9" s="39">
        <f t="shared" si="11"/>
        <v>338</v>
      </c>
      <c r="K9" s="39">
        <f t="shared" si="12"/>
        <v>84.5</v>
      </c>
      <c r="L9" s="39">
        <f t="shared" si="13"/>
        <v>0.5</v>
      </c>
      <c r="M9" s="151">
        <f t="shared" ref="M9:M42" si="16">6049*4</f>
        <v>24196</v>
      </c>
      <c r="N9" s="39">
        <f t="shared" si="14"/>
        <v>120.98</v>
      </c>
      <c r="O9" s="39">
        <f t="shared" si="15"/>
        <v>63.998420000000003</v>
      </c>
      <c r="P9" s="42">
        <f t="shared" si="7"/>
        <v>556.78625399999999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44293</v>
      </c>
      <c r="B10" s="41">
        <v>84</v>
      </c>
      <c r="C10" s="39">
        <f>IF(AC10&gt;0,((B10-R10)+(S10-B11)),IF(B11=0, ,(B10-B11)))</f>
        <v>4</v>
      </c>
      <c r="D10" s="41">
        <v>84</v>
      </c>
      <c r="E10" s="39">
        <f>IF(AC10&gt;0,((D10-U10)+(V10-D11)),IF(D11=0, ,(D10-D11)))</f>
        <v>3</v>
      </c>
      <c r="F10" s="41">
        <v>84</v>
      </c>
      <c r="G10" s="39">
        <f>IF(AC10&gt;0,((F10-X10)+(Y10-F11)),IF(F11=0, ,(F10-F11)))</f>
        <v>2</v>
      </c>
      <c r="H10" s="41">
        <v>84</v>
      </c>
      <c r="I10" s="39">
        <f t="shared" si="10"/>
        <v>4</v>
      </c>
      <c r="J10" s="39">
        <f t="shared" si="11"/>
        <v>336</v>
      </c>
      <c r="K10" s="39">
        <f t="shared" si="12"/>
        <v>84</v>
      </c>
      <c r="L10" s="39">
        <f t="shared" si="13"/>
        <v>3.25</v>
      </c>
      <c r="M10" s="151">
        <f t="shared" si="16"/>
        <v>24196</v>
      </c>
      <c r="N10" s="39">
        <f t="shared" si="14"/>
        <v>786.37</v>
      </c>
      <c r="O10" s="150">
        <f t="shared" si="15"/>
        <v>415.98973000000001</v>
      </c>
      <c r="P10" s="42">
        <f t="shared" si="7"/>
        <v>3619.110651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44294</v>
      </c>
      <c r="B11" s="41">
        <v>80</v>
      </c>
      <c r="C11" s="39">
        <f t="shared" si="8"/>
        <v>1</v>
      </c>
      <c r="D11" s="41">
        <v>81</v>
      </c>
      <c r="E11" s="39">
        <f t="shared" ref="E11:E26" si="17">IF(AC11&gt;0,((D11-U11)+(V11-D12)),IF(D12=0, ,(D11-D12)))</f>
        <v>1</v>
      </c>
      <c r="F11" s="41">
        <v>82</v>
      </c>
      <c r="G11" s="39">
        <f t="shared" si="9"/>
        <v>3</v>
      </c>
      <c r="H11" s="41">
        <v>80</v>
      </c>
      <c r="I11" s="39">
        <f t="shared" si="10"/>
        <v>4</v>
      </c>
      <c r="J11" s="39">
        <f t="shared" si="11"/>
        <v>323</v>
      </c>
      <c r="K11" s="39">
        <f t="shared" si="12"/>
        <v>80.75</v>
      </c>
      <c r="L11" s="39">
        <f t="shared" si="13"/>
        <v>2.25</v>
      </c>
      <c r="M11" s="151">
        <f t="shared" si="16"/>
        <v>24196</v>
      </c>
      <c r="N11" s="39">
        <f t="shared" si="14"/>
        <v>544.41</v>
      </c>
      <c r="O11" s="39">
        <f t="shared" si="15"/>
        <v>287.99288999999999</v>
      </c>
      <c r="P11" s="42">
        <f t="shared" si="7"/>
        <v>2505.5381429999998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44295</v>
      </c>
      <c r="B12" s="41">
        <v>79</v>
      </c>
      <c r="C12" s="39">
        <f t="shared" si="8"/>
        <v>3</v>
      </c>
      <c r="D12" s="41">
        <v>80</v>
      </c>
      <c r="E12" s="39">
        <f t="shared" si="17"/>
        <v>2</v>
      </c>
      <c r="F12" s="41">
        <v>79</v>
      </c>
      <c r="G12" s="39">
        <f t="shared" si="9"/>
        <v>1</v>
      </c>
      <c r="H12" s="41">
        <v>76</v>
      </c>
      <c r="I12" s="39">
        <f t="shared" si="10"/>
        <v>2</v>
      </c>
      <c r="J12" s="39">
        <f t="shared" si="11"/>
        <v>314</v>
      </c>
      <c r="K12" s="39">
        <f t="shared" si="12"/>
        <v>78.5</v>
      </c>
      <c r="L12" s="39">
        <f t="shared" si="13"/>
        <v>2</v>
      </c>
      <c r="M12" s="151">
        <f t="shared" si="16"/>
        <v>24196</v>
      </c>
      <c r="N12" s="39">
        <f t="shared" si="14"/>
        <v>483.92</v>
      </c>
      <c r="O12" s="39">
        <f t="shared" si="15"/>
        <v>255.99368000000001</v>
      </c>
      <c r="P12" s="42">
        <f t="shared" si="7"/>
        <v>2227.1450159999999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44296</v>
      </c>
      <c r="B13" s="41">
        <v>76</v>
      </c>
      <c r="C13" s="39">
        <f t="shared" si="8"/>
        <v>4</v>
      </c>
      <c r="D13" s="41">
        <v>78</v>
      </c>
      <c r="E13" s="39">
        <f t="shared" si="17"/>
        <v>4</v>
      </c>
      <c r="F13" s="41">
        <v>78</v>
      </c>
      <c r="G13" s="39">
        <f t="shared" si="9"/>
        <v>7</v>
      </c>
      <c r="H13" s="41">
        <v>74</v>
      </c>
      <c r="I13" s="39">
        <f t="shared" si="10"/>
        <v>4</v>
      </c>
      <c r="J13" s="39">
        <f t="shared" si="11"/>
        <v>306</v>
      </c>
      <c r="K13" s="39">
        <f t="shared" si="12"/>
        <v>76.5</v>
      </c>
      <c r="L13" s="39">
        <f t="shared" si="13"/>
        <v>4.75</v>
      </c>
      <c r="M13" s="151">
        <f t="shared" si="16"/>
        <v>24196</v>
      </c>
      <c r="N13" s="39">
        <f t="shared" si="14"/>
        <v>1149.31</v>
      </c>
      <c r="O13" s="39">
        <f t="shared" si="15"/>
        <v>607.98499000000004</v>
      </c>
      <c r="P13" s="42">
        <f t="shared" si="7"/>
        <v>5289.4694129999998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44297</v>
      </c>
      <c r="B14" s="41">
        <v>72</v>
      </c>
      <c r="C14" s="39">
        <f>IF(AC14&gt;0,((B14-R14)+(S14-B15)),IF(B15=0, ,(B14-B15)))</f>
        <v>2</v>
      </c>
      <c r="D14" s="41">
        <v>74</v>
      </c>
      <c r="E14" s="39">
        <f>IF(AC14&gt;0,((D14-U14)+(V14-D15)),IF(D15=0, ,(D14-D15)))</f>
        <v>4</v>
      </c>
      <c r="F14" s="41">
        <v>71</v>
      </c>
      <c r="G14" s="39">
        <f>IF(AC14&gt;0,((F14-X14)+(Y14-F15)),IF(F15=0, ,(F14-F15)))</f>
        <v>3</v>
      </c>
      <c r="H14" s="41">
        <v>70</v>
      </c>
      <c r="I14" s="39">
        <f>IF(AC14&gt;0,((H14-AA14)+(AB14-H15)),IF(H15=0, ,(H14-H15)))</f>
        <v>4</v>
      </c>
      <c r="J14" s="39">
        <f t="shared" si="11"/>
        <v>287</v>
      </c>
      <c r="K14" s="39">
        <f t="shared" si="12"/>
        <v>71.75</v>
      </c>
      <c r="L14" s="39">
        <f t="shared" si="13"/>
        <v>3.25</v>
      </c>
      <c r="M14" s="151">
        <f t="shared" si="16"/>
        <v>24196</v>
      </c>
      <c r="N14" s="39">
        <f t="shared" si="14"/>
        <v>786.37</v>
      </c>
      <c r="O14" s="39">
        <f t="shared" si="15"/>
        <v>415.98973000000001</v>
      </c>
      <c r="P14" s="42">
        <f t="shared" si="7"/>
        <v>3619.110651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44298</v>
      </c>
      <c r="B15" s="41">
        <v>70</v>
      </c>
      <c r="C15" s="39">
        <f>IF(AC15&gt;0,((B15-R15)+(S15-B16)),IF(B16=0, ,(B15-B16)))</f>
        <v>5</v>
      </c>
      <c r="D15" s="41">
        <v>70</v>
      </c>
      <c r="E15" s="39">
        <f>IF(AC15&gt;0,((D15-U15)+(V15-D16)),IF(D16=0, ,(D15-D16)))</f>
        <v>5</v>
      </c>
      <c r="F15" s="41">
        <v>68</v>
      </c>
      <c r="G15" s="39">
        <f>IF(AC15&gt;0,((F15-X15)+(Y15-F16)),IF(F16=0, ,(F15-F16)))</f>
        <v>4</v>
      </c>
      <c r="H15" s="41">
        <v>66</v>
      </c>
      <c r="I15" s="39">
        <f>IF(AC15&gt;0,((H15-AA15)+(AB15-H16)),IF(H16=0, ,(H15-H16)))</f>
        <v>2</v>
      </c>
      <c r="J15" s="39">
        <f t="shared" si="11"/>
        <v>274</v>
      </c>
      <c r="K15" s="39">
        <f t="shared" si="12"/>
        <v>68.5</v>
      </c>
      <c r="L15" s="39">
        <f t="shared" si="13"/>
        <v>4</v>
      </c>
      <c r="M15" s="151">
        <f t="shared" si="16"/>
        <v>24196</v>
      </c>
      <c r="N15" s="39">
        <f t="shared" si="14"/>
        <v>967.84</v>
      </c>
      <c r="O15" s="39">
        <f t="shared" si="15"/>
        <v>511.98736000000002</v>
      </c>
      <c r="P15" s="42">
        <f t="shared" si="7"/>
        <v>4454.2900319999999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44299</v>
      </c>
      <c r="B16" s="41">
        <v>65</v>
      </c>
      <c r="C16" s="39">
        <f t="shared" si="8"/>
        <v>5</v>
      </c>
      <c r="D16" s="41">
        <v>65</v>
      </c>
      <c r="E16" s="39">
        <f t="shared" si="17"/>
        <v>3</v>
      </c>
      <c r="F16" s="41">
        <v>64</v>
      </c>
      <c r="G16" s="39">
        <f t="shared" si="9"/>
        <v>0</v>
      </c>
      <c r="H16" s="41">
        <v>64</v>
      </c>
      <c r="I16" s="39">
        <f t="shared" si="10"/>
        <v>0</v>
      </c>
      <c r="J16" s="39">
        <f t="shared" si="11"/>
        <v>258</v>
      </c>
      <c r="K16" s="39">
        <f t="shared" si="12"/>
        <v>64.5</v>
      </c>
      <c r="L16" s="39">
        <f t="shared" si="13"/>
        <v>2</v>
      </c>
      <c r="M16" s="151">
        <f t="shared" si="16"/>
        <v>24196</v>
      </c>
      <c r="N16" s="39">
        <f t="shared" si="14"/>
        <v>483.92</v>
      </c>
      <c r="O16" s="39">
        <f t="shared" si="15"/>
        <v>255.99368000000001</v>
      </c>
      <c r="P16" s="42">
        <f t="shared" si="7"/>
        <v>2227.1450159999999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44300</v>
      </c>
      <c r="B17" s="41">
        <v>60</v>
      </c>
      <c r="C17" s="39">
        <f t="shared" si="8"/>
        <v>0</v>
      </c>
      <c r="D17" s="41">
        <v>62</v>
      </c>
      <c r="E17" s="39">
        <f t="shared" si="17"/>
        <v>2</v>
      </c>
      <c r="F17" s="41">
        <v>64</v>
      </c>
      <c r="G17" s="39">
        <f t="shared" si="9"/>
        <v>3</v>
      </c>
      <c r="H17" s="41">
        <v>64</v>
      </c>
      <c r="I17" s="39">
        <f t="shared" si="10"/>
        <v>4</v>
      </c>
      <c r="J17" s="39">
        <f t="shared" si="11"/>
        <v>250</v>
      </c>
      <c r="K17" s="39">
        <f t="shared" si="12"/>
        <v>62.5</v>
      </c>
      <c r="L17" s="39">
        <f t="shared" si="13"/>
        <v>2.25</v>
      </c>
      <c r="M17" s="151">
        <f t="shared" si="16"/>
        <v>24196</v>
      </c>
      <c r="N17" s="39">
        <f t="shared" si="14"/>
        <v>544.41</v>
      </c>
      <c r="O17" s="39">
        <f t="shared" si="15"/>
        <v>287.99288999999999</v>
      </c>
      <c r="P17" s="42">
        <f t="shared" si="7"/>
        <v>2505.5381429999998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44301</v>
      </c>
      <c r="B18" s="41">
        <v>60</v>
      </c>
      <c r="C18" s="39">
        <f t="shared" si="8"/>
        <v>0</v>
      </c>
      <c r="D18" s="41">
        <v>60</v>
      </c>
      <c r="E18" s="39">
        <f t="shared" si="17"/>
        <v>0</v>
      </c>
      <c r="F18" s="41">
        <v>61</v>
      </c>
      <c r="G18" s="39">
        <f t="shared" si="9"/>
        <v>0</v>
      </c>
      <c r="H18" s="41">
        <v>60</v>
      </c>
      <c r="I18" s="39">
        <f t="shared" si="10"/>
        <v>0</v>
      </c>
      <c r="J18" s="39">
        <f t="shared" si="11"/>
        <v>241</v>
      </c>
      <c r="K18" s="39">
        <f t="shared" si="12"/>
        <v>60.25</v>
      </c>
      <c r="L18" s="39">
        <f t="shared" si="13"/>
        <v>0</v>
      </c>
      <c r="M18" s="151">
        <f t="shared" si="16"/>
        <v>24196</v>
      </c>
      <c r="N18" s="39">
        <f t="shared" si="14"/>
        <v>0</v>
      </c>
      <c r="O18" s="39">
        <f t="shared" si="15"/>
        <v>0</v>
      </c>
      <c r="P18" s="42">
        <f t="shared" si="7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44302</v>
      </c>
      <c r="B19" s="41"/>
      <c r="C19" s="39">
        <f t="shared" si="8"/>
        <v>0</v>
      </c>
      <c r="D19" s="41"/>
      <c r="E19" s="39">
        <f>IF(AC19&gt;0,((D19-U19)+(V19-D20)),IF(D20=0, ,(D19-D20)))</f>
        <v>0</v>
      </c>
      <c r="F19" s="41"/>
      <c r="G19" s="39">
        <f t="shared" si="9"/>
        <v>0</v>
      </c>
      <c r="H19" s="41"/>
      <c r="I19" s="39">
        <f t="shared" si="10"/>
        <v>0</v>
      </c>
      <c r="J19" s="39">
        <f t="shared" si="11"/>
        <v>0</v>
      </c>
      <c r="K19" s="39">
        <f t="shared" si="12"/>
        <v>0</v>
      </c>
      <c r="L19" s="39">
        <f t="shared" si="13"/>
        <v>0</v>
      </c>
      <c r="M19" s="151">
        <f t="shared" si="16"/>
        <v>24196</v>
      </c>
      <c r="N19" s="39">
        <f t="shared" si="14"/>
        <v>0</v>
      </c>
      <c r="O19" s="39">
        <f t="shared" si="15"/>
        <v>0</v>
      </c>
      <c r="P19" s="42">
        <f t="shared" si="7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44303</v>
      </c>
      <c r="B20" s="41"/>
      <c r="C20" s="39">
        <f>IF(AC20&gt;0,((B20-R20)+(S20-B21)),IF(B21=0, ,(B20-B21)))</f>
        <v>0</v>
      </c>
      <c r="D20" s="41"/>
      <c r="E20" s="39">
        <f t="shared" si="17"/>
        <v>0</v>
      </c>
      <c r="F20" s="41"/>
      <c r="G20" s="39">
        <f t="shared" si="9"/>
        <v>0</v>
      </c>
      <c r="H20" s="41"/>
      <c r="I20" s="39">
        <f t="shared" si="10"/>
        <v>0</v>
      </c>
      <c r="J20" s="39">
        <f t="shared" si="11"/>
        <v>0</v>
      </c>
      <c r="K20" s="39">
        <f t="shared" si="12"/>
        <v>0</v>
      </c>
      <c r="L20" s="39">
        <f t="shared" ref="L20:L42" si="18">IF(AC20&gt;0,((K20-AD20)+(AE20-K21)),IF(K21=0, ,(K20-K21)))</f>
        <v>0</v>
      </c>
      <c r="M20" s="151">
        <f t="shared" si="16"/>
        <v>24196</v>
      </c>
      <c r="N20" s="39">
        <f t="shared" si="14"/>
        <v>0</v>
      </c>
      <c r="O20" s="39">
        <f t="shared" si="15"/>
        <v>0</v>
      </c>
      <c r="P20" s="42">
        <f t="shared" si="7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44304</v>
      </c>
      <c r="B21" s="41"/>
      <c r="C21" s="39">
        <f t="shared" ref="C21:C35" si="19">IF(AC21&gt;0,((B21-R21)+(S21-B22)),IF(B22=0, ,(B21-B22)))</f>
        <v>0</v>
      </c>
      <c r="D21" s="41"/>
      <c r="E21" s="39">
        <f t="shared" si="17"/>
        <v>0</v>
      </c>
      <c r="F21" s="41"/>
      <c r="G21" s="39">
        <f>IF(AC21&gt;0,((F21-X21)+(Y21-F22)),IF(F22=0, ,(F21-F22)))</f>
        <v>0</v>
      </c>
      <c r="H21" s="41"/>
      <c r="I21" s="39">
        <f t="shared" si="10"/>
        <v>0</v>
      </c>
      <c r="J21" s="39">
        <f t="shared" si="11"/>
        <v>0</v>
      </c>
      <c r="K21" s="39">
        <f t="shared" si="12"/>
        <v>0</v>
      </c>
      <c r="L21" s="39">
        <f>IF(AC21&gt;0,((K21-AD21)+(AE21-K22)),IF(K22=0, ,(K21-K22)))</f>
        <v>0</v>
      </c>
      <c r="M21" s="151">
        <f t="shared" si="16"/>
        <v>24196</v>
      </c>
      <c r="N21" s="39">
        <f t="shared" si="14"/>
        <v>0</v>
      </c>
      <c r="O21" s="39">
        <f t="shared" si="15"/>
        <v>0</v>
      </c>
      <c r="P21" s="42">
        <f t="shared" si="7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44305</v>
      </c>
      <c r="B22" s="41"/>
      <c r="C22" s="39">
        <f t="shared" si="19"/>
        <v>0</v>
      </c>
      <c r="D22" s="41"/>
      <c r="E22" s="39">
        <f t="shared" si="17"/>
        <v>0</v>
      </c>
      <c r="F22" s="41"/>
      <c r="G22" s="39">
        <f t="shared" si="9"/>
        <v>0</v>
      </c>
      <c r="H22" s="41"/>
      <c r="I22" s="39">
        <f t="shared" si="10"/>
        <v>0</v>
      </c>
      <c r="J22" s="39">
        <f t="shared" si="11"/>
        <v>0</v>
      </c>
      <c r="K22" s="39">
        <f t="shared" si="12"/>
        <v>0</v>
      </c>
      <c r="L22" s="39">
        <f>IF(AC22&gt;0,((K22-AD22)+(AE22-K23)),IF(K23=0, ,(K22-K23)))</f>
        <v>0</v>
      </c>
      <c r="M22" s="151">
        <f t="shared" si="16"/>
        <v>24196</v>
      </c>
      <c r="N22" s="39">
        <f t="shared" si="14"/>
        <v>0</v>
      </c>
      <c r="O22" s="39">
        <f t="shared" si="15"/>
        <v>0</v>
      </c>
      <c r="P22" s="42">
        <f t="shared" si="7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44306</v>
      </c>
      <c r="B23" s="41"/>
      <c r="C23" s="39">
        <f t="shared" si="19"/>
        <v>0</v>
      </c>
      <c r="D23" s="41"/>
      <c r="E23" s="39">
        <f t="shared" si="17"/>
        <v>0</v>
      </c>
      <c r="F23" s="41"/>
      <c r="G23" s="39">
        <f t="shared" si="9"/>
        <v>0</v>
      </c>
      <c r="H23" s="41"/>
      <c r="I23" s="39">
        <f t="shared" si="10"/>
        <v>0</v>
      </c>
      <c r="J23" s="39">
        <f t="shared" si="11"/>
        <v>0</v>
      </c>
      <c r="K23" s="39">
        <f t="shared" si="12"/>
        <v>0</v>
      </c>
      <c r="L23" s="39">
        <f t="shared" si="18"/>
        <v>0</v>
      </c>
      <c r="M23" s="151">
        <f t="shared" si="16"/>
        <v>24196</v>
      </c>
      <c r="N23" s="39">
        <f t="shared" si="14"/>
        <v>0</v>
      </c>
      <c r="O23" s="39">
        <f t="shared" si="15"/>
        <v>0</v>
      </c>
      <c r="P23" s="42">
        <f t="shared" si="7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44307</v>
      </c>
      <c r="B24" s="41"/>
      <c r="C24" s="39">
        <f>IF(AC24&gt;0,((B24-R24)+(S24-B25)),IF(B25=0, ,(B24-B25)))</f>
        <v>0</v>
      </c>
      <c r="D24" s="41"/>
      <c r="E24" s="39">
        <f t="shared" si="17"/>
        <v>0</v>
      </c>
      <c r="F24" s="41"/>
      <c r="G24" s="39">
        <f t="shared" si="9"/>
        <v>0</v>
      </c>
      <c r="H24" s="41"/>
      <c r="I24" s="39">
        <f t="shared" si="10"/>
        <v>0</v>
      </c>
      <c r="J24" s="39">
        <f t="shared" si="11"/>
        <v>0</v>
      </c>
      <c r="K24" s="39">
        <f t="shared" si="12"/>
        <v>0</v>
      </c>
      <c r="L24" s="39">
        <f t="shared" si="18"/>
        <v>0</v>
      </c>
      <c r="M24" s="151">
        <f t="shared" si="16"/>
        <v>24196</v>
      </c>
      <c r="N24" s="39">
        <f t="shared" si="14"/>
        <v>0</v>
      </c>
      <c r="O24" s="39">
        <f t="shared" si="15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44308</v>
      </c>
      <c r="B25" s="41"/>
      <c r="C25" s="39">
        <f>IF(AC25&gt;0,((B25-R25)+(S25-B26)),IF(B26=0, ,(B25-B26)))</f>
        <v>0</v>
      </c>
      <c r="D25" s="41"/>
      <c r="E25" s="39">
        <f t="shared" si="17"/>
        <v>0</v>
      </c>
      <c r="F25" s="41"/>
      <c r="G25" s="39">
        <f t="shared" si="9"/>
        <v>0</v>
      </c>
      <c r="H25" s="41"/>
      <c r="I25" s="39">
        <f t="shared" si="10"/>
        <v>0</v>
      </c>
      <c r="J25" s="39">
        <f t="shared" si="11"/>
        <v>0</v>
      </c>
      <c r="K25" s="39">
        <f t="shared" si="12"/>
        <v>0</v>
      </c>
      <c r="L25" s="39">
        <f t="shared" si="18"/>
        <v>0</v>
      </c>
      <c r="M25" s="151">
        <f t="shared" si="16"/>
        <v>24196</v>
      </c>
      <c r="N25" s="39">
        <f t="shared" si="14"/>
        <v>0</v>
      </c>
      <c r="O25" s="39">
        <f t="shared" si="15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44309</v>
      </c>
      <c r="B26" s="41"/>
      <c r="C26" s="39">
        <f>IF(AC26&gt;0,((B26-R26)+(S26-B27)),IF(B27=0, ,(B26-B27)))</f>
        <v>0</v>
      </c>
      <c r="D26" s="41"/>
      <c r="E26" s="39">
        <f t="shared" si="17"/>
        <v>0</v>
      </c>
      <c r="F26" s="41"/>
      <c r="G26" s="39">
        <f t="shared" si="9"/>
        <v>0</v>
      </c>
      <c r="H26" s="41"/>
      <c r="I26" s="39">
        <f t="shared" si="10"/>
        <v>0</v>
      </c>
      <c r="J26" s="39">
        <f t="shared" si="11"/>
        <v>0</v>
      </c>
      <c r="K26" s="39">
        <f t="shared" si="12"/>
        <v>0</v>
      </c>
      <c r="L26" s="39">
        <f t="shared" si="18"/>
        <v>0</v>
      </c>
      <c r="M26" s="151">
        <f t="shared" si="16"/>
        <v>24196</v>
      </c>
      <c r="N26" s="39">
        <f t="shared" si="14"/>
        <v>0</v>
      </c>
      <c r="O26" s="39">
        <f t="shared" si="15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44310</v>
      </c>
      <c r="B27" s="41"/>
      <c r="C27" s="39">
        <f t="shared" si="19"/>
        <v>0</v>
      </c>
      <c r="D27" s="41"/>
      <c r="E27" s="39">
        <f t="shared" ref="E27:E36" si="22">IF(AC27&gt;0,((D27-U27)+(V27-D28)),IF(D28=0, ,(D27-D28)))</f>
        <v>0</v>
      </c>
      <c r="F27" s="41"/>
      <c r="G27" s="39">
        <f t="shared" ref="G27:G36" si="23">IF(AC27&gt;0,((F27-X27)+(Y27-F28)),IF(F28=0, ,(F27-F28)))</f>
        <v>0</v>
      </c>
      <c r="H27" s="41"/>
      <c r="I27" s="39">
        <f t="shared" si="10"/>
        <v>0</v>
      </c>
      <c r="J27" s="39">
        <f t="shared" si="11"/>
        <v>0</v>
      </c>
      <c r="K27" s="39">
        <f t="shared" si="12"/>
        <v>0</v>
      </c>
      <c r="L27" s="39">
        <f t="shared" si="18"/>
        <v>0</v>
      </c>
      <c r="M27" s="151">
        <f t="shared" si="16"/>
        <v>24196</v>
      </c>
      <c r="N27" s="39">
        <f t="shared" si="14"/>
        <v>0</v>
      </c>
      <c r="O27" s="39">
        <f t="shared" si="15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44311</v>
      </c>
      <c r="B28" s="41"/>
      <c r="C28" s="39">
        <f t="shared" si="19"/>
        <v>0</v>
      </c>
      <c r="D28" s="41"/>
      <c r="E28" s="39">
        <f t="shared" si="22"/>
        <v>0</v>
      </c>
      <c r="F28" s="41"/>
      <c r="G28" s="39">
        <f t="shared" si="23"/>
        <v>0</v>
      </c>
      <c r="H28" s="41"/>
      <c r="I28" s="39">
        <f>IF(AC28&gt;0,((H28-AA28)+(AB28-H29)),IF(H29=0, ,(H28-H29)))</f>
        <v>0</v>
      </c>
      <c r="J28" s="39">
        <f t="shared" si="11"/>
        <v>0</v>
      </c>
      <c r="K28" s="39">
        <f t="shared" si="12"/>
        <v>0</v>
      </c>
      <c r="L28" s="39">
        <f t="shared" si="18"/>
        <v>0</v>
      </c>
      <c r="M28" s="151">
        <f t="shared" si="16"/>
        <v>24196</v>
      </c>
      <c r="N28" s="39">
        <f t="shared" si="14"/>
        <v>0</v>
      </c>
      <c r="O28" s="39">
        <f t="shared" si="15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44312</v>
      </c>
      <c r="B29" s="41"/>
      <c r="C29" s="39">
        <f t="shared" si="19"/>
        <v>0</v>
      </c>
      <c r="D29" s="41"/>
      <c r="E29" s="39">
        <f t="shared" si="22"/>
        <v>0</v>
      </c>
      <c r="F29" s="41"/>
      <c r="G29" s="39">
        <f t="shared" si="23"/>
        <v>0</v>
      </c>
      <c r="H29" s="41"/>
      <c r="I29" s="39">
        <f t="shared" si="10"/>
        <v>0</v>
      </c>
      <c r="J29" s="39">
        <f t="shared" si="11"/>
        <v>0</v>
      </c>
      <c r="K29" s="39">
        <f t="shared" si="12"/>
        <v>0</v>
      </c>
      <c r="L29" s="39">
        <f t="shared" si="18"/>
        <v>0</v>
      </c>
      <c r="M29" s="151">
        <f t="shared" si="16"/>
        <v>24196</v>
      </c>
      <c r="N29" s="39">
        <f t="shared" si="14"/>
        <v>0</v>
      </c>
      <c r="O29" s="39">
        <f t="shared" si="15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44313</v>
      </c>
      <c r="B30" s="41"/>
      <c r="C30" s="39">
        <f t="shared" si="19"/>
        <v>0</v>
      </c>
      <c r="D30" s="41"/>
      <c r="E30" s="39">
        <f t="shared" si="22"/>
        <v>0</v>
      </c>
      <c r="F30" s="41"/>
      <c r="G30" s="39">
        <f t="shared" si="23"/>
        <v>0</v>
      </c>
      <c r="H30" s="41"/>
      <c r="I30" s="39">
        <f t="shared" si="10"/>
        <v>0</v>
      </c>
      <c r="J30" s="39">
        <f t="shared" si="11"/>
        <v>0</v>
      </c>
      <c r="K30" s="39">
        <f t="shared" si="12"/>
        <v>0</v>
      </c>
      <c r="L30" s="39">
        <f t="shared" si="18"/>
        <v>0</v>
      </c>
      <c r="M30" s="151">
        <f t="shared" si="16"/>
        <v>24196</v>
      </c>
      <c r="N30" s="39">
        <f t="shared" si="14"/>
        <v>0</v>
      </c>
      <c r="O30" s="39">
        <f t="shared" si="15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4">(S30+V30+Y30+AB30)/4</f>
        <v>0</v>
      </c>
    </row>
    <row r="31" spans="1:31" ht="32.25" customHeight="1">
      <c r="A31" s="40">
        <v>44314</v>
      </c>
      <c r="B31" s="41"/>
      <c r="C31" s="39">
        <f t="shared" si="19"/>
        <v>0</v>
      </c>
      <c r="D31" s="41"/>
      <c r="E31" s="39">
        <f t="shared" si="22"/>
        <v>0</v>
      </c>
      <c r="F31" s="41"/>
      <c r="G31" s="39">
        <f>IF(AC31&gt;0,((F31-X31)+(Y31-F32)),IF(F32=0, ,(F31-F32)))</f>
        <v>0</v>
      </c>
      <c r="H31" s="41"/>
      <c r="I31" s="39">
        <f t="shared" si="10"/>
        <v>0</v>
      </c>
      <c r="J31" s="39">
        <f t="shared" si="11"/>
        <v>0</v>
      </c>
      <c r="K31" s="39">
        <f t="shared" si="12"/>
        <v>0</v>
      </c>
      <c r="L31" s="39">
        <f t="shared" si="18"/>
        <v>0</v>
      </c>
      <c r="M31" s="151">
        <f t="shared" si="16"/>
        <v>24196</v>
      </c>
      <c r="N31" s="39">
        <f t="shared" si="14"/>
        <v>0</v>
      </c>
      <c r="O31" s="39">
        <f t="shared" si="15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4"/>
        <v>0</v>
      </c>
    </row>
    <row r="32" spans="1:31" ht="32.25" customHeight="1">
      <c r="A32" s="40">
        <v>44315</v>
      </c>
      <c r="B32" s="41"/>
      <c r="C32" s="39">
        <f t="shared" si="19"/>
        <v>0</v>
      </c>
      <c r="D32" s="41"/>
      <c r="E32" s="39">
        <f t="shared" si="22"/>
        <v>0</v>
      </c>
      <c r="F32" s="41"/>
      <c r="G32" s="39">
        <f t="shared" si="23"/>
        <v>0</v>
      </c>
      <c r="H32" s="41"/>
      <c r="I32" s="39">
        <f t="shared" si="10"/>
        <v>0</v>
      </c>
      <c r="J32" s="39">
        <f t="shared" si="11"/>
        <v>0</v>
      </c>
      <c r="K32" s="39">
        <f t="shared" si="12"/>
        <v>0</v>
      </c>
      <c r="L32" s="39">
        <f t="shared" si="18"/>
        <v>0</v>
      </c>
      <c r="M32" s="151">
        <f t="shared" si="16"/>
        <v>24196</v>
      </c>
      <c r="N32" s="39">
        <f t="shared" si="14"/>
        <v>0</v>
      </c>
      <c r="O32" s="151">
        <f t="shared" si="15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4"/>
        <v>0</v>
      </c>
    </row>
    <row r="33" spans="1:31" ht="32.25" customHeight="1">
      <c r="A33" s="40">
        <v>44316</v>
      </c>
      <c r="B33" s="41"/>
      <c r="C33" s="39">
        <f t="shared" si="19"/>
        <v>0</v>
      </c>
      <c r="D33" s="41"/>
      <c r="E33" s="39">
        <f t="shared" si="22"/>
        <v>0</v>
      </c>
      <c r="F33" s="41"/>
      <c r="G33" s="39">
        <f t="shared" si="23"/>
        <v>0</v>
      </c>
      <c r="H33" s="41"/>
      <c r="I33" s="39">
        <f t="shared" si="10"/>
        <v>0</v>
      </c>
      <c r="J33" s="39">
        <f t="shared" si="11"/>
        <v>0</v>
      </c>
      <c r="K33" s="39">
        <f t="shared" si="12"/>
        <v>0</v>
      </c>
      <c r="L33" s="39">
        <f t="shared" si="18"/>
        <v>0</v>
      </c>
      <c r="M33" s="151">
        <f t="shared" si="16"/>
        <v>24196</v>
      </c>
      <c r="N33" s="39">
        <f t="shared" si="14"/>
        <v>0</v>
      </c>
      <c r="O33" s="39">
        <f t="shared" si="15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4"/>
        <v>0</v>
      </c>
    </row>
    <row r="34" spans="1:31" ht="32.25" customHeight="1">
      <c r="A34" s="40">
        <v>44317</v>
      </c>
      <c r="B34" s="41"/>
      <c r="C34" s="39">
        <f t="shared" si="19"/>
        <v>0</v>
      </c>
      <c r="D34" s="41"/>
      <c r="E34" s="39">
        <f t="shared" si="22"/>
        <v>0</v>
      </c>
      <c r="F34" s="41"/>
      <c r="G34" s="39">
        <f t="shared" si="23"/>
        <v>0</v>
      </c>
      <c r="H34" s="41"/>
      <c r="I34" s="39">
        <f t="shared" si="10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1">
        <f t="shared" si="16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4"/>
        <v>0</v>
      </c>
    </row>
    <row r="35" spans="1:31" ht="32.25" customHeight="1">
      <c r="A35" s="40">
        <v>44318</v>
      </c>
      <c r="B35" s="41"/>
      <c r="C35" s="39">
        <f t="shared" si="19"/>
        <v>0</v>
      </c>
      <c r="D35" s="41"/>
      <c r="E35" s="39">
        <f t="shared" si="22"/>
        <v>0</v>
      </c>
      <c r="F35" s="41"/>
      <c r="G35" s="39">
        <f t="shared" si="23"/>
        <v>0</v>
      </c>
      <c r="H35" s="41"/>
      <c r="I35" s="39">
        <f t="shared" si="10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51">
        <f t="shared" si="16"/>
        <v>24196</v>
      </c>
      <c r="N35" s="39">
        <f t="shared" si="14"/>
        <v>0</v>
      </c>
      <c r="O35" s="39">
        <f t="shared" si="15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2"/>
        <v>0</v>
      </c>
      <c r="F36" s="41"/>
      <c r="G36" s="39">
        <f t="shared" si="23"/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8"/>
        <v>0</v>
      </c>
      <c r="M36" s="151">
        <f t="shared" si="16"/>
        <v>24196</v>
      </c>
      <c r="N36" s="39">
        <f t="shared" si="14"/>
        <v>0</v>
      </c>
      <c r="O36" s="39">
        <f t="shared" si="15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8"/>
        <v>0</v>
      </c>
      <c r="M37" s="151">
        <f t="shared" si="16"/>
        <v>24196</v>
      </c>
      <c r="N37" s="39">
        <f t="shared" si="14"/>
        <v>0</v>
      </c>
      <c r="O37" s="39">
        <f t="shared" si="15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1"/>
        <v>0</v>
      </c>
      <c r="K38" s="39">
        <f t="shared" si="12"/>
        <v>0</v>
      </c>
      <c r="L38" s="39">
        <f t="shared" si="18"/>
        <v>0</v>
      </c>
      <c r="M38" s="151">
        <f t="shared" si="16"/>
        <v>24196</v>
      </c>
      <c r="N38" s="39">
        <f t="shared" si="14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1"/>
        <v>0</v>
      </c>
      <c r="K39" s="39">
        <f t="shared" si="12"/>
        <v>0</v>
      </c>
      <c r="L39" s="39">
        <f t="shared" si="18"/>
        <v>0</v>
      </c>
      <c r="M39" s="151">
        <f t="shared" si="16"/>
        <v>24196</v>
      </c>
      <c r="N39" s="39">
        <f t="shared" si="14"/>
        <v>0</v>
      </c>
      <c r="O39" s="39">
        <f>N39*0.53</f>
        <v>0</v>
      </c>
      <c r="P39" s="42">
        <f t="shared" ref="P5:P39" si="28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1"/>
        <v>0</v>
      </c>
      <c r="K40" s="39">
        <f t="shared" si="12"/>
        <v>0</v>
      </c>
      <c r="L40" s="39">
        <f t="shared" si="18"/>
        <v>0</v>
      </c>
      <c r="M40" s="151">
        <f t="shared" si="16"/>
        <v>24196</v>
      </c>
      <c r="N40" s="39">
        <f t="shared" si="14"/>
        <v>0</v>
      </c>
      <c r="O40" s="39">
        <f>N40*0.53</f>
        <v>0</v>
      </c>
      <c r="P40" s="42">
        <f t="shared" ref="P5:P40" si="29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1"/>
        <v>0</v>
      </c>
      <c r="K41" s="39">
        <f t="shared" si="12"/>
        <v>0</v>
      </c>
      <c r="L41" s="39">
        <f t="shared" si="18"/>
        <v>0</v>
      </c>
      <c r="M41" s="151">
        <f t="shared" si="16"/>
        <v>24196</v>
      </c>
      <c r="N41" s="39">
        <f t="shared" si="1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1"/>
        <v>0</v>
      </c>
      <c r="K42" s="39">
        <f t="shared" si="12"/>
        <v>0</v>
      </c>
      <c r="L42" s="39">
        <f t="shared" si="18"/>
        <v>0</v>
      </c>
      <c r="M42" s="151">
        <f t="shared" si="16"/>
        <v>24196</v>
      </c>
      <c r="N42" s="39">
        <f t="shared" si="1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10952.43</v>
      </c>
      <c r="O43" s="39">
        <f>N43*0.529</f>
        <v>5793.83547</v>
      </c>
      <c r="P43" s="42">
        <f>O43*8.7</f>
        <v>50406.368588999998</v>
      </c>
      <c r="Q43" s="290">
        <f>SUM(Q4:Q42)</f>
        <v>2870</v>
      </c>
      <c r="R43" s="291"/>
      <c r="S43" s="292"/>
      <c r="T43" s="293">
        <f>SUM(T4:T42)</f>
        <v>2832</v>
      </c>
      <c r="U43" s="291"/>
      <c r="V43" s="292"/>
      <c r="W43" s="293">
        <f>SUM(W4:W42)</f>
        <v>2865</v>
      </c>
      <c r="X43" s="291"/>
      <c r="Y43" s="292"/>
      <c r="Z43" s="293">
        <f>SUM(Z4:Z42)</f>
        <v>2677</v>
      </c>
      <c r="AA43" s="291"/>
      <c r="AB43" s="292"/>
      <c r="AC43" s="39">
        <f t="shared" si="21"/>
        <v>11244</v>
      </c>
    </row>
    <row r="44" spans="1:31" ht="35.25" customHeight="1" thickBot="1">
      <c r="B44" s="299"/>
      <c r="C44" s="300"/>
      <c r="D44" s="300"/>
      <c r="E44" s="300"/>
      <c r="F44" s="300"/>
      <c r="G44" s="300"/>
      <c r="H44" s="300"/>
      <c r="I44" s="301"/>
      <c r="J44" s="37"/>
      <c r="K44" s="37"/>
      <c r="L44" s="37"/>
      <c r="M44" s="37"/>
      <c r="N44" s="37"/>
      <c r="O44" s="37"/>
      <c r="P44" s="37"/>
      <c r="Q44" s="302">
        <f>Q43+T43+W43+Z43</f>
        <v>11244</v>
      </c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4"/>
      <c r="AC44" s="39">
        <f>Q44+T44+W44+Z44</f>
        <v>11244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6" t="s">
        <v>85</v>
      </c>
      <c r="I47" s="287"/>
      <c r="J47" s="288"/>
      <c r="K47" s="45">
        <f>N43</f>
        <v>10952.43</v>
      </c>
      <c r="L47" s="46">
        <f>O43</f>
        <v>5793.83547</v>
      </c>
      <c r="M47" s="46">
        <f>P43</f>
        <v>50406.368588999998</v>
      </c>
    </row>
    <row r="48" spans="1:31" ht="54.75" customHeight="1" thickBot="1">
      <c r="H48" s="286" t="s">
        <v>86</v>
      </c>
      <c r="I48" s="287"/>
      <c r="J48" s="288"/>
      <c r="K48" s="43">
        <f>AC44</f>
        <v>11244</v>
      </c>
      <c r="L48" s="44">
        <f>K48*0.529</f>
        <v>5948.076</v>
      </c>
      <c r="M48" s="44">
        <f>L48*8.7</f>
        <v>51748.261199999994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5"/>
      <c r="B1" s="277"/>
      <c r="C1" s="363" t="s">
        <v>87</v>
      </c>
      <c r="D1" s="364"/>
      <c r="E1" s="364"/>
      <c r="F1" s="364"/>
      <c r="G1" s="364"/>
      <c r="H1" s="369" t="s">
        <v>88</v>
      </c>
      <c r="I1" s="370"/>
      <c r="J1" s="371"/>
    </row>
    <row r="2" spans="1:10" ht="16.5" customHeight="1" thickBot="1">
      <c r="A2" s="278"/>
      <c r="B2" s="280"/>
      <c r="C2" s="365"/>
      <c r="D2" s="366"/>
      <c r="E2" s="366"/>
      <c r="F2" s="366"/>
      <c r="G2" s="366"/>
      <c r="H2" s="372"/>
      <c r="I2" s="373"/>
      <c r="J2" s="374"/>
    </row>
    <row r="3" spans="1:10" ht="15" customHeight="1">
      <c r="A3" s="278"/>
      <c r="B3" s="280"/>
      <c r="C3" s="365"/>
      <c r="D3" s="366"/>
      <c r="E3" s="366"/>
      <c r="F3" s="366"/>
      <c r="G3" s="366"/>
      <c r="H3" s="375" t="s">
        <v>89</v>
      </c>
      <c r="I3" s="376"/>
      <c r="J3" s="377"/>
    </row>
    <row r="4" spans="1:10" ht="15.75" customHeight="1" thickBot="1">
      <c r="A4" s="281"/>
      <c r="B4" s="283"/>
      <c r="C4" s="367"/>
      <c r="D4" s="368"/>
      <c r="E4" s="368"/>
      <c r="F4" s="368"/>
      <c r="G4" s="368"/>
      <c r="H4" s="378"/>
      <c r="I4" s="379"/>
      <c r="J4" s="380"/>
    </row>
    <row r="6" spans="1:10" ht="33" customHeight="1" thickBot="1"/>
    <row r="7" spans="1:10" ht="36.75" thickTop="1">
      <c r="A7" s="381" t="s">
        <v>90</v>
      </c>
      <c r="B7" s="381"/>
      <c r="C7" s="382" t="s">
        <v>91</v>
      </c>
      <c r="D7" s="383"/>
      <c r="E7" s="61" t="s">
        <v>92</v>
      </c>
      <c r="F7" s="61" t="s">
        <v>93</v>
      </c>
      <c r="G7" s="61" t="s">
        <v>94</v>
      </c>
      <c r="H7" s="61" t="s">
        <v>95</v>
      </c>
      <c r="I7" s="384" t="s">
        <v>96</v>
      </c>
      <c r="J7" s="385"/>
    </row>
    <row r="8" spans="1:10">
      <c r="A8" s="351">
        <v>95670781</v>
      </c>
      <c r="B8" s="351"/>
      <c r="C8" s="356">
        <v>44255</v>
      </c>
      <c r="D8" s="357"/>
      <c r="E8" s="113">
        <v>44283</v>
      </c>
      <c r="F8" s="169" t="s">
        <v>97</v>
      </c>
      <c r="G8" s="62"/>
      <c r="H8" s="62"/>
      <c r="I8" s="358"/>
      <c r="J8" s="359"/>
    </row>
    <row r="10" spans="1:10" ht="23.25" customHeight="1" thickBot="1"/>
    <row r="11" spans="1:10" ht="24.75" customHeight="1" thickTop="1">
      <c r="A11" s="335" t="s">
        <v>98</v>
      </c>
      <c r="B11" s="335"/>
      <c r="C11" s="360" t="s">
        <v>99</v>
      </c>
      <c r="D11" s="361"/>
      <c r="E11" s="335" t="s">
        <v>100</v>
      </c>
      <c r="F11" s="335"/>
      <c r="G11" s="360" t="s">
        <v>101</v>
      </c>
      <c r="H11" s="361"/>
      <c r="I11" s="362" t="s">
        <v>102</v>
      </c>
      <c r="J11" s="362"/>
    </row>
    <row r="12" spans="1:10">
      <c r="A12" s="351" t="s">
        <v>103</v>
      </c>
      <c r="B12" s="351"/>
      <c r="C12" s="351">
        <v>3750</v>
      </c>
      <c r="D12" s="351"/>
      <c r="E12" s="351">
        <v>1000</v>
      </c>
      <c r="F12" s="351"/>
      <c r="G12" s="352">
        <v>695</v>
      </c>
      <c r="H12" s="352"/>
      <c r="I12" s="353"/>
      <c r="J12" s="353"/>
    </row>
    <row r="13" spans="1:10">
      <c r="A13" s="354"/>
      <c r="B13" s="355"/>
      <c r="C13" s="355"/>
      <c r="D13" s="355"/>
      <c r="E13" s="355"/>
      <c r="F13" s="355"/>
      <c r="G13" s="355"/>
      <c r="H13" s="355"/>
      <c r="I13" s="355"/>
      <c r="J13" s="355"/>
    </row>
    <row r="15" spans="1:10" ht="13.5" thickBot="1"/>
    <row r="16" spans="1:10" ht="26.25" thickTop="1">
      <c r="A16" s="335" t="s">
        <v>104</v>
      </c>
      <c r="B16" s="335"/>
      <c r="C16" s="63" t="s">
        <v>105</v>
      </c>
      <c r="D16" s="64" t="s">
        <v>106</v>
      </c>
      <c r="E16" s="64" t="s">
        <v>48</v>
      </c>
      <c r="F16" s="64" t="s">
        <v>107</v>
      </c>
      <c r="G16" s="348" t="s">
        <v>108</v>
      </c>
      <c r="H16" s="348"/>
      <c r="I16" s="349" t="s">
        <v>109</v>
      </c>
      <c r="J16" s="350"/>
    </row>
    <row r="17" spans="1:10">
      <c r="A17" s="340" t="s">
        <v>110</v>
      </c>
      <c r="B17" s="341"/>
      <c r="C17" s="66">
        <v>17537869</v>
      </c>
      <c r="D17" s="66">
        <v>17423883</v>
      </c>
      <c r="E17" s="67">
        <f>MIN(C17-D17)</f>
        <v>113986</v>
      </c>
      <c r="F17" s="67">
        <f>+E17</f>
        <v>113986</v>
      </c>
      <c r="G17" s="342"/>
      <c r="H17" s="343"/>
      <c r="I17" s="342">
        <f>+E17</f>
        <v>113986</v>
      </c>
      <c r="J17" s="343"/>
    </row>
    <row r="18" spans="1:10">
      <c r="A18" s="340" t="s">
        <v>111</v>
      </c>
      <c r="B18" s="341"/>
      <c r="C18" s="66">
        <v>10446238</v>
      </c>
      <c r="D18" s="66">
        <v>10372574</v>
      </c>
      <c r="E18" s="67">
        <f>MIN(C18-D18)</f>
        <v>73664</v>
      </c>
      <c r="F18" s="67">
        <f>+E18</f>
        <v>73664</v>
      </c>
      <c r="G18" s="342"/>
      <c r="H18" s="343"/>
      <c r="I18" s="342">
        <f>+E18</f>
        <v>73664</v>
      </c>
      <c r="J18" s="343"/>
    </row>
    <row r="19" spans="1:10">
      <c r="A19" s="340" t="s">
        <v>112</v>
      </c>
      <c r="B19" s="341"/>
      <c r="C19" s="66">
        <v>7773559</v>
      </c>
      <c r="D19" s="66">
        <v>7718859</v>
      </c>
      <c r="E19" s="67">
        <f>AVERAGE(C19-D19)</f>
        <v>54700</v>
      </c>
      <c r="F19" s="67">
        <f>+E19</f>
        <v>54700</v>
      </c>
      <c r="G19" s="342"/>
      <c r="H19" s="343"/>
      <c r="I19" s="342">
        <f>+E19</f>
        <v>54700</v>
      </c>
      <c r="J19" s="343"/>
    </row>
    <row r="20" spans="1:10" ht="15">
      <c r="A20" s="344" t="s">
        <v>113</v>
      </c>
      <c r="B20" s="345"/>
      <c r="C20" s="68"/>
      <c r="D20" s="69"/>
      <c r="E20" s="68">
        <f>SUM(E17:E19)</f>
        <v>242350</v>
      </c>
      <c r="F20" s="70"/>
      <c r="G20" s="346"/>
      <c r="H20" s="347"/>
      <c r="I20" s="346"/>
      <c r="J20" s="347"/>
    </row>
    <row r="21" spans="1:10">
      <c r="C21" s="110" t="s">
        <v>18</v>
      </c>
      <c r="D21" t="s">
        <v>114</v>
      </c>
      <c r="G21" s="327"/>
      <c r="H21" s="327"/>
    </row>
    <row r="22" spans="1:10" ht="13.5" thickBot="1">
      <c r="G22" s="328"/>
      <c r="H22" s="328"/>
    </row>
    <row r="23" spans="1:10" ht="13.5" thickTop="1">
      <c r="A23" s="329" t="s">
        <v>115</v>
      </c>
      <c r="B23" s="330"/>
      <c r="C23" s="331"/>
      <c r="D23" s="335" t="s">
        <v>116</v>
      </c>
      <c r="E23" s="335" t="s">
        <v>117</v>
      </c>
      <c r="F23" s="337" t="s">
        <v>118</v>
      </c>
      <c r="G23" s="339" t="s">
        <v>119</v>
      </c>
      <c r="H23" s="339"/>
      <c r="I23" s="323" t="s">
        <v>120</v>
      </c>
      <c r="J23" s="323"/>
    </row>
    <row r="24" spans="1:10">
      <c r="A24" s="332"/>
      <c r="B24" s="333"/>
      <c r="C24" s="334"/>
      <c r="D24" s="336"/>
      <c r="E24" s="336"/>
      <c r="F24" s="338"/>
      <c r="G24" s="170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113986</v>
      </c>
      <c r="E25" s="72">
        <v>0.95140000000000002</v>
      </c>
      <c r="F25" s="73">
        <f>PRODUCT(D25*E25)</f>
        <v>108446.2804</v>
      </c>
      <c r="G25" s="153">
        <v>14</v>
      </c>
      <c r="H25" s="65">
        <f>PRODUCT(0.14,F25)</f>
        <v>15182.479256000002</v>
      </c>
      <c r="I25" s="308">
        <f>SUM(H25,F25)</f>
        <v>123628.75965600001</v>
      </c>
      <c r="J25" s="309"/>
    </row>
    <row r="26" spans="1:10" ht="15">
      <c r="A26" s="305" t="s">
        <v>124</v>
      </c>
      <c r="B26" s="306"/>
      <c r="C26" s="307"/>
      <c r="D26" s="67">
        <f>+E18</f>
        <v>73664</v>
      </c>
      <c r="E26" s="74">
        <v>0.69850000000000001</v>
      </c>
      <c r="F26" s="73">
        <f>PRODUCT(D26*E26)</f>
        <v>51454.304000000004</v>
      </c>
      <c r="G26">
        <v>14</v>
      </c>
      <c r="H26" s="67">
        <f>PRODUCT(0.14,F26)</f>
        <v>7203.6025600000012</v>
      </c>
      <c r="I26" s="308">
        <f t="shared" ref="I26:I31" si="0">SUM(H26,F26)</f>
        <v>58657.906560000003</v>
      </c>
      <c r="J26" s="309"/>
    </row>
    <row r="27" spans="1:10" ht="15">
      <c r="A27" s="305" t="s">
        <v>125</v>
      </c>
      <c r="B27" s="306"/>
      <c r="C27" s="307"/>
      <c r="D27" s="67">
        <f>+E19</f>
        <v>54700</v>
      </c>
      <c r="E27" s="74">
        <v>1.3304</v>
      </c>
      <c r="F27" s="73">
        <f>PRODUCT(D27*E27)</f>
        <v>72772.88</v>
      </c>
      <c r="G27">
        <v>14</v>
      </c>
      <c r="H27" s="67">
        <f>PRODUCT(0.14,F27)</f>
        <v>10188.203200000002</v>
      </c>
      <c r="I27" s="308">
        <f>SUM(H27,F27)</f>
        <v>82961.083200000008</v>
      </c>
      <c r="J27" s="309"/>
    </row>
    <row r="28" spans="1:10" ht="15">
      <c r="A28" s="305" t="s">
        <v>126</v>
      </c>
      <c r="B28" s="306"/>
      <c r="C28" s="30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8">
        <f t="shared" si="0"/>
        <v>50025.103799999997</v>
      </c>
      <c r="J28" s="309"/>
    </row>
    <row r="29" spans="1:10" ht="15">
      <c r="A29" s="318" t="s">
        <v>127</v>
      </c>
      <c r="B29" s="319"/>
      <c r="C29" s="320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21">
        <f t="shared" si="0"/>
        <v>0</v>
      </c>
      <c r="J29" s="322"/>
    </row>
    <row r="30" spans="1:10" ht="15">
      <c r="A30" s="305" t="s">
        <v>128</v>
      </c>
      <c r="B30" s="306"/>
      <c r="C30" s="30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8">
        <f>SUM(H30,F30)</f>
        <v>1009.2</v>
      </c>
      <c r="J30" s="309"/>
    </row>
    <row r="31" spans="1:10" ht="15.75" thickBot="1">
      <c r="A31" s="310" t="s">
        <v>129</v>
      </c>
      <c r="B31" s="311"/>
      <c r="C31" s="31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8">
        <f t="shared" si="0"/>
        <v>1596.44</v>
      </c>
      <c r="J31" s="309"/>
    </row>
    <row r="32" spans="1:10" ht="21">
      <c r="A32" s="313" t="s">
        <v>130</v>
      </c>
      <c r="B32" s="314"/>
      <c r="C32" s="314"/>
      <c r="D32" s="314"/>
      <c r="E32" s="314"/>
      <c r="F32" s="84">
        <f>SUM(F25:F31)</f>
        <v>278888.13439999998</v>
      </c>
      <c r="G32" s="85"/>
      <c r="H32" s="86"/>
      <c r="I32" s="317">
        <f>SUM(I25:J31)</f>
        <v>317878.49321600003</v>
      </c>
      <c r="J32" s="317"/>
    </row>
    <row r="33" spans="1:10" ht="21.75" thickBot="1">
      <c r="A33" s="315"/>
      <c r="B33" s="316"/>
      <c r="C33" s="316"/>
      <c r="D33" s="316"/>
      <c r="E33" s="316"/>
      <c r="F33" s="87"/>
      <c r="G33" s="88"/>
      <c r="H33" s="89"/>
      <c r="I33" s="317"/>
      <c r="J33" s="31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5"/>
      <c r="B1" s="277"/>
      <c r="C1" s="363" t="s">
        <v>87</v>
      </c>
      <c r="D1" s="364"/>
      <c r="E1" s="364"/>
      <c r="F1" s="364"/>
      <c r="G1" s="364"/>
      <c r="H1" s="369" t="s">
        <v>88</v>
      </c>
      <c r="I1" s="370"/>
      <c r="J1" s="371"/>
    </row>
    <row r="2" spans="1:10" ht="16.5" customHeight="1" thickBot="1">
      <c r="A2" s="278"/>
      <c r="B2" s="280"/>
      <c r="C2" s="365"/>
      <c r="D2" s="366"/>
      <c r="E2" s="366"/>
      <c r="F2" s="366"/>
      <c r="G2" s="366"/>
      <c r="H2" s="372"/>
      <c r="I2" s="373"/>
      <c r="J2" s="374"/>
    </row>
    <row r="3" spans="1:10" ht="15" customHeight="1">
      <c r="A3" s="278"/>
      <c r="B3" s="280"/>
      <c r="C3" s="365"/>
      <c r="D3" s="366"/>
      <c r="E3" s="366"/>
      <c r="F3" s="366"/>
      <c r="G3" s="366"/>
      <c r="H3" s="375" t="s">
        <v>89</v>
      </c>
      <c r="I3" s="376"/>
      <c r="J3" s="377"/>
    </row>
    <row r="4" spans="1:10" ht="15.75" customHeight="1" thickBot="1">
      <c r="A4" s="281"/>
      <c r="B4" s="283"/>
      <c r="C4" s="367"/>
      <c r="D4" s="368"/>
      <c r="E4" s="368"/>
      <c r="F4" s="368"/>
      <c r="G4" s="368"/>
      <c r="H4" s="378"/>
      <c r="I4" s="379"/>
      <c r="J4" s="380"/>
    </row>
    <row r="6" spans="1:10" ht="33" customHeight="1" thickBot="1"/>
    <row r="7" spans="1:10" ht="36.75" thickTop="1">
      <c r="A7" s="381" t="s">
        <v>90</v>
      </c>
      <c r="B7" s="381"/>
      <c r="C7" s="382" t="s">
        <v>91</v>
      </c>
      <c r="D7" s="383"/>
      <c r="E7" s="61" t="s">
        <v>92</v>
      </c>
      <c r="F7" s="61" t="s">
        <v>93</v>
      </c>
      <c r="G7" s="61" t="s">
        <v>94</v>
      </c>
      <c r="H7" s="61" t="s">
        <v>95</v>
      </c>
      <c r="I7" s="384" t="s">
        <v>96</v>
      </c>
      <c r="J7" s="385"/>
    </row>
    <row r="8" spans="1:10">
      <c r="A8" s="351">
        <v>95670781</v>
      </c>
      <c r="B8" s="351"/>
      <c r="C8" s="356" t="s">
        <v>131</v>
      </c>
      <c r="D8" s="357"/>
      <c r="E8" s="113" t="s">
        <v>132</v>
      </c>
      <c r="F8" s="169" t="s">
        <v>97</v>
      </c>
      <c r="G8" s="62"/>
      <c r="H8" s="62"/>
      <c r="I8" s="358"/>
      <c r="J8" s="359"/>
    </row>
    <row r="10" spans="1:10" ht="23.25" customHeight="1" thickBot="1"/>
    <row r="11" spans="1:10" ht="24.75" customHeight="1" thickTop="1">
      <c r="A11" s="335" t="s">
        <v>98</v>
      </c>
      <c r="B11" s="335"/>
      <c r="C11" s="360" t="s">
        <v>99</v>
      </c>
      <c r="D11" s="361"/>
      <c r="E11" s="335" t="s">
        <v>100</v>
      </c>
      <c r="F11" s="335"/>
      <c r="G11" s="360" t="s">
        <v>101</v>
      </c>
      <c r="H11" s="361"/>
      <c r="I11" s="362" t="s">
        <v>102</v>
      </c>
      <c r="J11" s="362"/>
    </row>
    <row r="12" spans="1:10">
      <c r="A12" s="351" t="s">
        <v>103</v>
      </c>
      <c r="B12" s="351"/>
      <c r="C12" s="351">
        <v>3750</v>
      </c>
      <c r="D12" s="351"/>
      <c r="E12" s="351">
        <v>1000</v>
      </c>
      <c r="F12" s="351"/>
      <c r="G12" s="352">
        <v>1070</v>
      </c>
      <c r="H12" s="352"/>
      <c r="I12" s="353"/>
      <c r="J12" s="353"/>
    </row>
    <row r="13" spans="1:10">
      <c r="A13" s="354"/>
      <c r="B13" s="355"/>
      <c r="C13" s="355"/>
      <c r="D13" s="355"/>
      <c r="E13" s="355"/>
      <c r="F13" s="355"/>
      <c r="G13" s="355"/>
      <c r="H13" s="355"/>
      <c r="I13" s="355"/>
      <c r="J13" s="355"/>
    </row>
    <row r="15" spans="1:10" ht="13.5" thickBot="1"/>
    <row r="16" spans="1:10" ht="26.25" thickTop="1">
      <c r="A16" s="335" t="s">
        <v>104</v>
      </c>
      <c r="B16" s="335"/>
      <c r="C16" s="63" t="s">
        <v>105</v>
      </c>
      <c r="D16" s="64" t="s">
        <v>106</v>
      </c>
      <c r="E16" s="64" t="s">
        <v>48</v>
      </c>
      <c r="F16" s="64" t="s">
        <v>107</v>
      </c>
      <c r="G16" s="348" t="s">
        <v>108</v>
      </c>
      <c r="H16" s="348"/>
      <c r="I16" s="349" t="s">
        <v>109</v>
      </c>
      <c r="J16" s="350"/>
    </row>
    <row r="17" spans="1:10">
      <c r="A17" s="340" t="s">
        <v>110</v>
      </c>
      <c r="B17" s="341"/>
      <c r="C17" s="66">
        <v>17632144</v>
      </c>
      <c r="D17" s="66">
        <v>17627561</v>
      </c>
      <c r="E17" s="67">
        <f>MIN(C17-D17)</f>
        <v>4583</v>
      </c>
      <c r="F17" s="67">
        <f>+E17</f>
        <v>4583</v>
      </c>
      <c r="G17" s="342"/>
      <c r="H17" s="343"/>
      <c r="I17" s="342">
        <f>+E17</f>
        <v>4583</v>
      </c>
      <c r="J17" s="343"/>
    </row>
    <row r="18" spans="1:10">
      <c r="A18" s="340" t="s">
        <v>111</v>
      </c>
      <c r="B18" s="341"/>
      <c r="C18" s="66">
        <v>10497055</v>
      </c>
      <c r="D18" s="66">
        <v>10494938</v>
      </c>
      <c r="E18" s="67">
        <f>MIN(C18-D18)</f>
        <v>2117</v>
      </c>
      <c r="F18" s="67">
        <f>+E18</f>
        <v>2117</v>
      </c>
      <c r="G18" s="342"/>
      <c r="H18" s="343"/>
      <c r="I18" s="342">
        <f>+E18</f>
        <v>2117</v>
      </c>
      <c r="J18" s="343"/>
    </row>
    <row r="19" spans="1:10">
      <c r="A19" s="340" t="s">
        <v>112</v>
      </c>
      <c r="B19" s="341"/>
      <c r="C19" s="66">
        <v>7810799</v>
      </c>
      <c r="D19" s="66">
        <v>7809136</v>
      </c>
      <c r="E19" s="67">
        <f>AVERAGE(C19-D19)</f>
        <v>1663</v>
      </c>
      <c r="F19" s="67">
        <f>+E19</f>
        <v>1663</v>
      </c>
      <c r="G19" s="342"/>
      <c r="H19" s="343"/>
      <c r="I19" s="342">
        <f>+E19</f>
        <v>1663</v>
      </c>
      <c r="J19" s="343"/>
    </row>
    <row r="20" spans="1:10" ht="15">
      <c r="A20" s="344" t="s">
        <v>113</v>
      </c>
      <c r="B20" s="345"/>
      <c r="C20" s="68"/>
      <c r="D20" s="69"/>
      <c r="E20" s="68">
        <f>SUM(E17:E19)</f>
        <v>8363</v>
      </c>
      <c r="F20" s="70"/>
      <c r="G20" s="346"/>
      <c r="H20" s="347"/>
      <c r="I20" s="346"/>
      <c r="J20" s="347"/>
    </row>
    <row r="21" spans="1:10">
      <c r="C21" s="110" t="s">
        <v>18</v>
      </c>
      <c r="D21" t="s">
        <v>114</v>
      </c>
      <c r="G21" s="327"/>
      <c r="H21" s="327"/>
    </row>
    <row r="22" spans="1:10" ht="13.5" thickBot="1">
      <c r="G22" s="328"/>
      <c r="H22" s="328"/>
    </row>
    <row r="23" spans="1:10" ht="13.5" thickTop="1">
      <c r="A23" s="329" t="s">
        <v>115</v>
      </c>
      <c r="B23" s="330"/>
      <c r="C23" s="331"/>
      <c r="D23" s="335" t="s">
        <v>116</v>
      </c>
      <c r="E23" s="335" t="s">
        <v>117</v>
      </c>
      <c r="F23" s="337" t="s">
        <v>118</v>
      </c>
      <c r="G23" s="339" t="s">
        <v>119</v>
      </c>
      <c r="H23" s="339"/>
      <c r="I23" s="323" t="s">
        <v>120</v>
      </c>
      <c r="J23" s="323"/>
    </row>
    <row r="24" spans="1:10">
      <c r="A24" s="332"/>
      <c r="B24" s="333"/>
      <c r="C24" s="334"/>
      <c r="D24" s="336"/>
      <c r="E24" s="336"/>
      <c r="F24" s="338"/>
      <c r="G24" s="170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4583</v>
      </c>
      <c r="E25" s="72">
        <v>0.95140000000000002</v>
      </c>
      <c r="F25" s="73">
        <f>PRODUCT(D25*E25)</f>
        <v>4360.2662</v>
      </c>
      <c r="G25" s="153">
        <v>14</v>
      </c>
      <c r="H25" s="65">
        <f>PRODUCT(0.14,F25)</f>
        <v>610.43726800000002</v>
      </c>
      <c r="I25" s="308">
        <f>SUM(H25,F25)</f>
        <v>4970.7034679999997</v>
      </c>
      <c r="J25" s="309"/>
    </row>
    <row r="26" spans="1:10" ht="15">
      <c r="A26" s="305" t="s">
        <v>124</v>
      </c>
      <c r="B26" s="306"/>
      <c r="C26" s="307"/>
      <c r="D26" s="67">
        <f>+E18</f>
        <v>2117</v>
      </c>
      <c r="E26" s="74">
        <v>0.69850000000000001</v>
      </c>
      <c r="F26" s="73">
        <f>PRODUCT(D26*E26)</f>
        <v>1478.7245</v>
      </c>
      <c r="G26">
        <v>14</v>
      </c>
      <c r="H26" s="67">
        <f>PRODUCT(0.14,F26)</f>
        <v>207.02143000000004</v>
      </c>
      <c r="I26" s="308">
        <f t="shared" ref="I26:I31" si="0">SUM(H26,F26)</f>
        <v>1685.74593</v>
      </c>
      <c r="J26" s="309"/>
    </row>
    <row r="27" spans="1:10" ht="15">
      <c r="A27" s="305" t="s">
        <v>125</v>
      </c>
      <c r="B27" s="306"/>
      <c r="C27" s="307"/>
      <c r="D27" s="67">
        <f>+E19</f>
        <v>1663</v>
      </c>
      <c r="E27" s="74">
        <v>1.3304</v>
      </c>
      <c r="F27" s="73">
        <f>PRODUCT(D27*E27)</f>
        <v>2212.4551999999999</v>
      </c>
      <c r="G27">
        <v>14</v>
      </c>
      <c r="H27" s="67">
        <f>PRODUCT(0.14,F27)</f>
        <v>309.74372800000003</v>
      </c>
      <c r="I27" s="308">
        <f>SUM(H27,F27)</f>
        <v>2522.1989279999998</v>
      </c>
      <c r="J27" s="309"/>
    </row>
    <row r="28" spans="1:10" ht="15">
      <c r="A28" s="305" t="s">
        <v>126</v>
      </c>
      <c r="B28" s="306"/>
      <c r="C28" s="30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8">
        <f t="shared" si="0"/>
        <v>50025.103799999997</v>
      </c>
      <c r="J28" s="309"/>
    </row>
    <row r="29" spans="1:10" ht="15">
      <c r="A29" s="318" t="s">
        <v>127</v>
      </c>
      <c r="B29" s="319"/>
      <c r="C29" s="320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21">
        <f t="shared" si="0"/>
        <v>3908.0047020000002</v>
      </c>
      <c r="J29" s="322"/>
    </row>
    <row r="30" spans="1:10" ht="15">
      <c r="A30" s="305" t="s">
        <v>128</v>
      </c>
      <c r="B30" s="306"/>
      <c r="C30" s="30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8">
        <f>SUM(H30,F30)</f>
        <v>1009.2</v>
      </c>
      <c r="J30" s="309"/>
    </row>
    <row r="31" spans="1:10" ht="15.75" thickBot="1">
      <c r="A31" s="310" t="s">
        <v>129</v>
      </c>
      <c r="B31" s="311"/>
      <c r="C31" s="31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8">
        <f t="shared" si="0"/>
        <v>1596.44</v>
      </c>
      <c r="J31" s="309"/>
    </row>
    <row r="32" spans="1:10" ht="21">
      <c r="A32" s="313" t="s">
        <v>130</v>
      </c>
      <c r="B32" s="314"/>
      <c r="C32" s="314"/>
      <c r="D32" s="314"/>
      <c r="E32" s="314"/>
      <c r="F32" s="84">
        <f>SUM(F25:F31)</f>
        <v>57694.190199999997</v>
      </c>
      <c r="G32" s="85"/>
      <c r="H32" s="86"/>
      <c r="I32" s="317">
        <f>SUM(I25:J31)</f>
        <v>65717.396827999983</v>
      </c>
      <c r="J32" s="317"/>
    </row>
    <row r="33" spans="1:10" ht="21.75" thickBot="1">
      <c r="A33" s="315"/>
      <c r="B33" s="316"/>
      <c r="C33" s="316"/>
      <c r="D33" s="316"/>
      <c r="E33" s="316"/>
      <c r="F33" s="87"/>
      <c r="G33" s="88"/>
      <c r="H33" s="89"/>
      <c r="I33" s="317"/>
      <c r="J33" s="31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63" t="s">
        <v>133</v>
      </c>
      <c r="C1" s="364"/>
      <c r="D1" s="364"/>
      <c r="E1" s="364"/>
      <c r="F1" s="412" t="s">
        <v>88</v>
      </c>
      <c r="G1" s="413"/>
      <c r="H1" s="414"/>
    </row>
    <row r="2" spans="1:8" ht="15.75" customHeight="1" thickBot="1">
      <c r="A2" s="410"/>
      <c r="B2" s="365"/>
      <c r="C2" s="366"/>
      <c r="D2" s="366"/>
      <c r="E2" s="366"/>
      <c r="F2" s="415"/>
      <c r="G2" s="416"/>
      <c r="H2" s="417"/>
    </row>
    <row r="3" spans="1:8" ht="15" customHeight="1">
      <c r="A3" s="410"/>
      <c r="B3" s="365"/>
      <c r="C3" s="366"/>
      <c r="D3" s="366"/>
      <c r="E3" s="366"/>
      <c r="F3" s="412" t="s">
        <v>89</v>
      </c>
      <c r="G3" s="413"/>
      <c r="H3" s="414"/>
    </row>
    <row r="4" spans="1:8" ht="15.75" customHeight="1" thickBot="1">
      <c r="A4" s="411"/>
      <c r="B4" s="367"/>
      <c r="C4" s="368"/>
      <c r="D4" s="368"/>
      <c r="E4" s="368"/>
      <c r="F4" s="418"/>
      <c r="G4" s="419"/>
      <c r="H4" s="42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1"/>
      <c r="B8" s="95" t="s">
        <v>138</v>
      </c>
      <c r="C8" s="96">
        <v>103904.7</v>
      </c>
      <c r="D8" s="97">
        <v>43891</v>
      </c>
      <c r="E8" s="96">
        <v>106311</v>
      </c>
      <c r="F8" s="97">
        <v>44287</v>
      </c>
      <c r="G8" s="98">
        <f>E8-C8</f>
        <v>2406.3000000000029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>
      <c r="A11" s="102" t="s">
        <v>141</v>
      </c>
      <c r="B11" s="401"/>
      <c r="C11" s="401"/>
      <c r="D11" s="401"/>
      <c r="E11" s="401"/>
      <c r="F11" s="401">
        <v>23</v>
      </c>
      <c r="G11" s="401"/>
      <c r="H11" s="401"/>
    </row>
    <row r="12" spans="1:8" ht="21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>
      <c r="A13" s="102" t="s">
        <v>143</v>
      </c>
      <c r="B13" s="401">
        <f>G8</f>
        <v>2406.3000000000029</v>
      </c>
      <c r="C13" s="401"/>
      <c r="D13" s="401">
        <v>8.7899999999999991</v>
      </c>
      <c r="E13" s="401"/>
      <c r="F13" s="408">
        <f>PRODUCT(D13,B13)</f>
        <v>21151.377000000022</v>
      </c>
      <c r="G13" s="408"/>
      <c r="H13" s="408"/>
    </row>
    <row r="14" spans="1:8" ht="45" customHeight="1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>
      <c r="A15" s="406"/>
      <c r="B15" s="406"/>
      <c r="C15" s="406"/>
      <c r="D15" s="406"/>
      <c r="E15" s="406"/>
      <c r="F15" s="406"/>
      <c r="G15" s="406"/>
      <c r="H15" s="406"/>
    </row>
    <row r="16" spans="1:8" ht="15">
      <c r="A16" s="103" t="s">
        <v>145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>
      <c r="A17" s="103" t="s">
        <v>146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>
      <c r="A18" s="103" t="s">
        <v>147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>
      <c r="A19" s="103" t="s">
        <v>148</v>
      </c>
      <c r="B19" s="401">
        <f>G8</f>
        <v>2406.3000000000029</v>
      </c>
      <c r="C19" s="401"/>
      <c r="D19" s="401">
        <v>2.61</v>
      </c>
      <c r="E19" s="401"/>
      <c r="F19" s="401">
        <f>PRODUCT(D19,B19)</f>
        <v>6280.4430000000075</v>
      </c>
      <c r="G19" s="401"/>
      <c r="H19" s="401"/>
    </row>
    <row r="20" spans="1:8" ht="18.75">
      <c r="A20" s="397" t="s">
        <v>149</v>
      </c>
      <c r="B20" s="398"/>
      <c r="C20" s="398"/>
      <c r="D20" s="398"/>
      <c r="E20" s="399"/>
      <c r="F20" s="400">
        <f>SUM(F11+F13+F16+F17+F18+F19)</f>
        <v>27454.820000000029</v>
      </c>
      <c r="G20" s="400"/>
      <c r="H20" s="400"/>
    </row>
    <row r="21" spans="1:8" ht="15">
      <c r="A21" s="386" t="s">
        <v>150</v>
      </c>
      <c r="B21" s="387"/>
      <c r="C21" s="387"/>
      <c r="D21" s="387"/>
      <c r="E21" s="388"/>
      <c r="F21" s="401">
        <f>PRODUCT(F20,0.07)</f>
        <v>1921.8374000000022</v>
      </c>
      <c r="G21" s="401"/>
      <c r="H21" s="401"/>
    </row>
    <row r="22" spans="1:8" ht="15">
      <c r="A22" s="402" t="s">
        <v>151</v>
      </c>
      <c r="B22" s="403"/>
      <c r="C22" s="403"/>
      <c r="D22" s="403"/>
      <c r="E22" s="404"/>
      <c r="F22" s="401">
        <v>208.26</v>
      </c>
      <c r="G22" s="401"/>
      <c r="H22" s="401"/>
    </row>
    <row r="23" spans="1:8" ht="15.75">
      <c r="A23" s="386" t="s">
        <v>152</v>
      </c>
      <c r="B23" s="387"/>
      <c r="C23" s="387"/>
      <c r="D23" s="387"/>
      <c r="E23" s="388"/>
      <c r="F23" s="389">
        <f>SUM(F21:H22)</f>
        <v>2130.0974000000024</v>
      </c>
      <c r="G23" s="389"/>
      <c r="H23" s="389"/>
    </row>
    <row r="24" spans="1:8">
      <c r="A24" s="390" t="s">
        <v>153</v>
      </c>
      <c r="B24" s="391"/>
      <c r="C24" s="391"/>
      <c r="D24" s="391"/>
      <c r="E24" s="392"/>
      <c r="F24" s="396">
        <f>SUM(F20,F23)</f>
        <v>29584.917400000031</v>
      </c>
      <c r="G24" s="396"/>
      <c r="H24" s="396"/>
    </row>
    <row r="25" spans="1:8">
      <c r="A25" s="393"/>
      <c r="B25" s="394"/>
      <c r="C25" s="394"/>
      <c r="D25" s="394"/>
      <c r="E25" s="395"/>
      <c r="F25" s="396"/>
      <c r="G25" s="396"/>
      <c r="H25" s="396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63" t="s">
        <v>133</v>
      </c>
      <c r="C1" s="364"/>
      <c r="D1" s="364"/>
      <c r="E1" s="364"/>
      <c r="F1" s="412" t="s">
        <v>88</v>
      </c>
      <c r="G1" s="413"/>
      <c r="H1" s="414"/>
    </row>
    <row r="2" spans="1:8" ht="15.75" customHeight="1" thickBot="1">
      <c r="A2" s="410"/>
      <c r="B2" s="365"/>
      <c r="C2" s="366"/>
      <c r="D2" s="366"/>
      <c r="E2" s="366"/>
      <c r="F2" s="415"/>
      <c r="G2" s="416"/>
      <c r="H2" s="417"/>
    </row>
    <row r="3" spans="1:8" ht="15" customHeight="1">
      <c r="A3" s="410"/>
      <c r="B3" s="365"/>
      <c r="C3" s="366"/>
      <c r="D3" s="366"/>
      <c r="E3" s="366"/>
      <c r="F3" s="412" t="s">
        <v>89</v>
      </c>
      <c r="G3" s="413"/>
      <c r="H3" s="414"/>
    </row>
    <row r="4" spans="1:8" ht="15.75" customHeight="1" thickBot="1">
      <c r="A4" s="411"/>
      <c r="B4" s="367"/>
      <c r="C4" s="368"/>
      <c r="D4" s="368"/>
      <c r="E4" s="368"/>
      <c r="F4" s="418"/>
      <c r="G4" s="419"/>
      <c r="H4" s="42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1"/>
      <c r="B8" s="95" t="s">
        <v>138</v>
      </c>
      <c r="C8" s="96">
        <v>107447</v>
      </c>
      <c r="D8" s="97">
        <v>44300</v>
      </c>
      <c r="E8" s="96">
        <v>107497</v>
      </c>
      <c r="F8" s="97">
        <v>44301</v>
      </c>
      <c r="G8" s="98">
        <f>E8-C8</f>
        <v>50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>
      <c r="A11" s="102" t="s">
        <v>141</v>
      </c>
      <c r="B11" s="401"/>
      <c r="C11" s="401"/>
      <c r="D11" s="401"/>
      <c r="E11" s="401"/>
      <c r="F11" s="401">
        <v>23</v>
      </c>
      <c r="G11" s="401"/>
      <c r="H11" s="401"/>
    </row>
    <row r="12" spans="1:8" ht="21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>
      <c r="A13" s="102" t="s">
        <v>143</v>
      </c>
      <c r="B13" s="401">
        <f>G8</f>
        <v>50</v>
      </c>
      <c r="C13" s="401"/>
      <c r="D13" s="401">
        <v>8.5</v>
      </c>
      <c r="E13" s="401"/>
      <c r="F13" s="408">
        <f>PRODUCT(D13,B13)</f>
        <v>425</v>
      </c>
      <c r="G13" s="408"/>
      <c r="H13" s="408"/>
    </row>
    <row r="14" spans="1:8" ht="45" customHeight="1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>
      <c r="A15" s="406"/>
      <c r="B15" s="406"/>
      <c r="C15" s="406"/>
      <c r="D15" s="406"/>
      <c r="E15" s="406"/>
      <c r="F15" s="406"/>
      <c r="G15" s="406"/>
      <c r="H15" s="406"/>
    </row>
    <row r="16" spans="1:8" ht="15">
      <c r="A16" s="103" t="s">
        <v>145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>
      <c r="A17" s="103" t="s">
        <v>146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>
      <c r="A18" s="103" t="s">
        <v>147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>
      <c r="A19" s="103" t="s">
        <v>148</v>
      </c>
      <c r="B19" s="401">
        <v>0</v>
      </c>
      <c r="C19" s="401"/>
      <c r="D19" s="425">
        <v>0</v>
      </c>
      <c r="E19" s="426"/>
      <c r="F19" s="425">
        <v>0</v>
      </c>
      <c r="G19" s="426"/>
      <c r="H19" s="171"/>
    </row>
    <row r="20" spans="1:8" ht="15">
      <c r="A20" s="103" t="s">
        <v>154</v>
      </c>
      <c r="B20" s="401">
        <f>G8</f>
        <v>50</v>
      </c>
      <c r="C20" s="401"/>
      <c r="D20" s="401">
        <v>2.54</v>
      </c>
      <c r="E20" s="401"/>
      <c r="F20" s="401">
        <f>PRODUCT(D20,B20)</f>
        <v>127</v>
      </c>
      <c r="G20" s="401"/>
      <c r="H20" s="401"/>
    </row>
    <row r="21" spans="1:8" ht="18.75">
      <c r="A21" s="397" t="s">
        <v>149</v>
      </c>
      <c r="B21" s="398"/>
      <c r="C21" s="398"/>
      <c r="D21" s="398"/>
      <c r="E21" s="399"/>
      <c r="F21" s="400">
        <f>SUM(F11+F13+F16+F17+F18+F20)</f>
        <v>575</v>
      </c>
      <c r="G21" s="400"/>
      <c r="H21" s="400"/>
    </row>
    <row r="22" spans="1:8" ht="15">
      <c r="A22" s="386" t="s">
        <v>150</v>
      </c>
      <c r="B22" s="387"/>
      <c r="C22" s="387"/>
      <c r="D22" s="387"/>
      <c r="E22" s="388"/>
      <c r="F22" s="401">
        <f>PRODUCT(F21,0.07)</f>
        <v>40.250000000000007</v>
      </c>
      <c r="G22" s="401"/>
      <c r="H22" s="401"/>
    </row>
    <row r="23" spans="1:8" ht="15">
      <c r="A23" s="402" t="s">
        <v>151</v>
      </c>
      <c r="B23" s="403"/>
      <c r="C23" s="403"/>
      <c r="D23" s="403"/>
      <c r="E23" s="404"/>
      <c r="F23" s="401">
        <v>208.26</v>
      </c>
      <c r="G23" s="401"/>
      <c r="H23" s="401"/>
    </row>
    <row r="24" spans="1:8" ht="15.75">
      <c r="A24" s="386" t="s">
        <v>152</v>
      </c>
      <c r="B24" s="387"/>
      <c r="C24" s="387"/>
      <c r="D24" s="387"/>
      <c r="E24" s="388"/>
      <c r="F24" s="389">
        <f>SUM(F22:H23)</f>
        <v>248.51</v>
      </c>
      <c r="G24" s="389"/>
      <c r="H24" s="389"/>
    </row>
    <row r="25" spans="1:8">
      <c r="A25" s="390" t="s">
        <v>153</v>
      </c>
      <c r="B25" s="391"/>
      <c r="C25" s="391"/>
      <c r="D25" s="391"/>
      <c r="E25" s="392"/>
      <c r="F25" s="396">
        <f>SUM(F21,F24)</f>
        <v>823.51</v>
      </c>
      <c r="G25" s="396"/>
      <c r="H25" s="396"/>
    </row>
    <row r="26" spans="1:8">
      <c r="A26" s="393"/>
      <c r="B26" s="394"/>
      <c r="C26" s="394"/>
      <c r="D26" s="394"/>
      <c r="E26" s="395"/>
      <c r="F26" s="396"/>
      <c r="G26" s="396"/>
      <c r="H26" s="396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63" t="s">
        <v>155</v>
      </c>
      <c r="C1" s="364"/>
      <c r="D1" s="364"/>
      <c r="E1" s="364"/>
      <c r="F1" s="412" t="s">
        <v>88</v>
      </c>
      <c r="G1" s="413"/>
      <c r="H1" s="414"/>
    </row>
    <row r="2" spans="1:8" ht="15.75" customHeight="1" thickBot="1">
      <c r="A2" s="410"/>
      <c r="B2" s="365"/>
      <c r="C2" s="366"/>
      <c r="D2" s="366"/>
      <c r="E2" s="366"/>
      <c r="F2" s="415"/>
      <c r="G2" s="416"/>
      <c r="H2" s="417"/>
    </row>
    <row r="3" spans="1:8" ht="15" customHeight="1">
      <c r="A3" s="410"/>
      <c r="B3" s="365"/>
      <c r="C3" s="366"/>
      <c r="D3" s="366"/>
      <c r="E3" s="366"/>
      <c r="F3" s="412" t="s">
        <v>89</v>
      </c>
      <c r="G3" s="413"/>
      <c r="H3" s="414"/>
    </row>
    <row r="4" spans="1:8" ht="15.75" customHeight="1" thickBot="1">
      <c r="A4" s="411"/>
      <c r="B4" s="367"/>
      <c r="C4" s="368"/>
      <c r="D4" s="368"/>
      <c r="E4" s="368"/>
      <c r="F4" s="418"/>
      <c r="G4" s="419"/>
      <c r="H4" s="42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1"/>
      <c r="B8" s="95" t="s">
        <v>138</v>
      </c>
      <c r="C8" s="96">
        <v>2559</v>
      </c>
      <c r="D8" s="97">
        <v>44256</v>
      </c>
      <c r="E8" s="96">
        <v>2559</v>
      </c>
      <c r="F8" s="97">
        <v>44287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>
      <c r="A11" s="102" t="s">
        <v>141</v>
      </c>
      <c r="B11" s="401"/>
      <c r="C11" s="401"/>
      <c r="D11" s="401"/>
      <c r="E11" s="401"/>
      <c r="F11" s="401">
        <v>15</v>
      </c>
      <c r="G11" s="401"/>
      <c r="H11" s="401"/>
    </row>
    <row r="12" spans="1:8" ht="21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>
      <c r="A13" s="102" t="s">
        <v>156</v>
      </c>
      <c r="B13" s="401">
        <f>G8</f>
        <v>0</v>
      </c>
      <c r="C13" s="401"/>
      <c r="D13" s="401">
        <v>16.48</v>
      </c>
      <c r="E13" s="401"/>
      <c r="F13" s="408">
        <f>PRODUCT(D13,B13)</f>
        <v>0</v>
      </c>
      <c r="G13" s="408"/>
      <c r="H13" s="408"/>
    </row>
    <row r="14" spans="1:8" ht="15">
      <c r="A14" s="102" t="s">
        <v>157</v>
      </c>
      <c r="B14" s="425"/>
      <c r="C14" s="426"/>
      <c r="D14" s="425"/>
      <c r="E14" s="426"/>
      <c r="F14" s="425"/>
      <c r="G14" s="426"/>
      <c r="H14" s="111"/>
    </row>
    <row r="15" spans="1:8" ht="15">
      <c r="A15" s="102" t="s">
        <v>158</v>
      </c>
      <c r="B15" s="425"/>
      <c r="C15" s="426"/>
      <c r="D15" s="425"/>
      <c r="E15" s="426"/>
      <c r="F15" s="425"/>
      <c r="G15" s="426"/>
      <c r="H15" s="111"/>
    </row>
    <row r="16" spans="1:8" ht="15">
      <c r="A16" s="102" t="s">
        <v>159</v>
      </c>
      <c r="B16" s="425"/>
      <c r="C16" s="426"/>
      <c r="D16" s="425"/>
      <c r="E16" s="426"/>
      <c r="F16" s="425"/>
      <c r="G16" s="426"/>
      <c r="H16" s="111"/>
    </row>
    <row r="17" spans="1:8" ht="15">
      <c r="A17" s="102" t="s">
        <v>160</v>
      </c>
      <c r="B17" s="425"/>
      <c r="C17" s="426"/>
      <c r="D17" s="425"/>
      <c r="E17" s="426"/>
      <c r="F17" s="425"/>
      <c r="G17" s="426"/>
      <c r="H17" s="111"/>
    </row>
    <row r="18" spans="1:8" ht="45" customHeight="1">
      <c r="A18" s="405" t="s">
        <v>144</v>
      </c>
      <c r="B18" s="405"/>
      <c r="C18" s="405"/>
      <c r="D18" s="405"/>
      <c r="E18" s="405"/>
      <c r="F18" s="405"/>
      <c r="G18" s="405"/>
      <c r="H18" s="405"/>
    </row>
    <row r="19" spans="1:8">
      <c r="A19" s="406"/>
      <c r="B19" s="406"/>
      <c r="C19" s="406"/>
      <c r="D19" s="406"/>
      <c r="E19" s="406"/>
      <c r="F19" s="406"/>
      <c r="G19" s="406"/>
      <c r="H19" s="406"/>
    </row>
    <row r="20" spans="1:8" ht="15">
      <c r="A20" s="103" t="s">
        <v>145</v>
      </c>
      <c r="B20" s="401">
        <v>0</v>
      </c>
      <c r="C20" s="401"/>
      <c r="D20" s="401">
        <v>0</v>
      </c>
      <c r="E20" s="401"/>
      <c r="F20" s="401">
        <f>PRODUCT(D20,B20)</f>
        <v>0</v>
      </c>
      <c r="G20" s="401"/>
      <c r="H20" s="401"/>
    </row>
    <row r="21" spans="1:8" ht="15">
      <c r="A21" s="103" t="s">
        <v>146</v>
      </c>
      <c r="B21" s="401">
        <v>0</v>
      </c>
      <c r="C21" s="401"/>
      <c r="D21" s="401">
        <v>0</v>
      </c>
      <c r="E21" s="401"/>
      <c r="F21" s="401">
        <f>PRODUCT(D21,B21)</f>
        <v>0</v>
      </c>
      <c r="G21" s="401"/>
      <c r="H21" s="401"/>
    </row>
    <row r="22" spans="1:8" ht="15">
      <c r="A22" s="103" t="s">
        <v>147</v>
      </c>
      <c r="B22" s="401">
        <v>0</v>
      </c>
      <c r="C22" s="401"/>
      <c r="D22" s="401">
        <v>0</v>
      </c>
      <c r="E22" s="401"/>
      <c r="F22" s="401">
        <f>PRODUCT(D22,B22)</f>
        <v>0</v>
      </c>
      <c r="G22" s="401"/>
      <c r="H22" s="401"/>
    </row>
    <row r="23" spans="1:8" ht="15">
      <c r="A23" s="103" t="s">
        <v>148</v>
      </c>
      <c r="B23" s="401">
        <f>G8</f>
        <v>0</v>
      </c>
      <c r="C23" s="401"/>
      <c r="D23" s="401">
        <v>0</v>
      </c>
      <c r="E23" s="401"/>
      <c r="F23" s="401">
        <f>PRODUCT(D23,B23)</f>
        <v>0</v>
      </c>
      <c r="G23" s="401"/>
      <c r="H23" s="401"/>
    </row>
    <row r="24" spans="1:8" ht="15">
      <c r="A24" s="103" t="s">
        <v>154</v>
      </c>
      <c r="B24" s="425">
        <v>0</v>
      </c>
      <c r="C24" s="426"/>
      <c r="D24" s="425">
        <v>2.54</v>
      </c>
      <c r="E24" s="426"/>
      <c r="F24" s="425">
        <f>B24*D24</f>
        <v>0</v>
      </c>
      <c r="G24" s="426"/>
      <c r="H24" s="171"/>
    </row>
    <row r="25" spans="1:8" ht="18.75">
      <c r="A25" s="397" t="s">
        <v>149</v>
      </c>
      <c r="B25" s="398"/>
      <c r="C25" s="398"/>
      <c r="D25" s="398"/>
      <c r="E25" s="399"/>
      <c r="F25" s="427">
        <f>SUM(F11+F13+F20+F21+F22+F23)</f>
        <v>15</v>
      </c>
      <c r="G25" s="400"/>
      <c r="H25" s="400"/>
    </row>
    <row r="26" spans="1:8" ht="15">
      <c r="A26" s="386" t="s">
        <v>150</v>
      </c>
      <c r="B26" s="387"/>
      <c r="C26" s="387"/>
      <c r="D26" s="387"/>
      <c r="E26" s="388"/>
      <c r="F26" s="401">
        <v>63.63</v>
      </c>
      <c r="G26" s="401"/>
      <c r="H26" s="401"/>
    </row>
    <row r="27" spans="1:8" ht="15">
      <c r="A27" s="402" t="s">
        <v>151</v>
      </c>
      <c r="B27" s="403"/>
      <c r="C27" s="403"/>
      <c r="D27" s="403"/>
      <c r="E27" s="404"/>
      <c r="F27" s="401">
        <v>2.4300000000000002</v>
      </c>
      <c r="G27" s="401"/>
      <c r="H27" s="401"/>
    </row>
    <row r="28" spans="1:8" ht="15.75">
      <c r="A28" s="386" t="s">
        <v>152</v>
      </c>
      <c r="B28" s="387"/>
      <c r="C28" s="387"/>
      <c r="D28" s="387"/>
      <c r="E28" s="388"/>
      <c r="F28" s="389">
        <f>SUM(F26:H27)</f>
        <v>66.06</v>
      </c>
      <c r="G28" s="389"/>
      <c r="H28" s="389"/>
    </row>
    <row r="29" spans="1:8">
      <c r="A29" s="390" t="s">
        <v>153</v>
      </c>
      <c r="B29" s="391"/>
      <c r="C29" s="391"/>
      <c r="D29" s="391"/>
      <c r="E29" s="392"/>
      <c r="F29" s="396">
        <f>SUM(F25,F28)</f>
        <v>81.06</v>
      </c>
      <c r="G29" s="396"/>
      <c r="H29" s="396"/>
    </row>
    <row r="30" spans="1:8">
      <c r="A30" s="393"/>
      <c r="B30" s="394"/>
      <c r="C30" s="394"/>
      <c r="D30" s="394"/>
      <c r="E30" s="395"/>
      <c r="F30" s="396"/>
      <c r="G30" s="396"/>
      <c r="H30" s="396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8" t="s">
        <v>161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9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2" t="s">
        <v>180</v>
      </c>
      <c r="C14" s="104">
        <v>239911</v>
      </c>
      <c r="D14" s="104">
        <v>247692</v>
      </c>
      <c r="E14" s="104">
        <v>242350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181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9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2" t="s">
        <v>180</v>
      </c>
      <c r="C24" s="104">
        <v>274561.56439999997</v>
      </c>
      <c r="D24" s="104">
        <v>283692.47039999999</v>
      </c>
      <c r="E24" s="104">
        <v>278888.13439999998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182</v>
      </c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9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2" t="s">
        <v>180</v>
      </c>
      <c r="C14" s="104">
        <v>2083.1999999999971</v>
      </c>
      <c r="D14" s="104">
        <v>2115.3000000000029</v>
      </c>
      <c r="E14" s="104">
        <v>2406.3000000000029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183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9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2" t="s">
        <v>180</v>
      </c>
      <c r="C24" s="104">
        <v>23771.479999999963</v>
      </c>
      <c r="D24" s="104">
        <v>24137.420000000031</v>
      </c>
      <c r="E24" s="104">
        <v>27454.820000000029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184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9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2" t="s">
        <v>180</v>
      </c>
      <c r="C14" s="104">
        <v>16222.314</v>
      </c>
      <c r="D14" s="104">
        <v>13578.901</v>
      </c>
      <c r="E14" s="104">
        <v>18500.717000000001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185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9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2" t="s">
        <v>180</v>
      </c>
      <c r="C24" s="104">
        <v>175249.65814200003</v>
      </c>
      <c r="D24" s="104">
        <v>133357.0288309</v>
      </c>
      <c r="E24" s="104">
        <v>160956.23789999998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2021-04-15T09:39:20Z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