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L25" i="3"/>
  <c r="H33"/>
  <c r="H32"/>
  <c r="H31"/>
  <c r="H30"/>
  <c r="H29"/>
  <c r="H28"/>
  <c r="H27"/>
  <c r="H26"/>
  <c r="H25"/>
  <c r="H24"/>
  <c r="E22"/>
  <c r="B11" i="76"/>
  <c r="B10"/>
  <c r="B16"/>
  <c r="B22"/>
  <c r="AC20" i="2"/>
  <c r="W17"/>
  <c r="AE17" i="1"/>
  <c r="AE17" i="5"/>
  <c r="AE16" i="1"/>
  <c r="AU16" i="5" l="1"/>
  <c r="U12" i="2"/>
  <c r="R11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22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2" s="1"/>
  <c r="L13" s="1"/>
  <c r="L14" s="1"/>
  <c r="L15" s="1"/>
  <c r="L16" s="1"/>
  <c r="L18" s="1"/>
  <c r="L20" s="1"/>
  <c r="L26" s="1"/>
  <c r="L27" s="1"/>
  <c r="L28" s="1"/>
  <c r="L29" s="1"/>
  <c r="L30" s="1"/>
  <c r="L31" s="1"/>
  <c r="L32" s="1"/>
  <c r="L33" s="1"/>
  <c r="M2"/>
  <c r="N2"/>
  <c r="O2"/>
  <c r="P2"/>
  <c r="Q2"/>
  <c r="R2"/>
  <c r="R28" s="1"/>
  <c r="R29" s="1"/>
  <c r="R30" s="1"/>
  <c r="R31" s="1"/>
  <c r="R32" s="1"/>
  <c r="R33" s="1"/>
  <c r="S2"/>
  <c r="T2"/>
  <c r="T3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7" s="1"/>
  <c r="Y27" s="1"/>
  <c r="Y28" s="1"/>
  <c r="Y29" s="1"/>
  <c r="Y30" s="1"/>
  <c r="Y31" s="1"/>
  <c r="Y32" s="1"/>
  <c r="Y33" s="1"/>
  <c r="Z2"/>
  <c r="AA2"/>
  <c r="AA4" s="1"/>
  <c r="AB2"/>
  <c r="AC2"/>
  <c r="AC3" s="1"/>
  <c r="AC4" s="1"/>
  <c r="AC6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J12" i="3" l="1"/>
  <c r="J13" s="1"/>
  <c r="J16" s="1"/>
  <c r="J20" s="1"/>
  <c r="J26" s="1"/>
  <c r="J28" s="1"/>
  <c r="J29" s="1"/>
  <c r="J30" s="1"/>
  <c r="J31" s="1"/>
  <c r="J32" s="1"/>
  <c r="J33" s="1"/>
  <c r="Q33" s="1"/>
  <c r="J7"/>
  <c r="B28" i="76"/>
  <c r="B29" s="1"/>
  <c r="B30" s="1"/>
  <c r="B31" s="1"/>
  <c r="B32" s="1"/>
  <c r="B33" s="1"/>
  <c r="B34" s="1"/>
  <c r="C4"/>
  <c r="AB8" i="2"/>
  <c r="H11" i="76"/>
  <c r="H16" s="1"/>
  <c r="H22" s="1"/>
  <c r="H28" s="1"/>
  <c r="H29" s="1"/>
  <c r="H30" s="1"/>
  <c r="H31" s="1"/>
  <c r="H32" s="1"/>
  <c r="H33" s="1"/>
  <c r="H34" s="1"/>
  <c r="J10"/>
  <c r="J11" s="1"/>
  <c r="J16" s="1"/>
  <c r="J22" s="1"/>
  <c r="J28" s="1"/>
  <c r="J29" s="1"/>
  <c r="J30" s="1"/>
  <c r="J31" s="1"/>
  <c r="J32" s="1"/>
  <c r="J33" s="1"/>
  <c r="J34" s="1"/>
  <c r="G14"/>
  <c r="L14" s="1"/>
  <c r="AD33" i="2"/>
  <c r="Z33"/>
  <c r="I36" i="79"/>
  <c r="A36"/>
  <c r="L36" s="1"/>
  <c r="W34" i="76"/>
  <c r="A34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R36" i="5"/>
  <c r="AP36"/>
  <c r="AN36"/>
  <c r="AM36"/>
  <c r="K36"/>
  <c r="A36"/>
  <c r="AJ35" i="1"/>
  <c r="A35"/>
  <c r="L32" i="81"/>
  <c r="J32"/>
  <c r="H32"/>
  <c r="G32"/>
  <c r="F32"/>
  <c r="B32"/>
  <c r="B32" i="82"/>
  <c r="C14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20" i="2" l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31" i="5"/>
  <c r="AX32" s="1"/>
  <c r="AX33" s="1"/>
  <c r="AX34" s="1"/>
  <c r="AX35" s="1"/>
  <c r="AX36" s="1"/>
  <c r="BA36" s="1"/>
  <c r="AV31"/>
  <c r="AV32" s="1"/>
  <c r="AV33" s="1"/>
  <c r="AV34" s="1"/>
  <c r="AV35" s="1"/>
  <c r="AV36" s="1"/>
  <c r="AT31"/>
  <c r="AT32" s="1"/>
  <c r="AT33" s="1"/>
  <c r="AT34" s="1"/>
  <c r="AT35" s="1"/>
  <c r="AT36" s="1"/>
  <c r="AG6"/>
  <c r="AG13" s="1"/>
  <c r="AG31" s="1"/>
  <c r="AG32" s="1"/>
  <c r="AG33" s="1"/>
  <c r="AG34" s="1"/>
  <c r="AG35" s="1"/>
  <c r="AG36" s="1"/>
  <c r="AH36" s="1"/>
  <c r="AE6"/>
  <c r="AE8" s="1"/>
  <c r="AE13" s="1"/>
  <c r="AE31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2" s="1"/>
  <c r="AB14" s="1"/>
  <c r="AB15" s="1"/>
  <c r="AB18" s="1"/>
  <c r="AB19" s="1"/>
  <c r="AB20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31"/>
  <c r="Z32" s="1"/>
  <c r="Z33" s="1"/>
  <c r="Z34" s="1"/>
  <c r="Z35" s="1"/>
  <c r="Z36" s="1"/>
  <c r="X14"/>
  <c r="X30" s="1"/>
  <c r="X31" s="1"/>
  <c r="X32" s="1"/>
  <c r="X33" s="1"/>
  <c r="X34" s="1"/>
  <c r="X35" s="1"/>
  <c r="X36" s="1"/>
  <c r="Y36" s="1"/>
  <c r="J32" i="82" s="1"/>
  <c r="V7" i="5"/>
  <c r="V9" s="1"/>
  <c r="V14" s="1"/>
  <c r="V16" s="1"/>
  <c r="V23" s="1"/>
  <c r="V29" s="1"/>
  <c r="V30" s="1"/>
  <c r="V31" s="1"/>
  <c r="V32" s="1"/>
  <c r="V33" s="1"/>
  <c r="V34" s="1"/>
  <c r="V35" s="1"/>
  <c r="V36" s="1"/>
  <c r="W36" s="1"/>
  <c r="T14"/>
  <c r="T29" s="1"/>
  <c r="T30" s="1"/>
  <c r="T31" s="1"/>
  <c r="T32" s="1"/>
  <c r="T33" s="1"/>
  <c r="T34" s="1"/>
  <c r="T35" s="1"/>
  <c r="T36" s="1"/>
  <c r="U36" s="1"/>
  <c r="G8"/>
  <c r="G14" s="1"/>
  <c r="G16" s="1"/>
  <c r="G31" s="1"/>
  <c r="G32" s="1"/>
  <c r="G33" s="1"/>
  <c r="G34" s="1"/>
  <c r="G35" s="1"/>
  <c r="G36" s="1"/>
  <c r="H36" s="1"/>
  <c r="B7"/>
  <c r="B8" s="1"/>
  <c r="B14" s="1"/>
  <c r="B23" s="1"/>
  <c r="B29" s="1"/>
  <c r="B31" s="1"/>
  <c r="B32" s="1"/>
  <c r="B33" s="1"/>
  <c r="B34" s="1"/>
  <c r="B35" s="1"/>
  <c r="B36" s="1"/>
  <c r="C36" s="1"/>
  <c r="AR30" i="1"/>
  <c r="AR31" s="1"/>
  <c r="AR32" s="1"/>
  <c r="AR33" s="1"/>
  <c r="AR34" s="1"/>
  <c r="AR35" s="1"/>
  <c r="AN30"/>
  <c r="AN31" s="1"/>
  <c r="AN32" s="1"/>
  <c r="AN33" s="1"/>
  <c r="AN34" s="1"/>
  <c r="AN35" s="1"/>
  <c r="AE5"/>
  <c r="AE7" s="1"/>
  <c r="AE8" s="1"/>
  <c r="AE29" s="1"/>
  <c r="AE30" s="1"/>
  <c r="AE31" s="1"/>
  <c r="AE32" s="1"/>
  <c r="AE33" s="1"/>
  <c r="AE34" s="1"/>
  <c r="AE35" s="1"/>
  <c r="AC5"/>
  <c r="AC7" s="1"/>
  <c r="AC8" s="1"/>
  <c r="AC29" s="1"/>
  <c r="AC30" s="1"/>
  <c r="AC31" s="1"/>
  <c r="AC32" s="1"/>
  <c r="AC33" s="1"/>
  <c r="AC34" s="1"/>
  <c r="AC35" s="1"/>
  <c r="Z5"/>
  <c r="Z6" s="1"/>
  <c r="Z7" s="1"/>
  <c r="Z8" s="1"/>
  <c r="X6"/>
  <c r="X7" s="1"/>
  <c r="X8" s="1"/>
  <c r="X15" s="1"/>
  <c r="X22" s="1"/>
  <c r="X28" s="1"/>
  <c r="X29" s="1"/>
  <c r="X30" s="1"/>
  <c r="X31" s="1"/>
  <c r="X32" s="1"/>
  <c r="X33" s="1"/>
  <c r="X34" s="1"/>
  <c r="X35" s="1"/>
  <c r="Q22"/>
  <c r="Q23" s="1"/>
  <c r="Q28" s="1"/>
  <c r="Q30" s="1"/>
  <c r="Q31" s="1"/>
  <c r="Q32" s="1"/>
  <c r="Q33" s="1"/>
  <c r="Q34" s="1"/>
  <c r="Q35" s="1"/>
  <c r="P22"/>
  <c r="P28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5" s="1"/>
  <c r="M22" s="1"/>
  <c r="M30" s="1"/>
  <c r="M31" s="1"/>
  <c r="M32" s="1"/>
  <c r="M33" s="1"/>
  <c r="M34" s="1"/>
  <c r="M35" s="1"/>
  <c r="K5"/>
  <c r="K6" s="1"/>
  <c r="K7" s="1"/>
  <c r="K15" s="1"/>
  <c r="K22" s="1"/>
  <c r="K30" s="1"/>
  <c r="K31" s="1"/>
  <c r="K32" s="1"/>
  <c r="K33" s="1"/>
  <c r="K34" s="1"/>
  <c r="K35" s="1"/>
  <c r="H6"/>
  <c r="H15" s="1"/>
  <c r="H29" s="1"/>
  <c r="H30" s="1"/>
  <c r="H31" s="1"/>
  <c r="H32" s="1"/>
  <c r="H33" s="1"/>
  <c r="H34" s="1"/>
  <c r="H35" s="1"/>
  <c r="F6"/>
  <c r="F10" s="1"/>
  <c r="F15" s="1"/>
  <c r="F29" s="1"/>
  <c r="F30" s="1"/>
  <c r="F31" s="1"/>
  <c r="F32" s="1"/>
  <c r="F33" s="1"/>
  <c r="F34" s="1"/>
  <c r="F35" s="1"/>
  <c r="C30"/>
  <c r="C31" s="1"/>
  <c r="C32" s="1"/>
  <c r="C33" s="1"/>
  <c r="C34" s="1"/>
  <c r="C35" s="1"/>
  <c r="B30"/>
  <c r="B31" s="1"/>
  <c r="B32" s="1"/>
  <c r="B33" s="1"/>
  <c r="B34" s="1"/>
  <c r="B35" s="1"/>
  <c r="U20" i="2"/>
  <c r="U28" s="1"/>
  <c r="U29" s="1"/>
  <c r="U30" s="1"/>
  <c r="U31" s="1"/>
  <c r="U32" s="1"/>
  <c r="U33" s="1"/>
  <c r="V33" s="1"/>
  <c r="AF33" s="1"/>
  <c r="S20"/>
  <c r="S28" s="1"/>
  <c r="S29" s="1"/>
  <c r="S30" s="1"/>
  <c r="S31" s="1"/>
  <c r="S32" s="1"/>
  <c r="S33" s="1"/>
  <c r="T33" s="1"/>
  <c r="L28"/>
  <c r="L29" s="1"/>
  <c r="L30" s="1"/>
  <c r="L31" s="1"/>
  <c r="L32" s="1"/>
  <c r="L33" s="1"/>
  <c r="M33" s="1"/>
  <c r="J28"/>
  <c r="J29" s="1"/>
  <c r="J30" s="1"/>
  <c r="J31" s="1"/>
  <c r="J32" s="1"/>
  <c r="J33" s="1"/>
  <c r="K33" s="1"/>
  <c r="F32" i="82" s="1"/>
  <c r="H28" i="2"/>
  <c r="H29" s="1"/>
  <c r="H30" s="1"/>
  <c r="H31" s="1"/>
  <c r="H32" s="1"/>
  <c r="H33" s="1"/>
  <c r="I33" s="1"/>
  <c r="G32" i="82" s="1"/>
  <c r="F28" i="2"/>
  <c r="F29" s="1"/>
  <c r="F30" s="1"/>
  <c r="F31" s="1"/>
  <c r="F32" s="1"/>
  <c r="F33" s="1"/>
  <c r="G33" s="1"/>
  <c r="I32" i="82" s="1"/>
  <c r="D28" i="2"/>
  <c r="D29" s="1"/>
  <c r="D30" s="1"/>
  <c r="D31" s="1"/>
  <c r="D32" s="1"/>
  <c r="D33" s="1"/>
  <c r="E33" s="1"/>
  <c r="H32" i="82" s="1"/>
  <c r="P28" i="2" l="1"/>
  <c r="P29" s="1"/>
  <c r="P30" s="1"/>
  <c r="P31" s="1"/>
  <c r="P32" s="1"/>
  <c r="P33" s="1"/>
  <c r="Q33" s="1"/>
  <c r="AD33" i="3" s="1"/>
  <c r="AE33" s="1"/>
  <c r="AF33" s="1"/>
  <c r="AG33" s="1"/>
  <c r="AH33" s="1"/>
  <c r="Q13" i="2"/>
  <c r="Z15" i="1"/>
  <c r="Z22" s="1"/>
  <c r="Z28" s="1"/>
  <c r="Z29" s="1"/>
  <c r="Z30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30" i="1"/>
  <c r="AP31" s="1"/>
  <c r="AP32" s="1"/>
  <c r="AP33" s="1"/>
  <c r="AP34" s="1"/>
  <c r="AP35" s="1"/>
  <c r="AQ11"/>
  <c r="D36" i="5"/>
  <c r="I36"/>
  <c r="J36" s="1"/>
  <c r="E36"/>
  <c r="AI36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AI33" i="3" l="1"/>
  <c r="D34" i="76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L23"/>
  <c r="K24"/>
  <c r="N24" s="1"/>
  <c r="W4" i="2"/>
  <c r="W6" s="1"/>
  <c r="W8" s="1"/>
  <c r="W16" s="1"/>
  <c r="G35" i="1"/>
  <c r="I35"/>
  <c r="L35"/>
  <c r="N35"/>
  <c r="S35"/>
  <c r="R35"/>
  <c r="Y35"/>
  <c r="AD35"/>
  <c r="AG35" s="1"/>
  <c r="AF35"/>
  <c r="AO35"/>
  <c r="AQ35"/>
  <c r="AS35"/>
  <c r="B36" i="7"/>
  <c r="X20" i="2" l="1"/>
  <c r="W27"/>
  <c r="W28" s="1"/>
  <c r="W29" s="1"/>
  <c r="W30" s="1"/>
  <c r="W31" s="1"/>
  <c r="W32" s="1"/>
  <c r="W33" s="1"/>
  <c r="X33" s="1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A37" s="1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AS18" l="1"/>
  <c r="AR18"/>
  <c r="O24" i="2"/>
  <c r="S25" i="76"/>
  <c r="I18" i="3"/>
  <c r="H19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I28" i="3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I30" i="3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I24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AX29"/>
  <c r="Q27" i="76" s="1"/>
  <c r="AQ29" i="7"/>
  <c r="BC29"/>
  <c r="V32"/>
  <c r="W32" s="1"/>
  <c r="U32"/>
  <c r="AS31" l="1"/>
  <c r="AX31" s="1"/>
  <c r="AN35"/>
  <c r="AX30"/>
  <c r="Q28" i="76" s="1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U35"/>
  <c r="V35"/>
  <c r="W35" s="1"/>
  <c r="AX32" l="1"/>
  <c r="Y35"/>
  <c r="AR35" s="1"/>
  <c r="AI37" i="1"/>
  <c r="AJ34"/>
  <c r="AK34" s="1"/>
  <c r="G31" i="81"/>
  <c r="AJ33" i="1"/>
  <c r="AK33" s="1"/>
  <c r="G30" i="81"/>
  <c r="X34" i="7"/>
  <c r="AY32" l="1"/>
  <c r="Q30" i="76"/>
  <c r="X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29" i="81" l="1"/>
  <c r="F31"/>
  <c r="F27"/>
  <c r="F28"/>
  <c r="F30"/>
  <c r="BC24" i="7" l="1"/>
  <c r="BC23"/>
  <c r="AQ23"/>
  <c r="AX23"/>
  <c r="Q21" i="76" l="1"/>
  <c r="AY23" i="7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T32" s="1"/>
  <c r="R31"/>
  <c r="T31" s="1"/>
  <c r="R30"/>
  <c r="T30" s="1"/>
  <c r="R29"/>
  <c r="R28"/>
  <c r="T28" s="1"/>
  <c r="R27"/>
  <c r="T27" s="1"/>
  <c r="R26"/>
  <c r="T26" s="1"/>
  <c r="R25"/>
  <c r="T25" s="1"/>
  <c r="R24"/>
  <c r="T24" s="1"/>
  <c r="R23"/>
  <c r="T23" s="1"/>
  <c r="R22"/>
  <c r="T22" s="1"/>
  <c r="R21"/>
  <c r="R20"/>
  <c r="T20" s="1"/>
  <c r="R19"/>
  <c r="T19" s="1"/>
  <c r="R18"/>
  <c r="T18" s="1"/>
  <c r="R17"/>
  <c r="T17" s="1"/>
  <c r="R16"/>
  <c r="T16" s="1"/>
  <c r="R15"/>
  <c r="T15" s="1"/>
  <c r="R14"/>
  <c r="T14" s="1"/>
  <c r="R13"/>
  <c r="R12"/>
  <c r="T12" s="1"/>
  <c r="R11"/>
  <c r="T11" s="1"/>
  <c r="R10"/>
  <c r="T10" s="1"/>
  <c r="X16" i="76"/>
  <c r="W17"/>
  <c r="W15"/>
  <c r="W13"/>
  <c r="X13"/>
  <c r="Z11"/>
  <c r="Z10"/>
  <c r="Z9"/>
  <c r="Y11"/>
  <c r="Y10"/>
  <c r="Y9"/>
  <c r="X11"/>
  <c r="X10"/>
  <c r="X9"/>
  <c r="T40" i="74" l="1"/>
  <c r="S43"/>
  <c r="AB14" s="1"/>
  <c r="R43"/>
  <c r="AA14" s="1"/>
  <c r="T13"/>
  <c r="T21"/>
  <c r="T29"/>
  <c r="T37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AV7" l="1"/>
  <c r="H2" i="81"/>
  <c r="AV8" i="7" l="1"/>
  <c r="H3" i="81"/>
  <c r="AV9" i="7" l="1"/>
  <c r="H4" i="81"/>
  <c r="AV10" i="7" l="1"/>
  <c r="H6" i="81" s="1"/>
  <c r="H5"/>
  <c r="AA9" i="76" l="1"/>
  <c r="AB9" l="1"/>
  <c r="AB10" l="1"/>
  <c r="AB11"/>
  <c r="AB13" l="1"/>
  <c r="AD11" l="1"/>
  <c r="AD9"/>
  <c r="AD10"/>
  <c r="O40" i="74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D38" s="1"/>
  <c r="O37"/>
  <c r="N37"/>
  <c r="K37"/>
  <c r="J37"/>
  <c r="G37"/>
  <c r="F37"/>
  <c r="C37"/>
  <c r="B37"/>
  <c r="D37" s="1"/>
  <c r="O36"/>
  <c r="N36"/>
  <c r="K36"/>
  <c r="J36"/>
  <c r="G36"/>
  <c r="F36"/>
  <c r="C36"/>
  <c r="B36"/>
  <c r="D36" s="1"/>
  <c r="O35"/>
  <c r="N35"/>
  <c r="K35"/>
  <c r="J35"/>
  <c r="G35"/>
  <c r="F35"/>
  <c r="H35" s="1"/>
  <c r="C35"/>
  <c r="B35"/>
  <c r="D35" s="1"/>
  <c r="O34"/>
  <c r="N34"/>
  <c r="K34"/>
  <c r="J34"/>
  <c r="G34"/>
  <c r="F34"/>
  <c r="H34" s="1"/>
  <c r="C34"/>
  <c r="B34"/>
  <c r="D34" s="1"/>
  <c r="O33"/>
  <c r="N33"/>
  <c r="K33"/>
  <c r="J33"/>
  <c r="G33"/>
  <c r="F33"/>
  <c r="H33" s="1"/>
  <c r="C33"/>
  <c r="B33"/>
  <c r="D33" s="1"/>
  <c r="O32"/>
  <c r="N32"/>
  <c r="K32"/>
  <c r="J32"/>
  <c r="G32"/>
  <c r="F32"/>
  <c r="H32" s="1"/>
  <c r="C32"/>
  <c r="B32"/>
  <c r="D32" s="1"/>
  <c r="O31"/>
  <c r="N31"/>
  <c r="K31"/>
  <c r="J31"/>
  <c r="G31"/>
  <c r="F31"/>
  <c r="H31" s="1"/>
  <c r="C31"/>
  <c r="B31"/>
  <c r="D31" s="1"/>
  <c r="O30"/>
  <c r="N30"/>
  <c r="K30"/>
  <c r="J30"/>
  <c r="G30"/>
  <c r="F30"/>
  <c r="H30" s="1"/>
  <c r="C30"/>
  <c r="B30"/>
  <c r="D30" s="1"/>
  <c r="O29"/>
  <c r="N29"/>
  <c r="K29"/>
  <c r="J29"/>
  <c r="G29"/>
  <c r="F29"/>
  <c r="H29" s="1"/>
  <c r="C29"/>
  <c r="B29"/>
  <c r="D29" s="1"/>
  <c r="O28"/>
  <c r="N28"/>
  <c r="K28"/>
  <c r="J28"/>
  <c r="G28"/>
  <c r="F28"/>
  <c r="H28" s="1"/>
  <c r="C28"/>
  <c r="B28"/>
  <c r="D28" s="1"/>
  <c r="O27"/>
  <c r="N27"/>
  <c r="K27"/>
  <c r="J27"/>
  <c r="G27"/>
  <c r="F27"/>
  <c r="H27" s="1"/>
  <c r="C27"/>
  <c r="B27"/>
  <c r="D27" s="1"/>
  <c r="O26"/>
  <c r="N26"/>
  <c r="K26"/>
  <c r="J26"/>
  <c r="G26"/>
  <c r="F26"/>
  <c r="H26" s="1"/>
  <c r="C26"/>
  <c r="B26"/>
  <c r="D26" s="1"/>
  <c r="O25"/>
  <c r="N25"/>
  <c r="K25"/>
  <c r="J25"/>
  <c r="G25"/>
  <c r="F25"/>
  <c r="H25" s="1"/>
  <c r="C25"/>
  <c r="B25"/>
  <c r="D25" s="1"/>
  <c r="O24"/>
  <c r="N24"/>
  <c r="K24"/>
  <c r="J24"/>
  <c r="G24"/>
  <c r="F24"/>
  <c r="H24" s="1"/>
  <c r="C24"/>
  <c r="B24"/>
  <c r="D24" s="1"/>
  <c r="O23"/>
  <c r="N23"/>
  <c r="K23"/>
  <c r="J23"/>
  <c r="G23"/>
  <c r="F23"/>
  <c r="H23" s="1"/>
  <c r="C23"/>
  <c r="B23"/>
  <c r="D23" s="1"/>
  <c r="O22"/>
  <c r="N22"/>
  <c r="K22"/>
  <c r="J22"/>
  <c r="G22"/>
  <c r="F22"/>
  <c r="H22" s="1"/>
  <c r="C22"/>
  <c r="B22"/>
  <c r="D22" s="1"/>
  <c r="O21"/>
  <c r="N21"/>
  <c r="K21"/>
  <c r="J21"/>
  <c r="G21"/>
  <c r="F21"/>
  <c r="H21" s="1"/>
  <c r="C21"/>
  <c r="B21"/>
  <c r="D21" s="1"/>
  <c r="O20"/>
  <c r="N20"/>
  <c r="K20"/>
  <c r="J20"/>
  <c r="G20"/>
  <c r="F20"/>
  <c r="H20" s="1"/>
  <c r="C20"/>
  <c r="B20"/>
  <c r="D20" s="1"/>
  <c r="O19"/>
  <c r="N19"/>
  <c r="K19"/>
  <c r="J19"/>
  <c r="G19"/>
  <c r="F19"/>
  <c r="H19" s="1"/>
  <c r="C19"/>
  <c r="B19"/>
  <c r="D19" s="1"/>
  <c r="O18"/>
  <c r="N18"/>
  <c r="K18"/>
  <c r="J18"/>
  <c r="G18"/>
  <c r="F18"/>
  <c r="H18" s="1"/>
  <c r="C18"/>
  <c r="B18"/>
  <c r="D18" s="1"/>
  <c r="O17"/>
  <c r="N17"/>
  <c r="K17"/>
  <c r="J17"/>
  <c r="G17"/>
  <c r="F17"/>
  <c r="H17" s="1"/>
  <c r="C17"/>
  <c r="B17"/>
  <c r="D17" s="1"/>
  <c r="O16"/>
  <c r="N16"/>
  <c r="K16"/>
  <c r="J16"/>
  <c r="G16"/>
  <c r="F16"/>
  <c r="H16" s="1"/>
  <c r="C16"/>
  <c r="B16"/>
  <c r="D16" s="1"/>
  <c r="O15"/>
  <c r="N15"/>
  <c r="K15"/>
  <c r="J15"/>
  <c r="G15"/>
  <c r="F15"/>
  <c r="H15" s="1"/>
  <c r="C15"/>
  <c r="B15"/>
  <c r="D15" s="1"/>
  <c r="O14"/>
  <c r="N14"/>
  <c r="K14"/>
  <c r="J14"/>
  <c r="G14"/>
  <c r="F14"/>
  <c r="H14" s="1"/>
  <c r="C14"/>
  <c r="B14"/>
  <c r="D14" s="1"/>
  <c r="O13"/>
  <c r="N13"/>
  <c r="K13"/>
  <c r="J13"/>
  <c r="G13"/>
  <c r="F13"/>
  <c r="H13" s="1"/>
  <c r="C13"/>
  <c r="B13"/>
  <c r="D13" s="1"/>
  <c r="O12"/>
  <c r="N12"/>
  <c r="K12"/>
  <c r="J12"/>
  <c r="G12"/>
  <c r="F12"/>
  <c r="H12" s="1"/>
  <c r="C12"/>
  <c r="B12"/>
  <c r="D12" s="1"/>
  <c r="O11"/>
  <c r="N11"/>
  <c r="K11"/>
  <c r="J11"/>
  <c r="G11"/>
  <c r="F11"/>
  <c r="H11" s="1"/>
  <c r="C11"/>
  <c r="B11"/>
  <c r="D11" s="1"/>
  <c r="O10"/>
  <c r="N10"/>
  <c r="K10"/>
  <c r="J10"/>
  <c r="G10"/>
  <c r="F10"/>
  <c r="H10" s="1"/>
  <c r="C10"/>
  <c r="B10"/>
  <c r="D10" s="1"/>
  <c r="H36" l="1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K43" s="1"/>
  <c r="AB12" s="1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J43" s="1"/>
  <c r="AA12" s="1"/>
  <c r="L13"/>
  <c r="L15"/>
  <c r="L17"/>
  <c r="L19"/>
  <c r="L23"/>
  <c r="P11"/>
  <c r="P20"/>
  <c r="P27"/>
  <c r="P37"/>
  <c r="H37"/>
  <c r="G43" s="1"/>
  <c r="AB11" s="1"/>
  <c r="H38"/>
  <c r="H39"/>
  <c r="H40"/>
  <c r="P12"/>
  <c r="P19"/>
  <c r="P23"/>
  <c r="P29"/>
  <c r="P33"/>
  <c r="P39"/>
  <c r="P14"/>
  <c r="P16"/>
  <c r="P21"/>
  <c r="P25"/>
  <c r="P30"/>
  <c r="P38"/>
  <c r="D40"/>
  <c r="C43" s="1"/>
  <c r="AB10" l="1"/>
  <c r="N43"/>
  <c r="AA13" s="1"/>
  <c r="O43"/>
  <c r="AB13" s="1"/>
  <c r="B43"/>
  <c r="F43"/>
  <c r="AA11" s="1"/>
  <c r="O86" l="1"/>
  <c r="AB23"/>
  <c r="AA10"/>
  <c r="AA23" s="1"/>
  <c r="N86"/>
  <c r="AC11" i="76" l="1"/>
  <c r="AC28" s="1"/>
  <c r="AC10"/>
  <c r="AC27" s="1"/>
  <c r="AC9"/>
  <c r="AC26" s="1"/>
  <c r="AC30" l="1"/>
  <c r="AC31" s="1"/>
  <c r="AC13"/>
  <c r="W40" l="1"/>
  <c r="W42" s="1"/>
  <c r="W44" s="1"/>
  <c r="O14"/>
  <c r="P14" s="1"/>
  <c r="R14" s="1"/>
  <c r="T14" s="1"/>
  <c r="F12" i="81" s="1"/>
  <c r="O9" i="76"/>
  <c r="P9" s="1"/>
  <c r="R9" s="1"/>
  <c r="T9" s="1"/>
  <c r="F7" i="81" s="1"/>
  <c r="O7" i="76"/>
  <c r="P7" s="1"/>
  <c r="R7" s="1"/>
  <c r="T7" s="1"/>
  <c r="F5" i="81" s="1"/>
  <c r="O30" i="76"/>
  <c r="P30" s="1"/>
  <c r="R30" s="1"/>
  <c r="O11"/>
  <c r="P11" s="1"/>
  <c r="R11" s="1"/>
  <c r="T11" s="1"/>
  <c r="F9" i="81" s="1"/>
  <c r="O31" i="76"/>
  <c r="P31" s="1"/>
  <c r="O27"/>
  <c r="P27" s="1"/>
  <c r="R27" s="1"/>
  <c r="T27" s="1"/>
  <c r="F25" i="81" s="1"/>
  <c r="O19" i="76"/>
  <c r="P19" s="1"/>
  <c r="R19" s="1"/>
  <c r="T19" s="1"/>
  <c r="F17" i="81" s="1"/>
  <c r="O10" i="76"/>
  <c r="P10" s="1"/>
  <c r="R10" s="1"/>
  <c r="T10" s="1"/>
  <c r="F8" i="81" s="1"/>
  <c r="O4" i="76"/>
  <c r="P4" s="1"/>
  <c r="R4" s="1"/>
  <c r="T4" s="1"/>
  <c r="F2" i="81" s="1"/>
  <c r="O29" i="76"/>
  <c r="P29" s="1"/>
  <c r="R29" s="1"/>
  <c r="O28"/>
  <c r="P28" s="1"/>
  <c r="R28" s="1"/>
  <c r="T28" s="1"/>
  <c r="F26" i="81" s="1"/>
  <c r="O16" i="76"/>
  <c r="P16" s="1"/>
  <c r="R16" s="1"/>
  <c r="T16" s="1"/>
  <c r="F14" i="81" s="1"/>
  <c r="O26" i="76"/>
  <c r="P26" s="1"/>
  <c r="R26" s="1"/>
  <c r="T26" s="1"/>
  <c r="F24" i="81" s="1"/>
  <c r="O17" i="76"/>
  <c r="P17" s="1"/>
  <c r="R17" s="1"/>
  <c r="T17" s="1"/>
  <c r="F15" i="81" s="1"/>
  <c r="O25" i="76"/>
  <c r="P25" s="1"/>
  <c r="R25" s="1"/>
  <c r="T25" s="1"/>
  <c r="F23" i="81" s="1"/>
  <c r="O20" i="76"/>
  <c r="P20" s="1"/>
  <c r="R20" s="1"/>
  <c r="T20" s="1"/>
  <c r="F18" i="81" s="1"/>
  <c r="O5" i="76"/>
  <c r="P5" s="1"/>
  <c r="R5" s="1"/>
  <c r="T5" s="1"/>
  <c r="F3" i="81" s="1"/>
  <c r="O13" i="76"/>
  <c r="P13" s="1"/>
  <c r="R13" s="1"/>
  <c r="T13" s="1"/>
  <c r="F11" i="81" s="1"/>
  <c r="O18" i="76"/>
  <c r="P18" s="1"/>
  <c r="R18" s="1"/>
  <c r="T18" s="1"/>
  <c r="F16" i="81" s="1"/>
  <c r="AB31" i="76"/>
  <c r="O21"/>
  <c r="P21" s="1"/>
  <c r="R21" s="1"/>
  <c r="T21" s="1"/>
  <c r="F19" i="81" s="1"/>
  <c r="O15" i="76"/>
  <c r="P15" s="1"/>
  <c r="R15" s="1"/>
  <c r="T15" s="1"/>
  <c r="F13" i="81" s="1"/>
  <c r="O6" i="76"/>
  <c r="P6" s="1"/>
  <c r="R6" s="1"/>
  <c r="T6" s="1"/>
  <c r="F4" i="81" s="1"/>
  <c r="O22" i="76"/>
  <c r="P22" s="1"/>
  <c r="R22" s="1"/>
  <c r="T22" s="1"/>
  <c r="F20" i="81" s="1"/>
  <c r="O8" i="76"/>
  <c r="P8" s="1"/>
  <c r="R8" s="1"/>
  <c r="T8" s="1"/>
  <c r="F6" i="81" s="1"/>
  <c r="O33" i="76"/>
  <c r="P33" s="1"/>
  <c r="O34"/>
  <c r="P34" s="1"/>
  <c r="O24"/>
  <c r="P24" s="1"/>
  <c r="R24" s="1"/>
  <c r="T24" s="1"/>
  <c r="F22" i="81" s="1"/>
  <c r="O12" i="76"/>
  <c r="P12" s="1"/>
  <c r="R12" s="1"/>
  <c r="T12" s="1"/>
  <c r="F10" i="81" s="1"/>
  <c r="O23" i="76"/>
  <c r="P23" s="1"/>
  <c r="R23" s="1"/>
  <c r="T23" s="1"/>
  <c r="F21" i="81" s="1"/>
  <c r="O32" i="76"/>
  <c r="P32" s="1"/>
  <c r="AC14"/>
  <c r="D10" i="77" l="1"/>
  <c r="E10" s="1"/>
  <c r="AB38" i="76"/>
  <c r="AB40" s="1"/>
  <c r="Z41" s="1"/>
  <c r="AA42"/>
  <c r="AB36"/>
  <c r="AB37" s="1"/>
  <c r="O3"/>
  <c r="AB14"/>
  <c r="G10" i="77" l="1"/>
  <c r="G12" s="1"/>
  <c r="E12"/>
  <c r="F10"/>
  <c r="F12" s="1"/>
  <c r="AA43" i="76"/>
  <c r="AB42"/>
  <c r="AB43" s="1"/>
  <c r="P3"/>
  <c r="AB18"/>
  <c r="H14" i="77" l="1"/>
  <c r="I14"/>
  <c r="R3" i="76"/>
  <c r="AB19"/>
  <c r="T3" l="1"/>
  <c r="M5" i="5" l="1"/>
  <c r="M6" s="1"/>
  <c r="O5"/>
  <c r="O6" s="1"/>
  <c r="M7" l="1"/>
  <c r="N6"/>
  <c r="P6"/>
  <c r="O7"/>
  <c r="N5"/>
  <c r="P5"/>
  <c r="N7" l="1"/>
  <c r="M8"/>
  <c r="Q6"/>
  <c r="M2" i="81" s="1"/>
  <c r="O8" i="5"/>
  <c r="P7"/>
  <c r="Q5"/>
  <c r="Q7" l="1"/>
  <c r="M3" i="81" s="1"/>
  <c r="M9" i="5"/>
  <c r="N8"/>
  <c r="P8"/>
  <c r="O9"/>
  <c r="N9" l="1"/>
  <c r="M10"/>
  <c r="P9"/>
  <c r="O10"/>
  <c r="Q8"/>
  <c r="Q9" l="1"/>
  <c r="M5" i="81" s="1"/>
  <c r="N10" i="5"/>
  <c r="M11"/>
  <c r="O11"/>
  <c r="P10"/>
  <c r="M4" i="81"/>
  <c r="Q10" i="5" l="1"/>
  <c r="M12"/>
  <c r="N11"/>
  <c r="O12"/>
  <c r="P11"/>
  <c r="W14" i="76"/>
  <c r="Q11" i="5" l="1"/>
  <c r="M7" i="81" s="1"/>
  <c r="M6"/>
  <c r="N12" i="5"/>
  <c r="M13"/>
  <c r="P12"/>
  <c r="O13"/>
  <c r="X14" i="76"/>
  <c r="M14" i="5" l="1"/>
  <c r="N13"/>
  <c r="P13"/>
  <c r="O14"/>
  <c r="Q12"/>
  <c r="Y14" i="76"/>
  <c r="N14" i="5" l="1"/>
  <c r="M15"/>
  <c r="Q13"/>
  <c r="M9" i="81" s="1"/>
  <c r="P14" i="5"/>
  <c r="O15"/>
  <c r="M8" i="81"/>
  <c r="N15" i="5" l="1"/>
  <c r="M16"/>
  <c r="P15"/>
  <c r="O16"/>
  <c r="Q14"/>
  <c r="M10" i="81" s="1"/>
  <c r="N16" i="5" l="1"/>
  <c r="M17"/>
  <c r="Q15"/>
  <c r="M11" i="81" s="1"/>
  <c r="P16" i="5"/>
  <c r="O17"/>
  <c r="N17" l="1"/>
  <c r="M18"/>
  <c r="P17"/>
  <c r="O18"/>
  <c r="Q16"/>
  <c r="M12" i="81" s="1"/>
  <c r="N18" i="5" l="1"/>
  <c r="M19"/>
  <c r="P18"/>
  <c r="O19"/>
  <c r="Q17"/>
  <c r="M13" i="81" s="1"/>
  <c r="N19" i="5" l="1"/>
  <c r="M20"/>
  <c r="Q18"/>
  <c r="M14" i="81" s="1"/>
  <c r="P19" i="5"/>
  <c r="O20"/>
  <c r="N20" l="1"/>
  <c r="M21"/>
  <c r="P20"/>
  <c r="O21"/>
  <c r="Q19"/>
  <c r="M15" i="81" s="1"/>
  <c r="N21" i="5" l="1"/>
  <c r="M22"/>
  <c r="P21"/>
  <c r="O22"/>
  <c r="Q20"/>
  <c r="M16" i="81" s="1"/>
  <c r="N22" i="5" l="1"/>
  <c r="M23"/>
  <c r="O23"/>
  <c r="P22"/>
  <c r="Q21"/>
  <c r="M17" i="81" s="1"/>
  <c r="N23" i="5" l="1"/>
  <c r="M24"/>
  <c r="O24"/>
  <c r="P23"/>
  <c r="Q22"/>
  <c r="M18" i="81" s="1"/>
  <c r="O25" i="5" l="1"/>
  <c r="P24"/>
  <c r="Q24" s="1"/>
  <c r="M20" i="81" s="1"/>
  <c r="Q23" i="5"/>
  <c r="M19" i="81" s="1"/>
  <c r="M25" i="5"/>
  <c r="N24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P28" l="1"/>
  <c r="Q28" s="1"/>
  <c r="M24" i="81" s="1"/>
  <c r="O29" i="5"/>
  <c r="N28"/>
  <c r="M29"/>
  <c r="O30" l="1"/>
  <c r="P29"/>
  <c r="N29"/>
  <c r="M30"/>
  <c r="Q29" l="1"/>
  <c r="M25" i="81" s="1"/>
  <c r="N30" i="5"/>
  <c r="M31"/>
  <c r="O31"/>
  <c r="P30"/>
  <c r="Q30" l="1"/>
  <c r="M26" i="81" s="1"/>
  <c r="N31" i="5"/>
  <c r="M32"/>
  <c r="P31"/>
  <c r="O32"/>
  <c r="Q31" l="1"/>
  <c r="M27" i="81" s="1"/>
  <c r="M33" i="5"/>
  <c r="N32"/>
  <c r="P32"/>
  <c r="O33"/>
  <c r="P33" l="1"/>
  <c r="Q33" s="1"/>
  <c r="M29" i="81" s="1"/>
  <c r="O34" i="5"/>
  <c r="N33"/>
  <c r="M34"/>
  <c r="Q32"/>
  <c r="M28" i="81" s="1"/>
  <c r="P34" i="5" l="1"/>
  <c r="Q34" s="1"/>
  <c r="M30" i="81" s="1"/>
  <c r="O35" i="5"/>
  <c r="N34"/>
  <c r="M35"/>
  <c r="O36" l="1"/>
  <c r="P36" s="1"/>
  <c r="Q36" s="1"/>
  <c r="P35"/>
  <c r="Q35" s="1"/>
  <c r="M36"/>
  <c r="N36" s="1"/>
  <c r="N35"/>
  <c r="M31" i="81" l="1"/>
  <c r="Q37" i="5"/>
  <c r="M32" i="81" l="1"/>
  <c r="O38" i="5"/>
  <c r="X2" i="3" l="1"/>
  <c r="X3" s="1"/>
  <c r="Y3" l="1"/>
  <c r="X4"/>
  <c r="Y2"/>
  <c r="Y4" l="1"/>
  <c r="X5"/>
  <c r="AS5" i="5"/>
  <c r="AS6" s="1"/>
  <c r="X6" i="3" l="1"/>
  <c r="Y5"/>
  <c r="AY6" i="5"/>
  <c r="BB6" s="1"/>
  <c r="BE6" s="1"/>
  <c r="AS7"/>
  <c r="AY5"/>
  <c r="AS8" l="1"/>
  <c r="AY7"/>
  <c r="BB7" s="1"/>
  <c r="BE7" s="1"/>
  <c r="Y6" i="3"/>
  <c r="X7"/>
  <c r="I2" i="63"/>
  <c r="BF6" i="5"/>
  <c r="BG6" s="1"/>
  <c r="G6" i="65" s="1"/>
  <c r="BB5" i="5"/>
  <c r="AS9" l="1"/>
  <c r="AY8"/>
  <c r="BB8" s="1"/>
  <c r="BE8" s="1"/>
  <c r="BF7"/>
  <c r="BG7" s="1"/>
  <c r="G7" i="65" s="1"/>
  <c r="I3" i="63"/>
  <c r="Y7" i="3"/>
  <c r="X8"/>
  <c r="BE5" i="5"/>
  <c r="X9" i="3" l="1"/>
  <c r="Y8"/>
  <c r="AS10" i="5"/>
  <c r="AY9"/>
  <c r="BB9" s="1"/>
  <c r="BE9" s="1"/>
  <c r="I4" i="63"/>
  <c r="BF8" i="5"/>
  <c r="BG8" s="1"/>
  <c r="G8" i="65" s="1"/>
  <c r="BF5" i="5"/>
  <c r="X10" i="3" l="1"/>
  <c r="Y9"/>
  <c r="AS11" i="5"/>
  <c r="AY10"/>
  <c r="BB10" s="1"/>
  <c r="BE10" s="1"/>
  <c r="I5" i="63"/>
  <c r="BF9" i="5"/>
  <c r="BG9" s="1"/>
  <c r="G9" i="65" s="1"/>
  <c r="BG5" i="5"/>
  <c r="G5" i="65" s="1"/>
  <c r="X11" i="3" l="1"/>
  <c r="Y10"/>
  <c r="AS12" i="5"/>
  <c r="AY11"/>
  <c r="BB11" s="1"/>
  <c r="BE11" s="1"/>
  <c r="BF10"/>
  <c r="BG10" s="1"/>
  <c r="G10" i="65" s="1"/>
  <c r="I6" i="63"/>
  <c r="AY12" i="5" l="1"/>
  <c r="BB12" s="1"/>
  <c r="BE12" s="1"/>
  <c r="AS13"/>
  <c r="Y11" i="3"/>
  <c r="X12"/>
  <c r="I7" i="63"/>
  <c r="BF11" i="5"/>
  <c r="BG11" s="1"/>
  <c r="G11" i="65" s="1"/>
  <c r="I8" i="63" l="1"/>
  <c r="BF12" i="5"/>
  <c r="BG12" s="1"/>
  <c r="G12" i="65" s="1"/>
  <c r="Y12" i="3"/>
  <c r="X13"/>
  <c r="AY13" i="5"/>
  <c r="BB13" s="1"/>
  <c r="BE13" s="1"/>
  <c r="AS14"/>
  <c r="Y13" i="3" l="1"/>
  <c r="X14"/>
  <c r="BF13" i="5"/>
  <c r="BG13" s="1"/>
  <c r="G13" i="65" s="1"/>
  <c r="I9" i="63"/>
  <c r="AY14" i="5"/>
  <c r="BB14" s="1"/>
  <c r="BE14" s="1"/>
  <c r="AS15"/>
  <c r="X15" i="3" l="1"/>
  <c r="Y14"/>
  <c r="I10" i="63"/>
  <c r="BF14" i="5"/>
  <c r="BG14" s="1"/>
  <c r="G14" i="65" s="1"/>
  <c r="AS16" i="5"/>
  <c r="AY15"/>
  <c r="BB15" s="1"/>
  <c r="BE15" s="1"/>
  <c r="X16" i="3" l="1"/>
  <c r="Y15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AY17" i="5"/>
  <c r="BB17" s="1"/>
  <c r="BE17" s="1"/>
  <c r="AS18"/>
  <c r="Y16" i="3"/>
  <c r="X17"/>
  <c r="AS19" i="5" l="1"/>
  <c r="AY18"/>
  <c r="BB18" s="1"/>
  <c r="BE18" s="1"/>
  <c r="I13" i="63"/>
  <c r="BF17" i="5"/>
  <c r="BG17" s="1"/>
  <c r="G17" i="65" s="1"/>
  <c r="X18" i="3"/>
  <c r="Y17"/>
  <c r="AY19" i="5" l="1"/>
  <c r="BB19" s="1"/>
  <c r="BE19" s="1"/>
  <c r="AS20"/>
  <c r="Y18" i="3"/>
  <c r="X19"/>
  <c r="BF18" i="5"/>
  <c r="BG18" s="1"/>
  <c r="G18" i="65" s="1"/>
  <c r="I14" i="63"/>
  <c r="X20" i="3" l="1"/>
  <c r="Y19"/>
  <c r="BF19" i="5"/>
  <c r="BG19" s="1"/>
  <c r="G19" i="65" s="1"/>
  <c r="I15" i="63"/>
  <c r="AS21" i="5"/>
  <c r="AY20"/>
  <c r="BB20" s="1"/>
  <c r="BE20" s="1"/>
  <c r="X21" i="3" l="1"/>
  <c r="X22" s="1"/>
  <c r="Y20"/>
  <c r="Y21" s="1"/>
  <c r="AY21" i="5"/>
  <c r="BB21" s="1"/>
  <c r="BE21" s="1"/>
  <c r="AS22"/>
  <c r="BF20"/>
  <c r="BG20" s="1"/>
  <c r="G20" i="65" s="1"/>
  <c r="I16" i="63"/>
  <c r="Y22" i="3" l="1"/>
  <c r="X23"/>
  <c r="I17" i="63"/>
  <c r="BF21" i="5"/>
  <c r="BG21" s="1"/>
  <c r="G21" i="65" s="1"/>
  <c r="AY22" i="5"/>
  <c r="BB22" s="1"/>
  <c r="BE22" s="1"/>
  <c r="AS23"/>
  <c r="Y23" i="3" l="1"/>
  <c r="X24"/>
  <c r="I18" i="63"/>
  <c r="BF22" i="5"/>
  <c r="BG22" s="1"/>
  <c r="G22" i="65" s="1"/>
  <c r="AS24" i="5"/>
  <c r="AY23"/>
  <c r="BB23" s="1"/>
  <c r="BE23" s="1"/>
  <c r="X25" i="3" l="1"/>
  <c r="Y24"/>
  <c r="AS25" i="5"/>
  <c r="AY24"/>
  <c r="BB24" s="1"/>
  <c r="BE24" s="1"/>
  <c r="I19" i="63"/>
  <c r="BF23" i="5"/>
  <c r="BG23" s="1"/>
  <c r="G23" i="65" s="1"/>
  <c r="AS26" i="5" l="1"/>
  <c r="AY25"/>
  <c r="BB25" s="1"/>
  <c r="BE25" s="1"/>
  <c r="BF24"/>
  <c r="BG24" s="1"/>
  <c r="G24" i="65" s="1"/>
  <c r="I20" i="63"/>
  <c r="Y25" i="3"/>
  <c r="X26"/>
  <c r="I21" i="63" l="1"/>
  <c r="BF25" i="5"/>
  <c r="BG25" s="1"/>
  <c r="G25" i="65" s="1"/>
  <c r="AY26" i="5"/>
  <c r="BB26" s="1"/>
  <c r="BE26" s="1"/>
  <c r="AS27"/>
  <c r="Y26" i="3"/>
  <c r="X27"/>
  <c r="BF26" i="5" l="1"/>
  <c r="BG26" s="1"/>
  <c r="G26" i="65" s="1"/>
  <c r="I22" i="63"/>
  <c r="AY27" i="5"/>
  <c r="BB27" s="1"/>
  <c r="BE27" s="1"/>
  <c r="AS28"/>
  <c r="X28" i="3"/>
  <c r="Y27"/>
  <c r="I23" i="63" l="1"/>
  <c r="BF27" i="5"/>
  <c r="BG27" s="1"/>
  <c r="G27" i="65" s="1"/>
  <c r="X29" i="3"/>
  <c r="Y28"/>
  <c r="AS29" i="5"/>
  <c r="AY28"/>
  <c r="BB28" s="1"/>
  <c r="BE28" s="1"/>
  <c r="X30" i="3" l="1"/>
  <c r="Y29"/>
  <c r="AY29" i="5"/>
  <c r="BB29" s="1"/>
  <c r="BE29" s="1"/>
  <c r="AS30"/>
  <c r="I24" i="63"/>
  <c r="BF28" i="5"/>
  <c r="BG28" s="1"/>
  <c r="G28" i="65" s="1"/>
  <c r="X31" i="3" l="1"/>
  <c r="Y30"/>
  <c r="BF29" i="5"/>
  <c r="BG29" s="1"/>
  <c r="G29" i="65" s="1"/>
  <c r="I25" i="63"/>
  <c r="AS31" i="5"/>
  <c r="AY30"/>
  <c r="BB30" s="1"/>
  <c r="BE30" s="1"/>
  <c r="Y31" i="3" l="1"/>
  <c r="X32"/>
  <c r="AY31" i="5"/>
  <c r="BB31" s="1"/>
  <c r="BE31" s="1"/>
  <c r="AS32"/>
  <c r="I26" i="63"/>
  <c r="BF30" i="5"/>
  <c r="BG30" s="1"/>
  <c r="G30" i="65" s="1"/>
  <c r="X33" i="3" l="1"/>
  <c r="Y33" s="1"/>
  <c r="Y32"/>
  <c r="AY32" i="5"/>
  <c r="BB32" s="1"/>
  <c r="BE32" s="1"/>
  <c r="AS33"/>
  <c r="BF31"/>
  <c r="BG31" s="1"/>
  <c r="G31" i="65" s="1"/>
  <c r="I27" i="63"/>
  <c r="AS34" i="5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  <c r="AQ33" i="7" l="1"/>
  <c r="BC34"/>
  <c r="BC33"/>
  <c r="AQ35"/>
  <c r="BC36"/>
  <c r="AQ36"/>
  <c r="BC35"/>
  <c r="AQ34"/>
  <c r="AS35"/>
  <c r="AX35" s="1"/>
  <c r="AS34"/>
  <c r="AX34" s="1"/>
  <c r="AY34" s="1"/>
  <c r="AS36"/>
  <c r="AX36" s="1"/>
  <c r="AS33"/>
  <c r="AX33" s="1"/>
  <c r="AY33" s="1"/>
  <c r="AS40" l="1"/>
  <c r="Q33" i="76"/>
  <c r="R33" s="1"/>
  <c r="AY35" i="7"/>
  <c r="AY37" s="1"/>
  <c r="Q34" i="76"/>
  <c r="R34" s="1"/>
  <c r="AY36" i="7"/>
  <c r="Q32" i="76"/>
  <c r="R32" s="1"/>
  <c r="AX37" i="7"/>
  <c r="Z42" i="76" s="1"/>
  <c r="Z43" s="1"/>
  <c r="Z45" s="1"/>
  <c r="Q31"/>
  <c r="R31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taken in 10/7 at 3:30 pm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<sst xmlns="http://schemas.openxmlformats.org/spreadsheetml/2006/main" count="653" uniqueCount="417">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</sst>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6348416"/>
        <c:axId val="116349952"/>
      </c:lineChart>
      <c:catAx>
        <c:axId val="11634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49952"/>
        <c:crosses val="autoZero"/>
        <c:auto val="1"/>
        <c:lblAlgn val="ctr"/>
        <c:lblOffset val="100"/>
      </c:catAx>
      <c:valAx>
        <c:axId val="116349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4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8"/>
          <c:w val="0.11899800868449698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6140672"/>
        <c:axId val="116363648"/>
      </c:lineChart>
      <c:catAx>
        <c:axId val="11614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63648"/>
        <c:crosses val="autoZero"/>
        <c:auto val="1"/>
        <c:lblAlgn val="ctr"/>
        <c:lblOffset val="100"/>
      </c:catAx>
      <c:valAx>
        <c:axId val="11636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14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535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375552"/>
        <c:axId val="116377088"/>
      </c:lineChart>
      <c:catAx>
        <c:axId val="11637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77088"/>
        <c:crosses val="autoZero"/>
        <c:auto val="1"/>
        <c:lblAlgn val="ctr"/>
        <c:lblOffset val="100"/>
      </c:catAx>
      <c:valAx>
        <c:axId val="1163770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37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283"/>
          <c:y val="0.629758875296348"/>
          <c:w val="7.9124755870162669E-2"/>
          <c:h val="4.498269896194467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401280"/>
        <c:axId val="116402816"/>
      </c:lineChart>
      <c:catAx>
        <c:axId val="11640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02816"/>
        <c:crosses val="autoZero"/>
        <c:auto val="1"/>
        <c:lblAlgn val="ctr"/>
        <c:lblOffset val="100"/>
      </c:catAx>
      <c:valAx>
        <c:axId val="116402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0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10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418816"/>
        <c:axId val="116428800"/>
      </c:lineChart>
      <c:catAx>
        <c:axId val="11641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28800"/>
        <c:crosses val="autoZero"/>
        <c:auto val="1"/>
        <c:lblAlgn val="ctr"/>
        <c:lblOffset val="100"/>
      </c:catAx>
      <c:valAx>
        <c:axId val="116428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41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917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342208"/>
        <c:axId val="117343744"/>
      </c:lineChart>
      <c:catAx>
        <c:axId val="11734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43744"/>
        <c:crosses val="autoZero"/>
        <c:auto val="1"/>
        <c:lblAlgn val="ctr"/>
        <c:lblOffset val="100"/>
      </c:catAx>
      <c:valAx>
        <c:axId val="11734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4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769344"/>
        <c:axId val="117770880"/>
      </c:lineChart>
      <c:catAx>
        <c:axId val="1177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70880"/>
        <c:crosses val="autoZero"/>
        <c:auto val="1"/>
        <c:lblAlgn val="ctr"/>
        <c:lblOffset val="100"/>
      </c:catAx>
      <c:valAx>
        <c:axId val="11777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786880"/>
        <c:axId val="117805056"/>
      </c:lineChart>
      <c:catAx>
        <c:axId val="11778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05056"/>
        <c:crosses val="autoZero"/>
        <c:auto val="1"/>
        <c:lblAlgn val="ctr"/>
        <c:lblOffset val="100"/>
      </c:catAx>
      <c:valAx>
        <c:axId val="117805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816704"/>
        <c:axId val="117826688"/>
      </c:lineChart>
      <c:catAx>
        <c:axId val="11781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26688"/>
        <c:crosses val="autoZero"/>
        <c:auto val="1"/>
        <c:lblAlgn val="ctr"/>
        <c:lblOffset val="100"/>
      </c:catAx>
      <c:valAx>
        <c:axId val="11782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1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02"/>
          <c:w val="0.1272403315177202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7</c:v>
                </c:pt>
                <c:pt idx="18">
                  <c:v>6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7924608"/>
        <c:axId val="117926144"/>
      </c:lineChart>
      <c:catAx>
        <c:axId val="11792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26144"/>
        <c:crosses val="autoZero"/>
        <c:auto val="1"/>
        <c:lblAlgn val="ctr"/>
        <c:lblOffset val="100"/>
      </c:catAx>
      <c:valAx>
        <c:axId val="11792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2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255.9999999999709</c:v>
                </c:pt>
                <c:pt idx="10">
                  <c:v>342.80000000004657</c:v>
                </c:pt>
                <c:pt idx="11">
                  <c:v>335</c:v>
                </c:pt>
                <c:pt idx="12">
                  <c:v>220</c:v>
                </c:pt>
                <c:pt idx="13">
                  <c:v>165</c:v>
                </c:pt>
                <c:pt idx="14">
                  <c:v>434.09999999997672</c:v>
                </c:pt>
                <c:pt idx="15">
                  <c:v>452</c:v>
                </c:pt>
                <c:pt idx="16">
                  <c:v>257</c:v>
                </c:pt>
                <c:pt idx="17">
                  <c:v>188</c:v>
                </c:pt>
                <c:pt idx="18">
                  <c:v>327</c:v>
                </c:pt>
                <c:pt idx="19">
                  <c:v>143</c:v>
                </c:pt>
                <c:pt idx="20">
                  <c:v>211</c:v>
                </c:pt>
                <c:pt idx="21">
                  <c:v>586</c:v>
                </c:pt>
                <c:pt idx="22">
                  <c:v>451</c:v>
                </c:pt>
                <c:pt idx="23">
                  <c:v>324</c:v>
                </c:pt>
                <c:pt idx="24">
                  <c:v>484</c:v>
                </c:pt>
                <c:pt idx="25">
                  <c:v>184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991296"/>
        <c:axId val="117992832"/>
      </c:lineChart>
      <c:catAx>
        <c:axId val="11799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92832"/>
        <c:crosses val="autoZero"/>
        <c:auto val="1"/>
        <c:lblAlgn val="ctr"/>
        <c:lblOffset val="100"/>
      </c:catAx>
      <c:valAx>
        <c:axId val="11799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9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02"/>
          <c:w val="0.135416885389345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390</c:v>
                </c:pt>
                <c:pt idx="9">
                  <c:v>180</c:v>
                </c:pt>
                <c:pt idx="10">
                  <c:v>120</c:v>
                </c:pt>
                <c:pt idx="11">
                  <c:v>30</c:v>
                </c:pt>
                <c:pt idx="12">
                  <c:v>60</c:v>
                </c:pt>
                <c:pt idx="13">
                  <c:v>150</c:v>
                </c:pt>
                <c:pt idx="14">
                  <c:v>210</c:v>
                </c:pt>
                <c:pt idx="15">
                  <c:v>310</c:v>
                </c:pt>
                <c:pt idx="16">
                  <c:v>150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480</c:v>
                </c:pt>
                <c:pt idx="21">
                  <c:v>150</c:v>
                </c:pt>
                <c:pt idx="22">
                  <c:v>280</c:v>
                </c:pt>
                <c:pt idx="23">
                  <c:v>180</c:v>
                </c:pt>
                <c:pt idx="24">
                  <c:v>180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8008832"/>
        <c:axId val="118027008"/>
      </c:lineChart>
      <c:catAx>
        <c:axId val="1180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7008"/>
        <c:crosses val="autoZero"/>
        <c:auto val="1"/>
        <c:lblAlgn val="ctr"/>
        <c:lblOffset val="100"/>
      </c:catAx>
      <c:valAx>
        <c:axId val="118027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0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18109</c:v>
                </c:pt>
                <c:pt idx="10">
                  <c:v>20053</c:v>
                </c:pt>
                <c:pt idx="11">
                  <c:v>21073</c:v>
                </c:pt>
                <c:pt idx="12">
                  <c:v>20084</c:v>
                </c:pt>
                <c:pt idx="13">
                  <c:v>19864</c:v>
                </c:pt>
                <c:pt idx="14">
                  <c:v>19752</c:v>
                </c:pt>
                <c:pt idx="15">
                  <c:v>22340</c:v>
                </c:pt>
                <c:pt idx="16">
                  <c:v>20744</c:v>
                </c:pt>
                <c:pt idx="17">
                  <c:v>20593</c:v>
                </c:pt>
                <c:pt idx="18">
                  <c:v>21019</c:v>
                </c:pt>
                <c:pt idx="19">
                  <c:v>20427</c:v>
                </c:pt>
                <c:pt idx="20">
                  <c:v>19544</c:v>
                </c:pt>
                <c:pt idx="21">
                  <c:v>22437</c:v>
                </c:pt>
                <c:pt idx="22">
                  <c:v>21541</c:v>
                </c:pt>
                <c:pt idx="23">
                  <c:v>22796</c:v>
                </c:pt>
                <c:pt idx="24">
                  <c:v>22136</c:v>
                </c:pt>
                <c:pt idx="25">
                  <c:v>23351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047488"/>
        <c:axId val="118049024"/>
      </c:lineChart>
      <c:catAx>
        <c:axId val="11804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49024"/>
        <c:crosses val="autoZero"/>
        <c:auto val="1"/>
        <c:lblAlgn val="ctr"/>
        <c:lblOffset val="100"/>
      </c:catAx>
      <c:valAx>
        <c:axId val="118049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4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8"/>
          <c:w val="0.12291688538932598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081408"/>
        <c:axId val="118082944"/>
      </c:lineChart>
      <c:catAx>
        <c:axId val="11808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82944"/>
        <c:crosses val="autoZero"/>
        <c:auto val="1"/>
        <c:lblAlgn val="ctr"/>
        <c:lblOffset val="100"/>
      </c:catAx>
      <c:valAx>
        <c:axId val="11808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8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02"/>
          <c:w val="0.1354168853893452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8094848"/>
        <c:axId val="122430208"/>
      </c:lineChart>
      <c:catAx>
        <c:axId val="1180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30208"/>
        <c:crosses val="autoZero"/>
        <c:auto val="1"/>
        <c:lblAlgn val="ctr"/>
        <c:lblOffset val="100"/>
      </c:catAx>
      <c:valAx>
        <c:axId val="122430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0585"/>
          <c:y val="0.54325368498487869"/>
          <c:w val="0.11458355205599259"/>
          <c:h val="4.49826989619442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-5503.5258064515947</c:v>
                </c:pt>
                <c:pt idx="9">
                  <c:v>-2293.3774193548452</c:v>
                </c:pt>
                <c:pt idx="10">
                  <c:v>-5874.2064516129176</c:v>
                </c:pt>
                <c:pt idx="11">
                  <c:v>-6133.5483870967655</c:v>
                </c:pt>
                <c:pt idx="12">
                  <c:v>-5166.1806451612792</c:v>
                </c:pt>
                <c:pt idx="13">
                  <c:v>-4216.1741935483878</c:v>
                </c:pt>
                <c:pt idx="14">
                  <c:v>-5765.5354838709754</c:v>
                </c:pt>
                <c:pt idx="15">
                  <c:v>-3442.4290322580564</c:v>
                </c:pt>
                <c:pt idx="16">
                  <c:v>-5168.8741935483849</c:v>
                </c:pt>
                <c:pt idx="17">
                  <c:v>-6063.5483870967801</c:v>
                </c:pt>
                <c:pt idx="18">
                  <c:v>-4600.1612903225832</c:v>
                </c:pt>
                <c:pt idx="19">
                  <c:v>-5520.1935483870911</c:v>
                </c:pt>
                <c:pt idx="20">
                  <c:v>-697.65161290324613</c:v>
                </c:pt>
                <c:pt idx="21">
                  <c:v>-5851.5419354838668</c:v>
                </c:pt>
                <c:pt idx="22">
                  <c:v>-254.96774193548481</c:v>
                </c:pt>
                <c:pt idx="23">
                  <c:v>-5686.8709677419247</c:v>
                </c:pt>
                <c:pt idx="24">
                  <c:v>-3136.7741935483791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462592"/>
        <c:axId val="122464128"/>
      </c:lineChart>
      <c:catAx>
        <c:axId val="1224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64128"/>
        <c:crosses val="autoZero"/>
        <c:auto val="1"/>
        <c:lblAlgn val="ctr"/>
        <c:lblOffset val="100"/>
      </c:catAx>
      <c:valAx>
        <c:axId val="122464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68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  <c:pt idx="12">
                  <c:v>4</c:v>
                </c:pt>
                <c:pt idx="13">
                  <c:v>5</c:v>
                </c:pt>
                <c:pt idx="14">
                  <c:v>0</c:v>
                </c:pt>
                <c:pt idx="15">
                  <c:v>8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9</c:v>
                </c:pt>
                <c:pt idx="22">
                  <c:v>9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500992"/>
        <c:axId val="122502528"/>
      </c:lineChart>
      <c:catAx>
        <c:axId val="12250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02528"/>
        <c:crosses val="autoZero"/>
        <c:auto val="1"/>
        <c:lblAlgn val="ctr"/>
        <c:lblOffset val="100"/>
      </c:catAx>
      <c:valAx>
        <c:axId val="12250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0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726"/>
          <c:y val="0.629758875296348"/>
          <c:w val="0.13541688538934554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0.1087</c:v>
                </c:pt>
                <c:pt idx="9">
                  <c:v>0.113</c:v>
                </c:pt>
                <c:pt idx="10">
                  <c:v>0.16500000000000001</c:v>
                </c:pt>
                <c:pt idx="11">
                  <c:v>0.1</c:v>
                </c:pt>
                <c:pt idx="12">
                  <c:v>0.1217</c:v>
                </c:pt>
                <c:pt idx="13">
                  <c:v>0.12709999999999999</c:v>
                </c:pt>
                <c:pt idx="14">
                  <c:v>0.1348</c:v>
                </c:pt>
                <c:pt idx="15">
                  <c:v>0.2</c:v>
                </c:pt>
                <c:pt idx="16">
                  <c:v>0.2</c:v>
                </c:pt>
                <c:pt idx="17">
                  <c:v>0.2261</c:v>
                </c:pt>
                <c:pt idx="18">
                  <c:v>0.1913</c:v>
                </c:pt>
                <c:pt idx="19">
                  <c:v>0.1739</c:v>
                </c:pt>
                <c:pt idx="20">
                  <c:v>0.16089999999999999</c:v>
                </c:pt>
                <c:pt idx="21">
                  <c:v>0.16220000000000001</c:v>
                </c:pt>
                <c:pt idx="22">
                  <c:v>0.23039999999999999</c:v>
                </c:pt>
                <c:pt idx="23">
                  <c:v>0.25600000000000001</c:v>
                </c:pt>
                <c:pt idx="24">
                  <c:v>0.26900000000000002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530816"/>
        <c:axId val="122532608"/>
      </c:lineChart>
      <c:catAx>
        <c:axId val="12253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2608"/>
        <c:crosses val="autoZero"/>
        <c:auto val="1"/>
        <c:lblAlgn val="ctr"/>
        <c:lblOffset val="100"/>
      </c:catAx>
      <c:valAx>
        <c:axId val="1225326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3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8"/>
          <c:w val="9.730870597697025E-2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29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25.001000000000001</c:v>
                </c:pt>
                <c:pt idx="9">
                  <c:v>25.990000000000002</c:v>
                </c:pt>
                <c:pt idx="10">
                  <c:v>37.950000000000003</c:v>
                </c:pt>
                <c:pt idx="11">
                  <c:v>23</c:v>
                </c:pt>
                <c:pt idx="12">
                  <c:v>27.991</c:v>
                </c:pt>
                <c:pt idx="13">
                  <c:v>29.232999999999997</c:v>
                </c:pt>
                <c:pt idx="14">
                  <c:v>31.004000000000001</c:v>
                </c:pt>
                <c:pt idx="15">
                  <c:v>46</c:v>
                </c:pt>
                <c:pt idx="16">
                  <c:v>46</c:v>
                </c:pt>
                <c:pt idx="17">
                  <c:v>52.003</c:v>
                </c:pt>
                <c:pt idx="18">
                  <c:v>43.999000000000002</c:v>
                </c:pt>
                <c:pt idx="19">
                  <c:v>39.997</c:v>
                </c:pt>
                <c:pt idx="20">
                  <c:v>37.006999999999998</c:v>
                </c:pt>
                <c:pt idx="21">
                  <c:v>37.306000000000004</c:v>
                </c:pt>
                <c:pt idx="22">
                  <c:v>52.991999999999997</c:v>
                </c:pt>
                <c:pt idx="23">
                  <c:v>58.88</c:v>
                </c:pt>
                <c:pt idx="24">
                  <c:v>61.870000000000005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186432"/>
        <c:axId val="125187968"/>
      </c:lineChart>
      <c:catAx>
        <c:axId val="12518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87968"/>
        <c:crosses val="autoZero"/>
        <c:auto val="1"/>
        <c:lblAlgn val="ctr"/>
        <c:lblOffset val="100"/>
      </c:catAx>
      <c:valAx>
        <c:axId val="1251879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8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0</c:v>
                </c:pt>
                <c:pt idx="18">
                  <c:v>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212160"/>
        <c:axId val="125213696"/>
      </c:lineChart>
      <c:catAx>
        <c:axId val="12521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3696"/>
        <c:crosses val="autoZero"/>
        <c:auto val="1"/>
        <c:lblAlgn val="ctr"/>
        <c:lblOffset val="100"/>
      </c:catAx>
      <c:valAx>
        <c:axId val="12521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1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59"/>
          <c:y val="0.629758875296348"/>
          <c:w val="0.13250539334757044"/>
          <c:h val="4.498269896194464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112</c:v>
                </c:pt>
                <c:pt idx="10">
                  <c:v>0</c:v>
                </c:pt>
                <c:pt idx="11">
                  <c:v>271</c:v>
                </c:pt>
                <c:pt idx="12">
                  <c:v>0</c:v>
                </c:pt>
                <c:pt idx="13">
                  <c:v>224</c:v>
                </c:pt>
                <c:pt idx="14">
                  <c:v>0</c:v>
                </c:pt>
                <c:pt idx="15">
                  <c:v>159</c:v>
                </c:pt>
                <c:pt idx="16">
                  <c:v>0</c:v>
                </c:pt>
                <c:pt idx="17">
                  <c:v>213</c:v>
                </c:pt>
                <c:pt idx="18">
                  <c:v>0</c:v>
                </c:pt>
                <c:pt idx="19">
                  <c:v>321</c:v>
                </c:pt>
                <c:pt idx="20">
                  <c:v>0</c:v>
                </c:pt>
                <c:pt idx="21">
                  <c:v>223</c:v>
                </c:pt>
                <c:pt idx="22">
                  <c:v>0</c:v>
                </c:pt>
                <c:pt idx="23">
                  <c:v>200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233792"/>
        <c:axId val="125239680"/>
      </c:lineChart>
      <c:catAx>
        <c:axId val="12523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9680"/>
        <c:crosses val="autoZero"/>
        <c:auto val="1"/>
        <c:lblAlgn val="ctr"/>
        <c:lblOffset val="100"/>
      </c:catAx>
      <c:valAx>
        <c:axId val="12523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0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304832"/>
        <c:axId val="125306368"/>
      </c:lineChart>
      <c:catAx>
        <c:axId val="12530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06368"/>
        <c:crosses val="autoZero"/>
        <c:auto val="1"/>
        <c:lblAlgn val="ctr"/>
        <c:lblOffset val="100"/>
      </c:catAx>
      <c:valAx>
        <c:axId val="125306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0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1036"/>
          <c:w val="0.1234311819809243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-109.8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213.99999999999991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5355904"/>
        <c:axId val="125357440"/>
      </c:lineChart>
      <c:catAx>
        <c:axId val="1253559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7440"/>
        <c:crosses val="autoZero"/>
        <c:auto val="1"/>
        <c:lblAlgn val="ctr"/>
        <c:lblOffset val="100"/>
      </c:catAx>
      <c:valAx>
        <c:axId val="1253574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933"/>
          <c:y val="0.45486256926221807"/>
          <c:w val="0.156903985328210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223.95454545454547</c:v>
                </c:pt>
                <c:pt idx="9">
                  <c:v>210.82608695652175</c:v>
                </c:pt>
                <c:pt idx="10">
                  <c:v>234.39130434782609</c:v>
                </c:pt>
                <c:pt idx="11">
                  <c:v>220.04347826086956</c:v>
                </c:pt>
                <c:pt idx="12">
                  <c:v>218.36363636363637</c:v>
                </c:pt>
                <c:pt idx="13">
                  <c:v>209.04166666666666</c:v>
                </c:pt>
                <c:pt idx="14">
                  <c:v>256.95238095238096</c:v>
                </c:pt>
                <c:pt idx="15">
                  <c:v>230.86956521739131</c:v>
                </c:pt>
                <c:pt idx="16">
                  <c:v>178.39130434782609</c:v>
                </c:pt>
                <c:pt idx="17">
                  <c:v>273.5</c:v>
                </c:pt>
                <c:pt idx="18">
                  <c:v>216.83333333333334</c:v>
                </c:pt>
                <c:pt idx="19">
                  <c:v>251.6</c:v>
                </c:pt>
                <c:pt idx="20">
                  <c:v>248.54166666666666</c:v>
                </c:pt>
                <c:pt idx="21">
                  <c:v>260.45</c:v>
                </c:pt>
                <c:pt idx="22">
                  <c:v>250.39130434782609</c:v>
                </c:pt>
                <c:pt idx="23">
                  <c:v>270.375</c:v>
                </c:pt>
                <c:pt idx="24">
                  <c:v>266.3478260869565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381248"/>
        <c:axId val="125395328"/>
      </c:lineChart>
      <c:catAx>
        <c:axId val="12538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95328"/>
        <c:crosses val="autoZero"/>
        <c:auto val="1"/>
        <c:lblAlgn val="ctr"/>
        <c:lblOffset val="100"/>
      </c:catAx>
      <c:valAx>
        <c:axId val="1253953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8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8"/>
          <c:w val="0.14853578449139324"/>
          <c:h val="4.49826989619448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28</c:v>
                </c:pt>
                <c:pt idx="11">
                  <c:v>26</c:v>
                </c:pt>
                <c:pt idx="12">
                  <c:v>26.5</c:v>
                </c:pt>
                <c:pt idx="13">
                  <c:v>27.5</c:v>
                </c:pt>
                <c:pt idx="14">
                  <c:v>26.5</c:v>
                </c:pt>
                <c:pt idx="15">
                  <c:v>27.5</c:v>
                </c:pt>
                <c:pt idx="16">
                  <c:v>27</c:v>
                </c:pt>
                <c:pt idx="17">
                  <c:v>27.5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29.5</c:v>
                </c:pt>
                <c:pt idx="23">
                  <c:v>27</c:v>
                </c:pt>
                <c:pt idx="24">
                  <c:v>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743488"/>
        <c:axId val="125745024"/>
      </c:lineChart>
      <c:catAx>
        <c:axId val="1257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5024"/>
        <c:crosses val="autoZero"/>
        <c:auto val="1"/>
        <c:lblAlgn val="ctr"/>
        <c:lblOffset val="100"/>
      </c:catAx>
      <c:valAx>
        <c:axId val="12574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1866"/>
          <c:y val="0.629758875296348"/>
          <c:w val="0.12164948453608219"/>
          <c:h val="4.49826989619448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40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21</c:v>
                </c:pt>
                <c:pt idx="4">
                  <c:v>18</c:v>
                </c:pt>
                <c:pt idx="5">
                  <c:v>21</c:v>
                </c:pt>
                <c:pt idx="6">
                  <c:v>18</c:v>
                </c:pt>
                <c:pt idx="7">
                  <c:v>24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22</c:v>
                </c:pt>
                <c:pt idx="12">
                  <c:v>18</c:v>
                </c:pt>
                <c:pt idx="13">
                  <c:v>22</c:v>
                </c:pt>
                <c:pt idx="14">
                  <c:v>18</c:v>
                </c:pt>
                <c:pt idx="15">
                  <c:v>21</c:v>
                </c:pt>
                <c:pt idx="16">
                  <c:v>19</c:v>
                </c:pt>
                <c:pt idx="17">
                  <c:v>22</c:v>
                </c:pt>
                <c:pt idx="18">
                  <c:v>18</c:v>
                </c:pt>
                <c:pt idx="19">
                  <c:v>19</c:v>
                </c:pt>
                <c:pt idx="20">
                  <c:v>11</c:v>
                </c:pt>
                <c:pt idx="21">
                  <c:v>19</c:v>
                </c:pt>
                <c:pt idx="22">
                  <c:v>11</c:v>
                </c:pt>
                <c:pt idx="23">
                  <c:v>17</c:v>
                </c:pt>
                <c:pt idx="24">
                  <c:v>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3313152"/>
        <c:axId val="143319040"/>
      </c:lineChart>
      <c:catAx>
        <c:axId val="14331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19040"/>
        <c:crosses val="autoZero"/>
        <c:auto val="1"/>
        <c:lblAlgn val="ctr"/>
        <c:lblOffset val="100"/>
      </c:catAx>
      <c:valAx>
        <c:axId val="1433190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1</c:v>
                </c:pt>
                <c:pt idx="8">
                  <c:v>1</c:v>
                </c:pt>
                <c:pt idx="9">
                  <c:v>7569</c:v>
                </c:pt>
                <c:pt idx="10">
                  <c:v>400</c:v>
                </c:pt>
                <c:pt idx="11">
                  <c:v>2341</c:v>
                </c:pt>
                <c:pt idx="12">
                  <c:v>445</c:v>
                </c:pt>
                <c:pt idx="13">
                  <c:v>1</c:v>
                </c:pt>
                <c:pt idx="14">
                  <c:v>4008</c:v>
                </c:pt>
                <c:pt idx="15">
                  <c:v>2684</c:v>
                </c:pt>
                <c:pt idx="16">
                  <c:v>1337</c:v>
                </c:pt>
                <c:pt idx="17">
                  <c:v>1875</c:v>
                </c:pt>
                <c:pt idx="18">
                  <c:v>1714</c:v>
                </c:pt>
                <c:pt idx="19">
                  <c:v>1</c:v>
                </c:pt>
                <c:pt idx="20">
                  <c:v>5328</c:v>
                </c:pt>
                <c:pt idx="21">
                  <c:v>1</c:v>
                </c:pt>
                <c:pt idx="22">
                  <c:v>7190</c:v>
                </c:pt>
                <c:pt idx="23">
                  <c:v>7528</c:v>
                </c:pt>
                <c:pt idx="24">
                  <c:v>4495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3396224"/>
        <c:axId val="147948672"/>
      </c:lineChart>
      <c:catAx>
        <c:axId val="14339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48672"/>
        <c:crosses val="autoZero"/>
        <c:auto val="1"/>
        <c:lblAlgn val="ctr"/>
        <c:lblOffset val="100"/>
      </c:catAx>
      <c:valAx>
        <c:axId val="147948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9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15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-109.8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213.99999999999991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48174720"/>
        <c:axId val="148176256"/>
      </c:lineChart>
      <c:catAx>
        <c:axId val="148174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76256"/>
        <c:crosses val="autoZero"/>
        <c:auto val="1"/>
        <c:lblAlgn val="ctr"/>
        <c:lblOffset val="100"/>
      </c:catAx>
      <c:valAx>
        <c:axId val="148176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17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80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>
        <row r="36">
          <cell r="V36">
            <v>10733</v>
          </cell>
        </row>
      </sheetData>
      <sheetData sheetId="4" refreshError="1"/>
      <sheetData sheetId="5" refreshError="1"/>
      <sheetData sheetId="6" refreshError="1"/>
      <sheetData sheetId="7">
        <row r="37">
          <cell r="AX37">
            <v>-50288.441935483883</v>
          </cell>
        </row>
      </sheetData>
      <sheetData sheetId="8">
        <row r="34">
          <cell r="Z34">
            <v>243</v>
          </cell>
        </row>
      </sheetData>
      <sheetData sheetId="9" refreshError="1"/>
      <sheetData sheetId="10" refreshError="1"/>
      <sheetData sheetId="11" refreshError="1"/>
      <sheetData sheetId="12">
        <row r="29">
          <cell r="AA29">
            <v>452924</v>
          </cell>
        </row>
      </sheetData>
      <sheetData sheetId="13" refreshError="1"/>
      <sheetData sheetId="14">
        <row r="6">
          <cell r="C6">
            <v>4794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8.025785947061316E-2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0.14885238685068436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0.13047964702333337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0.14974970860230585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0.15382107899840414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0.12134877839327909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0.1280994950910021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0.10603817021934361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18109</v>
      </c>
      <c r="F10" s="338">
        <f>SUM('EDl log'!T12)</f>
        <v>0.19086405728347056</v>
      </c>
      <c r="G10" s="206">
        <f>-tanks!AW14</f>
        <v>255.9999999999709</v>
      </c>
      <c r="H10" s="338">
        <f>SUM(tanks!AV14)</f>
        <v>0.52839999999999998</v>
      </c>
      <c r="I10" s="10">
        <f>('B5'!AU13)*0.51</f>
        <v>198.9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25.001000000000001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20053</v>
      </c>
      <c r="F11" s="338">
        <f>SUM('EDl log'!T13)</f>
        <v>5.74184103487849E-2</v>
      </c>
      <c r="G11" s="206">
        <f>-tanks!AW15</f>
        <v>342.80000000004657</v>
      </c>
      <c r="H11" s="338">
        <f>SUM(tanks!AV15)</f>
        <v>0.52839999999999998</v>
      </c>
      <c r="I11" s="10">
        <f>('B5'!AU14)*0.51</f>
        <v>91.8</v>
      </c>
      <c r="J11" s="317">
        <f>'B5'!AX14/0.51</f>
        <v>1.3725490196078429</v>
      </c>
      <c r="K11" s="206">
        <f>WATER!I15</f>
        <v>112</v>
      </c>
      <c r="L11" s="339">
        <f>SUM(WATER!J15)</f>
        <v>2.1601382488479262</v>
      </c>
      <c r="M11" s="339">
        <f>WATER!Q15</f>
        <v>0</v>
      </c>
      <c r="N11" s="513">
        <v>0.6</v>
      </c>
      <c r="O11" s="10">
        <f>ELEC!B12</f>
        <v>25.990000000000002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21073</v>
      </c>
      <c r="F12" s="338">
        <f>SUM('EDl log'!T14)</f>
        <v>0.15243521524755699</v>
      </c>
      <c r="G12" s="206">
        <f>-tanks!AW16</f>
        <v>335</v>
      </c>
      <c r="H12" s="338">
        <f>SUM(tanks!AV16)</f>
        <v>0.52839999999999998</v>
      </c>
      <c r="I12" s="10">
        <f>('B5'!AU15)*0.51</f>
        <v>61.2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37.950000000000003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20084</v>
      </c>
      <c r="F13" s="338">
        <f>SUM('EDl log'!T15)</f>
        <v>0.15988382024564785</v>
      </c>
      <c r="G13" s="206">
        <f>-tanks!AW17</f>
        <v>220</v>
      </c>
      <c r="H13" s="338">
        <f>SUM(tanks!AV17)</f>
        <v>0.52839999999999998</v>
      </c>
      <c r="I13" s="10">
        <f>('B5'!AU16)*0.51</f>
        <v>15.3</v>
      </c>
      <c r="J13" s="317">
        <f>'B5'!AX16/0.51</f>
        <v>1.3725490196078429</v>
      </c>
      <c r="K13" s="206">
        <f>WATER!I17</f>
        <v>271</v>
      </c>
      <c r="L13" s="339">
        <f>SUM(WATER!J17)</f>
        <v>0.89275086299250095</v>
      </c>
      <c r="M13" s="339">
        <f>WATER!Q17</f>
        <v>0</v>
      </c>
      <c r="N13" s="513">
        <v>0.6</v>
      </c>
      <c r="O13" s="10">
        <f>ELEC!B14</f>
        <v>23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19864</v>
      </c>
      <c r="F14" s="338">
        <f>SUM('EDl log'!T16)</f>
        <v>0.13639207338779064</v>
      </c>
      <c r="G14" s="206">
        <f>-tanks!AW18</f>
        <v>165</v>
      </c>
      <c r="H14" s="338">
        <f>SUM(tanks!AV18)</f>
        <v>0.52839999999999998</v>
      </c>
      <c r="I14" s="10">
        <f>('B5'!AU17)*0.51</f>
        <v>30.6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27.991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19752</v>
      </c>
      <c r="F15" s="338">
        <f>SUM('EDl log'!T17)</f>
        <v>0.12220095650351466</v>
      </c>
      <c r="G15" s="206">
        <f>-tanks!AW19</f>
        <v>434.09999999997672</v>
      </c>
      <c r="H15" s="338">
        <f>SUM(tanks!AV19)</f>
        <v>0.52839999999999998</v>
      </c>
      <c r="I15" s="10">
        <f>('B5'!AU18)*0.51</f>
        <v>76.5</v>
      </c>
      <c r="J15" s="317">
        <f>'B5'!AX18/0.51</f>
        <v>1.3725490196078429</v>
      </c>
      <c r="K15" s="206">
        <f>WATER!I19</f>
        <v>224</v>
      </c>
      <c r="L15" s="339">
        <f>SUM(WATER!J19)</f>
        <v>1.0800691244239631</v>
      </c>
      <c r="M15" s="339">
        <f>WATER!Q19</f>
        <v>0</v>
      </c>
      <c r="N15" s="513">
        <v>0.6</v>
      </c>
      <c r="O15" s="10">
        <f>ELEC!B16</f>
        <v>29.232999999999997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22340</v>
      </c>
      <c r="F16" s="338">
        <f>SUM('EDl log'!T18)</f>
        <v>0.14030038548431309</v>
      </c>
      <c r="G16" s="206">
        <f>-tanks!AW20</f>
        <v>452</v>
      </c>
      <c r="H16" s="338">
        <f>SUM(tanks!AV20)</f>
        <v>0.52839999999999998</v>
      </c>
      <c r="I16" s="10">
        <f>('B5'!AU19)*0.51</f>
        <v>107.10000000000001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31.004000000000001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20744</v>
      </c>
      <c r="F17" s="338">
        <f>SUM('EDl log'!T19)</f>
        <v>8.9167589298136798E-2</v>
      </c>
      <c r="G17" s="206">
        <f>-tanks!AW21</f>
        <v>257</v>
      </c>
      <c r="H17" s="338">
        <f>SUM(tanks!AV21)</f>
        <v>0.5383</v>
      </c>
      <c r="I17" s="10">
        <f>('B5'!AU20)*0.51</f>
        <v>158.1</v>
      </c>
      <c r="J17" s="317">
        <f>'B5'!AX20/0.51</f>
        <v>1.3725490196078429</v>
      </c>
      <c r="K17" s="206">
        <f>WATER!I21</f>
        <v>159</v>
      </c>
      <c r="L17" s="339">
        <f>SUM(WATER!J21)</f>
        <v>1.5216068167985393</v>
      </c>
      <c r="M17" s="339">
        <f>WATER!Q21</f>
        <v>0</v>
      </c>
      <c r="N17" s="513">
        <v>0.6</v>
      </c>
      <c r="O17" s="10">
        <f>ELEC!B18</f>
        <v>46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20593</v>
      </c>
      <c r="F18" s="338">
        <f>SUM('EDl log'!T20)</f>
        <v>0.13755699236002583</v>
      </c>
      <c r="G18" s="206">
        <f>-tanks!AW22</f>
        <v>188</v>
      </c>
      <c r="H18" s="338">
        <f>SUM(tanks!AV22)</f>
        <v>0.5383</v>
      </c>
      <c r="I18" s="10">
        <f>('B5'!AU21)*0.51</f>
        <v>76.5</v>
      </c>
      <c r="J18" s="317">
        <f>'B5'!AX21/0.51</f>
        <v>1.3725490196078429</v>
      </c>
      <c r="K18" s="206">
        <f>WATER!I22</f>
        <v>63</v>
      </c>
      <c r="L18" s="339">
        <f>SUM(WATER!J22)</f>
        <v>5.5002457757296463</v>
      </c>
      <c r="M18" s="339">
        <f>WATER!Q22</f>
        <v>0</v>
      </c>
      <c r="N18" s="513">
        <v>0.6</v>
      </c>
      <c r="O18" s="10">
        <f>ELEC!B19</f>
        <v>46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21019</v>
      </c>
      <c r="F19" s="338">
        <f>SUM('EDl log'!T21)</f>
        <v>0.15210525810499023</v>
      </c>
      <c r="G19" s="206">
        <f>-tanks!AW23</f>
        <v>327</v>
      </c>
      <c r="H19" s="338">
        <f>SUM(tanks!AV23)</f>
        <v>0.5383</v>
      </c>
      <c r="I19" s="10">
        <f>('B5'!AU22)*0.51</f>
        <v>45.9</v>
      </c>
      <c r="J19" s="317">
        <f>'B5'!AX22/0.51</f>
        <v>1.3725490196078429</v>
      </c>
      <c r="K19" s="206">
        <f>WATER!I23</f>
        <v>213</v>
      </c>
      <c r="L19" s="339">
        <f>SUM(WATER!J23)</f>
        <v>1.1358473421172195</v>
      </c>
      <c r="M19" s="339">
        <f>WATER!Q23</f>
        <v>0</v>
      </c>
      <c r="N19" s="513">
        <v>0.6</v>
      </c>
      <c r="O19" s="10">
        <f>ELEC!B20</f>
        <v>52.003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20427</v>
      </c>
      <c r="F20" s="338">
        <f>SUM('EDl log'!T22)</f>
        <v>0.11884354324267346</v>
      </c>
      <c r="G20" s="206">
        <f>-tanks!AW24</f>
        <v>143</v>
      </c>
      <c r="H20" s="338">
        <f>SUM(tanks!AV24)</f>
        <v>0.5383</v>
      </c>
      <c r="I20" s="10">
        <f>('B5'!AU23)*0.51</f>
        <v>45.9</v>
      </c>
      <c r="J20" s="317">
        <f>'B5'!AX23/0.51</f>
        <v>1.3725490196078429</v>
      </c>
      <c r="K20" s="206">
        <f>WATER!I24</f>
        <v>63</v>
      </c>
      <c r="L20" s="339">
        <f>SUM(WATER!J24)</f>
        <v>5.5002457757296463</v>
      </c>
      <c r="M20" s="339">
        <f>WATER!Q24</f>
        <v>0</v>
      </c>
      <c r="N20" s="513">
        <v>0.6</v>
      </c>
      <c r="O20" s="10">
        <f>ELEC!B21</f>
        <v>43.999000000000002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19544</v>
      </c>
      <c r="F21" s="338">
        <f>SUM('EDl log'!T23)</f>
        <v>0.16970300028553853</v>
      </c>
      <c r="G21" s="206">
        <f>-tanks!AW25</f>
        <v>211</v>
      </c>
      <c r="H21" s="338">
        <f>SUM(tanks!AV25)</f>
        <v>0.5383</v>
      </c>
      <c r="I21" s="10">
        <f>('B5'!AU24)*0.51</f>
        <v>45.9</v>
      </c>
      <c r="J21" s="317">
        <f>'B5'!AX24/0.51</f>
        <v>1.3725490196078429</v>
      </c>
      <c r="K21" s="206">
        <f>WATER!I25</f>
        <v>321</v>
      </c>
      <c r="L21" s="339">
        <f>SUM(WATER!J25)</f>
        <v>0.75369309617123903</v>
      </c>
      <c r="M21" s="339">
        <f>WATER!Q25</f>
        <v>0</v>
      </c>
      <c r="N21" s="513">
        <v>0.6</v>
      </c>
      <c r="O21" s="10">
        <f>ELEC!B22</f>
        <v>39.997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22437</v>
      </c>
      <c r="F22" s="338">
        <f>SUM('EDl log'!T24)</f>
        <v>7.9180370447447888E-3</v>
      </c>
      <c r="G22" s="206">
        <f>-tanks!AW26</f>
        <v>586</v>
      </c>
      <c r="H22" s="338">
        <f>SUM(tanks!AV26)</f>
        <v>0.5383</v>
      </c>
      <c r="I22" s="10">
        <f>('B5'!AU25)*0.51</f>
        <v>244.8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37.006999999999998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21541</v>
      </c>
      <c r="F23" s="338">
        <f>SUM('EDl log'!T25)</f>
        <v>0.16943044786021783</v>
      </c>
      <c r="G23" s="206">
        <f>-tanks!AW27</f>
        <v>451</v>
      </c>
      <c r="H23" s="338">
        <f>SUM(tanks!AV27)</f>
        <v>0.5383</v>
      </c>
      <c r="I23" s="10">
        <f>('B5'!AU26)*0.51</f>
        <v>76.5</v>
      </c>
      <c r="J23" s="317">
        <f>'B5'!AX26/0.51</f>
        <v>1.3725490196078429</v>
      </c>
      <c r="K23" s="206">
        <f>WATER!I27</f>
        <v>223</v>
      </c>
      <c r="L23" s="339">
        <f>SUM(WATER!J27)</f>
        <v>1.0849124837263127</v>
      </c>
      <c r="M23" s="339">
        <f>WATER!Q27</f>
        <v>0</v>
      </c>
      <c r="N23" s="513">
        <v>0.6</v>
      </c>
      <c r="O23" s="10">
        <f>ELEC!B24</f>
        <v>37.306000000000004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22796</v>
      </c>
      <c r="F24" s="338">
        <f>SUM('EDl log'!T26)</f>
        <v>2.3020772438013416E-2</v>
      </c>
      <c r="G24" s="206">
        <f>-tanks!AW28</f>
        <v>324</v>
      </c>
      <c r="H24" s="338">
        <f>SUM(tanks!AV28)</f>
        <v>0.53500000000000003</v>
      </c>
      <c r="I24" s="10">
        <f>('B5'!AU27)*0.51</f>
        <v>142.80000000000001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52.991999999999997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22136</v>
      </c>
      <c r="F25" s="338">
        <f>SUM('EDl log'!T27)</f>
        <v>0.14034117788162376</v>
      </c>
      <c r="G25" s="206">
        <f>-tanks!AW29</f>
        <v>484</v>
      </c>
      <c r="H25" s="338">
        <f>SUM(tanks!AV29)</f>
        <v>0.53500000000000003</v>
      </c>
      <c r="I25" s="10">
        <f>('B5'!AU28)*0.51</f>
        <v>91.8</v>
      </c>
      <c r="J25" s="317">
        <f>'B5'!AX28/0.51</f>
        <v>1.3725490196078429</v>
      </c>
      <c r="K25" s="206">
        <f>WATER!I29</f>
        <v>200</v>
      </c>
      <c r="L25" s="339">
        <f>SUM(WATER!J29)</f>
        <v>1.2096774193548387</v>
      </c>
      <c r="M25" s="339">
        <f>WATER!Q29</f>
        <v>0</v>
      </c>
      <c r="N25" s="513">
        <v>0.6</v>
      </c>
      <c r="O25" s="10">
        <f>ELEC!B26</f>
        <v>58.88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23351</v>
      </c>
      <c r="F26" s="338">
        <f>SUM('EDl log'!T28)</f>
        <v>7.0604923358527152E-2</v>
      </c>
      <c r="G26" s="206">
        <f>-tanks!AW30</f>
        <v>184</v>
      </c>
      <c r="H26" s="338">
        <f>SUM(tanks!AV30)</f>
        <v>0.53500000000000003</v>
      </c>
      <c r="I26" s="10">
        <f>('B5'!AU29)*0.51</f>
        <v>91.8</v>
      </c>
      <c r="J26" s="317">
        <f>'B5'!AX29/0.51</f>
        <v>1.3725490196078429</v>
      </c>
      <c r="K26" s="206">
        <f>WATER!I30</f>
        <v>125</v>
      </c>
      <c r="L26" s="339">
        <f>SUM(WATER!J30)</f>
        <v>3.5954838709677421</v>
      </c>
      <c r="M26" s="339">
        <f>WATER!Q30</f>
        <v>0</v>
      </c>
      <c r="N26" s="513">
        <v>0.6</v>
      </c>
      <c r="O26" s="10">
        <f>ELEC!B27</f>
        <v>61.870000000000005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2279.6999999999998</v>
      </c>
      <c r="J32" s="317">
        <f>'B5'!AX36/0.51</f>
        <v>0</v>
      </c>
      <c r="K32" s="206">
        <f>WATER!I37</f>
        <v>3403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32.529359999999997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7658</v>
      </c>
      <c r="F10" s="206">
        <f>ELEC!K11</f>
        <v>2358</v>
      </c>
      <c r="G10" s="206">
        <f>ELEC!I11</f>
        <v>2000</v>
      </c>
      <c r="H10" s="206">
        <f>ELEC!E11</f>
        <v>4328</v>
      </c>
      <c r="I10" s="206">
        <f>ELEC!G11</f>
        <v>1765</v>
      </c>
      <c r="J10" s="206">
        <f>WATER!Y14</f>
        <v>0</v>
      </c>
      <c r="K10" s="206">
        <f>WATER!AJ14</f>
        <v>0</v>
      </c>
      <c r="L10" s="10">
        <f>ELEC!B11</f>
        <v>25.001000000000001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3718</v>
      </c>
      <c r="F11" s="206">
        <f>ELEC!K12</f>
        <v>2532</v>
      </c>
      <c r="G11" s="206">
        <f>ELEC!I12</f>
        <v>2376</v>
      </c>
      <c r="H11" s="206">
        <f>ELEC!E12</f>
        <v>9500</v>
      </c>
      <c r="I11" s="206">
        <f>ELEC!G12</f>
        <v>1927</v>
      </c>
      <c r="J11" s="206">
        <f>WATER!Y15</f>
        <v>91</v>
      </c>
      <c r="K11" s="206">
        <f>WATER!AJ15</f>
        <v>24</v>
      </c>
      <c r="L11" s="10">
        <f>ELEC!B12</f>
        <v>25.990000000000002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6858</v>
      </c>
      <c r="F12" s="206">
        <f>ELEC!K13</f>
        <v>3036</v>
      </c>
      <c r="G12" s="206">
        <f>ELEC!I13</f>
        <v>2372</v>
      </c>
      <c r="H12" s="206">
        <f>ELEC!E13</f>
        <v>6870</v>
      </c>
      <c r="I12" s="206">
        <f>ELEC!G13</f>
        <v>1937</v>
      </c>
      <c r="J12" s="206">
        <f>WATER!Y16</f>
        <v>0</v>
      </c>
      <c r="K12" s="206">
        <f>WATER!AJ16</f>
        <v>0</v>
      </c>
      <c r="L12" s="10">
        <f>ELEC!B13</f>
        <v>37.950000000000003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8808</v>
      </c>
      <c r="F13" s="206">
        <f>ELEC!K14</f>
        <v>2836</v>
      </c>
      <c r="G13" s="206">
        <f>ELEC!I14</f>
        <v>2350</v>
      </c>
      <c r="H13" s="206">
        <f>ELEC!E14</f>
        <v>4100</v>
      </c>
      <c r="I13" s="206">
        <f>ELEC!G14</f>
        <v>1990</v>
      </c>
      <c r="J13" s="206">
        <f>WATER!Y17</f>
        <v>42</v>
      </c>
      <c r="K13" s="206">
        <f>WATER!AJ17</f>
        <v>66</v>
      </c>
      <c r="L13" s="10">
        <f>ELEC!B14</f>
        <v>23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8276</v>
      </c>
      <c r="F14" s="206">
        <f>ELEC!K15</f>
        <v>2050</v>
      </c>
      <c r="G14" s="206">
        <f>ELEC!I15</f>
        <v>2418</v>
      </c>
      <c r="H14" s="206">
        <f>ELEC!E15</f>
        <v>4884</v>
      </c>
      <c r="I14" s="206">
        <f>ELEC!G15</f>
        <v>2236</v>
      </c>
      <c r="J14" s="206">
        <f>WATER!Y18</f>
        <v>3</v>
      </c>
      <c r="K14" s="206">
        <f>WATER!AJ18</f>
        <v>0</v>
      </c>
      <c r="L14" s="10">
        <f>ELEC!B15</f>
        <v>27.991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3598</v>
      </c>
      <c r="F15" s="206">
        <f>ELEC!K16</f>
        <v>2382</v>
      </c>
      <c r="G15" s="206">
        <f>ELEC!I16</f>
        <v>2258</v>
      </c>
      <c r="H15" s="206">
        <f>ELEC!E16</f>
        <v>9548</v>
      </c>
      <c r="I15" s="206">
        <f>ELEC!G16</f>
        <v>1966</v>
      </c>
      <c r="J15" s="206">
        <f>WATER!Y19</f>
        <v>150</v>
      </c>
      <c r="K15" s="206">
        <f>WATER!AJ19</f>
        <v>42</v>
      </c>
      <c r="L15" s="10">
        <f>ELEC!B16</f>
        <v>29.232999999999997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9122</v>
      </c>
      <c r="F16" s="206">
        <f>ELEC!K17</f>
        <v>3012</v>
      </c>
      <c r="G16" s="206">
        <f>ELEC!I17</f>
        <v>2402</v>
      </c>
      <c r="H16" s="206">
        <f>ELEC!E17</f>
        <v>5550</v>
      </c>
      <c r="I16" s="206">
        <f>ELEC!G17</f>
        <v>2254</v>
      </c>
      <c r="J16" s="206">
        <f>WATER!Y20</f>
        <v>37</v>
      </c>
      <c r="K16" s="206">
        <f>WATER!AJ20</f>
        <v>11</v>
      </c>
      <c r="L16" s="10">
        <f>ELEC!B17</f>
        <v>31.004000000000001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5678</v>
      </c>
      <c r="F17" s="206">
        <f>ELEC!K18</f>
        <v>5236</v>
      </c>
      <c r="G17" s="206">
        <f>ELEC!I18</f>
        <v>2232</v>
      </c>
      <c r="H17" s="206">
        <f>ELEC!E18</f>
        <v>5530</v>
      </c>
      <c r="I17" s="206">
        <f>ELEC!G18</f>
        <v>2068</v>
      </c>
      <c r="J17" s="206">
        <f>WATER!Y21</f>
        <v>0</v>
      </c>
      <c r="K17" s="206">
        <f>WATER!AJ21</f>
        <v>0</v>
      </c>
      <c r="L17" s="10">
        <f>ELEC!B18</f>
        <v>46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3756</v>
      </c>
      <c r="F18" s="206">
        <f>ELEC!K19</f>
        <v>7544</v>
      </c>
      <c r="G18" s="206">
        <f>ELEC!I19</f>
        <v>2380</v>
      </c>
      <c r="H18" s="206">
        <f>ELEC!E19</f>
        <v>4704</v>
      </c>
      <c r="I18" s="206">
        <f>ELEC!G19</f>
        <v>2209</v>
      </c>
      <c r="J18" s="206">
        <f>WATER!Y22</f>
        <v>28</v>
      </c>
      <c r="K18" s="206">
        <f>WATER!AJ22</f>
        <v>44</v>
      </c>
      <c r="L18" s="10">
        <f>ELEC!B19</f>
        <v>46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3820</v>
      </c>
      <c r="F19" s="206">
        <f>ELEC!K20</f>
        <v>7528</v>
      </c>
      <c r="G19" s="206">
        <f>ELEC!I20</f>
        <v>2536</v>
      </c>
      <c r="H19" s="206">
        <f>ELEC!E20</f>
        <v>4944</v>
      </c>
      <c r="I19" s="206">
        <f>ELEC!G20</f>
        <v>2191</v>
      </c>
      <c r="J19" s="206">
        <f>WATER!Y23</f>
        <v>118</v>
      </c>
      <c r="K19" s="206">
        <f>WATER!AJ23</f>
        <v>2</v>
      </c>
      <c r="L19" s="10">
        <f>ELEC!B20</f>
        <v>52.003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3838</v>
      </c>
      <c r="F20" s="206">
        <f>ELEC!K21</f>
        <v>7644</v>
      </c>
      <c r="G20" s="206">
        <f>ELEC!I21</f>
        <v>2494</v>
      </c>
      <c r="H20" s="206">
        <f>ELEC!E21</f>
        <v>4244</v>
      </c>
      <c r="I20" s="206">
        <f>ELEC!G21</f>
        <v>2207</v>
      </c>
      <c r="J20" s="206">
        <f>WATER!Y24</f>
        <v>2</v>
      </c>
      <c r="K20" s="206">
        <f>WATER!AJ24</f>
        <v>49</v>
      </c>
      <c r="L20" s="10">
        <f>ELEC!B21</f>
        <v>43.999000000000002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4832</v>
      </c>
      <c r="F21" s="206">
        <f>ELEC!K22</f>
        <v>6280</v>
      </c>
      <c r="G21" s="206">
        <f>ELEC!I22</f>
        <v>2354</v>
      </c>
      <c r="H21" s="206">
        <f>ELEC!E22</f>
        <v>4052</v>
      </c>
      <c r="I21" s="206">
        <f>ELEC!G22</f>
        <v>2026</v>
      </c>
      <c r="J21" s="206">
        <f>WATER!Y25</f>
        <v>171</v>
      </c>
      <c r="K21" s="206">
        <f>WATER!AJ25</f>
        <v>42</v>
      </c>
      <c r="L21" s="10">
        <f>ELEC!B22</f>
        <v>39.997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6924</v>
      </c>
      <c r="F22" s="206">
        <f>ELEC!K23</f>
        <v>2936</v>
      </c>
      <c r="G22" s="206">
        <f>ELEC!I23</f>
        <v>2544</v>
      </c>
      <c r="H22" s="206">
        <f>ELEC!E23</f>
        <v>7896</v>
      </c>
      <c r="I22" s="206">
        <f>ELEC!G23</f>
        <v>2137</v>
      </c>
      <c r="J22" s="206">
        <f>WATER!Y26</f>
        <v>2</v>
      </c>
      <c r="K22" s="206">
        <f>WATER!AJ26</f>
        <v>1</v>
      </c>
      <c r="L22" s="10">
        <f>ELEC!B23</f>
        <v>37.006999999999998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4410</v>
      </c>
      <c r="F23" s="206">
        <f>ELEC!K24</f>
        <v>6960</v>
      </c>
      <c r="G23" s="206">
        <f>ELEC!I24</f>
        <v>2504</v>
      </c>
      <c r="H23" s="206">
        <f>ELEC!E24</f>
        <v>5416</v>
      </c>
      <c r="I23" s="206">
        <f>ELEC!G24</f>
        <v>2251</v>
      </c>
      <c r="J23" s="206">
        <f>WATER!Y27</f>
        <v>26</v>
      </c>
      <c r="K23" s="206">
        <f>WATER!AJ27</f>
        <v>52</v>
      </c>
      <c r="L23" s="10">
        <f>ELEC!B24</f>
        <v>37.306000000000004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6656</v>
      </c>
      <c r="F24" s="206">
        <f>ELEC!K25</f>
        <v>2448</v>
      </c>
      <c r="G24" s="206">
        <f>ELEC!I25</f>
        <v>2564</v>
      </c>
      <c r="H24" s="206">
        <f>ELEC!E25</f>
        <v>8788</v>
      </c>
      <c r="I24" s="206">
        <f>ELEC!G25</f>
        <v>2340</v>
      </c>
      <c r="J24" s="206">
        <f>WATER!Y28</f>
        <v>52</v>
      </c>
      <c r="K24" s="206">
        <f>WATER!AJ28</f>
        <v>28</v>
      </c>
      <c r="L24" s="10">
        <f>ELEC!B25</f>
        <v>52.991999999999997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6576</v>
      </c>
      <c r="F25" s="206">
        <f>ELEC!K26</f>
        <v>6056</v>
      </c>
      <c r="G25" s="206">
        <f>ELEC!I26</f>
        <v>2472</v>
      </c>
      <c r="H25" s="206">
        <f>ELEC!E26</f>
        <v>4756</v>
      </c>
      <c r="I25" s="206">
        <f>ELEC!G26</f>
        <v>2276</v>
      </c>
      <c r="J25" s="206">
        <f>WATER!Y29</f>
        <v>67</v>
      </c>
      <c r="K25" s="206">
        <f>WATER!AJ29</f>
        <v>52</v>
      </c>
      <c r="L25" s="10">
        <f>ELEC!B26</f>
        <v>58.88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9048</v>
      </c>
      <c r="F26" s="206">
        <f>ELEC!K27</f>
        <v>2736</v>
      </c>
      <c r="G26" s="206">
        <f>ELEC!I27</f>
        <v>2742</v>
      </c>
      <c r="H26" s="206">
        <f>ELEC!E27</f>
        <v>6198</v>
      </c>
      <c r="I26" s="206">
        <f>ELEC!G27</f>
        <v>2627</v>
      </c>
      <c r="J26" s="206">
        <f>WATER!Y30</f>
        <v>0</v>
      </c>
      <c r="K26" s="206">
        <f>WATER!AJ30</f>
        <v>9</v>
      </c>
      <c r="L26" s="10">
        <f>ELEC!B27</f>
        <v>61.870000000000005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702</v>
      </c>
      <c r="L32" s="10">
        <f>ELEC!B33</f>
        <v>32.529359999999997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R1" zoomScale="85" zoomScaleNormal="85" zoomScaleSheetLayoutView="100" workbookViewId="0">
      <pane ySplit="1" topLeftCell="A13" activePane="bottomLeft" state="frozen"/>
      <selection activeCell="C1" sqref="C1"/>
      <selection pane="bottomLeft" activeCell="AH28" sqref="AH28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1">
        <f>[1]ELEC!A32</f>
        <v>4.7800000000000002E-2</v>
      </c>
      <c r="B2" s="547">
        <f>[1]ELEC!B32</f>
        <v>10.994</v>
      </c>
      <c r="C2" s="471">
        <v>44012</v>
      </c>
      <c r="D2" s="552">
        <f>[1]ELEC!D32</f>
        <v>31865522</v>
      </c>
      <c r="E2" s="552">
        <f>[1]ELEC!E32</f>
        <v>4902</v>
      </c>
      <c r="F2" s="552">
        <f>[1]ELEC!F32</f>
        <v>3741866</v>
      </c>
      <c r="G2" s="552">
        <f>[1]ELEC!G32</f>
        <v>1782</v>
      </c>
      <c r="H2" s="552">
        <f>[1]ELEC!H32</f>
        <v>17521942</v>
      </c>
      <c r="I2" s="552">
        <f>[1]ELEC!I32</f>
        <v>1668</v>
      </c>
      <c r="J2" s="552">
        <f>[1]ELEC!J32</f>
        <v>28525590</v>
      </c>
      <c r="K2" s="552">
        <f>[1]ELEC!K32</f>
        <v>2504</v>
      </c>
      <c r="L2" s="552">
        <f>[1]ELEC!L32</f>
        <v>23233636</v>
      </c>
      <c r="M2" s="552">
        <f>[1]ELEC!M32</f>
        <v>5614</v>
      </c>
      <c r="N2" s="552">
        <f>[1]ELEC!N32</f>
        <v>16470</v>
      </c>
      <c r="O2" s="552">
        <f>[1]ELEC!O32</f>
        <v>1498.0898672002911</v>
      </c>
      <c r="P2" s="552">
        <f>[1]ELEC!P32</f>
        <v>15675</v>
      </c>
      <c r="Q2" s="552">
        <f>[1]ELEC!Q32</f>
        <v>12000</v>
      </c>
      <c r="R2" s="552">
        <f>[1]ELEC!R32</f>
        <v>4470</v>
      </c>
      <c r="S2" s="552">
        <f>[1]ELEC!S32</f>
        <v>8883</v>
      </c>
      <c r="T2" s="552">
        <f>[1]ELEC!T32</f>
        <v>12</v>
      </c>
      <c r="U2" s="552">
        <f>[1]ELEC!U32</f>
        <v>137518</v>
      </c>
      <c r="V2" s="552">
        <f>[1]ELEC!V32</f>
        <v>2919</v>
      </c>
      <c r="W2" s="552">
        <f>[1]ELEC!W32</f>
        <v>31853</v>
      </c>
      <c r="X2" s="552">
        <f>[1]ELEC!X32</f>
        <v>0</v>
      </c>
      <c r="Y2" s="552">
        <f>[1]ELEC!Y32</f>
        <v>625865</v>
      </c>
      <c r="Z2" s="552">
        <f>[1]ELEC!Z32</f>
        <v>0</v>
      </c>
      <c r="AA2" s="552">
        <f>[1]ELEC!AA32</f>
        <v>35228</v>
      </c>
      <c r="AB2" s="552">
        <f>[1]ELEC!AB32</f>
        <v>7</v>
      </c>
      <c r="AC2" s="552">
        <f>[1]ELEC!AC32</f>
        <v>814514</v>
      </c>
      <c r="AD2" s="552">
        <f>[1]ELEC!AD32</f>
        <v>1414</v>
      </c>
      <c r="AE2" s="552">
        <f>[1]ELEC!AE32</f>
        <v>19</v>
      </c>
      <c r="AF2" s="552">
        <f>[1]ELEC!AF32</f>
        <v>4333</v>
      </c>
      <c r="AG2" s="552">
        <f>[1]ELEC!AG32</f>
        <v>228.05263157894737</v>
      </c>
      <c r="AH2" s="552">
        <f>[1]ELEC!AH32</f>
        <v>0</v>
      </c>
      <c r="AI2" s="552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0.1087</v>
      </c>
      <c r="B11" s="464">
        <f>SUM(230*A11)</f>
        <v>25.001000000000001</v>
      </c>
      <c r="C11" s="471">
        <v>44021</v>
      </c>
      <c r="D11" s="458">
        <v>31909136</v>
      </c>
      <c r="E11" s="319">
        <f t="shared" si="12"/>
        <v>4328</v>
      </c>
      <c r="F11" s="458">
        <v>3759502</v>
      </c>
      <c r="G11" s="320">
        <f t="shared" si="0"/>
        <v>1765</v>
      </c>
      <c r="H11" s="458">
        <v>17540322</v>
      </c>
      <c r="I11" s="320">
        <f t="shared" si="13"/>
        <v>2000</v>
      </c>
      <c r="J11" s="458">
        <v>28549842</v>
      </c>
      <c r="K11" s="320">
        <f t="shared" si="14"/>
        <v>2358</v>
      </c>
      <c r="L11" s="458">
        <v>23306740</v>
      </c>
      <c r="M11" s="320">
        <f t="shared" si="15"/>
        <v>7658</v>
      </c>
      <c r="N11" s="318">
        <f>M11+K11+I11+G11+E11</f>
        <v>18109</v>
      </c>
      <c r="O11" s="480">
        <f t="shared" si="29"/>
        <v>724.33102675892962</v>
      </c>
      <c r="P11" s="458">
        <v>15815</v>
      </c>
      <c r="Q11" s="462">
        <f t="shared" si="2"/>
        <v>20000</v>
      </c>
      <c r="R11" s="462">
        <f t="shared" si="21"/>
        <v>-1891</v>
      </c>
      <c r="S11" s="458">
        <v>9046</v>
      </c>
      <c r="T11" s="482">
        <f t="shared" si="3"/>
        <v>21</v>
      </c>
      <c r="U11" s="458">
        <v>175732</v>
      </c>
      <c r="V11" s="462">
        <f t="shared" si="17"/>
        <v>4569</v>
      </c>
      <c r="W11" s="458">
        <v>31853</v>
      </c>
      <c r="X11" s="462">
        <f t="shared" si="27"/>
        <v>0</v>
      </c>
      <c r="Y11" s="458">
        <f t="shared" ref="Y11" si="31">Y10</f>
        <v>625865</v>
      </c>
      <c r="Z11" s="462">
        <f t="shared" si="23"/>
        <v>0</v>
      </c>
      <c r="AA11" s="458">
        <v>35254</v>
      </c>
      <c r="AB11" s="462">
        <f t="shared" si="19"/>
        <v>1</v>
      </c>
      <c r="AC11" s="458">
        <v>820817</v>
      </c>
      <c r="AD11" s="462">
        <f t="shared" si="20"/>
        <v>358</v>
      </c>
      <c r="AE11" s="485">
        <f t="shared" si="10"/>
        <v>22</v>
      </c>
      <c r="AF11" s="486">
        <f t="shared" si="11"/>
        <v>4927</v>
      </c>
      <c r="AG11" s="478">
        <f t="shared" si="30"/>
        <v>223.95454545454547</v>
      </c>
      <c r="AI11" s="479">
        <f>R11-'EDl log'!B9</f>
        <v>-127584</v>
      </c>
    </row>
    <row r="12" spans="1:115">
      <c r="A12" s="470">
        <f>'General information '!F15</f>
        <v>0.113</v>
      </c>
      <c r="B12" s="464">
        <f t="shared" si="6"/>
        <v>25.990000000000002</v>
      </c>
      <c r="C12" s="471">
        <v>44022</v>
      </c>
      <c r="D12" s="458">
        <v>31918636</v>
      </c>
      <c r="E12" s="319">
        <f t="shared" si="12"/>
        <v>9500</v>
      </c>
      <c r="F12" s="458">
        <v>3761429</v>
      </c>
      <c r="G12" s="320">
        <f t="shared" si="0"/>
        <v>1927</v>
      </c>
      <c r="H12" s="458">
        <v>17542698</v>
      </c>
      <c r="I12" s="320">
        <f t="shared" si="13"/>
        <v>2376</v>
      </c>
      <c r="J12" s="458">
        <v>28552374</v>
      </c>
      <c r="K12" s="320">
        <f t="shared" si="14"/>
        <v>2532</v>
      </c>
      <c r="L12" s="458">
        <v>23310458</v>
      </c>
      <c r="M12" s="320">
        <f t="shared" si="15"/>
        <v>3718</v>
      </c>
      <c r="N12" s="318">
        <f>M12+K12+I12+G12+E12</f>
        <v>20053</v>
      </c>
      <c r="O12" s="480">
        <f t="shared" si="29"/>
        <v>771.56598691804538</v>
      </c>
      <c r="P12" s="458">
        <v>15832</v>
      </c>
      <c r="Q12" s="462">
        <f t="shared" si="2"/>
        <v>17000</v>
      </c>
      <c r="R12" s="462">
        <f t="shared" si="21"/>
        <v>3053</v>
      </c>
      <c r="S12" s="458">
        <v>9046</v>
      </c>
      <c r="T12" s="482">
        <f t="shared" si="3"/>
        <v>0</v>
      </c>
      <c r="U12" s="458">
        <f>U11</f>
        <v>175732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" si="32">Y11</f>
        <v>625865</v>
      </c>
      <c r="Z12" s="462">
        <f t="shared" si="23"/>
        <v>0</v>
      </c>
      <c r="AA12" s="458">
        <v>35277</v>
      </c>
      <c r="AB12" s="462">
        <f t="shared" si="19"/>
        <v>23</v>
      </c>
      <c r="AC12" s="458">
        <v>825666</v>
      </c>
      <c r="AD12" s="462">
        <f t="shared" si="20"/>
        <v>4849</v>
      </c>
      <c r="AE12" s="485">
        <f t="shared" si="10"/>
        <v>23</v>
      </c>
      <c r="AF12" s="486">
        <f t="shared" si="11"/>
        <v>4849</v>
      </c>
      <c r="AG12" s="478">
        <f t="shared" si="30"/>
        <v>210.82608695652175</v>
      </c>
      <c r="AI12" s="479">
        <f>R12-'EDl log'!B10</f>
        <v>-122641</v>
      </c>
    </row>
    <row r="13" spans="1:115">
      <c r="A13" s="470">
        <f>'General information '!F16</f>
        <v>0.16500000000000001</v>
      </c>
      <c r="B13" s="464">
        <f t="shared" si="6"/>
        <v>37.950000000000003</v>
      </c>
      <c r="C13" s="471">
        <v>44023</v>
      </c>
      <c r="D13" s="458">
        <v>31925506</v>
      </c>
      <c r="E13" s="319">
        <f t="shared" si="12"/>
        <v>6870</v>
      </c>
      <c r="F13" s="458">
        <v>3763366</v>
      </c>
      <c r="G13" s="320">
        <f t="shared" si="0"/>
        <v>1937</v>
      </c>
      <c r="H13" s="458">
        <v>17545070</v>
      </c>
      <c r="I13" s="320">
        <f t="shared" si="13"/>
        <v>2372</v>
      </c>
      <c r="J13" s="458">
        <v>28555410</v>
      </c>
      <c r="K13" s="320">
        <f t="shared" si="14"/>
        <v>3036</v>
      </c>
      <c r="L13" s="458">
        <v>23317316</v>
      </c>
      <c r="M13" s="320">
        <f t="shared" si="15"/>
        <v>6858</v>
      </c>
      <c r="N13" s="318">
        <f t="shared" si="16"/>
        <v>21073</v>
      </c>
      <c r="O13" s="480">
        <f t="shared" si="29"/>
        <v>555.2832674571805</v>
      </c>
      <c r="P13" s="458">
        <v>15850</v>
      </c>
      <c r="Q13" s="462">
        <f t="shared" ref="Q13:Q31" si="33">(P13-P12)*1000</f>
        <v>18000</v>
      </c>
      <c r="R13" s="462">
        <f t="shared" si="21"/>
        <v>3073</v>
      </c>
      <c r="S13" s="458">
        <v>9058</v>
      </c>
      <c r="T13" s="482">
        <f t="shared" si="3"/>
        <v>12</v>
      </c>
      <c r="U13" s="458">
        <v>178830</v>
      </c>
      <c r="V13" s="462">
        <f t="shared" si="17"/>
        <v>3098</v>
      </c>
      <c r="W13" s="458">
        <v>31853</v>
      </c>
      <c r="X13" s="462">
        <f t="shared" si="27"/>
        <v>0</v>
      </c>
      <c r="Y13" s="458">
        <f t="shared" ref="Y13" si="34">Y12</f>
        <v>625865</v>
      </c>
      <c r="Z13" s="462">
        <f t="shared" si="23"/>
        <v>0</v>
      </c>
      <c r="AA13" s="458">
        <v>35288</v>
      </c>
      <c r="AB13" s="462">
        <f t="shared" si="19"/>
        <v>11</v>
      </c>
      <c r="AC13" s="458">
        <v>827959</v>
      </c>
      <c r="AD13" s="462">
        <f t="shared" si="20"/>
        <v>2293</v>
      </c>
      <c r="AE13" s="485">
        <f t="shared" si="10"/>
        <v>23</v>
      </c>
      <c r="AF13" s="486">
        <f t="shared" si="11"/>
        <v>5391</v>
      </c>
      <c r="AG13" s="478">
        <f t="shared" si="30"/>
        <v>234.39130434782609</v>
      </c>
      <c r="AI13" s="479">
        <f>R13-'EDl log'!B11</f>
        <v>-122622</v>
      </c>
    </row>
    <row r="14" spans="1:115">
      <c r="A14" s="470">
        <f>'General information '!F17</f>
        <v>0.1</v>
      </c>
      <c r="B14" s="464">
        <f t="shared" si="6"/>
        <v>23</v>
      </c>
      <c r="C14" s="471">
        <v>44024</v>
      </c>
      <c r="D14" s="458">
        <v>31929606</v>
      </c>
      <c r="E14" s="319">
        <f t="shared" si="12"/>
        <v>4100</v>
      </c>
      <c r="F14" s="458">
        <v>3765356</v>
      </c>
      <c r="G14" s="320">
        <f t="shared" si="0"/>
        <v>1990</v>
      </c>
      <c r="H14" s="458">
        <v>17547420</v>
      </c>
      <c r="I14" s="320">
        <f t="shared" si="13"/>
        <v>2350</v>
      </c>
      <c r="J14" s="458">
        <v>28558246</v>
      </c>
      <c r="K14" s="320">
        <f t="shared" si="14"/>
        <v>2836</v>
      </c>
      <c r="L14" s="458">
        <v>23326124</v>
      </c>
      <c r="M14" s="320">
        <f t="shared" si="15"/>
        <v>8808</v>
      </c>
      <c r="N14" s="318">
        <f t="shared" si="16"/>
        <v>20084</v>
      </c>
      <c r="O14" s="480">
        <f t="shared" si="29"/>
        <v>873.21739130434787</v>
      </c>
      <c r="P14" s="458">
        <v>15869</v>
      </c>
      <c r="Q14" s="462">
        <f t="shared" si="33"/>
        <v>19000</v>
      </c>
      <c r="R14" s="462">
        <f t="shared" si="21"/>
        <v>1084</v>
      </c>
      <c r="S14" s="458">
        <v>9081</v>
      </c>
      <c r="T14" s="482">
        <f t="shared" si="3"/>
        <v>23</v>
      </c>
      <c r="U14" s="458">
        <v>183861</v>
      </c>
      <c r="V14" s="462">
        <f t="shared" si="17"/>
        <v>5031</v>
      </c>
      <c r="W14" s="458">
        <v>31853</v>
      </c>
      <c r="X14" s="462">
        <f t="shared" si="27"/>
        <v>0</v>
      </c>
      <c r="Y14" s="458">
        <f t="shared" ref="Y14" si="35">Y13</f>
        <v>625865</v>
      </c>
      <c r="Z14" s="462">
        <f t="shared" si="23"/>
        <v>0</v>
      </c>
      <c r="AA14" s="458">
        <v>35288</v>
      </c>
      <c r="AB14" s="462">
        <f t="shared" si="19"/>
        <v>0</v>
      </c>
      <c r="AC14" s="458">
        <v>827989</v>
      </c>
      <c r="AD14" s="462">
        <f t="shared" si="20"/>
        <v>30</v>
      </c>
      <c r="AE14" s="485">
        <f t="shared" si="10"/>
        <v>23</v>
      </c>
      <c r="AF14" s="486">
        <f t="shared" si="11"/>
        <v>5061</v>
      </c>
      <c r="AG14" s="478">
        <f t="shared" si="30"/>
        <v>220.04347826086956</v>
      </c>
      <c r="AI14" s="479">
        <f>R14-'EDl log'!B12</f>
        <v>-132180</v>
      </c>
    </row>
    <row r="15" spans="1:115">
      <c r="A15" s="470">
        <f>'General information '!F18</f>
        <v>0.1217</v>
      </c>
      <c r="B15" s="464">
        <f t="shared" si="6"/>
        <v>27.991</v>
      </c>
      <c r="C15" s="471">
        <v>44025</v>
      </c>
      <c r="D15" s="458">
        <v>31934490</v>
      </c>
      <c r="E15" s="319">
        <f t="shared" si="12"/>
        <v>4884</v>
      </c>
      <c r="F15" s="458">
        <v>3767592</v>
      </c>
      <c r="G15" s="320">
        <f t="shared" si="0"/>
        <v>2236</v>
      </c>
      <c r="H15" s="458">
        <v>17549838</v>
      </c>
      <c r="I15" s="320">
        <f t="shared" si="13"/>
        <v>2418</v>
      </c>
      <c r="J15" s="458">
        <v>28560296</v>
      </c>
      <c r="K15" s="320">
        <f t="shared" si="14"/>
        <v>2050</v>
      </c>
      <c r="L15" s="458">
        <v>23334400</v>
      </c>
      <c r="M15" s="320">
        <f t="shared" si="15"/>
        <v>8276</v>
      </c>
      <c r="N15" s="318">
        <f t="shared" si="16"/>
        <v>19864</v>
      </c>
      <c r="O15" s="480">
        <f t="shared" si="29"/>
        <v>709.65667535993714</v>
      </c>
      <c r="P15" s="458">
        <v>15883</v>
      </c>
      <c r="Q15" s="462">
        <f>(P15-P14)*1000</f>
        <v>14000</v>
      </c>
      <c r="R15" s="462">
        <f t="shared" si="21"/>
        <v>5864</v>
      </c>
      <c r="S15" s="458">
        <v>9101</v>
      </c>
      <c r="T15" s="482">
        <f t="shared" si="3"/>
        <v>20</v>
      </c>
      <c r="U15" s="458">
        <v>188212</v>
      </c>
      <c r="V15" s="462">
        <f t="shared" si="17"/>
        <v>4351</v>
      </c>
      <c r="W15" s="458">
        <v>31853</v>
      </c>
      <c r="X15" s="462">
        <f t="shared" si="27"/>
        <v>0</v>
      </c>
      <c r="Y15" s="458">
        <v>625865</v>
      </c>
      <c r="Z15" s="462">
        <f t="shared" si="23"/>
        <v>0</v>
      </c>
      <c r="AA15" s="458">
        <v>35290</v>
      </c>
      <c r="AB15" s="462">
        <f t="shared" si="19"/>
        <v>2</v>
      </c>
      <c r="AC15" s="458">
        <v>828442</v>
      </c>
      <c r="AD15" s="462">
        <f t="shared" si="20"/>
        <v>453</v>
      </c>
      <c r="AE15" s="485">
        <f t="shared" si="10"/>
        <v>22</v>
      </c>
      <c r="AF15" s="486">
        <f t="shared" si="11"/>
        <v>4804</v>
      </c>
      <c r="AG15" s="478">
        <f t="shared" si="30"/>
        <v>218.36363636363637</v>
      </c>
      <c r="AI15" s="479">
        <f>R15-'EDl log'!B13</f>
        <v>-127800</v>
      </c>
    </row>
    <row r="16" spans="1:115">
      <c r="A16" s="470">
        <f>'General information '!F19</f>
        <v>0.12709999999999999</v>
      </c>
      <c r="B16" s="464">
        <f t="shared" si="6"/>
        <v>29.232999999999997</v>
      </c>
      <c r="C16" s="471">
        <v>44026</v>
      </c>
      <c r="D16" s="458">
        <v>31944038</v>
      </c>
      <c r="E16" s="319">
        <f t="shared" si="12"/>
        <v>9548</v>
      </c>
      <c r="F16" s="458">
        <v>3769558</v>
      </c>
      <c r="G16" s="320">
        <f t="shared" si="0"/>
        <v>1966</v>
      </c>
      <c r="H16" s="458">
        <v>17552096</v>
      </c>
      <c r="I16" s="320">
        <f t="shared" si="13"/>
        <v>2258</v>
      </c>
      <c r="J16" s="458">
        <v>28562678</v>
      </c>
      <c r="K16" s="320">
        <f t="shared" si="14"/>
        <v>2382</v>
      </c>
      <c r="L16" s="458">
        <v>23337998</v>
      </c>
      <c r="M16" s="320">
        <f t="shared" si="15"/>
        <v>3598</v>
      </c>
      <c r="N16" s="318">
        <f t="shared" si="16"/>
        <v>19752</v>
      </c>
      <c r="O16" s="480">
        <f t="shared" si="29"/>
        <v>675.6747511374133</v>
      </c>
      <c r="P16" s="458">
        <v>15901</v>
      </c>
      <c r="Q16" s="462">
        <f>(P16-P15)*1000</f>
        <v>18000</v>
      </c>
      <c r="R16" s="462">
        <f t="shared" si="21"/>
        <v>1752</v>
      </c>
      <c r="S16" s="458">
        <v>9101</v>
      </c>
      <c r="T16" s="482">
        <f t="shared" si="3"/>
        <v>0</v>
      </c>
      <c r="U16" s="458">
        <v>188213</v>
      </c>
      <c r="V16" s="462">
        <f t="shared" si="17"/>
        <v>1</v>
      </c>
      <c r="W16" s="458">
        <f t="shared" si="7"/>
        <v>31853</v>
      </c>
      <c r="X16" s="462">
        <f>W16-W15</f>
        <v>0</v>
      </c>
      <c r="Y16" s="458">
        <v>625865</v>
      </c>
      <c r="Z16" s="462">
        <f>Y16-Y15</f>
        <v>0</v>
      </c>
      <c r="AA16" s="458">
        <v>35314</v>
      </c>
      <c r="AB16" s="462">
        <f>AA16-AA15</f>
        <v>24</v>
      </c>
      <c r="AC16" s="458">
        <v>833458</v>
      </c>
      <c r="AD16" s="462">
        <f t="shared" si="20"/>
        <v>5016</v>
      </c>
      <c r="AE16" s="485">
        <f t="shared" si="10"/>
        <v>24</v>
      </c>
      <c r="AF16" s="486">
        <f t="shared" si="11"/>
        <v>5017</v>
      </c>
      <c r="AG16" s="478">
        <f t="shared" si="30"/>
        <v>209.04166666666666</v>
      </c>
      <c r="AI16" s="479">
        <f>R16-'EDl log'!B14</f>
        <v>-134253</v>
      </c>
    </row>
    <row r="17" spans="1:35">
      <c r="A17" s="470">
        <f>'General information '!F20</f>
        <v>0.1348</v>
      </c>
      <c r="B17" s="464">
        <f t="shared" si="6"/>
        <v>31.004000000000001</v>
      </c>
      <c r="C17" s="471">
        <v>44027</v>
      </c>
      <c r="D17" s="458">
        <v>31949588</v>
      </c>
      <c r="E17" s="319">
        <f t="shared" si="12"/>
        <v>5550</v>
      </c>
      <c r="F17" s="458">
        <v>3771812</v>
      </c>
      <c r="G17" s="320">
        <f t="shared" si="0"/>
        <v>2254</v>
      </c>
      <c r="H17" s="458">
        <v>17554498</v>
      </c>
      <c r="I17" s="320">
        <f t="shared" si="13"/>
        <v>2402</v>
      </c>
      <c r="J17" s="458">
        <v>28565690</v>
      </c>
      <c r="K17" s="320">
        <f t="shared" si="14"/>
        <v>3012</v>
      </c>
      <c r="L17" s="458">
        <v>23347120</v>
      </c>
      <c r="M17" s="320">
        <f t="shared" si="15"/>
        <v>9122</v>
      </c>
      <c r="N17" s="318">
        <f t="shared" si="16"/>
        <v>22340</v>
      </c>
      <c r="O17" s="480">
        <f t="shared" si="29"/>
        <v>720.55218681460451</v>
      </c>
      <c r="P17" s="458">
        <v>15918</v>
      </c>
      <c r="Q17" s="462">
        <f t="shared" si="33"/>
        <v>17000</v>
      </c>
      <c r="R17" s="462">
        <f t="shared" si="21"/>
        <v>5340</v>
      </c>
      <c r="S17" s="458">
        <v>9120</v>
      </c>
      <c r="T17" s="482">
        <f t="shared" si="3"/>
        <v>19</v>
      </c>
      <c r="U17" s="458">
        <v>192930</v>
      </c>
      <c r="V17" s="462">
        <f t="shared" si="17"/>
        <v>4717</v>
      </c>
      <c r="W17" s="458">
        <f>W16</f>
        <v>31853</v>
      </c>
      <c r="X17" s="462">
        <f t="shared" si="27"/>
        <v>0</v>
      </c>
      <c r="Y17" s="458">
        <f t="shared" ref="Y17" si="36">Y16</f>
        <v>625865</v>
      </c>
      <c r="Z17" s="462">
        <f t="shared" si="23"/>
        <v>0</v>
      </c>
      <c r="AA17" s="458">
        <v>35316</v>
      </c>
      <c r="AB17" s="462">
        <f t="shared" si="19"/>
        <v>2</v>
      </c>
      <c r="AC17" s="458">
        <v>834137</v>
      </c>
      <c r="AD17" s="462">
        <f t="shared" ref="AD17:AD32" si="37">AC17-AC16</f>
        <v>679</v>
      </c>
      <c r="AE17" s="485">
        <f t="shared" si="10"/>
        <v>21</v>
      </c>
      <c r="AF17" s="486">
        <f t="shared" si="11"/>
        <v>5396</v>
      </c>
      <c r="AG17" s="478">
        <f t="shared" si="30"/>
        <v>256.95238095238096</v>
      </c>
      <c r="AI17" s="479">
        <f>R17-'EDl log'!B15</f>
        <v>-131110</v>
      </c>
    </row>
    <row r="18" spans="1:35">
      <c r="A18" s="470">
        <f>'General information '!F21</f>
        <v>0.2</v>
      </c>
      <c r="B18" s="464">
        <f t="shared" si="6"/>
        <v>46</v>
      </c>
      <c r="C18" s="471">
        <v>44028</v>
      </c>
      <c r="D18" s="458">
        <v>31955118</v>
      </c>
      <c r="E18" s="319">
        <f t="shared" si="12"/>
        <v>5530</v>
      </c>
      <c r="F18" s="458">
        <v>3773880</v>
      </c>
      <c r="G18" s="320">
        <f t="shared" si="0"/>
        <v>2068</v>
      </c>
      <c r="H18" s="458">
        <v>17556730</v>
      </c>
      <c r="I18" s="320">
        <f t="shared" si="13"/>
        <v>2232</v>
      </c>
      <c r="J18" s="458">
        <v>28570926</v>
      </c>
      <c r="K18" s="320">
        <f t="shared" si="14"/>
        <v>5236</v>
      </c>
      <c r="L18" s="458">
        <v>23352798</v>
      </c>
      <c r="M18" s="320">
        <f t="shared" si="15"/>
        <v>5678</v>
      </c>
      <c r="N18" s="318">
        <f t="shared" si="16"/>
        <v>20744</v>
      </c>
      <c r="O18" s="480">
        <f t="shared" si="29"/>
        <v>450.95652173913044</v>
      </c>
      <c r="P18" s="458">
        <v>15937</v>
      </c>
      <c r="Q18" s="462">
        <f t="shared" si="33"/>
        <v>19000</v>
      </c>
      <c r="R18" s="462">
        <f t="shared" si="21"/>
        <v>1744</v>
      </c>
      <c r="S18" s="458">
        <v>9130</v>
      </c>
      <c r="T18" s="482">
        <f t="shared" si="3"/>
        <v>10</v>
      </c>
      <c r="U18" s="458">
        <v>195258</v>
      </c>
      <c r="V18" s="462">
        <f t="shared" si="17"/>
        <v>2328</v>
      </c>
      <c r="W18" s="458">
        <v>31862</v>
      </c>
      <c r="X18" s="462">
        <f t="shared" si="27"/>
        <v>9</v>
      </c>
      <c r="Y18" s="458">
        <v>628067</v>
      </c>
      <c r="Z18" s="462">
        <f t="shared" si="23"/>
        <v>2202</v>
      </c>
      <c r="AA18" s="458">
        <v>35320</v>
      </c>
      <c r="AB18" s="462">
        <f t="shared" si="19"/>
        <v>4</v>
      </c>
      <c r="AC18" s="458">
        <v>834917</v>
      </c>
      <c r="AD18" s="462">
        <f t="shared" si="37"/>
        <v>780</v>
      </c>
      <c r="AE18" s="485">
        <f t="shared" si="10"/>
        <v>23</v>
      </c>
      <c r="AF18" s="486">
        <f t="shared" si="11"/>
        <v>5310</v>
      </c>
      <c r="AG18" s="478">
        <f t="shared" si="30"/>
        <v>230.86956521739131</v>
      </c>
      <c r="AI18" s="479">
        <f>R18-'EDl log'!B16</f>
        <v>-134707</v>
      </c>
    </row>
    <row r="19" spans="1:35">
      <c r="A19" s="470">
        <f>'General information '!F22</f>
        <v>0.2</v>
      </c>
      <c r="B19" s="464">
        <f t="shared" si="6"/>
        <v>46</v>
      </c>
      <c r="C19" s="471">
        <v>44029</v>
      </c>
      <c r="D19" s="458">
        <v>31959822</v>
      </c>
      <c r="E19" s="319">
        <f t="shared" si="12"/>
        <v>4704</v>
      </c>
      <c r="F19" s="458">
        <v>3776089</v>
      </c>
      <c r="G19" s="320">
        <f t="shared" si="0"/>
        <v>2209</v>
      </c>
      <c r="H19" s="458">
        <v>17559110</v>
      </c>
      <c r="I19" s="320">
        <f t="shared" si="13"/>
        <v>2380</v>
      </c>
      <c r="J19" s="458">
        <v>28578470</v>
      </c>
      <c r="K19" s="320">
        <f t="shared" si="14"/>
        <v>7544</v>
      </c>
      <c r="L19" s="458">
        <v>23356554</v>
      </c>
      <c r="M19" s="320">
        <f t="shared" si="15"/>
        <v>3756</v>
      </c>
      <c r="N19" s="318">
        <f t="shared" si="16"/>
        <v>20593</v>
      </c>
      <c r="O19" s="480">
        <f t="shared" si="29"/>
        <v>447.67391304347825</v>
      </c>
      <c r="P19" s="458">
        <v>15954</v>
      </c>
      <c r="Q19" s="462">
        <f>(P19-P18)*1000</f>
        <v>17000</v>
      </c>
      <c r="R19" s="462">
        <f t="shared" si="21"/>
        <v>3593</v>
      </c>
      <c r="S19" s="458">
        <v>9130</v>
      </c>
      <c r="T19" s="482">
        <f t="shared" si="3"/>
        <v>0</v>
      </c>
      <c r="U19" s="458">
        <v>195258</v>
      </c>
      <c r="V19" s="462">
        <f t="shared" si="17"/>
        <v>0</v>
      </c>
      <c r="W19" s="458">
        <v>31885</v>
      </c>
      <c r="X19" s="462">
        <f t="shared" si="27"/>
        <v>23</v>
      </c>
      <c r="Y19" s="458">
        <v>632170</v>
      </c>
      <c r="Z19" s="462">
        <f t="shared" si="23"/>
        <v>4103</v>
      </c>
      <c r="AA19" s="458">
        <v>35320</v>
      </c>
      <c r="AB19" s="462">
        <f t="shared" si="19"/>
        <v>0</v>
      </c>
      <c r="AC19" s="458">
        <v>834917</v>
      </c>
      <c r="AD19" s="462">
        <f t="shared" si="37"/>
        <v>0</v>
      </c>
      <c r="AE19" s="485">
        <f t="shared" si="10"/>
        <v>23</v>
      </c>
      <c r="AF19" s="486">
        <f t="shared" si="11"/>
        <v>4103</v>
      </c>
      <c r="AG19" s="478">
        <f t="shared" si="30"/>
        <v>178.39130434782609</v>
      </c>
      <c r="AI19" s="479">
        <f>R19-'EDl log'!B17</f>
        <v>-136866</v>
      </c>
    </row>
    <row r="20" spans="1:35">
      <c r="A20" s="470">
        <f>'General information '!F23</f>
        <v>0.2261</v>
      </c>
      <c r="B20" s="464">
        <f t="shared" si="6"/>
        <v>52.003</v>
      </c>
      <c r="C20" s="471">
        <v>44030</v>
      </c>
      <c r="D20" s="458">
        <v>31964766</v>
      </c>
      <c r="E20" s="319">
        <f t="shared" si="12"/>
        <v>4944</v>
      </c>
      <c r="F20" s="458">
        <v>3778280</v>
      </c>
      <c r="G20" s="320">
        <f t="shared" si="0"/>
        <v>2191</v>
      </c>
      <c r="H20" s="458">
        <v>17561646</v>
      </c>
      <c r="I20" s="320">
        <f t="shared" si="13"/>
        <v>2536</v>
      </c>
      <c r="J20" s="458">
        <v>28585998</v>
      </c>
      <c r="K20" s="320">
        <f t="shared" si="14"/>
        <v>7528</v>
      </c>
      <c r="L20" s="458">
        <v>23360374</v>
      </c>
      <c r="M20" s="320">
        <f t="shared" si="15"/>
        <v>3820</v>
      </c>
      <c r="N20" s="318">
        <f t="shared" si="16"/>
        <v>21019</v>
      </c>
      <c r="O20" s="480">
        <f t="shared" si="29"/>
        <v>404.18821991038976</v>
      </c>
      <c r="P20" s="458">
        <v>15972</v>
      </c>
      <c r="Q20" s="462">
        <f t="shared" si="33"/>
        <v>18000</v>
      </c>
      <c r="R20" s="462">
        <f t="shared" si="21"/>
        <v>3019</v>
      </c>
      <c r="S20" s="458">
        <f t="shared" ref="S20:S33" si="38">S19</f>
        <v>9130</v>
      </c>
      <c r="T20" s="482">
        <f t="shared" si="3"/>
        <v>0</v>
      </c>
      <c r="U20" s="458">
        <f t="shared" ref="U20:U33" si="39">U19</f>
        <v>195258</v>
      </c>
      <c r="V20" s="462">
        <f t="shared" si="17"/>
        <v>0</v>
      </c>
      <c r="W20" s="458">
        <v>31907</v>
      </c>
      <c r="X20" s="462">
        <f t="shared" si="27"/>
        <v>22</v>
      </c>
      <c r="Y20" s="458">
        <v>638187</v>
      </c>
      <c r="Z20" s="462">
        <f t="shared" si="23"/>
        <v>6017</v>
      </c>
      <c r="AA20" s="458">
        <f t="shared" ref="AA20" si="40">AA19</f>
        <v>35320</v>
      </c>
      <c r="AB20" s="462">
        <f t="shared" si="19"/>
        <v>0</v>
      </c>
      <c r="AC20" s="458">
        <f t="shared" ref="AC20" si="41">AC19</f>
        <v>834917</v>
      </c>
      <c r="AD20" s="462">
        <f t="shared" si="37"/>
        <v>0</v>
      </c>
      <c r="AE20" s="485">
        <f t="shared" si="10"/>
        <v>22</v>
      </c>
      <c r="AF20" s="486">
        <f t="shared" si="11"/>
        <v>6017</v>
      </c>
      <c r="AG20" s="478">
        <f t="shared" si="30"/>
        <v>273.5</v>
      </c>
      <c r="AI20" s="479">
        <f>R20-'EDl log'!B18</f>
        <v>-140124</v>
      </c>
    </row>
    <row r="21" spans="1:35">
      <c r="A21" s="470">
        <f>'General information '!F24</f>
        <v>0.1913</v>
      </c>
      <c r="B21" s="464">
        <f t="shared" si="6"/>
        <v>43.999000000000002</v>
      </c>
      <c r="C21" s="471">
        <v>44031</v>
      </c>
      <c r="D21" s="458">
        <v>31969010</v>
      </c>
      <c r="E21" s="319">
        <f t="shared" si="12"/>
        <v>4244</v>
      </c>
      <c r="F21" s="458">
        <v>3780487</v>
      </c>
      <c r="G21" s="320">
        <f t="shared" si="0"/>
        <v>2207</v>
      </c>
      <c r="H21" s="458">
        <v>17564140</v>
      </c>
      <c r="I21" s="320">
        <f t="shared" si="13"/>
        <v>2494</v>
      </c>
      <c r="J21" s="458">
        <v>28593642</v>
      </c>
      <c r="K21" s="320">
        <f t="shared" si="14"/>
        <v>7644</v>
      </c>
      <c r="L21" s="458">
        <v>23364212</v>
      </c>
      <c r="M21" s="320">
        <f t="shared" si="15"/>
        <v>3838</v>
      </c>
      <c r="N21" s="318">
        <f t="shared" si="16"/>
        <v>20427</v>
      </c>
      <c r="O21" s="480">
        <f t="shared" si="29"/>
        <v>464.2605513761676</v>
      </c>
      <c r="P21" s="458">
        <v>15987</v>
      </c>
      <c r="Q21" s="462">
        <f>(P21-P20)*1000</f>
        <v>15000</v>
      </c>
      <c r="R21" s="462">
        <f t="shared" si="21"/>
        <v>5427</v>
      </c>
      <c r="S21" s="458">
        <v>9130</v>
      </c>
      <c r="T21" s="482">
        <f t="shared" si="3"/>
        <v>0</v>
      </c>
      <c r="U21" s="458">
        <v>195258</v>
      </c>
      <c r="V21" s="462">
        <f t="shared" si="17"/>
        <v>0</v>
      </c>
      <c r="W21" s="458">
        <v>31931</v>
      </c>
      <c r="X21" s="462">
        <f t="shared" si="27"/>
        <v>24</v>
      </c>
      <c r="Y21" s="458">
        <v>643391</v>
      </c>
      <c r="Z21" s="462">
        <f t="shared" si="23"/>
        <v>5204</v>
      </c>
      <c r="AA21" s="458">
        <v>35320</v>
      </c>
      <c r="AB21" s="462">
        <f t="shared" si="19"/>
        <v>0</v>
      </c>
      <c r="AC21" s="458">
        <v>834917</v>
      </c>
      <c r="AD21" s="462">
        <f t="shared" si="37"/>
        <v>0</v>
      </c>
      <c r="AE21" s="485">
        <f t="shared" si="10"/>
        <v>24</v>
      </c>
      <c r="AF21" s="486">
        <f t="shared" si="11"/>
        <v>5204</v>
      </c>
      <c r="AG21" s="478">
        <f t="shared" si="30"/>
        <v>216.83333333333334</v>
      </c>
      <c r="AI21" s="479">
        <f>R21-'EDl log'!B19</f>
        <v>-139053</v>
      </c>
    </row>
    <row r="22" spans="1:35">
      <c r="A22" s="470">
        <f>'General information '!F25</f>
        <v>0.1739</v>
      </c>
      <c r="B22" s="464">
        <f t="shared" si="6"/>
        <v>39.997</v>
      </c>
      <c r="C22" s="471">
        <v>44032</v>
      </c>
      <c r="D22" s="458">
        <v>31973062</v>
      </c>
      <c r="E22" s="319">
        <f t="shared" si="12"/>
        <v>4052</v>
      </c>
      <c r="F22" s="458">
        <v>3782513</v>
      </c>
      <c r="G22" s="320">
        <f t="shared" si="0"/>
        <v>2026</v>
      </c>
      <c r="H22" s="458">
        <v>17566494</v>
      </c>
      <c r="I22" s="320">
        <f t="shared" si="13"/>
        <v>2354</v>
      </c>
      <c r="J22" s="458">
        <v>28599922</v>
      </c>
      <c r="K22" s="320">
        <f t="shared" si="14"/>
        <v>6280</v>
      </c>
      <c r="L22" s="458">
        <v>23369044</v>
      </c>
      <c r="M22" s="320">
        <f t="shared" si="15"/>
        <v>4832</v>
      </c>
      <c r="N22" s="318">
        <f t="shared" si="16"/>
        <v>19544</v>
      </c>
      <c r="O22" s="480">
        <f t="shared" si="29"/>
        <v>488.63664774858114</v>
      </c>
      <c r="P22" s="458">
        <v>16004</v>
      </c>
      <c r="Q22" s="462">
        <f t="shared" si="33"/>
        <v>17000</v>
      </c>
      <c r="R22" s="462">
        <f t="shared" si="21"/>
        <v>2544</v>
      </c>
      <c r="S22" s="458">
        <v>9133</v>
      </c>
      <c r="T22" s="482">
        <f t="shared" si="3"/>
        <v>3</v>
      </c>
      <c r="U22" s="458">
        <v>196148</v>
      </c>
      <c r="V22" s="462">
        <f t="shared" si="17"/>
        <v>890</v>
      </c>
      <c r="W22" s="458">
        <v>31948</v>
      </c>
      <c r="X22" s="462">
        <f t="shared" si="27"/>
        <v>17</v>
      </c>
      <c r="Y22" s="458">
        <v>647533</v>
      </c>
      <c r="Z22" s="462">
        <f t="shared" si="23"/>
        <v>4142</v>
      </c>
      <c r="AA22" s="458">
        <v>35320</v>
      </c>
      <c r="AB22" s="462">
        <f t="shared" si="19"/>
        <v>0</v>
      </c>
      <c r="AC22" s="458">
        <v>834917</v>
      </c>
      <c r="AD22" s="462">
        <f t="shared" si="37"/>
        <v>0</v>
      </c>
      <c r="AE22" s="485">
        <f t="shared" si="10"/>
        <v>20</v>
      </c>
      <c r="AF22" s="486">
        <f t="shared" si="11"/>
        <v>5032</v>
      </c>
      <c r="AG22" s="478">
        <f t="shared" si="30"/>
        <v>251.6</v>
      </c>
      <c r="AI22" s="479">
        <f>R22-'EDl log'!B20</f>
        <v>-143811</v>
      </c>
    </row>
    <row r="23" spans="1:35">
      <c r="A23" s="470">
        <f>'General information '!F26</f>
        <v>0.16089999999999999</v>
      </c>
      <c r="B23" s="464">
        <f t="shared" si="6"/>
        <v>37.006999999999998</v>
      </c>
      <c r="C23" s="471">
        <v>44033</v>
      </c>
      <c r="D23" s="458">
        <v>31980958</v>
      </c>
      <c r="E23" s="319">
        <f t="shared" si="12"/>
        <v>7896</v>
      </c>
      <c r="F23" s="458">
        <v>3784650</v>
      </c>
      <c r="G23" s="320">
        <f t="shared" si="0"/>
        <v>2137</v>
      </c>
      <c r="H23" s="458">
        <v>17569038</v>
      </c>
      <c r="I23" s="451">
        <f t="shared" si="13"/>
        <v>2544</v>
      </c>
      <c r="J23" s="458">
        <v>28602858</v>
      </c>
      <c r="K23" s="320">
        <f t="shared" si="14"/>
        <v>2936</v>
      </c>
      <c r="L23" s="458">
        <v>23375968</v>
      </c>
      <c r="M23" s="320">
        <f t="shared" si="15"/>
        <v>6924</v>
      </c>
      <c r="N23" s="318">
        <f t="shared" si="16"/>
        <v>22437</v>
      </c>
      <c r="O23" s="480">
        <f t="shared" si="29"/>
        <v>606.2907017591267</v>
      </c>
      <c r="P23" s="458">
        <v>16014</v>
      </c>
      <c r="Q23" s="462">
        <f t="shared" si="33"/>
        <v>10000</v>
      </c>
      <c r="R23" s="462">
        <f t="shared" si="21"/>
        <v>12437</v>
      </c>
      <c r="S23" s="458">
        <v>9146</v>
      </c>
      <c r="T23" s="482">
        <f t="shared" si="3"/>
        <v>13</v>
      </c>
      <c r="U23" s="458">
        <v>199238</v>
      </c>
      <c r="V23" s="462">
        <f t="shared" si="17"/>
        <v>3090</v>
      </c>
      <c r="W23" s="458">
        <v>31948</v>
      </c>
      <c r="X23" s="462">
        <f t="shared" si="27"/>
        <v>0</v>
      </c>
      <c r="Y23" s="458">
        <v>647533</v>
      </c>
      <c r="Z23" s="462">
        <f t="shared" si="23"/>
        <v>0</v>
      </c>
      <c r="AA23" s="458">
        <v>35331</v>
      </c>
      <c r="AB23" s="462">
        <f t="shared" si="19"/>
        <v>11</v>
      </c>
      <c r="AC23" s="458">
        <v>837792</v>
      </c>
      <c r="AD23" s="462">
        <f t="shared" si="37"/>
        <v>2875</v>
      </c>
      <c r="AE23" s="485">
        <f t="shared" si="10"/>
        <v>24</v>
      </c>
      <c r="AF23" s="486">
        <f t="shared" si="11"/>
        <v>5965</v>
      </c>
      <c r="AG23" s="478">
        <f t="shared" si="30"/>
        <v>248.54166666666666</v>
      </c>
      <c r="AI23" s="479">
        <f>R23-'EDl log'!B21</f>
        <v>-135632</v>
      </c>
    </row>
    <row r="24" spans="1:35">
      <c r="A24" s="470">
        <f>'General information '!F27</f>
        <v>0.16220000000000001</v>
      </c>
      <c r="B24" s="464">
        <f t="shared" si="6"/>
        <v>37.306000000000004</v>
      </c>
      <c r="C24" s="471">
        <v>44034</v>
      </c>
      <c r="D24" s="458">
        <v>31986374</v>
      </c>
      <c r="E24" s="319">
        <f t="shared" si="12"/>
        <v>5416</v>
      </c>
      <c r="F24" s="458">
        <v>3786901</v>
      </c>
      <c r="G24" s="320">
        <f t="shared" si="0"/>
        <v>2251</v>
      </c>
      <c r="H24" s="458">
        <v>17571542</v>
      </c>
      <c r="I24" s="320">
        <f t="shared" si="13"/>
        <v>2504</v>
      </c>
      <c r="J24" s="458">
        <v>28609818</v>
      </c>
      <c r="K24" s="320">
        <f t="shared" si="14"/>
        <v>6960</v>
      </c>
      <c r="L24" s="458">
        <v>23380378</v>
      </c>
      <c r="M24" s="320">
        <f t="shared" si="15"/>
        <v>4410</v>
      </c>
      <c r="N24" s="318">
        <f t="shared" si="16"/>
        <v>21541</v>
      </c>
      <c r="O24" s="480">
        <f t="shared" si="29"/>
        <v>577.41382083310987</v>
      </c>
      <c r="P24" s="458">
        <v>16030</v>
      </c>
      <c r="Q24" s="462">
        <f t="shared" si="33"/>
        <v>16000</v>
      </c>
      <c r="R24" s="462">
        <f t="shared" si="21"/>
        <v>5541</v>
      </c>
      <c r="S24" s="458">
        <v>9146</v>
      </c>
      <c r="T24" s="482">
        <f t="shared" si="3"/>
        <v>0</v>
      </c>
      <c r="U24" s="458">
        <v>199238</v>
      </c>
      <c r="V24" s="462">
        <f t="shared" si="17"/>
        <v>0</v>
      </c>
      <c r="W24" s="458">
        <v>31965</v>
      </c>
      <c r="X24" s="462">
        <f t="shared" si="27"/>
        <v>17</v>
      </c>
      <c r="Y24" s="458">
        <v>651920</v>
      </c>
      <c r="Z24" s="462">
        <f t="shared" si="23"/>
        <v>4387</v>
      </c>
      <c r="AA24" s="458">
        <v>35334</v>
      </c>
      <c r="AB24" s="462">
        <f t="shared" si="19"/>
        <v>3</v>
      </c>
      <c r="AC24" s="458">
        <v>838614</v>
      </c>
      <c r="AD24" s="462">
        <f t="shared" si="37"/>
        <v>822</v>
      </c>
      <c r="AE24" s="485">
        <f t="shared" si="10"/>
        <v>20</v>
      </c>
      <c r="AF24" s="486">
        <f t="shared" si="11"/>
        <v>5209</v>
      </c>
      <c r="AG24" s="478">
        <f t="shared" si="30"/>
        <v>260.45</v>
      </c>
      <c r="AI24" s="479">
        <f>R24-'EDl log'!B22</f>
        <v>-142529</v>
      </c>
    </row>
    <row r="25" spans="1:35">
      <c r="A25" s="470">
        <f>'General information '!F28</f>
        <v>0.23039999999999999</v>
      </c>
      <c r="B25" s="464">
        <f t="shared" si="6"/>
        <v>52.991999999999997</v>
      </c>
      <c r="C25" s="471">
        <v>44035</v>
      </c>
      <c r="D25" s="458">
        <v>31995162</v>
      </c>
      <c r="E25" s="319">
        <f t="shared" si="12"/>
        <v>8788</v>
      </c>
      <c r="F25" s="458">
        <v>3789241</v>
      </c>
      <c r="G25" s="320">
        <f t="shared" si="0"/>
        <v>2340</v>
      </c>
      <c r="H25" s="458">
        <v>17574106</v>
      </c>
      <c r="I25" s="320">
        <f t="shared" si="13"/>
        <v>2564</v>
      </c>
      <c r="J25" s="458">
        <v>28612266</v>
      </c>
      <c r="K25" s="320">
        <f t="shared" si="14"/>
        <v>2448</v>
      </c>
      <c r="L25" s="458">
        <v>23387034</v>
      </c>
      <c r="M25" s="320">
        <f t="shared" si="15"/>
        <v>6656</v>
      </c>
      <c r="N25" s="318">
        <f t="shared" si="16"/>
        <v>22796</v>
      </c>
      <c r="O25" s="480">
        <f t="shared" si="29"/>
        <v>430.17814009661839</v>
      </c>
      <c r="P25" s="458">
        <v>16041</v>
      </c>
      <c r="Q25" s="462">
        <f t="shared" si="33"/>
        <v>11000</v>
      </c>
      <c r="R25" s="462">
        <f t="shared" si="21"/>
        <v>11796</v>
      </c>
      <c r="S25" s="458">
        <v>9156</v>
      </c>
      <c r="T25" s="482">
        <f t="shared" si="3"/>
        <v>10</v>
      </c>
      <c r="U25" s="458">
        <v>201513</v>
      </c>
      <c r="V25" s="462">
        <f t="shared" si="17"/>
        <v>2275</v>
      </c>
      <c r="W25" s="458">
        <v>31966</v>
      </c>
      <c r="X25" s="462">
        <f t="shared" si="27"/>
        <v>1</v>
      </c>
      <c r="Y25" s="458">
        <v>651986</v>
      </c>
      <c r="Z25" s="462">
        <f t="shared" si="23"/>
        <v>66</v>
      </c>
      <c r="AA25" s="458">
        <v>35346</v>
      </c>
      <c r="AB25" s="462">
        <f t="shared" si="19"/>
        <v>12</v>
      </c>
      <c r="AC25" s="458">
        <v>842032</v>
      </c>
      <c r="AD25" s="462">
        <f t="shared" si="37"/>
        <v>3418</v>
      </c>
      <c r="AE25" s="485">
        <f t="shared" si="10"/>
        <v>23</v>
      </c>
      <c r="AF25" s="486">
        <f t="shared" si="11"/>
        <v>5759</v>
      </c>
      <c r="AG25" s="478">
        <f t="shared" si="30"/>
        <v>250.39130434782609</v>
      </c>
      <c r="AI25" s="479">
        <f>R25-'EDl log'!B23</f>
        <v>-141602</v>
      </c>
    </row>
    <row r="26" spans="1:35">
      <c r="A26" s="470">
        <f>'General information '!F29</f>
        <v>0.25600000000000001</v>
      </c>
      <c r="B26" s="464">
        <f t="shared" si="6"/>
        <v>58.88</v>
      </c>
      <c r="C26" s="471">
        <v>44036</v>
      </c>
      <c r="D26" s="458">
        <v>31999918</v>
      </c>
      <c r="E26" s="319">
        <f t="shared" si="12"/>
        <v>4756</v>
      </c>
      <c r="F26" s="458">
        <v>3791517</v>
      </c>
      <c r="G26" s="320">
        <f t="shared" si="0"/>
        <v>2276</v>
      </c>
      <c r="H26" s="458">
        <v>17576578</v>
      </c>
      <c r="I26" s="320">
        <f t="shared" si="13"/>
        <v>2472</v>
      </c>
      <c r="J26" s="458">
        <v>28618322</v>
      </c>
      <c r="K26" s="320">
        <f t="shared" si="14"/>
        <v>6056</v>
      </c>
      <c r="L26" s="458">
        <v>23393610</v>
      </c>
      <c r="M26" s="320">
        <f t="shared" si="15"/>
        <v>6576</v>
      </c>
      <c r="N26" s="318">
        <f t="shared" si="16"/>
        <v>22136</v>
      </c>
      <c r="O26" s="480">
        <f t="shared" si="29"/>
        <v>375.95108695652175</v>
      </c>
      <c r="P26" s="458">
        <v>16056</v>
      </c>
      <c r="Q26" s="462">
        <f t="shared" si="33"/>
        <v>15000</v>
      </c>
      <c r="R26" s="487">
        <f>N26-Q26</f>
        <v>7136</v>
      </c>
      <c r="S26" s="458">
        <v>9165</v>
      </c>
      <c r="T26" s="482">
        <f t="shared" si="3"/>
        <v>9</v>
      </c>
      <c r="U26" s="458">
        <v>204005</v>
      </c>
      <c r="V26" s="462">
        <f t="shared" si="17"/>
        <v>2492</v>
      </c>
      <c r="W26" s="458">
        <v>31978</v>
      </c>
      <c r="X26" s="462">
        <f t="shared" si="27"/>
        <v>12</v>
      </c>
      <c r="Y26" s="458">
        <v>655238</v>
      </c>
      <c r="Z26" s="462">
        <f t="shared" si="23"/>
        <v>3252</v>
      </c>
      <c r="AA26" s="458">
        <v>35349</v>
      </c>
      <c r="AB26" s="462">
        <f t="shared" si="19"/>
        <v>3</v>
      </c>
      <c r="AC26" s="458">
        <v>842777</v>
      </c>
      <c r="AD26" s="462">
        <f t="shared" si="37"/>
        <v>745</v>
      </c>
      <c r="AE26" s="485">
        <f t="shared" si="10"/>
        <v>24</v>
      </c>
      <c r="AF26" s="486">
        <f t="shared" si="11"/>
        <v>6489</v>
      </c>
      <c r="AG26" s="478">
        <f t="shared" si="30"/>
        <v>270.375</v>
      </c>
      <c r="AI26" s="479">
        <f>R26-'EDl log'!B24</f>
        <v>-146262</v>
      </c>
    </row>
    <row r="27" spans="1:35">
      <c r="A27" s="470">
        <f>'General information '!F30</f>
        <v>0.26900000000000002</v>
      </c>
      <c r="B27" s="464">
        <f t="shared" si="6"/>
        <v>61.870000000000005</v>
      </c>
      <c r="C27" s="471">
        <v>44037</v>
      </c>
      <c r="D27" s="458">
        <v>32006116</v>
      </c>
      <c r="E27" s="319">
        <f t="shared" si="12"/>
        <v>6198</v>
      </c>
      <c r="F27" s="458">
        <v>3794144</v>
      </c>
      <c r="G27" s="320">
        <f>F27-F26</f>
        <v>2627</v>
      </c>
      <c r="H27" s="458">
        <v>17579320</v>
      </c>
      <c r="I27" s="320">
        <f t="shared" si="13"/>
        <v>2742</v>
      </c>
      <c r="J27" s="458">
        <v>28621058</v>
      </c>
      <c r="K27" s="320">
        <f t="shared" si="14"/>
        <v>2736</v>
      </c>
      <c r="L27" s="458">
        <v>23402658</v>
      </c>
      <c r="M27" s="320">
        <f t="shared" si="15"/>
        <v>9048</v>
      </c>
      <c r="N27" s="318">
        <f t="shared" si="16"/>
        <v>23351</v>
      </c>
      <c r="O27" s="480">
        <f t="shared" si="29"/>
        <v>377.42039760788748</v>
      </c>
      <c r="P27" s="458">
        <v>16065</v>
      </c>
      <c r="Q27" s="462">
        <f t="shared" si="33"/>
        <v>9000</v>
      </c>
      <c r="R27" s="462">
        <f t="shared" si="21"/>
        <v>14351</v>
      </c>
      <c r="S27" s="458">
        <v>9182</v>
      </c>
      <c r="T27" s="482">
        <f t="shared" si="3"/>
        <v>17</v>
      </c>
      <c r="U27" s="458">
        <v>208472</v>
      </c>
      <c r="V27" s="462">
        <f t="shared" si="17"/>
        <v>4467</v>
      </c>
      <c r="W27" s="458">
        <f t="shared" si="7"/>
        <v>31978</v>
      </c>
      <c r="X27" s="462">
        <f t="shared" si="27"/>
        <v>0</v>
      </c>
      <c r="Y27" s="458">
        <f t="shared" ref="Y27" si="42">Y26</f>
        <v>655238</v>
      </c>
      <c r="Z27" s="462">
        <f t="shared" si="23"/>
        <v>0</v>
      </c>
      <c r="AA27" s="458">
        <v>35355</v>
      </c>
      <c r="AB27" s="462">
        <f t="shared" si="19"/>
        <v>6</v>
      </c>
      <c r="AC27" s="458">
        <v>844436</v>
      </c>
      <c r="AD27" s="462">
        <f t="shared" si="37"/>
        <v>1659</v>
      </c>
      <c r="AE27" s="485">
        <f t="shared" si="10"/>
        <v>23</v>
      </c>
      <c r="AF27" s="486">
        <f t="shared" si="11"/>
        <v>6126</v>
      </c>
      <c r="AG27" s="478">
        <f t="shared" si="30"/>
        <v>266.3478260869565</v>
      </c>
      <c r="AI27" s="479">
        <f>R27-'EDl log'!B25</f>
        <v>-146237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ref="D28:L33" si="43">D27</f>
        <v>32006116</v>
      </c>
      <c r="E28" s="319">
        <f t="shared" si="12"/>
        <v>0</v>
      </c>
      <c r="F28" s="458">
        <f t="shared" si="43"/>
        <v>3794144</v>
      </c>
      <c r="G28" s="320">
        <f t="shared" si="0"/>
        <v>0</v>
      </c>
      <c r="H28" s="458">
        <f t="shared" si="43"/>
        <v>17579320</v>
      </c>
      <c r="I28" s="320">
        <f t="shared" si="13"/>
        <v>0</v>
      </c>
      <c r="J28" s="458">
        <f t="shared" si="43"/>
        <v>28621058</v>
      </c>
      <c r="K28" s="320">
        <f t="shared" si="14"/>
        <v>0</v>
      </c>
      <c r="L28" s="458">
        <f t="shared" si="43"/>
        <v>23402658</v>
      </c>
      <c r="M28" s="320">
        <f t="shared" si="15"/>
        <v>0</v>
      </c>
      <c r="N28" s="318">
        <f t="shared" si="16"/>
        <v>0</v>
      </c>
      <c r="O28" s="480">
        <f t="shared" si="29"/>
        <v>0</v>
      </c>
      <c r="P28" s="458">
        <f t="shared" ref="P28:P33" si="44">P27</f>
        <v>16065</v>
      </c>
      <c r="Q28" s="462">
        <f t="shared" si="33"/>
        <v>0</v>
      </c>
      <c r="R28" s="462">
        <f>N28-Q28</f>
        <v>0</v>
      </c>
      <c r="S28" s="458">
        <f t="shared" si="38"/>
        <v>9182</v>
      </c>
      <c r="T28" s="482">
        <f t="shared" si="3"/>
        <v>0</v>
      </c>
      <c r="U28" s="458">
        <f t="shared" si="39"/>
        <v>208472</v>
      </c>
      <c r="V28" s="462">
        <f t="shared" si="17"/>
        <v>0</v>
      </c>
      <c r="W28" s="458">
        <f t="shared" si="7"/>
        <v>31978</v>
      </c>
      <c r="X28" s="462">
        <f t="shared" si="27"/>
        <v>0</v>
      </c>
      <c r="Y28" s="458">
        <f t="shared" ref="Y28:AA28" si="45">Y27</f>
        <v>655238</v>
      </c>
      <c r="Z28" s="462">
        <f t="shared" si="23"/>
        <v>0</v>
      </c>
      <c r="AA28" s="458">
        <f t="shared" si="45"/>
        <v>35355</v>
      </c>
      <c r="AB28" s="462">
        <f t="shared" si="19"/>
        <v>0</v>
      </c>
      <c r="AC28" s="458">
        <f t="shared" ref="AC28" si="46">AC27</f>
        <v>844436</v>
      </c>
      <c r="AD28" s="462">
        <f t="shared" si="37"/>
        <v>0</v>
      </c>
      <c r="AE28" s="485">
        <f t="shared" si="10"/>
        <v>0</v>
      </c>
      <c r="AF28" s="486">
        <f t="shared" si="11"/>
        <v>0</v>
      </c>
      <c r="AG28" s="478">
        <f t="shared" si="30"/>
        <v>0</v>
      </c>
      <c r="AI28" s="479">
        <f>R28-'EDl log'!B26</f>
        <v>-168116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43"/>
        <v>32006116</v>
      </c>
      <c r="E29" s="319">
        <f t="shared" si="12"/>
        <v>0</v>
      </c>
      <c r="F29" s="458">
        <f t="shared" si="43"/>
        <v>3794144</v>
      </c>
      <c r="G29" s="320">
        <f t="shared" si="0"/>
        <v>0</v>
      </c>
      <c r="H29" s="458">
        <f t="shared" si="43"/>
        <v>17579320</v>
      </c>
      <c r="I29" s="320">
        <f t="shared" si="13"/>
        <v>0</v>
      </c>
      <c r="J29" s="458">
        <f t="shared" si="43"/>
        <v>28621058</v>
      </c>
      <c r="K29" s="320">
        <f t="shared" si="14"/>
        <v>0</v>
      </c>
      <c r="L29" s="458">
        <f t="shared" si="43"/>
        <v>23402658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si="44"/>
        <v>16065</v>
      </c>
      <c r="Q29" s="462">
        <f t="shared" si="33"/>
        <v>0</v>
      </c>
      <c r="R29" s="462">
        <f t="shared" si="21"/>
        <v>0</v>
      </c>
      <c r="S29" s="458">
        <f t="shared" si="38"/>
        <v>9182</v>
      </c>
      <c r="T29" s="482">
        <f t="shared" si="3"/>
        <v>0</v>
      </c>
      <c r="U29" s="458">
        <f t="shared" si="39"/>
        <v>208472</v>
      </c>
      <c r="V29" s="462">
        <f t="shared" si="17"/>
        <v>0</v>
      </c>
      <c r="W29" s="458">
        <f t="shared" si="7"/>
        <v>31978</v>
      </c>
      <c r="X29" s="462">
        <f t="shared" si="27"/>
        <v>0</v>
      </c>
      <c r="Y29" s="458">
        <f t="shared" ref="Y29:AA29" si="47">Y28</f>
        <v>655238</v>
      </c>
      <c r="Z29" s="462">
        <f t="shared" si="23"/>
        <v>0</v>
      </c>
      <c r="AA29" s="458">
        <f t="shared" si="47"/>
        <v>35355</v>
      </c>
      <c r="AB29" s="462">
        <f t="shared" si="19"/>
        <v>0</v>
      </c>
      <c r="AC29" s="458">
        <f t="shared" ref="AC29" si="48">AC28</f>
        <v>844436</v>
      </c>
      <c r="AD29" s="462">
        <f t="shared" si="37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-172611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43"/>
        <v>32006116</v>
      </c>
      <c r="E30" s="319">
        <f t="shared" si="12"/>
        <v>0</v>
      </c>
      <c r="F30" s="458">
        <f t="shared" si="43"/>
        <v>3794144</v>
      </c>
      <c r="G30" s="320">
        <f t="shared" si="0"/>
        <v>0</v>
      </c>
      <c r="H30" s="458">
        <f t="shared" si="43"/>
        <v>17579320</v>
      </c>
      <c r="I30" s="320">
        <f t="shared" si="13"/>
        <v>0</v>
      </c>
      <c r="J30" s="458">
        <f t="shared" si="43"/>
        <v>28621058</v>
      </c>
      <c r="K30" s="320">
        <f t="shared" si="14"/>
        <v>0</v>
      </c>
      <c r="L30" s="458">
        <f t="shared" si="43"/>
        <v>23402658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44"/>
        <v>16065</v>
      </c>
      <c r="Q30" s="462">
        <f t="shared" si="33"/>
        <v>0</v>
      </c>
      <c r="R30" s="462">
        <f t="shared" si="21"/>
        <v>0</v>
      </c>
      <c r="S30" s="458">
        <f t="shared" si="38"/>
        <v>9182</v>
      </c>
      <c r="T30" s="482">
        <f t="shared" si="3"/>
        <v>0</v>
      </c>
      <c r="U30" s="458">
        <f t="shared" si="39"/>
        <v>208472</v>
      </c>
      <c r="V30" s="462">
        <f t="shared" si="17"/>
        <v>0</v>
      </c>
      <c r="W30" s="458">
        <f t="shared" si="7"/>
        <v>31978</v>
      </c>
      <c r="X30" s="483">
        <f t="shared" si="27"/>
        <v>0</v>
      </c>
      <c r="Y30" s="458">
        <f t="shared" ref="Y30:AA30" si="49">Y29</f>
        <v>655238</v>
      </c>
      <c r="Z30" s="462">
        <f t="shared" si="23"/>
        <v>0</v>
      </c>
      <c r="AA30" s="458">
        <f t="shared" si="49"/>
        <v>35355</v>
      </c>
      <c r="AB30" s="462">
        <f t="shared" si="19"/>
        <v>0</v>
      </c>
      <c r="AC30" s="458">
        <f t="shared" ref="AC30" si="50">AC29</f>
        <v>844436</v>
      </c>
      <c r="AD30" s="462">
        <f t="shared" si="37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-172611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43"/>
        <v>32006116</v>
      </c>
      <c r="E31" s="319">
        <f t="shared" si="12"/>
        <v>0</v>
      </c>
      <c r="F31" s="458">
        <f t="shared" si="43"/>
        <v>3794144</v>
      </c>
      <c r="G31" s="320">
        <f t="shared" si="0"/>
        <v>0</v>
      </c>
      <c r="H31" s="458">
        <f t="shared" si="43"/>
        <v>17579320</v>
      </c>
      <c r="I31" s="320">
        <f t="shared" si="13"/>
        <v>0</v>
      </c>
      <c r="J31" s="458">
        <f t="shared" si="43"/>
        <v>28621058</v>
      </c>
      <c r="K31" s="320">
        <f t="shared" si="14"/>
        <v>0</v>
      </c>
      <c r="L31" s="458">
        <f t="shared" si="43"/>
        <v>23402658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44"/>
        <v>16065</v>
      </c>
      <c r="Q31" s="462">
        <f t="shared" si="33"/>
        <v>0</v>
      </c>
      <c r="R31" s="462">
        <f t="shared" si="21"/>
        <v>0</v>
      </c>
      <c r="S31" s="458">
        <f t="shared" si="38"/>
        <v>9182</v>
      </c>
      <c r="T31" s="482">
        <f t="shared" si="3"/>
        <v>0</v>
      </c>
      <c r="U31" s="458">
        <f t="shared" si="39"/>
        <v>208472</v>
      </c>
      <c r="V31" s="462">
        <f t="shared" si="17"/>
        <v>0</v>
      </c>
      <c r="W31" s="458">
        <f t="shared" si="7"/>
        <v>31978</v>
      </c>
      <c r="X31" s="483">
        <f t="shared" si="27"/>
        <v>0</v>
      </c>
      <c r="Y31" s="458">
        <f t="shared" ref="Y31:AA31" si="51">Y30</f>
        <v>655238</v>
      </c>
      <c r="Z31" s="484">
        <f>Y31-Y30</f>
        <v>0</v>
      </c>
      <c r="AA31" s="458">
        <f t="shared" si="51"/>
        <v>35355</v>
      </c>
      <c r="AB31" s="462">
        <f t="shared" si="19"/>
        <v>0</v>
      </c>
      <c r="AC31" s="458">
        <f t="shared" ref="AC31" si="52">AC30</f>
        <v>844436</v>
      </c>
      <c r="AD31" s="462">
        <f t="shared" si="37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-172611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43"/>
        <v>32006116</v>
      </c>
      <c r="E32" s="319">
        <f t="shared" si="12"/>
        <v>0</v>
      </c>
      <c r="F32" s="458">
        <f t="shared" si="43"/>
        <v>3794144</v>
      </c>
      <c r="G32" s="320">
        <f>F32-F31</f>
        <v>0</v>
      </c>
      <c r="H32" s="458">
        <f t="shared" si="43"/>
        <v>17579320</v>
      </c>
      <c r="I32" s="320">
        <f>H32-H31</f>
        <v>0</v>
      </c>
      <c r="J32" s="458">
        <f t="shared" si="43"/>
        <v>28621058</v>
      </c>
      <c r="K32" s="320">
        <f>J32-J31</f>
        <v>0</v>
      </c>
      <c r="L32" s="458">
        <f t="shared" si="43"/>
        <v>23402658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44"/>
        <v>16065</v>
      </c>
      <c r="Q32" s="462">
        <f>(P32-P31)*1000</f>
        <v>0</v>
      </c>
      <c r="R32" s="462">
        <f>N32-Q32</f>
        <v>0</v>
      </c>
      <c r="S32" s="458">
        <f t="shared" si="38"/>
        <v>9182</v>
      </c>
      <c r="T32" s="482">
        <f t="shared" si="3"/>
        <v>0</v>
      </c>
      <c r="U32" s="458">
        <f t="shared" si="39"/>
        <v>208472</v>
      </c>
      <c r="V32" s="462">
        <f t="shared" si="17"/>
        <v>0</v>
      </c>
      <c r="W32" s="458">
        <f t="shared" si="7"/>
        <v>31978</v>
      </c>
      <c r="X32" s="462">
        <f t="shared" si="27"/>
        <v>0</v>
      </c>
      <c r="Y32" s="458">
        <f t="shared" ref="Y32:AA32" si="53">Y31</f>
        <v>655238</v>
      </c>
      <c r="Z32" s="484">
        <f>Y32-Y31</f>
        <v>0</v>
      </c>
      <c r="AA32" s="458">
        <f t="shared" si="53"/>
        <v>35355</v>
      </c>
      <c r="AB32" s="462">
        <f t="shared" si="19"/>
        <v>0</v>
      </c>
      <c r="AC32" s="458">
        <f t="shared" ref="AC32" si="54">AC31</f>
        <v>844436</v>
      </c>
      <c r="AD32" s="462">
        <f t="shared" si="37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-172611</v>
      </c>
    </row>
    <row r="33" spans="1:35">
      <c r="A33" s="470">
        <f>'General information '!F37</f>
        <v>0.141432</v>
      </c>
      <c r="B33" s="464">
        <f>SUM(230*A33)</f>
        <v>32.529359999999997</v>
      </c>
      <c r="C33" s="471">
        <v>44043</v>
      </c>
      <c r="D33" s="458">
        <f t="shared" si="43"/>
        <v>32006116</v>
      </c>
      <c r="E33" s="319">
        <f t="shared" ref="E33" si="55">D33-D32</f>
        <v>0</v>
      </c>
      <c r="F33" s="458">
        <f t="shared" si="43"/>
        <v>3794144</v>
      </c>
      <c r="G33" s="320">
        <f>F33-F32</f>
        <v>0</v>
      </c>
      <c r="H33" s="458">
        <f t="shared" si="43"/>
        <v>17579320</v>
      </c>
      <c r="I33" s="320">
        <f>H33-H32</f>
        <v>0</v>
      </c>
      <c r="J33" s="458">
        <f t="shared" si="43"/>
        <v>28621058</v>
      </c>
      <c r="K33" s="320">
        <f>J33-J32</f>
        <v>0</v>
      </c>
      <c r="L33" s="458">
        <f t="shared" si="43"/>
        <v>23402658</v>
      </c>
      <c r="M33" s="320">
        <f>L33-L32</f>
        <v>0</v>
      </c>
      <c r="N33" s="318">
        <f>M33+K33+I33+G33+E33</f>
        <v>0</v>
      </c>
      <c r="O33" s="480">
        <f t="shared" ref="O33" si="56">IF(B33&gt;0,N33/B33,0)</f>
        <v>0</v>
      </c>
      <c r="P33" s="458">
        <f t="shared" si="44"/>
        <v>16065</v>
      </c>
      <c r="Q33" s="462">
        <f>(P33-P32)*1000</f>
        <v>0</v>
      </c>
      <c r="R33" s="462">
        <f>N33-Q33</f>
        <v>0</v>
      </c>
      <c r="S33" s="458">
        <f t="shared" si="38"/>
        <v>9182</v>
      </c>
      <c r="T33" s="482">
        <f t="shared" ref="T33" si="57">S33-S32</f>
        <v>0</v>
      </c>
      <c r="U33" s="458">
        <f t="shared" si="39"/>
        <v>208472</v>
      </c>
      <c r="V33" s="462">
        <f t="shared" ref="V33" si="58">U33-U32</f>
        <v>0</v>
      </c>
      <c r="W33" s="458">
        <f t="shared" si="7"/>
        <v>31978</v>
      </c>
      <c r="X33" s="462">
        <f t="shared" ref="X33" si="59">W33-W32</f>
        <v>0</v>
      </c>
      <c r="Y33" s="458">
        <f t="shared" ref="Y33:AA33" si="60">Y32</f>
        <v>655238</v>
      </c>
      <c r="Z33" s="484">
        <f>Y33-Y32</f>
        <v>0</v>
      </c>
      <c r="AA33" s="458">
        <f t="shared" si="60"/>
        <v>35355</v>
      </c>
      <c r="AB33" s="462">
        <f t="shared" ref="AB33" si="61">AA33-AA32</f>
        <v>0</v>
      </c>
      <c r="AC33" s="458">
        <f t="shared" ref="AC33" si="62">AC32</f>
        <v>844436</v>
      </c>
      <c r="AD33" s="462">
        <f t="shared" ref="AD33" si="63">AC33-AC32</f>
        <v>0</v>
      </c>
      <c r="AE33" s="485">
        <f t="shared" ref="AE33" si="64">AB33+X33+T33</f>
        <v>0</v>
      </c>
      <c r="AF33" s="486">
        <f>V33+Z33+AD33</f>
        <v>0</v>
      </c>
      <c r="AG33" s="478">
        <f t="shared" ref="AG33" si="65">IF(AE33&gt;0,AF33/AE33,0)</f>
        <v>0</v>
      </c>
      <c r="AI33" s="479">
        <f>R33-'EDl log'!B31</f>
        <v>-172611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E1" zoomScale="90" zoomScaleNormal="90" workbookViewId="0">
      <pane ySplit="1" topLeftCell="A20" activePane="bottomLeft" state="frozen"/>
      <selection activeCell="K1" sqref="K1"/>
      <selection pane="bottomLeft" activeCell="AX29" sqref="AX29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9" t="s">
        <v>2</v>
      </c>
      <c r="G1" s="620"/>
      <c r="H1" s="620"/>
      <c r="I1" s="621"/>
      <c r="J1" s="290">
        <f>J36</f>
        <v>74.894736842105274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407"/>
      <c r="V1" s="27" t="s">
        <v>104</v>
      </c>
      <c r="W1" s="408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v>120.3</v>
      </c>
      <c r="C13" s="64">
        <v>127.2</v>
      </c>
      <c r="D13" s="45">
        <f t="shared" si="26"/>
        <v>18.100000000000009</v>
      </c>
      <c r="E13" s="45">
        <f t="shared" si="9"/>
        <v>151.67800000000008</v>
      </c>
      <c r="F13" s="64">
        <v>1618</v>
      </c>
      <c r="G13" s="52">
        <f t="shared" si="0"/>
        <v>3</v>
      </c>
      <c r="H13" s="64">
        <v>355545</v>
      </c>
      <c r="I13" s="406">
        <f t="shared" si="1"/>
        <v>254</v>
      </c>
      <c r="J13" s="66">
        <f t="shared" si="11"/>
        <v>84.666666666666671</v>
      </c>
      <c r="K13" s="64">
        <v>2075</v>
      </c>
      <c r="L13" s="52">
        <f t="shared" si="2"/>
        <v>0</v>
      </c>
      <c r="M13" s="64">
        <v>152253</v>
      </c>
      <c r="N13" s="406">
        <f t="shared" si="3"/>
        <v>0</v>
      </c>
      <c r="O13" s="64">
        <f t="shared" si="12"/>
        <v>211.87499999999994</v>
      </c>
      <c r="P13" s="64">
        <v>1829</v>
      </c>
      <c r="Q13" s="64"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3</v>
      </c>
      <c r="V13" s="62">
        <f>R13+N13+I13:I13</f>
        <v>254</v>
      </c>
      <c r="W13" s="410">
        <f t="shared" si="16"/>
        <v>84.666666666666671</v>
      </c>
      <c r="X13" s="64">
        <v>2418</v>
      </c>
      <c r="Y13" s="52">
        <f t="shared" si="18"/>
        <v>0</v>
      </c>
      <c r="Z13" s="64">
        <v>135964</v>
      </c>
      <c r="AA13" s="292">
        <f t="shared" si="6"/>
        <v>-0.10000000000582077</v>
      </c>
      <c r="AB13" s="292">
        <f t="shared" si="29"/>
        <v>0</v>
      </c>
      <c r="AC13" s="64">
        <v>1869</v>
      </c>
      <c r="AD13" s="45">
        <f t="shared" si="7"/>
        <v>0</v>
      </c>
      <c r="AE13" s="64">
        <v>361554.1</v>
      </c>
      <c r="AF13" s="314">
        <f t="shared" si="19"/>
        <v>2.0999999999767169</v>
      </c>
      <c r="AG13" s="212">
        <f t="shared" si="31"/>
        <v>0</v>
      </c>
      <c r="AH13" s="62">
        <f t="shared" si="32"/>
        <v>1.9999999999708962</v>
      </c>
      <c r="AI13" s="326">
        <f t="shared" si="20"/>
        <v>255.9999999999709</v>
      </c>
      <c r="AJ13" s="326">
        <f>-tanks!AW14</f>
        <v>255.9999999999709</v>
      </c>
      <c r="AK13" s="326">
        <f t="shared" si="21"/>
        <v>0</v>
      </c>
      <c r="AL13" s="326">
        <f t="shared" si="8"/>
        <v>3</v>
      </c>
      <c r="AM13" s="326">
        <f t="shared" si="22"/>
        <v>0</v>
      </c>
      <c r="AN13" s="64">
        <v>79</v>
      </c>
      <c r="AO13" s="328">
        <f t="shared" si="23"/>
        <v>2370</v>
      </c>
      <c r="AP13" s="64">
        <v>80</v>
      </c>
      <c r="AQ13" s="328">
        <f t="shared" si="24"/>
        <v>2400</v>
      </c>
      <c r="AR13" s="64">
        <v>81</v>
      </c>
      <c r="AS13" s="328">
        <f t="shared" si="33"/>
        <v>2430</v>
      </c>
      <c r="AT13" s="328">
        <f t="shared" si="34"/>
        <v>7200</v>
      </c>
      <c r="AU13" s="328">
        <f t="shared" si="35"/>
        <v>390</v>
      </c>
      <c r="AV13" s="275">
        <v>1200</v>
      </c>
      <c r="AW13" s="275">
        <v>0.7</v>
      </c>
      <c r="AX13" s="321">
        <f t="shared" si="25"/>
        <v>0.7</v>
      </c>
    </row>
    <row r="14" spans="1:52">
      <c r="A14" s="63">
        <f>ELEC!C12</f>
        <v>44022</v>
      </c>
      <c r="B14" s="64">
        <v>178.2</v>
      </c>
      <c r="C14" s="64">
        <v>185</v>
      </c>
      <c r="D14" s="45">
        <f t="shared" si="26"/>
        <v>-57.8</v>
      </c>
      <c r="E14" s="45">
        <f t="shared" si="9"/>
        <v>-484.36400000000003</v>
      </c>
      <c r="F14" s="64">
        <v>1621</v>
      </c>
      <c r="G14" s="52">
        <f t="shared" si="0"/>
        <v>3</v>
      </c>
      <c r="H14" s="64">
        <v>355804</v>
      </c>
      <c r="I14" s="406">
        <f t="shared" si="1"/>
        <v>259</v>
      </c>
      <c r="J14" s="66">
        <f t="shared" si="11"/>
        <v>86.333333333333329</v>
      </c>
      <c r="K14" s="64">
        <v>2075</v>
      </c>
      <c r="L14" s="52">
        <f t="shared" si="2"/>
        <v>0</v>
      </c>
      <c r="M14" s="64">
        <v>152253</v>
      </c>
      <c r="N14" s="406">
        <f t="shared" si="3"/>
        <v>0</v>
      </c>
      <c r="O14" s="64">
        <f t="shared" si="12"/>
        <v>211.87499999999994</v>
      </c>
      <c r="P14" s="64">
        <v>1829</v>
      </c>
      <c r="Q14" s="64">
        <v>155219</v>
      </c>
      <c r="R14" s="405">
        <f t="shared" si="37"/>
        <v>83</v>
      </c>
      <c r="S14" s="52">
        <f t="shared" si="5"/>
        <v>0</v>
      </c>
      <c r="T14" s="67">
        <f t="shared" si="28"/>
        <v>0</v>
      </c>
      <c r="U14" s="412">
        <f t="shared" si="14"/>
        <v>3</v>
      </c>
      <c r="V14" s="62">
        <f t="shared" si="15"/>
        <v>342</v>
      </c>
      <c r="W14" s="410">
        <f t="shared" si="16"/>
        <v>114</v>
      </c>
      <c r="X14" s="64">
        <v>2418</v>
      </c>
      <c r="Y14" s="52">
        <f t="shared" si="18"/>
        <v>0</v>
      </c>
      <c r="Z14" s="64">
        <v>135964</v>
      </c>
      <c r="AA14" s="65">
        <f t="shared" si="6"/>
        <v>0</v>
      </c>
      <c r="AB14" s="292">
        <f t="shared" si="29"/>
        <v>0</v>
      </c>
      <c r="AC14" s="64">
        <v>1869</v>
      </c>
      <c r="AD14" s="45">
        <f t="shared" si="7"/>
        <v>0</v>
      </c>
      <c r="AE14" s="64">
        <v>361554.9</v>
      </c>
      <c r="AF14" s="314">
        <f>AE14-AE13</f>
        <v>0.80000000004656613</v>
      </c>
      <c r="AG14" s="212">
        <f t="shared" si="31"/>
        <v>0</v>
      </c>
      <c r="AH14" s="62">
        <f>AF14+AA14</f>
        <v>0.80000000004656613</v>
      </c>
      <c r="AI14" s="326">
        <f>SUM(AH14+V14)</f>
        <v>342.80000000004657</v>
      </c>
      <c r="AJ14" s="326">
        <f>-tanks!AW15</f>
        <v>342.80000000004657</v>
      </c>
      <c r="AK14" s="326">
        <f t="shared" si="21"/>
        <v>0</v>
      </c>
      <c r="AL14" s="326">
        <f t="shared" si="8"/>
        <v>3</v>
      </c>
      <c r="AM14" s="326">
        <f t="shared" si="22"/>
        <v>0</v>
      </c>
      <c r="AN14" s="64">
        <v>77</v>
      </c>
      <c r="AO14" s="328">
        <f t="shared" si="23"/>
        <v>2310</v>
      </c>
      <c r="AP14" s="64">
        <v>79</v>
      </c>
      <c r="AQ14" s="328">
        <f t="shared" si="24"/>
        <v>2370</v>
      </c>
      <c r="AR14" s="64">
        <v>78</v>
      </c>
      <c r="AS14" s="328">
        <f t="shared" si="33"/>
        <v>2340</v>
      </c>
      <c r="AT14" s="328">
        <f t="shared" si="34"/>
        <v>7020</v>
      </c>
      <c r="AU14" s="328">
        <f t="shared" si="35"/>
        <v>180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v>159</v>
      </c>
      <c r="C15" s="64">
        <v>166</v>
      </c>
      <c r="D15" s="45">
        <f t="shared" si="26"/>
        <v>19</v>
      </c>
      <c r="E15" s="45">
        <f t="shared" si="9"/>
        <v>159.22000000000003</v>
      </c>
      <c r="F15" s="64">
        <f t="shared" si="10"/>
        <v>1621</v>
      </c>
      <c r="G15" s="52">
        <f t="shared" si="0"/>
        <v>0</v>
      </c>
      <c r="H15" s="64">
        <f t="shared" si="10"/>
        <v>355804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38">M14</f>
        <v>152253</v>
      </c>
      <c r="N15" s="406">
        <f t="shared" si="3"/>
        <v>0</v>
      </c>
      <c r="O15" s="64">
        <f t="shared" si="12"/>
        <v>211.87499999999994</v>
      </c>
      <c r="P15" s="64">
        <v>1830</v>
      </c>
      <c r="Q15" s="64">
        <v>155334</v>
      </c>
      <c r="R15" s="405">
        <f t="shared" si="37"/>
        <v>115</v>
      </c>
      <c r="S15" s="52">
        <f t="shared" si="5"/>
        <v>1</v>
      </c>
      <c r="T15" s="67">
        <f t="shared" si="28"/>
        <v>0</v>
      </c>
      <c r="U15" s="412">
        <f t="shared" si="14"/>
        <v>1</v>
      </c>
      <c r="V15" s="62">
        <f t="shared" si="15"/>
        <v>115</v>
      </c>
      <c r="W15" s="410">
        <f t="shared" si="16"/>
        <v>115</v>
      </c>
      <c r="X15" s="64">
        <f t="shared" si="17"/>
        <v>2418</v>
      </c>
      <c r="Y15" s="52">
        <f t="shared" si="18"/>
        <v>0</v>
      </c>
      <c r="Z15" s="64">
        <f t="shared" si="17"/>
        <v>135964</v>
      </c>
      <c r="AA15" s="65">
        <f t="shared" si="6"/>
        <v>0</v>
      </c>
      <c r="AB15" s="292">
        <f t="shared" si="29"/>
        <v>0</v>
      </c>
      <c r="AC15" s="64">
        <v>1873</v>
      </c>
      <c r="AD15" s="45">
        <f t="shared" si="7"/>
        <v>4</v>
      </c>
      <c r="AE15" s="64">
        <v>361774.9</v>
      </c>
      <c r="AF15" s="314">
        <f t="shared" si="19"/>
        <v>220</v>
      </c>
      <c r="AG15" s="212">
        <f t="shared" si="31"/>
        <v>55</v>
      </c>
      <c r="AH15" s="62">
        <f t="shared" si="32"/>
        <v>220</v>
      </c>
      <c r="AI15" s="326">
        <f t="shared" si="20"/>
        <v>335</v>
      </c>
      <c r="AJ15" s="326">
        <f>-tanks!AW16</f>
        <v>335</v>
      </c>
      <c r="AK15" s="326">
        <f t="shared" si="21"/>
        <v>0</v>
      </c>
      <c r="AL15" s="326">
        <f t="shared" si="8"/>
        <v>1</v>
      </c>
      <c r="AM15" s="326">
        <f t="shared" si="22"/>
        <v>4</v>
      </c>
      <c r="AN15" s="64">
        <v>76</v>
      </c>
      <c r="AO15" s="328">
        <f t="shared" si="23"/>
        <v>2280</v>
      </c>
      <c r="AP15" s="64">
        <v>78</v>
      </c>
      <c r="AQ15" s="328">
        <f t="shared" si="24"/>
        <v>2340</v>
      </c>
      <c r="AR15" s="64">
        <v>76</v>
      </c>
      <c r="AS15" s="328">
        <f t="shared" si="33"/>
        <v>2280</v>
      </c>
      <c r="AT15" s="328">
        <f t="shared" si="34"/>
        <v>6900</v>
      </c>
      <c r="AU15" s="328">
        <f t="shared" si="35"/>
        <v>120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v>139</v>
      </c>
      <c r="C16" s="64">
        <v>146</v>
      </c>
      <c r="D16" s="45">
        <f t="shared" si="26"/>
        <v>20</v>
      </c>
      <c r="E16" s="45">
        <f t="shared" si="9"/>
        <v>167.60000000000002</v>
      </c>
      <c r="F16" s="64">
        <v>1623</v>
      </c>
      <c r="G16" s="52">
        <f t="shared" si="0"/>
        <v>2</v>
      </c>
      <c r="H16" s="64">
        <v>355940</v>
      </c>
      <c r="I16" s="406">
        <f t="shared" si="1"/>
        <v>136</v>
      </c>
      <c r="J16" s="66">
        <f t="shared" si="11"/>
        <v>68</v>
      </c>
      <c r="K16" s="64">
        <v>2076</v>
      </c>
      <c r="L16" s="52">
        <f t="shared" si="2"/>
        <v>1</v>
      </c>
      <c r="M16" s="64">
        <v>152337</v>
      </c>
      <c r="N16" s="406">
        <f t="shared" si="3"/>
        <v>84</v>
      </c>
      <c r="O16" s="64">
        <f t="shared" si="12"/>
        <v>211.87499999999994</v>
      </c>
      <c r="P16" s="64">
        <v>1830</v>
      </c>
      <c r="Q16" s="64">
        <v>155334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3</v>
      </c>
      <c r="V16" s="62">
        <f t="shared" si="15"/>
        <v>220</v>
      </c>
      <c r="W16" s="410">
        <f t="shared" si="16"/>
        <v>73.333333333333329</v>
      </c>
      <c r="X16" s="64">
        <v>2418</v>
      </c>
      <c r="Y16" s="52">
        <f t="shared" si="18"/>
        <v>0</v>
      </c>
      <c r="Z16" s="64">
        <v>135964</v>
      </c>
      <c r="AA16" s="65">
        <f t="shared" si="6"/>
        <v>0</v>
      </c>
      <c r="AB16" s="292">
        <f t="shared" si="29"/>
        <v>0</v>
      </c>
      <c r="AC16" s="64">
        <v>1873</v>
      </c>
      <c r="AD16" s="45">
        <f t="shared" si="7"/>
        <v>0</v>
      </c>
      <c r="AE16" s="64">
        <f>AE15</f>
        <v>361774.9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220</v>
      </c>
      <c r="AJ16" s="326">
        <f>-tanks!AW17</f>
        <v>220</v>
      </c>
      <c r="AK16" s="326">
        <f t="shared" si="21"/>
        <v>0</v>
      </c>
      <c r="AL16" s="326">
        <f t="shared" si="8"/>
        <v>3</v>
      </c>
      <c r="AM16" s="326">
        <f t="shared" si="22"/>
        <v>0</v>
      </c>
      <c r="AN16" s="64">
        <v>75</v>
      </c>
      <c r="AO16" s="328">
        <f t="shared" si="23"/>
        <v>2250</v>
      </c>
      <c r="AP16" s="64">
        <v>78</v>
      </c>
      <c r="AQ16" s="328">
        <f t="shared" si="24"/>
        <v>2340</v>
      </c>
      <c r="AR16" s="64">
        <v>76</v>
      </c>
      <c r="AS16" s="328">
        <f t="shared" si="33"/>
        <v>2280</v>
      </c>
      <c r="AT16" s="328">
        <f t="shared" si="34"/>
        <v>6870</v>
      </c>
      <c r="AU16" s="328">
        <f t="shared" si="35"/>
        <v>30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v>122.2</v>
      </c>
      <c r="C17" s="64">
        <v>129</v>
      </c>
      <c r="D17" s="45">
        <f t="shared" si="26"/>
        <v>17</v>
      </c>
      <c r="E17" s="45">
        <f t="shared" si="9"/>
        <v>142.46</v>
      </c>
      <c r="F17" s="64">
        <v>1624</v>
      </c>
      <c r="G17" s="52">
        <f t="shared" si="0"/>
        <v>1</v>
      </c>
      <c r="H17" s="64">
        <v>356052</v>
      </c>
      <c r="I17" s="406">
        <f t="shared" si="1"/>
        <v>112</v>
      </c>
      <c r="J17" s="66">
        <f t="shared" si="11"/>
        <v>112</v>
      </c>
      <c r="K17" s="64">
        <v>2077</v>
      </c>
      <c r="L17" s="52">
        <f t="shared" si="2"/>
        <v>1</v>
      </c>
      <c r="M17" s="64">
        <v>152390</v>
      </c>
      <c r="N17" s="406">
        <f t="shared" si="3"/>
        <v>53</v>
      </c>
      <c r="O17" s="64">
        <f t="shared" si="12"/>
        <v>211.87499999999994</v>
      </c>
      <c r="P17" s="64">
        <v>1830</v>
      </c>
      <c r="Q17" s="64">
        <v>155334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2</v>
      </c>
      <c r="V17" s="62">
        <f t="shared" si="15"/>
        <v>165</v>
      </c>
      <c r="W17" s="410"/>
      <c r="X17" s="64">
        <v>2418</v>
      </c>
      <c r="Y17" s="52">
        <f t="shared" si="18"/>
        <v>0</v>
      </c>
      <c r="Z17" s="64">
        <v>135964</v>
      </c>
      <c r="AA17" s="65">
        <f t="shared" si="6"/>
        <v>0</v>
      </c>
      <c r="AB17" s="292">
        <f t="shared" si="29"/>
        <v>0</v>
      </c>
      <c r="AC17" s="64">
        <v>1873</v>
      </c>
      <c r="AD17" s="45">
        <f t="shared" si="7"/>
        <v>0</v>
      </c>
      <c r="AE17" s="64">
        <f>AE16</f>
        <v>361774.9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165</v>
      </c>
      <c r="AJ17" s="326">
        <f>-tanks!AW18</f>
        <v>165</v>
      </c>
      <c r="AK17" s="326">
        <f t="shared" si="21"/>
        <v>0</v>
      </c>
      <c r="AL17" s="326">
        <f t="shared" si="8"/>
        <v>2</v>
      </c>
      <c r="AM17" s="326">
        <f t="shared" si="22"/>
        <v>0</v>
      </c>
      <c r="AN17" s="64">
        <v>73</v>
      </c>
      <c r="AO17" s="328">
        <f t="shared" si="23"/>
        <v>2190</v>
      </c>
      <c r="AP17" s="64">
        <v>78</v>
      </c>
      <c r="AQ17" s="328">
        <f t="shared" si="24"/>
        <v>2340</v>
      </c>
      <c r="AR17" s="64">
        <v>76</v>
      </c>
      <c r="AS17" s="328">
        <f t="shared" si="33"/>
        <v>2280</v>
      </c>
      <c r="AT17" s="328">
        <f t="shared" si="34"/>
        <v>6810</v>
      </c>
      <c r="AU17" s="328">
        <f t="shared" si="35"/>
        <v>60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v>137</v>
      </c>
      <c r="C18" s="64">
        <v>144</v>
      </c>
      <c r="D18" s="45">
        <f t="shared" si="26"/>
        <v>-15</v>
      </c>
      <c r="E18" s="45">
        <f t="shared" si="9"/>
        <v>-125.70000000000002</v>
      </c>
      <c r="F18" s="64">
        <v>1628</v>
      </c>
      <c r="G18" s="52">
        <f t="shared" si="0"/>
        <v>4</v>
      </c>
      <c r="H18" s="64">
        <v>356324</v>
      </c>
      <c r="I18" s="406">
        <f t="shared" si="1"/>
        <v>272</v>
      </c>
      <c r="J18" s="66">
        <f t="shared" si="11"/>
        <v>68</v>
      </c>
      <c r="K18" s="64">
        <v>2077</v>
      </c>
      <c r="L18" s="52">
        <f t="shared" si="2"/>
        <v>0</v>
      </c>
      <c r="M18" s="64">
        <v>152390</v>
      </c>
      <c r="N18" s="406">
        <f t="shared" si="3"/>
        <v>0</v>
      </c>
      <c r="O18" s="64">
        <f t="shared" si="12"/>
        <v>211.87499999999994</v>
      </c>
      <c r="P18" s="64">
        <v>1830</v>
      </c>
      <c r="Q18" s="64">
        <v>155334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4</v>
      </c>
      <c r="V18" s="62">
        <f t="shared" si="15"/>
        <v>272</v>
      </c>
      <c r="W18" s="410"/>
      <c r="X18" s="64">
        <v>2418</v>
      </c>
      <c r="Y18" s="52">
        <f t="shared" si="18"/>
        <v>0</v>
      </c>
      <c r="Z18" s="64">
        <v>135964</v>
      </c>
      <c r="AA18" s="65">
        <f t="shared" si="6"/>
        <v>0</v>
      </c>
      <c r="AB18" s="292">
        <f t="shared" ref="AB18:AB23" si="39">SUM(Y18*$AB$2)</f>
        <v>0</v>
      </c>
      <c r="AC18" s="64">
        <v>1875</v>
      </c>
      <c r="AD18" s="45">
        <f t="shared" si="7"/>
        <v>2</v>
      </c>
      <c r="AE18" s="64">
        <v>361937</v>
      </c>
      <c r="AF18" s="314">
        <f t="shared" si="19"/>
        <v>162.09999999997672</v>
      </c>
      <c r="AG18" s="212">
        <f t="shared" si="31"/>
        <v>81.049999999988358</v>
      </c>
      <c r="AH18" s="62">
        <f t="shared" si="32"/>
        <v>162.09999999997672</v>
      </c>
      <c r="AI18" s="326">
        <f t="shared" si="20"/>
        <v>434.09999999997672</v>
      </c>
      <c r="AJ18" s="326">
        <f>-tanks!AW19</f>
        <v>434.09999999997672</v>
      </c>
      <c r="AK18" s="326">
        <f t="shared" si="21"/>
        <v>0</v>
      </c>
      <c r="AL18" s="326">
        <f t="shared" si="8"/>
        <v>4</v>
      </c>
      <c r="AM18" s="326">
        <f t="shared" si="22"/>
        <v>2</v>
      </c>
      <c r="AN18" s="64">
        <v>71</v>
      </c>
      <c r="AO18" s="328">
        <f t="shared" si="23"/>
        <v>2130</v>
      </c>
      <c r="AP18" s="64">
        <v>76</v>
      </c>
      <c r="AQ18" s="328">
        <f t="shared" si="24"/>
        <v>2280</v>
      </c>
      <c r="AR18" s="64">
        <v>75</v>
      </c>
      <c r="AS18" s="328">
        <f t="shared" si="33"/>
        <v>2250</v>
      </c>
      <c r="AT18" s="328">
        <f t="shared" si="34"/>
        <v>6660</v>
      </c>
      <c r="AU18" s="328">
        <f t="shared" si="35"/>
        <v>150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v>118.2</v>
      </c>
      <c r="C19" s="64">
        <v>125.2</v>
      </c>
      <c r="D19" s="45">
        <f t="shared" si="26"/>
        <v>18.799999999999997</v>
      </c>
      <c r="E19" s="45">
        <f t="shared" si="9"/>
        <v>157.54399999999998</v>
      </c>
      <c r="F19" s="64">
        <v>1630</v>
      </c>
      <c r="G19" s="52">
        <f t="shared" si="0"/>
        <v>2</v>
      </c>
      <c r="H19" s="64">
        <v>356492</v>
      </c>
      <c r="I19" s="406">
        <f t="shared" si="1"/>
        <v>168</v>
      </c>
      <c r="J19" s="66">
        <f t="shared" si="11"/>
        <v>84</v>
      </c>
      <c r="K19" s="64">
        <v>2077</v>
      </c>
      <c r="L19" s="52">
        <f t="shared" si="2"/>
        <v>0</v>
      </c>
      <c r="M19" s="64">
        <v>152390</v>
      </c>
      <c r="N19" s="406">
        <f t="shared" si="3"/>
        <v>0</v>
      </c>
      <c r="O19" s="64">
        <f t="shared" si="12"/>
        <v>211.87499999999994</v>
      </c>
      <c r="P19" s="64">
        <v>1830</v>
      </c>
      <c r="Q19" s="64">
        <v>155334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2</v>
      </c>
      <c r="V19" s="62">
        <f t="shared" si="15"/>
        <v>168</v>
      </c>
      <c r="W19" s="410"/>
      <c r="X19" s="64">
        <v>2418</v>
      </c>
      <c r="Y19" s="52">
        <f t="shared" si="18"/>
        <v>0</v>
      </c>
      <c r="Z19" s="64">
        <v>135964</v>
      </c>
      <c r="AA19" s="65">
        <f t="shared" si="6"/>
        <v>0</v>
      </c>
      <c r="AB19" s="292">
        <f t="shared" si="39"/>
        <v>0</v>
      </c>
      <c r="AC19" s="64">
        <v>1880</v>
      </c>
      <c r="AD19" s="45">
        <f t="shared" si="7"/>
        <v>5</v>
      </c>
      <c r="AE19" s="64">
        <v>362221</v>
      </c>
      <c r="AF19" s="314">
        <f t="shared" si="19"/>
        <v>284</v>
      </c>
      <c r="AG19" s="212">
        <f t="shared" si="31"/>
        <v>56.8</v>
      </c>
      <c r="AH19" s="62">
        <f t="shared" si="32"/>
        <v>284</v>
      </c>
      <c r="AI19" s="326">
        <f t="shared" si="20"/>
        <v>452</v>
      </c>
      <c r="AJ19" s="326">
        <f>-tanks!AW20</f>
        <v>452</v>
      </c>
      <c r="AK19" s="326">
        <f t="shared" si="21"/>
        <v>0</v>
      </c>
      <c r="AL19" s="326">
        <f>S19+L20+G19</f>
        <v>2</v>
      </c>
      <c r="AM19" s="326">
        <f t="shared" si="22"/>
        <v>5</v>
      </c>
      <c r="AN19" s="64">
        <v>69</v>
      </c>
      <c r="AO19" s="328">
        <f t="shared" si="23"/>
        <v>2070</v>
      </c>
      <c r="AP19" s="64">
        <v>73</v>
      </c>
      <c r="AQ19" s="328">
        <f t="shared" si="24"/>
        <v>2190</v>
      </c>
      <c r="AR19" s="64">
        <v>73</v>
      </c>
      <c r="AS19" s="328">
        <f t="shared" si="33"/>
        <v>2190</v>
      </c>
      <c r="AT19" s="328">
        <f t="shared" si="34"/>
        <v>6450</v>
      </c>
      <c r="AU19" s="328">
        <f t="shared" si="35"/>
        <v>210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v>171.3</v>
      </c>
      <c r="C20" s="64">
        <v>178</v>
      </c>
      <c r="D20" s="45">
        <f>C19-C20</f>
        <v>-52.8</v>
      </c>
      <c r="E20" s="45">
        <f t="shared" si="9"/>
        <v>-442.464</v>
      </c>
      <c r="F20" s="64">
        <v>1633</v>
      </c>
      <c r="G20" s="52">
        <f t="shared" si="0"/>
        <v>3</v>
      </c>
      <c r="H20" s="64">
        <v>356674</v>
      </c>
      <c r="I20" s="406">
        <f t="shared" si="1"/>
        <v>182</v>
      </c>
      <c r="J20" s="66">
        <f t="shared" si="11"/>
        <v>60.666666666666664</v>
      </c>
      <c r="K20" s="64">
        <v>2077</v>
      </c>
      <c r="L20" s="52">
        <f t="shared" si="2"/>
        <v>0</v>
      </c>
      <c r="M20" s="64">
        <v>152390</v>
      </c>
      <c r="N20" s="406">
        <f t="shared" si="3"/>
        <v>0</v>
      </c>
      <c r="O20" s="64">
        <f t="shared" si="12"/>
        <v>211.87499999999994</v>
      </c>
      <c r="P20" s="64">
        <v>1830</v>
      </c>
      <c r="Q20" s="64">
        <v>155334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3</v>
      </c>
      <c r="V20" s="62">
        <f t="shared" si="15"/>
        <v>182</v>
      </c>
      <c r="W20" s="410"/>
      <c r="X20" s="64">
        <v>2418</v>
      </c>
      <c r="Y20" s="52">
        <f t="shared" si="18"/>
        <v>0</v>
      </c>
      <c r="Z20" s="64">
        <v>135964</v>
      </c>
      <c r="AA20" s="65">
        <f t="shared" si="6"/>
        <v>0</v>
      </c>
      <c r="AB20" s="292">
        <f t="shared" si="39"/>
        <v>0</v>
      </c>
      <c r="AC20" s="64">
        <v>1881</v>
      </c>
      <c r="AD20" s="45">
        <f t="shared" si="7"/>
        <v>1</v>
      </c>
      <c r="AE20" s="64">
        <v>362296</v>
      </c>
      <c r="AF20" s="314">
        <f t="shared" si="19"/>
        <v>75</v>
      </c>
      <c r="AG20" s="212">
        <f t="shared" si="31"/>
        <v>75</v>
      </c>
      <c r="AH20" s="62">
        <f t="shared" si="32"/>
        <v>75</v>
      </c>
      <c r="AI20" s="326">
        <f t="shared" si="20"/>
        <v>257</v>
      </c>
      <c r="AJ20" s="326">
        <f>-tanks!AW21</f>
        <v>257</v>
      </c>
      <c r="AK20" s="326">
        <f t="shared" si="21"/>
        <v>0</v>
      </c>
      <c r="AL20" s="326">
        <f>S20+L21+G20</f>
        <v>3</v>
      </c>
      <c r="AM20" s="326">
        <f t="shared" si="22"/>
        <v>1</v>
      </c>
      <c r="AN20" s="64">
        <v>83</v>
      </c>
      <c r="AO20" s="328">
        <f t="shared" si="23"/>
        <v>2490</v>
      </c>
      <c r="AP20" s="64">
        <v>83</v>
      </c>
      <c r="AQ20" s="328">
        <f t="shared" si="24"/>
        <v>2490</v>
      </c>
      <c r="AR20" s="64">
        <v>82</v>
      </c>
      <c r="AS20" s="328">
        <f t="shared" si="33"/>
        <v>2460</v>
      </c>
      <c r="AT20" s="328">
        <f t="shared" si="34"/>
        <v>7440</v>
      </c>
      <c r="AU20" s="328">
        <f t="shared" si="35"/>
        <v>310</v>
      </c>
      <c r="AV20" s="275">
        <v>1300</v>
      </c>
      <c r="AW20" s="275">
        <v>0.7</v>
      </c>
      <c r="AX20" s="321">
        <f t="shared" si="25"/>
        <v>0.7</v>
      </c>
    </row>
    <row r="21" spans="1:50">
      <c r="A21" s="63">
        <f>ELEC!C19</f>
        <v>44029</v>
      </c>
      <c r="B21" s="64">
        <v>183</v>
      </c>
      <c r="C21" s="64">
        <v>189</v>
      </c>
      <c r="D21" s="45">
        <f t="shared" ref="D21:D31" si="40">C20-C21</f>
        <v>-11</v>
      </c>
      <c r="E21" s="45">
        <f t="shared" si="9"/>
        <v>-92.18</v>
      </c>
      <c r="F21" s="64">
        <v>1635</v>
      </c>
      <c r="G21" s="52">
        <f t="shared" si="0"/>
        <v>2</v>
      </c>
      <c r="H21" s="64">
        <v>356862</v>
      </c>
      <c r="I21" s="406">
        <f t="shared" si="1"/>
        <v>188</v>
      </c>
      <c r="J21" s="66">
        <f t="shared" si="11"/>
        <v>94</v>
      </c>
      <c r="K21" s="64">
        <v>2077</v>
      </c>
      <c r="L21" s="52">
        <f t="shared" si="2"/>
        <v>0</v>
      </c>
      <c r="M21" s="64">
        <v>152390</v>
      </c>
      <c r="N21" s="406">
        <f t="shared" si="3"/>
        <v>0</v>
      </c>
      <c r="O21" s="64">
        <f t="shared" si="12"/>
        <v>211.87499999999994</v>
      </c>
      <c r="P21" s="64">
        <v>1830</v>
      </c>
      <c r="Q21" s="64">
        <v>155334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2</v>
      </c>
      <c r="V21" s="62">
        <f t="shared" si="15"/>
        <v>188</v>
      </c>
      <c r="W21" s="410"/>
      <c r="X21" s="64">
        <v>2418</v>
      </c>
      <c r="Y21" s="52">
        <f t="shared" si="18"/>
        <v>0</v>
      </c>
      <c r="Z21" s="64">
        <v>135964</v>
      </c>
      <c r="AA21" s="65">
        <f t="shared" si="6"/>
        <v>0</v>
      </c>
      <c r="AB21" s="292">
        <f t="shared" si="39"/>
        <v>0</v>
      </c>
      <c r="AC21" s="64">
        <v>1881</v>
      </c>
      <c r="AD21" s="45">
        <f t="shared" si="7"/>
        <v>0</v>
      </c>
      <c r="AE21" s="64">
        <v>362296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188</v>
      </c>
      <c r="AJ21" s="326">
        <f>-tanks!AW22</f>
        <v>188</v>
      </c>
      <c r="AK21" s="326">
        <f t="shared" si="21"/>
        <v>0</v>
      </c>
      <c r="AL21" s="326">
        <f t="shared" ref="AL21:AL34" si="41">S21+L21+G21</f>
        <v>2</v>
      </c>
      <c r="AM21" s="326">
        <f t="shared" si="22"/>
        <v>0</v>
      </c>
      <c r="AN21" s="64">
        <v>80</v>
      </c>
      <c r="AO21" s="328">
        <f t="shared" si="23"/>
        <v>2400</v>
      </c>
      <c r="AP21" s="64">
        <v>83</v>
      </c>
      <c r="AQ21" s="328">
        <f t="shared" si="24"/>
        <v>2490</v>
      </c>
      <c r="AR21" s="64">
        <v>80</v>
      </c>
      <c r="AS21" s="328">
        <f t="shared" si="33"/>
        <v>2400</v>
      </c>
      <c r="AT21" s="328">
        <f t="shared" si="34"/>
        <v>7290</v>
      </c>
      <c r="AU21" s="328">
        <f t="shared" si="35"/>
        <v>150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v>163</v>
      </c>
      <c r="C22" s="64">
        <v>170</v>
      </c>
      <c r="D22" s="45">
        <f t="shared" si="40"/>
        <v>19</v>
      </c>
      <c r="E22" s="45">
        <f t="shared" si="9"/>
        <v>159.22000000000003</v>
      </c>
      <c r="F22" s="64">
        <v>1637</v>
      </c>
      <c r="G22" s="52">
        <f t="shared" si="0"/>
        <v>2</v>
      </c>
      <c r="H22" s="64">
        <v>357042</v>
      </c>
      <c r="I22" s="406">
        <f t="shared" si="1"/>
        <v>180</v>
      </c>
      <c r="J22" s="66">
        <f t="shared" si="11"/>
        <v>90</v>
      </c>
      <c r="K22" s="64">
        <f t="shared" si="12"/>
        <v>2077</v>
      </c>
      <c r="L22" s="52">
        <f t="shared" si="2"/>
        <v>0</v>
      </c>
      <c r="M22" s="64">
        <f t="shared" ref="M22" si="42">M21</f>
        <v>152390</v>
      </c>
      <c r="N22" s="406">
        <f t="shared" si="3"/>
        <v>0</v>
      </c>
      <c r="O22" s="64">
        <f t="shared" si="12"/>
        <v>211.87499999999994</v>
      </c>
      <c r="P22" s="64">
        <f t="shared" si="12"/>
        <v>1830</v>
      </c>
      <c r="Q22" s="64">
        <f t="shared" ref="Q22" si="43">Q21</f>
        <v>155334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2</v>
      </c>
      <c r="V22" s="62">
        <f t="shared" si="15"/>
        <v>180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</v>
      </c>
      <c r="AA22" s="65">
        <f t="shared" si="6"/>
        <v>0</v>
      </c>
      <c r="AB22" s="292">
        <f t="shared" si="39"/>
        <v>0</v>
      </c>
      <c r="AC22" s="64">
        <v>1883</v>
      </c>
      <c r="AD22" s="45">
        <f t="shared" si="7"/>
        <v>2</v>
      </c>
      <c r="AE22" s="64">
        <v>362443</v>
      </c>
      <c r="AF22" s="314">
        <f t="shared" si="19"/>
        <v>147</v>
      </c>
      <c r="AG22" s="212">
        <f t="shared" si="31"/>
        <v>73.5</v>
      </c>
      <c r="AH22" s="62">
        <f t="shared" si="32"/>
        <v>147</v>
      </c>
      <c r="AI22" s="326">
        <f t="shared" si="20"/>
        <v>327</v>
      </c>
      <c r="AJ22" s="326">
        <f>-tanks!AW23</f>
        <v>327</v>
      </c>
      <c r="AK22" s="326">
        <f t="shared" si="21"/>
        <v>0</v>
      </c>
      <c r="AL22" s="326">
        <f t="shared" si="41"/>
        <v>2</v>
      </c>
      <c r="AM22" s="326">
        <f t="shared" si="22"/>
        <v>2</v>
      </c>
      <c r="AN22" s="64">
        <v>78</v>
      </c>
      <c r="AO22" s="328">
        <f t="shared" si="23"/>
        <v>2340</v>
      </c>
      <c r="AP22" s="64">
        <v>82</v>
      </c>
      <c r="AQ22" s="328">
        <f t="shared" si="24"/>
        <v>2460</v>
      </c>
      <c r="AR22" s="64">
        <v>80</v>
      </c>
      <c r="AS22" s="328">
        <f t="shared" si="33"/>
        <v>2400</v>
      </c>
      <c r="AT22" s="328">
        <f t="shared" si="34"/>
        <v>7200</v>
      </c>
      <c r="AU22" s="328">
        <f t="shared" si="35"/>
        <v>90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v>148</v>
      </c>
      <c r="C23" s="64">
        <v>155</v>
      </c>
      <c r="D23" s="45">
        <f t="shared" si="40"/>
        <v>15</v>
      </c>
      <c r="E23" s="45">
        <f t="shared" si="9"/>
        <v>125.70000000000002</v>
      </c>
      <c r="F23" s="64">
        <v>1639</v>
      </c>
      <c r="G23" s="52">
        <f t="shared" si="0"/>
        <v>2</v>
      </c>
      <c r="H23" s="64">
        <v>357185</v>
      </c>
      <c r="I23" s="406">
        <f t="shared" si="1"/>
        <v>143</v>
      </c>
      <c r="J23" s="66">
        <f t="shared" si="11"/>
        <v>71.5</v>
      </c>
      <c r="K23" s="64">
        <v>2077</v>
      </c>
      <c r="L23" s="52">
        <f t="shared" si="2"/>
        <v>0</v>
      </c>
      <c r="M23" s="64">
        <v>152390</v>
      </c>
      <c r="N23" s="406">
        <f t="shared" si="3"/>
        <v>0</v>
      </c>
      <c r="O23" s="64">
        <f t="shared" si="12"/>
        <v>211.87499999999994</v>
      </c>
      <c r="P23" s="64">
        <v>1830</v>
      </c>
      <c r="Q23" s="64">
        <f t="shared" ref="Q23" si="44">Q22</f>
        <v>155334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2</v>
      </c>
      <c r="V23" s="62">
        <f t="shared" si="15"/>
        <v>143</v>
      </c>
      <c r="W23" s="410"/>
      <c r="X23" s="64">
        <v>2418</v>
      </c>
      <c r="Y23" s="52">
        <f t="shared" si="18"/>
        <v>0</v>
      </c>
      <c r="Z23" s="64">
        <v>135964</v>
      </c>
      <c r="AA23" s="65">
        <f t="shared" si="6"/>
        <v>0</v>
      </c>
      <c r="AB23" s="292">
        <f t="shared" si="39"/>
        <v>0</v>
      </c>
      <c r="AC23" s="64">
        <v>1883</v>
      </c>
      <c r="AD23" s="45">
        <f t="shared" si="7"/>
        <v>0</v>
      </c>
      <c r="AE23" s="64">
        <v>362443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143</v>
      </c>
      <c r="AJ23" s="326">
        <f>-tanks!AW24</f>
        <v>143</v>
      </c>
      <c r="AK23" s="326">
        <f t="shared" si="21"/>
        <v>0</v>
      </c>
      <c r="AL23" s="326">
        <f t="shared" si="41"/>
        <v>2</v>
      </c>
      <c r="AM23" s="326">
        <f t="shared" si="22"/>
        <v>0</v>
      </c>
      <c r="AN23" s="64">
        <v>78</v>
      </c>
      <c r="AO23" s="328">
        <f t="shared" si="23"/>
        <v>2340</v>
      </c>
      <c r="AP23" s="64">
        <v>80</v>
      </c>
      <c r="AQ23" s="328">
        <f t="shared" si="24"/>
        <v>2400</v>
      </c>
      <c r="AR23" s="64">
        <v>79</v>
      </c>
      <c r="AS23" s="328">
        <f t="shared" si="33"/>
        <v>2370</v>
      </c>
      <c r="AT23" s="328">
        <f t="shared" si="34"/>
        <v>7110</v>
      </c>
      <c r="AU23" s="328">
        <f t="shared" si="35"/>
        <v>90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v>130</v>
      </c>
      <c r="C24" s="64">
        <v>137</v>
      </c>
      <c r="D24" s="45">
        <f t="shared" si="40"/>
        <v>18</v>
      </c>
      <c r="E24" s="45">
        <f t="shared" si="9"/>
        <v>150.84</v>
      </c>
      <c r="F24" s="64">
        <v>1640</v>
      </c>
      <c r="G24" s="52">
        <f t="shared" si="0"/>
        <v>1</v>
      </c>
      <c r="H24" s="64">
        <v>357257</v>
      </c>
      <c r="I24" s="406">
        <f t="shared" si="1"/>
        <v>72</v>
      </c>
      <c r="J24" s="66">
        <f t="shared" si="11"/>
        <v>72</v>
      </c>
      <c r="K24" s="64">
        <v>2077</v>
      </c>
      <c r="L24" s="52">
        <f t="shared" si="2"/>
        <v>0</v>
      </c>
      <c r="M24" s="64">
        <v>152390</v>
      </c>
      <c r="N24" s="406">
        <f t="shared" si="3"/>
        <v>0</v>
      </c>
      <c r="O24" s="64">
        <f t="shared" si="12"/>
        <v>211.87499999999994</v>
      </c>
      <c r="P24" s="64">
        <v>1830</v>
      </c>
      <c r="Q24" s="64">
        <v>155334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1</v>
      </c>
      <c r="V24" s="62">
        <f t="shared" si="15"/>
        <v>72</v>
      </c>
      <c r="W24" s="410"/>
      <c r="X24" s="64">
        <v>2418</v>
      </c>
      <c r="Y24" s="52">
        <f t="shared" si="18"/>
        <v>0</v>
      </c>
      <c r="Z24" s="64">
        <v>135964</v>
      </c>
      <c r="AA24" s="65">
        <f t="shared" si="6"/>
        <v>0</v>
      </c>
      <c r="AB24" s="292">
        <f t="shared" ref="AB24:AB34" si="45">SUM(Y24*$AB$2)</f>
        <v>0</v>
      </c>
      <c r="AC24" s="64">
        <v>1886</v>
      </c>
      <c r="AD24" s="45">
        <f t="shared" si="7"/>
        <v>3</v>
      </c>
      <c r="AE24" s="64">
        <v>362582</v>
      </c>
      <c r="AF24" s="314">
        <f t="shared" si="19"/>
        <v>139</v>
      </c>
      <c r="AG24" s="212">
        <f t="shared" si="31"/>
        <v>46.333333333333336</v>
      </c>
      <c r="AH24" s="62">
        <f t="shared" si="32"/>
        <v>139</v>
      </c>
      <c r="AI24" s="326">
        <f t="shared" si="20"/>
        <v>211</v>
      </c>
      <c r="AJ24" s="326">
        <f>-tanks!AW25</f>
        <v>211</v>
      </c>
      <c r="AK24" s="326">
        <f t="shared" si="21"/>
        <v>0</v>
      </c>
      <c r="AL24" s="326">
        <f t="shared" si="41"/>
        <v>1</v>
      </c>
      <c r="AM24" s="326">
        <f t="shared" si="22"/>
        <v>3</v>
      </c>
      <c r="AN24" s="64">
        <v>76</v>
      </c>
      <c r="AO24" s="328">
        <f t="shared" si="23"/>
        <v>2280</v>
      </c>
      <c r="AP24" s="64">
        <v>79</v>
      </c>
      <c r="AQ24" s="328">
        <f t="shared" si="24"/>
        <v>2370</v>
      </c>
      <c r="AR24" s="64">
        <v>79</v>
      </c>
      <c r="AS24" s="328">
        <f t="shared" si="33"/>
        <v>2370</v>
      </c>
      <c r="AT24" s="328">
        <f t="shared" ref="AT24:AT34" si="46">SUM(AO24+AQ24+AS24)</f>
        <v>7020</v>
      </c>
      <c r="AU24" s="328">
        <f t="shared" si="35"/>
        <v>90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v>193.4</v>
      </c>
      <c r="C25" s="64">
        <v>199</v>
      </c>
      <c r="D25" s="45">
        <f t="shared" si="40"/>
        <v>-62</v>
      </c>
      <c r="E25" s="45">
        <f t="shared" si="9"/>
        <v>-519.56000000000006</v>
      </c>
      <c r="F25" s="64">
        <v>1644</v>
      </c>
      <c r="G25" s="52">
        <f t="shared" si="0"/>
        <v>4</v>
      </c>
      <c r="H25" s="64">
        <v>357591</v>
      </c>
      <c r="I25" s="406">
        <f t="shared" si="1"/>
        <v>334</v>
      </c>
      <c r="J25" s="66">
        <f t="shared" si="11"/>
        <v>83.5</v>
      </c>
      <c r="K25" s="64">
        <v>2077</v>
      </c>
      <c r="L25" s="52">
        <f t="shared" si="2"/>
        <v>0</v>
      </c>
      <c r="M25" s="64">
        <v>152390</v>
      </c>
      <c r="N25" s="406">
        <f t="shared" si="3"/>
        <v>0</v>
      </c>
      <c r="O25" s="64">
        <f t="shared" si="12"/>
        <v>211.87499999999994</v>
      </c>
      <c r="P25" s="64">
        <v>1830</v>
      </c>
      <c r="Q25" s="64">
        <v>155381</v>
      </c>
      <c r="R25" s="405">
        <f t="shared" si="37"/>
        <v>47</v>
      </c>
      <c r="S25" s="52">
        <f t="shared" si="5"/>
        <v>0</v>
      </c>
      <c r="T25" s="67">
        <f t="shared" si="28"/>
        <v>0</v>
      </c>
      <c r="U25" s="412">
        <f t="shared" si="14"/>
        <v>4</v>
      </c>
      <c r="V25" s="62">
        <f t="shared" si="15"/>
        <v>381</v>
      </c>
      <c r="W25" s="410"/>
      <c r="X25" s="64">
        <v>2418</v>
      </c>
      <c r="Y25" s="52">
        <f t="shared" si="18"/>
        <v>0</v>
      </c>
      <c r="Z25" s="64">
        <v>135964</v>
      </c>
      <c r="AA25" s="65">
        <f t="shared" si="6"/>
        <v>0</v>
      </c>
      <c r="AB25" s="292">
        <f t="shared" si="45"/>
        <v>0</v>
      </c>
      <c r="AC25" s="64">
        <v>1889</v>
      </c>
      <c r="AD25" s="45">
        <f t="shared" si="7"/>
        <v>3</v>
      </c>
      <c r="AE25" s="64">
        <v>362787</v>
      </c>
      <c r="AF25" s="314">
        <f t="shared" si="19"/>
        <v>205</v>
      </c>
      <c r="AG25" s="212">
        <f t="shared" si="31"/>
        <v>68.333333333333329</v>
      </c>
      <c r="AH25" s="62">
        <f t="shared" si="32"/>
        <v>205</v>
      </c>
      <c r="AI25" s="326">
        <f t="shared" si="20"/>
        <v>586</v>
      </c>
      <c r="AJ25" s="326">
        <f>-tanks!AW26</f>
        <v>586</v>
      </c>
      <c r="AK25" s="326">
        <f t="shared" si="21"/>
        <v>0</v>
      </c>
      <c r="AL25" s="326">
        <f t="shared" si="41"/>
        <v>4</v>
      </c>
      <c r="AM25" s="326">
        <f t="shared" si="22"/>
        <v>3</v>
      </c>
      <c r="AN25" s="64">
        <v>68</v>
      </c>
      <c r="AO25" s="328">
        <f t="shared" si="23"/>
        <v>2040.0000000000002</v>
      </c>
      <c r="AP25" s="64">
        <v>75</v>
      </c>
      <c r="AQ25" s="328">
        <f t="shared" ref="AQ25:AQ34" si="47">(AP25/100)*3000</f>
        <v>2250</v>
      </c>
      <c r="AR25" s="64">
        <v>75</v>
      </c>
      <c r="AS25" s="328">
        <f t="shared" si="33"/>
        <v>2250</v>
      </c>
      <c r="AT25" s="328">
        <f t="shared" si="46"/>
        <v>6540</v>
      </c>
      <c r="AU25" s="328">
        <f t="shared" si="35"/>
        <v>480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v>174</v>
      </c>
      <c r="C26" s="64">
        <v>181</v>
      </c>
      <c r="D26" s="45">
        <f t="shared" si="40"/>
        <v>18</v>
      </c>
      <c r="E26" s="45">
        <f t="shared" si="9"/>
        <v>150.84</v>
      </c>
      <c r="F26" s="64">
        <v>1644</v>
      </c>
      <c r="G26" s="52">
        <f t="shared" si="0"/>
        <v>0</v>
      </c>
      <c r="H26" s="64">
        <v>357591</v>
      </c>
      <c r="I26" s="406">
        <f t="shared" si="1"/>
        <v>0</v>
      </c>
      <c r="J26" s="66">
        <f t="shared" si="11"/>
        <v>0</v>
      </c>
      <c r="K26" s="64">
        <v>2079</v>
      </c>
      <c r="L26" s="52">
        <f t="shared" si="2"/>
        <v>2</v>
      </c>
      <c r="M26" s="64">
        <v>152498</v>
      </c>
      <c r="N26" s="406">
        <f t="shared" si="3"/>
        <v>108</v>
      </c>
      <c r="O26" s="64">
        <f t="shared" si="12"/>
        <v>211.87499999999994</v>
      </c>
      <c r="P26" s="64">
        <v>1831</v>
      </c>
      <c r="Q26" s="64">
        <v>155463</v>
      </c>
      <c r="R26" s="405">
        <f t="shared" si="37"/>
        <v>82</v>
      </c>
      <c r="S26" s="52">
        <f t="shared" si="5"/>
        <v>1</v>
      </c>
      <c r="T26" s="67">
        <f t="shared" si="28"/>
        <v>0</v>
      </c>
      <c r="U26" s="412">
        <f t="shared" si="14"/>
        <v>3</v>
      </c>
      <c r="V26" s="62">
        <f t="shared" si="15"/>
        <v>190</v>
      </c>
      <c r="W26" s="410"/>
      <c r="X26" s="64">
        <v>2418</v>
      </c>
      <c r="Y26" s="52">
        <f t="shared" si="18"/>
        <v>0</v>
      </c>
      <c r="Z26" s="64">
        <v>135964</v>
      </c>
      <c r="AA26" s="65">
        <f t="shared" si="6"/>
        <v>0</v>
      </c>
      <c r="AB26" s="292">
        <f t="shared" si="45"/>
        <v>0</v>
      </c>
      <c r="AC26" s="64">
        <v>1894</v>
      </c>
      <c r="AD26" s="45">
        <f t="shared" si="7"/>
        <v>5</v>
      </c>
      <c r="AE26" s="64">
        <v>363048</v>
      </c>
      <c r="AF26" s="314">
        <f t="shared" si="19"/>
        <v>261</v>
      </c>
      <c r="AG26" s="212">
        <f t="shared" si="31"/>
        <v>52.2</v>
      </c>
      <c r="AH26" s="62">
        <f t="shared" si="32"/>
        <v>261</v>
      </c>
      <c r="AI26" s="326">
        <f t="shared" si="20"/>
        <v>451</v>
      </c>
      <c r="AJ26" s="326">
        <f>-tanks!AW27</f>
        <v>451</v>
      </c>
      <c r="AK26" s="326">
        <f t="shared" si="21"/>
        <v>0</v>
      </c>
      <c r="AL26" s="326">
        <f t="shared" si="41"/>
        <v>3</v>
      </c>
      <c r="AM26" s="326">
        <f t="shared" si="22"/>
        <v>5</v>
      </c>
      <c r="AN26" s="64">
        <v>68</v>
      </c>
      <c r="AO26" s="328">
        <f t="shared" si="23"/>
        <v>2040.0000000000002</v>
      </c>
      <c r="AP26" s="64">
        <v>73</v>
      </c>
      <c r="AQ26" s="328">
        <f t="shared" si="47"/>
        <v>2190</v>
      </c>
      <c r="AR26" s="64">
        <v>72</v>
      </c>
      <c r="AS26" s="328">
        <f t="shared" si="33"/>
        <v>2160</v>
      </c>
      <c r="AT26" s="328">
        <f t="shared" si="46"/>
        <v>6390</v>
      </c>
      <c r="AU26" s="328">
        <f t="shared" si="35"/>
        <v>150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v>239</v>
      </c>
      <c r="C27" s="64">
        <v>244</v>
      </c>
      <c r="D27" s="45">
        <f t="shared" si="40"/>
        <v>-63</v>
      </c>
      <c r="E27" s="45">
        <f t="shared" si="9"/>
        <v>-527.94000000000005</v>
      </c>
      <c r="F27" s="64">
        <v>1647</v>
      </c>
      <c r="G27" s="52">
        <f t="shared" si="0"/>
        <v>3</v>
      </c>
      <c r="H27" s="64">
        <v>357776</v>
      </c>
      <c r="I27" s="406">
        <f t="shared" si="1"/>
        <v>185</v>
      </c>
      <c r="J27" s="66">
        <f t="shared" si="11"/>
        <v>61.666666666666664</v>
      </c>
      <c r="K27" s="64">
        <v>2080</v>
      </c>
      <c r="L27" s="52">
        <f t="shared" si="2"/>
        <v>1</v>
      </c>
      <c r="M27" s="64">
        <v>152637</v>
      </c>
      <c r="N27" s="406">
        <f t="shared" si="3"/>
        <v>139</v>
      </c>
      <c r="O27" s="64">
        <f t="shared" si="12"/>
        <v>211.87499999999994</v>
      </c>
      <c r="P27" s="64">
        <v>1831</v>
      </c>
      <c r="Q27" s="64">
        <v>155463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4</v>
      </c>
      <c r="V27" s="62">
        <f t="shared" si="15"/>
        <v>324</v>
      </c>
      <c r="W27" s="410"/>
      <c r="X27" s="64">
        <v>2418</v>
      </c>
      <c r="Y27" s="52">
        <f t="shared" si="18"/>
        <v>0</v>
      </c>
      <c r="Z27" s="64">
        <v>135964</v>
      </c>
      <c r="AA27" s="65">
        <f t="shared" si="6"/>
        <v>0</v>
      </c>
      <c r="AB27" s="292">
        <f t="shared" si="45"/>
        <v>0</v>
      </c>
      <c r="AC27" s="64">
        <v>1894</v>
      </c>
      <c r="AD27" s="45">
        <f t="shared" si="7"/>
        <v>0</v>
      </c>
      <c r="AE27" s="64">
        <v>363048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324</v>
      </c>
      <c r="AJ27" s="326">
        <f>-tanks!AW28</f>
        <v>324</v>
      </c>
      <c r="AK27" s="326">
        <f t="shared" si="21"/>
        <v>0</v>
      </c>
      <c r="AL27" s="326">
        <f t="shared" si="41"/>
        <v>4</v>
      </c>
      <c r="AM27" s="326">
        <f t="shared" si="22"/>
        <v>0</v>
      </c>
      <c r="AN27" s="64">
        <v>79</v>
      </c>
      <c r="AO27" s="328">
        <f>(AN27/100)*3000</f>
        <v>2370</v>
      </c>
      <c r="AP27" s="64">
        <v>79</v>
      </c>
      <c r="AQ27" s="328">
        <f t="shared" si="47"/>
        <v>2370</v>
      </c>
      <c r="AR27" s="64">
        <v>79</v>
      </c>
      <c r="AS27" s="328">
        <f t="shared" si="33"/>
        <v>2370</v>
      </c>
      <c r="AT27" s="328">
        <f t="shared" si="46"/>
        <v>7110</v>
      </c>
      <c r="AU27" s="328">
        <f t="shared" si="35"/>
        <v>280</v>
      </c>
      <c r="AV27" s="275">
        <v>1000</v>
      </c>
      <c r="AW27" s="517">
        <v>0.7</v>
      </c>
      <c r="AX27" s="321">
        <f t="shared" si="25"/>
        <v>0.7</v>
      </c>
    </row>
    <row r="28" spans="1:50">
      <c r="A28" s="63">
        <f>ELEC!C26</f>
        <v>44036</v>
      </c>
      <c r="B28" s="64">
        <v>220</v>
      </c>
      <c r="C28" s="64">
        <v>227</v>
      </c>
      <c r="D28" s="45">
        <f t="shared" si="40"/>
        <v>17</v>
      </c>
      <c r="E28" s="45">
        <f t="shared" si="9"/>
        <v>142.46</v>
      </c>
      <c r="F28" s="64">
        <v>1648</v>
      </c>
      <c r="G28" s="52">
        <f t="shared" si="0"/>
        <v>1</v>
      </c>
      <c r="H28" s="64">
        <v>357868</v>
      </c>
      <c r="I28" s="406">
        <f t="shared" si="1"/>
        <v>92</v>
      </c>
      <c r="J28" s="66">
        <f t="shared" si="11"/>
        <v>92</v>
      </c>
      <c r="K28" s="64">
        <v>2082</v>
      </c>
      <c r="L28" s="52">
        <f t="shared" si="2"/>
        <v>2</v>
      </c>
      <c r="M28" s="64">
        <v>152749</v>
      </c>
      <c r="N28" s="406">
        <f t="shared" si="3"/>
        <v>112</v>
      </c>
      <c r="O28" s="64">
        <f t="shared" si="12"/>
        <v>211.87499999999994</v>
      </c>
      <c r="P28" s="64">
        <f t="shared" si="12"/>
        <v>1831</v>
      </c>
      <c r="Q28" s="64">
        <f t="shared" ref="Q28" si="48">Q27</f>
        <v>155463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3</v>
      </c>
      <c r="V28" s="62">
        <f t="shared" si="15"/>
        <v>204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</v>
      </c>
      <c r="AA28" s="65">
        <f t="shared" si="6"/>
        <v>0</v>
      </c>
      <c r="AB28" s="292">
        <f t="shared" si="45"/>
        <v>0</v>
      </c>
      <c r="AC28" s="64">
        <v>1899</v>
      </c>
      <c r="AD28" s="45">
        <f t="shared" si="7"/>
        <v>5</v>
      </c>
      <c r="AE28" s="64">
        <v>363328</v>
      </c>
      <c r="AF28" s="314">
        <f t="shared" si="19"/>
        <v>280</v>
      </c>
      <c r="AG28" s="212">
        <f t="shared" si="31"/>
        <v>56</v>
      </c>
      <c r="AH28" s="62">
        <f t="shared" si="32"/>
        <v>280</v>
      </c>
      <c r="AI28" s="326">
        <f t="shared" si="20"/>
        <v>484</v>
      </c>
      <c r="AJ28" s="326">
        <f>-tanks!AW29</f>
        <v>484</v>
      </c>
      <c r="AK28" s="326">
        <f t="shared" si="21"/>
        <v>0</v>
      </c>
      <c r="AL28" s="326">
        <f t="shared" si="41"/>
        <v>3</v>
      </c>
      <c r="AM28" s="326">
        <f t="shared" si="22"/>
        <v>5</v>
      </c>
      <c r="AN28" s="64">
        <v>77</v>
      </c>
      <c r="AO28" s="328">
        <f t="shared" ref="AO28:AO34" si="49">(AN28/100)*3000</f>
        <v>2310</v>
      </c>
      <c r="AP28" s="64">
        <v>77</v>
      </c>
      <c r="AQ28" s="328">
        <f t="shared" si="47"/>
        <v>2310</v>
      </c>
      <c r="AR28" s="64">
        <v>77</v>
      </c>
      <c r="AS28" s="328">
        <f t="shared" si="33"/>
        <v>2310</v>
      </c>
      <c r="AT28" s="328">
        <f t="shared" si="46"/>
        <v>6930</v>
      </c>
      <c r="AU28" s="328">
        <f t="shared" si="35"/>
        <v>180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v>210</v>
      </c>
      <c r="C29" s="64">
        <v>216</v>
      </c>
      <c r="D29" s="45">
        <f t="shared" si="40"/>
        <v>11</v>
      </c>
      <c r="E29" s="45">
        <f t="shared" si="9"/>
        <v>92.18</v>
      </c>
      <c r="F29" s="64">
        <f t="shared" si="10"/>
        <v>1648</v>
      </c>
      <c r="G29" s="52">
        <f t="shared" si="0"/>
        <v>0</v>
      </c>
      <c r="H29" s="64">
        <f t="shared" si="10"/>
        <v>357868</v>
      </c>
      <c r="I29" s="406">
        <f t="shared" si="1"/>
        <v>0</v>
      </c>
      <c r="J29" s="66">
        <f t="shared" si="11"/>
        <v>0</v>
      </c>
      <c r="K29" s="64">
        <v>2084</v>
      </c>
      <c r="L29" s="52">
        <f t="shared" si="2"/>
        <v>2</v>
      </c>
      <c r="M29" s="64">
        <v>152928</v>
      </c>
      <c r="N29" s="406">
        <f t="shared" si="3"/>
        <v>179</v>
      </c>
      <c r="O29" s="64">
        <f t="shared" si="12"/>
        <v>211.87499999999994</v>
      </c>
      <c r="P29" s="64">
        <v>1831</v>
      </c>
      <c r="Q29" s="64">
        <v>155468</v>
      </c>
      <c r="R29" s="405">
        <f t="shared" si="37"/>
        <v>5</v>
      </c>
      <c r="S29" s="52">
        <f t="shared" si="5"/>
        <v>0</v>
      </c>
      <c r="T29" s="67">
        <f t="shared" si="28"/>
        <v>0</v>
      </c>
      <c r="U29" s="412">
        <f t="shared" si="14"/>
        <v>2</v>
      </c>
      <c r="V29" s="62">
        <f t="shared" si="15"/>
        <v>184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</v>
      </c>
      <c r="AA29" s="65">
        <f t="shared" si="6"/>
        <v>0</v>
      </c>
      <c r="AB29" s="292">
        <f t="shared" si="45"/>
        <v>0</v>
      </c>
      <c r="AC29" s="64">
        <f t="shared" ref="AC29:AE29" si="50">AC28</f>
        <v>1899</v>
      </c>
      <c r="AD29" s="45">
        <f t="shared" si="7"/>
        <v>0</v>
      </c>
      <c r="AE29" s="64">
        <f t="shared" si="50"/>
        <v>363328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184</v>
      </c>
      <c r="AJ29" s="326">
        <f>-tanks!AW30</f>
        <v>184</v>
      </c>
      <c r="AK29" s="326">
        <f t="shared" si="21"/>
        <v>0</v>
      </c>
      <c r="AL29" s="326">
        <f t="shared" si="41"/>
        <v>2</v>
      </c>
      <c r="AM29" s="326">
        <f t="shared" si="22"/>
        <v>0</v>
      </c>
      <c r="AN29" s="64">
        <v>75</v>
      </c>
      <c r="AO29" s="328">
        <f t="shared" si="49"/>
        <v>2250</v>
      </c>
      <c r="AP29" s="64">
        <v>75</v>
      </c>
      <c r="AQ29" s="328">
        <f t="shared" si="47"/>
        <v>2250</v>
      </c>
      <c r="AR29" s="64">
        <v>75</v>
      </c>
      <c r="AS29" s="328">
        <f t="shared" si="33"/>
        <v>2250</v>
      </c>
      <c r="AT29" s="328">
        <f>SUM(AO29+AQ29+AS29)</f>
        <v>6750</v>
      </c>
      <c r="AU29" s="328">
        <f>AT28-AT29+AV29</f>
        <v>180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ref="B30:B35" si="51">B29</f>
        <v>210</v>
      </c>
      <c r="C30" s="64">
        <f t="shared" ref="C30:C35" si="52">C29</f>
        <v>216</v>
      </c>
      <c r="D30" s="45">
        <f t="shared" si="40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0"/>
        <v>357868</v>
      </c>
      <c r="I30" s="406">
        <f t="shared" si="1"/>
        <v>0</v>
      </c>
      <c r="J30" s="66">
        <f t="shared" si="11"/>
        <v>0</v>
      </c>
      <c r="K30" s="64">
        <f t="shared" si="12"/>
        <v>2084</v>
      </c>
      <c r="L30" s="52">
        <f t="shared" si="2"/>
        <v>0</v>
      </c>
      <c r="M30" s="64">
        <f t="shared" ref="M30" si="53">M29</f>
        <v>152928</v>
      </c>
      <c r="N30" s="406">
        <f t="shared" si="3"/>
        <v>0</v>
      </c>
      <c r="O30" s="64">
        <f t="shared" si="12"/>
        <v>211.87499999999994</v>
      </c>
      <c r="P30" s="64">
        <f t="shared" si="12"/>
        <v>1831</v>
      </c>
      <c r="Q30" s="64">
        <f t="shared" ref="Q30" si="54">Q29</f>
        <v>155468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</v>
      </c>
      <c r="AA30" s="65">
        <f t="shared" si="6"/>
        <v>0</v>
      </c>
      <c r="AB30" s="292">
        <f t="shared" si="45"/>
        <v>0</v>
      </c>
      <c r="AC30" s="64">
        <f t="shared" ref="AC30:AE30" si="55">AC29</f>
        <v>1899</v>
      </c>
      <c r="AD30" s="45">
        <f t="shared" si="7"/>
        <v>0</v>
      </c>
      <c r="AE30" s="64">
        <f t="shared" si="55"/>
        <v>363328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41"/>
        <v>0</v>
      </c>
      <c r="AM30" s="326">
        <f t="shared" si="22"/>
        <v>0</v>
      </c>
      <c r="AN30" s="64">
        <f t="shared" ref="AN30:AR35" si="56">AN29</f>
        <v>75</v>
      </c>
      <c r="AO30" s="328">
        <f t="shared" si="49"/>
        <v>2250</v>
      </c>
      <c r="AP30" s="64">
        <f t="shared" si="56"/>
        <v>75</v>
      </c>
      <c r="AQ30" s="328">
        <f t="shared" si="47"/>
        <v>2250</v>
      </c>
      <c r="AR30" s="64">
        <f t="shared" si="56"/>
        <v>75</v>
      </c>
      <c r="AS30" s="328">
        <f t="shared" si="33"/>
        <v>2250</v>
      </c>
      <c r="AT30" s="328">
        <f t="shared" si="46"/>
        <v>6750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51"/>
        <v>210</v>
      </c>
      <c r="C31" s="64">
        <f t="shared" si="52"/>
        <v>216</v>
      </c>
      <c r="D31" s="45">
        <f t="shared" si="40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0"/>
        <v>357868</v>
      </c>
      <c r="I31" s="406">
        <f t="shared" si="1"/>
        <v>0</v>
      </c>
      <c r="J31" s="66">
        <f t="shared" si="11"/>
        <v>0</v>
      </c>
      <c r="K31" s="64">
        <f t="shared" si="12"/>
        <v>2084</v>
      </c>
      <c r="L31" s="52">
        <f t="shared" si="2"/>
        <v>0</v>
      </c>
      <c r="M31" s="64">
        <f t="shared" ref="M31" si="57">M30</f>
        <v>152928</v>
      </c>
      <c r="N31" s="406">
        <f t="shared" si="3"/>
        <v>0</v>
      </c>
      <c r="O31" s="64">
        <f t="shared" si="12"/>
        <v>211.87499999999994</v>
      </c>
      <c r="P31" s="64">
        <f t="shared" si="12"/>
        <v>1831</v>
      </c>
      <c r="Q31" s="64">
        <f t="shared" ref="Q31" si="58">Q30</f>
        <v>155468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</v>
      </c>
      <c r="AA31" s="65">
        <f t="shared" si="6"/>
        <v>0</v>
      </c>
      <c r="AB31" s="292">
        <f t="shared" si="45"/>
        <v>0</v>
      </c>
      <c r="AC31" s="64">
        <f t="shared" ref="AC31:AE31" si="59">AC30</f>
        <v>1899</v>
      </c>
      <c r="AD31" s="275">
        <f t="shared" si="7"/>
        <v>0</v>
      </c>
      <c r="AE31" s="64">
        <f t="shared" si="59"/>
        <v>363328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41"/>
        <v>0</v>
      </c>
      <c r="AM31" s="326">
        <f t="shared" si="22"/>
        <v>0</v>
      </c>
      <c r="AN31" s="64">
        <f t="shared" si="56"/>
        <v>75</v>
      </c>
      <c r="AO31" s="328">
        <f t="shared" si="49"/>
        <v>2250</v>
      </c>
      <c r="AP31" s="64">
        <f t="shared" si="56"/>
        <v>75</v>
      </c>
      <c r="AQ31" s="328">
        <f t="shared" si="47"/>
        <v>2250</v>
      </c>
      <c r="AR31" s="64">
        <f t="shared" si="56"/>
        <v>75</v>
      </c>
      <c r="AS31" s="328">
        <f t="shared" si="33"/>
        <v>2250</v>
      </c>
      <c r="AT31" s="328">
        <f t="shared" si="46"/>
        <v>6750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51"/>
        <v>210</v>
      </c>
      <c r="C32" s="64">
        <f t="shared" si="52"/>
        <v>216</v>
      </c>
      <c r="D32" s="45">
        <f t="shared" si="26"/>
        <v>0</v>
      </c>
      <c r="E32" s="45">
        <f t="shared" ref="E32:E34" si="60">D32*8.38</f>
        <v>0</v>
      </c>
      <c r="F32" s="64">
        <f t="shared" si="10"/>
        <v>1648</v>
      </c>
      <c r="G32" s="52">
        <f t="shared" si="0"/>
        <v>0</v>
      </c>
      <c r="H32" s="64">
        <f t="shared" si="10"/>
        <v>357868</v>
      </c>
      <c r="I32" s="406">
        <f t="shared" si="1"/>
        <v>0</v>
      </c>
      <c r="J32" s="66">
        <f t="shared" si="11"/>
        <v>0</v>
      </c>
      <c r="K32" s="64">
        <f t="shared" si="12"/>
        <v>2084</v>
      </c>
      <c r="L32" s="52">
        <f t="shared" si="2"/>
        <v>0</v>
      </c>
      <c r="M32" s="64">
        <f t="shared" ref="M32" si="61">M31</f>
        <v>152928</v>
      </c>
      <c r="N32" s="406">
        <f t="shared" si="3"/>
        <v>0</v>
      </c>
      <c r="O32" s="64">
        <f t="shared" si="12"/>
        <v>211.87499999999994</v>
      </c>
      <c r="P32" s="64">
        <f t="shared" si="12"/>
        <v>1831</v>
      </c>
      <c r="Q32" s="64">
        <f t="shared" ref="Q32" si="62">Q31</f>
        <v>155468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</v>
      </c>
      <c r="AA32" s="65">
        <f t="shared" si="6"/>
        <v>0</v>
      </c>
      <c r="AB32" s="292">
        <f t="shared" si="45"/>
        <v>0</v>
      </c>
      <c r="AC32" s="64">
        <f t="shared" ref="AC32:AE32" si="63">AC31</f>
        <v>1899</v>
      </c>
      <c r="AD32" s="275">
        <f t="shared" si="7"/>
        <v>0</v>
      </c>
      <c r="AE32" s="64">
        <f t="shared" si="63"/>
        <v>363328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41"/>
        <v>0</v>
      </c>
      <c r="AM32" s="326">
        <f t="shared" si="22"/>
        <v>0</v>
      </c>
      <c r="AN32" s="64">
        <f t="shared" si="56"/>
        <v>75</v>
      </c>
      <c r="AO32" s="328">
        <f t="shared" si="49"/>
        <v>2250</v>
      </c>
      <c r="AP32" s="64">
        <f t="shared" si="56"/>
        <v>75</v>
      </c>
      <c r="AQ32" s="328">
        <f t="shared" si="47"/>
        <v>2250</v>
      </c>
      <c r="AR32" s="64">
        <f t="shared" si="56"/>
        <v>75</v>
      </c>
      <c r="AS32" s="328">
        <f t="shared" si="33"/>
        <v>2250</v>
      </c>
      <c r="AT32" s="328">
        <f t="shared" si="46"/>
        <v>6750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51"/>
        <v>210</v>
      </c>
      <c r="C33" s="64">
        <f t="shared" si="52"/>
        <v>216</v>
      </c>
      <c r="D33" s="45">
        <f t="shared" si="26"/>
        <v>0</v>
      </c>
      <c r="E33" s="45">
        <f t="shared" si="60"/>
        <v>0</v>
      </c>
      <c r="F33" s="64">
        <f t="shared" si="10"/>
        <v>1648</v>
      </c>
      <c r="G33" s="52">
        <f t="shared" si="0"/>
        <v>0</v>
      </c>
      <c r="H33" s="64">
        <f t="shared" si="10"/>
        <v>357868</v>
      </c>
      <c r="I33" s="406">
        <f t="shared" si="1"/>
        <v>0</v>
      </c>
      <c r="J33" s="66">
        <f t="shared" si="11"/>
        <v>0</v>
      </c>
      <c r="K33" s="64">
        <f t="shared" si="12"/>
        <v>2084</v>
      </c>
      <c r="L33" s="52">
        <f t="shared" si="2"/>
        <v>0</v>
      </c>
      <c r="M33" s="64">
        <f t="shared" ref="M33" si="64">M32</f>
        <v>152928</v>
      </c>
      <c r="N33" s="406">
        <f t="shared" si="3"/>
        <v>0</v>
      </c>
      <c r="O33" s="64">
        <f t="shared" si="12"/>
        <v>211.87499999999994</v>
      </c>
      <c r="P33" s="64">
        <f t="shared" si="12"/>
        <v>1831</v>
      </c>
      <c r="Q33" s="64">
        <f t="shared" ref="Q33" si="65">Q32</f>
        <v>155468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</v>
      </c>
      <c r="AA33" s="65">
        <f t="shared" si="6"/>
        <v>0</v>
      </c>
      <c r="AB33" s="292">
        <f t="shared" si="45"/>
        <v>0</v>
      </c>
      <c r="AC33" s="64">
        <f t="shared" ref="AC33:AE33" si="66">AC32</f>
        <v>1899</v>
      </c>
      <c r="AD33" s="45">
        <f t="shared" si="7"/>
        <v>0</v>
      </c>
      <c r="AE33" s="64">
        <f t="shared" si="66"/>
        <v>363328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41"/>
        <v>0</v>
      </c>
      <c r="AM33" s="326">
        <f t="shared" si="22"/>
        <v>0</v>
      </c>
      <c r="AN33" s="64">
        <f t="shared" si="56"/>
        <v>75</v>
      </c>
      <c r="AO33" s="328">
        <f t="shared" si="49"/>
        <v>2250</v>
      </c>
      <c r="AP33" s="64">
        <f t="shared" si="56"/>
        <v>75</v>
      </c>
      <c r="AQ33" s="328">
        <f t="shared" si="47"/>
        <v>2250</v>
      </c>
      <c r="AR33" s="64">
        <f t="shared" si="56"/>
        <v>75</v>
      </c>
      <c r="AS33" s="328">
        <f t="shared" si="33"/>
        <v>2250</v>
      </c>
      <c r="AT33" s="328">
        <f t="shared" si="46"/>
        <v>6750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51"/>
        <v>210</v>
      </c>
      <c r="C34" s="64">
        <f t="shared" si="52"/>
        <v>216</v>
      </c>
      <c r="D34" s="45">
        <f t="shared" si="26"/>
        <v>0</v>
      </c>
      <c r="E34" s="45">
        <f t="shared" si="60"/>
        <v>0</v>
      </c>
      <c r="F34" s="64">
        <f t="shared" si="10"/>
        <v>1648</v>
      </c>
      <c r="G34" s="52">
        <f t="shared" si="0"/>
        <v>0</v>
      </c>
      <c r="H34" s="64">
        <f t="shared" si="10"/>
        <v>357868</v>
      </c>
      <c r="I34" s="406">
        <f t="shared" si="1"/>
        <v>0</v>
      </c>
      <c r="J34" s="66">
        <f t="shared" si="11"/>
        <v>0</v>
      </c>
      <c r="K34" s="64">
        <f t="shared" si="12"/>
        <v>2084</v>
      </c>
      <c r="L34" s="52">
        <f t="shared" si="2"/>
        <v>0</v>
      </c>
      <c r="M34" s="64">
        <f t="shared" ref="M34" si="67">M33</f>
        <v>152928</v>
      </c>
      <c r="N34" s="406">
        <f t="shared" si="3"/>
        <v>0</v>
      </c>
      <c r="O34" s="64">
        <f t="shared" si="12"/>
        <v>211.87499999999994</v>
      </c>
      <c r="P34" s="64">
        <f t="shared" si="12"/>
        <v>1831</v>
      </c>
      <c r="Q34" s="64">
        <f t="shared" ref="Q34" si="68">Q33</f>
        <v>155468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</v>
      </c>
      <c r="AA34" s="65">
        <f t="shared" si="6"/>
        <v>0</v>
      </c>
      <c r="AB34" s="292">
        <f t="shared" si="45"/>
        <v>0</v>
      </c>
      <c r="AC34" s="64">
        <f t="shared" ref="AC34:AE34" si="69">AC33</f>
        <v>1899</v>
      </c>
      <c r="AD34" s="45">
        <f t="shared" si="7"/>
        <v>0</v>
      </c>
      <c r="AE34" s="64">
        <f t="shared" si="69"/>
        <v>363328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41"/>
        <v>0</v>
      </c>
      <c r="AM34" s="326">
        <f>Y34+AD34</f>
        <v>0</v>
      </c>
      <c r="AN34" s="64">
        <f t="shared" si="56"/>
        <v>75</v>
      </c>
      <c r="AO34" s="328">
        <f t="shared" si="49"/>
        <v>2250</v>
      </c>
      <c r="AP34" s="64">
        <f t="shared" si="56"/>
        <v>75</v>
      </c>
      <c r="AQ34" s="328">
        <f t="shared" si="47"/>
        <v>2250</v>
      </c>
      <c r="AR34" s="64">
        <f t="shared" si="56"/>
        <v>75</v>
      </c>
      <c r="AS34" s="328">
        <f t="shared" si="33"/>
        <v>2250</v>
      </c>
      <c r="AT34" s="328">
        <f t="shared" si="46"/>
        <v>6750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51"/>
        <v>210</v>
      </c>
      <c r="C35" s="64">
        <f t="shared" si="52"/>
        <v>216</v>
      </c>
      <c r="D35" s="45">
        <f t="shared" ref="D35" si="70">C34-C35</f>
        <v>0</v>
      </c>
      <c r="E35" s="45">
        <f t="shared" ref="E35" si="71">D35*8.38</f>
        <v>0</v>
      </c>
      <c r="F35" s="64">
        <f t="shared" si="10"/>
        <v>1648</v>
      </c>
      <c r="G35" s="52">
        <f t="shared" ref="G35" si="72">F35-F34</f>
        <v>0</v>
      </c>
      <c r="H35" s="64">
        <f t="shared" si="10"/>
        <v>357868</v>
      </c>
      <c r="I35" s="406">
        <f t="shared" ref="I35" si="73">SUM(H35-H34)</f>
        <v>0</v>
      </c>
      <c r="J35" s="66">
        <f t="shared" ref="J35" si="74">IF(G35&gt;0,I35/G35,0)</f>
        <v>0</v>
      </c>
      <c r="K35" s="64">
        <f t="shared" si="12"/>
        <v>2084</v>
      </c>
      <c r="L35" s="52">
        <f t="shared" ref="L35" si="75">K35-K34</f>
        <v>0</v>
      </c>
      <c r="M35" s="64">
        <f t="shared" ref="M35" si="76">M34</f>
        <v>152928</v>
      </c>
      <c r="N35" s="406">
        <f t="shared" ref="N35" si="77">M35-M34</f>
        <v>0</v>
      </c>
      <c r="O35" s="64">
        <f t="shared" si="12"/>
        <v>211.87499999999994</v>
      </c>
      <c r="P35" s="64">
        <f t="shared" si="12"/>
        <v>1831</v>
      </c>
      <c r="Q35" s="64">
        <f t="shared" ref="Q35" si="78">Q34</f>
        <v>155468</v>
      </c>
      <c r="R35" s="405">
        <f t="shared" ref="R35" si="79">Q35-Q34</f>
        <v>0</v>
      </c>
      <c r="S35" s="52">
        <f t="shared" ref="S35" si="80">SUM(P35-P34)</f>
        <v>0</v>
      </c>
      <c r="T35" s="67">
        <f t="shared" ref="T35" si="81">SUM(S35*$T$2)</f>
        <v>0</v>
      </c>
      <c r="U35" s="412">
        <f t="shared" ref="U35" si="82">SUM(G35+L35+S35)</f>
        <v>0</v>
      </c>
      <c r="V35" s="62">
        <f t="shared" ref="V35" si="83">R35+N35+I35:I35</f>
        <v>0</v>
      </c>
      <c r="W35" s="410"/>
      <c r="X35" s="64">
        <f t="shared" si="17"/>
        <v>2418</v>
      </c>
      <c r="Y35" s="52">
        <f t="shared" ref="Y35" si="84">X35-X34</f>
        <v>0</v>
      </c>
      <c r="Z35" s="64">
        <f t="shared" si="17"/>
        <v>135964</v>
      </c>
      <c r="AA35" s="65">
        <f t="shared" ref="AA35" si="85">Z35-Z34</f>
        <v>0</v>
      </c>
      <c r="AB35" s="292">
        <f t="shared" ref="AB35" si="86">SUM(Y35*$AB$2)</f>
        <v>0</v>
      </c>
      <c r="AC35" s="64">
        <f t="shared" ref="AC35:AE35" si="87">AC34</f>
        <v>1899</v>
      </c>
      <c r="AD35" s="45">
        <f t="shared" ref="AD35" si="88">AC35-AC34</f>
        <v>0</v>
      </c>
      <c r="AE35" s="64">
        <f t="shared" si="87"/>
        <v>363328</v>
      </c>
      <c r="AF35" s="314">
        <f t="shared" ref="AF35" si="89">AE35-AE34</f>
        <v>0</v>
      </c>
      <c r="AG35" s="212">
        <f t="shared" ref="AG35" si="90">IF(AD35&gt;0,AF35/AD35,0)</f>
        <v>0</v>
      </c>
      <c r="AH35" s="62">
        <f t="shared" ref="AH35" si="91">AF35+AA35</f>
        <v>0</v>
      </c>
      <c r="AI35" s="326">
        <f t="shared" ref="AI35" si="92">SUM(AH35+V35)</f>
        <v>0</v>
      </c>
      <c r="AJ35" s="326">
        <f>-tanks!AW37</f>
        <v>0</v>
      </c>
      <c r="AK35" s="326">
        <f t="shared" ref="AK35" si="93">SUM(AJ35-AI35)</f>
        <v>0</v>
      </c>
      <c r="AL35" s="326">
        <f t="shared" ref="AL35" si="94">S35+L35+G35</f>
        <v>0</v>
      </c>
      <c r="AM35" s="326">
        <f>Y35+AD35</f>
        <v>0</v>
      </c>
      <c r="AN35" s="64">
        <f t="shared" si="56"/>
        <v>75</v>
      </c>
      <c r="AO35" s="328">
        <f t="shared" ref="AO35" si="95">(AN35/100)*3000</f>
        <v>2250</v>
      </c>
      <c r="AP35" s="64">
        <f t="shared" si="56"/>
        <v>75</v>
      </c>
      <c r="AQ35" s="328">
        <f t="shared" ref="AQ35" si="96">(AP35/100)*3000</f>
        <v>2250</v>
      </c>
      <c r="AR35" s="64">
        <f t="shared" si="56"/>
        <v>75</v>
      </c>
      <c r="AS35" s="328">
        <f t="shared" ref="AS35" si="97">(AR35/100)*3000</f>
        <v>2250</v>
      </c>
      <c r="AT35" s="328">
        <f t="shared" ref="AT35" si="98">SUM(AO35+AQ35+AS35)</f>
        <v>6750</v>
      </c>
      <c r="AU35" s="328">
        <f t="shared" ref="AU35" si="99">AT34-AT35+AV35</f>
        <v>0</v>
      </c>
      <c r="AV35" s="275"/>
      <c r="AW35" s="275"/>
      <c r="AX35" s="321">
        <f t="shared" ref="AX35" si="100">IF(AV35&gt;0,AW35,AX34)</f>
        <v>0.7</v>
      </c>
    </row>
    <row r="36" spans="1:50">
      <c r="J36" s="291">
        <f>SUM(J5:J34)/(COUNT(J5:J34)-COUNTIF(J5:J34,0))</f>
        <v>74.894736842105274</v>
      </c>
      <c r="V36" s="62">
        <f>SUM(V5:V35)</f>
        <v>6861</v>
      </c>
      <c r="AE36" s="71" t="s">
        <v>386</v>
      </c>
      <c r="AG36" s="354"/>
      <c r="AH36" s="62">
        <f>SUM(AH5:AH35)</f>
        <v>2509.8999999999942</v>
      </c>
      <c r="AL36" s="62">
        <f>SUM(AL5:AL35)</f>
        <v>85</v>
      </c>
      <c r="AM36" s="62">
        <f>SUM(AM5:AM35)</f>
        <v>42</v>
      </c>
      <c r="AP36" s="321"/>
      <c r="AQ36" s="321"/>
      <c r="AR36" s="321" t="s">
        <v>225</v>
      </c>
      <c r="AS36" s="321">
        <f>COUNT(AW5:AW34)</f>
        <v>4</v>
      </c>
      <c r="AT36" s="321"/>
      <c r="AU36" s="321">
        <f>SUM(AU5:AU34)</f>
        <v>4470</v>
      </c>
      <c r="AV36" s="71">
        <f>SUM(AV5:AV34)</f>
        <v>4500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9370.8999999999942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2279.6999999999998</v>
      </c>
      <c r="AV38" s="321">
        <f>AV36/0.51</f>
        <v>8823.5294117647063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2295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16" activePane="bottomLeft" state="frozen"/>
      <selection pane="bottomLeft" activeCell="AX30" sqref="AX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9061322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6" t="s">
        <v>402</v>
      </c>
      <c r="N3" s="527"/>
      <c r="O3" s="528" t="s">
        <v>403</v>
      </c>
      <c r="P3" s="528"/>
      <c r="Q3" s="528" t="s">
        <v>399</v>
      </c>
      <c r="R3" s="528" t="s">
        <v>401</v>
      </c>
      <c r="S3" s="528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5" t="s">
        <v>126</v>
      </c>
      <c r="AO3" s="626"/>
      <c r="AP3" s="627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S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29">
        <f t="shared" si="2"/>
        <v>0</v>
      </c>
      <c r="O7" s="421">
        <f t="shared" ref="O7:O36" si="15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29">
        <f t="shared" si="2"/>
        <v>0</v>
      </c>
      <c r="O8" s="421">
        <f t="shared" si="15"/>
        <v>529.52</v>
      </c>
      <c r="P8" s="529">
        <f t="shared" si="3"/>
        <v>0</v>
      </c>
      <c r="Q8" s="530">
        <f>P8+N8</f>
        <v>0</v>
      </c>
      <c r="R8" s="529"/>
      <c r="S8" s="529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29">
        <f t="shared" si="2"/>
        <v>0</v>
      </c>
      <c r="O9" s="421">
        <f t="shared" si="15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29">
        <f t="shared" si="2"/>
        <v>0</v>
      </c>
      <c r="O10" s="421">
        <f t="shared" si="15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29">
        <f t="shared" si="2"/>
        <v>0</v>
      </c>
      <c r="O11" s="421">
        <f t="shared" si="15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29">
        <f t="shared" si="2"/>
        <v>0</v>
      </c>
      <c r="O12" s="421">
        <f t="shared" si="15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162</v>
      </c>
      <c r="AU12" s="436">
        <f t="shared" si="34"/>
        <v>1.1000000000000001</v>
      </c>
      <c r="AV12" s="204">
        <v>135</v>
      </c>
      <c r="AW12" s="5">
        <v>2.9</v>
      </c>
      <c r="AX12" s="204">
        <v>133</v>
      </c>
      <c r="AY12" s="439">
        <f t="shared" si="7"/>
        <v>145.80000000000001</v>
      </c>
      <c r="AZ12" s="439">
        <f t="shared" si="26"/>
        <v>148.5</v>
      </c>
      <c r="BA12" s="439">
        <f t="shared" si="27"/>
        <v>385.7</v>
      </c>
      <c r="BB12" s="21">
        <f t="shared" si="28"/>
        <v>-17.099999999999994</v>
      </c>
      <c r="BC12" s="21">
        <f t="shared" si="29"/>
        <v>-18.700000000000017</v>
      </c>
      <c r="BD12" s="21">
        <f t="shared" si="29"/>
        <v>-43.5</v>
      </c>
      <c r="BE12" s="24">
        <f t="shared" si="30"/>
        <v>-79.300000000000011</v>
      </c>
      <c r="BF12" s="96">
        <f t="shared" si="8"/>
        <v>280.3</v>
      </c>
      <c r="BG12" s="82">
        <f t="shared" si="9"/>
        <v>-79.300000000000011</v>
      </c>
    </row>
    <row r="13" spans="1:65" ht="15.75" thickBot="1">
      <c r="A13" s="6">
        <f>ELEC!C10</f>
        <v>44020</v>
      </c>
      <c r="B13" s="5"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29">
        <f t="shared" si="2"/>
        <v>0</v>
      </c>
      <c r="O13" s="421">
        <f t="shared" si="15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v>4929</v>
      </c>
      <c r="U13" s="5">
        <f t="shared" si="4"/>
        <v>4</v>
      </c>
      <c r="V13" s="5">
        <v>413</v>
      </c>
      <c r="W13" s="332">
        <f t="shared" si="17"/>
        <v>0</v>
      </c>
      <c r="X13" s="5">
        <v>145204</v>
      </c>
      <c r="Y13" s="332">
        <f t="shared" si="18"/>
        <v>0</v>
      </c>
      <c r="Z13" s="5">
        <v>95637</v>
      </c>
      <c r="AA13" s="83">
        <f t="shared" si="19"/>
        <v>0</v>
      </c>
      <c r="AB13" s="5"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v>127</v>
      </c>
      <c r="AU13" s="436">
        <f t="shared" si="34"/>
        <v>1.1000000000000001</v>
      </c>
      <c r="AV13" s="204">
        <v>149</v>
      </c>
      <c r="AW13" s="5">
        <v>2.9</v>
      </c>
      <c r="AX13" s="204"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-31.500000000000014</v>
      </c>
      <c r="BC13" s="21">
        <f t="shared" si="29"/>
        <v>15.400000000000006</v>
      </c>
      <c r="BD13" s="21">
        <f t="shared" si="29"/>
        <v>34.800000000000011</v>
      </c>
      <c r="BE13" s="24">
        <f t="shared" si="30"/>
        <v>18.700000000000003</v>
      </c>
      <c r="BF13" s="96">
        <f t="shared" si="8"/>
        <v>-18.700000000000003</v>
      </c>
      <c r="BG13" s="82">
        <f t="shared" si="9"/>
        <v>18.700000000000003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6412</v>
      </c>
      <c r="L14" s="83">
        <f t="shared" si="33"/>
        <v>7</v>
      </c>
      <c r="M14" s="421">
        <f t="shared" si="14"/>
        <v>457.44</v>
      </c>
      <c r="N14" s="529">
        <f t="shared" ref="N14:N35" si="35">SUM(M14-M13)</f>
        <v>0</v>
      </c>
      <c r="O14" s="421">
        <f t="shared" si="15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6"/>
        <v>4929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v>166.34</v>
      </c>
      <c r="AF14" s="83">
        <f t="shared" si="20"/>
        <v>0</v>
      </c>
      <c r="AG14" s="5">
        <v>1757.69</v>
      </c>
      <c r="AH14" s="83">
        <f t="shared" si="21"/>
        <v>4.0099999999999909</v>
      </c>
      <c r="AI14" s="83">
        <f t="shared" si="22"/>
        <v>4.0099999999999909</v>
      </c>
      <c r="AJ14" s="334">
        <f t="shared" si="23"/>
        <v>0</v>
      </c>
      <c r="AK14" s="335">
        <f t="shared" si="5"/>
        <v>-7</v>
      </c>
      <c r="AL14" s="335">
        <f t="shared" si="24"/>
        <v>0</v>
      </c>
      <c r="AM14" s="335">
        <f>'General information '!D14</f>
        <v>26</v>
      </c>
      <c r="AN14" s="84">
        <f>'General information '!H14</f>
        <v>0</v>
      </c>
      <c r="AO14" s="84"/>
      <c r="AP14" s="84">
        <f>'General information '!J14</f>
        <v>375</v>
      </c>
      <c r="AQ14" s="81"/>
      <c r="AR14" s="283">
        <f t="shared" si="25"/>
        <v>44021</v>
      </c>
      <c r="AS14" s="435">
        <f t="shared" si="6"/>
        <v>0.9</v>
      </c>
      <c r="AT14" s="204">
        <v>127</v>
      </c>
      <c r="AU14" s="436">
        <f t="shared" si="34"/>
        <v>1.1000000000000001</v>
      </c>
      <c r="AV14" s="204">
        <v>128</v>
      </c>
      <c r="AW14" s="5">
        <v>2.9</v>
      </c>
      <c r="AX14" s="204">
        <v>128</v>
      </c>
      <c r="AY14" s="439">
        <f t="shared" si="7"/>
        <v>114.3</v>
      </c>
      <c r="AZ14" s="439">
        <f t="shared" si="26"/>
        <v>140.80000000000001</v>
      </c>
      <c r="BA14" s="439">
        <f t="shared" si="27"/>
        <v>371.2</v>
      </c>
      <c r="BB14" s="21">
        <f t="shared" si="28"/>
        <v>0</v>
      </c>
      <c r="BC14" s="21">
        <f t="shared" si="29"/>
        <v>-23.099999999999994</v>
      </c>
      <c r="BD14" s="21">
        <f t="shared" si="29"/>
        <v>-49.300000000000011</v>
      </c>
      <c r="BE14" s="24">
        <f t="shared" si="30"/>
        <v>-72.400000000000006</v>
      </c>
      <c r="BF14" s="96">
        <f t="shared" si="8"/>
        <v>72.400000000000006</v>
      </c>
      <c r="BG14" s="82">
        <f t="shared" si="9"/>
        <v>-72.400000000000006</v>
      </c>
    </row>
    <row r="15" spans="1:65" ht="16.5" customHeight="1" thickBot="1">
      <c r="A15" s="6">
        <f>ELEC!C12</f>
        <v>44022</v>
      </c>
      <c r="B15" s="5"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v>602787</v>
      </c>
      <c r="H15" s="5">
        <f t="shared" si="13"/>
        <v>112</v>
      </c>
      <c r="I15" s="5">
        <f t="shared" si="0"/>
        <v>112</v>
      </c>
      <c r="J15" s="342">
        <f t="shared" si="1"/>
        <v>2.1601382488479262</v>
      </c>
      <c r="K15" s="5">
        <f>'Swimming Pool quality check '!H15</f>
        <v>6419</v>
      </c>
      <c r="L15" s="83">
        <f t="shared" si="33"/>
        <v>7</v>
      </c>
      <c r="M15" s="421">
        <f t="shared" si="14"/>
        <v>457.44</v>
      </c>
      <c r="N15" s="529">
        <f t="shared" si="35"/>
        <v>0</v>
      </c>
      <c r="O15" s="421">
        <f t="shared" si="15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v>4932</v>
      </c>
      <c r="U15" s="5">
        <f t="shared" si="4"/>
        <v>3</v>
      </c>
      <c r="V15" s="5">
        <v>413</v>
      </c>
      <c r="W15" s="332">
        <f t="shared" si="17"/>
        <v>0</v>
      </c>
      <c r="X15" s="5">
        <v>145295</v>
      </c>
      <c r="Y15" s="332">
        <f t="shared" si="18"/>
        <v>91</v>
      </c>
      <c r="Z15" s="5">
        <v>95661</v>
      </c>
      <c r="AA15" s="83">
        <f t="shared" si="19"/>
        <v>24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v>166.96</v>
      </c>
      <c r="AF15" s="83">
        <f t="shared" si="20"/>
        <v>0.62000000000000455</v>
      </c>
      <c r="AG15" s="5">
        <v>1762.96</v>
      </c>
      <c r="AH15" s="83">
        <f t="shared" si="21"/>
        <v>5.2699999999999818</v>
      </c>
      <c r="AI15" s="83">
        <f t="shared" si="22"/>
        <v>5.8899999999999864</v>
      </c>
      <c r="AJ15" s="334">
        <f t="shared" si="23"/>
        <v>24</v>
      </c>
      <c r="AK15" s="335">
        <f t="shared" si="5"/>
        <v>84</v>
      </c>
      <c r="AL15" s="335">
        <f t="shared" si="24"/>
        <v>24</v>
      </c>
      <c r="AM15" s="335">
        <f>'General information '!D15</f>
        <v>26</v>
      </c>
      <c r="AN15" s="84">
        <f>'General information '!H15</f>
        <v>0</v>
      </c>
      <c r="AO15" s="84"/>
      <c r="AP15" s="84">
        <f>'General information '!J15</f>
        <v>329</v>
      </c>
      <c r="AQ15" s="81"/>
      <c r="AR15" s="283">
        <f t="shared" si="25"/>
        <v>44022</v>
      </c>
      <c r="AS15" s="435">
        <f t="shared" si="6"/>
        <v>0.9</v>
      </c>
      <c r="AT15" s="204">
        <v>70</v>
      </c>
      <c r="AU15" s="436">
        <f t="shared" si="34"/>
        <v>1.1000000000000001</v>
      </c>
      <c r="AV15" s="204">
        <v>127</v>
      </c>
      <c r="AW15" s="5">
        <v>2.9</v>
      </c>
      <c r="AX15" s="204">
        <v>139</v>
      </c>
      <c r="AY15" s="439">
        <f t="shared" si="7"/>
        <v>63</v>
      </c>
      <c r="AZ15" s="439">
        <f t="shared" si="26"/>
        <v>139.70000000000002</v>
      </c>
      <c r="BA15" s="439">
        <f t="shared" si="27"/>
        <v>403.09999999999997</v>
      </c>
      <c r="BB15" s="21">
        <f t="shared" si="28"/>
        <v>-51.3</v>
      </c>
      <c r="BC15" s="21">
        <f t="shared" si="29"/>
        <v>-1.0999999999999943</v>
      </c>
      <c r="BD15" s="21">
        <f t="shared" si="29"/>
        <v>31.899999999999977</v>
      </c>
      <c r="BE15" s="24">
        <f t="shared" si="30"/>
        <v>-20.500000000000014</v>
      </c>
      <c r="BF15" s="96">
        <f t="shared" si="8"/>
        <v>132.5</v>
      </c>
      <c r="BG15" s="82">
        <f t="shared" si="9"/>
        <v>-20.5</v>
      </c>
    </row>
    <row r="16" spans="1:65" ht="15.75" thickBot="1">
      <c r="A16" s="6">
        <f>ELEC!C13</f>
        <v>44023</v>
      </c>
      <c r="B16" s="5"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602787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6423</v>
      </c>
      <c r="L16" s="280">
        <f t="shared" si="33"/>
        <v>4</v>
      </c>
      <c r="M16" s="421">
        <f t="shared" si="14"/>
        <v>457.44</v>
      </c>
      <c r="N16" s="529">
        <f t="shared" si="35"/>
        <v>0</v>
      </c>
      <c r="O16" s="421">
        <f t="shared" si="15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v>4935</v>
      </c>
      <c r="U16" s="5">
        <f t="shared" si="4"/>
        <v>3</v>
      </c>
      <c r="V16" s="5">
        <f t="shared" si="16"/>
        <v>413</v>
      </c>
      <c r="W16" s="332">
        <f t="shared" si="17"/>
        <v>0</v>
      </c>
      <c r="X16" s="5">
        <v>145295</v>
      </c>
      <c r="Y16" s="332">
        <f t="shared" si="18"/>
        <v>0</v>
      </c>
      <c r="Z16" s="5">
        <v>95661</v>
      </c>
      <c r="AA16" s="83">
        <f t="shared" si="19"/>
        <v>0</v>
      </c>
      <c r="AB16" s="5">
        <v>258</v>
      </c>
      <c r="AC16" s="5">
        <f t="shared" si="16"/>
        <v>670</v>
      </c>
      <c r="AD16" s="83">
        <f t="shared" si="32"/>
        <v>0</v>
      </c>
      <c r="AE16" s="5">
        <v>168.16</v>
      </c>
      <c r="AF16" s="83">
        <f t="shared" si="20"/>
        <v>1.1999999999999886</v>
      </c>
      <c r="AG16" s="5">
        <v>1774.6</v>
      </c>
      <c r="AH16" s="83">
        <f t="shared" si="21"/>
        <v>11.639999999999873</v>
      </c>
      <c r="AI16" s="83">
        <f t="shared" si="22"/>
        <v>12.839999999999861</v>
      </c>
      <c r="AJ16" s="334">
        <f t="shared" si="23"/>
        <v>0</v>
      </c>
      <c r="AK16" s="335">
        <f t="shared" si="5"/>
        <v>-4</v>
      </c>
      <c r="AL16" s="335">
        <f t="shared" si="24"/>
        <v>0</v>
      </c>
      <c r="AM16" s="335">
        <f>'General information '!D16</f>
        <v>28</v>
      </c>
      <c r="AN16" s="84">
        <f>'General information '!H16</f>
        <v>0</v>
      </c>
      <c r="AO16" s="84"/>
      <c r="AP16" s="84">
        <f>'General information '!J16</f>
        <v>323</v>
      </c>
      <c r="AQ16" s="81"/>
      <c r="AR16" s="283">
        <f t="shared" si="25"/>
        <v>44023</v>
      </c>
      <c r="AS16" s="435">
        <f t="shared" si="6"/>
        <v>0.9</v>
      </c>
      <c r="AT16" s="204">
        <v>53</v>
      </c>
      <c r="AU16" s="436">
        <f t="shared" si="34"/>
        <v>1.1000000000000001</v>
      </c>
      <c r="AV16" s="204">
        <v>101</v>
      </c>
      <c r="AW16" s="5">
        <v>2.9</v>
      </c>
      <c r="AX16" s="204">
        <v>124</v>
      </c>
      <c r="AY16" s="439">
        <f t="shared" si="7"/>
        <v>47.7</v>
      </c>
      <c r="AZ16" s="439">
        <f t="shared" si="26"/>
        <v>111.10000000000001</v>
      </c>
      <c r="BA16" s="439">
        <f t="shared" si="27"/>
        <v>359.59999999999997</v>
      </c>
      <c r="BB16" s="21">
        <f t="shared" si="28"/>
        <v>-15.299999999999997</v>
      </c>
      <c r="BC16" s="21">
        <f t="shared" si="29"/>
        <v>-28.600000000000009</v>
      </c>
      <c r="BD16" s="21">
        <f t="shared" si="29"/>
        <v>-43.5</v>
      </c>
      <c r="BE16" s="24">
        <f t="shared" si="30"/>
        <v>-87.4</v>
      </c>
      <c r="BF16" s="96">
        <f t="shared" si="8"/>
        <v>87.4</v>
      </c>
      <c r="BG16" s="82">
        <f t="shared" si="9"/>
        <v>-87.4</v>
      </c>
    </row>
    <row r="17" spans="1:61" ht="15.75" thickBot="1">
      <c r="A17" s="6">
        <f>ELEC!C14</f>
        <v>44024</v>
      </c>
      <c r="B17" s="5"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v>603058</v>
      </c>
      <c r="H17" s="5">
        <f t="shared" si="13"/>
        <v>271</v>
      </c>
      <c r="I17" s="5">
        <f t="shared" si="0"/>
        <v>271</v>
      </c>
      <c r="J17" s="342">
        <f t="shared" si="1"/>
        <v>0.89275086299250095</v>
      </c>
      <c r="K17" s="5">
        <f>'Swimming Pool quality check '!H17</f>
        <v>6434</v>
      </c>
      <c r="L17" s="83">
        <f t="shared" si="33"/>
        <v>11</v>
      </c>
      <c r="M17" s="421">
        <f t="shared" si="14"/>
        <v>457.44</v>
      </c>
      <c r="N17" s="529">
        <f t="shared" si="35"/>
        <v>0</v>
      </c>
      <c r="O17" s="421">
        <f t="shared" si="15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v>4938</v>
      </c>
      <c r="U17" s="5">
        <f t="shared" si="4"/>
        <v>3</v>
      </c>
      <c r="V17" s="5">
        <v>413</v>
      </c>
      <c r="W17" s="332">
        <f t="shared" si="17"/>
        <v>0</v>
      </c>
      <c r="X17" s="5">
        <v>145337</v>
      </c>
      <c r="Y17" s="332">
        <f t="shared" si="18"/>
        <v>42</v>
      </c>
      <c r="Z17" s="5">
        <v>95727</v>
      </c>
      <c r="AA17" s="83">
        <f t="shared" si="19"/>
        <v>66</v>
      </c>
      <c r="AB17" s="5">
        <v>258</v>
      </c>
      <c r="AC17" s="5">
        <v>670</v>
      </c>
      <c r="AD17" s="83">
        <f t="shared" si="32"/>
        <v>0</v>
      </c>
      <c r="AE17" s="5">
        <f>AE16</f>
        <v>168.16</v>
      </c>
      <c r="AF17" s="83">
        <f t="shared" si="20"/>
        <v>0</v>
      </c>
      <c r="AG17" s="5">
        <v>1778.62</v>
      </c>
      <c r="AH17" s="83">
        <f t="shared" si="21"/>
        <v>4.0199999999999818</v>
      </c>
      <c r="AI17" s="83">
        <f t="shared" si="22"/>
        <v>4.0199999999999818</v>
      </c>
      <c r="AJ17" s="334">
        <f t="shared" si="23"/>
        <v>66</v>
      </c>
      <c r="AK17" s="335">
        <f t="shared" si="5"/>
        <v>31</v>
      </c>
      <c r="AL17" s="335">
        <f t="shared" si="24"/>
        <v>66</v>
      </c>
      <c r="AM17" s="335">
        <f>'General information '!D17</f>
        <v>26</v>
      </c>
      <c r="AN17" s="84">
        <f>'General information '!H17</f>
        <v>0</v>
      </c>
      <c r="AO17" s="84"/>
      <c r="AP17" s="84">
        <f>'General information '!J17</f>
        <v>357</v>
      </c>
      <c r="AQ17" s="95"/>
      <c r="AR17" s="283">
        <f t="shared" si="25"/>
        <v>44024</v>
      </c>
      <c r="AS17" s="435">
        <f t="shared" si="6"/>
        <v>0.9</v>
      </c>
      <c r="AT17" s="204">
        <v>117</v>
      </c>
      <c r="AU17" s="436">
        <f t="shared" si="34"/>
        <v>1.1000000000000001</v>
      </c>
      <c r="AV17" s="204">
        <v>122</v>
      </c>
      <c r="AW17" s="5">
        <v>2.9</v>
      </c>
      <c r="AX17" s="204">
        <v>122</v>
      </c>
      <c r="AY17" s="439">
        <f t="shared" si="7"/>
        <v>105.3</v>
      </c>
      <c r="AZ17" s="439">
        <f t="shared" si="26"/>
        <v>134.20000000000002</v>
      </c>
      <c r="BA17" s="439">
        <f t="shared" si="27"/>
        <v>353.8</v>
      </c>
      <c r="BB17" s="21">
        <f t="shared" si="28"/>
        <v>57.599999999999994</v>
      </c>
      <c r="BC17" s="21">
        <f t="shared" si="29"/>
        <v>23.100000000000009</v>
      </c>
      <c r="BD17" s="21">
        <f t="shared" si="29"/>
        <v>-5.7999999999999545</v>
      </c>
      <c r="BE17" s="24">
        <f t="shared" si="30"/>
        <v>74.900000000000048</v>
      </c>
      <c r="BF17" s="96">
        <f t="shared" si="8"/>
        <v>196.09999999999997</v>
      </c>
      <c r="BG17" s="82">
        <f t="shared" si="9"/>
        <v>74.900000000000034</v>
      </c>
    </row>
    <row r="18" spans="1:61" ht="15.75" thickBot="1">
      <c r="A18" s="6">
        <f>ELEC!C15</f>
        <v>44025</v>
      </c>
      <c r="B18" s="5"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v>603058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6438</v>
      </c>
      <c r="L18" s="83">
        <f t="shared" si="33"/>
        <v>4</v>
      </c>
      <c r="M18" s="421">
        <f t="shared" si="14"/>
        <v>457.44</v>
      </c>
      <c r="N18" s="529">
        <f t="shared" si="35"/>
        <v>0</v>
      </c>
      <c r="O18" s="421">
        <f t="shared" si="15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v>4942</v>
      </c>
      <c r="U18" s="5">
        <f t="shared" si="4"/>
        <v>4</v>
      </c>
      <c r="V18" s="5">
        <v>413</v>
      </c>
      <c r="W18" s="332">
        <f t="shared" si="17"/>
        <v>0</v>
      </c>
      <c r="X18" s="5">
        <v>145340</v>
      </c>
      <c r="Y18" s="332">
        <f t="shared" si="18"/>
        <v>3</v>
      </c>
      <c r="Z18" s="5">
        <v>95727</v>
      </c>
      <c r="AA18" s="83">
        <f t="shared" si="19"/>
        <v>0</v>
      </c>
      <c r="AB18" s="5">
        <f t="shared" si="16"/>
        <v>258</v>
      </c>
      <c r="AC18" s="5">
        <f t="shared" si="16"/>
        <v>670</v>
      </c>
      <c r="AD18" s="83">
        <f t="shared" si="32"/>
        <v>0</v>
      </c>
      <c r="AE18" s="5">
        <v>169.11</v>
      </c>
      <c r="AF18" s="83">
        <f t="shared" si="20"/>
        <v>0.95000000000001705</v>
      </c>
      <c r="AG18" s="5">
        <v>1791.61</v>
      </c>
      <c r="AH18" s="83">
        <f t="shared" si="21"/>
        <v>12.990000000000009</v>
      </c>
      <c r="AI18" s="83">
        <f t="shared" si="22"/>
        <v>13.940000000000026</v>
      </c>
      <c r="AJ18" s="334">
        <f t="shared" si="23"/>
        <v>0</v>
      </c>
      <c r="AK18" s="335">
        <f t="shared" si="5"/>
        <v>-1</v>
      </c>
      <c r="AL18" s="335">
        <f t="shared" si="24"/>
        <v>0</v>
      </c>
      <c r="AM18" s="335">
        <f>'General information '!D18</f>
        <v>26.5</v>
      </c>
      <c r="AN18" s="84">
        <f>'General information '!H18</f>
        <v>0</v>
      </c>
      <c r="AO18" s="84"/>
      <c r="AP18" s="84">
        <f>'General information '!J18</f>
        <v>297</v>
      </c>
      <c r="AQ18" s="95"/>
      <c r="AR18" s="283">
        <f t="shared" si="25"/>
        <v>44025</v>
      </c>
      <c r="AS18" s="435">
        <f t="shared" si="6"/>
        <v>0.9</v>
      </c>
      <c r="AT18" s="204">
        <v>112</v>
      </c>
      <c r="AU18" s="436">
        <f t="shared" si="34"/>
        <v>1.1000000000000001</v>
      </c>
      <c r="AV18" s="204">
        <v>110</v>
      </c>
      <c r="AW18" s="5">
        <v>2.9</v>
      </c>
      <c r="AX18" s="204">
        <v>108</v>
      </c>
      <c r="AY18" s="439">
        <f t="shared" si="7"/>
        <v>100.8</v>
      </c>
      <c r="AZ18" s="439">
        <f t="shared" si="26"/>
        <v>121.00000000000001</v>
      </c>
      <c r="BA18" s="439">
        <f t="shared" si="27"/>
        <v>313.2</v>
      </c>
      <c r="BB18" s="21">
        <f t="shared" si="28"/>
        <v>-4.5</v>
      </c>
      <c r="BC18" s="21">
        <f t="shared" si="29"/>
        <v>-13.200000000000003</v>
      </c>
      <c r="BD18" s="21">
        <f t="shared" si="29"/>
        <v>-40.600000000000023</v>
      </c>
      <c r="BE18" s="24">
        <f t="shared" si="30"/>
        <v>-58.300000000000026</v>
      </c>
      <c r="BF18" s="96">
        <f t="shared" si="8"/>
        <v>58.300000000000026</v>
      </c>
      <c r="BG18" s="82">
        <f t="shared" si="9"/>
        <v>-58.300000000000026</v>
      </c>
    </row>
    <row r="19" spans="1:61" ht="15.75" thickBot="1">
      <c r="A19" s="6">
        <f>ELEC!C16</f>
        <v>44026</v>
      </c>
      <c r="B19" s="5"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v>603282</v>
      </c>
      <c r="H19" s="5">
        <f t="shared" si="13"/>
        <v>224</v>
      </c>
      <c r="I19" s="5">
        <f t="shared" si="0"/>
        <v>224</v>
      </c>
      <c r="J19" s="342">
        <f t="shared" si="1"/>
        <v>1.0800691244239631</v>
      </c>
      <c r="K19" s="5">
        <f>'Swimming Pool quality check '!H19</f>
        <v>6443</v>
      </c>
      <c r="L19" s="83">
        <f t="shared" si="33"/>
        <v>5</v>
      </c>
      <c r="M19" s="421">
        <f t="shared" si="14"/>
        <v>457.44</v>
      </c>
      <c r="N19" s="529">
        <f t="shared" si="35"/>
        <v>0</v>
      </c>
      <c r="O19" s="421">
        <f t="shared" si="15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v>4945</v>
      </c>
      <c r="U19" s="5">
        <f t="shared" si="4"/>
        <v>3</v>
      </c>
      <c r="V19" s="5">
        <v>413</v>
      </c>
      <c r="W19" s="332">
        <f t="shared" si="17"/>
        <v>0</v>
      </c>
      <c r="X19" s="5">
        <v>145490</v>
      </c>
      <c r="Y19" s="332">
        <f t="shared" si="18"/>
        <v>150</v>
      </c>
      <c r="Z19" s="5">
        <v>95769</v>
      </c>
      <c r="AA19" s="83">
        <f t="shared" si="19"/>
        <v>42</v>
      </c>
      <c r="AB19" s="5">
        <f t="shared" si="16"/>
        <v>258</v>
      </c>
      <c r="AC19" s="5">
        <f t="shared" si="16"/>
        <v>670</v>
      </c>
      <c r="AD19" s="83">
        <f t="shared" si="32"/>
        <v>0</v>
      </c>
      <c r="AE19" s="5">
        <v>169.11</v>
      </c>
      <c r="AF19" s="83">
        <f t="shared" si="20"/>
        <v>0</v>
      </c>
      <c r="AG19" s="5">
        <v>1793.62</v>
      </c>
      <c r="AH19" s="83">
        <f t="shared" si="21"/>
        <v>2.0099999999999909</v>
      </c>
      <c r="AI19" s="83">
        <f t="shared" si="22"/>
        <v>2.0099999999999909</v>
      </c>
      <c r="AJ19" s="334">
        <f t="shared" si="23"/>
        <v>42</v>
      </c>
      <c r="AK19" s="335">
        <f t="shared" si="5"/>
        <v>145</v>
      </c>
      <c r="AL19" s="335">
        <f t="shared" si="24"/>
        <v>42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332</v>
      </c>
      <c r="AQ19" s="81"/>
      <c r="AR19" s="283">
        <f t="shared" si="25"/>
        <v>44026</v>
      </c>
      <c r="AS19" s="435">
        <f t="shared" si="6"/>
        <v>0.9</v>
      </c>
      <c r="AT19" s="204">
        <v>53</v>
      </c>
      <c r="AU19" s="436">
        <f t="shared" si="34"/>
        <v>1.1000000000000001</v>
      </c>
      <c r="AV19" s="204">
        <v>114</v>
      </c>
      <c r="AW19" s="5">
        <v>2.9</v>
      </c>
      <c r="AX19" s="204">
        <v>130</v>
      </c>
      <c r="AY19" s="439">
        <f t="shared" si="7"/>
        <v>47.7</v>
      </c>
      <c r="AZ19" s="439">
        <f t="shared" si="26"/>
        <v>125.4</v>
      </c>
      <c r="BA19" s="439">
        <f t="shared" si="27"/>
        <v>377</v>
      </c>
      <c r="BB19" s="21">
        <f t="shared" si="28"/>
        <v>-53.099999999999994</v>
      </c>
      <c r="BC19" s="21">
        <f t="shared" si="29"/>
        <v>4.3999999999999915</v>
      </c>
      <c r="BD19" s="21">
        <f t="shared" si="29"/>
        <v>63.800000000000011</v>
      </c>
      <c r="BE19" s="24">
        <f t="shared" si="30"/>
        <v>15.100000000000009</v>
      </c>
      <c r="BF19" s="96">
        <f t="shared" si="8"/>
        <v>208.89999999999998</v>
      </c>
      <c r="BG19" s="82">
        <f t="shared" si="9"/>
        <v>15.100000000000023</v>
      </c>
    </row>
    <row r="20" spans="1:61" ht="15.75" thickBot="1">
      <c r="A20" s="6">
        <f>ELEC!C17</f>
        <v>44027</v>
      </c>
      <c r="B20" s="5"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v>603282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6443</v>
      </c>
      <c r="L20" s="83">
        <f t="shared" si="33"/>
        <v>0</v>
      </c>
      <c r="M20" s="421">
        <f t="shared" si="14"/>
        <v>457.44</v>
      </c>
      <c r="N20" s="529">
        <f t="shared" si="35"/>
        <v>0</v>
      </c>
      <c r="O20" s="421">
        <f t="shared" si="15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v>4949</v>
      </c>
      <c r="U20" s="5">
        <f t="shared" si="4"/>
        <v>4</v>
      </c>
      <c r="V20" s="5">
        <v>415</v>
      </c>
      <c r="W20" s="332">
        <f t="shared" si="17"/>
        <v>2</v>
      </c>
      <c r="X20" s="5">
        <v>145527</v>
      </c>
      <c r="Y20" s="332">
        <f t="shared" si="18"/>
        <v>37</v>
      </c>
      <c r="Z20" s="5">
        <v>95780</v>
      </c>
      <c r="AA20" s="83">
        <f t="shared" si="19"/>
        <v>11</v>
      </c>
      <c r="AB20" s="5">
        <f t="shared" si="16"/>
        <v>258</v>
      </c>
      <c r="AC20" s="5">
        <f t="shared" si="16"/>
        <v>670</v>
      </c>
      <c r="AD20" s="83">
        <f t="shared" si="32"/>
        <v>0</v>
      </c>
      <c r="AE20" s="5">
        <v>171.25</v>
      </c>
      <c r="AF20" s="83">
        <f t="shared" si="20"/>
        <v>2.1399999999999864</v>
      </c>
      <c r="AG20" s="5">
        <v>1813.38</v>
      </c>
      <c r="AH20" s="83">
        <f t="shared" si="21"/>
        <v>19.760000000000218</v>
      </c>
      <c r="AI20" s="83">
        <f t="shared" si="22"/>
        <v>21.900000000000205</v>
      </c>
      <c r="AJ20" s="334">
        <f t="shared" si="23"/>
        <v>11</v>
      </c>
      <c r="AK20" s="335">
        <f t="shared" si="5"/>
        <v>37</v>
      </c>
      <c r="AL20" s="335">
        <f t="shared" si="24"/>
        <v>9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350</v>
      </c>
      <c r="AQ20" s="81"/>
      <c r="AR20" s="283">
        <f t="shared" si="25"/>
        <v>44027</v>
      </c>
      <c r="AS20" s="435">
        <f t="shared" si="6"/>
        <v>0.9</v>
      </c>
      <c r="AT20" s="204">
        <v>0</v>
      </c>
      <c r="AU20" s="436">
        <f t="shared" si="34"/>
        <v>1.1000000000000001</v>
      </c>
      <c r="AV20" s="204">
        <v>90</v>
      </c>
      <c r="AW20" s="5">
        <v>2.9</v>
      </c>
      <c r="AX20" s="204">
        <v>121</v>
      </c>
      <c r="AY20" s="439">
        <f t="shared" si="7"/>
        <v>0</v>
      </c>
      <c r="AZ20" s="439">
        <f t="shared" si="26"/>
        <v>99.000000000000014</v>
      </c>
      <c r="BA20" s="439">
        <f t="shared" si="27"/>
        <v>350.9</v>
      </c>
      <c r="BB20" s="21">
        <f t="shared" si="28"/>
        <v>-47.7</v>
      </c>
      <c r="BC20" s="21">
        <f t="shared" si="29"/>
        <v>-26.399999999999991</v>
      </c>
      <c r="BD20" s="21">
        <f t="shared" si="29"/>
        <v>-26.100000000000023</v>
      </c>
      <c r="BE20" s="24">
        <f t="shared" si="30"/>
        <v>-100.20000000000002</v>
      </c>
      <c r="BF20" s="96">
        <f t="shared" si="8"/>
        <v>100.20000000000002</v>
      </c>
      <c r="BG20" s="82">
        <f t="shared" si="9"/>
        <v>-100.20000000000002</v>
      </c>
    </row>
    <row r="21" spans="1:61" ht="15.75" thickBot="1">
      <c r="A21" s="6">
        <f>ELEC!C18</f>
        <v>44028</v>
      </c>
      <c r="B21" s="5"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v>603441</v>
      </c>
      <c r="H21" s="5">
        <f t="shared" si="13"/>
        <v>159</v>
      </c>
      <c r="I21" s="5">
        <f t="shared" si="0"/>
        <v>159</v>
      </c>
      <c r="J21" s="342">
        <f t="shared" si="1"/>
        <v>1.5216068167985393</v>
      </c>
      <c r="K21" s="5">
        <f>'Swimming Pool quality check '!H21</f>
        <v>6451</v>
      </c>
      <c r="L21" s="83">
        <f t="shared" si="33"/>
        <v>8</v>
      </c>
      <c r="M21" s="421">
        <f t="shared" si="14"/>
        <v>457.44</v>
      </c>
      <c r="N21" s="529">
        <f t="shared" si="35"/>
        <v>0</v>
      </c>
      <c r="O21" s="421">
        <f t="shared" si="15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v>4952</v>
      </c>
      <c r="U21" s="5">
        <f t="shared" si="4"/>
        <v>3</v>
      </c>
      <c r="V21" s="5">
        <v>415</v>
      </c>
      <c r="W21" s="332">
        <f t="shared" si="17"/>
        <v>0</v>
      </c>
      <c r="X21" s="5">
        <v>145527</v>
      </c>
      <c r="Y21" s="332">
        <f>SUM(X21-X20)</f>
        <v>0</v>
      </c>
      <c r="Z21" s="5">
        <v>95780</v>
      </c>
      <c r="AA21" s="83">
        <f t="shared" si="19"/>
        <v>0</v>
      </c>
      <c r="AB21" s="5">
        <v>258</v>
      </c>
      <c r="AC21" s="5">
        <f t="shared" si="16"/>
        <v>670</v>
      </c>
      <c r="AD21" s="83">
        <f t="shared" si="32"/>
        <v>0</v>
      </c>
      <c r="AE21" s="5">
        <v>171.62</v>
      </c>
      <c r="AF21" s="83">
        <f t="shared" si="20"/>
        <v>0.37000000000000455</v>
      </c>
      <c r="AG21" s="5">
        <v>1816.13</v>
      </c>
      <c r="AH21" s="83">
        <f t="shared" si="21"/>
        <v>2.75</v>
      </c>
      <c r="AI21" s="83">
        <f t="shared" si="22"/>
        <v>3.1200000000000045</v>
      </c>
      <c r="AJ21" s="334">
        <f t="shared" si="23"/>
        <v>0</v>
      </c>
      <c r="AK21" s="335">
        <f t="shared" si="5"/>
        <v>-8</v>
      </c>
      <c r="AL21" s="335">
        <f t="shared" si="24"/>
        <v>0</v>
      </c>
      <c r="AM21" s="335">
        <f>'General information '!D21</f>
        <v>27.5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v>93</v>
      </c>
      <c r="AU21" s="436">
        <f t="shared" si="34"/>
        <v>1.1000000000000001</v>
      </c>
      <c r="AV21" s="204">
        <v>83</v>
      </c>
      <c r="AW21" s="5">
        <v>2.9</v>
      </c>
      <c r="AX21" s="204">
        <v>90</v>
      </c>
      <c r="AY21" s="439">
        <f t="shared" si="7"/>
        <v>83.7</v>
      </c>
      <c r="AZ21" s="439">
        <f t="shared" si="26"/>
        <v>91.300000000000011</v>
      </c>
      <c r="BA21" s="439">
        <f t="shared" si="27"/>
        <v>261</v>
      </c>
      <c r="BB21" s="21">
        <f t="shared" si="28"/>
        <v>83.7</v>
      </c>
      <c r="BC21" s="21">
        <f t="shared" si="29"/>
        <v>-7.7000000000000028</v>
      </c>
      <c r="BD21" s="21">
        <f t="shared" si="29"/>
        <v>-89.899999999999977</v>
      </c>
      <c r="BE21" s="24">
        <f t="shared" si="30"/>
        <v>-13.899999999999977</v>
      </c>
      <c r="BF21" s="96">
        <f t="shared" si="8"/>
        <v>172.89999999999998</v>
      </c>
      <c r="BG21" s="82">
        <f t="shared" si="9"/>
        <v>-13.899999999999977</v>
      </c>
    </row>
    <row r="22" spans="1:61" ht="15.75" thickBot="1">
      <c r="A22" s="6">
        <f>ELEC!C19</f>
        <v>44029</v>
      </c>
      <c r="B22" s="5">
        <v>108598</v>
      </c>
      <c r="C22" s="5">
        <f t="shared" si="11"/>
        <v>63</v>
      </c>
      <c r="D22" s="430">
        <f t="shared" si="12"/>
        <v>2.3333333333333335</v>
      </c>
      <c r="E22" s="341">
        <f>SUM((C22*$E$4)+(7500/'EDl log'!$A$39))</f>
        <v>346.51548387096773</v>
      </c>
      <c r="F22" s="335">
        <v>2</v>
      </c>
      <c r="G22" s="5">
        <v>603441</v>
      </c>
      <c r="H22" s="5">
        <f t="shared" si="13"/>
        <v>0</v>
      </c>
      <c r="I22" s="5">
        <f t="shared" si="0"/>
        <v>63</v>
      </c>
      <c r="J22" s="342">
        <f t="shared" si="1"/>
        <v>5.5002457757296463</v>
      </c>
      <c r="K22" s="5">
        <f>'Swimming Pool quality check '!H22</f>
        <v>6455</v>
      </c>
      <c r="L22" s="83">
        <f t="shared" si="33"/>
        <v>4</v>
      </c>
      <c r="M22" s="421">
        <f t="shared" si="14"/>
        <v>457.44</v>
      </c>
      <c r="N22" s="529">
        <f t="shared" si="35"/>
        <v>0</v>
      </c>
      <c r="O22" s="421">
        <f t="shared" si="15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v>4952</v>
      </c>
      <c r="U22" s="5">
        <f t="shared" si="4"/>
        <v>0</v>
      </c>
      <c r="V22" s="5">
        <v>415</v>
      </c>
      <c r="W22" s="332">
        <f t="shared" si="17"/>
        <v>0</v>
      </c>
      <c r="X22" s="5">
        <v>145555</v>
      </c>
      <c r="Y22" s="332">
        <f t="shared" si="18"/>
        <v>28</v>
      </c>
      <c r="Z22" s="5">
        <v>95824</v>
      </c>
      <c r="AA22" s="83">
        <f t="shared" si="19"/>
        <v>44</v>
      </c>
      <c r="AB22" s="5">
        <f t="shared" si="16"/>
        <v>258</v>
      </c>
      <c r="AC22" s="5">
        <f t="shared" si="16"/>
        <v>670</v>
      </c>
      <c r="AD22" s="83">
        <f t="shared" si="32"/>
        <v>0</v>
      </c>
      <c r="AE22" s="5">
        <v>171.66</v>
      </c>
      <c r="AF22" s="83">
        <f t="shared" si="20"/>
        <v>3.9999999999992042E-2</v>
      </c>
      <c r="AG22" s="5">
        <v>1819.46</v>
      </c>
      <c r="AH22" s="83">
        <f t="shared" si="21"/>
        <v>3.3299999999999272</v>
      </c>
      <c r="AI22" s="83">
        <f t="shared" si="22"/>
        <v>3.3699999999999193</v>
      </c>
      <c r="AJ22" s="334">
        <f t="shared" si="23"/>
        <v>44</v>
      </c>
      <c r="AK22" s="335">
        <f t="shared" si="5"/>
        <v>24</v>
      </c>
      <c r="AL22" s="335">
        <f t="shared" si="24"/>
        <v>44</v>
      </c>
      <c r="AM22" s="335">
        <f>'General information '!D22</f>
        <v>27</v>
      </c>
      <c r="AN22" s="84">
        <f>'General information '!H22</f>
        <v>0</v>
      </c>
      <c r="AO22" s="84"/>
      <c r="AP22" s="84">
        <f>'General information '!J22</f>
        <v>361</v>
      </c>
      <c r="AR22" s="283">
        <f t="shared" si="25"/>
        <v>44029</v>
      </c>
      <c r="AS22" s="435">
        <f t="shared" ref="AS22:AT36" si="38">AS21</f>
        <v>0.9</v>
      </c>
      <c r="AT22" s="204">
        <v>80</v>
      </c>
      <c r="AU22" s="436">
        <f t="shared" si="34"/>
        <v>1.1000000000000001</v>
      </c>
      <c r="AV22" s="204">
        <v>94</v>
      </c>
      <c r="AW22" s="5">
        <v>2.9</v>
      </c>
      <c r="AX22" s="204">
        <v>79</v>
      </c>
      <c r="AY22" s="439">
        <f t="shared" si="7"/>
        <v>72</v>
      </c>
      <c r="AZ22" s="439">
        <f t="shared" si="26"/>
        <v>103.4</v>
      </c>
      <c r="BA22" s="439">
        <f t="shared" si="27"/>
        <v>229.1</v>
      </c>
      <c r="BB22" s="21">
        <f>AY22-AY21</f>
        <v>-11.700000000000003</v>
      </c>
      <c r="BC22" s="21">
        <f t="shared" si="28"/>
        <v>12.099999999999994</v>
      </c>
      <c r="BD22" s="21">
        <f t="shared" si="28"/>
        <v>-31.900000000000006</v>
      </c>
      <c r="BE22" s="24">
        <f t="shared" si="30"/>
        <v>-31.500000000000014</v>
      </c>
      <c r="BF22" s="96">
        <f t="shared" si="8"/>
        <v>94.500000000000014</v>
      </c>
      <c r="BG22" s="82">
        <f t="shared" si="9"/>
        <v>-31.500000000000014</v>
      </c>
    </row>
    <row r="23" spans="1:61" ht="15.75" thickBot="1">
      <c r="A23" s="6">
        <f>ELEC!C20</f>
        <v>44030</v>
      </c>
      <c r="B23" s="5">
        <f t="shared" si="10"/>
        <v>108598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v>603654</v>
      </c>
      <c r="H23" s="5">
        <f t="shared" si="13"/>
        <v>213</v>
      </c>
      <c r="I23" s="5">
        <f t="shared" si="0"/>
        <v>213</v>
      </c>
      <c r="J23" s="342">
        <f t="shared" si="1"/>
        <v>1.1358473421172195</v>
      </c>
      <c r="K23" s="5">
        <f>'Swimming Pool quality check '!H23</f>
        <v>6459</v>
      </c>
      <c r="L23" s="280">
        <f t="shared" si="33"/>
        <v>4</v>
      </c>
      <c r="M23" s="421">
        <f t="shared" si="14"/>
        <v>457.44</v>
      </c>
      <c r="N23" s="529">
        <f t="shared" si="35"/>
        <v>0</v>
      </c>
      <c r="O23" s="421">
        <f t="shared" si="15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v>4959</v>
      </c>
      <c r="U23" s="5">
        <f t="shared" si="4"/>
        <v>7</v>
      </c>
      <c r="V23" s="5">
        <f t="shared" si="16"/>
        <v>415</v>
      </c>
      <c r="W23" s="332">
        <f t="shared" si="17"/>
        <v>0</v>
      </c>
      <c r="X23" s="5">
        <v>145673</v>
      </c>
      <c r="Y23" s="332">
        <f t="shared" si="18"/>
        <v>118</v>
      </c>
      <c r="Z23" s="5">
        <v>95826</v>
      </c>
      <c r="AA23" s="83">
        <f t="shared" si="19"/>
        <v>2</v>
      </c>
      <c r="AB23" s="5">
        <f t="shared" si="16"/>
        <v>258</v>
      </c>
      <c r="AC23" s="5">
        <f t="shared" si="16"/>
        <v>670</v>
      </c>
      <c r="AD23" s="83">
        <f t="shared" si="32"/>
        <v>0</v>
      </c>
      <c r="AE23" s="5">
        <v>172.75</v>
      </c>
      <c r="AF23" s="83">
        <f t="shared" si="20"/>
        <v>1.0900000000000034</v>
      </c>
      <c r="AG23" s="5">
        <v>1835.6</v>
      </c>
      <c r="AH23" s="83">
        <f t="shared" si="21"/>
        <v>16.139999999999873</v>
      </c>
      <c r="AI23" s="83">
        <f t="shared" si="22"/>
        <v>17.229999999999876</v>
      </c>
      <c r="AJ23" s="334">
        <f t="shared" si="23"/>
        <v>2</v>
      </c>
      <c r="AK23" s="335">
        <f t="shared" si="5"/>
        <v>114</v>
      </c>
      <c r="AL23" s="335">
        <f t="shared" si="24"/>
        <v>2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360</v>
      </c>
      <c r="AR23" s="283">
        <f t="shared" si="25"/>
        <v>44030</v>
      </c>
      <c r="AS23" s="435">
        <f t="shared" si="38"/>
        <v>0.9</v>
      </c>
      <c r="AT23" s="204">
        <v>62</v>
      </c>
      <c r="AU23" s="436">
        <f t="shared" si="34"/>
        <v>1.1000000000000001</v>
      </c>
      <c r="AV23" s="204">
        <v>66</v>
      </c>
      <c r="AW23" s="5">
        <v>2.9</v>
      </c>
      <c r="AX23" s="204">
        <v>92</v>
      </c>
      <c r="AY23" s="439">
        <f t="shared" si="7"/>
        <v>55.800000000000004</v>
      </c>
      <c r="AZ23" s="439">
        <f t="shared" si="26"/>
        <v>72.600000000000009</v>
      </c>
      <c r="BA23" s="439">
        <f t="shared" si="27"/>
        <v>266.8</v>
      </c>
      <c r="BB23" s="21">
        <f t="shared" si="28"/>
        <v>-16.199999999999996</v>
      </c>
      <c r="BC23" s="21">
        <f t="shared" si="28"/>
        <v>-30.799999999999997</v>
      </c>
      <c r="BD23" s="21">
        <f t="shared" si="28"/>
        <v>37.700000000000017</v>
      </c>
      <c r="BE23" s="24">
        <f t="shared" si="30"/>
        <v>-9.2999999999999758</v>
      </c>
      <c r="BF23" s="96">
        <f t="shared" si="8"/>
        <v>222.29999999999998</v>
      </c>
      <c r="BG23" s="82">
        <f t="shared" si="9"/>
        <v>-9.2999999999999829</v>
      </c>
    </row>
    <row r="24" spans="1:61" ht="15.75" thickBot="1">
      <c r="A24" s="6">
        <f>ELEC!C21</f>
        <v>44031</v>
      </c>
      <c r="B24" s="5">
        <v>108661</v>
      </c>
      <c r="C24" s="5">
        <f t="shared" si="11"/>
        <v>63</v>
      </c>
      <c r="D24" s="430">
        <f t="shared" si="12"/>
        <v>2.3333333333333335</v>
      </c>
      <c r="E24" s="341">
        <f>SUM((C24*$E$4)+(7500/'EDl log'!$A$39))</f>
        <v>346.51548387096773</v>
      </c>
      <c r="F24" s="335"/>
      <c r="G24" s="5">
        <v>603654</v>
      </c>
      <c r="H24" s="5">
        <f t="shared" si="13"/>
        <v>0</v>
      </c>
      <c r="I24" s="5">
        <f t="shared" si="0"/>
        <v>63</v>
      </c>
      <c r="J24" s="342">
        <f t="shared" si="1"/>
        <v>5.5002457757296463</v>
      </c>
      <c r="K24" s="5">
        <f>'Swimming Pool quality check '!H24</f>
        <v>6462</v>
      </c>
      <c r="L24" s="280">
        <f t="shared" si="33"/>
        <v>3</v>
      </c>
      <c r="M24" s="421">
        <f t="shared" si="14"/>
        <v>457.44</v>
      </c>
      <c r="N24" s="529">
        <f t="shared" si="35"/>
        <v>0</v>
      </c>
      <c r="O24" s="421">
        <f t="shared" si="15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v>4965</v>
      </c>
      <c r="U24" s="5">
        <f t="shared" si="4"/>
        <v>6</v>
      </c>
      <c r="V24" s="5">
        <v>415</v>
      </c>
      <c r="W24" s="332">
        <f t="shared" si="17"/>
        <v>0</v>
      </c>
      <c r="X24" s="5">
        <v>145675</v>
      </c>
      <c r="Y24" s="332">
        <f t="shared" si="18"/>
        <v>2</v>
      </c>
      <c r="Z24" s="5">
        <v>95875</v>
      </c>
      <c r="AA24" s="83">
        <f t="shared" si="19"/>
        <v>49</v>
      </c>
      <c r="AB24" s="5">
        <f t="shared" si="16"/>
        <v>258</v>
      </c>
      <c r="AC24" s="5">
        <f t="shared" si="16"/>
        <v>670</v>
      </c>
      <c r="AD24" s="83">
        <f t="shared" si="32"/>
        <v>0</v>
      </c>
      <c r="AE24" s="5">
        <v>172.8</v>
      </c>
      <c r="AF24" s="83">
        <f t="shared" si="20"/>
        <v>5.0000000000011369E-2</v>
      </c>
      <c r="AG24" s="5">
        <v>1837.28</v>
      </c>
      <c r="AH24" s="83">
        <f t="shared" si="21"/>
        <v>1.6800000000000637</v>
      </c>
      <c r="AI24" s="83">
        <f t="shared" si="22"/>
        <v>1.730000000000075</v>
      </c>
      <c r="AJ24" s="334">
        <f t="shared" si="23"/>
        <v>49</v>
      </c>
      <c r="AK24" s="335">
        <f t="shared" si="5"/>
        <v>-1</v>
      </c>
      <c r="AL24" s="335">
        <f t="shared" si="24"/>
        <v>49</v>
      </c>
      <c r="AM24" s="335">
        <f>'General information '!D24</f>
        <v>27</v>
      </c>
      <c r="AN24" s="84">
        <f>'General information '!H24</f>
        <v>0</v>
      </c>
      <c r="AO24" s="84"/>
      <c r="AP24" s="84">
        <f>'General information '!J24</f>
        <v>362</v>
      </c>
      <c r="AR24" s="283">
        <f t="shared" si="25"/>
        <v>44031</v>
      </c>
      <c r="AS24" s="435">
        <f t="shared" si="38"/>
        <v>0.9</v>
      </c>
      <c r="AT24" s="204">
        <v>63</v>
      </c>
      <c r="AU24" s="436">
        <f t="shared" si="34"/>
        <v>1.1000000000000001</v>
      </c>
      <c r="AV24" s="204">
        <v>81</v>
      </c>
      <c r="AW24" s="5">
        <v>2.9</v>
      </c>
      <c r="AX24" s="204">
        <v>79</v>
      </c>
      <c r="AY24" s="439">
        <f t="shared" si="7"/>
        <v>56.7</v>
      </c>
      <c r="AZ24" s="439">
        <f t="shared" si="26"/>
        <v>89.100000000000009</v>
      </c>
      <c r="BA24" s="439">
        <f t="shared" si="27"/>
        <v>229.1</v>
      </c>
      <c r="BB24" s="21">
        <f t="shared" si="28"/>
        <v>0.89999999999999858</v>
      </c>
      <c r="BC24" s="21">
        <f t="shared" si="28"/>
        <v>16.5</v>
      </c>
      <c r="BD24" s="21">
        <f t="shared" si="28"/>
        <v>-37.700000000000017</v>
      </c>
      <c r="BE24" s="24">
        <f t="shared" si="30"/>
        <v>-20.300000000000018</v>
      </c>
      <c r="BF24" s="96">
        <f t="shared" si="8"/>
        <v>83.300000000000011</v>
      </c>
      <c r="BG24" s="82">
        <f t="shared" si="9"/>
        <v>-20.300000000000011</v>
      </c>
      <c r="BI24" s="82"/>
    </row>
    <row r="25" spans="1:61" ht="15.75" thickBot="1">
      <c r="A25" s="6">
        <f>ELEC!C22</f>
        <v>44032</v>
      </c>
      <c r="B25" s="5">
        <v>108661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v>603975</v>
      </c>
      <c r="H25" s="5">
        <f t="shared" si="13"/>
        <v>321</v>
      </c>
      <c r="I25" s="5">
        <f t="shared" si="0"/>
        <v>321</v>
      </c>
      <c r="J25" s="342">
        <f t="shared" si="1"/>
        <v>0.75369309617123903</v>
      </c>
      <c r="K25" s="5">
        <f>'Swimming Pool quality check '!H25</f>
        <v>6465</v>
      </c>
      <c r="L25" s="280">
        <f t="shared" si="33"/>
        <v>3</v>
      </c>
      <c r="M25" s="421">
        <f t="shared" si="14"/>
        <v>457.44</v>
      </c>
      <c r="N25" s="529">
        <f t="shared" si="35"/>
        <v>0</v>
      </c>
      <c r="O25" s="421">
        <f t="shared" si="15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v>4967</v>
      </c>
      <c r="U25" s="5">
        <f t="shared" si="4"/>
        <v>2</v>
      </c>
      <c r="V25" s="5">
        <v>416</v>
      </c>
      <c r="W25" s="332">
        <f t="shared" si="17"/>
        <v>1</v>
      </c>
      <c r="X25" s="5">
        <v>145846</v>
      </c>
      <c r="Y25" s="332">
        <f t="shared" si="18"/>
        <v>171</v>
      </c>
      <c r="Z25" s="5">
        <v>95917</v>
      </c>
      <c r="AA25" s="83">
        <f t="shared" si="19"/>
        <v>42</v>
      </c>
      <c r="AB25" s="5">
        <f t="shared" si="16"/>
        <v>258</v>
      </c>
      <c r="AC25" s="5">
        <f t="shared" si="16"/>
        <v>670</v>
      </c>
      <c r="AD25" s="83">
        <f t="shared" si="32"/>
        <v>0</v>
      </c>
      <c r="AE25" s="5">
        <v>173.69</v>
      </c>
      <c r="AF25" s="83">
        <f t="shared" si="20"/>
        <v>0.88999999999998636</v>
      </c>
      <c r="AG25" s="5">
        <v>1844.5</v>
      </c>
      <c r="AH25" s="83">
        <f t="shared" si="21"/>
        <v>7.2200000000000273</v>
      </c>
      <c r="AI25" s="83">
        <f t="shared" si="22"/>
        <v>8.1100000000000136</v>
      </c>
      <c r="AJ25" s="334">
        <f t="shared" si="23"/>
        <v>42</v>
      </c>
      <c r="AK25" s="335">
        <f t="shared" si="5"/>
        <v>168</v>
      </c>
      <c r="AL25" s="335">
        <f t="shared" si="24"/>
        <v>41</v>
      </c>
      <c r="AM25" s="335">
        <f>'General information '!D25</f>
        <v>27</v>
      </c>
      <c r="AN25" s="84">
        <f>'General information '!H25</f>
        <v>0</v>
      </c>
      <c r="AO25" s="84"/>
      <c r="AP25" s="84">
        <f>'General information '!J25</f>
        <v>262</v>
      </c>
      <c r="AR25" s="283">
        <f t="shared" si="25"/>
        <v>44032</v>
      </c>
      <c r="AS25" s="435">
        <f t="shared" si="38"/>
        <v>0.9</v>
      </c>
      <c r="AT25" s="204">
        <v>54</v>
      </c>
      <c r="AU25" s="436">
        <f t="shared" si="34"/>
        <v>1.1000000000000001</v>
      </c>
      <c r="AV25" s="204">
        <v>96</v>
      </c>
      <c r="AW25" s="5">
        <v>2.9</v>
      </c>
      <c r="AX25" s="204">
        <v>103</v>
      </c>
      <c r="AY25" s="439">
        <f t="shared" si="7"/>
        <v>48.6</v>
      </c>
      <c r="AZ25" s="439">
        <f t="shared" si="26"/>
        <v>105.60000000000001</v>
      </c>
      <c r="BA25" s="439">
        <f t="shared" si="27"/>
        <v>298.7</v>
      </c>
      <c r="BB25" s="21">
        <f t="shared" si="28"/>
        <v>-8.1000000000000014</v>
      </c>
      <c r="BC25" s="21">
        <f t="shared" si="28"/>
        <v>16.5</v>
      </c>
      <c r="BD25" s="21">
        <f t="shared" si="28"/>
        <v>69.599999999999994</v>
      </c>
      <c r="BE25" s="24">
        <f t="shared" si="30"/>
        <v>78</v>
      </c>
      <c r="BF25" s="96">
        <f t="shared" si="8"/>
        <v>243</v>
      </c>
      <c r="BG25" s="82">
        <f t="shared" si="9"/>
        <v>78</v>
      </c>
    </row>
    <row r="26" spans="1:61" ht="15.75" thickBot="1">
      <c r="A26" s="6">
        <f>ELEC!C23</f>
        <v>44033</v>
      </c>
      <c r="B26" s="5">
        <v>108661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v>603975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6471</v>
      </c>
      <c r="L26" s="280">
        <f t="shared" si="33"/>
        <v>6</v>
      </c>
      <c r="M26" s="421">
        <f t="shared" si="14"/>
        <v>457.44</v>
      </c>
      <c r="N26" s="529">
        <f t="shared" si="35"/>
        <v>0</v>
      </c>
      <c r="O26" s="421">
        <f t="shared" si="15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v>4970</v>
      </c>
      <c r="U26" s="5">
        <f t="shared" si="4"/>
        <v>3</v>
      </c>
      <c r="V26" s="5">
        <v>417</v>
      </c>
      <c r="W26" s="332">
        <f t="shared" si="17"/>
        <v>1</v>
      </c>
      <c r="X26" s="5">
        <v>145848</v>
      </c>
      <c r="Y26" s="332">
        <f t="shared" si="18"/>
        <v>2</v>
      </c>
      <c r="Z26" s="5">
        <v>95918</v>
      </c>
      <c r="AA26" s="83">
        <f t="shared" si="19"/>
        <v>1</v>
      </c>
      <c r="AB26" s="5">
        <f t="shared" si="16"/>
        <v>258</v>
      </c>
      <c r="AC26" s="5">
        <f t="shared" si="16"/>
        <v>670</v>
      </c>
      <c r="AD26" s="83">
        <f t="shared" si="32"/>
        <v>0</v>
      </c>
      <c r="AE26" s="5">
        <v>174.98</v>
      </c>
      <c r="AF26" s="83">
        <f t="shared" si="20"/>
        <v>1.289999999999992</v>
      </c>
      <c r="AG26" s="5">
        <v>1859.5</v>
      </c>
      <c r="AH26" s="83">
        <f t="shared" si="21"/>
        <v>15</v>
      </c>
      <c r="AI26" s="83">
        <f t="shared" si="22"/>
        <v>16.289999999999992</v>
      </c>
      <c r="AJ26" s="334">
        <f t="shared" si="23"/>
        <v>1</v>
      </c>
      <c r="AK26" s="335">
        <f t="shared" si="5"/>
        <v>-4</v>
      </c>
      <c r="AL26" s="335">
        <f>SUM(AJ26-W26)</f>
        <v>0</v>
      </c>
      <c r="AM26" s="335">
        <f>'General information '!D26</f>
        <v>27</v>
      </c>
      <c r="AN26" s="84">
        <f>'General information '!H26</f>
        <v>0</v>
      </c>
      <c r="AO26" s="84"/>
      <c r="AP26" s="84">
        <f>'General information '!J26</f>
        <v>295</v>
      </c>
      <c r="AR26" s="283">
        <f t="shared" si="25"/>
        <v>44033</v>
      </c>
      <c r="AS26" s="435">
        <f t="shared" si="38"/>
        <v>0.9</v>
      </c>
      <c r="AT26" s="204">
        <v>52</v>
      </c>
      <c r="AU26" s="436">
        <f t="shared" si="34"/>
        <v>1.1000000000000001</v>
      </c>
      <c r="AV26" s="204">
        <v>67</v>
      </c>
      <c r="AW26" s="5">
        <v>2.9</v>
      </c>
      <c r="AX26" s="204">
        <v>89</v>
      </c>
      <c r="AY26" s="439">
        <f t="shared" si="7"/>
        <v>46.800000000000004</v>
      </c>
      <c r="AZ26" s="439">
        <f t="shared" si="26"/>
        <v>73.7</v>
      </c>
      <c r="BA26" s="439">
        <f t="shared" si="27"/>
        <v>258.09999999999997</v>
      </c>
      <c r="BB26" s="21">
        <f t="shared" si="28"/>
        <v>-1.7999999999999972</v>
      </c>
      <c r="BC26" s="21">
        <f t="shared" si="28"/>
        <v>-31.900000000000006</v>
      </c>
      <c r="BD26" s="21">
        <f t="shared" si="28"/>
        <v>-40.600000000000023</v>
      </c>
      <c r="BE26" s="24">
        <f t="shared" si="30"/>
        <v>-74.300000000000026</v>
      </c>
      <c r="BF26" s="350">
        <f t="shared" si="8"/>
        <v>74.300000000000026</v>
      </c>
      <c r="BG26" s="82">
        <f t="shared" si="9"/>
        <v>-74.300000000000026</v>
      </c>
    </row>
    <row r="27" spans="1:61" ht="15.75" thickBot="1">
      <c r="A27" s="6">
        <f>ELEC!C24</f>
        <v>44034</v>
      </c>
      <c r="B27" s="5">
        <v>108661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v>604198</v>
      </c>
      <c r="H27" s="5">
        <f t="shared" si="13"/>
        <v>223</v>
      </c>
      <c r="I27" s="5">
        <f t="shared" si="0"/>
        <v>223</v>
      </c>
      <c r="J27" s="342">
        <f t="shared" si="1"/>
        <v>1.0849124837263127</v>
      </c>
      <c r="K27" s="5">
        <f>'Swimming Pool quality check '!H27</f>
        <v>6480</v>
      </c>
      <c r="L27" s="280">
        <f t="shared" si="33"/>
        <v>9</v>
      </c>
      <c r="M27" s="421">
        <f t="shared" si="14"/>
        <v>457.44</v>
      </c>
      <c r="N27" s="529">
        <f t="shared" si="35"/>
        <v>0</v>
      </c>
      <c r="O27" s="421">
        <f t="shared" si="15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v>4974</v>
      </c>
      <c r="U27" s="5">
        <f t="shared" si="4"/>
        <v>4</v>
      </c>
      <c r="V27" s="5">
        <v>419</v>
      </c>
      <c r="W27" s="332">
        <f t="shared" si="17"/>
        <v>2</v>
      </c>
      <c r="X27" s="5">
        <v>145874</v>
      </c>
      <c r="Y27" s="332">
        <f>SUM(X27-X26)</f>
        <v>26</v>
      </c>
      <c r="Z27" s="5">
        <v>95970</v>
      </c>
      <c r="AA27" s="83">
        <f t="shared" si="19"/>
        <v>52</v>
      </c>
      <c r="AB27" s="5">
        <f t="shared" si="16"/>
        <v>258</v>
      </c>
      <c r="AC27" s="5">
        <f t="shared" si="16"/>
        <v>670</v>
      </c>
      <c r="AD27" s="83">
        <f t="shared" si="32"/>
        <v>0</v>
      </c>
      <c r="AE27" s="5">
        <v>176.86</v>
      </c>
      <c r="AF27" s="83">
        <f t="shared" si="20"/>
        <v>1.8800000000000239</v>
      </c>
      <c r="AG27" s="5">
        <v>1876.36</v>
      </c>
      <c r="AH27" s="83">
        <f t="shared" si="21"/>
        <v>16.8599999999999</v>
      </c>
      <c r="AI27" s="83">
        <f t="shared" si="22"/>
        <v>18.739999999999924</v>
      </c>
      <c r="AJ27" s="334">
        <f t="shared" si="23"/>
        <v>52</v>
      </c>
      <c r="AK27" s="335">
        <f t="shared" si="5"/>
        <v>17</v>
      </c>
      <c r="AL27" s="335">
        <f t="shared" si="24"/>
        <v>50</v>
      </c>
      <c r="AM27" s="335">
        <f>'General information '!D27</f>
        <v>27</v>
      </c>
      <c r="AN27" s="84">
        <f>'General information '!H27</f>
        <v>0</v>
      </c>
      <c r="AO27" s="84"/>
      <c r="AP27" s="84">
        <f>'General information '!J27</f>
        <v>327</v>
      </c>
      <c r="AR27" s="283">
        <f t="shared" si="25"/>
        <v>44034</v>
      </c>
      <c r="AS27" s="435">
        <f t="shared" si="38"/>
        <v>0.9</v>
      </c>
      <c r="AT27" s="204">
        <v>92</v>
      </c>
      <c r="AU27" s="436">
        <f t="shared" si="34"/>
        <v>1.1000000000000001</v>
      </c>
      <c r="AV27" s="204">
        <v>77</v>
      </c>
      <c r="AW27" s="5">
        <v>2.9</v>
      </c>
      <c r="AX27" s="204">
        <v>81</v>
      </c>
      <c r="AY27" s="439">
        <f t="shared" si="7"/>
        <v>82.8</v>
      </c>
      <c r="AZ27" s="439">
        <f t="shared" si="26"/>
        <v>84.7</v>
      </c>
      <c r="BA27" s="439">
        <f t="shared" si="27"/>
        <v>234.9</v>
      </c>
      <c r="BB27" s="21">
        <f t="shared" si="28"/>
        <v>35.999999999999993</v>
      </c>
      <c r="BC27" s="21">
        <f t="shared" si="28"/>
        <v>11</v>
      </c>
      <c r="BD27" s="21">
        <f t="shared" si="28"/>
        <v>-23.19999999999996</v>
      </c>
      <c r="BE27" s="24">
        <f t="shared" si="30"/>
        <v>23.800000000000033</v>
      </c>
      <c r="BF27" s="96">
        <f t="shared" si="8"/>
        <v>199.19999999999996</v>
      </c>
      <c r="BG27" s="82">
        <f t="shared" si="9"/>
        <v>23.80000000000004</v>
      </c>
    </row>
    <row r="28" spans="1:61" ht="15.75" thickBot="1">
      <c r="A28" s="6">
        <f>ELEC!C25</f>
        <v>44035</v>
      </c>
      <c r="B28" s="5">
        <v>108661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v>604198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6489</v>
      </c>
      <c r="L28" s="280">
        <f t="shared" si="33"/>
        <v>9</v>
      </c>
      <c r="M28" s="421">
        <f t="shared" si="14"/>
        <v>457.44</v>
      </c>
      <c r="N28" s="529">
        <f t="shared" si="35"/>
        <v>0</v>
      </c>
      <c r="O28" s="421">
        <f t="shared" si="15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v>4978</v>
      </c>
      <c r="U28" s="5">
        <f t="shared" si="4"/>
        <v>4</v>
      </c>
      <c r="V28" s="5">
        <v>419</v>
      </c>
      <c r="W28" s="332">
        <f t="shared" si="17"/>
        <v>0</v>
      </c>
      <c r="X28" s="5">
        <v>145926</v>
      </c>
      <c r="Y28" s="332">
        <f t="shared" si="18"/>
        <v>52</v>
      </c>
      <c r="Z28" s="5">
        <v>95998</v>
      </c>
      <c r="AA28" s="83">
        <f t="shared" si="19"/>
        <v>28</v>
      </c>
      <c r="AB28" s="5">
        <f t="shared" si="16"/>
        <v>258</v>
      </c>
      <c r="AC28" s="5">
        <f t="shared" si="16"/>
        <v>670</v>
      </c>
      <c r="AD28" s="83">
        <f t="shared" si="32"/>
        <v>0</v>
      </c>
      <c r="AE28" s="5">
        <v>176.86</v>
      </c>
      <c r="AF28" s="83">
        <f t="shared" si="20"/>
        <v>0</v>
      </c>
      <c r="AG28" s="5">
        <v>1876.68</v>
      </c>
      <c r="AH28" s="83">
        <f t="shared" si="21"/>
        <v>0.32000000000016371</v>
      </c>
      <c r="AI28" s="83">
        <f t="shared" si="22"/>
        <v>0.32000000000016371</v>
      </c>
      <c r="AJ28" s="334">
        <f t="shared" si="23"/>
        <v>28</v>
      </c>
      <c r="AK28" s="335">
        <f t="shared" si="5"/>
        <v>43</v>
      </c>
      <c r="AL28" s="335">
        <f t="shared" si="24"/>
        <v>28</v>
      </c>
      <c r="AM28" s="335">
        <f>'General information '!D28</f>
        <v>29.5</v>
      </c>
      <c r="AN28" s="84">
        <f>'General information '!H28</f>
        <v>0</v>
      </c>
      <c r="AO28" s="84"/>
      <c r="AP28" s="84">
        <f>'General information '!J28</f>
        <v>463</v>
      </c>
      <c r="AR28" s="283">
        <f t="shared" si="25"/>
        <v>44035</v>
      </c>
      <c r="AS28" s="435">
        <f t="shared" si="38"/>
        <v>0.9</v>
      </c>
      <c r="AT28" s="204">
        <v>18</v>
      </c>
      <c r="AU28" s="436">
        <f t="shared" si="34"/>
        <v>1.1000000000000001</v>
      </c>
      <c r="AV28" s="204">
        <v>80</v>
      </c>
      <c r="AW28" s="5">
        <v>2.9</v>
      </c>
      <c r="AX28" s="204">
        <v>75</v>
      </c>
      <c r="AY28" s="439">
        <f t="shared" si="7"/>
        <v>16.2</v>
      </c>
      <c r="AZ28" s="439">
        <f t="shared" si="26"/>
        <v>88</v>
      </c>
      <c r="BA28" s="439">
        <f t="shared" si="27"/>
        <v>217.5</v>
      </c>
      <c r="BB28" s="21">
        <f t="shared" si="28"/>
        <v>-66.599999999999994</v>
      </c>
      <c r="BC28" s="21">
        <f t="shared" si="28"/>
        <v>3.2999999999999972</v>
      </c>
      <c r="BD28" s="21">
        <f t="shared" si="28"/>
        <v>-17.400000000000006</v>
      </c>
      <c r="BE28" s="24">
        <f t="shared" si="30"/>
        <v>-80.7</v>
      </c>
      <c r="BF28" s="96">
        <f t="shared" si="8"/>
        <v>80.7</v>
      </c>
      <c r="BG28" s="82">
        <f t="shared" si="9"/>
        <v>-80.7</v>
      </c>
    </row>
    <row r="29" spans="1:61" ht="15.75" thickBot="1">
      <c r="A29" s="6">
        <f>ELEC!C26</f>
        <v>44036</v>
      </c>
      <c r="B29" s="5">
        <f t="shared" si="10"/>
        <v>108661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v>604398</v>
      </c>
      <c r="H29" s="5">
        <f t="shared" si="13"/>
        <v>200</v>
      </c>
      <c r="I29" s="5">
        <f t="shared" si="0"/>
        <v>200</v>
      </c>
      <c r="J29" s="342">
        <f t="shared" si="1"/>
        <v>1.2096774193548387</v>
      </c>
      <c r="K29" s="5">
        <f>'Swimming Pool quality check '!H29</f>
        <v>6495</v>
      </c>
      <c r="L29" s="280">
        <f t="shared" si="33"/>
        <v>6</v>
      </c>
      <c r="M29" s="421">
        <f t="shared" si="14"/>
        <v>457.44</v>
      </c>
      <c r="N29" s="529">
        <f t="shared" si="35"/>
        <v>0</v>
      </c>
      <c r="O29" s="421">
        <f t="shared" si="15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6"/>
        <v>4978</v>
      </c>
      <c r="U29" s="5">
        <f t="shared" si="4"/>
        <v>0</v>
      </c>
      <c r="V29" s="5">
        <f t="shared" si="16"/>
        <v>419</v>
      </c>
      <c r="W29" s="332">
        <f t="shared" si="17"/>
        <v>0</v>
      </c>
      <c r="X29" s="5">
        <v>145993</v>
      </c>
      <c r="Y29" s="332">
        <f t="shared" si="18"/>
        <v>67</v>
      </c>
      <c r="Z29" s="5">
        <v>96050</v>
      </c>
      <c r="AA29" s="83">
        <f t="shared" si="19"/>
        <v>52</v>
      </c>
      <c r="AB29" s="5">
        <f t="shared" si="16"/>
        <v>258</v>
      </c>
      <c r="AC29" s="5">
        <f t="shared" si="16"/>
        <v>670</v>
      </c>
      <c r="AD29" s="83">
        <f t="shared" si="32"/>
        <v>0</v>
      </c>
      <c r="AE29" s="5">
        <v>178.62</v>
      </c>
      <c r="AF29" s="83">
        <f t="shared" si="20"/>
        <v>1.7599999999999909</v>
      </c>
      <c r="AG29" s="5">
        <v>1895.38</v>
      </c>
      <c r="AH29" s="83">
        <f t="shared" si="21"/>
        <v>18.700000000000045</v>
      </c>
      <c r="AI29" s="83">
        <f t="shared" si="22"/>
        <v>20.460000000000036</v>
      </c>
      <c r="AJ29" s="334">
        <f t="shared" si="23"/>
        <v>52</v>
      </c>
      <c r="AK29" s="335">
        <f t="shared" si="5"/>
        <v>61</v>
      </c>
      <c r="AL29" s="335">
        <f t="shared" si="24"/>
        <v>52</v>
      </c>
      <c r="AM29" s="335">
        <f>'General information '!D29</f>
        <v>27</v>
      </c>
      <c r="AN29" s="84">
        <f>'General information '!H29</f>
        <v>0</v>
      </c>
      <c r="AO29" s="84"/>
      <c r="AP29" s="84">
        <f>'General information '!J29</f>
        <v>384</v>
      </c>
      <c r="AR29" s="283">
        <f t="shared" si="25"/>
        <v>44036</v>
      </c>
      <c r="AS29" s="435">
        <f t="shared" si="38"/>
        <v>0.9</v>
      </c>
      <c r="AT29" s="204">
        <v>20</v>
      </c>
      <c r="AU29" s="436">
        <f t="shared" si="34"/>
        <v>1.1000000000000001</v>
      </c>
      <c r="AV29" s="204">
        <v>92</v>
      </c>
      <c r="AW29" s="5">
        <v>2.9</v>
      </c>
      <c r="AX29" s="204">
        <v>74</v>
      </c>
      <c r="AY29" s="439">
        <f t="shared" si="7"/>
        <v>18</v>
      </c>
      <c r="AZ29" s="439">
        <f t="shared" si="26"/>
        <v>101.2</v>
      </c>
      <c r="BA29" s="439">
        <f t="shared" si="27"/>
        <v>214.6</v>
      </c>
      <c r="BB29" s="21">
        <f t="shared" si="28"/>
        <v>1.8000000000000007</v>
      </c>
      <c r="BC29" s="21">
        <f t="shared" si="28"/>
        <v>13.200000000000003</v>
      </c>
      <c r="BD29" s="21">
        <f t="shared" si="28"/>
        <v>-2.9000000000000057</v>
      </c>
      <c r="BE29" s="24">
        <f t="shared" si="30"/>
        <v>12.099999999999998</v>
      </c>
      <c r="BF29" s="96">
        <f t="shared" si="8"/>
        <v>187.9</v>
      </c>
      <c r="BG29" s="82">
        <f t="shared" si="9"/>
        <v>12.099999999999994</v>
      </c>
    </row>
    <row r="30" spans="1:61" ht="15.75" thickBot="1">
      <c r="A30" s="6">
        <f>ELEC!C27</f>
        <v>44037</v>
      </c>
      <c r="B30" s="5">
        <v>108786</v>
      </c>
      <c r="C30" s="5">
        <f t="shared" si="11"/>
        <v>125</v>
      </c>
      <c r="D30" s="430">
        <f t="shared" si="12"/>
        <v>4.6296296296296298</v>
      </c>
      <c r="E30" s="341">
        <f>SUM((C30*$E$4)+(7500/'EDl log'!$A$39))</f>
        <v>449.43548387096774</v>
      </c>
      <c r="F30" s="335"/>
      <c r="G30" s="5">
        <v>604398</v>
      </c>
      <c r="H30" s="5">
        <f t="shared" si="13"/>
        <v>0</v>
      </c>
      <c r="I30" s="5">
        <f t="shared" si="0"/>
        <v>125</v>
      </c>
      <c r="J30" s="342">
        <f t="shared" si="1"/>
        <v>3.5954838709677421</v>
      </c>
      <c r="K30" s="5">
        <f>'Swimming Pool quality check '!H30</f>
        <v>6495</v>
      </c>
      <c r="L30" s="280">
        <f t="shared" si="33"/>
        <v>0</v>
      </c>
      <c r="M30" s="421">
        <f t="shared" si="14"/>
        <v>457.44</v>
      </c>
      <c r="N30" s="529">
        <f t="shared" si="35"/>
        <v>0</v>
      </c>
      <c r="O30" s="421">
        <f t="shared" si="15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6"/>
        <v>4978</v>
      </c>
      <c r="U30" s="5">
        <f t="shared" si="4"/>
        <v>0</v>
      </c>
      <c r="V30" s="5">
        <f t="shared" si="16"/>
        <v>419</v>
      </c>
      <c r="W30" s="332">
        <f t="shared" si="17"/>
        <v>0</v>
      </c>
      <c r="X30" s="5">
        <f t="shared" si="16"/>
        <v>145993</v>
      </c>
      <c r="Y30" s="332">
        <f t="shared" si="18"/>
        <v>0</v>
      </c>
      <c r="Z30" s="5">
        <v>96059</v>
      </c>
      <c r="AA30" s="83">
        <f t="shared" si="19"/>
        <v>9</v>
      </c>
      <c r="AB30" s="5">
        <f t="shared" si="16"/>
        <v>258</v>
      </c>
      <c r="AC30" s="5">
        <f t="shared" si="16"/>
        <v>670</v>
      </c>
      <c r="AD30" s="83">
        <f t="shared" si="32"/>
        <v>0</v>
      </c>
      <c r="AE30" s="5">
        <v>178.62</v>
      </c>
      <c r="AF30" s="83">
        <f t="shared" si="20"/>
        <v>0</v>
      </c>
      <c r="AG30" s="5">
        <v>1900.76</v>
      </c>
      <c r="AH30" s="83">
        <f t="shared" si="21"/>
        <v>5.3799999999998818</v>
      </c>
      <c r="AI30" s="83">
        <f t="shared" si="22"/>
        <v>5.3799999999998818</v>
      </c>
      <c r="AJ30" s="334">
        <f t="shared" si="23"/>
        <v>9</v>
      </c>
      <c r="AK30" s="335">
        <f t="shared" si="5"/>
        <v>0</v>
      </c>
      <c r="AL30" s="335">
        <f t="shared" si="24"/>
        <v>9</v>
      </c>
      <c r="AM30" s="335">
        <f>'General information '!D30</f>
        <v>27</v>
      </c>
      <c r="AN30" s="84">
        <f>'General information '!H30</f>
        <v>0</v>
      </c>
      <c r="AO30" s="84"/>
      <c r="AP30" s="84">
        <f>'General information '!J30</f>
        <v>467</v>
      </c>
      <c r="AR30" s="283">
        <f t="shared" si="25"/>
        <v>44037</v>
      </c>
      <c r="AS30" s="435">
        <f t="shared" si="38"/>
        <v>0.9</v>
      </c>
      <c r="AT30" s="204">
        <v>108</v>
      </c>
      <c r="AU30" s="436">
        <f t="shared" si="34"/>
        <v>1.1000000000000001</v>
      </c>
      <c r="AV30" s="204">
        <v>77</v>
      </c>
      <c r="AW30" s="5">
        <v>2.9</v>
      </c>
      <c r="AX30" s="204">
        <v>57</v>
      </c>
      <c r="AY30" s="439">
        <f t="shared" si="7"/>
        <v>97.2</v>
      </c>
      <c r="AZ30" s="439">
        <f t="shared" si="26"/>
        <v>84.7</v>
      </c>
      <c r="BA30" s="439">
        <f t="shared" si="27"/>
        <v>165.29999999999998</v>
      </c>
      <c r="BB30" s="21">
        <f t="shared" si="28"/>
        <v>79.2</v>
      </c>
      <c r="BC30" s="21">
        <f t="shared" si="28"/>
        <v>-16.5</v>
      </c>
      <c r="BD30" s="21">
        <f t="shared" si="28"/>
        <v>-49.300000000000011</v>
      </c>
      <c r="BE30" s="24">
        <f t="shared" si="30"/>
        <v>13.399999999999991</v>
      </c>
      <c r="BF30" s="96">
        <f t="shared" si="8"/>
        <v>111.60000000000001</v>
      </c>
      <c r="BG30" s="82">
        <f t="shared" si="9"/>
        <v>13.399999999999991</v>
      </c>
    </row>
    <row r="31" spans="1:61" ht="15.75" thickBot="1">
      <c r="A31" s="6">
        <f>ELEC!C28</f>
        <v>44038</v>
      </c>
      <c r="B31" s="5">
        <f t="shared" si="10"/>
        <v>108786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604398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6495</v>
      </c>
      <c r="L31" s="280">
        <f t="shared" si="33"/>
        <v>0</v>
      </c>
      <c r="M31" s="421">
        <f t="shared" si="14"/>
        <v>457.44</v>
      </c>
      <c r="N31" s="529">
        <f t="shared" si="35"/>
        <v>0</v>
      </c>
      <c r="O31" s="421">
        <f t="shared" si="15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6"/>
        <v>4978</v>
      </c>
      <c r="U31" s="5">
        <f t="shared" si="4"/>
        <v>0</v>
      </c>
      <c r="V31" s="5">
        <f t="shared" si="16"/>
        <v>419</v>
      </c>
      <c r="W31" s="332">
        <f t="shared" si="17"/>
        <v>0</v>
      </c>
      <c r="X31" s="5">
        <f t="shared" si="16"/>
        <v>145993</v>
      </c>
      <c r="Y31" s="332">
        <f t="shared" si="18"/>
        <v>0</v>
      </c>
      <c r="Z31" s="5">
        <f t="shared" si="16"/>
        <v>96059</v>
      </c>
      <c r="AA31" s="83">
        <f t="shared" si="19"/>
        <v>0</v>
      </c>
      <c r="AB31" s="5">
        <f t="shared" si="16"/>
        <v>258</v>
      </c>
      <c r="AC31" s="5">
        <f t="shared" si="16"/>
        <v>670</v>
      </c>
      <c r="AD31" s="83">
        <f t="shared" si="32"/>
        <v>0</v>
      </c>
      <c r="AE31" s="5">
        <f t="shared" si="16"/>
        <v>178.62</v>
      </c>
      <c r="AF31" s="83">
        <f t="shared" si="20"/>
        <v>0</v>
      </c>
      <c r="AG31" s="5">
        <f t="shared" si="16"/>
        <v>1900.76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38"/>
        <v>0.9</v>
      </c>
      <c r="AT31" s="204">
        <f t="shared" si="38"/>
        <v>108</v>
      </c>
      <c r="AU31" s="436">
        <f t="shared" si="34"/>
        <v>1.1000000000000001</v>
      </c>
      <c r="AV31" s="204">
        <f t="shared" si="34"/>
        <v>77</v>
      </c>
      <c r="AW31" s="5">
        <v>2.9</v>
      </c>
      <c r="AX31" s="204">
        <f t="shared" ref="AX31" si="39">AX30</f>
        <v>57</v>
      </c>
      <c r="AY31" s="439">
        <f t="shared" si="7"/>
        <v>97.2</v>
      </c>
      <c r="AZ31" s="439">
        <f t="shared" si="26"/>
        <v>84.7</v>
      </c>
      <c r="BA31" s="439">
        <f t="shared" si="27"/>
        <v>165.29999999999998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108786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604398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6495</v>
      </c>
      <c r="L32" s="280">
        <f t="shared" si="33"/>
        <v>0</v>
      </c>
      <c r="M32" s="421">
        <f t="shared" si="14"/>
        <v>457.44</v>
      </c>
      <c r="N32" s="529">
        <f t="shared" si="35"/>
        <v>0</v>
      </c>
      <c r="O32" s="421">
        <f t="shared" si="15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6"/>
        <v>4978</v>
      </c>
      <c r="U32" s="5">
        <f t="shared" si="4"/>
        <v>0</v>
      </c>
      <c r="V32" s="5">
        <f t="shared" si="16"/>
        <v>419</v>
      </c>
      <c r="W32" s="332">
        <f t="shared" si="17"/>
        <v>0</v>
      </c>
      <c r="X32" s="5">
        <f t="shared" si="16"/>
        <v>145993</v>
      </c>
      <c r="Y32" s="332">
        <f t="shared" si="18"/>
        <v>0</v>
      </c>
      <c r="Z32" s="5">
        <f t="shared" si="16"/>
        <v>96059</v>
      </c>
      <c r="AA32" s="83">
        <f t="shared" si="19"/>
        <v>0</v>
      </c>
      <c r="AB32" s="5">
        <f t="shared" si="16"/>
        <v>258</v>
      </c>
      <c r="AC32" s="5">
        <f t="shared" si="16"/>
        <v>670</v>
      </c>
      <c r="AD32" s="83">
        <f t="shared" si="32"/>
        <v>0</v>
      </c>
      <c r="AE32" s="5">
        <f t="shared" si="16"/>
        <v>178.62</v>
      </c>
      <c r="AF32" s="83">
        <f t="shared" si="20"/>
        <v>0</v>
      </c>
      <c r="AG32" s="5">
        <f t="shared" si="16"/>
        <v>1900.76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38"/>
        <v>0.9</v>
      </c>
      <c r="AT32" s="204">
        <f t="shared" si="38"/>
        <v>108</v>
      </c>
      <c r="AU32" s="436">
        <f t="shared" si="34"/>
        <v>1.1000000000000001</v>
      </c>
      <c r="AV32" s="204">
        <f t="shared" si="34"/>
        <v>77</v>
      </c>
      <c r="AW32" s="5">
        <v>2.9</v>
      </c>
      <c r="AX32" s="204">
        <f t="shared" ref="AX32" si="40">AX31</f>
        <v>57</v>
      </c>
      <c r="AY32" s="439">
        <f t="shared" si="7"/>
        <v>97.2</v>
      </c>
      <c r="AZ32" s="439">
        <f t="shared" si="26"/>
        <v>84.7</v>
      </c>
      <c r="BA32" s="439">
        <f t="shared" si="27"/>
        <v>165.29999999999998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108786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604398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6495</v>
      </c>
      <c r="L33" s="280">
        <f t="shared" si="33"/>
        <v>0</v>
      </c>
      <c r="M33" s="421">
        <f t="shared" si="14"/>
        <v>457.44</v>
      </c>
      <c r="N33" s="529">
        <f t="shared" si="35"/>
        <v>0</v>
      </c>
      <c r="O33" s="421">
        <f t="shared" si="15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6"/>
        <v>4978</v>
      </c>
      <c r="U33" s="5">
        <f t="shared" si="4"/>
        <v>0</v>
      </c>
      <c r="V33" s="5">
        <f t="shared" si="16"/>
        <v>419</v>
      </c>
      <c r="W33" s="332">
        <f t="shared" si="17"/>
        <v>0</v>
      </c>
      <c r="X33" s="5">
        <f t="shared" si="16"/>
        <v>145993</v>
      </c>
      <c r="Y33" s="332">
        <f t="shared" si="18"/>
        <v>0</v>
      </c>
      <c r="Z33" s="5">
        <f t="shared" si="16"/>
        <v>96059</v>
      </c>
      <c r="AA33" s="83">
        <f t="shared" si="19"/>
        <v>0</v>
      </c>
      <c r="AB33" s="5">
        <f t="shared" si="16"/>
        <v>258</v>
      </c>
      <c r="AC33" s="5">
        <f t="shared" si="16"/>
        <v>670</v>
      </c>
      <c r="AD33" s="83">
        <f t="shared" si="32"/>
        <v>0</v>
      </c>
      <c r="AE33" s="5">
        <f t="shared" si="16"/>
        <v>178.62</v>
      </c>
      <c r="AF33" s="83">
        <f>AE33-AE32</f>
        <v>0</v>
      </c>
      <c r="AG33" s="5">
        <f t="shared" si="16"/>
        <v>1900.76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38"/>
        <v>0.9</v>
      </c>
      <c r="AT33" s="204">
        <f t="shared" si="38"/>
        <v>108</v>
      </c>
      <c r="AU33" s="436">
        <f t="shared" si="34"/>
        <v>1.1000000000000001</v>
      </c>
      <c r="AV33" s="204">
        <f t="shared" si="34"/>
        <v>77</v>
      </c>
      <c r="AW33" s="5">
        <v>2.9</v>
      </c>
      <c r="AX33" s="204">
        <f t="shared" ref="AX33" si="41">AX32</f>
        <v>57</v>
      </c>
      <c r="AY33" s="439">
        <f t="shared" si="7"/>
        <v>97.2</v>
      </c>
      <c r="AZ33" s="439">
        <f t="shared" si="26"/>
        <v>84.7</v>
      </c>
      <c r="BA33" s="439">
        <f t="shared" si="27"/>
        <v>165.29999999999998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108786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604398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6495</v>
      </c>
      <c r="L34" s="280">
        <f t="shared" si="33"/>
        <v>0</v>
      </c>
      <c r="M34" s="421">
        <f t="shared" si="14"/>
        <v>457.44</v>
      </c>
      <c r="N34" s="529">
        <f t="shared" si="35"/>
        <v>0</v>
      </c>
      <c r="O34" s="421">
        <f t="shared" si="15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6"/>
        <v>4978</v>
      </c>
      <c r="U34" s="5">
        <f t="shared" si="4"/>
        <v>0</v>
      </c>
      <c r="V34" s="5">
        <f t="shared" si="16"/>
        <v>419</v>
      </c>
      <c r="W34" s="332">
        <f t="shared" si="17"/>
        <v>0</v>
      </c>
      <c r="X34" s="5">
        <f t="shared" si="16"/>
        <v>145993</v>
      </c>
      <c r="Y34" s="332">
        <f t="shared" si="18"/>
        <v>0</v>
      </c>
      <c r="Z34" s="5">
        <f t="shared" si="16"/>
        <v>96059</v>
      </c>
      <c r="AA34" s="83">
        <f t="shared" si="19"/>
        <v>0</v>
      </c>
      <c r="AB34" s="5">
        <f t="shared" si="16"/>
        <v>258</v>
      </c>
      <c r="AC34" s="5">
        <f t="shared" si="16"/>
        <v>670</v>
      </c>
      <c r="AD34" s="83">
        <f t="shared" si="32"/>
        <v>0</v>
      </c>
      <c r="AE34" s="5">
        <f t="shared" si="16"/>
        <v>178.62</v>
      </c>
      <c r="AF34" s="83">
        <f t="shared" si="20"/>
        <v>0</v>
      </c>
      <c r="AG34" s="5">
        <f t="shared" si="16"/>
        <v>1900.76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38"/>
        <v>0.9</v>
      </c>
      <c r="AT34" s="204">
        <f t="shared" si="38"/>
        <v>108</v>
      </c>
      <c r="AU34" s="437">
        <f t="shared" si="34"/>
        <v>1.1000000000000001</v>
      </c>
      <c r="AV34" s="204">
        <f t="shared" si="34"/>
        <v>77</v>
      </c>
      <c r="AW34" s="5">
        <v>2.9</v>
      </c>
      <c r="AX34" s="204">
        <f t="shared" ref="AX34" si="42">AX33</f>
        <v>57</v>
      </c>
      <c r="AY34" s="439">
        <f t="shared" si="7"/>
        <v>97.2</v>
      </c>
      <c r="AZ34" s="439">
        <f t="shared" si="26"/>
        <v>84.7</v>
      </c>
      <c r="BA34" s="439">
        <f t="shared" si="27"/>
        <v>165.29999999999998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108786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604398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6495</v>
      </c>
      <c r="L35" s="83">
        <f t="shared" si="33"/>
        <v>0</v>
      </c>
      <c r="M35" s="421">
        <f t="shared" si="14"/>
        <v>457.44</v>
      </c>
      <c r="N35" s="529">
        <f t="shared" si="35"/>
        <v>0</v>
      </c>
      <c r="O35" s="421">
        <f t="shared" si="15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6"/>
        <v>4978</v>
      </c>
      <c r="U35" s="5">
        <f t="shared" si="4"/>
        <v>0</v>
      </c>
      <c r="V35" s="5">
        <f t="shared" si="16"/>
        <v>419</v>
      </c>
      <c r="W35" s="332">
        <f t="shared" si="17"/>
        <v>0</v>
      </c>
      <c r="X35" s="5">
        <f t="shared" si="16"/>
        <v>145993</v>
      </c>
      <c r="Y35" s="332">
        <f t="shared" si="18"/>
        <v>0</v>
      </c>
      <c r="Z35" s="5">
        <f t="shared" si="16"/>
        <v>96059</v>
      </c>
      <c r="AA35" s="83">
        <f t="shared" si="19"/>
        <v>0</v>
      </c>
      <c r="AB35" s="5">
        <f t="shared" si="16"/>
        <v>258</v>
      </c>
      <c r="AC35" s="5">
        <f t="shared" si="16"/>
        <v>670</v>
      </c>
      <c r="AD35" s="83">
        <f t="shared" si="32"/>
        <v>0</v>
      </c>
      <c r="AE35" s="5">
        <f t="shared" si="16"/>
        <v>178.62</v>
      </c>
      <c r="AF35" s="83">
        <f t="shared" si="20"/>
        <v>0</v>
      </c>
      <c r="AG35" s="5">
        <f t="shared" si="16"/>
        <v>1900.76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38"/>
        <v>0.9</v>
      </c>
      <c r="AT35" s="204">
        <f t="shared" si="38"/>
        <v>108</v>
      </c>
      <c r="AU35" s="438">
        <f t="shared" si="34"/>
        <v>1.1000000000000001</v>
      </c>
      <c r="AV35" s="204">
        <f t="shared" si="34"/>
        <v>77</v>
      </c>
      <c r="AW35" s="5">
        <v>2.9</v>
      </c>
      <c r="AX35" s="204">
        <f t="shared" ref="AX35" si="43">AX34</f>
        <v>57</v>
      </c>
      <c r="AY35" s="439">
        <f t="shared" si="7"/>
        <v>97.2</v>
      </c>
      <c r="AZ35" s="439">
        <f t="shared" si="26"/>
        <v>84.7</v>
      </c>
      <c r="BA35" s="439">
        <f t="shared" si="27"/>
        <v>165.29999999999998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108786</v>
      </c>
      <c r="C36" s="5">
        <f t="shared" ref="C36" si="44">B36-B35</f>
        <v>0</v>
      </c>
      <c r="D36" s="430">
        <f t="shared" ref="D36" si="45">C36/27</f>
        <v>0</v>
      </c>
      <c r="E36" s="341">
        <f>SUM((C36*$E$4)+(7500/'EDl log'!$A$39))</f>
        <v>241.93548387096774</v>
      </c>
      <c r="F36" s="335"/>
      <c r="G36" s="5">
        <f t="shared" si="31"/>
        <v>604398</v>
      </c>
      <c r="H36" s="5">
        <f t="shared" ref="H36" si="46">G36-G35</f>
        <v>0</v>
      </c>
      <c r="I36" s="5">
        <f t="shared" ref="I36" si="47">C36+H36</f>
        <v>0</v>
      </c>
      <c r="J36" s="342">
        <f t="shared" ref="J36" si="48">IF(I36&gt;0,E36/I36,0)</f>
        <v>0</v>
      </c>
      <c r="K36" s="5">
        <f>'Swimming Pool quality check '!H37</f>
        <v>0</v>
      </c>
      <c r="L36" s="83">
        <f t="shared" ref="L36" si="49">K36-K35</f>
        <v>-6495</v>
      </c>
      <c r="M36" s="421">
        <f t="shared" si="14"/>
        <v>457.44</v>
      </c>
      <c r="N36" s="529">
        <f t="shared" ref="N36" si="50">SUM(M36-M35)</f>
        <v>0</v>
      </c>
      <c r="O36" s="421">
        <f t="shared" si="15"/>
        <v>529.52</v>
      </c>
      <c r="P36" s="529">
        <f t="shared" ref="P36" si="51">SUM(O36-O35)</f>
        <v>0</v>
      </c>
      <c r="Q36" s="529">
        <f t="shared" ref="Q36" si="52">SUM(P36+N36)</f>
        <v>0</v>
      </c>
      <c r="R36" s="529"/>
      <c r="S36" s="529"/>
      <c r="T36" s="5">
        <f t="shared" si="16"/>
        <v>4978</v>
      </c>
      <c r="U36" s="5">
        <f t="shared" ref="U36" si="53">SUM(T36-T35)</f>
        <v>0</v>
      </c>
      <c r="V36" s="5">
        <f t="shared" si="16"/>
        <v>419</v>
      </c>
      <c r="W36" s="332">
        <f t="shared" ref="W36" si="54">+V36-V35</f>
        <v>0</v>
      </c>
      <c r="X36" s="5">
        <f t="shared" si="16"/>
        <v>145993</v>
      </c>
      <c r="Y36" s="332">
        <f t="shared" ref="Y36" si="55">SUM(X36-X35)</f>
        <v>0</v>
      </c>
      <c r="Z36" s="5">
        <f t="shared" si="16"/>
        <v>96059</v>
      </c>
      <c r="AA36" s="83">
        <f t="shared" ref="AA36" si="56">Z36-Z35</f>
        <v>0</v>
      </c>
      <c r="AB36" s="5">
        <f t="shared" si="16"/>
        <v>258</v>
      </c>
      <c r="AC36" s="5">
        <f t="shared" si="16"/>
        <v>670</v>
      </c>
      <c r="AD36" s="83">
        <f t="shared" ref="AD36" si="57">AC36-AC35</f>
        <v>0</v>
      </c>
      <c r="AE36" s="5">
        <f t="shared" si="16"/>
        <v>178.62</v>
      </c>
      <c r="AF36" s="83">
        <f t="shared" ref="AF36" si="58">AE36-AE35</f>
        <v>0</v>
      </c>
      <c r="AG36" s="5">
        <f t="shared" si="16"/>
        <v>1900.76</v>
      </c>
      <c r="AH36" s="83">
        <f t="shared" ref="AH36" si="59">AG36-AG35</f>
        <v>0</v>
      </c>
      <c r="AI36" s="83">
        <f t="shared" ref="AI36" si="60">AF36+AH36</f>
        <v>0</v>
      </c>
      <c r="AJ36" s="334">
        <f t="shared" ref="AJ36" si="61">+Z36-Z35</f>
        <v>0</v>
      </c>
      <c r="AK36" s="335">
        <f t="shared" ref="AK36" si="62">SUM(Y36-L36)</f>
        <v>6495</v>
      </c>
      <c r="AL36" s="335">
        <f t="shared" ref="AL36" si="63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4">A36</f>
        <v>44043</v>
      </c>
      <c r="AS36" s="435">
        <f t="shared" si="38"/>
        <v>0.9</v>
      </c>
      <c r="AT36" s="204">
        <f t="shared" si="38"/>
        <v>108</v>
      </c>
      <c r="AU36" s="438">
        <f t="shared" si="34"/>
        <v>1.1000000000000001</v>
      </c>
      <c r="AV36" s="204">
        <f t="shared" si="34"/>
        <v>77</v>
      </c>
      <c r="AW36" s="5">
        <v>2.9</v>
      </c>
      <c r="AX36" s="204">
        <f t="shared" ref="AX36" si="65">AX35</f>
        <v>57</v>
      </c>
      <c r="AY36" s="439">
        <f t="shared" ref="AY36" si="66">AS36*AT36</f>
        <v>97.2</v>
      </c>
      <c r="AZ36" s="439">
        <f t="shared" ref="AZ36" si="67">AU36*AV36</f>
        <v>84.7</v>
      </c>
      <c r="BA36" s="439">
        <f t="shared" ref="BA36" si="68">AW36*AX36</f>
        <v>165.29999999999998</v>
      </c>
      <c r="BB36" s="21">
        <f t="shared" ref="BB36" si="69">AY36-AY35</f>
        <v>0</v>
      </c>
      <c r="BC36" s="230">
        <f t="shared" ref="BC36" si="70">AZ36-AZ35</f>
        <v>0</v>
      </c>
      <c r="BD36" s="230">
        <f t="shared" ref="BD36" si="71">BA36-BA35</f>
        <v>0</v>
      </c>
      <c r="BE36" s="24">
        <f t="shared" ref="BE36" si="72">SUM(BB36:BD36)</f>
        <v>0</v>
      </c>
      <c r="BF36" s="96">
        <f t="shared" ref="BF36" si="73">SUM(I36-BE36)</f>
        <v>0</v>
      </c>
      <c r="BG36" s="82">
        <f t="shared" ref="BG36" si="74">SUM(I36-BF36)</f>
        <v>0</v>
      </c>
    </row>
    <row r="37" spans="1:59">
      <c r="C37" s="423">
        <f>SUM(C6:C35)</f>
        <v>251</v>
      </c>
      <c r="D37" s="330">
        <f>SUM(D6:D35)</f>
        <v>9.2962962962962976</v>
      </c>
      <c r="F37" s="425">
        <f>SUM(F6:F35)</f>
        <v>2</v>
      </c>
      <c r="H37" s="423">
        <f>SUM(H6:H35)</f>
        <v>3152</v>
      </c>
      <c r="I37" s="423">
        <f>SUM(I6:I35)</f>
        <v>3403</v>
      </c>
      <c r="L37" s="274">
        <f>SUM(L7:L35)</f>
        <v>129</v>
      </c>
      <c r="Q37" s="510">
        <f>SUM(Q5:Q35)</f>
        <v>0</v>
      </c>
      <c r="U37" s="420">
        <f>SUM(U6:U35)</f>
        <v>79</v>
      </c>
      <c r="X37" s="331"/>
      <c r="Y37" s="330" t="e">
        <f>SUM(Y35,Y33,Y31,Y29,Y27,Y25,Y23,Y21,Y19,Y17,Y15,Y13,Y11,Y9,Y7+#REF!)</f>
        <v>#REF!</v>
      </c>
      <c r="AJ37" s="330">
        <f>SUM(AJ6:AJ35)</f>
        <v>702</v>
      </c>
      <c r="AK37" s="335" t="e">
        <f t="shared" si="5"/>
        <v>#REF!</v>
      </c>
      <c r="AL37" s="330">
        <f>SUM(AL6:AL35)</f>
        <v>693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416.65999999999997</v>
      </c>
      <c r="E38" s="340">
        <f>SUM(E6:E35)</f>
        <v>7674.7245161290339</v>
      </c>
      <c r="F38" s="428">
        <f>SUM(F6:F35)</f>
        <v>2</v>
      </c>
      <c r="H38" s="157">
        <v>7500</v>
      </c>
      <c r="I38" s="424">
        <f>SUM('General information '!G37/WATER!I37)</f>
        <v>0.23897560975609755</v>
      </c>
      <c r="L38" s="157"/>
      <c r="O38" s="507">
        <f>SUM(Q37+I37)</f>
        <v>3403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9.2962962962962976</v>
      </c>
      <c r="F39" s="426">
        <f>SUM(F6:F35)</f>
        <v>2</v>
      </c>
      <c r="G39" s="1">
        <f>SUM(I37)</f>
        <v>3403</v>
      </c>
      <c r="H39" s="1">
        <f>SUM(H38+C38)</f>
        <v>7916.66</v>
      </c>
      <c r="K39" s="1">
        <f>SUM(H39/G39)</f>
        <v>2.3263767264178665</v>
      </c>
      <c r="AJ39" s="330">
        <f>SUM(C38-AK38)</f>
        <v>416.65999999999997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7" activePane="bottomLeft" state="frozen"/>
      <selection pane="bottomLeft" activeCell="L24" sqref="L24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1" t="s">
        <v>193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15" ht="15.75" customHeight="1" thickBot="1">
      <c r="A2" s="634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6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>
        <v>30</v>
      </c>
      <c r="C14" s="37">
        <v>22</v>
      </c>
      <c r="D14" s="26">
        <f t="shared" ref="D14:D35" si="3">(C14+B14)/2</f>
        <v>26</v>
      </c>
      <c r="E14" s="348">
        <v>0.65</v>
      </c>
      <c r="F14" s="348">
        <v>0.1087</v>
      </c>
      <c r="G14" s="245">
        <f t="shared" ref="G14:G35" si="4">F14*230</f>
        <v>25.001000000000001</v>
      </c>
      <c r="H14" s="3"/>
      <c r="I14" s="3"/>
      <c r="J14" s="37">
        <v>375</v>
      </c>
      <c r="K14" s="269">
        <f t="shared" si="2"/>
        <v>375</v>
      </c>
      <c r="L14" s="3"/>
      <c r="M14" s="3"/>
      <c r="N14" s="155"/>
      <c r="O14" s="3"/>
    </row>
    <row r="15" spans="1:15">
      <c r="A15" s="497">
        <f>ELEC!C12</f>
        <v>44022</v>
      </c>
      <c r="B15" s="37">
        <v>30</v>
      </c>
      <c r="C15" s="37">
        <v>22</v>
      </c>
      <c r="D15" s="26">
        <f t="shared" si="3"/>
        <v>26</v>
      </c>
      <c r="E15" s="348">
        <v>0.7</v>
      </c>
      <c r="F15" s="348">
        <v>0.113</v>
      </c>
      <c r="G15" s="245">
        <f>F15*230</f>
        <v>25.990000000000002</v>
      </c>
      <c r="H15" s="3"/>
      <c r="I15" s="3"/>
      <c r="J15" s="37">
        <v>329</v>
      </c>
      <c r="K15" s="269">
        <f>+J15+H15</f>
        <v>329</v>
      </c>
      <c r="L15" s="3"/>
      <c r="M15" s="3"/>
      <c r="N15" s="155"/>
      <c r="O15" s="3"/>
    </row>
    <row r="16" spans="1:15">
      <c r="A16" s="497">
        <f>ELEC!C13</f>
        <v>44023</v>
      </c>
      <c r="B16" s="37">
        <v>30</v>
      </c>
      <c r="C16" s="37">
        <v>26</v>
      </c>
      <c r="D16" s="26">
        <f t="shared" si="3"/>
        <v>28</v>
      </c>
      <c r="E16" s="348">
        <v>0.56000000000000005</v>
      </c>
      <c r="F16" s="348">
        <v>0.16500000000000001</v>
      </c>
      <c r="G16" s="245">
        <f t="shared" si="4"/>
        <v>37.950000000000003</v>
      </c>
      <c r="H16" s="3"/>
      <c r="I16" s="3"/>
      <c r="J16" s="37">
        <v>323</v>
      </c>
      <c r="K16" s="269">
        <f>+J16+H16</f>
        <v>323</v>
      </c>
      <c r="L16" s="3"/>
      <c r="M16" s="3"/>
      <c r="N16" s="155"/>
      <c r="O16" s="3"/>
    </row>
    <row r="17" spans="1:15">
      <c r="A17" s="497">
        <f>ELEC!C14</f>
        <v>44024</v>
      </c>
      <c r="B17" s="37">
        <v>30</v>
      </c>
      <c r="C17" s="37">
        <v>22</v>
      </c>
      <c r="D17" s="26">
        <f t="shared" si="3"/>
        <v>26</v>
      </c>
      <c r="E17" s="348">
        <v>0.62</v>
      </c>
      <c r="F17" s="348">
        <v>0.1</v>
      </c>
      <c r="G17" s="245">
        <f t="shared" si="4"/>
        <v>23</v>
      </c>
      <c r="H17" s="3"/>
      <c r="I17" s="3"/>
      <c r="J17" s="37">
        <v>357</v>
      </c>
      <c r="K17" s="269">
        <f t="shared" si="2"/>
        <v>357</v>
      </c>
      <c r="L17" s="3"/>
      <c r="M17" s="3"/>
      <c r="N17" s="155"/>
      <c r="O17" s="3"/>
    </row>
    <row r="18" spans="1:15">
      <c r="A18" s="497">
        <f>ELEC!C15</f>
        <v>44025</v>
      </c>
      <c r="B18" s="37">
        <v>30</v>
      </c>
      <c r="C18" s="37">
        <v>23</v>
      </c>
      <c r="D18" s="26">
        <f t="shared" si="3"/>
        <v>26.5</v>
      </c>
      <c r="E18" s="440">
        <v>0.65</v>
      </c>
      <c r="F18" s="348">
        <v>0.1217</v>
      </c>
      <c r="G18" s="245">
        <f t="shared" si="4"/>
        <v>27.991</v>
      </c>
      <c r="H18" s="3"/>
      <c r="I18" s="3"/>
      <c r="J18" s="37">
        <v>297</v>
      </c>
      <c r="K18" s="269">
        <f t="shared" si="2"/>
        <v>297</v>
      </c>
      <c r="L18" s="3"/>
      <c r="M18" s="3"/>
      <c r="N18" s="155"/>
      <c r="O18" s="3"/>
    </row>
    <row r="19" spans="1:15">
      <c r="A19" s="497">
        <f>ELEC!C16</f>
        <v>44026</v>
      </c>
      <c r="B19" s="37">
        <v>30</v>
      </c>
      <c r="C19" s="37">
        <v>25</v>
      </c>
      <c r="D19" s="26">
        <f t="shared" si="3"/>
        <v>27.5</v>
      </c>
      <c r="E19" s="348">
        <v>0.65</v>
      </c>
      <c r="F19" s="348">
        <v>0.12709999999999999</v>
      </c>
      <c r="G19" s="245">
        <f t="shared" si="4"/>
        <v>29.232999999999997</v>
      </c>
      <c r="H19" s="3"/>
      <c r="I19" s="3"/>
      <c r="J19" s="37">
        <v>332</v>
      </c>
      <c r="K19" s="269">
        <f t="shared" si="2"/>
        <v>332</v>
      </c>
      <c r="L19" s="3"/>
      <c r="M19" s="3"/>
      <c r="N19" s="155"/>
      <c r="O19" s="3"/>
    </row>
    <row r="20" spans="1:15">
      <c r="A20" s="497">
        <f>ELEC!C17</f>
        <v>44027</v>
      </c>
      <c r="B20" s="37">
        <v>30</v>
      </c>
      <c r="C20" s="37">
        <v>23</v>
      </c>
      <c r="D20" s="26">
        <f t="shared" si="3"/>
        <v>26.5</v>
      </c>
      <c r="E20" s="348">
        <v>0.66</v>
      </c>
      <c r="F20" s="348">
        <v>0.1348</v>
      </c>
      <c r="G20" s="245">
        <f t="shared" si="4"/>
        <v>31.004000000000001</v>
      </c>
      <c r="H20" s="3"/>
      <c r="I20" s="3"/>
      <c r="J20" s="37">
        <v>350</v>
      </c>
      <c r="K20" s="269">
        <f t="shared" si="2"/>
        <v>350</v>
      </c>
      <c r="L20" s="3"/>
      <c r="M20" s="3"/>
      <c r="N20" s="155"/>
      <c r="O20" s="3"/>
    </row>
    <row r="21" spans="1:15">
      <c r="A21" s="497">
        <f>ELEC!C18</f>
        <v>44028</v>
      </c>
      <c r="B21" s="37">
        <v>30</v>
      </c>
      <c r="C21" s="37">
        <v>25</v>
      </c>
      <c r="D21" s="26">
        <f>(C21+B21)/2</f>
        <v>27.5</v>
      </c>
      <c r="E21" s="348">
        <v>0.68</v>
      </c>
      <c r="F21" s="348">
        <v>0.2</v>
      </c>
      <c r="G21" s="245">
        <f t="shared" si="4"/>
        <v>46</v>
      </c>
      <c r="H21" s="3"/>
      <c r="I21" s="3"/>
      <c r="J21" s="37">
        <v>0</v>
      </c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>
        <v>31</v>
      </c>
      <c r="C22" s="37">
        <v>23</v>
      </c>
      <c r="D22" s="26">
        <f t="shared" si="3"/>
        <v>27</v>
      </c>
      <c r="E22" s="348">
        <v>0.65</v>
      </c>
      <c r="F22" s="404">
        <v>0.2</v>
      </c>
      <c r="G22" s="245">
        <f t="shared" si="4"/>
        <v>46</v>
      </c>
      <c r="H22" s="3"/>
      <c r="I22" s="3"/>
      <c r="J22" s="37">
        <v>361</v>
      </c>
      <c r="K22" s="269">
        <f t="shared" si="2"/>
        <v>361</v>
      </c>
      <c r="L22" s="3"/>
      <c r="M22" s="3"/>
      <c r="N22" s="155"/>
      <c r="O22" s="3"/>
    </row>
    <row r="23" spans="1:15">
      <c r="A23" s="497">
        <f>ELEC!C20</f>
        <v>44030</v>
      </c>
      <c r="B23" s="37">
        <v>30</v>
      </c>
      <c r="C23" s="37">
        <v>25</v>
      </c>
      <c r="D23" s="26">
        <f>(C23+B23)/2</f>
        <v>27.5</v>
      </c>
      <c r="E23" s="348">
        <v>0.62</v>
      </c>
      <c r="F23" s="348">
        <v>0.2261</v>
      </c>
      <c r="G23" s="245">
        <f t="shared" si="4"/>
        <v>52.003</v>
      </c>
      <c r="H23" s="3"/>
      <c r="I23" s="3"/>
      <c r="J23" s="37">
        <v>360</v>
      </c>
      <c r="K23" s="269">
        <f t="shared" si="2"/>
        <v>360</v>
      </c>
      <c r="L23" s="3"/>
      <c r="M23" s="3"/>
      <c r="N23" s="155"/>
      <c r="O23" s="3"/>
    </row>
    <row r="24" spans="1:15">
      <c r="A24" s="497">
        <f>ELEC!C21</f>
        <v>44031</v>
      </c>
      <c r="B24" s="37">
        <v>31</v>
      </c>
      <c r="C24" s="37">
        <v>23</v>
      </c>
      <c r="D24" s="26">
        <f t="shared" si="3"/>
        <v>27</v>
      </c>
      <c r="E24" s="348">
        <v>0.65</v>
      </c>
      <c r="F24" s="348">
        <v>0.1913</v>
      </c>
      <c r="G24" s="245">
        <f t="shared" si="4"/>
        <v>43.999000000000002</v>
      </c>
      <c r="H24" s="3"/>
      <c r="I24" s="3"/>
      <c r="J24" s="37">
        <v>362</v>
      </c>
      <c r="K24" s="269">
        <f t="shared" si="2"/>
        <v>362</v>
      </c>
      <c r="L24" s="3"/>
      <c r="M24" s="3"/>
      <c r="N24" s="155"/>
      <c r="O24" s="3"/>
    </row>
    <row r="25" spans="1:15">
      <c r="A25" s="497">
        <f>ELEC!C22</f>
        <v>44032</v>
      </c>
      <c r="B25" s="37">
        <v>31</v>
      </c>
      <c r="C25" s="37">
        <v>23</v>
      </c>
      <c r="D25" s="26">
        <f t="shared" si="3"/>
        <v>27</v>
      </c>
      <c r="E25" s="348">
        <v>0.65</v>
      </c>
      <c r="F25" s="348">
        <v>0.1739</v>
      </c>
      <c r="G25" s="245">
        <f t="shared" si="4"/>
        <v>39.997</v>
      </c>
      <c r="H25" s="3"/>
      <c r="I25" s="3"/>
      <c r="J25" s="37">
        <v>262</v>
      </c>
      <c r="K25" s="269">
        <f t="shared" si="2"/>
        <v>262</v>
      </c>
      <c r="L25" s="3"/>
      <c r="M25" s="3"/>
      <c r="N25" s="155"/>
      <c r="O25" s="3"/>
    </row>
    <row r="26" spans="1:15">
      <c r="A26" s="497">
        <f>ELEC!C23</f>
        <v>44033</v>
      </c>
      <c r="B26" s="37">
        <v>31</v>
      </c>
      <c r="C26" s="37">
        <v>23</v>
      </c>
      <c r="D26" s="26">
        <f>(C26+B26)/2</f>
        <v>27</v>
      </c>
      <c r="E26" s="348">
        <v>0.67</v>
      </c>
      <c r="F26" s="348">
        <v>0.16089999999999999</v>
      </c>
      <c r="G26" s="245">
        <f t="shared" si="4"/>
        <v>37.006999999999998</v>
      </c>
      <c r="H26" s="3"/>
      <c r="I26" s="3"/>
      <c r="J26" s="37">
        <v>295</v>
      </c>
      <c r="K26" s="269">
        <f t="shared" si="2"/>
        <v>295</v>
      </c>
      <c r="L26" s="3"/>
      <c r="M26" s="3"/>
      <c r="N26" s="155"/>
      <c r="O26" s="3"/>
    </row>
    <row r="27" spans="1:15">
      <c r="A27" s="497">
        <f>ELEC!C24</f>
        <v>44034</v>
      </c>
      <c r="B27" s="37">
        <v>31</v>
      </c>
      <c r="C27" s="37">
        <v>23</v>
      </c>
      <c r="D27" s="26">
        <f t="shared" si="3"/>
        <v>27</v>
      </c>
      <c r="E27" s="348">
        <v>0.7</v>
      </c>
      <c r="F27" s="348">
        <v>0.16220000000000001</v>
      </c>
      <c r="G27" s="245">
        <f t="shared" si="4"/>
        <v>37.306000000000004</v>
      </c>
      <c r="H27" s="3"/>
      <c r="I27" s="3"/>
      <c r="J27" s="37">
        <v>327</v>
      </c>
      <c r="K27" s="269">
        <f>+J27+H27+I27</f>
        <v>327</v>
      </c>
      <c r="L27" s="3"/>
      <c r="M27" s="3"/>
      <c r="N27" s="155"/>
      <c r="O27" s="3"/>
    </row>
    <row r="28" spans="1:15">
      <c r="A28" s="497">
        <f>ELEC!C25</f>
        <v>44035</v>
      </c>
      <c r="B28" s="37">
        <v>32</v>
      </c>
      <c r="C28" s="37">
        <v>27</v>
      </c>
      <c r="D28" s="26">
        <f t="shared" si="3"/>
        <v>29.5</v>
      </c>
      <c r="E28" s="348">
        <v>0.69</v>
      </c>
      <c r="F28" s="348">
        <v>0.23039999999999999</v>
      </c>
      <c r="G28" s="245">
        <f t="shared" si="4"/>
        <v>52.991999999999997</v>
      </c>
      <c r="H28" s="3"/>
      <c r="I28" s="3"/>
      <c r="J28" s="37">
        <v>463</v>
      </c>
      <c r="K28" s="269">
        <f t="shared" ref="K28:K35" si="5">+J28+H28+I28</f>
        <v>463</v>
      </c>
      <c r="L28" s="3"/>
      <c r="M28" s="3"/>
      <c r="N28" s="155"/>
      <c r="O28" s="3"/>
    </row>
    <row r="29" spans="1:15">
      <c r="A29" s="497">
        <f>ELEC!C26</f>
        <v>44036</v>
      </c>
      <c r="B29" s="37">
        <v>30</v>
      </c>
      <c r="C29" s="37">
        <v>24</v>
      </c>
      <c r="D29" s="26">
        <f t="shared" si="3"/>
        <v>27</v>
      </c>
      <c r="E29" s="348">
        <v>0.5</v>
      </c>
      <c r="F29" s="348">
        <v>0.25600000000000001</v>
      </c>
      <c r="G29" s="245">
        <f t="shared" si="4"/>
        <v>58.88</v>
      </c>
      <c r="H29" s="3"/>
      <c r="I29" s="3"/>
      <c r="J29" s="37">
        <v>384</v>
      </c>
      <c r="K29" s="269">
        <f t="shared" si="5"/>
        <v>384</v>
      </c>
      <c r="L29" s="3"/>
      <c r="M29" s="3"/>
      <c r="N29" s="155"/>
      <c r="O29" s="3"/>
    </row>
    <row r="30" spans="1:15">
      <c r="A30" s="497">
        <f>ELEC!C27</f>
        <v>44037</v>
      </c>
      <c r="B30" s="37">
        <v>30</v>
      </c>
      <c r="C30" s="37">
        <v>24</v>
      </c>
      <c r="D30" s="26">
        <f t="shared" si="3"/>
        <v>27</v>
      </c>
      <c r="E30" s="348">
        <v>0.56999999999999995</v>
      </c>
      <c r="F30" s="404">
        <v>0.26900000000000002</v>
      </c>
      <c r="G30" s="245">
        <f t="shared" si="4"/>
        <v>61.870000000000005</v>
      </c>
      <c r="H30" s="3"/>
      <c r="I30" s="3"/>
      <c r="J30" s="37">
        <v>467</v>
      </c>
      <c r="K30" s="269">
        <f t="shared" si="5"/>
        <v>467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0.141432</v>
      </c>
      <c r="G37" s="206">
        <f>SUM(G6:G35)</f>
        <v>813.23399999999992</v>
      </c>
    </row>
    <row r="38" spans="1:15">
      <c r="D38" s="267">
        <f>SUM(D6:D35)/'EDl log'!A37</f>
        <v>27.979166666666668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3" zoomScale="90" zoomScaleNormal="90" workbookViewId="0">
      <pane xSplit="1" topLeftCell="AB1" activePane="topRight" state="frozen"/>
      <selection pane="topRight" activeCell="AR28" sqref="AR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9" t="s">
        <v>108</v>
      </c>
      <c r="AS3" s="639" t="s">
        <v>234</v>
      </c>
      <c r="AT3" s="637" t="s">
        <v>302</v>
      </c>
      <c r="AU3" s="638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0"/>
      <c r="AS4" s="640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48">
        <f>[1]tanks!B35</f>
        <v>140</v>
      </c>
      <c r="C5" s="548">
        <f>[1]tanks!C35</f>
        <v>3012.2580645161288</v>
      </c>
      <c r="D5" s="548">
        <f>[1]tanks!D35</f>
        <v>140</v>
      </c>
      <c r="E5" s="548">
        <f>[1]tanks!E35</f>
        <v>3012.2580645161288</v>
      </c>
      <c r="F5" s="548">
        <f>[1]tanks!F35</f>
        <v>140</v>
      </c>
      <c r="G5" s="548">
        <f>[1]tanks!G35</f>
        <v>3012.2580645161288</v>
      </c>
      <c r="H5" s="548">
        <f>[1]tanks!H35</f>
        <v>140</v>
      </c>
      <c r="I5" s="548">
        <f>[1]tanks!I35</f>
        <v>3012.2580645161288</v>
      </c>
      <c r="J5" s="548">
        <f>[1]tanks!J35</f>
        <v>140</v>
      </c>
      <c r="K5" s="548">
        <f>[1]tanks!K35</f>
        <v>3012.2580645161288</v>
      </c>
      <c r="L5" s="548">
        <f>[1]tanks!L35</f>
        <v>140</v>
      </c>
      <c r="M5" s="548">
        <f>[1]tanks!M35</f>
        <v>3012.2580645161288</v>
      </c>
      <c r="N5" s="548">
        <f>[1]tanks!N35</f>
        <v>140</v>
      </c>
      <c r="O5" s="548">
        <f>[1]tanks!O35</f>
        <v>3012.2580645161288</v>
      </c>
      <c r="P5" s="548">
        <f>[1]tanks!P35</f>
        <v>140</v>
      </c>
      <c r="Q5" s="548">
        <f>[1]tanks!Q35</f>
        <v>3012.2580645161288</v>
      </c>
      <c r="R5" s="548">
        <f>[1]tanks!R35</f>
        <v>140</v>
      </c>
      <c r="S5" s="548">
        <f>[1]tanks!S35</f>
        <v>3012.2580645161288</v>
      </c>
      <c r="T5" s="548">
        <f>[1]tanks!T35</f>
        <v>140</v>
      </c>
      <c r="U5" s="548">
        <f>[1]tanks!U35</f>
        <v>3012.2580645161288</v>
      </c>
      <c r="V5" s="548">
        <f>[1]tanks!V35</f>
        <v>140</v>
      </c>
      <c r="W5" s="548">
        <f>[1]tanks!W35</f>
        <v>3012.2580645161288</v>
      </c>
      <c r="X5" s="520">
        <f>[1]tanks!X35</f>
        <v>0.45161290322580644</v>
      </c>
      <c r="Y5" s="548">
        <f>[1]tanks!Y35</f>
        <v>33134.838709677417</v>
      </c>
      <c r="Z5" s="548">
        <f>[1]tanks!Z35</f>
        <v>147</v>
      </c>
      <c r="AA5" s="548">
        <f>[1]tanks!AA35</f>
        <v>1470</v>
      </c>
      <c r="AB5" s="548">
        <f>[1]tanks!AB35</f>
        <v>147</v>
      </c>
      <c r="AC5" s="548">
        <f>[1]tanks!AC35</f>
        <v>1470</v>
      </c>
      <c r="AD5" s="548">
        <f>[1]tanks!AD35</f>
        <v>147</v>
      </c>
      <c r="AE5" s="548">
        <f>[1]tanks!AE35</f>
        <v>1470</v>
      </c>
      <c r="AF5" s="548">
        <f>[1]tanks!AF35</f>
        <v>147</v>
      </c>
      <c r="AG5" s="548">
        <f>[1]tanks!AG35</f>
        <v>1470</v>
      </c>
      <c r="AH5" s="548">
        <f>[1]tanks!AH35</f>
        <v>147</v>
      </c>
      <c r="AI5" s="548">
        <f>[1]tanks!AI35</f>
        <v>1470</v>
      </c>
      <c r="AJ5" s="548">
        <f>[1]tanks!AJ35</f>
        <v>147</v>
      </c>
      <c r="AK5" s="548">
        <f>[1]tanks!AK35</f>
        <v>1470</v>
      </c>
      <c r="AL5" s="548">
        <f>[1]tanks!AL35</f>
        <v>147</v>
      </c>
      <c r="AM5" s="548">
        <f>[1]tanks!AM35</f>
        <v>1470</v>
      </c>
      <c r="AN5" s="520">
        <f>[1]tanks!AN35</f>
        <v>0.52500000000000002</v>
      </c>
      <c r="AO5" s="548">
        <f>[1]tanks!AO35</f>
        <v>10290</v>
      </c>
      <c r="AP5" s="548">
        <f>[1]tanks!AP35</f>
        <v>0</v>
      </c>
      <c r="AQ5" s="520">
        <f>[1]tanks!AQ35</f>
        <v>0.46708442196060468</v>
      </c>
      <c r="AR5" s="548">
        <f>[1]tanks!AR35</f>
        <v>43424.838709677417</v>
      </c>
      <c r="AS5" s="548">
        <f>[1]tanks!AS35</f>
        <v>-3373.4516129032345</v>
      </c>
      <c r="AT5" s="548">
        <f>[1]tanks!AT35</f>
        <v>0</v>
      </c>
      <c r="AU5" s="548">
        <f>[1]tanks!AU35</f>
        <v>0</v>
      </c>
      <c r="AV5" s="548">
        <f>[1]tanks!AV35</f>
        <v>0.4128</v>
      </c>
      <c r="AW5" s="548">
        <f>[1]tanks!AW35</f>
        <v>-360</v>
      </c>
      <c r="AX5" s="548">
        <f>[1]tanks!AX35</f>
        <v>-3013.4516129032345</v>
      </c>
      <c r="AY5" s="548">
        <f>[1]tanks!AY35</f>
        <v>-3373.4516129032345</v>
      </c>
      <c r="AZ5" s="520">
        <f>[1]tanks!AZ35</f>
        <v>4.7800000000000002E-2</v>
      </c>
      <c r="BA5" s="548">
        <f>[1]tanks!BA35</f>
        <v>26</v>
      </c>
      <c r="BB5" s="520">
        <f>[1]tanks!BB35</f>
        <v>0.75</v>
      </c>
      <c r="BC5" s="548">
        <f>[2]tanks!BC36</f>
        <v>0</v>
      </c>
      <c r="BD5" s="548">
        <f>[2]tanks!BD36</f>
        <v>0</v>
      </c>
      <c r="BE5" s="548">
        <f>[2]tanks!BE36</f>
        <v>0</v>
      </c>
      <c r="BF5" s="548">
        <f>[2]tanks!BF36</f>
        <v>0</v>
      </c>
      <c r="BG5" s="548">
        <f>[2]tanks!BG36</f>
        <v>0</v>
      </c>
      <c r="BH5" s="548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3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3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6" si="41">SUM(AO8+Y8)</f>
        <v>46324.935483870962</v>
      </c>
      <c r="AS8" s="200">
        <f t="shared" si="38"/>
        <v>-4766.838709677424</v>
      </c>
      <c r="AT8" s="365"/>
      <c r="AU8" s="449"/>
      <c r="AV8" s="533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3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3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08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3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08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3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08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3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5147.679324894515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120.3</v>
      </c>
      <c r="C14" s="206">
        <f t="shared" si="18"/>
        <v>2588.3903225806453</v>
      </c>
      <c r="D14">
        <f t="shared" si="19"/>
        <v>120.3</v>
      </c>
      <c r="E14" s="206">
        <f t="shared" si="18"/>
        <v>2588.3903225806453</v>
      </c>
      <c r="F14">
        <f t="shared" si="20"/>
        <v>120.3</v>
      </c>
      <c r="G14" s="206">
        <f t="shared" si="1"/>
        <v>2588.3903225806453</v>
      </c>
      <c r="H14" s="206">
        <f t="shared" si="21"/>
        <v>120.3</v>
      </c>
      <c r="I14" s="206">
        <f t="shared" si="2"/>
        <v>2588.3903225806453</v>
      </c>
      <c r="J14" s="206">
        <f t="shared" si="22"/>
        <v>120.3</v>
      </c>
      <c r="K14" s="206">
        <f t="shared" si="3"/>
        <v>2588.3903225806453</v>
      </c>
      <c r="L14" s="206">
        <f t="shared" si="23"/>
        <v>120.3</v>
      </c>
      <c r="M14" s="206">
        <f t="shared" si="4"/>
        <v>2588.3903225806453</v>
      </c>
      <c r="N14" s="206">
        <f t="shared" si="24"/>
        <v>120.3</v>
      </c>
      <c r="O14" s="206">
        <f t="shared" si="5"/>
        <v>2588.3903225806453</v>
      </c>
      <c r="P14" s="206">
        <f t="shared" si="25"/>
        <v>120.3</v>
      </c>
      <c r="Q14" s="206">
        <f t="shared" si="6"/>
        <v>2588.3903225806453</v>
      </c>
      <c r="R14" s="206">
        <f t="shared" si="26"/>
        <v>120.3</v>
      </c>
      <c r="S14" s="206">
        <f t="shared" si="7"/>
        <v>2588.3903225806453</v>
      </c>
      <c r="T14" s="206">
        <f t="shared" si="27"/>
        <v>120.3</v>
      </c>
      <c r="U14" s="206">
        <f t="shared" si="8"/>
        <v>2588.3903225806453</v>
      </c>
      <c r="V14" s="206">
        <f t="shared" si="28"/>
        <v>120.3</v>
      </c>
      <c r="W14" s="206">
        <f t="shared" si="9"/>
        <v>2588.3903225806453</v>
      </c>
      <c r="X14" s="35">
        <f t="shared" si="10"/>
        <v>0.38806451612903237</v>
      </c>
      <c r="Y14" s="36">
        <f t="shared" si="29"/>
        <v>28472.293548387104</v>
      </c>
      <c r="Z14" s="206">
        <f>'B5'!C13</f>
        <v>127.2</v>
      </c>
      <c r="AA14" s="206">
        <f t="shared" si="30"/>
        <v>1272</v>
      </c>
      <c r="AB14" s="206">
        <f t="shared" si="31"/>
        <v>127.2</v>
      </c>
      <c r="AC14" s="206">
        <f t="shared" si="30"/>
        <v>1272</v>
      </c>
      <c r="AD14" s="206">
        <f t="shared" si="32"/>
        <v>127.2</v>
      </c>
      <c r="AE14" s="206">
        <f t="shared" si="11"/>
        <v>1272</v>
      </c>
      <c r="AF14" s="206">
        <f t="shared" si="33"/>
        <v>127.2</v>
      </c>
      <c r="AG14" s="206">
        <f t="shared" si="12"/>
        <v>1272</v>
      </c>
      <c r="AH14" s="206">
        <f t="shared" si="34"/>
        <v>127.2</v>
      </c>
      <c r="AI14" s="206">
        <f t="shared" si="13"/>
        <v>1272</v>
      </c>
      <c r="AJ14" s="206">
        <f t="shared" si="35"/>
        <v>127.2</v>
      </c>
      <c r="AK14" s="206">
        <f t="shared" si="14"/>
        <v>1272</v>
      </c>
      <c r="AL14" s="206">
        <f t="shared" si="36"/>
        <v>127.2</v>
      </c>
      <c r="AM14" s="206">
        <f t="shared" si="15"/>
        <v>1272</v>
      </c>
      <c r="AN14" s="35">
        <f t="shared" si="16"/>
        <v>0.45428571428571429</v>
      </c>
      <c r="AO14" s="36">
        <f t="shared" si="17"/>
        <v>8904</v>
      </c>
      <c r="AQ14" s="226">
        <f t="shared" si="37"/>
        <v>0.40202531513807793</v>
      </c>
      <c r="AR14" s="38">
        <f t="shared" si="41"/>
        <v>37376.293548387104</v>
      </c>
      <c r="AS14" s="200">
        <f t="shared" si="38"/>
        <v>-5503.5258064515947</v>
      </c>
      <c r="AT14" s="277"/>
      <c r="AU14" s="492"/>
      <c r="AV14" s="533">
        <f t="shared" si="42"/>
        <v>0.52839999999999998</v>
      </c>
      <c r="AW14" s="298">
        <f>-SUM('B5'!AI13)</f>
        <v>-255.9999999999709</v>
      </c>
      <c r="AX14" s="298">
        <f t="shared" si="39"/>
        <v>-5247.5258064516238</v>
      </c>
      <c r="AY14" s="37">
        <f t="shared" si="40"/>
        <v>-5503.5258064515947</v>
      </c>
      <c r="AZ14" s="100">
        <f>ELEC!A11</f>
        <v>0.1087</v>
      </c>
      <c r="BA14" s="118">
        <f>'General information '!D14</f>
        <v>26</v>
      </c>
      <c r="BB14" s="404">
        <f>SUM('General information '!E14)</f>
        <v>0.65</v>
      </c>
      <c r="BC14" s="3">
        <f t="shared" si="43"/>
        <v>0</v>
      </c>
      <c r="BD14" s="102">
        <v>19222</v>
      </c>
      <c r="BE14" s="14">
        <f>(305/1185)*ELEC!Q12</f>
        <v>4375.5274261603381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178.2</v>
      </c>
      <c r="C15" s="206">
        <f t="shared" si="18"/>
        <v>3834.1741935483869</v>
      </c>
      <c r="D15">
        <f t="shared" si="19"/>
        <v>178.2</v>
      </c>
      <c r="E15" s="206">
        <f t="shared" si="18"/>
        <v>3834.1741935483869</v>
      </c>
      <c r="F15">
        <f t="shared" si="20"/>
        <v>178.2</v>
      </c>
      <c r="G15" s="206">
        <f t="shared" si="1"/>
        <v>3834.1741935483869</v>
      </c>
      <c r="H15" s="206">
        <f t="shared" si="21"/>
        <v>178.2</v>
      </c>
      <c r="I15" s="206">
        <f t="shared" si="2"/>
        <v>3834.1741935483869</v>
      </c>
      <c r="J15" s="206">
        <f t="shared" si="22"/>
        <v>178.2</v>
      </c>
      <c r="K15" s="206">
        <f t="shared" si="3"/>
        <v>3834.1741935483869</v>
      </c>
      <c r="L15" s="206">
        <f t="shared" si="23"/>
        <v>178.2</v>
      </c>
      <c r="M15" s="206">
        <f t="shared" si="4"/>
        <v>3834.1741935483869</v>
      </c>
      <c r="N15" s="206">
        <f t="shared" si="24"/>
        <v>178.2</v>
      </c>
      <c r="O15" s="206">
        <f t="shared" si="5"/>
        <v>3834.1741935483869</v>
      </c>
      <c r="P15" s="206">
        <f t="shared" si="25"/>
        <v>178.2</v>
      </c>
      <c r="Q15" s="206">
        <f t="shared" si="6"/>
        <v>3834.1741935483869</v>
      </c>
      <c r="R15" s="206">
        <f t="shared" si="26"/>
        <v>178.2</v>
      </c>
      <c r="S15" s="206">
        <f t="shared" si="7"/>
        <v>3834.1741935483869</v>
      </c>
      <c r="T15" s="206">
        <f t="shared" si="27"/>
        <v>178.2</v>
      </c>
      <c r="U15" s="206">
        <f t="shared" si="8"/>
        <v>3834.1741935483869</v>
      </c>
      <c r="V15" s="206">
        <f t="shared" si="28"/>
        <v>178.2</v>
      </c>
      <c r="W15" s="206">
        <f t="shared" si="9"/>
        <v>3834.1741935483869</v>
      </c>
      <c r="X15" s="35">
        <f t="shared" si="10"/>
        <v>0.57483870967741935</v>
      </c>
      <c r="Y15" s="36">
        <f t="shared" si="29"/>
        <v>42175.916129032259</v>
      </c>
      <c r="Z15" s="206">
        <f>'B5'!C14</f>
        <v>185</v>
      </c>
      <c r="AA15" s="206">
        <f t="shared" si="30"/>
        <v>1850</v>
      </c>
      <c r="AB15" s="206">
        <f t="shared" si="31"/>
        <v>185</v>
      </c>
      <c r="AC15" s="206">
        <f t="shared" si="30"/>
        <v>1850</v>
      </c>
      <c r="AD15" s="206">
        <f t="shared" si="32"/>
        <v>185</v>
      </c>
      <c r="AE15" s="206">
        <f t="shared" si="11"/>
        <v>1850</v>
      </c>
      <c r="AF15" s="206">
        <f t="shared" si="33"/>
        <v>185</v>
      </c>
      <c r="AG15" s="206">
        <f t="shared" si="12"/>
        <v>1850</v>
      </c>
      <c r="AH15" s="206">
        <f t="shared" si="34"/>
        <v>185</v>
      </c>
      <c r="AI15" s="206">
        <f t="shared" si="13"/>
        <v>1850</v>
      </c>
      <c r="AJ15" s="206">
        <f t="shared" si="35"/>
        <v>185</v>
      </c>
      <c r="AK15" s="206">
        <f t="shared" si="14"/>
        <v>1850</v>
      </c>
      <c r="AL15" s="206">
        <f t="shared" si="36"/>
        <v>185</v>
      </c>
      <c r="AM15" s="206">
        <f t="shared" si="15"/>
        <v>1850</v>
      </c>
      <c r="AN15" s="35">
        <f t="shared" si="16"/>
        <v>0.6607142857142857</v>
      </c>
      <c r="AO15" s="36">
        <f t="shared" si="17"/>
        <v>12950</v>
      </c>
      <c r="AQ15" s="226">
        <f t="shared" si="37"/>
        <v>0.59294305828796667</v>
      </c>
      <c r="AR15" s="38">
        <f t="shared" si="41"/>
        <v>55125.916129032259</v>
      </c>
      <c r="AS15" s="200">
        <f>SUM(AR15-AR14-AT15)</f>
        <v>-2293.3774193548452</v>
      </c>
      <c r="AT15" s="277">
        <v>20043</v>
      </c>
      <c r="AU15" s="449">
        <v>0.52839999999999998</v>
      </c>
      <c r="AV15" s="533">
        <f>IF(AT15&gt;0,AU15,AV14)</f>
        <v>0.52839999999999998</v>
      </c>
      <c r="AW15" s="298">
        <f>-SUM('B5'!AI14)</f>
        <v>-342.80000000004657</v>
      </c>
      <c r="AX15" s="298">
        <f>-SUM(AW15-AS15)</f>
        <v>-1950.5774193547986</v>
      </c>
      <c r="AY15" s="37">
        <f t="shared" si="40"/>
        <v>-2293.3774193548452</v>
      </c>
      <c r="AZ15" s="100">
        <f>ELEC!A12</f>
        <v>0.113</v>
      </c>
      <c r="BA15" s="118">
        <f>'General information '!D15</f>
        <v>26</v>
      </c>
      <c r="BB15" s="404">
        <f>SUM('General information '!E15)</f>
        <v>0.7</v>
      </c>
      <c r="BC15" s="3">
        <f t="shared" si="43"/>
        <v>1</v>
      </c>
      <c r="BD15" s="102">
        <v>19222</v>
      </c>
      <c r="BE15" s="14">
        <f>(305/1185)*ELEC!Q13</f>
        <v>4632.9113924050635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159</v>
      </c>
      <c r="C16" s="206">
        <f t="shared" si="18"/>
        <v>3421.0645161290322</v>
      </c>
      <c r="D16">
        <f t="shared" si="19"/>
        <v>159</v>
      </c>
      <c r="E16" s="206">
        <f t="shared" si="18"/>
        <v>3421.0645161290322</v>
      </c>
      <c r="F16">
        <f t="shared" si="20"/>
        <v>159</v>
      </c>
      <c r="G16" s="206">
        <f t="shared" si="1"/>
        <v>3421.0645161290322</v>
      </c>
      <c r="H16" s="206">
        <f t="shared" si="21"/>
        <v>159</v>
      </c>
      <c r="I16" s="206">
        <f t="shared" si="2"/>
        <v>3421.0645161290322</v>
      </c>
      <c r="J16" s="206">
        <f t="shared" si="22"/>
        <v>159</v>
      </c>
      <c r="K16" s="206">
        <f t="shared" si="3"/>
        <v>3421.0645161290322</v>
      </c>
      <c r="L16" s="206">
        <f t="shared" si="23"/>
        <v>159</v>
      </c>
      <c r="M16" s="206">
        <f t="shared" si="4"/>
        <v>3421.0645161290322</v>
      </c>
      <c r="N16" s="206">
        <f t="shared" si="24"/>
        <v>159</v>
      </c>
      <c r="O16" s="206">
        <f t="shared" si="5"/>
        <v>3421.0645161290322</v>
      </c>
      <c r="P16" s="206">
        <f t="shared" si="25"/>
        <v>159</v>
      </c>
      <c r="Q16" s="206">
        <f t="shared" si="6"/>
        <v>3421.0645161290322</v>
      </c>
      <c r="R16" s="206">
        <f t="shared" si="26"/>
        <v>159</v>
      </c>
      <c r="S16" s="206">
        <f t="shared" si="7"/>
        <v>3421.0645161290322</v>
      </c>
      <c r="T16" s="206">
        <f t="shared" si="27"/>
        <v>159</v>
      </c>
      <c r="U16" s="206">
        <f t="shared" si="8"/>
        <v>3421.0645161290322</v>
      </c>
      <c r="V16" s="206">
        <f t="shared" si="28"/>
        <v>159</v>
      </c>
      <c r="W16" s="206">
        <f t="shared" si="9"/>
        <v>3421.0645161290322</v>
      </c>
      <c r="X16" s="35">
        <f t="shared" si="10"/>
        <v>0.51290322580645142</v>
      </c>
      <c r="Y16" s="36">
        <f t="shared" si="29"/>
        <v>37631.709677419341</v>
      </c>
      <c r="Z16" s="206">
        <f>'B5'!C15</f>
        <v>166</v>
      </c>
      <c r="AA16" s="206">
        <f t="shared" si="30"/>
        <v>1660</v>
      </c>
      <c r="AB16" s="206">
        <f t="shared" si="31"/>
        <v>166</v>
      </c>
      <c r="AC16" s="206">
        <f t="shared" si="30"/>
        <v>1660</v>
      </c>
      <c r="AD16" s="206">
        <f t="shared" si="32"/>
        <v>166</v>
      </c>
      <c r="AE16" s="206">
        <f t="shared" si="11"/>
        <v>1660</v>
      </c>
      <c r="AF16" s="206">
        <f t="shared" si="33"/>
        <v>166</v>
      </c>
      <c r="AG16" s="206">
        <f t="shared" si="12"/>
        <v>1660</v>
      </c>
      <c r="AH16" s="206">
        <f t="shared" si="34"/>
        <v>166</v>
      </c>
      <c r="AI16" s="206">
        <f t="shared" si="13"/>
        <v>1660</v>
      </c>
      <c r="AJ16" s="206">
        <f t="shared" si="35"/>
        <v>166</v>
      </c>
      <c r="AK16" s="206">
        <f t="shared" si="14"/>
        <v>1660</v>
      </c>
      <c r="AL16" s="206">
        <f t="shared" si="36"/>
        <v>166</v>
      </c>
      <c r="AM16" s="206">
        <f t="shared" si="15"/>
        <v>1660</v>
      </c>
      <c r="AN16" s="35">
        <f t="shared" si="16"/>
        <v>0.59285714285714286</v>
      </c>
      <c r="AO16" s="36">
        <f t="shared" si="17"/>
        <v>11620</v>
      </c>
      <c r="AQ16" s="226">
        <f t="shared" si="37"/>
        <v>0.52975916615488161</v>
      </c>
      <c r="AR16" s="38">
        <f t="shared" si="41"/>
        <v>49251.709677419341</v>
      </c>
      <c r="AS16" s="200">
        <f>SUM(AR16-AR15-AT16)</f>
        <v>-5874.2064516129176</v>
      </c>
      <c r="AT16" s="277"/>
      <c r="AU16" s="449"/>
      <c r="AV16" s="533">
        <f>IF(AT16&gt;0,AU16,AV15)</f>
        <v>0.52839999999999998</v>
      </c>
      <c r="AW16" s="298">
        <f>-SUM('B5'!AI15)</f>
        <v>-335</v>
      </c>
      <c r="AX16" s="298">
        <f>-SUM(AW16-AS16)</f>
        <v>-5539.2064516129176</v>
      </c>
      <c r="AY16" s="37">
        <f t="shared" si="40"/>
        <v>-5874.2064516129176</v>
      </c>
      <c r="AZ16" s="100">
        <f>ELEC!A13</f>
        <v>0.16500000000000001</v>
      </c>
      <c r="BA16" s="118">
        <f>'General information '!D16</f>
        <v>28</v>
      </c>
      <c r="BB16" s="404">
        <f>SUM('General information '!E16)</f>
        <v>0.56000000000000005</v>
      </c>
      <c r="BC16" s="3">
        <f t="shared" si="43"/>
        <v>0</v>
      </c>
      <c r="BD16" s="102">
        <v>19222</v>
      </c>
      <c r="BE16" s="14">
        <f>(305/1185)*ELEC!Q14</f>
        <v>4890.2953586497897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139</v>
      </c>
      <c r="C17" s="206">
        <f t="shared" si="18"/>
        <v>2990.7419354838707</v>
      </c>
      <c r="D17">
        <f t="shared" si="19"/>
        <v>139</v>
      </c>
      <c r="E17" s="206">
        <f t="shared" si="18"/>
        <v>2990.7419354838707</v>
      </c>
      <c r="F17">
        <f t="shared" si="20"/>
        <v>139</v>
      </c>
      <c r="G17" s="206">
        <f t="shared" si="1"/>
        <v>2990.7419354838707</v>
      </c>
      <c r="H17" s="206">
        <f t="shared" si="21"/>
        <v>139</v>
      </c>
      <c r="I17" s="206">
        <f t="shared" si="2"/>
        <v>2990.7419354838707</v>
      </c>
      <c r="J17" s="206">
        <f t="shared" si="22"/>
        <v>139</v>
      </c>
      <c r="K17" s="206">
        <f t="shared" si="3"/>
        <v>2990.7419354838707</v>
      </c>
      <c r="L17" s="206">
        <f t="shared" si="23"/>
        <v>139</v>
      </c>
      <c r="M17" s="206">
        <f t="shared" si="4"/>
        <v>2990.7419354838707</v>
      </c>
      <c r="N17" s="206">
        <f t="shared" si="24"/>
        <v>139</v>
      </c>
      <c r="O17" s="206">
        <f t="shared" si="5"/>
        <v>2990.7419354838707</v>
      </c>
      <c r="P17" s="206">
        <f t="shared" si="25"/>
        <v>139</v>
      </c>
      <c r="Q17" s="206">
        <f t="shared" si="6"/>
        <v>2990.7419354838707</v>
      </c>
      <c r="R17" s="206">
        <f t="shared" si="26"/>
        <v>139</v>
      </c>
      <c r="S17" s="206">
        <f t="shared" si="7"/>
        <v>2990.7419354838707</v>
      </c>
      <c r="T17" s="206">
        <f t="shared" si="27"/>
        <v>139</v>
      </c>
      <c r="U17" s="206">
        <f t="shared" si="8"/>
        <v>2990.7419354838707</v>
      </c>
      <c r="V17" s="206">
        <f t="shared" si="28"/>
        <v>139</v>
      </c>
      <c r="W17" s="206">
        <f t="shared" si="9"/>
        <v>2990.7419354838707</v>
      </c>
      <c r="X17" s="35">
        <f t="shared" si="10"/>
        <v>0.44838709677419347</v>
      </c>
      <c r="Y17" s="36">
        <f t="shared" si="29"/>
        <v>32898.161290322576</v>
      </c>
      <c r="Z17" s="206">
        <f>'B5'!C16</f>
        <v>146</v>
      </c>
      <c r="AA17" s="206">
        <f t="shared" si="30"/>
        <v>1460</v>
      </c>
      <c r="AB17" s="206">
        <f t="shared" si="31"/>
        <v>146</v>
      </c>
      <c r="AC17" s="206">
        <f t="shared" si="30"/>
        <v>1460</v>
      </c>
      <c r="AD17" s="206">
        <f t="shared" si="32"/>
        <v>146</v>
      </c>
      <c r="AE17" s="206">
        <f t="shared" si="11"/>
        <v>1460</v>
      </c>
      <c r="AF17" s="206">
        <f t="shared" si="33"/>
        <v>146</v>
      </c>
      <c r="AG17" s="206">
        <f t="shared" si="12"/>
        <v>1460</v>
      </c>
      <c r="AH17" s="206">
        <f t="shared" si="34"/>
        <v>146</v>
      </c>
      <c r="AI17" s="206">
        <f t="shared" si="13"/>
        <v>1460</v>
      </c>
      <c r="AJ17" s="206">
        <f t="shared" si="35"/>
        <v>146</v>
      </c>
      <c r="AK17" s="206">
        <f t="shared" si="14"/>
        <v>1460</v>
      </c>
      <c r="AL17" s="206">
        <f t="shared" si="36"/>
        <v>146</v>
      </c>
      <c r="AM17" s="206">
        <f t="shared" si="15"/>
        <v>1460</v>
      </c>
      <c r="AN17" s="35">
        <f t="shared" si="16"/>
        <v>0.52142857142857146</v>
      </c>
      <c r="AO17" s="36">
        <f>SUM(AA17+AC17+AE17+AG17+AI17+AK17+AM17)</f>
        <v>10220</v>
      </c>
      <c r="AQ17" s="226">
        <f t="shared" si="37"/>
        <v>0.46378575121353743</v>
      </c>
      <c r="AR17" s="38">
        <f t="shared" si="41"/>
        <v>43118.161290322576</v>
      </c>
      <c r="AS17" s="200">
        <f t="shared" si="38"/>
        <v>-6133.5483870967655</v>
      </c>
      <c r="AT17" s="365"/>
      <c r="AU17" s="492"/>
      <c r="AV17" s="533">
        <f t="shared" si="42"/>
        <v>0.52839999999999998</v>
      </c>
      <c r="AW17" s="298">
        <f>-SUM('B5'!AI16)</f>
        <v>-220</v>
      </c>
      <c r="AX17" s="298">
        <f t="shared" si="39"/>
        <v>-5913.5483870967655</v>
      </c>
      <c r="AY17" s="37">
        <f t="shared" si="40"/>
        <v>-6133.5483870967655</v>
      </c>
      <c r="AZ17" s="100">
        <f>ELEC!A14</f>
        <v>0.1</v>
      </c>
      <c r="BA17" s="118">
        <f>'General information '!D17</f>
        <v>26</v>
      </c>
      <c r="BB17" s="404">
        <f>SUM('General information '!E17)</f>
        <v>0.62</v>
      </c>
      <c r="BC17" s="3">
        <f t="shared" si="43"/>
        <v>0</v>
      </c>
      <c r="BD17" s="102">
        <v>19222</v>
      </c>
      <c r="BE17" s="14">
        <f>(305/1185)*ELEC!Q15</f>
        <v>3603.3755274261607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122.2</v>
      </c>
      <c r="C18" s="206">
        <f t="shared" si="18"/>
        <v>2629.2709677419357</v>
      </c>
      <c r="D18">
        <f t="shared" si="19"/>
        <v>122.2</v>
      </c>
      <c r="E18" s="206">
        <f t="shared" si="18"/>
        <v>2629.2709677419357</v>
      </c>
      <c r="F18">
        <f t="shared" si="20"/>
        <v>122.2</v>
      </c>
      <c r="G18" s="206">
        <f t="shared" si="1"/>
        <v>2629.2709677419357</v>
      </c>
      <c r="H18" s="206">
        <f t="shared" si="21"/>
        <v>122.2</v>
      </c>
      <c r="I18" s="206">
        <f t="shared" si="2"/>
        <v>2629.2709677419357</v>
      </c>
      <c r="J18" s="206">
        <f t="shared" si="22"/>
        <v>122.2</v>
      </c>
      <c r="K18" s="206">
        <f t="shared" si="3"/>
        <v>2629.2709677419357</v>
      </c>
      <c r="L18" s="206">
        <f t="shared" si="23"/>
        <v>122.2</v>
      </c>
      <c r="M18" s="206">
        <f t="shared" si="4"/>
        <v>2629.2709677419357</v>
      </c>
      <c r="N18" s="206">
        <f t="shared" si="24"/>
        <v>122.2</v>
      </c>
      <c r="O18" s="206">
        <f t="shared" si="5"/>
        <v>2629.2709677419357</v>
      </c>
      <c r="P18" s="206">
        <f t="shared" si="25"/>
        <v>122.2</v>
      </c>
      <c r="Q18" s="206">
        <f t="shared" si="6"/>
        <v>2629.2709677419357</v>
      </c>
      <c r="R18" s="206">
        <f t="shared" si="26"/>
        <v>122.2</v>
      </c>
      <c r="S18" s="206">
        <f t="shared" si="7"/>
        <v>2629.2709677419357</v>
      </c>
      <c r="T18" s="206">
        <f t="shared" si="27"/>
        <v>122.2</v>
      </c>
      <c r="U18" s="206">
        <f t="shared" si="8"/>
        <v>2629.2709677419357</v>
      </c>
      <c r="V18" s="206">
        <f t="shared" si="28"/>
        <v>122.2</v>
      </c>
      <c r="W18" s="206">
        <f t="shared" si="9"/>
        <v>2629.2709677419357</v>
      </c>
      <c r="X18" s="35">
        <f t="shared" si="10"/>
        <v>0.39419354838709686</v>
      </c>
      <c r="Y18" s="36">
        <f t="shared" si="29"/>
        <v>28921.980645161297</v>
      </c>
      <c r="Z18" s="206">
        <f>'B5'!C17</f>
        <v>129</v>
      </c>
      <c r="AA18" s="206">
        <f t="shared" si="30"/>
        <v>1290</v>
      </c>
      <c r="AB18" s="206">
        <f t="shared" si="31"/>
        <v>129</v>
      </c>
      <c r="AC18" s="206">
        <f t="shared" si="30"/>
        <v>1290</v>
      </c>
      <c r="AD18" s="206">
        <f t="shared" si="32"/>
        <v>129</v>
      </c>
      <c r="AE18" s="206">
        <f t="shared" si="11"/>
        <v>1290</v>
      </c>
      <c r="AF18" s="206">
        <f t="shared" si="33"/>
        <v>129</v>
      </c>
      <c r="AG18" s="206">
        <f t="shared" si="12"/>
        <v>1290</v>
      </c>
      <c r="AH18" s="206">
        <f t="shared" si="34"/>
        <v>129</v>
      </c>
      <c r="AI18" s="206">
        <f t="shared" si="13"/>
        <v>1290</v>
      </c>
      <c r="AJ18" s="206">
        <f t="shared" si="35"/>
        <v>129</v>
      </c>
      <c r="AK18" s="206">
        <f t="shared" si="14"/>
        <v>1290</v>
      </c>
      <c r="AL18" s="206">
        <f t="shared" si="36"/>
        <v>129</v>
      </c>
      <c r="AM18" s="206">
        <f t="shared" si="15"/>
        <v>1290</v>
      </c>
      <c r="AN18" s="35">
        <f t="shared" si="16"/>
        <v>0.46071428571428569</v>
      </c>
      <c r="AO18" s="36">
        <f t="shared" si="17"/>
        <v>9030</v>
      </c>
      <c r="AQ18" s="226">
        <f t="shared" si="37"/>
        <v>0.40821749645220284</v>
      </c>
      <c r="AR18" s="38">
        <f t="shared" si="41"/>
        <v>37951.980645161297</v>
      </c>
      <c r="AS18" s="200">
        <f t="shared" si="38"/>
        <v>-5166.1806451612792</v>
      </c>
      <c r="AT18" s="277"/>
      <c r="AU18" s="449"/>
      <c r="AV18" s="533">
        <f>IF(AT18&gt;0,AU18,AV17)</f>
        <v>0.52839999999999998</v>
      </c>
      <c r="AW18" s="298">
        <f>-SUM('B5'!AI17)</f>
        <v>-165</v>
      </c>
      <c r="AX18" s="298">
        <f t="shared" si="39"/>
        <v>-5001.1806451612792</v>
      </c>
      <c r="AY18" s="37">
        <f t="shared" si="40"/>
        <v>-5166.1806451612792</v>
      </c>
      <c r="AZ18" s="100">
        <f>ELEC!A15</f>
        <v>0.1217</v>
      </c>
      <c r="BA18" s="118">
        <f>'General information '!D18</f>
        <v>26.5</v>
      </c>
      <c r="BB18" s="404">
        <f>SUM('General information '!E18)</f>
        <v>0.65</v>
      </c>
      <c r="BC18" s="3">
        <f t="shared" si="43"/>
        <v>0</v>
      </c>
      <c r="BD18" s="102">
        <v>19222</v>
      </c>
      <c r="BE18" s="14">
        <f>(305/1185)*ELEC!Q16</f>
        <v>4632.9113924050635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137</v>
      </c>
      <c r="C19" s="206">
        <f t="shared" si="18"/>
        <v>2947.7096774193546</v>
      </c>
      <c r="D19">
        <f t="shared" si="19"/>
        <v>137</v>
      </c>
      <c r="E19" s="206">
        <f t="shared" si="18"/>
        <v>2947.7096774193546</v>
      </c>
      <c r="F19">
        <f t="shared" si="20"/>
        <v>137</v>
      </c>
      <c r="G19" s="206">
        <f t="shared" si="1"/>
        <v>2947.7096774193546</v>
      </c>
      <c r="H19" s="206">
        <f t="shared" si="21"/>
        <v>137</v>
      </c>
      <c r="I19" s="206">
        <f t="shared" si="2"/>
        <v>2947.7096774193546</v>
      </c>
      <c r="J19" s="206">
        <f t="shared" si="22"/>
        <v>137</v>
      </c>
      <c r="K19" s="206">
        <f t="shared" si="3"/>
        <v>2947.7096774193546</v>
      </c>
      <c r="L19" s="206">
        <f t="shared" si="23"/>
        <v>137</v>
      </c>
      <c r="M19" s="206">
        <f t="shared" si="4"/>
        <v>2947.7096774193546</v>
      </c>
      <c r="N19" s="206">
        <f t="shared" si="24"/>
        <v>137</v>
      </c>
      <c r="O19" s="206">
        <f t="shared" si="5"/>
        <v>2947.7096774193546</v>
      </c>
      <c r="P19" s="206">
        <f t="shared" si="25"/>
        <v>137</v>
      </c>
      <c r="Q19" s="206">
        <f t="shared" si="6"/>
        <v>2947.7096774193546</v>
      </c>
      <c r="R19" s="206">
        <f t="shared" si="26"/>
        <v>137</v>
      </c>
      <c r="S19" s="206">
        <f t="shared" si="7"/>
        <v>2947.7096774193546</v>
      </c>
      <c r="T19" s="206">
        <f t="shared" si="27"/>
        <v>137</v>
      </c>
      <c r="U19" s="206">
        <f t="shared" si="8"/>
        <v>2947.7096774193546</v>
      </c>
      <c r="V19" s="206">
        <f t="shared" si="28"/>
        <v>137</v>
      </c>
      <c r="W19" s="206">
        <f t="shared" si="9"/>
        <v>2947.7096774193546</v>
      </c>
      <c r="X19" s="35">
        <f t="shared" si="10"/>
        <v>0.44193548387096782</v>
      </c>
      <c r="Y19" s="36">
        <f t="shared" si="29"/>
        <v>32424.806451612909</v>
      </c>
      <c r="Z19" s="206">
        <f>'B5'!C18</f>
        <v>144</v>
      </c>
      <c r="AA19" s="206">
        <f t="shared" si="30"/>
        <v>1440</v>
      </c>
      <c r="AB19" s="206">
        <f t="shared" si="31"/>
        <v>144</v>
      </c>
      <c r="AC19" s="206">
        <f t="shared" si="30"/>
        <v>1440</v>
      </c>
      <c r="AD19" s="206">
        <f t="shared" si="32"/>
        <v>144</v>
      </c>
      <c r="AE19" s="206">
        <f t="shared" si="11"/>
        <v>1440</v>
      </c>
      <c r="AF19" s="206">
        <f t="shared" si="33"/>
        <v>144</v>
      </c>
      <c r="AG19" s="206">
        <f t="shared" si="12"/>
        <v>1440</v>
      </c>
      <c r="AH19" s="206">
        <f t="shared" si="34"/>
        <v>144</v>
      </c>
      <c r="AI19" s="206">
        <f t="shared" si="13"/>
        <v>1440</v>
      </c>
      <c r="AJ19" s="206">
        <f t="shared" si="35"/>
        <v>144</v>
      </c>
      <c r="AK19" s="206">
        <f t="shared" si="14"/>
        <v>1440</v>
      </c>
      <c r="AL19" s="206">
        <f t="shared" si="36"/>
        <v>144</v>
      </c>
      <c r="AM19" s="206">
        <f t="shared" si="15"/>
        <v>1440</v>
      </c>
      <c r="AN19" s="35">
        <f t="shared" si="16"/>
        <v>0.51428571428571423</v>
      </c>
      <c r="AO19" s="36">
        <f t="shared" si="17"/>
        <v>10080</v>
      </c>
      <c r="AQ19" s="226">
        <f t="shared" si="37"/>
        <v>0.45718840971940311</v>
      </c>
      <c r="AR19" s="38">
        <f t="shared" si="41"/>
        <v>42504.806451612909</v>
      </c>
      <c r="AS19" s="200">
        <f t="shared" si="38"/>
        <v>-4216.1741935483878</v>
      </c>
      <c r="AT19" s="277">
        <v>8769</v>
      </c>
      <c r="AU19" s="449">
        <v>0.52839999999999998</v>
      </c>
      <c r="AV19" s="533">
        <f t="shared" si="42"/>
        <v>0.52839999999999998</v>
      </c>
      <c r="AW19" s="298">
        <f>-SUM('B5'!AI18)</f>
        <v>-434.09999999997672</v>
      </c>
      <c r="AX19" s="298">
        <f t="shared" si="39"/>
        <v>-3782.0741935484111</v>
      </c>
      <c r="AY19" s="37">
        <f t="shared" si="40"/>
        <v>-4216.1741935483878</v>
      </c>
      <c r="AZ19" s="100">
        <f>ELEC!A16</f>
        <v>0.12709999999999999</v>
      </c>
      <c r="BA19" s="118">
        <f>'General information '!D19</f>
        <v>27.5</v>
      </c>
      <c r="BB19" s="404">
        <f>SUM('General information '!E19)</f>
        <v>0.65</v>
      </c>
      <c r="BC19" s="3">
        <f t="shared" si="43"/>
        <v>1</v>
      </c>
      <c r="BD19" s="102">
        <v>19222</v>
      </c>
      <c r="BE19" s="14">
        <f>(305/1185)*ELEC!Q17</f>
        <v>4375.5274261603381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118.2</v>
      </c>
      <c r="C20" s="206">
        <f t="shared" si="18"/>
        <v>2543.206451612903</v>
      </c>
      <c r="D20">
        <f t="shared" si="19"/>
        <v>118.2</v>
      </c>
      <c r="E20" s="206">
        <f t="shared" si="18"/>
        <v>2543.206451612903</v>
      </c>
      <c r="F20">
        <f t="shared" si="20"/>
        <v>118.2</v>
      </c>
      <c r="G20" s="206">
        <f t="shared" si="1"/>
        <v>2543.206451612903</v>
      </c>
      <c r="H20" s="206">
        <f t="shared" si="21"/>
        <v>118.2</v>
      </c>
      <c r="I20" s="206">
        <f t="shared" si="2"/>
        <v>2543.206451612903</v>
      </c>
      <c r="J20" s="206">
        <f t="shared" si="22"/>
        <v>118.2</v>
      </c>
      <c r="K20" s="206">
        <f t="shared" si="3"/>
        <v>2543.206451612903</v>
      </c>
      <c r="L20" s="206">
        <f t="shared" si="23"/>
        <v>118.2</v>
      </c>
      <c r="M20" s="206">
        <f t="shared" si="4"/>
        <v>2543.206451612903</v>
      </c>
      <c r="N20" s="206">
        <f t="shared" si="24"/>
        <v>118.2</v>
      </c>
      <c r="O20" s="206">
        <f t="shared" si="5"/>
        <v>2543.206451612903</v>
      </c>
      <c r="P20" s="206">
        <f t="shared" si="25"/>
        <v>118.2</v>
      </c>
      <c r="Q20" s="206">
        <f t="shared" si="6"/>
        <v>2543.206451612903</v>
      </c>
      <c r="R20" s="206">
        <f t="shared" si="26"/>
        <v>118.2</v>
      </c>
      <c r="S20" s="206">
        <f t="shared" si="7"/>
        <v>2543.206451612903</v>
      </c>
      <c r="T20" s="206">
        <f t="shared" si="27"/>
        <v>118.2</v>
      </c>
      <c r="U20" s="206">
        <f t="shared" si="8"/>
        <v>2543.206451612903</v>
      </c>
      <c r="V20" s="206">
        <f t="shared" si="28"/>
        <v>118.2</v>
      </c>
      <c r="W20" s="206">
        <f t="shared" si="9"/>
        <v>2543.206451612903</v>
      </c>
      <c r="X20" s="35">
        <f t="shared" si="10"/>
        <v>0.38129032258064516</v>
      </c>
      <c r="Y20" s="36">
        <f t="shared" si="29"/>
        <v>27975.270967741933</v>
      </c>
      <c r="Z20" s="206">
        <f>'B5'!C19</f>
        <v>125.2</v>
      </c>
      <c r="AA20" s="206">
        <f t="shared" si="30"/>
        <v>1252</v>
      </c>
      <c r="AB20" s="206">
        <f t="shared" si="31"/>
        <v>125.2</v>
      </c>
      <c r="AC20" s="206">
        <f t="shared" si="30"/>
        <v>1252</v>
      </c>
      <c r="AD20" s="206">
        <f t="shared" si="32"/>
        <v>125.2</v>
      </c>
      <c r="AE20" s="206">
        <f t="shared" si="11"/>
        <v>1252</v>
      </c>
      <c r="AF20" s="206">
        <f t="shared" si="33"/>
        <v>125.2</v>
      </c>
      <c r="AG20" s="206">
        <f t="shared" si="12"/>
        <v>1252</v>
      </c>
      <c r="AH20" s="206">
        <f t="shared" si="34"/>
        <v>125.2</v>
      </c>
      <c r="AI20" s="206">
        <f t="shared" si="13"/>
        <v>1252</v>
      </c>
      <c r="AJ20" s="206">
        <f t="shared" si="35"/>
        <v>125.2</v>
      </c>
      <c r="AK20" s="206">
        <f t="shared" si="14"/>
        <v>1252</v>
      </c>
      <c r="AL20" s="206">
        <f t="shared" si="36"/>
        <v>125.2</v>
      </c>
      <c r="AM20" s="206">
        <f t="shared" si="15"/>
        <v>1252</v>
      </c>
      <c r="AN20" s="35">
        <f t="shared" si="16"/>
        <v>0.44714285714285712</v>
      </c>
      <c r="AO20" s="36">
        <f t="shared" si="17"/>
        <v>8764</v>
      </c>
      <c r="AQ20" s="226">
        <f t="shared" si="37"/>
        <v>0.39517339967453946</v>
      </c>
      <c r="AR20" s="38">
        <f t="shared" si="41"/>
        <v>36739.270967741933</v>
      </c>
      <c r="AS20" s="200">
        <f t="shared" si="38"/>
        <v>-5765.5354838709754</v>
      </c>
      <c r="AT20" s="277"/>
      <c r="AU20" s="449"/>
      <c r="AV20" s="533">
        <f t="shared" si="42"/>
        <v>0.52839999999999998</v>
      </c>
      <c r="AW20" s="298">
        <f>-SUM('B5'!AI19)</f>
        <v>-452</v>
      </c>
      <c r="AX20" s="298">
        <f t="shared" si="39"/>
        <v>-5313.5354838709754</v>
      </c>
      <c r="AY20" s="37">
        <f t="shared" si="40"/>
        <v>-5765.5354838709754</v>
      </c>
      <c r="AZ20" s="100">
        <f>ELEC!A17</f>
        <v>0.1348</v>
      </c>
      <c r="BA20" s="118">
        <f>'General information '!D20</f>
        <v>26.5</v>
      </c>
      <c r="BB20" s="404">
        <f>SUM('General information '!E20)</f>
        <v>0.66</v>
      </c>
      <c r="BC20" s="3">
        <f t="shared" si="43"/>
        <v>0</v>
      </c>
      <c r="BD20" s="102">
        <v>19222</v>
      </c>
      <c r="BE20" s="14">
        <f>(305/1185)*ELEC!Q18</f>
        <v>4890.2953586497897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171.3</v>
      </c>
      <c r="C21" s="206">
        <f t="shared" si="18"/>
        <v>3685.7129032258067</v>
      </c>
      <c r="D21">
        <f t="shared" si="19"/>
        <v>171.3</v>
      </c>
      <c r="E21" s="206">
        <f t="shared" si="18"/>
        <v>3685.7129032258067</v>
      </c>
      <c r="F21">
        <f t="shared" si="20"/>
        <v>171.3</v>
      </c>
      <c r="G21" s="206">
        <f t="shared" si="1"/>
        <v>3685.7129032258067</v>
      </c>
      <c r="H21" s="206">
        <f t="shared" si="21"/>
        <v>171.3</v>
      </c>
      <c r="I21" s="206">
        <f t="shared" si="2"/>
        <v>3685.7129032258067</v>
      </c>
      <c r="J21" s="206">
        <f t="shared" si="22"/>
        <v>171.3</v>
      </c>
      <c r="K21" s="206">
        <f t="shared" si="3"/>
        <v>3685.7129032258067</v>
      </c>
      <c r="L21" s="206">
        <f t="shared" si="23"/>
        <v>171.3</v>
      </c>
      <c r="M21" s="206">
        <f t="shared" si="4"/>
        <v>3685.7129032258067</v>
      </c>
      <c r="N21" s="206">
        <f t="shared" si="24"/>
        <v>171.3</v>
      </c>
      <c r="O21" s="206">
        <f t="shared" si="5"/>
        <v>3685.7129032258067</v>
      </c>
      <c r="P21" s="206">
        <f t="shared" si="25"/>
        <v>171.3</v>
      </c>
      <c r="Q21" s="206">
        <f t="shared" si="6"/>
        <v>3685.7129032258067</v>
      </c>
      <c r="R21" s="206">
        <f t="shared" si="26"/>
        <v>171.3</v>
      </c>
      <c r="S21" s="206">
        <f t="shared" si="7"/>
        <v>3685.7129032258067</v>
      </c>
      <c r="T21" s="206">
        <f t="shared" si="27"/>
        <v>171.3</v>
      </c>
      <c r="U21" s="206">
        <f t="shared" si="8"/>
        <v>3685.7129032258067</v>
      </c>
      <c r="V21" s="206">
        <f t="shared" si="28"/>
        <v>171.3</v>
      </c>
      <c r="W21" s="206">
        <f t="shared" si="9"/>
        <v>3685.7129032258067</v>
      </c>
      <c r="X21" s="35">
        <f t="shared" si="10"/>
        <v>0.55258064516129035</v>
      </c>
      <c r="Y21" s="36">
        <f t="shared" si="29"/>
        <v>40542.841935483877</v>
      </c>
      <c r="Z21" s="206">
        <f>'B5'!C20</f>
        <v>178</v>
      </c>
      <c r="AA21" s="206">
        <f t="shared" si="30"/>
        <v>1780</v>
      </c>
      <c r="AB21" s="206">
        <f t="shared" si="31"/>
        <v>178</v>
      </c>
      <c r="AC21" s="206">
        <f t="shared" si="30"/>
        <v>1780</v>
      </c>
      <c r="AD21" s="206">
        <f t="shared" si="32"/>
        <v>178</v>
      </c>
      <c r="AE21" s="206">
        <f t="shared" si="11"/>
        <v>1780</v>
      </c>
      <c r="AF21" s="206">
        <f t="shared" si="33"/>
        <v>178</v>
      </c>
      <c r="AG21" s="206">
        <f t="shared" si="12"/>
        <v>1780</v>
      </c>
      <c r="AH21" s="206">
        <f t="shared" si="34"/>
        <v>178</v>
      </c>
      <c r="AI21" s="206">
        <f t="shared" si="13"/>
        <v>1780</v>
      </c>
      <c r="AJ21" s="206">
        <f t="shared" si="35"/>
        <v>178</v>
      </c>
      <c r="AK21" s="206">
        <f t="shared" si="14"/>
        <v>1780</v>
      </c>
      <c r="AL21" s="206">
        <f t="shared" si="36"/>
        <v>178</v>
      </c>
      <c r="AM21" s="206">
        <f t="shared" si="15"/>
        <v>1780</v>
      </c>
      <c r="AN21" s="35">
        <f t="shared" si="16"/>
        <v>0.63571428571428568</v>
      </c>
      <c r="AO21" s="36">
        <f t="shared" si="17"/>
        <v>12460</v>
      </c>
      <c r="AQ21" s="226">
        <f t="shared" si="37"/>
        <v>0.57010693702790016</v>
      </c>
      <c r="AR21" s="38">
        <f t="shared" si="41"/>
        <v>53002.841935483877</v>
      </c>
      <c r="AS21" s="200">
        <f>SUM(AR21-AR20-AT21)</f>
        <v>-3442.4290322580564</v>
      </c>
      <c r="AT21" s="277">
        <v>19706</v>
      </c>
      <c r="AU21" s="449">
        <v>0.5383</v>
      </c>
      <c r="AV21" s="533">
        <f t="shared" si="42"/>
        <v>0.5383</v>
      </c>
      <c r="AW21" s="298">
        <f>-SUM('B5'!AI20)</f>
        <v>-257</v>
      </c>
      <c r="AX21" s="298">
        <f t="shared" si="39"/>
        <v>-3185.4290322580564</v>
      </c>
      <c r="AY21" s="37">
        <f t="shared" si="40"/>
        <v>-3442.4290322580564</v>
      </c>
      <c r="AZ21" s="100">
        <f>ELEC!A18</f>
        <v>0.2</v>
      </c>
      <c r="BA21" s="118">
        <f>'General information '!D21</f>
        <v>27.5</v>
      </c>
      <c r="BB21" s="404">
        <f>SUM('General information '!E21)</f>
        <v>0.68</v>
      </c>
      <c r="BC21" s="3">
        <f t="shared" si="43"/>
        <v>1</v>
      </c>
      <c r="BD21" s="102">
        <v>19222</v>
      </c>
      <c r="BE21" s="14">
        <f>(305/1185)*ELEC!Q19</f>
        <v>4375.5274261603381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183</v>
      </c>
      <c r="C22" s="206">
        <f t="shared" si="18"/>
        <v>3937.4516129032259</v>
      </c>
      <c r="D22">
        <f t="shared" si="19"/>
        <v>183</v>
      </c>
      <c r="E22" s="206">
        <f t="shared" si="18"/>
        <v>3937.4516129032259</v>
      </c>
      <c r="F22">
        <f t="shared" si="20"/>
        <v>183</v>
      </c>
      <c r="G22" s="206">
        <f t="shared" si="1"/>
        <v>3937.4516129032259</v>
      </c>
      <c r="H22" s="206">
        <f t="shared" si="21"/>
        <v>183</v>
      </c>
      <c r="I22" s="206">
        <f t="shared" si="2"/>
        <v>3937.4516129032259</v>
      </c>
      <c r="J22" s="206">
        <f t="shared" si="22"/>
        <v>183</v>
      </c>
      <c r="K22" s="206">
        <f t="shared" si="3"/>
        <v>3937.4516129032259</v>
      </c>
      <c r="L22" s="206">
        <f t="shared" si="23"/>
        <v>183</v>
      </c>
      <c r="M22" s="206">
        <f t="shared" si="4"/>
        <v>3937.4516129032259</v>
      </c>
      <c r="N22" s="206">
        <f t="shared" si="24"/>
        <v>183</v>
      </c>
      <c r="O22" s="206">
        <f t="shared" si="5"/>
        <v>3937.4516129032259</v>
      </c>
      <c r="P22" s="206">
        <f t="shared" si="25"/>
        <v>183</v>
      </c>
      <c r="Q22" s="206">
        <f t="shared" si="6"/>
        <v>3937.4516129032259</v>
      </c>
      <c r="R22" s="206">
        <f t="shared" si="26"/>
        <v>183</v>
      </c>
      <c r="S22" s="206">
        <f t="shared" si="7"/>
        <v>3937.4516129032259</v>
      </c>
      <c r="T22" s="206">
        <f t="shared" si="27"/>
        <v>183</v>
      </c>
      <c r="U22" s="206">
        <f t="shared" si="8"/>
        <v>3937.4516129032259</v>
      </c>
      <c r="V22" s="206">
        <f t="shared" si="28"/>
        <v>183</v>
      </c>
      <c r="W22" s="206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6">
        <f>'B5'!C21</f>
        <v>189</v>
      </c>
      <c r="AA22" s="206">
        <f t="shared" si="30"/>
        <v>1890</v>
      </c>
      <c r="AB22" s="206">
        <f t="shared" si="31"/>
        <v>189</v>
      </c>
      <c r="AC22" s="206">
        <f t="shared" si="30"/>
        <v>1890</v>
      </c>
      <c r="AD22" s="206">
        <f t="shared" si="32"/>
        <v>189</v>
      </c>
      <c r="AE22" s="206">
        <f t="shared" si="11"/>
        <v>1890</v>
      </c>
      <c r="AF22" s="206">
        <f t="shared" si="33"/>
        <v>189</v>
      </c>
      <c r="AG22" s="206">
        <f t="shared" si="12"/>
        <v>1890</v>
      </c>
      <c r="AH22" s="206">
        <f t="shared" si="34"/>
        <v>189</v>
      </c>
      <c r="AI22" s="206">
        <f t="shared" si="13"/>
        <v>1890</v>
      </c>
      <c r="AJ22" s="206">
        <f t="shared" si="35"/>
        <v>189</v>
      </c>
      <c r="AK22" s="206">
        <f t="shared" si="14"/>
        <v>1890</v>
      </c>
      <c r="AL22" s="206">
        <f t="shared" si="36"/>
        <v>189</v>
      </c>
      <c r="AM22" s="206">
        <f t="shared" si="15"/>
        <v>1890</v>
      </c>
      <c r="AN22" s="35">
        <f t="shared" si="16"/>
        <v>0.67500000000000004</v>
      </c>
      <c r="AO22" s="36">
        <f t="shared" si="17"/>
        <v>13230</v>
      </c>
      <c r="AQ22" s="226">
        <f t="shared" si="37"/>
        <v>0.60817433303146706</v>
      </c>
      <c r="AR22" s="38">
        <f t="shared" si="41"/>
        <v>56541.967741935492</v>
      </c>
      <c r="AS22" s="200">
        <f t="shared" si="38"/>
        <v>-5168.8741935483849</v>
      </c>
      <c r="AT22" s="277">
        <v>8708</v>
      </c>
      <c r="AU22" s="449">
        <v>0.5383</v>
      </c>
      <c r="AV22" s="533">
        <f t="shared" si="42"/>
        <v>0.5383</v>
      </c>
      <c r="AW22" s="298">
        <f>-SUM('B5'!AI21)</f>
        <v>-188</v>
      </c>
      <c r="AX22" s="298">
        <f t="shared" si="39"/>
        <v>-4980.8741935483849</v>
      </c>
      <c r="AY22" s="37">
        <f t="shared" si="40"/>
        <v>-5168.8741935483849</v>
      </c>
      <c r="AZ22" s="100">
        <f>ELEC!A19</f>
        <v>0.2</v>
      </c>
      <c r="BA22" s="118">
        <f>'General information '!D22</f>
        <v>27</v>
      </c>
      <c r="BB22" s="404">
        <f>SUM('General information '!E22)</f>
        <v>0.65</v>
      </c>
      <c r="BC22" s="3">
        <f t="shared" si="43"/>
        <v>1</v>
      </c>
      <c r="BD22" s="102">
        <v>19222</v>
      </c>
      <c r="BE22" s="14">
        <f>(305/1185)*ELEC!Q20</f>
        <v>4632.9113924050635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163</v>
      </c>
      <c r="C23" s="206">
        <f t="shared" si="18"/>
        <v>3507.1290322580644</v>
      </c>
      <c r="D23">
        <f t="shared" si="19"/>
        <v>163</v>
      </c>
      <c r="E23" s="206">
        <f t="shared" si="18"/>
        <v>3507.1290322580644</v>
      </c>
      <c r="F23">
        <f t="shared" si="20"/>
        <v>163</v>
      </c>
      <c r="G23" s="206">
        <f t="shared" si="1"/>
        <v>3507.1290322580644</v>
      </c>
      <c r="H23" s="206">
        <f t="shared" si="21"/>
        <v>163</v>
      </c>
      <c r="I23" s="206">
        <f t="shared" si="2"/>
        <v>3507.1290322580644</v>
      </c>
      <c r="J23" s="206">
        <f t="shared" si="22"/>
        <v>163</v>
      </c>
      <c r="K23" s="206">
        <f t="shared" si="3"/>
        <v>3507.1290322580644</v>
      </c>
      <c r="L23" s="206">
        <f t="shared" si="23"/>
        <v>163</v>
      </c>
      <c r="M23" s="206">
        <f t="shared" si="4"/>
        <v>3507.1290322580644</v>
      </c>
      <c r="N23" s="206">
        <f t="shared" si="24"/>
        <v>163</v>
      </c>
      <c r="O23" s="206">
        <f t="shared" si="5"/>
        <v>3507.1290322580644</v>
      </c>
      <c r="P23" s="206">
        <f t="shared" si="25"/>
        <v>163</v>
      </c>
      <c r="Q23" s="206">
        <f t="shared" si="6"/>
        <v>3507.1290322580644</v>
      </c>
      <c r="R23" s="206">
        <f t="shared" si="26"/>
        <v>163</v>
      </c>
      <c r="S23" s="206">
        <f t="shared" si="7"/>
        <v>3507.1290322580644</v>
      </c>
      <c r="T23" s="206">
        <f t="shared" si="27"/>
        <v>163</v>
      </c>
      <c r="U23" s="206">
        <f t="shared" si="8"/>
        <v>3507.1290322580644</v>
      </c>
      <c r="V23" s="206">
        <f t="shared" si="28"/>
        <v>163</v>
      </c>
      <c r="W23" s="206">
        <f t="shared" si="9"/>
        <v>3507.1290322580644</v>
      </c>
      <c r="X23" s="35">
        <f t="shared" si="10"/>
        <v>0.52580645161290329</v>
      </c>
      <c r="Y23" s="36">
        <f t="shared" si="29"/>
        <v>38578.419354838712</v>
      </c>
      <c r="Z23" s="206">
        <f>'B5'!C22</f>
        <v>170</v>
      </c>
      <c r="AA23" s="206">
        <f t="shared" si="30"/>
        <v>1700</v>
      </c>
      <c r="AB23" s="206">
        <f t="shared" si="31"/>
        <v>170</v>
      </c>
      <c r="AC23" s="206">
        <f t="shared" si="30"/>
        <v>1700</v>
      </c>
      <c r="AD23" s="206">
        <f t="shared" si="32"/>
        <v>170</v>
      </c>
      <c r="AE23" s="206">
        <f t="shared" si="11"/>
        <v>1700</v>
      </c>
      <c r="AF23" s="206">
        <f t="shared" si="33"/>
        <v>170</v>
      </c>
      <c r="AG23" s="206">
        <f t="shared" si="12"/>
        <v>1700</v>
      </c>
      <c r="AH23" s="206">
        <f t="shared" si="34"/>
        <v>170</v>
      </c>
      <c r="AI23" s="206">
        <f t="shared" si="13"/>
        <v>1700</v>
      </c>
      <c r="AJ23" s="206">
        <f t="shared" si="35"/>
        <v>170</v>
      </c>
      <c r="AK23" s="206">
        <f t="shared" si="14"/>
        <v>1700</v>
      </c>
      <c r="AL23" s="206">
        <f t="shared" si="36"/>
        <v>170</v>
      </c>
      <c r="AM23" s="206">
        <f t="shared" si="15"/>
        <v>1700</v>
      </c>
      <c r="AN23" s="35">
        <f t="shared" si="16"/>
        <v>0.6071428571428571</v>
      </c>
      <c r="AO23" s="36">
        <f t="shared" si="17"/>
        <v>11900</v>
      </c>
      <c r="AQ23" s="226">
        <f t="shared" si="37"/>
        <v>0.54295384914315059</v>
      </c>
      <c r="AR23" s="38">
        <f t="shared" si="41"/>
        <v>50478.419354838712</v>
      </c>
      <c r="AS23" s="200">
        <f t="shared" si="38"/>
        <v>-6063.5483870967801</v>
      </c>
      <c r="AT23" s="277"/>
      <c r="AU23" s="449"/>
      <c r="AV23" s="533">
        <f t="shared" si="42"/>
        <v>0.5383</v>
      </c>
      <c r="AW23" s="298">
        <f>-SUM('B5'!AI22)</f>
        <v>-327</v>
      </c>
      <c r="AX23" s="298">
        <f t="shared" si="39"/>
        <v>-5736.5483870967801</v>
      </c>
      <c r="AY23" s="37">
        <f t="shared" si="40"/>
        <v>-6063.5483870967801</v>
      </c>
      <c r="AZ23" s="100">
        <f>ELEC!A20</f>
        <v>0.2261</v>
      </c>
      <c r="BA23" s="118">
        <f>'General information '!D23</f>
        <v>27.5</v>
      </c>
      <c r="BB23" s="404">
        <f>SUM('General information '!E23)</f>
        <v>0.62</v>
      </c>
      <c r="BC23" s="3">
        <f t="shared" si="43"/>
        <v>0</v>
      </c>
      <c r="BD23" s="102">
        <v>19222</v>
      </c>
      <c r="BE23" s="14">
        <f>(305/1185)*ELEC!Q21</f>
        <v>3860.7594936708865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148</v>
      </c>
      <c r="C24" s="206">
        <f t="shared" si="18"/>
        <v>3184.3870967741937</v>
      </c>
      <c r="D24">
        <f t="shared" si="19"/>
        <v>148</v>
      </c>
      <c r="E24" s="206">
        <f t="shared" si="18"/>
        <v>3184.3870967741937</v>
      </c>
      <c r="F24">
        <f t="shared" si="20"/>
        <v>148</v>
      </c>
      <c r="G24" s="206">
        <f t="shared" si="1"/>
        <v>3184.3870967741937</v>
      </c>
      <c r="H24" s="206">
        <f t="shared" si="21"/>
        <v>148</v>
      </c>
      <c r="I24" s="206">
        <f t="shared" si="2"/>
        <v>3184.3870967741937</v>
      </c>
      <c r="J24" s="206">
        <f t="shared" si="22"/>
        <v>148</v>
      </c>
      <c r="K24" s="206">
        <f t="shared" si="3"/>
        <v>3184.3870967741937</v>
      </c>
      <c r="L24" s="206">
        <f t="shared" si="23"/>
        <v>148</v>
      </c>
      <c r="M24" s="206">
        <f t="shared" si="4"/>
        <v>3184.3870967741937</v>
      </c>
      <c r="N24" s="206">
        <f t="shared" si="24"/>
        <v>148</v>
      </c>
      <c r="O24" s="206">
        <f t="shared" si="5"/>
        <v>3184.3870967741937</v>
      </c>
      <c r="P24" s="206">
        <f t="shared" si="25"/>
        <v>148</v>
      </c>
      <c r="Q24" s="206">
        <f t="shared" si="6"/>
        <v>3184.3870967741937</v>
      </c>
      <c r="R24" s="206">
        <f t="shared" si="26"/>
        <v>148</v>
      </c>
      <c r="S24" s="206">
        <f t="shared" si="7"/>
        <v>3184.3870967741937</v>
      </c>
      <c r="T24" s="206">
        <f t="shared" si="27"/>
        <v>148</v>
      </c>
      <c r="U24" s="206">
        <f t="shared" si="8"/>
        <v>3184.3870967741937</v>
      </c>
      <c r="V24" s="206">
        <f t="shared" si="28"/>
        <v>148</v>
      </c>
      <c r="W24" s="206">
        <f t="shared" si="9"/>
        <v>3184.3870967741937</v>
      </c>
      <c r="X24" s="35">
        <f t="shared" si="10"/>
        <v>0.47741935483870968</v>
      </c>
      <c r="Y24" s="36">
        <f t="shared" si="29"/>
        <v>35028.258064516129</v>
      </c>
      <c r="Z24" s="206">
        <f>'B5'!C23</f>
        <v>155</v>
      </c>
      <c r="AA24" s="206">
        <f t="shared" si="30"/>
        <v>1550</v>
      </c>
      <c r="AB24" s="206">
        <f t="shared" si="31"/>
        <v>155</v>
      </c>
      <c r="AC24" s="206">
        <f t="shared" si="30"/>
        <v>1550</v>
      </c>
      <c r="AD24" s="206">
        <f t="shared" si="32"/>
        <v>155</v>
      </c>
      <c r="AE24" s="206">
        <f t="shared" si="11"/>
        <v>1550</v>
      </c>
      <c r="AF24" s="206">
        <f t="shared" si="33"/>
        <v>155</v>
      </c>
      <c r="AG24" s="206">
        <f t="shared" si="12"/>
        <v>1550</v>
      </c>
      <c r="AH24" s="206">
        <f t="shared" si="34"/>
        <v>155</v>
      </c>
      <c r="AI24" s="206">
        <f t="shared" si="13"/>
        <v>1550</v>
      </c>
      <c r="AJ24" s="206">
        <f t="shared" si="35"/>
        <v>155</v>
      </c>
      <c r="AK24" s="206">
        <f t="shared" si="14"/>
        <v>1550</v>
      </c>
      <c r="AL24" s="206">
        <f t="shared" si="36"/>
        <v>155</v>
      </c>
      <c r="AM24" s="206">
        <f t="shared" si="15"/>
        <v>1550</v>
      </c>
      <c r="AN24" s="35">
        <f t="shared" si="16"/>
        <v>0.5535714285714286</v>
      </c>
      <c r="AO24" s="36">
        <f t="shared" si="17"/>
        <v>10850</v>
      </c>
      <c r="AQ24" s="226">
        <f t="shared" si="37"/>
        <v>0.49347378793714242</v>
      </c>
      <c r="AR24" s="38">
        <f t="shared" si="41"/>
        <v>45878.258064516129</v>
      </c>
      <c r="AS24" s="200">
        <f t="shared" si="38"/>
        <v>-4600.1612903225832</v>
      </c>
      <c r="AT24" s="277"/>
      <c r="AU24" s="449"/>
      <c r="AV24" s="533">
        <f t="shared" si="42"/>
        <v>0.5383</v>
      </c>
      <c r="AW24" s="298">
        <f>-SUM('B5'!AI23)</f>
        <v>-143</v>
      </c>
      <c r="AX24" s="298">
        <f t="shared" si="39"/>
        <v>-4457.1612903225832</v>
      </c>
      <c r="AY24" s="37">
        <f t="shared" si="40"/>
        <v>-4600.1612903225832</v>
      </c>
      <c r="AZ24" s="100">
        <f>ELEC!A21</f>
        <v>0.1913</v>
      </c>
      <c r="BA24" s="118">
        <f>'General information '!D24</f>
        <v>27</v>
      </c>
      <c r="BB24" s="404">
        <f>SUM('General information '!E24)</f>
        <v>0.65</v>
      </c>
      <c r="BC24" s="3">
        <f t="shared" si="43"/>
        <v>0</v>
      </c>
      <c r="BD24" s="102">
        <v>19222</v>
      </c>
      <c r="BE24" s="14">
        <f>(305/1185)*ELEC!Q22</f>
        <v>4375.5274261603381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130</v>
      </c>
      <c r="C25" s="206">
        <f t="shared" si="18"/>
        <v>2797.0967741935483</v>
      </c>
      <c r="D25">
        <f t="shared" si="19"/>
        <v>130</v>
      </c>
      <c r="E25" s="206">
        <f t="shared" si="18"/>
        <v>2797.0967741935483</v>
      </c>
      <c r="F25">
        <f t="shared" si="20"/>
        <v>130</v>
      </c>
      <c r="G25" s="206">
        <f t="shared" si="1"/>
        <v>2797.0967741935483</v>
      </c>
      <c r="H25" s="206">
        <f t="shared" si="21"/>
        <v>130</v>
      </c>
      <c r="I25" s="206">
        <f t="shared" si="2"/>
        <v>2797.0967741935483</v>
      </c>
      <c r="J25" s="206">
        <f t="shared" si="22"/>
        <v>130</v>
      </c>
      <c r="K25" s="206">
        <f t="shared" si="3"/>
        <v>2797.0967741935483</v>
      </c>
      <c r="L25" s="206">
        <f t="shared" si="23"/>
        <v>130</v>
      </c>
      <c r="M25" s="206">
        <f t="shared" si="4"/>
        <v>2797.0967741935483</v>
      </c>
      <c r="N25" s="206">
        <f t="shared" si="24"/>
        <v>130</v>
      </c>
      <c r="O25" s="206">
        <f t="shared" si="5"/>
        <v>2797.0967741935483</v>
      </c>
      <c r="P25" s="206">
        <f t="shared" si="25"/>
        <v>130</v>
      </c>
      <c r="Q25" s="206">
        <f t="shared" si="6"/>
        <v>2797.0967741935483</v>
      </c>
      <c r="R25" s="206">
        <f t="shared" si="26"/>
        <v>130</v>
      </c>
      <c r="S25" s="206">
        <f t="shared" si="7"/>
        <v>2797.0967741935483</v>
      </c>
      <c r="T25" s="206">
        <f t="shared" si="27"/>
        <v>130</v>
      </c>
      <c r="U25" s="206">
        <f t="shared" si="8"/>
        <v>2797.0967741935483</v>
      </c>
      <c r="V25" s="206">
        <f t="shared" si="28"/>
        <v>130</v>
      </c>
      <c r="W25" s="206">
        <f t="shared" si="9"/>
        <v>2797.0967741935483</v>
      </c>
      <c r="X25" s="35">
        <f t="shared" si="10"/>
        <v>0.41935483870967749</v>
      </c>
      <c r="Y25" s="36">
        <f t="shared" si="29"/>
        <v>30768.064516129038</v>
      </c>
      <c r="Z25" s="206">
        <f>'B5'!C24</f>
        <v>137</v>
      </c>
      <c r="AA25" s="206">
        <f t="shared" si="30"/>
        <v>1370</v>
      </c>
      <c r="AB25" s="206">
        <f t="shared" si="31"/>
        <v>137</v>
      </c>
      <c r="AC25" s="206">
        <f t="shared" si="30"/>
        <v>1370</v>
      </c>
      <c r="AD25" s="206">
        <f t="shared" si="32"/>
        <v>137</v>
      </c>
      <c r="AE25" s="206">
        <f t="shared" si="11"/>
        <v>1370</v>
      </c>
      <c r="AF25" s="206">
        <f t="shared" si="33"/>
        <v>137</v>
      </c>
      <c r="AG25" s="206">
        <f t="shared" si="12"/>
        <v>1370</v>
      </c>
      <c r="AH25" s="206">
        <f t="shared" si="34"/>
        <v>137</v>
      </c>
      <c r="AI25" s="206">
        <f t="shared" si="13"/>
        <v>1370</v>
      </c>
      <c r="AJ25" s="206">
        <f t="shared" si="35"/>
        <v>137</v>
      </c>
      <c r="AK25" s="206">
        <f t="shared" si="14"/>
        <v>1370</v>
      </c>
      <c r="AL25" s="206">
        <f t="shared" si="36"/>
        <v>137</v>
      </c>
      <c r="AM25" s="206">
        <f t="shared" si="15"/>
        <v>1370</v>
      </c>
      <c r="AN25" s="35">
        <f t="shared" si="16"/>
        <v>0.48928571428571427</v>
      </c>
      <c r="AO25" s="36">
        <f t="shared" si="17"/>
        <v>9590</v>
      </c>
      <c r="AQ25" s="226">
        <f t="shared" si="37"/>
        <v>0.43409771448993262</v>
      </c>
      <c r="AR25" s="38">
        <f t="shared" si="41"/>
        <v>40358.064516129038</v>
      </c>
      <c r="AS25" s="200">
        <f t="shared" si="38"/>
        <v>-5520.1935483870911</v>
      </c>
      <c r="AT25" s="277"/>
      <c r="AU25" s="449"/>
      <c r="AV25" s="533">
        <f t="shared" si="42"/>
        <v>0.5383</v>
      </c>
      <c r="AW25" s="298">
        <f>-SUM('B5'!AI24)</f>
        <v>-211</v>
      </c>
      <c r="AX25" s="298">
        <f t="shared" si="39"/>
        <v>-5309.1935483870911</v>
      </c>
      <c r="AY25" s="37">
        <f t="shared" si="40"/>
        <v>-5520.1935483870911</v>
      </c>
      <c r="AZ25" s="100">
        <f>ELEC!A22</f>
        <v>0.1739</v>
      </c>
      <c r="BA25" s="118">
        <f>'General information '!D25</f>
        <v>27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2573.8396624472575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193.4</v>
      </c>
      <c r="C26" s="206">
        <f t="shared" si="18"/>
        <v>4161.2193548387095</v>
      </c>
      <c r="D26">
        <f t="shared" si="19"/>
        <v>193.4</v>
      </c>
      <c r="E26" s="206">
        <f t="shared" si="18"/>
        <v>4161.2193548387095</v>
      </c>
      <c r="F26">
        <f t="shared" si="20"/>
        <v>193.4</v>
      </c>
      <c r="G26" s="206">
        <f t="shared" si="1"/>
        <v>4161.2193548387095</v>
      </c>
      <c r="H26" s="206">
        <f t="shared" si="21"/>
        <v>193.4</v>
      </c>
      <c r="I26" s="206">
        <f t="shared" si="2"/>
        <v>4161.2193548387095</v>
      </c>
      <c r="J26" s="206">
        <f t="shared" si="22"/>
        <v>193.4</v>
      </c>
      <c r="K26" s="206">
        <f t="shared" si="3"/>
        <v>4161.2193548387095</v>
      </c>
      <c r="L26" s="206">
        <f t="shared" si="23"/>
        <v>193.4</v>
      </c>
      <c r="M26" s="206">
        <f t="shared" si="4"/>
        <v>4161.2193548387095</v>
      </c>
      <c r="N26" s="206">
        <f t="shared" si="24"/>
        <v>193.4</v>
      </c>
      <c r="O26" s="206">
        <f t="shared" si="5"/>
        <v>4161.2193548387095</v>
      </c>
      <c r="P26" s="206">
        <f t="shared" si="25"/>
        <v>193.4</v>
      </c>
      <c r="Q26" s="206">
        <f t="shared" si="6"/>
        <v>4161.2193548387095</v>
      </c>
      <c r="R26" s="206">
        <f t="shared" si="26"/>
        <v>193.4</v>
      </c>
      <c r="S26" s="206">
        <f t="shared" si="7"/>
        <v>4161.2193548387095</v>
      </c>
      <c r="T26" s="206">
        <f t="shared" si="27"/>
        <v>193.4</v>
      </c>
      <c r="U26" s="206">
        <f t="shared" si="8"/>
        <v>4161.2193548387095</v>
      </c>
      <c r="V26" s="206">
        <f t="shared" si="28"/>
        <v>193.4</v>
      </c>
      <c r="W26" s="206">
        <f t="shared" si="9"/>
        <v>4161.2193548387095</v>
      </c>
      <c r="X26" s="35">
        <f t="shared" si="10"/>
        <v>0.62387096774193529</v>
      </c>
      <c r="Y26" s="36">
        <f t="shared" si="29"/>
        <v>45773.412903225792</v>
      </c>
      <c r="Z26" s="206">
        <f>'B5'!C25</f>
        <v>199</v>
      </c>
      <c r="AA26" s="206">
        <f t="shared" si="30"/>
        <v>1990</v>
      </c>
      <c r="AB26" s="206">
        <f t="shared" si="31"/>
        <v>199</v>
      </c>
      <c r="AC26" s="206">
        <f t="shared" si="30"/>
        <v>1990</v>
      </c>
      <c r="AD26" s="206">
        <f t="shared" si="32"/>
        <v>199</v>
      </c>
      <c r="AE26" s="206">
        <f t="shared" si="11"/>
        <v>1990</v>
      </c>
      <c r="AF26" s="206">
        <f t="shared" si="33"/>
        <v>199</v>
      </c>
      <c r="AG26" s="206">
        <f t="shared" si="12"/>
        <v>1990</v>
      </c>
      <c r="AH26" s="206">
        <f t="shared" si="34"/>
        <v>199</v>
      </c>
      <c r="AI26" s="206">
        <f t="shared" si="13"/>
        <v>1990</v>
      </c>
      <c r="AJ26" s="206">
        <f t="shared" si="35"/>
        <v>199</v>
      </c>
      <c r="AK26" s="206">
        <f t="shared" si="14"/>
        <v>1990</v>
      </c>
      <c r="AL26" s="206">
        <f t="shared" si="36"/>
        <v>199</v>
      </c>
      <c r="AM26" s="206">
        <f t="shared" si="15"/>
        <v>1990</v>
      </c>
      <c r="AN26" s="35">
        <f t="shared" si="16"/>
        <v>0.71071428571428574</v>
      </c>
      <c r="AO26" s="36">
        <f t="shared" si="17"/>
        <v>13930</v>
      </c>
      <c r="AQ26" s="226">
        <f t="shared" si="37"/>
        <v>0.64217933637975466</v>
      </c>
      <c r="AR26" s="38">
        <f t="shared" si="41"/>
        <v>59703.412903225792</v>
      </c>
      <c r="AS26" s="200">
        <f t="shared" si="38"/>
        <v>-697.65161290324613</v>
      </c>
      <c r="AT26" s="277">
        <v>20043</v>
      </c>
      <c r="AU26" s="449">
        <v>0.5383</v>
      </c>
      <c r="AV26" s="533">
        <f t="shared" si="42"/>
        <v>0.5383</v>
      </c>
      <c r="AW26" s="298">
        <f>-SUM('B5'!AI25)</f>
        <v>-586</v>
      </c>
      <c r="AX26" s="298">
        <f t="shared" si="39"/>
        <v>-111.65161290324613</v>
      </c>
      <c r="AY26" s="37">
        <f t="shared" si="40"/>
        <v>-697.65161290324613</v>
      </c>
      <c r="AZ26" s="100">
        <f>ELEC!A23</f>
        <v>0.16089999999999999</v>
      </c>
      <c r="BA26" s="118">
        <f>'General information '!D26</f>
        <v>27</v>
      </c>
      <c r="BB26" s="404">
        <f>SUM('General information '!E26)</f>
        <v>0.67</v>
      </c>
      <c r="BC26" s="3">
        <f t="shared" si="43"/>
        <v>1</v>
      </c>
      <c r="BD26" s="102">
        <v>19222</v>
      </c>
      <c r="BE26" s="14">
        <f>(305/1185)*ELEC!Q24</f>
        <v>4118.1434599156119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174</v>
      </c>
      <c r="C27" s="206">
        <f t="shared" si="18"/>
        <v>3743.8064516129029</v>
      </c>
      <c r="D27">
        <f t="shared" si="19"/>
        <v>174</v>
      </c>
      <c r="E27" s="206">
        <f t="shared" si="18"/>
        <v>3743.8064516129029</v>
      </c>
      <c r="F27">
        <f t="shared" si="20"/>
        <v>174</v>
      </c>
      <c r="G27" s="206">
        <f t="shared" si="1"/>
        <v>3743.8064516129029</v>
      </c>
      <c r="H27" s="206">
        <f t="shared" si="21"/>
        <v>174</v>
      </c>
      <c r="I27" s="206">
        <f t="shared" si="2"/>
        <v>3743.8064516129029</v>
      </c>
      <c r="J27" s="206">
        <f t="shared" si="22"/>
        <v>174</v>
      </c>
      <c r="K27" s="206">
        <f t="shared" si="3"/>
        <v>3743.8064516129029</v>
      </c>
      <c r="L27" s="206">
        <f t="shared" si="23"/>
        <v>174</v>
      </c>
      <c r="M27" s="206">
        <f t="shared" si="4"/>
        <v>3743.8064516129029</v>
      </c>
      <c r="N27" s="206">
        <f t="shared" si="24"/>
        <v>174</v>
      </c>
      <c r="O27" s="206">
        <f t="shared" si="5"/>
        <v>3743.8064516129029</v>
      </c>
      <c r="P27" s="206">
        <f t="shared" si="25"/>
        <v>174</v>
      </c>
      <c r="Q27" s="206">
        <f t="shared" si="6"/>
        <v>3743.8064516129029</v>
      </c>
      <c r="R27" s="206">
        <f t="shared" si="26"/>
        <v>174</v>
      </c>
      <c r="S27" s="206">
        <f t="shared" si="7"/>
        <v>3743.8064516129029</v>
      </c>
      <c r="T27" s="206">
        <f t="shared" si="27"/>
        <v>174</v>
      </c>
      <c r="U27" s="206">
        <f t="shared" si="8"/>
        <v>3743.8064516129029</v>
      </c>
      <c r="V27" s="206">
        <f t="shared" si="28"/>
        <v>174</v>
      </c>
      <c r="W27" s="206">
        <f t="shared" si="9"/>
        <v>3743.8064516129029</v>
      </c>
      <c r="X27" s="35">
        <f t="shared" si="10"/>
        <v>0.56129032258064504</v>
      </c>
      <c r="Y27" s="36">
        <f t="shared" si="29"/>
        <v>41181.870967741925</v>
      </c>
      <c r="Z27" s="206">
        <f>'B5'!C26</f>
        <v>181</v>
      </c>
      <c r="AA27" s="206">
        <f t="shared" si="30"/>
        <v>1810</v>
      </c>
      <c r="AB27" s="206">
        <f t="shared" si="31"/>
        <v>181</v>
      </c>
      <c r="AC27" s="206">
        <f t="shared" si="30"/>
        <v>1810</v>
      </c>
      <c r="AD27" s="206">
        <f t="shared" si="32"/>
        <v>181</v>
      </c>
      <c r="AE27" s="206">
        <f t="shared" si="11"/>
        <v>1810</v>
      </c>
      <c r="AF27" s="206">
        <f t="shared" si="33"/>
        <v>181</v>
      </c>
      <c r="AG27" s="206">
        <f t="shared" si="12"/>
        <v>1810</v>
      </c>
      <c r="AH27" s="206">
        <f t="shared" si="34"/>
        <v>181</v>
      </c>
      <c r="AI27" s="206">
        <f t="shared" si="13"/>
        <v>1810</v>
      </c>
      <c r="AJ27" s="206">
        <f t="shared" si="35"/>
        <v>181</v>
      </c>
      <c r="AK27" s="206">
        <f t="shared" si="14"/>
        <v>1810</v>
      </c>
      <c r="AL27" s="206">
        <f t="shared" si="36"/>
        <v>181</v>
      </c>
      <c r="AM27" s="206">
        <f t="shared" si="15"/>
        <v>1810</v>
      </c>
      <c r="AN27" s="35">
        <f t="shared" si="16"/>
        <v>0.64642857142857146</v>
      </c>
      <c r="AO27" s="36">
        <f t="shared" si="17"/>
        <v>12670</v>
      </c>
      <c r="AQ27" s="226">
        <f t="shared" si="37"/>
        <v>0.57923922736088984</v>
      </c>
      <c r="AR27" s="38">
        <f t="shared" si="41"/>
        <v>53851.870967741925</v>
      </c>
      <c r="AS27" s="200">
        <f t="shared" si="38"/>
        <v>-5851.5419354838668</v>
      </c>
      <c r="AT27" s="277"/>
      <c r="AU27" s="449"/>
      <c r="AV27" s="533">
        <f t="shared" si="42"/>
        <v>0.5383</v>
      </c>
      <c r="AW27" s="298">
        <f>-SUM('B5'!AI26)</f>
        <v>-451</v>
      </c>
      <c r="AX27" s="298">
        <f t="shared" si="39"/>
        <v>-5400.5419354838668</v>
      </c>
      <c r="AY27" s="37">
        <f t="shared" si="40"/>
        <v>-5851.5419354838668</v>
      </c>
      <c r="AZ27" s="100">
        <f>ELEC!A24</f>
        <v>0.16220000000000001</v>
      </c>
      <c r="BA27" s="118">
        <f>'General information '!D27</f>
        <v>27</v>
      </c>
      <c r="BB27" s="404">
        <f>SUM('General information '!E27)</f>
        <v>0.7</v>
      </c>
      <c r="BC27" s="3">
        <f t="shared" si="43"/>
        <v>0</v>
      </c>
      <c r="BD27" s="102">
        <v>19222</v>
      </c>
      <c r="BE27" s="14">
        <f>(305/1185)*ELEC!Q25</f>
        <v>2831.2236286919833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239</v>
      </c>
      <c r="C28" s="206">
        <f t="shared" si="18"/>
        <v>5142.3548387096771</v>
      </c>
      <c r="D28">
        <f t="shared" si="19"/>
        <v>239</v>
      </c>
      <c r="E28" s="206">
        <f t="shared" si="18"/>
        <v>5142.3548387096771</v>
      </c>
      <c r="F28">
        <f t="shared" si="20"/>
        <v>239</v>
      </c>
      <c r="G28" s="206">
        <f t="shared" si="1"/>
        <v>5142.3548387096771</v>
      </c>
      <c r="H28" s="206">
        <f t="shared" si="21"/>
        <v>239</v>
      </c>
      <c r="I28" s="206">
        <f t="shared" si="2"/>
        <v>5142.3548387096771</v>
      </c>
      <c r="J28" s="206">
        <f t="shared" si="22"/>
        <v>239</v>
      </c>
      <c r="K28" s="206">
        <f t="shared" si="3"/>
        <v>5142.3548387096771</v>
      </c>
      <c r="L28" s="206">
        <f t="shared" si="23"/>
        <v>239</v>
      </c>
      <c r="M28" s="206">
        <f t="shared" si="4"/>
        <v>5142.3548387096771</v>
      </c>
      <c r="N28" s="206">
        <f t="shared" si="24"/>
        <v>239</v>
      </c>
      <c r="O28" s="206">
        <f t="shared" si="5"/>
        <v>5142.3548387096771</v>
      </c>
      <c r="P28" s="206">
        <f t="shared" si="25"/>
        <v>239</v>
      </c>
      <c r="Q28" s="206">
        <f t="shared" si="6"/>
        <v>5142.3548387096771</v>
      </c>
      <c r="R28" s="206">
        <f t="shared" si="26"/>
        <v>239</v>
      </c>
      <c r="S28" s="206">
        <f t="shared" si="7"/>
        <v>5142.3548387096771</v>
      </c>
      <c r="T28" s="206">
        <f t="shared" si="27"/>
        <v>239</v>
      </c>
      <c r="U28" s="206">
        <f t="shared" si="8"/>
        <v>5142.3548387096771</v>
      </c>
      <c r="V28" s="206">
        <f t="shared" si="28"/>
        <v>239</v>
      </c>
      <c r="W28" s="206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6">
        <f>'B5'!C27</f>
        <v>244</v>
      </c>
      <c r="AA28" s="206">
        <f t="shared" si="30"/>
        <v>2440</v>
      </c>
      <c r="AB28" s="206">
        <f t="shared" si="31"/>
        <v>244</v>
      </c>
      <c r="AC28" s="206">
        <f t="shared" si="30"/>
        <v>2440</v>
      </c>
      <c r="AD28" s="206">
        <f t="shared" si="32"/>
        <v>244</v>
      </c>
      <c r="AE28" s="206">
        <f t="shared" si="11"/>
        <v>2440</v>
      </c>
      <c r="AF28" s="206">
        <f t="shared" si="33"/>
        <v>244</v>
      </c>
      <c r="AG28" s="206">
        <f t="shared" si="12"/>
        <v>2440</v>
      </c>
      <c r="AH28" s="206">
        <f t="shared" si="34"/>
        <v>244</v>
      </c>
      <c r="AI28" s="206">
        <f t="shared" si="13"/>
        <v>2440</v>
      </c>
      <c r="AJ28" s="206">
        <f t="shared" si="35"/>
        <v>244</v>
      </c>
      <c r="AK28" s="206">
        <f t="shared" si="14"/>
        <v>2440</v>
      </c>
      <c r="AL28" s="206">
        <f t="shared" si="36"/>
        <v>244</v>
      </c>
      <c r="AM28" s="206">
        <f t="shared" si="15"/>
        <v>2440</v>
      </c>
      <c r="AN28" s="35">
        <f t="shared" si="16"/>
        <v>0.87142857142857144</v>
      </c>
      <c r="AO28" s="36">
        <f t="shared" si="17"/>
        <v>17080</v>
      </c>
      <c r="AQ28" s="226">
        <f t="shared" si="37"/>
        <v>0.79214696381420291</v>
      </c>
      <c r="AR28" s="38">
        <f t="shared" si="41"/>
        <v>73645.90322580644</v>
      </c>
      <c r="AS28" s="200">
        <f t="shared" si="38"/>
        <v>-254.96774193548481</v>
      </c>
      <c r="AT28" s="365">
        <v>20049</v>
      </c>
      <c r="AU28" s="449">
        <v>0.53500000000000003</v>
      </c>
      <c r="AV28" s="533">
        <f t="shared" si="42"/>
        <v>0.53500000000000003</v>
      </c>
      <c r="AW28" s="298">
        <f>-SUM('B5'!AI27)</f>
        <v>-324</v>
      </c>
      <c r="AX28" s="298">
        <f t="shared" si="39"/>
        <v>69.03225806451519</v>
      </c>
      <c r="AY28" s="37">
        <f t="shared" si="40"/>
        <v>-254.96774193548481</v>
      </c>
      <c r="AZ28" s="100">
        <f>ELEC!A25</f>
        <v>0.23039999999999999</v>
      </c>
      <c r="BA28" s="118">
        <f>'General information '!D28</f>
        <v>29.5</v>
      </c>
      <c r="BB28" s="404">
        <f>SUM('General information '!E28)</f>
        <v>0.69</v>
      </c>
      <c r="BC28" s="3">
        <f t="shared" si="43"/>
        <v>1</v>
      </c>
      <c r="BD28" s="102">
        <v>19222</v>
      </c>
      <c r="BE28" s="14">
        <f>(305/1185)*ELEC!Q26</f>
        <v>3860.7594936708865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220</v>
      </c>
      <c r="C29" s="206">
        <f t="shared" si="18"/>
        <v>4733.5483870967737</v>
      </c>
      <c r="D29">
        <f t="shared" si="19"/>
        <v>220</v>
      </c>
      <c r="E29" s="206">
        <f t="shared" si="18"/>
        <v>4733.5483870967737</v>
      </c>
      <c r="F29">
        <f t="shared" si="20"/>
        <v>220</v>
      </c>
      <c r="G29" s="206">
        <f t="shared" si="1"/>
        <v>4733.5483870967737</v>
      </c>
      <c r="H29" s="206">
        <f t="shared" si="21"/>
        <v>220</v>
      </c>
      <c r="I29" s="206">
        <f t="shared" si="2"/>
        <v>4733.5483870967737</v>
      </c>
      <c r="J29" s="206">
        <f t="shared" si="22"/>
        <v>220</v>
      </c>
      <c r="K29" s="206">
        <f t="shared" si="3"/>
        <v>4733.5483870967737</v>
      </c>
      <c r="L29" s="206">
        <f t="shared" si="23"/>
        <v>220</v>
      </c>
      <c r="M29" s="206">
        <f t="shared" si="4"/>
        <v>4733.5483870967737</v>
      </c>
      <c r="N29" s="206">
        <f t="shared" si="24"/>
        <v>220</v>
      </c>
      <c r="O29" s="206">
        <f t="shared" si="5"/>
        <v>4733.5483870967737</v>
      </c>
      <c r="P29" s="206">
        <f t="shared" si="25"/>
        <v>220</v>
      </c>
      <c r="Q29" s="206">
        <f t="shared" si="6"/>
        <v>4733.5483870967737</v>
      </c>
      <c r="R29" s="206">
        <f t="shared" si="26"/>
        <v>220</v>
      </c>
      <c r="S29" s="206">
        <f t="shared" si="7"/>
        <v>4733.5483870967737</v>
      </c>
      <c r="T29" s="206">
        <f t="shared" si="27"/>
        <v>220</v>
      </c>
      <c r="U29" s="206">
        <f t="shared" si="8"/>
        <v>4733.5483870967737</v>
      </c>
      <c r="V29" s="206">
        <f t="shared" si="28"/>
        <v>220</v>
      </c>
      <c r="W29" s="206">
        <f t="shared" si="9"/>
        <v>4733.5483870967737</v>
      </c>
      <c r="X29" s="35">
        <f t="shared" si="10"/>
        <v>0.70967741935483863</v>
      </c>
      <c r="Y29" s="36">
        <f t="shared" si="29"/>
        <v>52069.032258064508</v>
      </c>
      <c r="Z29" s="206">
        <f>'B5'!C28</f>
        <v>227</v>
      </c>
      <c r="AA29" s="206">
        <f t="shared" si="30"/>
        <v>2270</v>
      </c>
      <c r="AB29" s="206">
        <f t="shared" si="31"/>
        <v>227</v>
      </c>
      <c r="AC29" s="206">
        <f t="shared" si="30"/>
        <v>2270</v>
      </c>
      <c r="AD29" s="206">
        <f t="shared" si="32"/>
        <v>227</v>
      </c>
      <c r="AE29" s="206">
        <f t="shared" si="11"/>
        <v>2270</v>
      </c>
      <c r="AF29" s="206">
        <f t="shared" si="33"/>
        <v>227</v>
      </c>
      <c r="AG29" s="206">
        <f t="shared" si="12"/>
        <v>2270</v>
      </c>
      <c r="AH29" s="206">
        <f t="shared" si="34"/>
        <v>227</v>
      </c>
      <c r="AI29" s="206">
        <f t="shared" si="13"/>
        <v>2270</v>
      </c>
      <c r="AJ29" s="206">
        <f t="shared" si="35"/>
        <v>227</v>
      </c>
      <c r="AK29" s="206">
        <f t="shared" si="14"/>
        <v>2270</v>
      </c>
      <c r="AL29" s="206">
        <f t="shared" si="36"/>
        <v>227</v>
      </c>
      <c r="AM29" s="206">
        <f t="shared" si="15"/>
        <v>2270</v>
      </c>
      <c r="AN29" s="35">
        <f t="shared" si="16"/>
        <v>0.81071428571428572</v>
      </c>
      <c r="AO29" s="36">
        <f t="shared" si="17"/>
        <v>15890</v>
      </c>
      <c r="AQ29" s="226">
        <f t="shared" si="37"/>
        <v>0.73097808172598167</v>
      </c>
      <c r="AR29" s="38">
        <f t="shared" si="41"/>
        <v>67959.032258064515</v>
      </c>
      <c r="AS29" s="200">
        <f t="shared" si="38"/>
        <v>-5686.8709677419247</v>
      </c>
      <c r="AT29" s="365"/>
      <c r="AU29" s="449"/>
      <c r="AV29" s="533">
        <f t="shared" si="42"/>
        <v>0.53500000000000003</v>
      </c>
      <c r="AW29" s="298">
        <f>-SUM('B5'!AI28)</f>
        <v>-484</v>
      </c>
      <c r="AX29" s="298">
        <f>-SUM(AW29-AS29)</f>
        <v>-5202.8709677419247</v>
      </c>
      <c r="AY29" s="37">
        <f t="shared" si="40"/>
        <v>-5686.8709677419247</v>
      </c>
      <c r="AZ29" s="100">
        <f>ELEC!A26</f>
        <v>0.25600000000000001</v>
      </c>
      <c r="BA29" s="118">
        <f>'General information '!D29</f>
        <v>27</v>
      </c>
      <c r="BB29" s="404">
        <f>SUM('General information '!E29)</f>
        <v>0.5</v>
      </c>
      <c r="BC29" s="3">
        <f t="shared" si="43"/>
        <v>0</v>
      </c>
      <c r="BD29" s="102">
        <v>19222</v>
      </c>
      <c r="BE29" s="14">
        <f>(305/1185)*ELEC!Q27</f>
        <v>2316.4556962025317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210</v>
      </c>
      <c r="C30" s="206">
        <f t="shared" si="18"/>
        <v>4518.3870967741932</v>
      </c>
      <c r="D30">
        <f t="shared" ref="D30:D35" si="44">SUM(B30)</f>
        <v>210</v>
      </c>
      <c r="E30" s="206">
        <f t="shared" si="18"/>
        <v>4518.3870967741932</v>
      </c>
      <c r="F30">
        <f t="shared" ref="F30:F35" si="45">SUM(D30)</f>
        <v>210</v>
      </c>
      <c r="G30" s="206">
        <f t="shared" si="1"/>
        <v>4518.3870967741932</v>
      </c>
      <c r="H30" s="206">
        <f t="shared" ref="H30:H35" si="46">SUM(F30)</f>
        <v>210</v>
      </c>
      <c r="I30" s="206">
        <f t="shared" si="2"/>
        <v>4518.3870967741932</v>
      </c>
      <c r="J30" s="206">
        <f t="shared" ref="J30:J35" si="47">SUM(H30)</f>
        <v>210</v>
      </c>
      <c r="K30" s="206">
        <f t="shared" si="3"/>
        <v>4518.3870967741932</v>
      </c>
      <c r="L30" s="206">
        <f t="shared" ref="L30:L35" si="48">SUM(J30)</f>
        <v>210</v>
      </c>
      <c r="M30" s="206">
        <f t="shared" si="4"/>
        <v>4518.3870967741932</v>
      </c>
      <c r="N30" s="206">
        <f t="shared" ref="N30:N35" si="49">SUM(L30)</f>
        <v>210</v>
      </c>
      <c r="O30" s="206">
        <f t="shared" si="5"/>
        <v>4518.3870967741932</v>
      </c>
      <c r="P30" s="206">
        <f t="shared" ref="P30:P35" si="50">SUM(N30)</f>
        <v>210</v>
      </c>
      <c r="Q30" s="206">
        <f t="shared" si="6"/>
        <v>4518.3870967741932</v>
      </c>
      <c r="R30" s="206">
        <f t="shared" ref="R30:R35" si="51">SUM(P30)</f>
        <v>210</v>
      </c>
      <c r="S30" s="206">
        <f t="shared" si="7"/>
        <v>4518.3870967741932</v>
      </c>
      <c r="T30" s="206">
        <f t="shared" ref="T30:T35" si="52">SUM(R30)</f>
        <v>210</v>
      </c>
      <c r="U30" s="206">
        <f t="shared" si="8"/>
        <v>4518.3870967741932</v>
      </c>
      <c r="V30" s="206">
        <f t="shared" ref="V30:V35" si="53">SUM(T30)</f>
        <v>210</v>
      </c>
      <c r="W30" s="206">
        <f t="shared" si="9"/>
        <v>4518.3870967741932</v>
      </c>
      <c r="X30" s="35">
        <f t="shared" ref="X30:X35" si="54">SUM(Y30/73370)</f>
        <v>0.67741935483870974</v>
      </c>
      <c r="Y30" s="36">
        <f t="shared" ref="Y30:Y35" si="55">SUM(C30+E30+G30+I30+K30+M30+O30+Q30+S30+U30+W30)</f>
        <v>49702.258064516136</v>
      </c>
      <c r="Z30" s="206">
        <f>'B5'!C29</f>
        <v>216</v>
      </c>
      <c r="AA30" s="206">
        <f t="shared" si="30"/>
        <v>2160</v>
      </c>
      <c r="AB30" s="206">
        <f t="shared" ref="AB30:AB35" si="56">SUM(Z30)</f>
        <v>216</v>
      </c>
      <c r="AC30" s="206">
        <f t="shared" si="30"/>
        <v>2160</v>
      </c>
      <c r="AD30" s="206">
        <f t="shared" ref="AD30:AD35" si="57">SUM(AB30)</f>
        <v>216</v>
      </c>
      <c r="AE30" s="206">
        <f t="shared" si="11"/>
        <v>2160</v>
      </c>
      <c r="AF30" s="206">
        <f t="shared" ref="AF30:AF35" si="58">SUM(AD30)</f>
        <v>216</v>
      </c>
      <c r="AG30" s="206">
        <f t="shared" si="12"/>
        <v>2160</v>
      </c>
      <c r="AH30" s="206">
        <f t="shared" ref="AH30:AH35" si="59">SUM(AF30)</f>
        <v>216</v>
      </c>
      <c r="AI30" s="206">
        <f t="shared" si="13"/>
        <v>2160</v>
      </c>
      <c r="AJ30" s="206">
        <f t="shared" ref="AJ30:AJ35" si="60">SUM(AH30)</f>
        <v>216</v>
      </c>
      <c r="AK30" s="206">
        <f t="shared" si="14"/>
        <v>2160</v>
      </c>
      <c r="AL30" s="206">
        <f t="shared" ref="AL30:AL35" si="61">SUM(AJ30)</f>
        <v>216</v>
      </c>
      <c r="AM30" s="206">
        <f t="shared" si="15"/>
        <v>2160</v>
      </c>
      <c r="AN30" s="35">
        <f t="shared" ref="AN30:AN35" si="62">SUM(AO30/19600)</f>
        <v>0.77142857142857146</v>
      </c>
      <c r="AO30" s="36">
        <f t="shared" ref="AO30:AO35" si="63">SUM(AA30+AC30+AE30+AG30+AI30+AK30+AM30)</f>
        <v>15120</v>
      </c>
      <c r="AQ30" s="226">
        <f t="shared" si="37"/>
        <v>0.69723844320228179</v>
      </c>
      <c r="AR30" s="38">
        <f t="shared" si="41"/>
        <v>64822.258064516136</v>
      </c>
      <c r="AS30" s="200">
        <f t="shared" si="38"/>
        <v>-3136.7741935483791</v>
      </c>
      <c r="AT30" s="365"/>
      <c r="AU30" s="449"/>
      <c r="AV30" s="533">
        <f t="shared" si="42"/>
        <v>0.53500000000000003</v>
      </c>
      <c r="AW30" s="298">
        <f>-SUM('B5'!AI29)</f>
        <v>-184</v>
      </c>
      <c r="AX30" s="298">
        <f>-SUM(AW30-AS30)</f>
        <v>-2952.7741935483791</v>
      </c>
      <c r="AY30" s="37">
        <f t="shared" si="40"/>
        <v>-3136.7741935483791</v>
      </c>
      <c r="AZ30" s="100">
        <f>ELEC!A27</f>
        <v>0.26900000000000002</v>
      </c>
      <c r="BA30" s="118">
        <f>'General information '!D30</f>
        <v>27</v>
      </c>
      <c r="BB30" s="404">
        <f>SUM('General information '!E30)</f>
        <v>0.56999999999999995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210</v>
      </c>
      <c r="C31" s="206">
        <f t="shared" si="18"/>
        <v>4518.3870967741932</v>
      </c>
      <c r="D31">
        <f t="shared" si="44"/>
        <v>210</v>
      </c>
      <c r="E31" s="206">
        <f t="shared" si="18"/>
        <v>4518.3870967741932</v>
      </c>
      <c r="F31">
        <f t="shared" si="45"/>
        <v>210</v>
      </c>
      <c r="G31" s="206">
        <f t="shared" si="1"/>
        <v>4518.3870967741932</v>
      </c>
      <c r="H31" s="206">
        <f t="shared" si="46"/>
        <v>210</v>
      </c>
      <c r="I31" s="206">
        <f t="shared" si="2"/>
        <v>4518.3870967741932</v>
      </c>
      <c r="J31" s="206">
        <f t="shared" si="47"/>
        <v>210</v>
      </c>
      <c r="K31" s="206">
        <f t="shared" si="3"/>
        <v>4518.3870967741932</v>
      </c>
      <c r="L31" s="206">
        <f t="shared" si="48"/>
        <v>210</v>
      </c>
      <c r="M31" s="206">
        <f t="shared" si="4"/>
        <v>4518.3870967741932</v>
      </c>
      <c r="N31" s="206">
        <f t="shared" si="49"/>
        <v>210</v>
      </c>
      <c r="O31" s="206">
        <f t="shared" si="5"/>
        <v>4518.3870967741932</v>
      </c>
      <c r="P31" s="206">
        <f t="shared" si="50"/>
        <v>210</v>
      </c>
      <c r="Q31" s="206">
        <f t="shared" si="6"/>
        <v>4518.3870967741932</v>
      </c>
      <c r="R31" s="206">
        <f t="shared" si="51"/>
        <v>210</v>
      </c>
      <c r="S31" s="206">
        <f t="shared" si="7"/>
        <v>4518.3870967741932</v>
      </c>
      <c r="T31" s="206">
        <f t="shared" si="52"/>
        <v>210</v>
      </c>
      <c r="U31" s="206">
        <f t="shared" si="8"/>
        <v>4518.3870967741932</v>
      </c>
      <c r="V31" s="206">
        <f t="shared" si="53"/>
        <v>210</v>
      </c>
      <c r="W31" s="206">
        <f t="shared" si="9"/>
        <v>4518.3870967741932</v>
      </c>
      <c r="X31" s="35">
        <f t="shared" si="54"/>
        <v>0.67741935483870974</v>
      </c>
      <c r="Y31" s="36">
        <f t="shared" si="55"/>
        <v>49702.258064516136</v>
      </c>
      <c r="Z31" s="206">
        <f>'B5'!C30</f>
        <v>216</v>
      </c>
      <c r="AA31" s="206">
        <f t="shared" si="30"/>
        <v>2160</v>
      </c>
      <c r="AB31" s="206">
        <f t="shared" si="56"/>
        <v>216</v>
      </c>
      <c r="AC31" s="206">
        <f t="shared" si="30"/>
        <v>2160</v>
      </c>
      <c r="AD31" s="206">
        <f t="shared" si="57"/>
        <v>216</v>
      </c>
      <c r="AE31" s="206">
        <f t="shared" si="11"/>
        <v>2160</v>
      </c>
      <c r="AF31" s="206">
        <f t="shared" si="58"/>
        <v>216</v>
      </c>
      <c r="AG31" s="206">
        <f t="shared" si="12"/>
        <v>2160</v>
      </c>
      <c r="AH31" s="206">
        <f t="shared" si="59"/>
        <v>216</v>
      </c>
      <c r="AI31" s="206">
        <f t="shared" si="13"/>
        <v>2160</v>
      </c>
      <c r="AJ31" s="206">
        <f t="shared" si="60"/>
        <v>216</v>
      </c>
      <c r="AK31" s="206">
        <f t="shared" si="14"/>
        <v>2160</v>
      </c>
      <c r="AL31" s="206">
        <f t="shared" si="61"/>
        <v>216</v>
      </c>
      <c r="AM31" s="206">
        <f t="shared" si="15"/>
        <v>2160</v>
      </c>
      <c r="AN31" s="35">
        <f t="shared" si="62"/>
        <v>0.77142857142857146</v>
      </c>
      <c r="AO31" s="36">
        <f t="shared" si="63"/>
        <v>15120</v>
      </c>
      <c r="AQ31" s="226">
        <f t="shared" si="37"/>
        <v>0.69723844320228179</v>
      </c>
      <c r="AR31" s="38">
        <f t="shared" si="41"/>
        <v>64822.258064516136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210</v>
      </c>
      <c r="C32" s="206">
        <f t="shared" si="18"/>
        <v>4518.3870967741932</v>
      </c>
      <c r="D32">
        <f t="shared" si="44"/>
        <v>210</v>
      </c>
      <c r="E32" s="206">
        <f t="shared" si="18"/>
        <v>4518.3870967741932</v>
      </c>
      <c r="F32">
        <f t="shared" si="45"/>
        <v>210</v>
      </c>
      <c r="G32" s="206">
        <f t="shared" si="1"/>
        <v>4518.3870967741932</v>
      </c>
      <c r="H32" s="206">
        <f t="shared" si="46"/>
        <v>210</v>
      </c>
      <c r="I32" s="206">
        <f t="shared" si="2"/>
        <v>4518.3870967741932</v>
      </c>
      <c r="J32" s="206">
        <f t="shared" si="47"/>
        <v>210</v>
      </c>
      <c r="K32" s="206">
        <f t="shared" si="3"/>
        <v>4518.3870967741932</v>
      </c>
      <c r="L32" s="206">
        <f t="shared" si="48"/>
        <v>210</v>
      </c>
      <c r="M32" s="206">
        <f t="shared" si="4"/>
        <v>4518.3870967741932</v>
      </c>
      <c r="N32" s="206">
        <f t="shared" si="49"/>
        <v>210</v>
      </c>
      <c r="O32" s="206">
        <f t="shared" si="5"/>
        <v>4518.3870967741932</v>
      </c>
      <c r="P32" s="206">
        <f t="shared" si="50"/>
        <v>210</v>
      </c>
      <c r="Q32" s="206">
        <f t="shared" si="6"/>
        <v>4518.3870967741932</v>
      </c>
      <c r="R32" s="206">
        <f t="shared" si="51"/>
        <v>210</v>
      </c>
      <c r="S32" s="206">
        <f t="shared" si="7"/>
        <v>4518.3870967741932</v>
      </c>
      <c r="T32" s="206">
        <f t="shared" si="52"/>
        <v>210</v>
      </c>
      <c r="U32" s="206">
        <f t="shared" si="8"/>
        <v>4518.3870967741932</v>
      </c>
      <c r="V32" s="206">
        <f t="shared" si="53"/>
        <v>210</v>
      </c>
      <c r="W32" s="206">
        <f t="shared" si="9"/>
        <v>4518.3870967741932</v>
      </c>
      <c r="X32" s="35">
        <f t="shared" si="54"/>
        <v>0.67741935483870974</v>
      </c>
      <c r="Y32" s="36">
        <f t="shared" si="55"/>
        <v>49702.258064516136</v>
      </c>
      <c r="Z32" s="206">
        <f>'B5'!C31</f>
        <v>216</v>
      </c>
      <c r="AA32" s="206">
        <f t="shared" si="30"/>
        <v>2160</v>
      </c>
      <c r="AB32" s="206">
        <f t="shared" si="56"/>
        <v>216</v>
      </c>
      <c r="AC32" s="206">
        <f t="shared" si="30"/>
        <v>2160</v>
      </c>
      <c r="AD32" s="206">
        <f t="shared" si="57"/>
        <v>216</v>
      </c>
      <c r="AE32" s="206">
        <f t="shared" si="11"/>
        <v>2160</v>
      </c>
      <c r="AF32" s="206">
        <f t="shared" si="58"/>
        <v>216</v>
      </c>
      <c r="AG32" s="206">
        <f t="shared" si="12"/>
        <v>2160</v>
      </c>
      <c r="AH32" s="206">
        <f t="shared" si="59"/>
        <v>216</v>
      </c>
      <c r="AI32" s="206">
        <f t="shared" si="13"/>
        <v>2160</v>
      </c>
      <c r="AJ32" s="206">
        <f t="shared" si="60"/>
        <v>216</v>
      </c>
      <c r="AK32" s="206">
        <f t="shared" si="14"/>
        <v>2160</v>
      </c>
      <c r="AL32" s="206">
        <f t="shared" si="61"/>
        <v>216</v>
      </c>
      <c r="AM32" s="206">
        <f t="shared" si="15"/>
        <v>2160</v>
      </c>
      <c r="AN32" s="35">
        <f t="shared" si="62"/>
        <v>0.77142857142857146</v>
      </c>
      <c r="AO32" s="36">
        <f t="shared" si="63"/>
        <v>15120</v>
      </c>
      <c r="AQ32" s="226">
        <f t="shared" si="37"/>
        <v>0.69723844320228179</v>
      </c>
      <c r="AR32" s="38">
        <f t="shared" si="41"/>
        <v>64822.258064516136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210</v>
      </c>
      <c r="C33" s="206">
        <f t="shared" si="18"/>
        <v>4518.3870967741932</v>
      </c>
      <c r="D33">
        <f t="shared" si="44"/>
        <v>210</v>
      </c>
      <c r="E33" s="206">
        <f t="shared" si="18"/>
        <v>4518.3870967741932</v>
      </c>
      <c r="F33">
        <f t="shared" si="45"/>
        <v>210</v>
      </c>
      <c r="G33" s="206">
        <f t="shared" si="1"/>
        <v>4518.3870967741932</v>
      </c>
      <c r="H33" s="206">
        <f t="shared" si="46"/>
        <v>210</v>
      </c>
      <c r="I33" s="206">
        <f t="shared" si="2"/>
        <v>4518.3870967741932</v>
      </c>
      <c r="J33" s="206">
        <f t="shared" si="47"/>
        <v>210</v>
      </c>
      <c r="K33" s="206">
        <f t="shared" si="3"/>
        <v>4518.3870967741932</v>
      </c>
      <c r="L33" s="206">
        <f t="shared" si="48"/>
        <v>210</v>
      </c>
      <c r="M33" s="206">
        <f t="shared" si="4"/>
        <v>4518.3870967741932</v>
      </c>
      <c r="N33" s="206">
        <f t="shared" si="49"/>
        <v>210</v>
      </c>
      <c r="O33" s="206">
        <f t="shared" si="5"/>
        <v>4518.3870967741932</v>
      </c>
      <c r="P33" s="206">
        <f t="shared" si="50"/>
        <v>210</v>
      </c>
      <c r="Q33" s="206">
        <f t="shared" si="6"/>
        <v>4518.3870967741932</v>
      </c>
      <c r="R33" s="206">
        <f t="shared" si="51"/>
        <v>210</v>
      </c>
      <c r="S33" s="206">
        <f t="shared" si="7"/>
        <v>4518.3870967741932</v>
      </c>
      <c r="T33" s="206">
        <f t="shared" si="52"/>
        <v>210</v>
      </c>
      <c r="U33" s="206">
        <f t="shared" si="8"/>
        <v>4518.3870967741932</v>
      </c>
      <c r="V33" s="206">
        <f t="shared" si="53"/>
        <v>210</v>
      </c>
      <c r="W33" s="206">
        <f t="shared" si="9"/>
        <v>4518.3870967741932</v>
      </c>
      <c r="X33" s="35">
        <f t="shared" si="54"/>
        <v>0.67741935483870974</v>
      </c>
      <c r="Y33" s="36">
        <f t="shared" si="55"/>
        <v>49702.258064516136</v>
      </c>
      <c r="Z33" s="206">
        <f>'B5'!C32</f>
        <v>216</v>
      </c>
      <c r="AA33" s="206">
        <f t="shared" si="30"/>
        <v>2160</v>
      </c>
      <c r="AB33" s="206">
        <f t="shared" si="56"/>
        <v>216</v>
      </c>
      <c r="AC33" s="206">
        <f t="shared" si="30"/>
        <v>2160</v>
      </c>
      <c r="AD33" s="206">
        <f t="shared" si="57"/>
        <v>216</v>
      </c>
      <c r="AE33" s="206">
        <f t="shared" si="11"/>
        <v>2160</v>
      </c>
      <c r="AF33" s="206">
        <f t="shared" si="58"/>
        <v>216</v>
      </c>
      <c r="AG33" s="206">
        <f t="shared" si="12"/>
        <v>2160</v>
      </c>
      <c r="AH33" s="206">
        <f t="shared" si="59"/>
        <v>216</v>
      </c>
      <c r="AI33" s="206">
        <f t="shared" si="13"/>
        <v>2160</v>
      </c>
      <c r="AJ33" s="206">
        <f t="shared" si="60"/>
        <v>216</v>
      </c>
      <c r="AK33" s="206">
        <f t="shared" si="14"/>
        <v>2160</v>
      </c>
      <c r="AL33" s="206">
        <f t="shared" si="61"/>
        <v>216</v>
      </c>
      <c r="AM33" s="206">
        <f t="shared" si="15"/>
        <v>2160</v>
      </c>
      <c r="AN33" s="35">
        <f t="shared" si="62"/>
        <v>0.77142857142857146</v>
      </c>
      <c r="AO33" s="36">
        <f t="shared" si="63"/>
        <v>15120</v>
      </c>
      <c r="AQ33" s="226">
        <f t="shared" si="37"/>
        <v>0.69723844320228179</v>
      </c>
      <c r="AR33" s="38">
        <f t="shared" si="41"/>
        <v>64822.258064516136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210</v>
      </c>
      <c r="C34" s="206">
        <f t="shared" si="18"/>
        <v>4518.3870967741932</v>
      </c>
      <c r="D34">
        <f t="shared" si="44"/>
        <v>210</v>
      </c>
      <c r="E34" s="206">
        <f t="shared" si="18"/>
        <v>4518.3870967741932</v>
      </c>
      <c r="F34">
        <f t="shared" si="45"/>
        <v>210</v>
      </c>
      <c r="G34" s="206">
        <f t="shared" si="1"/>
        <v>4518.3870967741932</v>
      </c>
      <c r="H34" s="206">
        <f t="shared" si="46"/>
        <v>210</v>
      </c>
      <c r="I34" s="206">
        <f t="shared" si="2"/>
        <v>4518.3870967741932</v>
      </c>
      <c r="J34" s="206">
        <f t="shared" si="47"/>
        <v>210</v>
      </c>
      <c r="K34" s="206">
        <f t="shared" si="3"/>
        <v>4518.3870967741932</v>
      </c>
      <c r="L34" s="206">
        <f t="shared" si="48"/>
        <v>210</v>
      </c>
      <c r="M34" s="206">
        <f t="shared" si="4"/>
        <v>4518.3870967741932</v>
      </c>
      <c r="N34" s="206">
        <f t="shared" si="49"/>
        <v>210</v>
      </c>
      <c r="O34" s="206">
        <f t="shared" si="5"/>
        <v>4518.3870967741932</v>
      </c>
      <c r="P34" s="206">
        <f t="shared" si="50"/>
        <v>210</v>
      </c>
      <c r="Q34" s="206">
        <f t="shared" si="6"/>
        <v>4518.3870967741932</v>
      </c>
      <c r="R34" s="206">
        <f t="shared" si="51"/>
        <v>210</v>
      </c>
      <c r="S34" s="206">
        <f t="shared" si="7"/>
        <v>4518.3870967741932</v>
      </c>
      <c r="T34" s="206">
        <f t="shared" si="52"/>
        <v>210</v>
      </c>
      <c r="U34" s="206">
        <f t="shared" si="8"/>
        <v>4518.3870967741932</v>
      </c>
      <c r="V34" s="206">
        <f t="shared" si="53"/>
        <v>210</v>
      </c>
      <c r="W34" s="206">
        <f t="shared" si="9"/>
        <v>4518.3870967741932</v>
      </c>
      <c r="X34" s="35">
        <f t="shared" si="54"/>
        <v>0.67741935483870974</v>
      </c>
      <c r="Y34" s="36">
        <f t="shared" si="55"/>
        <v>49702.258064516136</v>
      </c>
      <c r="Z34" s="206">
        <f>'B5'!C33</f>
        <v>216</v>
      </c>
      <c r="AA34" s="206">
        <f t="shared" si="30"/>
        <v>2160</v>
      </c>
      <c r="AB34" s="206">
        <f t="shared" si="56"/>
        <v>216</v>
      </c>
      <c r="AC34" s="206">
        <f t="shared" si="30"/>
        <v>2160</v>
      </c>
      <c r="AD34" s="206">
        <f t="shared" si="57"/>
        <v>216</v>
      </c>
      <c r="AE34" s="206">
        <f t="shared" si="11"/>
        <v>2160</v>
      </c>
      <c r="AF34" s="206">
        <f t="shared" si="58"/>
        <v>216</v>
      </c>
      <c r="AG34" s="206">
        <f t="shared" si="12"/>
        <v>2160</v>
      </c>
      <c r="AH34" s="206">
        <f t="shared" si="59"/>
        <v>216</v>
      </c>
      <c r="AI34" s="206">
        <f t="shared" si="13"/>
        <v>2160</v>
      </c>
      <c r="AJ34" s="206">
        <f t="shared" si="60"/>
        <v>216</v>
      </c>
      <c r="AK34" s="206">
        <f t="shared" si="14"/>
        <v>2160</v>
      </c>
      <c r="AL34" s="206">
        <f t="shared" si="61"/>
        <v>216</v>
      </c>
      <c r="AM34" s="206">
        <f t="shared" si="15"/>
        <v>2160</v>
      </c>
      <c r="AN34" s="35">
        <f t="shared" si="62"/>
        <v>0.77142857142857146</v>
      </c>
      <c r="AO34" s="36">
        <f t="shared" si="63"/>
        <v>15120</v>
      </c>
      <c r="AQ34" s="226">
        <f>SUM(AR34/92970)</f>
        <v>0.69723844320228179</v>
      </c>
      <c r="AR34" s="38">
        <f t="shared" si="41"/>
        <v>64822.258064516136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210</v>
      </c>
      <c r="C35" s="206">
        <f t="shared" si="18"/>
        <v>4518.3870967741932</v>
      </c>
      <c r="D35">
        <f t="shared" si="44"/>
        <v>210</v>
      </c>
      <c r="E35" s="206">
        <f t="shared" si="18"/>
        <v>4518.3870967741932</v>
      </c>
      <c r="F35">
        <f t="shared" si="45"/>
        <v>210</v>
      </c>
      <c r="G35" s="206">
        <f t="shared" si="1"/>
        <v>4518.3870967741932</v>
      </c>
      <c r="H35" s="206">
        <f t="shared" si="46"/>
        <v>210</v>
      </c>
      <c r="I35" s="206">
        <f t="shared" si="2"/>
        <v>4518.3870967741932</v>
      </c>
      <c r="J35" s="206">
        <f t="shared" si="47"/>
        <v>210</v>
      </c>
      <c r="K35" s="206">
        <f t="shared" si="3"/>
        <v>4518.3870967741932</v>
      </c>
      <c r="L35" s="206">
        <f t="shared" si="48"/>
        <v>210</v>
      </c>
      <c r="M35" s="206">
        <f t="shared" si="4"/>
        <v>4518.3870967741932</v>
      </c>
      <c r="N35" s="206">
        <f t="shared" si="49"/>
        <v>210</v>
      </c>
      <c r="O35" s="206">
        <f t="shared" si="5"/>
        <v>4518.3870967741932</v>
      </c>
      <c r="P35" s="206">
        <f t="shared" si="50"/>
        <v>210</v>
      </c>
      <c r="Q35" s="206">
        <f t="shared" si="6"/>
        <v>4518.3870967741932</v>
      </c>
      <c r="R35" s="206">
        <f t="shared" si="51"/>
        <v>210</v>
      </c>
      <c r="S35" s="206">
        <f t="shared" si="7"/>
        <v>4518.3870967741932</v>
      </c>
      <c r="T35" s="206">
        <f t="shared" si="52"/>
        <v>210</v>
      </c>
      <c r="U35" s="206">
        <f t="shared" si="8"/>
        <v>4518.3870967741932</v>
      </c>
      <c r="V35" s="206">
        <f t="shared" si="53"/>
        <v>210</v>
      </c>
      <c r="W35" s="206">
        <f t="shared" si="9"/>
        <v>4518.3870967741932</v>
      </c>
      <c r="X35" s="35">
        <f t="shared" si="54"/>
        <v>0.67741935483870974</v>
      </c>
      <c r="Y35" s="36">
        <f t="shared" si="55"/>
        <v>49702.258064516136</v>
      </c>
      <c r="Z35" s="206">
        <f>'B5'!C34</f>
        <v>216</v>
      </c>
      <c r="AA35" s="206">
        <f t="shared" si="30"/>
        <v>2160</v>
      </c>
      <c r="AB35" s="206">
        <f t="shared" si="56"/>
        <v>216</v>
      </c>
      <c r="AC35" s="206">
        <f t="shared" si="30"/>
        <v>2160</v>
      </c>
      <c r="AD35" s="206">
        <f t="shared" si="57"/>
        <v>216</v>
      </c>
      <c r="AE35" s="206">
        <f t="shared" si="11"/>
        <v>2160</v>
      </c>
      <c r="AF35" s="206">
        <f t="shared" si="58"/>
        <v>216</v>
      </c>
      <c r="AG35" s="206">
        <f t="shared" si="12"/>
        <v>2160</v>
      </c>
      <c r="AH35" s="206">
        <f t="shared" si="59"/>
        <v>216</v>
      </c>
      <c r="AI35" s="206">
        <f t="shared" si="13"/>
        <v>2160</v>
      </c>
      <c r="AJ35" s="206">
        <f t="shared" si="60"/>
        <v>216</v>
      </c>
      <c r="AK35" s="206">
        <f t="shared" si="14"/>
        <v>2160</v>
      </c>
      <c r="AL35" s="206">
        <f t="shared" si="61"/>
        <v>216</v>
      </c>
      <c r="AM35" s="206">
        <f t="shared" si="15"/>
        <v>2160</v>
      </c>
      <c r="AN35" s="35">
        <f t="shared" si="62"/>
        <v>0.77142857142857146</v>
      </c>
      <c r="AO35" s="36">
        <f t="shared" si="63"/>
        <v>15120</v>
      </c>
      <c r="AQ35" s="226">
        <f>SUM(AR35/92970)</f>
        <v>0.69723844320228179</v>
      </c>
      <c r="AR35" s="38">
        <f t="shared" si="41"/>
        <v>64822.258064516136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210</v>
      </c>
      <c r="C36" s="206">
        <f t="shared" ref="C36" si="64">B36*$B$4</f>
        <v>4518.3870967741932</v>
      </c>
      <c r="D36">
        <f t="shared" ref="D36" si="65">SUM(B36)</f>
        <v>210</v>
      </c>
      <c r="E36" s="206">
        <f t="shared" ref="E36" si="66">D36*$B$4</f>
        <v>4518.3870967741932</v>
      </c>
      <c r="F36">
        <f t="shared" ref="F36" si="67">SUM(D36)</f>
        <v>210</v>
      </c>
      <c r="G36" s="206">
        <f t="shared" ref="G36" si="68">F36*$B$4</f>
        <v>4518.3870967741932</v>
      </c>
      <c r="H36" s="206">
        <f t="shared" ref="H36" si="69">SUM(F36)</f>
        <v>210</v>
      </c>
      <c r="I36" s="206">
        <f t="shared" ref="I36" si="70">H36*$B$4</f>
        <v>4518.3870967741932</v>
      </c>
      <c r="J36" s="206">
        <f t="shared" ref="J36" si="71">SUM(H36)</f>
        <v>210</v>
      </c>
      <c r="K36" s="206">
        <f t="shared" ref="K36" si="72">J36*$B$4</f>
        <v>4518.3870967741932</v>
      </c>
      <c r="L36" s="206">
        <f t="shared" ref="L36" si="73">SUM(J36)</f>
        <v>210</v>
      </c>
      <c r="M36" s="206">
        <f t="shared" ref="M36" si="74">L36*$B$4</f>
        <v>4518.3870967741932</v>
      </c>
      <c r="N36" s="206">
        <f t="shared" ref="N36" si="75">SUM(L36)</f>
        <v>210</v>
      </c>
      <c r="O36" s="206">
        <f t="shared" ref="O36" si="76">N36*$B$4</f>
        <v>4518.3870967741932</v>
      </c>
      <c r="P36" s="206">
        <f t="shared" ref="P36" si="77">SUM(N36)</f>
        <v>210</v>
      </c>
      <c r="Q36" s="206">
        <f t="shared" ref="Q36" si="78">P36*$B$4</f>
        <v>4518.3870967741932</v>
      </c>
      <c r="R36" s="206">
        <f t="shared" ref="R36" si="79">SUM(P36)</f>
        <v>210</v>
      </c>
      <c r="S36" s="206">
        <f t="shared" ref="S36" si="80">R36*$B$4</f>
        <v>4518.3870967741932</v>
      </c>
      <c r="T36" s="206">
        <f t="shared" ref="T36" si="81">SUM(R36)</f>
        <v>210</v>
      </c>
      <c r="U36" s="206">
        <f t="shared" ref="U36" si="82">T36*$B$4</f>
        <v>4518.3870967741932</v>
      </c>
      <c r="V36" s="206">
        <f t="shared" ref="V36" si="83">SUM(T36)</f>
        <v>210</v>
      </c>
      <c r="W36" s="206">
        <f t="shared" ref="W36" si="84">V36*$B$4</f>
        <v>4518.3870967741932</v>
      </c>
      <c r="X36" s="35">
        <f t="shared" ref="X36" si="85">SUM(Y36/73370)</f>
        <v>0.67741935483870974</v>
      </c>
      <c r="Y36" s="36">
        <f t="shared" ref="Y36" si="86">SUM(C36+E36+G36+I36+K36+M36+O36+Q36+S36+U36+W36)</f>
        <v>49702.258064516136</v>
      </c>
      <c r="Z36" s="206">
        <f>'B5'!C35</f>
        <v>216</v>
      </c>
      <c r="AA36" s="206">
        <f t="shared" ref="AA36" si="87">SUM(Z36*$Z$4)</f>
        <v>2160</v>
      </c>
      <c r="AB36" s="206">
        <f t="shared" ref="AB36" si="88">SUM(Z36)</f>
        <v>216</v>
      </c>
      <c r="AC36" s="206">
        <f t="shared" ref="AC36" si="89">SUM(AB36*$Z$4)</f>
        <v>2160</v>
      </c>
      <c r="AD36" s="206">
        <f t="shared" ref="AD36" si="90">SUM(AB36)</f>
        <v>216</v>
      </c>
      <c r="AE36" s="206">
        <f t="shared" ref="AE36" si="91">SUM(AD36*$Z$4)</f>
        <v>2160</v>
      </c>
      <c r="AF36" s="206">
        <f t="shared" ref="AF36" si="92">SUM(AD36)</f>
        <v>216</v>
      </c>
      <c r="AG36" s="206">
        <f t="shared" ref="AG36" si="93">SUM(AF36*$Z$4)</f>
        <v>2160</v>
      </c>
      <c r="AH36" s="206">
        <f t="shared" ref="AH36" si="94">SUM(AF36)</f>
        <v>216</v>
      </c>
      <c r="AI36" s="206">
        <f t="shared" ref="AI36" si="95">SUM(AH36*$Z$4)</f>
        <v>2160</v>
      </c>
      <c r="AJ36" s="206">
        <f t="shared" ref="AJ36" si="96">SUM(AH36)</f>
        <v>216</v>
      </c>
      <c r="AK36" s="206">
        <f t="shared" ref="AK36" si="97">SUM(AJ36*$Z$4)</f>
        <v>2160</v>
      </c>
      <c r="AL36" s="206">
        <f t="shared" ref="AL36" si="98">SUM(AJ36)</f>
        <v>216</v>
      </c>
      <c r="AM36" s="206">
        <f t="shared" ref="AM36" si="99">SUM(AL36*$Z$4)</f>
        <v>2160</v>
      </c>
      <c r="AN36" s="35">
        <f t="shared" ref="AN36" si="100">SUM(AO36/19600)</f>
        <v>0.77142857142857146</v>
      </c>
      <c r="AO36" s="36">
        <f t="shared" ref="AO36" si="101">SUM(AA36+AC36+AE36+AG36+AI36+AK36+AM36)</f>
        <v>15120</v>
      </c>
      <c r="AQ36" s="226">
        <f>SUM(AR36/92970)</f>
        <v>0.69723844320228179</v>
      </c>
      <c r="AR36" s="38">
        <f t="shared" si="41"/>
        <v>64822.258064516136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0.141432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9</v>
      </c>
      <c r="AT37" s="206">
        <f>SUM(AT6:AT35)</f>
        <v>135679</v>
      </c>
      <c r="AU37">
        <f>SUM(AU6:AU35)/AS37</f>
        <v>0.51776666666666671</v>
      </c>
      <c r="AX37" s="206">
        <f>SUM(AX6:AX35)</f>
        <v>-104910.68064516128</v>
      </c>
      <c r="AY37" s="206">
        <f>SUM(AY6:AY35)</f>
        <v>-114281.58064516127</v>
      </c>
    </row>
    <row r="38" spans="1:60">
      <c r="AS38" s="209"/>
      <c r="AT38">
        <f>+AT37*AU37</f>
        <v>70250.063566666679</v>
      </c>
    </row>
    <row r="40" spans="1:60">
      <c r="AS40" s="165">
        <f>SUM(AS6:AS35)/'EDl log'!A37</f>
        <v>-4761.7325268817194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14" activePane="bottomLeft" state="frozen"/>
      <selection pane="bottomLeft" activeCell="AF27" sqref="AF2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4">
        <v>8789</v>
      </c>
      <c r="C3" s="295">
        <f>B3-B2</f>
        <v>12</v>
      </c>
      <c r="D3" s="575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5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11260</v>
      </c>
      <c r="S3" s="295">
        <f t="shared" ref="S3:S32" si="5">R3-R2</f>
        <v>8</v>
      </c>
      <c r="T3" s="575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20</v>
      </c>
      <c r="AA3" s="295">
        <f>U3+M3+E3</f>
        <v>1733</v>
      </c>
      <c r="AB3" s="295">
        <f>V3+N3+F3</f>
        <v>144.41666666666666</v>
      </c>
      <c r="AC3" s="295">
        <f>IF(Z3&gt;0,AA3/Z3,0)</f>
        <v>86.65</v>
      </c>
      <c r="AD3" s="73">
        <f>ELEC!Q3</f>
        <v>14000</v>
      </c>
      <c r="AE3" s="73">
        <f>SUM(AD3/Z3)</f>
        <v>700</v>
      </c>
      <c r="AF3" s="413">
        <f>SUM(AE3/1600)</f>
        <v>0.4375</v>
      </c>
      <c r="AG3" s="414">
        <f>SUM(360*AF3)</f>
        <v>157.5</v>
      </c>
      <c r="AH3" s="414">
        <f>SUM(AC3-AG3)</f>
        <v>-70.849999999999994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180.16877637130804</v>
      </c>
    </row>
    <row r="4" spans="1:37" ht="15.75" thickBot="1">
      <c r="A4" s="4">
        <f>ELEC!C4</f>
        <v>44014</v>
      </c>
      <c r="B4" s="574">
        <v>8789</v>
      </c>
      <c r="C4" s="295">
        <f t="shared" ref="C4:C32" si="11">B4-B3</f>
        <v>0</v>
      </c>
      <c r="D4" s="575">
        <v>172771</v>
      </c>
      <c r="E4" s="295">
        <f t="shared" ref="E4:E32" si="12">SUM(D4-D3)</f>
        <v>1</v>
      </c>
      <c r="F4" s="295">
        <f t="shared" si="0"/>
        <v>0</v>
      </c>
      <c r="G4" s="199"/>
      <c r="H4" s="296">
        <f t="shared" ref="H4:H23" si="13">H3</f>
        <v>8770</v>
      </c>
      <c r="I4" s="295" t="str">
        <f t="shared" si="1"/>
        <v>oil change</v>
      </c>
      <c r="J4" s="276">
        <f t="shared" ref="J4:J33" si="14">J3</f>
        <v>10698</v>
      </c>
      <c r="K4" s="295">
        <f t="shared" si="2"/>
        <v>0</v>
      </c>
      <c r="L4" s="575">
        <f t="shared" ref="L4:L33" si="15">L3</f>
        <v>238499</v>
      </c>
      <c r="M4" s="295">
        <f t="shared" si="3"/>
        <v>0</v>
      </c>
      <c r="N4" s="295">
        <f t="shared" ref="N4:N32" si="16">IF(K4&gt;0,M4/K4,0)</f>
        <v>0</v>
      </c>
      <c r="O4" s="199"/>
      <c r="P4" s="296">
        <f t="shared" ref="P4:P33" si="17">P3</f>
        <v>10873</v>
      </c>
      <c r="Q4" s="295" t="str">
        <f t="shared" si="4"/>
        <v>ok</v>
      </c>
      <c r="R4" s="276">
        <v>11276</v>
      </c>
      <c r="S4" s="295">
        <f t="shared" si="5"/>
        <v>16</v>
      </c>
      <c r="T4" s="575">
        <v>269562</v>
      </c>
      <c r="U4" s="295">
        <f t="shared" si="6"/>
        <v>4734</v>
      </c>
      <c r="V4" s="295">
        <f t="shared" ref="V4:V32" si="18">IF(S4&gt;0,U4/S4,0)</f>
        <v>295.875</v>
      </c>
      <c r="W4" s="199"/>
      <c r="X4" s="296">
        <f t="shared" ref="X4:X33" si="19">X3</f>
        <v>12069</v>
      </c>
      <c r="Y4" s="295" t="str">
        <f t="shared" si="7"/>
        <v>ok</v>
      </c>
      <c r="Z4" s="295">
        <f>C4+K4+S4</f>
        <v>16</v>
      </c>
      <c r="AA4" s="295">
        <f t="shared" ref="AA4:AA32" si="20">U4+M4+E4</f>
        <v>4735</v>
      </c>
      <c r="AB4" s="295">
        <f t="shared" ref="AB4:AB32" si="21">V4+N4+F4</f>
        <v>295.875</v>
      </c>
      <c r="AC4" s="295">
        <f t="shared" ref="AC4:AC32" si="22">IF(Z4&gt;0,AA4/Z4,0)</f>
        <v>295.9375</v>
      </c>
      <c r="AD4" s="73">
        <f>ELEC!Q4</f>
        <v>13000</v>
      </c>
      <c r="AE4" s="73">
        <f>SUM(AD4/Z4)</f>
        <v>812.5</v>
      </c>
      <c r="AF4" s="413">
        <f>SUM(AE4/1600)</f>
        <v>0.5078125</v>
      </c>
      <c r="AG4" s="414">
        <f>SUM(360*AF4)</f>
        <v>182.8125</v>
      </c>
      <c r="AH4" s="414">
        <f t="shared" ref="AH4:AH32" si="23">SUM(AC4-AG4)</f>
        <v>113.125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209.12447257383968</v>
      </c>
    </row>
    <row r="5" spans="1:37" ht="15.75" thickBot="1">
      <c r="A5" s="4">
        <f>ELEC!C5</f>
        <v>44015</v>
      </c>
      <c r="B5" s="574">
        <v>8806</v>
      </c>
      <c r="C5" s="295">
        <f t="shared" si="11"/>
        <v>17</v>
      </c>
      <c r="D5" s="575">
        <v>175464</v>
      </c>
      <c r="E5" s="295">
        <f t="shared" si="12"/>
        <v>2693</v>
      </c>
      <c r="F5" s="295">
        <f t="shared" si="0"/>
        <v>158.41176470588235</v>
      </c>
      <c r="G5" s="293"/>
      <c r="H5" s="296">
        <f>H4</f>
        <v>8770</v>
      </c>
      <c r="I5" s="295" t="str">
        <f t="shared" si="1"/>
        <v>oil change</v>
      </c>
      <c r="J5" s="276">
        <f t="shared" si="14"/>
        <v>10698</v>
      </c>
      <c r="K5" s="295">
        <f t="shared" si="2"/>
        <v>0</v>
      </c>
      <c r="L5" s="575">
        <f t="shared" si="15"/>
        <v>238499</v>
      </c>
      <c r="M5" s="295">
        <f t="shared" si="3"/>
        <v>0</v>
      </c>
      <c r="N5" s="295">
        <f t="shared" si="16"/>
        <v>0</v>
      </c>
      <c r="O5" s="199"/>
      <c r="P5" s="296">
        <f>P4</f>
        <v>10873</v>
      </c>
      <c r="Q5" s="295" t="str">
        <f t="shared" si="4"/>
        <v>ok</v>
      </c>
      <c r="R5" s="276">
        <v>11277</v>
      </c>
      <c r="S5" s="295">
        <f t="shared" si="5"/>
        <v>1</v>
      </c>
      <c r="T5" s="575">
        <v>269762</v>
      </c>
      <c r="U5" s="295">
        <f t="shared" si="6"/>
        <v>200</v>
      </c>
      <c r="V5" s="295">
        <f>IF(S5&gt;0,U5/S5,0)</f>
        <v>200</v>
      </c>
      <c r="W5" s="199"/>
      <c r="X5" s="296">
        <f t="shared" si="19"/>
        <v>12069</v>
      </c>
      <c r="Y5" s="295" t="str">
        <f t="shared" si="7"/>
        <v>ok</v>
      </c>
      <c r="Z5" s="295">
        <f t="shared" si="8"/>
        <v>18</v>
      </c>
      <c r="AA5" s="295">
        <f t="shared" si="20"/>
        <v>2893</v>
      </c>
      <c r="AB5" s="295">
        <f t="shared" si="21"/>
        <v>358.41176470588232</v>
      </c>
      <c r="AC5" s="295">
        <f t="shared" si="22"/>
        <v>160.72222222222223</v>
      </c>
      <c r="AD5" s="73">
        <f>ELEC!Q5</f>
        <v>14000</v>
      </c>
      <c r="AE5" s="73">
        <f t="shared" ref="AE5:AE32" si="24">SUM(AD5/Z5)</f>
        <v>777.77777777777783</v>
      </c>
      <c r="AF5" s="413">
        <f t="shared" ref="AF5:AF32" si="25">SUM(AE5/1600)</f>
        <v>0.48611111111111116</v>
      </c>
      <c r="AG5" s="414">
        <f t="shared" ref="AG5:AG32" si="26">SUM(320*AF5)</f>
        <v>155.55555555555557</v>
      </c>
      <c r="AH5" s="414">
        <f t="shared" si="23"/>
        <v>5.1666666666666572</v>
      </c>
      <c r="AI5" s="73">
        <f t="shared" ref="AI5:AI32" si="27">AD5*AJ5</f>
        <v>3603.3755274261607</v>
      </c>
      <c r="AJ5" s="297">
        <f t="shared" si="9"/>
        <v>0.25738396624472576</v>
      </c>
      <c r="AK5" s="297">
        <f t="shared" si="10"/>
        <v>200.18752930145337</v>
      </c>
    </row>
    <row r="6" spans="1:37" ht="15.75" thickBot="1">
      <c r="A6" s="4">
        <f>ELEC!C6</f>
        <v>44016</v>
      </c>
      <c r="B6" s="574">
        <v>8814</v>
      </c>
      <c r="C6" s="295">
        <f t="shared" si="11"/>
        <v>8</v>
      </c>
      <c r="D6" s="575">
        <v>176540</v>
      </c>
      <c r="E6" s="295">
        <f t="shared" si="12"/>
        <v>1076</v>
      </c>
      <c r="F6" s="295">
        <f t="shared" si="0"/>
        <v>134.5</v>
      </c>
      <c r="G6" s="199"/>
      <c r="H6" s="296">
        <f t="shared" si="13"/>
        <v>8770</v>
      </c>
      <c r="I6" s="295" t="str">
        <f t="shared" si="1"/>
        <v>oil change</v>
      </c>
      <c r="J6" s="276">
        <f t="shared" si="14"/>
        <v>10698</v>
      </c>
      <c r="K6" s="295">
        <f t="shared" si="2"/>
        <v>0</v>
      </c>
      <c r="L6" s="575">
        <f t="shared" si="15"/>
        <v>238499</v>
      </c>
      <c r="M6" s="295">
        <f t="shared" si="3"/>
        <v>0</v>
      </c>
      <c r="N6" s="295">
        <f t="shared" si="16"/>
        <v>0</v>
      </c>
      <c r="O6" s="315"/>
      <c r="P6" s="296">
        <f t="shared" si="17"/>
        <v>10873</v>
      </c>
      <c r="Q6" s="295" t="str">
        <f t="shared" si="4"/>
        <v>ok</v>
      </c>
      <c r="R6" s="276">
        <v>11290</v>
      </c>
      <c r="S6" s="295">
        <f t="shared" si="5"/>
        <v>13</v>
      </c>
      <c r="T6" s="575">
        <v>272338</v>
      </c>
      <c r="U6" s="295">
        <f t="shared" si="6"/>
        <v>2576</v>
      </c>
      <c r="V6" s="295">
        <f t="shared" si="18"/>
        <v>198.15384615384616</v>
      </c>
      <c r="W6" s="315"/>
      <c r="X6" s="296">
        <f t="shared" si="19"/>
        <v>12069</v>
      </c>
      <c r="Y6" s="295" t="str">
        <f t="shared" si="7"/>
        <v>ok</v>
      </c>
      <c r="Z6" s="295">
        <f t="shared" si="8"/>
        <v>21</v>
      </c>
      <c r="AA6" s="295">
        <f t="shared" si="20"/>
        <v>3652</v>
      </c>
      <c r="AB6" s="295">
        <f t="shared" si="21"/>
        <v>332.65384615384619</v>
      </c>
      <c r="AC6" s="295">
        <f t="shared" si="22"/>
        <v>173.9047619047619</v>
      </c>
      <c r="AD6" s="73">
        <f>ELEC!Q6</f>
        <v>16000</v>
      </c>
      <c r="AE6" s="73">
        <f>SUM(AD6/Z6)</f>
        <v>761.90476190476193</v>
      </c>
      <c r="AF6" s="413">
        <f t="shared" si="25"/>
        <v>0.47619047619047622</v>
      </c>
      <c r="AG6" s="414">
        <f>SUM(320*AF6)</f>
        <v>152.38095238095238</v>
      </c>
      <c r="AH6" s="414">
        <f t="shared" si="23"/>
        <v>21.523809523809518</v>
      </c>
      <c r="AI6" s="73">
        <f t="shared" si="27"/>
        <v>4118.1434599156119</v>
      </c>
      <c r="AJ6" s="297">
        <f t="shared" si="9"/>
        <v>0.25738396624472576</v>
      </c>
      <c r="AK6" s="297">
        <f t="shared" si="10"/>
        <v>196.10206951979103</v>
      </c>
    </row>
    <row r="7" spans="1:37" ht="15.75" thickBot="1">
      <c r="A7" s="4">
        <f>ELEC!C7</f>
        <v>44017</v>
      </c>
      <c r="B7" s="574">
        <v>8814</v>
      </c>
      <c r="C7" s="295">
        <f t="shared" si="11"/>
        <v>0</v>
      </c>
      <c r="D7" s="575">
        <v>176540</v>
      </c>
      <c r="E7" s="295">
        <f t="shared" si="12"/>
        <v>0</v>
      </c>
      <c r="F7" s="295">
        <f t="shared" si="0"/>
        <v>0</v>
      </c>
      <c r="G7" s="199"/>
      <c r="H7" s="296">
        <f t="shared" si="13"/>
        <v>8770</v>
      </c>
      <c r="I7" s="295" t="str">
        <f t="shared" si="1"/>
        <v>oil change</v>
      </c>
      <c r="J7" s="276">
        <f t="shared" si="14"/>
        <v>10698</v>
      </c>
      <c r="K7" s="295">
        <f t="shared" si="2"/>
        <v>0</v>
      </c>
      <c r="L7" s="575">
        <f t="shared" si="15"/>
        <v>238499</v>
      </c>
      <c r="M7" s="295">
        <f t="shared" si="3"/>
        <v>0</v>
      </c>
      <c r="N7" s="295">
        <f t="shared" si="16"/>
        <v>0</v>
      </c>
      <c r="O7" s="315"/>
      <c r="P7" s="296">
        <f t="shared" si="17"/>
        <v>10873</v>
      </c>
      <c r="Q7" s="295" t="str">
        <f t="shared" si="4"/>
        <v>ok</v>
      </c>
      <c r="R7" s="276">
        <v>11308</v>
      </c>
      <c r="S7" s="295">
        <f t="shared" si="5"/>
        <v>18</v>
      </c>
      <c r="T7" s="575">
        <v>276502</v>
      </c>
      <c r="U7" s="295">
        <f t="shared" si="6"/>
        <v>4164</v>
      </c>
      <c r="V7" s="295">
        <f t="shared" si="18"/>
        <v>231.33333333333334</v>
      </c>
      <c r="W7" s="199"/>
      <c r="X7" s="296">
        <f t="shared" si="19"/>
        <v>12069</v>
      </c>
      <c r="Y7" s="295" t="str">
        <f t="shared" si="7"/>
        <v>ok</v>
      </c>
      <c r="Z7" s="295">
        <f t="shared" si="8"/>
        <v>18</v>
      </c>
      <c r="AA7" s="295">
        <f>U7+M7+E7</f>
        <v>4164</v>
      </c>
      <c r="AB7" s="295">
        <f t="shared" si="21"/>
        <v>231.33333333333334</v>
      </c>
      <c r="AC7" s="295">
        <f t="shared" si="22"/>
        <v>231.33333333333334</v>
      </c>
      <c r="AD7" s="73">
        <f>ELEC!Q7</f>
        <v>15000</v>
      </c>
      <c r="AE7" s="73">
        <f t="shared" si="24"/>
        <v>833.33333333333337</v>
      </c>
      <c r="AF7" s="413">
        <f t="shared" si="25"/>
        <v>0.52083333333333337</v>
      </c>
      <c r="AG7" s="519" t="s">
        <v>406</v>
      </c>
      <c r="AH7" s="414" t="e">
        <f t="shared" si="23"/>
        <v>#VALUE!</v>
      </c>
      <c r="AI7" s="73">
        <f t="shared" si="27"/>
        <v>3860.7594936708865</v>
      </c>
      <c r="AJ7" s="297">
        <f t="shared" si="9"/>
        <v>0.25738396624472576</v>
      </c>
      <c r="AK7" s="297">
        <f t="shared" si="10"/>
        <v>214.48663853727146</v>
      </c>
    </row>
    <row r="8" spans="1:37" ht="15.75" thickBot="1">
      <c r="A8" s="4">
        <f>ELEC!C8</f>
        <v>44018</v>
      </c>
      <c r="B8" s="574">
        <v>8814</v>
      </c>
      <c r="C8" s="295">
        <f t="shared" si="11"/>
        <v>0</v>
      </c>
      <c r="D8" s="575">
        <v>176540</v>
      </c>
      <c r="E8" s="295">
        <f t="shared" si="12"/>
        <v>0</v>
      </c>
      <c r="F8" s="295">
        <f t="shared" si="0"/>
        <v>0</v>
      </c>
      <c r="G8" s="199"/>
      <c r="H8" s="296">
        <f t="shared" si="13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5">
        <v>238500</v>
      </c>
      <c r="M8" s="295">
        <f t="shared" si="3"/>
        <v>1</v>
      </c>
      <c r="N8" s="295">
        <f t="shared" si="16"/>
        <v>0</v>
      </c>
      <c r="O8" s="199"/>
      <c r="P8" s="296">
        <f t="shared" si="17"/>
        <v>10873</v>
      </c>
      <c r="Q8" s="295" t="str">
        <f t="shared" si="4"/>
        <v>ok</v>
      </c>
      <c r="R8" s="276">
        <v>11329</v>
      </c>
      <c r="S8" s="295">
        <f t="shared" si="5"/>
        <v>21</v>
      </c>
      <c r="T8" s="575">
        <v>280205</v>
      </c>
      <c r="U8" s="295">
        <f t="shared" si="6"/>
        <v>3703</v>
      </c>
      <c r="V8" s="295">
        <f t="shared" si="18"/>
        <v>176.33333333333334</v>
      </c>
      <c r="W8" s="199"/>
      <c r="X8" s="296">
        <f t="shared" si="19"/>
        <v>12069</v>
      </c>
      <c r="Y8" s="295" t="str">
        <f t="shared" si="7"/>
        <v>ok</v>
      </c>
      <c r="Z8" s="295">
        <f t="shared" si="8"/>
        <v>21</v>
      </c>
      <c r="AA8" s="295">
        <f t="shared" si="20"/>
        <v>3704</v>
      </c>
      <c r="AB8" s="295">
        <f t="shared" si="21"/>
        <v>176.33333333333334</v>
      </c>
      <c r="AC8" s="295">
        <f t="shared" si="22"/>
        <v>176.38095238095238</v>
      </c>
      <c r="AD8" s="73">
        <f>ELEC!Q8</f>
        <v>18000</v>
      </c>
      <c r="AE8" s="73">
        <f t="shared" si="24"/>
        <v>857.14285714285711</v>
      </c>
      <c r="AF8" s="413">
        <f t="shared" si="25"/>
        <v>0.5357142857142857</v>
      </c>
      <c r="AG8" s="414">
        <f t="shared" si="26"/>
        <v>171.42857142857142</v>
      </c>
      <c r="AH8" s="414">
        <f t="shared" si="23"/>
        <v>4.9523809523809632</v>
      </c>
      <c r="AI8" s="73">
        <f t="shared" si="27"/>
        <v>4632.9113924050635</v>
      </c>
      <c r="AJ8" s="297">
        <f t="shared" si="9"/>
        <v>0.25738396624472576</v>
      </c>
      <c r="AK8" s="297">
        <f t="shared" si="10"/>
        <v>220.61482820976494</v>
      </c>
    </row>
    <row r="9" spans="1:37" ht="15.75" thickBot="1">
      <c r="A9" s="4">
        <f>ELEC!C9</f>
        <v>44019</v>
      </c>
      <c r="B9" s="574">
        <v>8814</v>
      </c>
      <c r="C9" s="295">
        <f t="shared" si="11"/>
        <v>0</v>
      </c>
      <c r="D9" s="575">
        <v>176540</v>
      </c>
      <c r="E9" s="295">
        <f t="shared" si="12"/>
        <v>0</v>
      </c>
      <c r="F9" s="295">
        <f t="shared" si="0"/>
        <v>0</v>
      </c>
      <c r="G9" s="199"/>
      <c r="H9" s="296">
        <f t="shared" si="13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5">
        <f t="shared" si="15"/>
        <v>238500</v>
      </c>
      <c r="M9" s="295">
        <f t="shared" si="3"/>
        <v>0</v>
      </c>
      <c r="N9" s="295">
        <f t="shared" si="16"/>
        <v>0</v>
      </c>
      <c r="O9" s="199"/>
      <c r="P9" s="296">
        <f t="shared" si="17"/>
        <v>10873</v>
      </c>
      <c r="Q9" s="295" t="str">
        <f t="shared" si="4"/>
        <v>ok</v>
      </c>
      <c r="R9" s="276">
        <v>11347</v>
      </c>
      <c r="S9" s="295">
        <f t="shared" si="5"/>
        <v>18</v>
      </c>
      <c r="T9" s="575">
        <v>283947</v>
      </c>
      <c r="U9" s="295">
        <f t="shared" si="6"/>
        <v>3742</v>
      </c>
      <c r="V9" s="295">
        <f t="shared" si="18"/>
        <v>207.88888888888889</v>
      </c>
      <c r="W9" s="199"/>
      <c r="X9" s="296">
        <f t="shared" si="19"/>
        <v>12069</v>
      </c>
      <c r="Y9" s="295" t="str">
        <f t="shared" si="7"/>
        <v>ok</v>
      </c>
      <c r="Z9" s="295">
        <f t="shared" si="8"/>
        <v>18</v>
      </c>
      <c r="AA9" s="295">
        <f t="shared" si="20"/>
        <v>3742</v>
      </c>
      <c r="AB9" s="295">
        <f t="shared" si="21"/>
        <v>207.88888888888889</v>
      </c>
      <c r="AC9" s="295">
        <f t="shared" si="22"/>
        <v>207.88888888888889</v>
      </c>
      <c r="AD9" s="73">
        <f>ELEC!Q9</f>
        <v>15000</v>
      </c>
      <c r="AE9" s="73">
        <f t="shared" si="24"/>
        <v>833.33333333333337</v>
      </c>
      <c r="AF9" s="413">
        <f t="shared" si="25"/>
        <v>0.52083333333333337</v>
      </c>
      <c r="AG9" s="414">
        <f t="shared" si="26"/>
        <v>166.66666666666669</v>
      </c>
      <c r="AH9" s="414">
        <f t="shared" si="23"/>
        <v>41.2222222222222</v>
      </c>
      <c r="AI9" s="73">
        <f t="shared" si="27"/>
        <v>3860.7594936708865</v>
      </c>
      <c r="AJ9" s="297">
        <v>0.25738396624472576</v>
      </c>
      <c r="AK9" s="297">
        <f t="shared" ref="AK9:AK16" si="28">IF(Z9&gt;0,AI9/Z9,0)</f>
        <v>214.48663853727146</v>
      </c>
    </row>
    <row r="10" spans="1:37" ht="15.75" thickBot="1">
      <c r="A10" s="4">
        <f>ELEC!C10</f>
        <v>44020</v>
      </c>
      <c r="B10" s="574">
        <v>8816</v>
      </c>
      <c r="C10" s="295">
        <f t="shared" si="11"/>
        <v>2</v>
      </c>
      <c r="D10" s="575">
        <v>177318</v>
      </c>
      <c r="E10" s="295">
        <f t="shared" si="12"/>
        <v>778</v>
      </c>
      <c r="F10" s="295">
        <f t="shared" si="0"/>
        <v>389</v>
      </c>
      <c r="G10" s="199"/>
      <c r="H10" s="296">
        <f t="shared" si="13"/>
        <v>8770</v>
      </c>
      <c r="I10" s="295" t="str">
        <f t="shared" si="1"/>
        <v>oil change</v>
      </c>
      <c r="J10" s="276">
        <v>10698</v>
      </c>
      <c r="K10" s="295">
        <f t="shared" si="2"/>
        <v>0</v>
      </c>
      <c r="L10" s="575">
        <v>238500</v>
      </c>
      <c r="M10" s="295">
        <f t="shared" si="3"/>
        <v>0</v>
      </c>
      <c r="N10" s="295">
        <f t="shared" si="16"/>
        <v>0</v>
      </c>
      <c r="O10" s="199"/>
      <c r="P10" s="296">
        <v>10873</v>
      </c>
      <c r="Q10" s="295" t="str">
        <f t="shared" si="4"/>
        <v>ok</v>
      </c>
      <c r="R10" s="276">
        <v>11369</v>
      </c>
      <c r="S10" s="295">
        <f t="shared" si="5"/>
        <v>22</v>
      </c>
      <c r="T10" s="575">
        <v>287489</v>
      </c>
      <c r="U10" s="295">
        <f t="shared" si="6"/>
        <v>3542</v>
      </c>
      <c r="V10" s="295">
        <f t="shared" si="18"/>
        <v>161</v>
      </c>
      <c r="W10" s="199"/>
      <c r="X10" s="296">
        <f t="shared" si="19"/>
        <v>12069</v>
      </c>
      <c r="Y10" s="295" t="str">
        <f t="shared" si="7"/>
        <v>ok</v>
      </c>
      <c r="Z10" s="295">
        <f t="shared" si="8"/>
        <v>24</v>
      </c>
      <c r="AA10" s="295">
        <f t="shared" si="20"/>
        <v>4320</v>
      </c>
      <c r="AB10" s="295">
        <f t="shared" si="21"/>
        <v>550</v>
      </c>
      <c r="AC10" s="295">
        <f t="shared" si="22"/>
        <v>180</v>
      </c>
      <c r="AD10" s="73">
        <f>ELEC!Q10</f>
        <v>15000</v>
      </c>
      <c r="AE10" s="73">
        <f t="shared" si="24"/>
        <v>625</v>
      </c>
      <c r="AF10" s="413">
        <f t="shared" si="25"/>
        <v>0.390625</v>
      </c>
      <c r="AG10" s="414">
        <f t="shared" si="26"/>
        <v>125</v>
      </c>
      <c r="AH10" s="414">
        <f t="shared" si="23"/>
        <v>55</v>
      </c>
      <c r="AI10" s="73">
        <f t="shared" si="27"/>
        <v>3860.7594936708865</v>
      </c>
      <c r="AJ10" s="297">
        <f t="shared" si="9"/>
        <v>0.25738396624472576</v>
      </c>
      <c r="AK10" s="297">
        <f t="shared" si="28"/>
        <v>160.8649789029536</v>
      </c>
    </row>
    <row r="11" spans="1:37" ht="15.75" thickBot="1">
      <c r="A11" s="4">
        <f>ELEC!C11</f>
        <v>44021</v>
      </c>
      <c r="B11" s="574">
        <v>8828</v>
      </c>
      <c r="C11" s="295">
        <f t="shared" si="11"/>
        <v>12</v>
      </c>
      <c r="D11" s="575">
        <v>178121</v>
      </c>
      <c r="E11" s="295">
        <f t="shared" si="12"/>
        <v>803</v>
      </c>
      <c r="F11" s="295">
        <f t="shared" si="0"/>
        <v>66.916666666666671</v>
      </c>
      <c r="G11" s="199"/>
      <c r="H11" s="296">
        <f t="shared" si="13"/>
        <v>8770</v>
      </c>
      <c r="I11" s="295" t="str">
        <f t="shared" si="1"/>
        <v>oil change</v>
      </c>
      <c r="J11" s="276">
        <v>10698</v>
      </c>
      <c r="K11" s="295">
        <f t="shared" si="2"/>
        <v>0</v>
      </c>
      <c r="L11" s="575">
        <v>238500</v>
      </c>
      <c r="M11" s="295">
        <f t="shared" si="3"/>
        <v>0</v>
      </c>
      <c r="N11" s="295">
        <f t="shared" si="16"/>
        <v>0</v>
      </c>
      <c r="O11" s="199"/>
      <c r="P11" s="296">
        <f t="shared" si="17"/>
        <v>10873</v>
      </c>
      <c r="Q11" s="295" t="str">
        <f t="shared" si="4"/>
        <v>ok</v>
      </c>
      <c r="R11" s="276">
        <v>11375</v>
      </c>
      <c r="S11" s="295">
        <f t="shared" si="5"/>
        <v>6</v>
      </c>
      <c r="T11" s="575">
        <v>289463</v>
      </c>
      <c r="U11" s="295">
        <f t="shared" si="6"/>
        <v>1974</v>
      </c>
      <c r="V11" s="295">
        <f t="shared" si="18"/>
        <v>329</v>
      </c>
      <c r="W11" s="199"/>
      <c r="X11" s="296">
        <f t="shared" si="19"/>
        <v>12069</v>
      </c>
      <c r="Y11" s="295" t="str">
        <f t="shared" si="7"/>
        <v>ok</v>
      </c>
      <c r="Z11" s="295">
        <f t="shared" si="8"/>
        <v>18</v>
      </c>
      <c r="AA11" s="295">
        <f t="shared" si="20"/>
        <v>2777</v>
      </c>
      <c r="AB11" s="295">
        <f t="shared" si="21"/>
        <v>395.91666666666669</v>
      </c>
      <c r="AC11" s="295">
        <f t="shared" si="22"/>
        <v>154.27777777777777</v>
      </c>
      <c r="AD11" s="73">
        <f>ELEC!Q11</f>
        <v>20000</v>
      </c>
      <c r="AE11" s="73">
        <f t="shared" si="24"/>
        <v>1111.1111111111111</v>
      </c>
      <c r="AF11" s="413">
        <f t="shared" si="25"/>
        <v>0.69444444444444442</v>
      </c>
      <c r="AG11" s="414">
        <f t="shared" si="26"/>
        <v>222.22222222222223</v>
      </c>
      <c r="AH11" s="414">
        <f t="shared" si="23"/>
        <v>-67.944444444444457</v>
      </c>
      <c r="AI11" s="73">
        <f t="shared" si="27"/>
        <v>5147.679324894515</v>
      </c>
      <c r="AJ11" s="297">
        <f t="shared" si="9"/>
        <v>0.25738396624472576</v>
      </c>
      <c r="AK11" s="297">
        <f t="shared" si="28"/>
        <v>285.98218471636193</v>
      </c>
    </row>
    <row r="12" spans="1:37" ht="15.75" thickBot="1">
      <c r="A12" s="4">
        <f>ELEC!C12</f>
        <v>44022</v>
      </c>
      <c r="B12" s="574">
        <v>8830</v>
      </c>
      <c r="C12" s="295">
        <f t="shared" si="11"/>
        <v>2</v>
      </c>
      <c r="D12" s="575">
        <v>178272</v>
      </c>
      <c r="E12" s="295">
        <f t="shared" si="12"/>
        <v>151</v>
      </c>
      <c r="F12" s="295">
        <f t="shared" si="0"/>
        <v>75.5</v>
      </c>
      <c r="G12" s="199"/>
      <c r="H12" s="296">
        <f t="shared" si="13"/>
        <v>8770</v>
      </c>
      <c r="I12" s="295" t="str">
        <f t="shared" si="1"/>
        <v>oil change</v>
      </c>
      <c r="J12" s="276">
        <f t="shared" si="14"/>
        <v>10698</v>
      </c>
      <c r="K12" s="295">
        <f t="shared" si="2"/>
        <v>0</v>
      </c>
      <c r="L12" s="575">
        <f t="shared" si="15"/>
        <v>238500</v>
      </c>
      <c r="M12" s="295">
        <f t="shared" si="3"/>
        <v>0</v>
      </c>
      <c r="N12" s="295">
        <f t="shared" si="16"/>
        <v>0</v>
      </c>
      <c r="O12" s="199"/>
      <c r="P12" s="296">
        <f t="shared" si="17"/>
        <v>10873</v>
      </c>
      <c r="Q12" s="295" t="str">
        <f t="shared" si="4"/>
        <v>ok</v>
      </c>
      <c r="R12" s="276">
        <v>11394</v>
      </c>
      <c r="S12" s="295">
        <f t="shared" si="5"/>
        <v>19</v>
      </c>
      <c r="T12" s="575">
        <v>292548</v>
      </c>
      <c r="U12" s="295">
        <f t="shared" si="6"/>
        <v>3085</v>
      </c>
      <c r="V12" s="295">
        <f t="shared" si="18"/>
        <v>162.36842105263159</v>
      </c>
      <c r="W12" s="199"/>
      <c r="X12" s="296">
        <f t="shared" si="19"/>
        <v>12069</v>
      </c>
      <c r="Y12" s="295" t="str">
        <f t="shared" si="7"/>
        <v>ok</v>
      </c>
      <c r="Z12" s="295">
        <f t="shared" si="8"/>
        <v>21</v>
      </c>
      <c r="AA12" s="295">
        <f t="shared" si="20"/>
        <v>3236</v>
      </c>
      <c r="AB12" s="295">
        <f t="shared" si="21"/>
        <v>237.86842105263159</v>
      </c>
      <c r="AC12" s="295">
        <f t="shared" si="22"/>
        <v>154.0952380952381</v>
      </c>
      <c r="AD12" s="73">
        <f>ELEC!Q12</f>
        <v>17000</v>
      </c>
      <c r="AE12" s="73">
        <f t="shared" si="24"/>
        <v>809.52380952380952</v>
      </c>
      <c r="AF12" s="413">
        <f t="shared" si="25"/>
        <v>0.50595238095238093</v>
      </c>
      <c r="AG12" s="414">
        <f t="shared" si="26"/>
        <v>161.9047619047619</v>
      </c>
      <c r="AH12" s="414">
        <f t="shared" si="23"/>
        <v>-7.809523809523796</v>
      </c>
      <c r="AI12" s="73">
        <f t="shared" si="27"/>
        <v>4375.5274261603381</v>
      </c>
      <c r="AJ12" s="297">
        <f t="shared" si="9"/>
        <v>0.25738396624472576</v>
      </c>
      <c r="AK12" s="297">
        <f t="shared" si="28"/>
        <v>208.35844886477801</v>
      </c>
    </row>
    <row r="13" spans="1:37" ht="15.75" thickBot="1">
      <c r="A13" s="4">
        <f>ELEC!C13</f>
        <v>44023</v>
      </c>
      <c r="B13" s="574">
        <v>8834</v>
      </c>
      <c r="C13" s="295">
        <f t="shared" si="11"/>
        <v>4</v>
      </c>
      <c r="D13" s="575">
        <v>179136</v>
      </c>
      <c r="E13" s="295">
        <f t="shared" si="12"/>
        <v>864</v>
      </c>
      <c r="F13" s="295">
        <f t="shared" si="0"/>
        <v>216</v>
      </c>
      <c r="G13" s="199"/>
      <c r="H13" s="296">
        <f t="shared" si="13"/>
        <v>8770</v>
      </c>
      <c r="I13" s="295" t="str">
        <f t="shared" si="1"/>
        <v>oil change</v>
      </c>
      <c r="J13" s="276">
        <f t="shared" si="14"/>
        <v>10698</v>
      </c>
      <c r="K13" s="295">
        <f t="shared" si="2"/>
        <v>0</v>
      </c>
      <c r="L13" s="575">
        <f t="shared" si="15"/>
        <v>238500</v>
      </c>
      <c r="M13" s="295">
        <f t="shared" si="3"/>
        <v>0</v>
      </c>
      <c r="N13" s="295">
        <f t="shared" si="16"/>
        <v>0</v>
      </c>
      <c r="O13" s="199"/>
      <c r="P13" s="296">
        <f t="shared" si="17"/>
        <v>10873</v>
      </c>
      <c r="Q13" s="295" t="str">
        <f t="shared" si="4"/>
        <v>ok</v>
      </c>
      <c r="R13" s="276">
        <v>11409</v>
      </c>
      <c r="S13" s="295">
        <f t="shared" si="5"/>
        <v>15</v>
      </c>
      <c r="T13" s="575">
        <v>295054</v>
      </c>
      <c r="U13" s="295">
        <f t="shared" si="6"/>
        <v>2506</v>
      </c>
      <c r="V13" s="295">
        <f t="shared" si="18"/>
        <v>167.06666666666666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19</v>
      </c>
      <c r="AA13" s="295">
        <f t="shared" si="20"/>
        <v>3370</v>
      </c>
      <c r="AB13" s="295">
        <f t="shared" si="21"/>
        <v>383.06666666666666</v>
      </c>
      <c r="AC13" s="295">
        <f t="shared" si="22"/>
        <v>177.36842105263159</v>
      </c>
      <c r="AD13" s="73">
        <f>ELEC!Q13</f>
        <v>18000</v>
      </c>
      <c r="AE13" s="73">
        <f t="shared" si="24"/>
        <v>947.36842105263156</v>
      </c>
      <c r="AF13" s="413">
        <f t="shared" si="25"/>
        <v>0.59210526315789469</v>
      </c>
      <c r="AG13" s="414">
        <f t="shared" si="26"/>
        <v>189.4736842105263</v>
      </c>
      <c r="AH13" s="414">
        <f t="shared" si="23"/>
        <v>-12.105263157894711</v>
      </c>
      <c r="AI13" s="73">
        <f t="shared" si="27"/>
        <v>4632.9113924050635</v>
      </c>
      <c r="AJ13" s="297">
        <f t="shared" si="9"/>
        <v>0.25738396624472576</v>
      </c>
      <c r="AK13" s="297">
        <f t="shared" si="28"/>
        <v>243.83744170552964</v>
      </c>
    </row>
    <row r="14" spans="1:37" ht="15.75" thickBot="1">
      <c r="A14" s="4">
        <f>ELEC!C14</f>
        <v>44024</v>
      </c>
      <c r="B14" s="574">
        <v>8850</v>
      </c>
      <c r="C14" s="295">
        <f t="shared" si="11"/>
        <v>16</v>
      </c>
      <c r="D14" s="575">
        <v>180221</v>
      </c>
      <c r="E14" s="295">
        <f t="shared" si="12"/>
        <v>1085</v>
      </c>
      <c r="F14" s="295">
        <f t="shared" si="0"/>
        <v>67.8125</v>
      </c>
      <c r="G14" s="199"/>
      <c r="H14" s="296">
        <f t="shared" si="13"/>
        <v>8770</v>
      </c>
      <c r="I14" s="295" t="str">
        <f t="shared" si="1"/>
        <v>oil change</v>
      </c>
      <c r="J14" s="276">
        <v>10698</v>
      </c>
      <c r="K14" s="295">
        <f t="shared" si="2"/>
        <v>0</v>
      </c>
      <c r="L14" s="575">
        <f t="shared" si="15"/>
        <v>238500</v>
      </c>
      <c r="M14" s="295">
        <f t="shared" si="3"/>
        <v>0</v>
      </c>
      <c r="N14" s="295">
        <f t="shared" si="16"/>
        <v>0</v>
      </c>
      <c r="O14" s="199"/>
      <c r="P14" s="296">
        <f t="shared" si="17"/>
        <v>10873</v>
      </c>
      <c r="Q14" s="295" t="str">
        <f t="shared" si="4"/>
        <v>ok</v>
      </c>
      <c r="R14" s="276">
        <v>11415</v>
      </c>
      <c r="S14" s="295">
        <f t="shared" si="5"/>
        <v>6</v>
      </c>
      <c r="T14" s="575">
        <v>296420</v>
      </c>
      <c r="U14" s="295">
        <f t="shared" si="6"/>
        <v>1366</v>
      </c>
      <c r="V14" s="295">
        <f t="shared" si="18"/>
        <v>227.66666666666666</v>
      </c>
      <c r="W14" s="199"/>
      <c r="X14" s="296">
        <f t="shared" si="19"/>
        <v>12249</v>
      </c>
      <c r="Y14" s="295" t="str">
        <f t="shared" si="7"/>
        <v>ok</v>
      </c>
      <c r="Z14" s="295">
        <f t="shared" si="8"/>
        <v>22</v>
      </c>
      <c r="AA14" s="295">
        <f t="shared" si="20"/>
        <v>2451</v>
      </c>
      <c r="AB14" s="295">
        <f t="shared" si="21"/>
        <v>295.47916666666663</v>
      </c>
      <c r="AC14" s="295">
        <f t="shared" si="22"/>
        <v>111.40909090909091</v>
      </c>
      <c r="AD14" s="73">
        <f>ELEC!Q14</f>
        <v>19000</v>
      </c>
      <c r="AE14" s="73">
        <f t="shared" si="24"/>
        <v>863.63636363636363</v>
      </c>
      <c r="AF14" s="413">
        <f t="shared" si="25"/>
        <v>0.53977272727272729</v>
      </c>
      <c r="AG14" s="414">
        <f t="shared" si="26"/>
        <v>172.72727272727275</v>
      </c>
      <c r="AH14" s="414">
        <f t="shared" si="23"/>
        <v>-61.318181818181841</v>
      </c>
      <c r="AI14" s="73">
        <f t="shared" si="27"/>
        <v>4890.2953586497897</v>
      </c>
      <c r="AJ14" s="297">
        <f t="shared" si="9"/>
        <v>0.25738396624472576</v>
      </c>
      <c r="AK14" s="297">
        <f t="shared" si="28"/>
        <v>222.28615266589952</v>
      </c>
    </row>
    <row r="15" spans="1:37" ht="15.75" thickBot="1">
      <c r="A15" s="4">
        <f>ELEC!C15</f>
        <v>44025</v>
      </c>
      <c r="B15" s="574">
        <v>8853</v>
      </c>
      <c r="C15" s="295">
        <f t="shared" si="11"/>
        <v>3</v>
      </c>
      <c r="D15" s="575">
        <v>180547</v>
      </c>
      <c r="E15" s="295">
        <f t="shared" si="12"/>
        <v>326</v>
      </c>
      <c r="F15" s="295">
        <f t="shared" si="0"/>
        <v>108.66666666666667</v>
      </c>
      <c r="G15" s="199"/>
      <c r="H15" s="296">
        <f t="shared" si="13"/>
        <v>8770</v>
      </c>
      <c r="I15" s="295" t="str">
        <f t="shared" si="1"/>
        <v>oil change</v>
      </c>
      <c r="J15" s="276">
        <v>10698</v>
      </c>
      <c r="K15" s="295">
        <f t="shared" si="2"/>
        <v>0</v>
      </c>
      <c r="L15" s="575">
        <f t="shared" si="15"/>
        <v>238500</v>
      </c>
      <c r="M15" s="295">
        <f t="shared" si="3"/>
        <v>0</v>
      </c>
      <c r="N15" s="295">
        <f t="shared" si="16"/>
        <v>0</v>
      </c>
      <c r="O15" s="199"/>
      <c r="P15" s="296">
        <f t="shared" si="17"/>
        <v>10873</v>
      </c>
      <c r="Q15" s="295" t="str">
        <f t="shared" si="4"/>
        <v>ok</v>
      </c>
      <c r="R15" s="276">
        <v>11430</v>
      </c>
      <c r="S15" s="295">
        <f t="shared" si="5"/>
        <v>15</v>
      </c>
      <c r="T15" s="575">
        <v>298881</v>
      </c>
      <c r="U15" s="295">
        <f t="shared" si="6"/>
        <v>2461</v>
      </c>
      <c r="V15" s="295">
        <f t="shared" si="18"/>
        <v>164.06666666666666</v>
      </c>
      <c r="W15" s="199"/>
      <c r="X15" s="296">
        <f t="shared" si="19"/>
        <v>12249</v>
      </c>
      <c r="Y15" s="295" t="str">
        <f t="shared" si="7"/>
        <v>ok</v>
      </c>
      <c r="Z15" s="295">
        <f t="shared" si="8"/>
        <v>18</v>
      </c>
      <c r="AA15" s="295">
        <f t="shared" si="20"/>
        <v>2787</v>
      </c>
      <c r="AB15" s="295">
        <f t="shared" si="21"/>
        <v>272.73333333333335</v>
      </c>
      <c r="AC15" s="295">
        <f t="shared" si="22"/>
        <v>154.83333333333334</v>
      </c>
      <c r="AD15" s="73">
        <f>ELEC!Q15</f>
        <v>14000</v>
      </c>
      <c r="AE15" s="73">
        <f t="shared" si="24"/>
        <v>777.77777777777783</v>
      </c>
      <c r="AF15" s="413">
        <f t="shared" si="25"/>
        <v>0.48611111111111116</v>
      </c>
      <c r="AG15" s="414">
        <f t="shared" si="26"/>
        <v>155.55555555555557</v>
      </c>
      <c r="AH15" s="414">
        <f t="shared" si="23"/>
        <v>-0.72222222222222854</v>
      </c>
      <c r="AI15" s="73">
        <f t="shared" si="27"/>
        <v>3603.3755274261607</v>
      </c>
      <c r="AJ15" s="297">
        <f t="shared" si="9"/>
        <v>0.25738396624472576</v>
      </c>
      <c r="AK15" s="297">
        <f t="shared" si="28"/>
        <v>200.18752930145337</v>
      </c>
    </row>
    <row r="16" spans="1:37" ht="15.75" thickBot="1">
      <c r="A16" s="4">
        <f>ELEC!C16</f>
        <v>44026</v>
      </c>
      <c r="B16" s="574">
        <v>8860</v>
      </c>
      <c r="C16" s="295">
        <f t="shared" si="11"/>
        <v>7</v>
      </c>
      <c r="D16" s="575">
        <v>181036</v>
      </c>
      <c r="E16" s="295">
        <f t="shared" si="12"/>
        <v>489</v>
      </c>
      <c r="F16" s="295">
        <f t="shared" si="0"/>
        <v>69.857142857142861</v>
      </c>
      <c r="G16" s="199"/>
      <c r="H16" s="296">
        <f t="shared" si="13"/>
        <v>8770</v>
      </c>
      <c r="I16" s="295" t="str">
        <f t="shared" si="1"/>
        <v>oil change</v>
      </c>
      <c r="J16" s="276">
        <f t="shared" si="14"/>
        <v>10698</v>
      </c>
      <c r="K16" s="295">
        <f t="shared" si="2"/>
        <v>0</v>
      </c>
      <c r="L16" s="575">
        <f t="shared" si="15"/>
        <v>238500</v>
      </c>
      <c r="M16" s="295">
        <f t="shared" si="3"/>
        <v>0</v>
      </c>
      <c r="N16" s="295">
        <f t="shared" si="16"/>
        <v>0</v>
      </c>
      <c r="O16" s="199"/>
      <c r="P16" s="296">
        <f t="shared" si="17"/>
        <v>10873</v>
      </c>
      <c r="Q16" s="295" t="str">
        <f t="shared" si="4"/>
        <v>ok</v>
      </c>
      <c r="R16" s="276">
        <v>11445</v>
      </c>
      <c r="S16" s="609">
        <f t="shared" si="5"/>
        <v>15</v>
      </c>
      <c r="T16" s="575">
        <v>301793</v>
      </c>
      <c r="U16" s="295">
        <f t="shared" si="6"/>
        <v>2912</v>
      </c>
      <c r="V16" s="295">
        <f t="shared" si="18"/>
        <v>194.13333333333333</v>
      </c>
      <c r="W16" s="199"/>
      <c r="X16" s="296">
        <f t="shared" si="19"/>
        <v>12249</v>
      </c>
      <c r="Y16" s="295" t="str">
        <f t="shared" si="7"/>
        <v>ok</v>
      </c>
      <c r="Z16" s="295">
        <f t="shared" si="8"/>
        <v>22</v>
      </c>
      <c r="AA16" s="295">
        <f t="shared" si="20"/>
        <v>3401</v>
      </c>
      <c r="AB16" s="295">
        <f t="shared" si="21"/>
        <v>263.99047619047622</v>
      </c>
      <c r="AC16" s="295">
        <f t="shared" si="22"/>
        <v>154.59090909090909</v>
      </c>
      <c r="AD16" s="73">
        <f>ELEC!Q16</f>
        <v>18000</v>
      </c>
      <c r="AE16" s="73">
        <f t="shared" si="24"/>
        <v>818.18181818181813</v>
      </c>
      <c r="AF16" s="413">
        <f t="shared" si="25"/>
        <v>0.51136363636363635</v>
      </c>
      <c r="AG16" s="414">
        <f t="shared" si="26"/>
        <v>163.63636363636363</v>
      </c>
      <c r="AH16" s="414">
        <f t="shared" si="23"/>
        <v>-9.0454545454545325</v>
      </c>
      <c r="AI16" s="73">
        <f t="shared" si="27"/>
        <v>4632.9113924050635</v>
      </c>
      <c r="AJ16" s="297">
        <f t="shared" si="9"/>
        <v>0.25738396624472576</v>
      </c>
      <c r="AK16" s="297">
        <f t="shared" si="28"/>
        <v>210.58688147295743</v>
      </c>
    </row>
    <row r="17" spans="1:37" ht="15.75" thickBot="1">
      <c r="A17" s="4">
        <f>ELEC!C17</f>
        <v>44027</v>
      </c>
      <c r="B17" s="574">
        <v>8871</v>
      </c>
      <c r="C17" s="295">
        <f t="shared" si="11"/>
        <v>11</v>
      </c>
      <c r="D17" s="575">
        <v>182388</v>
      </c>
      <c r="E17" s="295">
        <f t="shared" si="12"/>
        <v>1352</v>
      </c>
      <c r="F17" s="295">
        <f t="shared" si="0"/>
        <v>122.90909090909091</v>
      </c>
      <c r="G17" s="199"/>
      <c r="H17" s="296">
        <f t="shared" si="13"/>
        <v>8770</v>
      </c>
      <c r="I17" s="295" t="str">
        <f t="shared" si="1"/>
        <v>oil change</v>
      </c>
      <c r="J17" s="276">
        <v>10698</v>
      </c>
      <c r="K17" s="295">
        <f t="shared" si="2"/>
        <v>0</v>
      </c>
      <c r="L17" s="575">
        <v>238500</v>
      </c>
      <c r="M17" s="295">
        <f t="shared" si="3"/>
        <v>0</v>
      </c>
      <c r="N17" s="295">
        <f t="shared" si="16"/>
        <v>0</v>
      </c>
      <c r="O17" s="199"/>
      <c r="P17" s="296">
        <f t="shared" si="17"/>
        <v>10873</v>
      </c>
      <c r="Q17" s="295" t="str">
        <f t="shared" si="4"/>
        <v>ok</v>
      </c>
      <c r="R17" s="276">
        <v>11452</v>
      </c>
      <c r="S17" s="295">
        <f t="shared" si="5"/>
        <v>7</v>
      </c>
      <c r="T17" s="575">
        <v>303591</v>
      </c>
      <c r="U17" s="295">
        <f t="shared" si="6"/>
        <v>1798</v>
      </c>
      <c r="V17" s="295">
        <f t="shared" si="18"/>
        <v>256.85714285714283</v>
      </c>
      <c r="W17" s="199"/>
      <c r="X17" s="296">
        <f t="shared" si="19"/>
        <v>12249</v>
      </c>
      <c r="Y17" s="295" t="str">
        <f t="shared" si="7"/>
        <v>ok</v>
      </c>
      <c r="Z17" s="295">
        <f t="shared" si="8"/>
        <v>18</v>
      </c>
      <c r="AA17" s="295">
        <f t="shared" si="20"/>
        <v>3150</v>
      </c>
      <c r="AB17" s="295">
        <f t="shared" si="21"/>
        <v>379.76623376623377</v>
      </c>
      <c r="AC17" s="295">
        <f t="shared" si="22"/>
        <v>175</v>
      </c>
      <c r="AD17" s="73">
        <f>ELEC!Q17</f>
        <v>17000</v>
      </c>
      <c r="AE17" s="73">
        <f t="shared" si="24"/>
        <v>944.44444444444446</v>
      </c>
      <c r="AF17" s="413">
        <f t="shared" si="25"/>
        <v>0.59027777777777779</v>
      </c>
      <c r="AG17" s="414">
        <f t="shared" si="26"/>
        <v>188.88888888888889</v>
      </c>
      <c r="AH17" s="414">
        <f t="shared" si="23"/>
        <v>-13.888888888888886</v>
      </c>
      <c r="AI17" s="73">
        <f t="shared" si="27"/>
        <v>4375.5274261603381</v>
      </c>
      <c r="AJ17" s="297">
        <f t="shared" si="9"/>
        <v>0.25738396624472576</v>
      </c>
      <c r="AK17" s="297">
        <f t="shared" ref="AK17:AK32" si="29">IF(Z17&gt;0,AI17/Z17,0)</f>
        <v>243.08485700890768</v>
      </c>
    </row>
    <row r="18" spans="1:37" ht="15.75" thickBot="1">
      <c r="A18" s="4">
        <f>ELEC!C18</f>
        <v>44028</v>
      </c>
      <c r="B18" s="574">
        <v>8879</v>
      </c>
      <c r="C18" s="295">
        <f t="shared" si="11"/>
        <v>8</v>
      </c>
      <c r="D18" s="575">
        <v>183419</v>
      </c>
      <c r="E18" s="295">
        <f t="shared" si="12"/>
        <v>1031</v>
      </c>
      <c r="F18" s="295">
        <f t="shared" si="0"/>
        <v>128.875</v>
      </c>
      <c r="G18" s="199"/>
      <c r="H18" s="296">
        <f t="shared" si="13"/>
        <v>8770</v>
      </c>
      <c r="I18" s="295" t="str">
        <f t="shared" si="1"/>
        <v>oil change</v>
      </c>
      <c r="J18" s="276">
        <v>10698</v>
      </c>
      <c r="K18" s="295">
        <f t="shared" si="2"/>
        <v>0</v>
      </c>
      <c r="L18" s="575">
        <f t="shared" si="15"/>
        <v>238500</v>
      </c>
      <c r="M18" s="295">
        <f t="shared" si="3"/>
        <v>0</v>
      </c>
      <c r="N18" s="295">
        <f t="shared" si="16"/>
        <v>0</v>
      </c>
      <c r="O18" s="199"/>
      <c r="P18" s="296">
        <f t="shared" si="17"/>
        <v>10873</v>
      </c>
      <c r="Q18" s="295" t="str">
        <f>IF(J18-P14&lt;=0,"ok","oil change")</f>
        <v>ok</v>
      </c>
      <c r="R18" s="276">
        <v>11465</v>
      </c>
      <c r="S18" s="295">
        <f t="shared" si="5"/>
        <v>13</v>
      </c>
      <c r="T18" s="575">
        <v>305926</v>
      </c>
      <c r="U18" s="295">
        <f t="shared" si="6"/>
        <v>2335</v>
      </c>
      <c r="V18" s="295">
        <f t="shared" si="18"/>
        <v>179.61538461538461</v>
      </c>
      <c r="W18" s="346"/>
      <c r="X18" s="296">
        <f t="shared" si="19"/>
        <v>12249</v>
      </c>
      <c r="Y18" s="295" t="str">
        <f t="shared" si="7"/>
        <v>ok</v>
      </c>
      <c r="Z18" s="295">
        <f t="shared" si="8"/>
        <v>21</v>
      </c>
      <c r="AA18" s="295">
        <f t="shared" si="20"/>
        <v>3366</v>
      </c>
      <c r="AB18" s="295">
        <f t="shared" si="21"/>
        <v>308.49038461538464</v>
      </c>
      <c r="AC18" s="295">
        <f t="shared" si="22"/>
        <v>160.28571428571428</v>
      </c>
      <c r="AD18" s="73">
        <f>ELEC!Q18</f>
        <v>19000</v>
      </c>
      <c r="AE18" s="73">
        <f t="shared" si="24"/>
        <v>904.76190476190482</v>
      </c>
      <c r="AF18" s="413">
        <f t="shared" si="25"/>
        <v>0.56547619047619047</v>
      </c>
      <c r="AG18" s="414">
        <f t="shared" si="26"/>
        <v>180.95238095238096</v>
      </c>
      <c r="AH18" s="414">
        <f t="shared" si="23"/>
        <v>-20.666666666666686</v>
      </c>
      <c r="AI18" s="73">
        <f t="shared" si="27"/>
        <v>4890.2953586497897</v>
      </c>
      <c r="AJ18" s="297">
        <f t="shared" si="9"/>
        <v>0.25738396624472576</v>
      </c>
      <c r="AK18" s="297">
        <f t="shared" si="29"/>
        <v>232.87120755475189</v>
      </c>
    </row>
    <row r="19" spans="1:37" ht="15.75" thickBot="1">
      <c r="A19" s="4">
        <f>ELEC!C19</f>
        <v>44029</v>
      </c>
      <c r="B19" s="574">
        <v>8887</v>
      </c>
      <c r="C19" s="295">
        <f t="shared" si="11"/>
        <v>8</v>
      </c>
      <c r="D19" s="575">
        <v>184296</v>
      </c>
      <c r="E19" s="295">
        <f t="shared" si="12"/>
        <v>877</v>
      </c>
      <c r="F19" s="295">
        <f t="shared" si="0"/>
        <v>109.625</v>
      </c>
      <c r="G19" s="199"/>
      <c r="H19" s="296">
        <f t="shared" si="13"/>
        <v>8770</v>
      </c>
      <c r="I19" s="295" t="str">
        <f t="shared" si="1"/>
        <v>oil change</v>
      </c>
      <c r="J19" s="276">
        <v>10698</v>
      </c>
      <c r="K19" s="295">
        <f t="shared" si="2"/>
        <v>0</v>
      </c>
      <c r="L19" s="575">
        <v>238500</v>
      </c>
      <c r="M19" s="295">
        <f t="shared" si="3"/>
        <v>0</v>
      </c>
      <c r="N19" s="295">
        <f t="shared" si="16"/>
        <v>0</v>
      </c>
      <c r="O19" s="199"/>
      <c r="P19" s="296">
        <f t="shared" si="17"/>
        <v>10873</v>
      </c>
      <c r="Q19" s="295" t="str">
        <f t="shared" ref="Q19:Q32" si="30">IF(J19-P19&lt;=0,"ok","oil change")</f>
        <v>ok</v>
      </c>
      <c r="R19" s="276">
        <v>11476</v>
      </c>
      <c r="S19" s="295">
        <f t="shared" si="5"/>
        <v>11</v>
      </c>
      <c r="T19" s="575">
        <v>307947</v>
      </c>
      <c r="U19" s="295">
        <f t="shared" si="6"/>
        <v>2021</v>
      </c>
      <c r="V19" s="295">
        <f t="shared" si="18"/>
        <v>183.72727272727272</v>
      </c>
      <c r="W19" s="199"/>
      <c r="X19" s="296">
        <f t="shared" si="19"/>
        <v>12249</v>
      </c>
      <c r="Y19" s="295" t="str">
        <f t="shared" si="7"/>
        <v>ok</v>
      </c>
      <c r="Z19" s="295">
        <f t="shared" si="8"/>
        <v>19</v>
      </c>
      <c r="AA19" s="295">
        <f t="shared" si="20"/>
        <v>2898</v>
      </c>
      <c r="AB19" s="295">
        <f t="shared" si="21"/>
        <v>293.35227272727275</v>
      </c>
      <c r="AC19" s="295">
        <f t="shared" si="22"/>
        <v>152.52631578947367</v>
      </c>
      <c r="AD19" s="73">
        <f>ELEC!Q19</f>
        <v>17000</v>
      </c>
      <c r="AE19" s="73">
        <f t="shared" si="24"/>
        <v>894.73684210526312</v>
      </c>
      <c r="AF19" s="413">
        <f t="shared" si="25"/>
        <v>0.55921052631578949</v>
      </c>
      <c r="AG19" s="414">
        <f t="shared" si="26"/>
        <v>178.94736842105263</v>
      </c>
      <c r="AH19" s="414">
        <f t="shared" si="23"/>
        <v>-26.421052631578959</v>
      </c>
      <c r="AI19" s="73">
        <f t="shared" si="27"/>
        <v>4375.5274261603381</v>
      </c>
      <c r="AJ19" s="297">
        <f t="shared" si="9"/>
        <v>0.25738396624472576</v>
      </c>
      <c r="AK19" s="297">
        <f t="shared" si="29"/>
        <v>230.29091716633357</v>
      </c>
    </row>
    <row r="20" spans="1:37" ht="15.75" thickBot="1">
      <c r="A20" s="4">
        <f>ELEC!C20</f>
        <v>44030</v>
      </c>
      <c r="B20" s="574">
        <v>8902</v>
      </c>
      <c r="C20" s="295">
        <f>B20-B19</f>
        <v>15</v>
      </c>
      <c r="D20" s="575">
        <v>185949</v>
      </c>
      <c r="E20" s="295">
        <f t="shared" si="12"/>
        <v>1653</v>
      </c>
      <c r="F20" s="295">
        <f t="shared" si="0"/>
        <v>110.2</v>
      </c>
      <c r="G20" s="199"/>
      <c r="H20" s="296">
        <f t="shared" si="13"/>
        <v>8770</v>
      </c>
      <c r="I20" s="295" t="str">
        <f t="shared" si="1"/>
        <v>oil change</v>
      </c>
      <c r="J20" s="276">
        <f t="shared" si="14"/>
        <v>10698</v>
      </c>
      <c r="K20" s="295">
        <f t="shared" si="2"/>
        <v>0</v>
      </c>
      <c r="L20" s="575">
        <f t="shared" si="15"/>
        <v>238500</v>
      </c>
      <c r="M20" s="295">
        <f t="shared" si="3"/>
        <v>0</v>
      </c>
      <c r="N20" s="295">
        <f t="shared" si="16"/>
        <v>0</v>
      </c>
      <c r="O20" s="199"/>
      <c r="P20" s="296">
        <f t="shared" si="17"/>
        <v>10873</v>
      </c>
      <c r="Q20" s="295" t="str">
        <f t="shared" si="30"/>
        <v>ok</v>
      </c>
      <c r="R20" s="276">
        <v>11483</v>
      </c>
      <c r="S20" s="295">
        <f t="shared" si="5"/>
        <v>7</v>
      </c>
      <c r="T20" s="575">
        <v>309550</v>
      </c>
      <c r="U20" s="295">
        <f t="shared" ref="U20:U32" si="31">SUM(T20-T19)</f>
        <v>1603</v>
      </c>
      <c r="V20" s="295">
        <f t="shared" si="18"/>
        <v>229</v>
      </c>
      <c r="W20" s="199"/>
      <c r="X20" s="296">
        <f t="shared" si="19"/>
        <v>12249</v>
      </c>
      <c r="Y20" s="295" t="str">
        <f t="shared" si="7"/>
        <v>ok</v>
      </c>
      <c r="Z20" s="295">
        <f t="shared" si="8"/>
        <v>22</v>
      </c>
      <c r="AA20" s="295">
        <f t="shared" si="20"/>
        <v>3256</v>
      </c>
      <c r="AB20" s="295">
        <f t="shared" si="21"/>
        <v>339.2</v>
      </c>
      <c r="AC20" s="295">
        <f t="shared" si="22"/>
        <v>148</v>
      </c>
      <c r="AD20" s="73">
        <f>ELEC!Q20</f>
        <v>18000</v>
      </c>
      <c r="AE20" s="73">
        <f t="shared" si="24"/>
        <v>818.18181818181813</v>
      </c>
      <c r="AF20" s="413">
        <f t="shared" si="25"/>
        <v>0.51136363636363635</v>
      </c>
      <c r="AG20" s="414">
        <f t="shared" si="26"/>
        <v>163.63636363636363</v>
      </c>
      <c r="AH20" s="414">
        <f t="shared" si="23"/>
        <v>-15.636363636363626</v>
      </c>
      <c r="AI20" s="73">
        <f>AD20*AJ20</f>
        <v>4632.9113924050635</v>
      </c>
      <c r="AJ20" s="297">
        <f t="shared" si="9"/>
        <v>0.25738396624472576</v>
      </c>
      <c r="AK20" s="297">
        <f t="shared" si="29"/>
        <v>210.58688147295743</v>
      </c>
    </row>
    <row r="21" spans="1:37" ht="15.75" thickBot="1">
      <c r="A21" s="4">
        <f>ELEC!C21</f>
        <v>44031</v>
      </c>
      <c r="B21" s="574">
        <v>8909</v>
      </c>
      <c r="C21" s="295">
        <f t="shared" si="11"/>
        <v>7</v>
      </c>
      <c r="D21" s="575">
        <v>186749</v>
      </c>
      <c r="E21" s="295">
        <f t="shared" si="12"/>
        <v>800</v>
      </c>
      <c r="F21" s="295">
        <f t="shared" si="0"/>
        <v>114.28571428571429</v>
      </c>
      <c r="G21" s="199"/>
      <c r="H21" s="296">
        <f t="shared" si="13"/>
        <v>8770</v>
      </c>
      <c r="I21" s="295" t="str">
        <f t="shared" si="1"/>
        <v>oil change</v>
      </c>
      <c r="J21" s="276">
        <v>10698</v>
      </c>
      <c r="K21" s="295">
        <f t="shared" si="2"/>
        <v>0</v>
      </c>
      <c r="L21" s="575">
        <v>238500</v>
      </c>
      <c r="M21" s="295">
        <f t="shared" si="3"/>
        <v>0</v>
      </c>
      <c r="N21" s="295">
        <f t="shared" si="16"/>
        <v>0</v>
      </c>
      <c r="O21" s="199"/>
      <c r="P21" s="296">
        <f t="shared" si="17"/>
        <v>10873</v>
      </c>
      <c r="Q21" s="295" t="str">
        <f t="shared" si="30"/>
        <v>ok</v>
      </c>
      <c r="R21" s="276">
        <v>11494</v>
      </c>
      <c r="S21" s="295">
        <f t="shared" si="5"/>
        <v>11</v>
      </c>
      <c r="T21" s="575">
        <v>311045</v>
      </c>
      <c r="U21" s="295">
        <f t="shared" si="31"/>
        <v>1495</v>
      </c>
      <c r="V21" s="295">
        <f t="shared" si="18"/>
        <v>135.90909090909091</v>
      </c>
      <c r="W21" s="199"/>
      <c r="X21" s="296">
        <f t="shared" si="19"/>
        <v>12249</v>
      </c>
      <c r="Y21" s="295" t="str">
        <f>Y20</f>
        <v>ok</v>
      </c>
      <c r="Z21" s="295">
        <f t="shared" si="8"/>
        <v>18</v>
      </c>
      <c r="AA21" s="295">
        <f t="shared" si="20"/>
        <v>2295</v>
      </c>
      <c r="AB21" s="295">
        <f t="shared" si="21"/>
        <v>250.19480519480521</v>
      </c>
      <c r="AC21" s="295">
        <f t="shared" si="22"/>
        <v>127.5</v>
      </c>
      <c r="AD21" s="73">
        <f>ELEC!Q21</f>
        <v>15000</v>
      </c>
      <c r="AE21" s="73">
        <f t="shared" si="24"/>
        <v>833.33333333333337</v>
      </c>
      <c r="AF21" s="413">
        <f t="shared" si="25"/>
        <v>0.52083333333333337</v>
      </c>
      <c r="AG21" s="414">
        <f t="shared" si="26"/>
        <v>166.66666666666669</v>
      </c>
      <c r="AH21" s="414">
        <f t="shared" si="23"/>
        <v>-39.166666666666686</v>
      </c>
      <c r="AI21" s="73">
        <f t="shared" si="27"/>
        <v>3860.7594936708865</v>
      </c>
      <c r="AJ21" s="297">
        <f t="shared" si="9"/>
        <v>0.25738396624472576</v>
      </c>
      <c r="AK21" s="297">
        <f t="shared" si="29"/>
        <v>214.48663853727146</v>
      </c>
    </row>
    <row r="22" spans="1:37" ht="15.75" thickBot="1">
      <c r="A22" s="4">
        <f>ELEC!C22</f>
        <v>44032</v>
      </c>
      <c r="B22" s="574">
        <v>8917</v>
      </c>
      <c r="C22" s="295">
        <f t="shared" si="11"/>
        <v>8</v>
      </c>
      <c r="D22" s="575">
        <v>187618</v>
      </c>
      <c r="E22" s="295">
        <f t="shared" si="12"/>
        <v>869</v>
      </c>
      <c r="F22" s="295">
        <f t="shared" si="0"/>
        <v>108.625</v>
      </c>
      <c r="G22" s="199"/>
      <c r="H22" s="296">
        <f t="shared" si="13"/>
        <v>8770</v>
      </c>
      <c r="I22" s="295" t="str">
        <f t="shared" si="1"/>
        <v>oil change</v>
      </c>
      <c r="J22" s="276">
        <v>10698</v>
      </c>
      <c r="K22" s="295">
        <f t="shared" si="2"/>
        <v>0</v>
      </c>
      <c r="L22" s="575">
        <v>238500</v>
      </c>
      <c r="M22" s="295">
        <f t="shared" si="3"/>
        <v>0</v>
      </c>
      <c r="N22" s="295">
        <f t="shared" si="16"/>
        <v>0</v>
      </c>
      <c r="O22" s="199"/>
      <c r="P22" s="296">
        <f t="shared" si="17"/>
        <v>10873</v>
      </c>
      <c r="Q22" s="295" t="str">
        <f t="shared" si="30"/>
        <v>ok</v>
      </c>
      <c r="R22" s="276">
        <v>11505</v>
      </c>
      <c r="S22" s="295">
        <f t="shared" si="5"/>
        <v>11</v>
      </c>
      <c r="T22" s="575">
        <v>313553</v>
      </c>
      <c r="U22" s="295">
        <f t="shared" si="31"/>
        <v>2508</v>
      </c>
      <c r="V22" s="295">
        <f t="shared" si="18"/>
        <v>228</v>
      </c>
      <c r="W22" s="199"/>
      <c r="X22" s="296">
        <f t="shared" si="19"/>
        <v>12249</v>
      </c>
      <c r="Y22" s="295" t="str">
        <f t="shared" ref="Y22:Y32" si="32">IF(R22-X22&lt;=0,"ok","oil change")</f>
        <v>ok</v>
      </c>
      <c r="Z22" s="295">
        <f t="shared" si="8"/>
        <v>19</v>
      </c>
      <c r="AA22" s="295">
        <f t="shared" si="20"/>
        <v>3377</v>
      </c>
      <c r="AB22" s="295">
        <f t="shared" si="21"/>
        <v>336.625</v>
      </c>
      <c r="AC22" s="295">
        <f t="shared" si="22"/>
        <v>177.73684210526315</v>
      </c>
      <c r="AD22" s="73">
        <f>ELEC!Q22</f>
        <v>17000</v>
      </c>
      <c r="AE22" s="73">
        <f t="shared" si="24"/>
        <v>894.73684210526312</v>
      </c>
      <c r="AF22" s="413">
        <f t="shared" si="25"/>
        <v>0.55921052631578949</v>
      </c>
      <c r="AG22" s="414">
        <f t="shared" si="26"/>
        <v>178.94736842105263</v>
      </c>
      <c r="AH22" s="414">
        <f t="shared" si="23"/>
        <v>-1.2105263157894797</v>
      </c>
      <c r="AI22" s="73">
        <f t="shared" si="27"/>
        <v>4375.5274261603381</v>
      </c>
      <c r="AJ22" s="297">
        <f t="shared" si="9"/>
        <v>0.25738396624472576</v>
      </c>
      <c r="AK22" s="297">
        <f t="shared" si="29"/>
        <v>230.29091716633357</v>
      </c>
    </row>
    <row r="23" spans="1:37" ht="15.75" thickBot="1">
      <c r="A23" s="4">
        <f>ELEC!C23</f>
        <v>44033</v>
      </c>
      <c r="B23" s="574">
        <v>8927</v>
      </c>
      <c r="C23" s="295">
        <f t="shared" si="11"/>
        <v>10</v>
      </c>
      <c r="D23" s="575">
        <v>189109</v>
      </c>
      <c r="E23" s="295">
        <f t="shared" si="12"/>
        <v>1491</v>
      </c>
      <c r="F23" s="295">
        <f t="shared" si="0"/>
        <v>149.1</v>
      </c>
      <c r="G23" s="199"/>
      <c r="H23" s="296">
        <f t="shared" si="13"/>
        <v>8770</v>
      </c>
      <c r="I23" s="295" t="str">
        <f t="shared" si="1"/>
        <v>oil change</v>
      </c>
      <c r="J23" s="276">
        <v>10698</v>
      </c>
      <c r="K23" s="295">
        <f t="shared" si="2"/>
        <v>0</v>
      </c>
      <c r="L23" s="575">
        <v>238500</v>
      </c>
      <c r="M23" s="295">
        <f t="shared" si="3"/>
        <v>0</v>
      </c>
      <c r="N23" s="295">
        <f t="shared" si="16"/>
        <v>0</v>
      </c>
      <c r="O23" s="199"/>
      <c r="P23" s="296">
        <f t="shared" si="17"/>
        <v>10873</v>
      </c>
      <c r="Q23" s="295" t="str">
        <f t="shared" si="30"/>
        <v>ok</v>
      </c>
      <c r="R23" s="276">
        <v>11506</v>
      </c>
      <c r="S23" s="295">
        <f t="shared" si="5"/>
        <v>1</v>
      </c>
      <c r="T23" s="575">
        <v>313802</v>
      </c>
      <c r="U23" s="295">
        <f t="shared" si="31"/>
        <v>249</v>
      </c>
      <c r="V23" s="295">
        <f t="shared" si="18"/>
        <v>249</v>
      </c>
      <c r="W23" s="199"/>
      <c r="X23" s="296">
        <f t="shared" si="19"/>
        <v>12249</v>
      </c>
      <c r="Y23" s="295" t="str">
        <f t="shared" si="32"/>
        <v>ok</v>
      </c>
      <c r="Z23" s="295">
        <f t="shared" si="8"/>
        <v>11</v>
      </c>
      <c r="AA23" s="295">
        <f t="shared" si="20"/>
        <v>1740</v>
      </c>
      <c r="AB23" s="295">
        <f t="shared" si="21"/>
        <v>398.1</v>
      </c>
      <c r="AC23" s="295">
        <f t="shared" si="22"/>
        <v>158.18181818181819</v>
      </c>
      <c r="AD23" s="73">
        <f>ELEC!Q23</f>
        <v>10000</v>
      </c>
      <c r="AE23" s="73">
        <f t="shared" si="24"/>
        <v>909.09090909090912</v>
      </c>
      <c r="AF23" s="413">
        <f t="shared" si="25"/>
        <v>0.56818181818181823</v>
      </c>
      <c r="AG23" s="414">
        <f t="shared" si="26"/>
        <v>181.81818181818184</v>
      </c>
      <c r="AH23" s="414">
        <f t="shared" si="23"/>
        <v>-23.636363636363654</v>
      </c>
      <c r="AI23" s="73">
        <f t="shared" si="27"/>
        <v>2573.8396624472575</v>
      </c>
      <c r="AJ23" s="297">
        <f t="shared" si="9"/>
        <v>0.25738396624472576</v>
      </c>
      <c r="AK23" s="297">
        <f t="shared" si="29"/>
        <v>233.98542385884159</v>
      </c>
    </row>
    <row r="24" spans="1:37" ht="15.75" thickBot="1">
      <c r="A24" s="4">
        <f>ELEC!C24</f>
        <v>44034</v>
      </c>
      <c r="B24" s="574">
        <v>8931</v>
      </c>
      <c r="C24" s="295">
        <f t="shared" si="11"/>
        <v>4</v>
      </c>
      <c r="D24" s="575">
        <v>189883</v>
      </c>
      <c r="E24" s="295">
        <f t="shared" si="12"/>
        <v>774</v>
      </c>
      <c r="F24" s="295">
        <f t="shared" si="0"/>
        <v>193.5</v>
      </c>
      <c r="G24" s="199"/>
      <c r="H24" s="296">
        <f>8920+180</f>
        <v>9100</v>
      </c>
      <c r="I24" s="295" t="str">
        <f t="shared" si="1"/>
        <v>ok</v>
      </c>
      <c r="J24" s="276">
        <v>10698</v>
      </c>
      <c r="K24" s="295">
        <f t="shared" si="2"/>
        <v>0</v>
      </c>
      <c r="L24" s="575">
        <v>238500</v>
      </c>
      <c r="M24" s="295">
        <f t="shared" si="3"/>
        <v>0</v>
      </c>
      <c r="N24" s="295">
        <f t="shared" si="16"/>
        <v>0</v>
      </c>
      <c r="O24" s="199"/>
      <c r="P24" s="296">
        <f>P23</f>
        <v>10873</v>
      </c>
      <c r="Q24" s="295" t="str">
        <f t="shared" si="30"/>
        <v>ok</v>
      </c>
      <c r="R24" s="276">
        <v>11521</v>
      </c>
      <c r="S24" s="295">
        <f t="shared" si="5"/>
        <v>15</v>
      </c>
      <c r="T24" s="575">
        <v>316701</v>
      </c>
      <c r="U24" s="295">
        <f t="shared" si="31"/>
        <v>2899</v>
      </c>
      <c r="V24" s="295">
        <f t="shared" si="18"/>
        <v>193.26666666666668</v>
      </c>
      <c r="W24" s="199"/>
      <c r="X24" s="296">
        <f t="shared" si="19"/>
        <v>12249</v>
      </c>
      <c r="Y24" s="295" t="str">
        <f t="shared" si="32"/>
        <v>ok</v>
      </c>
      <c r="Z24" s="295">
        <f t="shared" si="8"/>
        <v>19</v>
      </c>
      <c r="AA24" s="295">
        <f t="shared" si="20"/>
        <v>3673</v>
      </c>
      <c r="AB24" s="295">
        <f t="shared" si="21"/>
        <v>386.76666666666665</v>
      </c>
      <c r="AC24" s="295">
        <f t="shared" si="22"/>
        <v>193.31578947368422</v>
      </c>
      <c r="AD24" s="73">
        <f>ELEC!Q24</f>
        <v>16000</v>
      </c>
      <c r="AE24" s="73">
        <f t="shared" si="24"/>
        <v>842.10526315789468</v>
      </c>
      <c r="AF24" s="413">
        <f t="shared" si="25"/>
        <v>0.52631578947368418</v>
      </c>
      <c r="AG24" s="414">
        <f t="shared" si="26"/>
        <v>168.42105263157893</v>
      </c>
      <c r="AH24" s="414">
        <f t="shared" si="23"/>
        <v>24.894736842105289</v>
      </c>
      <c r="AI24" s="73">
        <f t="shared" si="27"/>
        <v>4118.1434599156119</v>
      </c>
      <c r="AJ24" s="297">
        <f t="shared" si="9"/>
        <v>0.25738396624472576</v>
      </c>
      <c r="AK24" s="297">
        <f t="shared" si="29"/>
        <v>216.74439262713747</v>
      </c>
    </row>
    <row r="25" spans="1:37" ht="15.75" thickBot="1">
      <c r="A25" s="4">
        <f>ELEC!C25</f>
        <v>44035</v>
      </c>
      <c r="B25" s="574">
        <v>8935</v>
      </c>
      <c r="C25" s="295">
        <f t="shared" si="11"/>
        <v>4</v>
      </c>
      <c r="D25" s="575">
        <v>190238</v>
      </c>
      <c r="E25" s="295">
        <f t="shared" si="12"/>
        <v>355</v>
      </c>
      <c r="F25" s="295">
        <f t="shared" si="0"/>
        <v>88.75</v>
      </c>
      <c r="G25" s="199"/>
      <c r="H25" s="296">
        <f t="shared" ref="H25:H33" si="33">8920+180</f>
        <v>9100</v>
      </c>
      <c r="I25" s="295" t="str">
        <f t="shared" si="1"/>
        <v>ok</v>
      </c>
      <c r="J25" s="276">
        <v>10698</v>
      </c>
      <c r="K25" s="295">
        <f t="shared" si="2"/>
        <v>0</v>
      </c>
      <c r="L25" s="575">
        <f>L24</f>
        <v>238500</v>
      </c>
      <c r="M25" s="295">
        <f t="shared" si="3"/>
        <v>0</v>
      </c>
      <c r="N25" s="295">
        <f t="shared" si="16"/>
        <v>0</v>
      </c>
      <c r="O25" s="199"/>
      <c r="P25" s="296">
        <f t="shared" si="17"/>
        <v>10873</v>
      </c>
      <c r="Q25" s="295" t="str">
        <f t="shared" si="30"/>
        <v>ok</v>
      </c>
      <c r="R25" s="276">
        <v>11528</v>
      </c>
      <c r="S25" s="295">
        <f t="shared" si="5"/>
        <v>7</v>
      </c>
      <c r="T25" s="575">
        <v>318368</v>
      </c>
      <c r="U25" s="295">
        <f t="shared" si="31"/>
        <v>1667</v>
      </c>
      <c r="V25" s="295">
        <f t="shared" si="18"/>
        <v>238.14285714285714</v>
      </c>
      <c r="W25" s="199"/>
      <c r="X25" s="296">
        <f t="shared" si="19"/>
        <v>12249</v>
      </c>
      <c r="Y25" s="295" t="str">
        <f t="shared" si="32"/>
        <v>ok</v>
      </c>
      <c r="Z25" s="295">
        <f t="shared" si="8"/>
        <v>11</v>
      </c>
      <c r="AA25" s="295">
        <f t="shared" si="20"/>
        <v>2022</v>
      </c>
      <c r="AB25" s="295">
        <f t="shared" si="21"/>
        <v>326.89285714285711</v>
      </c>
      <c r="AC25" s="295">
        <f t="shared" si="22"/>
        <v>183.81818181818181</v>
      </c>
      <c r="AD25" s="73">
        <f>ELEC!Q25</f>
        <v>11000</v>
      </c>
      <c r="AE25" s="73">
        <f t="shared" si="24"/>
        <v>1000</v>
      </c>
      <c r="AF25" s="413">
        <f t="shared" si="25"/>
        <v>0.625</v>
      </c>
      <c r="AG25" s="414">
        <f t="shared" si="26"/>
        <v>200</v>
      </c>
      <c r="AH25" s="414">
        <f t="shared" si="23"/>
        <v>-16.181818181818187</v>
      </c>
      <c r="AI25" s="73">
        <f t="shared" si="27"/>
        <v>2831.2236286919833</v>
      </c>
      <c r="AJ25" s="297">
        <f t="shared" si="9"/>
        <v>0.25738396624472576</v>
      </c>
      <c r="AK25" s="297">
        <f t="shared" si="29"/>
        <v>257.38396624472574</v>
      </c>
    </row>
    <row r="26" spans="1:37" ht="15.75" thickBot="1">
      <c r="A26" s="4">
        <f>ELEC!C26</f>
        <v>44036</v>
      </c>
      <c r="B26" s="574">
        <v>8941</v>
      </c>
      <c r="C26" s="295">
        <f t="shared" si="11"/>
        <v>6</v>
      </c>
      <c r="D26" s="575">
        <v>191483</v>
      </c>
      <c r="E26" s="295">
        <f t="shared" si="12"/>
        <v>1245</v>
      </c>
      <c r="F26" s="295">
        <f t="shared" si="0"/>
        <v>207.5</v>
      </c>
      <c r="G26" s="199"/>
      <c r="H26" s="296">
        <f t="shared" si="33"/>
        <v>9100</v>
      </c>
      <c r="I26" s="295" t="str">
        <f t="shared" si="1"/>
        <v>ok</v>
      </c>
      <c r="J26" s="276">
        <f t="shared" si="14"/>
        <v>10698</v>
      </c>
      <c r="K26" s="295">
        <f t="shared" si="2"/>
        <v>0</v>
      </c>
      <c r="L26" s="575">
        <f t="shared" si="15"/>
        <v>238500</v>
      </c>
      <c r="M26" s="295">
        <f t="shared" si="3"/>
        <v>0</v>
      </c>
      <c r="N26" s="295">
        <f t="shared" si="16"/>
        <v>0</v>
      </c>
      <c r="O26" s="199"/>
      <c r="P26" s="296">
        <f t="shared" si="17"/>
        <v>10873</v>
      </c>
      <c r="Q26" s="295" t="str">
        <f t="shared" si="30"/>
        <v>ok</v>
      </c>
      <c r="R26" s="276">
        <v>11539</v>
      </c>
      <c r="S26" s="295">
        <f t="shared" si="5"/>
        <v>11</v>
      </c>
      <c r="T26" s="575">
        <v>321052</v>
      </c>
      <c r="U26" s="295">
        <f t="shared" si="31"/>
        <v>2684</v>
      </c>
      <c r="V26" s="295">
        <f t="shared" si="18"/>
        <v>244</v>
      </c>
      <c r="W26" s="199"/>
      <c r="X26" s="296">
        <f t="shared" si="19"/>
        <v>12249</v>
      </c>
      <c r="Y26" s="295" t="str">
        <f t="shared" si="32"/>
        <v>ok</v>
      </c>
      <c r="Z26" s="295">
        <f t="shared" si="8"/>
        <v>17</v>
      </c>
      <c r="AA26" s="295">
        <f t="shared" si="20"/>
        <v>3929</v>
      </c>
      <c r="AB26" s="295">
        <f t="shared" si="21"/>
        <v>451.5</v>
      </c>
      <c r="AC26" s="295">
        <f t="shared" si="22"/>
        <v>231.11764705882354</v>
      </c>
      <c r="AD26" s="73">
        <f>ELEC!Q26</f>
        <v>15000</v>
      </c>
      <c r="AE26" s="73">
        <f t="shared" si="24"/>
        <v>882.35294117647061</v>
      </c>
      <c r="AF26" s="413">
        <f t="shared" si="25"/>
        <v>0.55147058823529416</v>
      </c>
      <c r="AG26" s="414">
        <f t="shared" si="26"/>
        <v>176.47058823529414</v>
      </c>
      <c r="AH26" s="414">
        <f t="shared" si="23"/>
        <v>54.647058823529392</v>
      </c>
      <c r="AI26" s="73">
        <f t="shared" si="27"/>
        <v>3860.7594936708865</v>
      </c>
      <c r="AJ26" s="297">
        <f t="shared" si="9"/>
        <v>0.25738396624472576</v>
      </c>
      <c r="AK26" s="297">
        <f t="shared" si="29"/>
        <v>227.10349962769919</v>
      </c>
    </row>
    <row r="27" spans="1:37" ht="15.75" thickBot="1">
      <c r="A27" s="4">
        <f>ELEC!C27</f>
        <v>44037</v>
      </c>
      <c r="B27" s="574">
        <f t="shared" ref="B27:B33" si="34">B26</f>
        <v>8941</v>
      </c>
      <c r="C27" s="295">
        <f t="shared" si="11"/>
        <v>0</v>
      </c>
      <c r="D27" s="575">
        <f t="shared" ref="D27:D33" si="35">D26</f>
        <v>191483</v>
      </c>
      <c r="E27" s="295">
        <f t="shared" si="12"/>
        <v>0</v>
      </c>
      <c r="F27" s="295">
        <f t="shared" si="0"/>
        <v>0</v>
      </c>
      <c r="G27" s="199"/>
      <c r="H27" s="296">
        <f t="shared" si="33"/>
        <v>9100</v>
      </c>
      <c r="I27" s="295" t="str">
        <f>IF(B27-H27&lt;=0,"ok","oil change")</f>
        <v>ok</v>
      </c>
      <c r="J27" s="276">
        <v>10698</v>
      </c>
      <c r="K27" s="295">
        <f t="shared" si="2"/>
        <v>0</v>
      </c>
      <c r="L27" s="575">
        <f t="shared" si="15"/>
        <v>238500</v>
      </c>
      <c r="M27" s="295">
        <f t="shared" si="3"/>
        <v>0</v>
      </c>
      <c r="N27" s="295">
        <f t="shared" si="16"/>
        <v>0</v>
      </c>
      <c r="O27" s="199"/>
      <c r="P27" s="296">
        <f t="shared" si="17"/>
        <v>10873</v>
      </c>
      <c r="Q27" s="295" t="str">
        <f t="shared" si="30"/>
        <v>ok</v>
      </c>
      <c r="R27" s="276">
        <v>11548</v>
      </c>
      <c r="S27" s="295">
        <f t="shared" si="5"/>
        <v>9</v>
      </c>
      <c r="T27" s="575">
        <v>322728</v>
      </c>
      <c r="U27" s="295">
        <f t="shared" si="31"/>
        <v>1676</v>
      </c>
      <c r="V27" s="295">
        <f t="shared" si="18"/>
        <v>186.22222222222223</v>
      </c>
      <c r="W27" s="199"/>
      <c r="X27" s="296">
        <f t="shared" si="19"/>
        <v>12249</v>
      </c>
      <c r="Y27" s="295" t="str">
        <f t="shared" si="32"/>
        <v>ok</v>
      </c>
      <c r="Z27" s="295">
        <f t="shared" si="8"/>
        <v>9</v>
      </c>
      <c r="AA27" s="295">
        <f t="shared" si="20"/>
        <v>1676</v>
      </c>
      <c r="AB27" s="295">
        <f t="shared" si="21"/>
        <v>186.22222222222223</v>
      </c>
      <c r="AC27" s="295">
        <f t="shared" si="22"/>
        <v>186.22222222222223</v>
      </c>
      <c r="AD27" s="73">
        <f>ELEC!Q27</f>
        <v>9000</v>
      </c>
      <c r="AE27" s="73">
        <f t="shared" si="24"/>
        <v>1000</v>
      </c>
      <c r="AF27" s="413">
        <f t="shared" si="25"/>
        <v>0.625</v>
      </c>
      <c r="AG27" s="414">
        <f t="shared" si="26"/>
        <v>200</v>
      </c>
      <c r="AH27" s="414">
        <f t="shared" si="23"/>
        <v>-13.777777777777771</v>
      </c>
      <c r="AI27" s="73">
        <f t="shared" si="27"/>
        <v>2316.4556962025317</v>
      </c>
      <c r="AJ27" s="297">
        <f t="shared" si="9"/>
        <v>0.25738396624472576</v>
      </c>
      <c r="AK27" s="297">
        <f t="shared" si="29"/>
        <v>257.38396624472574</v>
      </c>
    </row>
    <row r="28" spans="1:37" ht="15.75" thickBot="1">
      <c r="A28" s="4">
        <f>ELEC!C28</f>
        <v>44038</v>
      </c>
      <c r="B28" s="574">
        <f t="shared" si="34"/>
        <v>8941</v>
      </c>
      <c r="C28" s="295">
        <f t="shared" si="11"/>
        <v>0</v>
      </c>
      <c r="D28" s="575">
        <f t="shared" si="35"/>
        <v>191483</v>
      </c>
      <c r="E28" s="295">
        <f t="shared" si="12"/>
        <v>0</v>
      </c>
      <c r="F28" s="295">
        <f t="shared" si="0"/>
        <v>0</v>
      </c>
      <c r="G28" s="293"/>
      <c r="H28" s="296">
        <f t="shared" si="33"/>
        <v>9100</v>
      </c>
      <c r="I28" s="295" t="str">
        <f t="shared" si="1"/>
        <v>ok</v>
      </c>
      <c r="J28" s="276">
        <f t="shared" si="14"/>
        <v>10698</v>
      </c>
      <c r="K28" s="295">
        <f t="shared" si="2"/>
        <v>0</v>
      </c>
      <c r="L28" s="575">
        <f t="shared" si="15"/>
        <v>238500</v>
      </c>
      <c r="M28" s="295">
        <f t="shared" si="3"/>
        <v>0</v>
      </c>
      <c r="N28" s="295">
        <f t="shared" si="16"/>
        <v>0</v>
      </c>
      <c r="O28" s="199"/>
      <c r="P28" s="296">
        <f t="shared" si="17"/>
        <v>10873</v>
      </c>
      <c r="Q28" s="295" t="str">
        <f t="shared" si="30"/>
        <v>ok</v>
      </c>
      <c r="R28" s="276">
        <f t="shared" ref="R28:R33" si="36">R27</f>
        <v>11548</v>
      </c>
      <c r="S28" s="295">
        <f t="shared" si="5"/>
        <v>0</v>
      </c>
      <c r="T28" s="575">
        <f t="shared" ref="T28:T33" si="37">T27</f>
        <v>322728</v>
      </c>
      <c r="U28" s="295">
        <f t="shared" si="31"/>
        <v>0</v>
      </c>
      <c r="V28" s="295">
        <f t="shared" si="18"/>
        <v>0</v>
      </c>
      <c r="W28" s="199"/>
      <c r="X28" s="296">
        <f t="shared" si="19"/>
        <v>12249</v>
      </c>
      <c r="Y28" s="295" t="str">
        <f t="shared" si="32"/>
        <v>ok</v>
      </c>
      <c r="Z28" s="295">
        <f t="shared" si="8"/>
        <v>0</v>
      </c>
      <c r="AA28" s="295">
        <f t="shared" si="20"/>
        <v>0</v>
      </c>
      <c r="AB28" s="295">
        <f t="shared" si="21"/>
        <v>0</v>
      </c>
      <c r="AC28" s="295">
        <f t="shared" si="22"/>
        <v>0</v>
      </c>
      <c r="AD28" s="73">
        <f>ELEC!Q28</f>
        <v>0</v>
      </c>
      <c r="AE28" s="73" t="e">
        <f t="shared" si="24"/>
        <v>#DIV/0!</v>
      </c>
      <c r="AF28" s="413" t="e">
        <f t="shared" si="25"/>
        <v>#DIV/0!</v>
      </c>
      <c r="AG28" s="414" t="e">
        <f t="shared" si="26"/>
        <v>#DIV/0!</v>
      </c>
      <c r="AH28" s="414" t="e">
        <f t="shared" si="23"/>
        <v>#DIV/0!</v>
      </c>
      <c r="AI28" s="73">
        <f t="shared" si="27"/>
        <v>0</v>
      </c>
      <c r="AJ28" s="297">
        <f t="shared" si="9"/>
        <v>0.25738396624472576</v>
      </c>
      <c r="AK28" s="297">
        <f t="shared" si="29"/>
        <v>0</v>
      </c>
    </row>
    <row r="29" spans="1:37" ht="15.75" thickBot="1">
      <c r="A29" s="4">
        <f>ELEC!C29</f>
        <v>44039</v>
      </c>
      <c r="B29" s="574">
        <f t="shared" si="34"/>
        <v>8941</v>
      </c>
      <c r="C29" s="295">
        <f t="shared" si="11"/>
        <v>0</v>
      </c>
      <c r="D29" s="575">
        <f t="shared" si="35"/>
        <v>191483</v>
      </c>
      <c r="E29" s="295">
        <f>SUM(D29-D28)</f>
        <v>0</v>
      </c>
      <c r="F29" s="295">
        <f t="shared" si="0"/>
        <v>0</v>
      </c>
      <c r="G29" s="199"/>
      <c r="H29" s="296">
        <f t="shared" si="33"/>
        <v>9100</v>
      </c>
      <c r="I29" s="295" t="str">
        <f t="shared" si="1"/>
        <v>ok</v>
      </c>
      <c r="J29" s="276">
        <f t="shared" si="14"/>
        <v>10698</v>
      </c>
      <c r="K29" s="295">
        <f t="shared" si="2"/>
        <v>0</v>
      </c>
      <c r="L29" s="575">
        <f t="shared" si="15"/>
        <v>238500</v>
      </c>
      <c r="M29" s="295">
        <f t="shared" si="3"/>
        <v>0</v>
      </c>
      <c r="N29" s="295">
        <f t="shared" si="16"/>
        <v>0</v>
      </c>
      <c r="O29" s="199"/>
      <c r="P29" s="296">
        <f t="shared" si="17"/>
        <v>10873</v>
      </c>
      <c r="Q29" s="295" t="str">
        <f t="shared" si="30"/>
        <v>ok</v>
      </c>
      <c r="R29" s="276">
        <f t="shared" si="36"/>
        <v>11548</v>
      </c>
      <c r="S29" s="295">
        <f t="shared" si="5"/>
        <v>0</v>
      </c>
      <c r="T29" s="575">
        <f t="shared" si="37"/>
        <v>322728</v>
      </c>
      <c r="U29" s="295">
        <f t="shared" si="31"/>
        <v>0</v>
      </c>
      <c r="V29" s="295">
        <f t="shared" si="18"/>
        <v>0</v>
      </c>
      <c r="W29" s="199"/>
      <c r="X29" s="296">
        <f t="shared" si="19"/>
        <v>12249</v>
      </c>
      <c r="Y29" s="295" t="str">
        <f t="shared" si="32"/>
        <v>ok</v>
      </c>
      <c r="Z29" s="295">
        <f t="shared" si="8"/>
        <v>0</v>
      </c>
      <c r="AA29" s="295">
        <f t="shared" si="20"/>
        <v>0</v>
      </c>
      <c r="AB29" s="295">
        <f t="shared" si="21"/>
        <v>0</v>
      </c>
      <c r="AC29" s="295">
        <f t="shared" si="22"/>
        <v>0</v>
      </c>
      <c r="AD29" s="73">
        <f>ELEC!Q29</f>
        <v>0</v>
      </c>
      <c r="AE29" s="73" t="e">
        <f t="shared" si="24"/>
        <v>#DIV/0!</v>
      </c>
      <c r="AF29" s="413" t="e">
        <f t="shared" si="25"/>
        <v>#DIV/0!</v>
      </c>
      <c r="AG29" s="414" t="e">
        <f t="shared" si="26"/>
        <v>#DIV/0!</v>
      </c>
      <c r="AH29" s="414" t="e">
        <f t="shared" si="23"/>
        <v>#DIV/0!</v>
      </c>
      <c r="AI29" s="73">
        <f t="shared" si="27"/>
        <v>0</v>
      </c>
      <c r="AJ29" s="297">
        <f t="shared" si="9"/>
        <v>0.25738396624472576</v>
      </c>
      <c r="AK29" s="297">
        <f t="shared" si="29"/>
        <v>0</v>
      </c>
    </row>
    <row r="30" spans="1:37" ht="15.75" thickBot="1">
      <c r="A30" s="4">
        <f>ELEC!C30</f>
        <v>44040</v>
      </c>
      <c r="B30" s="574">
        <f t="shared" si="34"/>
        <v>8941</v>
      </c>
      <c r="C30" s="295">
        <f t="shared" si="11"/>
        <v>0</v>
      </c>
      <c r="D30" s="575">
        <f t="shared" si="35"/>
        <v>191483</v>
      </c>
      <c r="E30" s="295">
        <f t="shared" si="12"/>
        <v>0</v>
      </c>
      <c r="F30" s="295">
        <f t="shared" si="0"/>
        <v>0</v>
      </c>
      <c r="G30" s="199"/>
      <c r="H30" s="296">
        <f t="shared" si="33"/>
        <v>9100</v>
      </c>
      <c r="I30" s="295" t="str">
        <f t="shared" si="1"/>
        <v>ok</v>
      </c>
      <c r="J30" s="276">
        <f t="shared" si="14"/>
        <v>10698</v>
      </c>
      <c r="K30" s="295">
        <f t="shared" si="2"/>
        <v>0</v>
      </c>
      <c r="L30" s="575">
        <f t="shared" si="15"/>
        <v>238500</v>
      </c>
      <c r="M30" s="295">
        <f t="shared" si="3"/>
        <v>0</v>
      </c>
      <c r="N30" s="295">
        <f t="shared" si="16"/>
        <v>0</v>
      </c>
      <c r="O30" s="199"/>
      <c r="P30" s="296">
        <f t="shared" si="17"/>
        <v>10873</v>
      </c>
      <c r="Q30" s="295" t="str">
        <f t="shared" si="30"/>
        <v>ok</v>
      </c>
      <c r="R30" s="276">
        <f t="shared" si="36"/>
        <v>11548</v>
      </c>
      <c r="S30" s="295">
        <f t="shared" si="5"/>
        <v>0</v>
      </c>
      <c r="T30" s="575">
        <f t="shared" si="37"/>
        <v>322728</v>
      </c>
      <c r="U30" s="295">
        <f t="shared" si="31"/>
        <v>0</v>
      </c>
      <c r="V30" s="295">
        <f t="shared" si="18"/>
        <v>0</v>
      </c>
      <c r="W30" s="293"/>
      <c r="X30" s="296">
        <f t="shared" si="19"/>
        <v>12249</v>
      </c>
      <c r="Y30" s="295" t="str">
        <f t="shared" si="32"/>
        <v>ok</v>
      </c>
      <c r="Z30" s="295">
        <f t="shared" si="8"/>
        <v>0</v>
      </c>
      <c r="AA30" s="295">
        <f t="shared" si="20"/>
        <v>0</v>
      </c>
      <c r="AB30" s="295">
        <f t="shared" si="21"/>
        <v>0</v>
      </c>
      <c r="AC30" s="295">
        <f t="shared" si="22"/>
        <v>0</v>
      </c>
      <c r="AD30" s="73">
        <f>ELEC!Q30</f>
        <v>0</v>
      </c>
      <c r="AE30" s="73" t="e">
        <f t="shared" si="24"/>
        <v>#DIV/0!</v>
      </c>
      <c r="AF30" s="413" t="e">
        <f t="shared" si="25"/>
        <v>#DIV/0!</v>
      </c>
      <c r="AG30" s="414" t="e">
        <f t="shared" si="26"/>
        <v>#DIV/0!</v>
      </c>
      <c r="AH30" s="414" t="e">
        <f t="shared" si="23"/>
        <v>#DIV/0!</v>
      </c>
      <c r="AI30" s="73">
        <f t="shared" si="27"/>
        <v>0</v>
      </c>
      <c r="AJ30" s="297">
        <f t="shared" si="9"/>
        <v>0.25738396624472576</v>
      </c>
      <c r="AK30" s="297">
        <f t="shared" si="29"/>
        <v>0</v>
      </c>
    </row>
    <row r="31" spans="1:37" ht="15.75" thickBot="1">
      <c r="A31" s="4">
        <f>ELEC!C31</f>
        <v>44041</v>
      </c>
      <c r="B31" s="574">
        <f t="shared" si="34"/>
        <v>8941</v>
      </c>
      <c r="C31" s="295">
        <f t="shared" si="11"/>
        <v>0</v>
      </c>
      <c r="D31" s="575">
        <f t="shared" si="35"/>
        <v>191483</v>
      </c>
      <c r="E31" s="295">
        <f t="shared" si="12"/>
        <v>0</v>
      </c>
      <c r="F31" s="295">
        <f t="shared" si="0"/>
        <v>0</v>
      </c>
      <c r="G31" s="199"/>
      <c r="H31" s="296">
        <f t="shared" si="33"/>
        <v>9100</v>
      </c>
      <c r="I31" s="295" t="str">
        <f t="shared" si="1"/>
        <v>ok</v>
      </c>
      <c r="J31" s="276">
        <f t="shared" si="14"/>
        <v>10698</v>
      </c>
      <c r="K31" s="295">
        <f t="shared" si="2"/>
        <v>0</v>
      </c>
      <c r="L31" s="575">
        <f t="shared" si="15"/>
        <v>238500</v>
      </c>
      <c r="M31" s="295">
        <f t="shared" si="3"/>
        <v>0</v>
      </c>
      <c r="N31" s="295">
        <f t="shared" si="16"/>
        <v>0</v>
      </c>
      <c r="O31" s="199"/>
      <c r="P31" s="296">
        <f t="shared" si="17"/>
        <v>10873</v>
      </c>
      <c r="Q31" s="295" t="str">
        <f t="shared" si="30"/>
        <v>ok</v>
      </c>
      <c r="R31" s="276">
        <f t="shared" si="36"/>
        <v>11548</v>
      </c>
      <c r="S31" s="295">
        <f t="shared" si="5"/>
        <v>0</v>
      </c>
      <c r="T31" s="575">
        <f t="shared" si="37"/>
        <v>322728</v>
      </c>
      <c r="U31" s="295">
        <f t="shared" si="31"/>
        <v>0</v>
      </c>
      <c r="V31" s="295">
        <f t="shared" si="18"/>
        <v>0</v>
      </c>
      <c r="W31" s="199"/>
      <c r="X31" s="296">
        <f t="shared" si="19"/>
        <v>12249</v>
      </c>
      <c r="Y31" s="295" t="str">
        <f t="shared" si="32"/>
        <v>ok</v>
      </c>
      <c r="Z31" s="295">
        <f t="shared" si="8"/>
        <v>0</v>
      </c>
      <c r="AA31" s="295">
        <f t="shared" si="20"/>
        <v>0</v>
      </c>
      <c r="AB31" s="295">
        <f t="shared" si="21"/>
        <v>0</v>
      </c>
      <c r="AC31" s="295">
        <f t="shared" si="22"/>
        <v>0</v>
      </c>
      <c r="AD31" s="73">
        <f>ELEC!Q31</f>
        <v>0</v>
      </c>
      <c r="AE31" s="73" t="e">
        <f t="shared" si="24"/>
        <v>#DIV/0!</v>
      </c>
      <c r="AF31" s="413" t="e">
        <f t="shared" si="25"/>
        <v>#DIV/0!</v>
      </c>
      <c r="AG31" s="414" t="e">
        <f t="shared" si="26"/>
        <v>#DIV/0!</v>
      </c>
      <c r="AH31" s="414" t="e">
        <f t="shared" si="23"/>
        <v>#DIV/0!</v>
      </c>
      <c r="AI31" s="73">
        <f t="shared" si="27"/>
        <v>0</v>
      </c>
      <c r="AJ31" s="297">
        <f t="shared" si="9"/>
        <v>0.25738396624472576</v>
      </c>
      <c r="AK31" s="297">
        <f t="shared" si="29"/>
        <v>0</v>
      </c>
    </row>
    <row r="32" spans="1:37" ht="15.75" thickBot="1">
      <c r="A32" s="4">
        <f>ELEC!C32</f>
        <v>44042</v>
      </c>
      <c r="B32" s="574">
        <f t="shared" si="34"/>
        <v>8941</v>
      </c>
      <c r="C32" s="295">
        <f t="shared" si="11"/>
        <v>0</v>
      </c>
      <c r="D32" s="575">
        <f t="shared" si="35"/>
        <v>191483</v>
      </c>
      <c r="E32" s="295">
        <f t="shared" si="12"/>
        <v>0</v>
      </c>
      <c r="F32" s="295">
        <f t="shared" si="0"/>
        <v>0</v>
      </c>
      <c r="G32" s="199"/>
      <c r="H32" s="296">
        <f t="shared" si="33"/>
        <v>9100</v>
      </c>
      <c r="I32" s="295" t="str">
        <f t="shared" si="1"/>
        <v>ok</v>
      </c>
      <c r="J32" s="276">
        <f t="shared" si="14"/>
        <v>10698</v>
      </c>
      <c r="K32" s="295">
        <f>J32-J31</f>
        <v>0</v>
      </c>
      <c r="L32" s="575">
        <f t="shared" si="15"/>
        <v>238500</v>
      </c>
      <c r="M32" s="295">
        <f t="shared" si="3"/>
        <v>0</v>
      </c>
      <c r="N32" s="295">
        <f t="shared" si="16"/>
        <v>0</v>
      </c>
      <c r="O32" s="199"/>
      <c r="P32" s="296">
        <f t="shared" si="17"/>
        <v>10873</v>
      </c>
      <c r="Q32" s="295" t="str">
        <f t="shared" si="30"/>
        <v>ok</v>
      </c>
      <c r="R32" s="276">
        <f t="shared" si="36"/>
        <v>11548</v>
      </c>
      <c r="S32" s="295">
        <f t="shared" si="5"/>
        <v>0</v>
      </c>
      <c r="T32" s="575">
        <f t="shared" si="37"/>
        <v>322728</v>
      </c>
      <c r="U32" s="295">
        <f t="shared" si="31"/>
        <v>0</v>
      </c>
      <c r="V32" s="295">
        <f t="shared" si="18"/>
        <v>0</v>
      </c>
      <c r="W32" s="199"/>
      <c r="X32" s="296">
        <f t="shared" si="19"/>
        <v>12249</v>
      </c>
      <c r="Y32" s="295" t="str">
        <f t="shared" si="32"/>
        <v>ok</v>
      </c>
      <c r="Z32" s="295">
        <f t="shared" si="8"/>
        <v>0</v>
      </c>
      <c r="AA32" s="295">
        <f t="shared" si="20"/>
        <v>0</v>
      </c>
      <c r="AB32" s="295">
        <f t="shared" si="21"/>
        <v>0</v>
      </c>
      <c r="AC32" s="295">
        <f t="shared" si="22"/>
        <v>0</v>
      </c>
      <c r="AD32" s="73">
        <f>ELEC!Q32</f>
        <v>0</v>
      </c>
      <c r="AE32" s="73" t="e">
        <f t="shared" si="24"/>
        <v>#DIV/0!</v>
      </c>
      <c r="AF32" s="413" t="e">
        <f t="shared" si="25"/>
        <v>#DIV/0!</v>
      </c>
      <c r="AG32" s="414" t="e">
        <f t="shared" si="26"/>
        <v>#DIV/0!</v>
      </c>
      <c r="AH32" s="414" t="e">
        <f t="shared" si="23"/>
        <v>#DIV/0!</v>
      </c>
      <c r="AI32" s="73">
        <f t="shared" si="27"/>
        <v>0</v>
      </c>
      <c r="AJ32" s="297">
        <f t="shared" si="9"/>
        <v>0.25738396624472576</v>
      </c>
      <c r="AK32" s="297">
        <f t="shared" si="29"/>
        <v>0</v>
      </c>
    </row>
    <row r="33" spans="1:37">
      <c r="A33" s="4">
        <f>ELEC!C33</f>
        <v>44043</v>
      </c>
      <c r="B33" s="574">
        <f t="shared" si="34"/>
        <v>8941</v>
      </c>
      <c r="C33" s="295">
        <f t="shared" ref="C33" si="38">B33-B32</f>
        <v>0</v>
      </c>
      <c r="D33" s="575">
        <f t="shared" si="35"/>
        <v>191483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3"/>
        <v>9100</v>
      </c>
      <c r="I33" s="295" t="str">
        <f t="shared" ref="I33" si="41">IF(B33-H33&lt;=0,"ok","oil change")</f>
        <v>ok</v>
      </c>
      <c r="J33" s="276">
        <f t="shared" si="14"/>
        <v>10698</v>
      </c>
      <c r="K33" s="295">
        <f>J33-J32</f>
        <v>0</v>
      </c>
      <c r="L33" s="575">
        <f t="shared" si="15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7"/>
        <v>10873</v>
      </c>
      <c r="Q33" s="295" t="str">
        <f t="shared" ref="Q33" si="44">IF(J33-P33&lt;=0,"ok","oil change")</f>
        <v>ok</v>
      </c>
      <c r="R33" s="276">
        <f t="shared" si="36"/>
        <v>11548</v>
      </c>
      <c r="S33" s="295">
        <f t="shared" ref="S33" si="45">R33-R32</f>
        <v>0</v>
      </c>
      <c r="T33" s="575">
        <f t="shared" si="37"/>
        <v>322728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9"/>
        <v>12249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460</v>
      </c>
      <c r="V34" s="40"/>
      <c r="X34">
        <v>341</v>
      </c>
      <c r="Z34" s="432">
        <f>SUM(Z3:Z32)</f>
        <v>460</v>
      </c>
    </row>
    <row r="35" spans="1:37">
      <c r="C35" s="40">
        <f>SUM(C3:C32)</f>
        <v>164</v>
      </c>
      <c r="K35" s="40">
        <f>SUM(K3:K32)</f>
        <v>0</v>
      </c>
      <c r="S35" s="40">
        <f>SUM(S3:S32)</f>
        <v>296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16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18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2161</v>
      </c>
      <c r="E6" s="3">
        <f>ELEC!Q24</f>
        <v>16000</v>
      </c>
      <c r="F6" s="3">
        <f>GEN!Z6</f>
        <v>21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18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21</v>
      </c>
      <c r="G8" s="3">
        <f>WATER!C11+WATER!H11</f>
        <v>227</v>
      </c>
      <c r="H8" s="3">
        <f>WATER!L11</f>
        <v>6</v>
      </c>
      <c r="I8" s="15">
        <f>WATER!BC11+WATER!BD11+WATER!BE12-Sheet1!G8</f>
        <v>-255.79999999999998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18</v>
      </c>
      <c r="G9" s="3">
        <f>WATER!C12+WATER!H12</f>
        <v>201</v>
      </c>
      <c r="H9" s="3">
        <f>WATER!L12</f>
        <v>8</v>
      </c>
      <c r="I9" s="15">
        <f>WATER!BC12+WATER!BD12+WATER!BE13-Sheet1!G9</f>
        <v>-244.5</v>
      </c>
      <c r="J9" s="9">
        <f>'B5'!A11</f>
        <v>44019</v>
      </c>
    </row>
    <row r="10" spans="1:10">
      <c r="A10" s="3">
        <f>ELEC!T11+ELEC!X11+ELEC!AB11</f>
        <v>22</v>
      </c>
      <c r="B10" s="3">
        <f>ELEC!AF11</f>
        <v>4927</v>
      </c>
      <c r="C10" s="3">
        <f>ELEC!N11</f>
        <v>18109</v>
      </c>
      <c r="D10" s="3">
        <f t="shared" si="0"/>
        <v>-1891</v>
      </c>
      <c r="E10" s="3">
        <f>ELEC!Q11</f>
        <v>20000</v>
      </c>
      <c r="F10" s="3">
        <f>GEN!Z10</f>
        <v>24</v>
      </c>
      <c r="G10" s="3">
        <f>WATER!C13+WATER!H13</f>
        <v>0</v>
      </c>
      <c r="H10" s="3">
        <f>WATER!L13</f>
        <v>5</v>
      </c>
      <c r="I10" s="15">
        <f>WATER!BC13+WATER!BD13+WATER!BE14-Sheet1!G10</f>
        <v>-22.199999999999989</v>
      </c>
      <c r="J10" s="9">
        <f>'B5'!A12</f>
        <v>44020</v>
      </c>
    </row>
    <row r="11" spans="1:10">
      <c r="A11" s="3">
        <f>ELEC!T12+ELEC!X12+ELEC!AB12</f>
        <v>23</v>
      </c>
      <c r="B11" s="3">
        <f>ELEC!AF12</f>
        <v>4849</v>
      </c>
      <c r="C11" s="3">
        <f>ELEC!N12</f>
        <v>20053</v>
      </c>
      <c r="D11" s="3">
        <f t="shared" si="0"/>
        <v>3053</v>
      </c>
      <c r="E11" s="3">
        <f>ELEC!Q12</f>
        <v>17000</v>
      </c>
      <c r="F11" s="3">
        <f>GEN!Z11</f>
        <v>18</v>
      </c>
      <c r="G11" s="3">
        <f>WATER!C14+WATER!H14</f>
        <v>0</v>
      </c>
      <c r="H11" s="3">
        <f>WATER!L14</f>
        <v>7</v>
      </c>
      <c r="I11" s="15">
        <f>WATER!BC14+WATER!BD14+WATER!BE15-Sheet1!G11</f>
        <v>-92.90000000000002</v>
      </c>
      <c r="J11" s="9">
        <f>'B5'!A13</f>
        <v>44021</v>
      </c>
    </row>
    <row r="12" spans="1:10">
      <c r="A12" s="3">
        <f>ELEC!T13+ELEC!X13+ELEC!AB13</f>
        <v>23</v>
      </c>
      <c r="B12" s="3">
        <f>ELEC!AF13</f>
        <v>5391</v>
      </c>
      <c r="C12" s="3">
        <f>ELEC!N13</f>
        <v>21073</v>
      </c>
      <c r="D12" s="3">
        <f t="shared" si="0"/>
        <v>3073</v>
      </c>
      <c r="E12" s="3">
        <f>ELEC!Q13</f>
        <v>18000</v>
      </c>
      <c r="F12" s="3">
        <f>GEN!Z12</f>
        <v>21</v>
      </c>
      <c r="G12" s="3">
        <f>WATER!C15+WATER!H15</f>
        <v>112</v>
      </c>
      <c r="H12" s="3">
        <f>WATER!L15</f>
        <v>7</v>
      </c>
      <c r="I12" s="15">
        <f>WATER!BC15+WATER!BD15+WATER!BE16-Sheet1!G12</f>
        <v>-168.60000000000002</v>
      </c>
      <c r="J12" s="9">
        <f>'B5'!A14</f>
        <v>44022</v>
      </c>
    </row>
    <row r="13" spans="1:10">
      <c r="A13" s="3">
        <f>ELEC!T14+ELEC!X14+ELEC!AB14</f>
        <v>23</v>
      </c>
      <c r="B13" s="3">
        <f>ELEC!AF14</f>
        <v>5061</v>
      </c>
      <c r="C13" s="3">
        <f>ELEC!N14</f>
        <v>20084</v>
      </c>
      <c r="D13" s="3">
        <f t="shared" si="0"/>
        <v>1084</v>
      </c>
      <c r="E13" s="3">
        <f>ELEC!Q14</f>
        <v>19000</v>
      </c>
      <c r="F13" s="3">
        <f>GEN!Z13</f>
        <v>19</v>
      </c>
      <c r="G13" s="3">
        <f>WATER!C16+WATER!H16</f>
        <v>0</v>
      </c>
      <c r="H13" s="3">
        <f>WATER!L16</f>
        <v>4</v>
      </c>
      <c r="I13" s="15">
        <f>WATER!BC16+WATER!BD16+WATER!BE17-Sheet1!G13</f>
        <v>2.8000000000000398</v>
      </c>
      <c r="J13" s="9">
        <f>'B5'!A15</f>
        <v>44023</v>
      </c>
    </row>
    <row r="14" spans="1:10">
      <c r="A14" s="3">
        <f>ELEC!T15+ELEC!X15+ELEC!AB15</f>
        <v>22</v>
      </c>
      <c r="B14" s="3">
        <f>ELEC!AF15</f>
        <v>4804</v>
      </c>
      <c r="C14" s="3">
        <f>ELEC!N15</f>
        <v>19864</v>
      </c>
      <c r="D14" s="3">
        <f t="shared" si="0"/>
        <v>5864</v>
      </c>
      <c r="E14" s="3">
        <f>ELEC!Q15</f>
        <v>14000</v>
      </c>
      <c r="F14" s="3">
        <f>GEN!Z14</f>
        <v>22</v>
      </c>
      <c r="G14" s="3">
        <f>WATER!C17+WATER!H17</f>
        <v>271</v>
      </c>
      <c r="H14" s="3">
        <f>WATER!L17</f>
        <v>11</v>
      </c>
      <c r="I14" s="15">
        <f>WATER!BC17+WATER!BD17+WATER!BE18-Sheet1!G14</f>
        <v>-312</v>
      </c>
      <c r="J14" s="9">
        <f>'B5'!A16</f>
        <v>44024</v>
      </c>
    </row>
    <row r="15" spans="1:10">
      <c r="A15" s="3">
        <f>ELEC!T16+ELEC!X16+ELEC!AB16</f>
        <v>24</v>
      </c>
      <c r="B15" s="3">
        <f>ELEC!AF16</f>
        <v>5017</v>
      </c>
      <c r="C15" s="3">
        <f>ELEC!N16</f>
        <v>19752</v>
      </c>
      <c r="D15" s="3">
        <f t="shared" si="0"/>
        <v>1752</v>
      </c>
      <c r="E15" s="3">
        <f>ELEC!Q16</f>
        <v>18000</v>
      </c>
      <c r="F15" s="3">
        <f>GEN!Z15</f>
        <v>18</v>
      </c>
      <c r="G15" s="3">
        <f>WATER!C18+WATER!H18</f>
        <v>0</v>
      </c>
      <c r="H15" s="3">
        <f>WATER!L18</f>
        <v>4</v>
      </c>
      <c r="I15" s="15">
        <f>WATER!BC18+WATER!BD18+WATER!BE19-Sheet1!G15</f>
        <v>-38.700000000000017</v>
      </c>
      <c r="J15" s="9">
        <f>'B5'!A17</f>
        <v>44025</v>
      </c>
    </row>
    <row r="16" spans="1:10">
      <c r="A16" s="3">
        <f>ELEC!T17+ELEC!X17+ELEC!AB17</f>
        <v>21</v>
      </c>
      <c r="B16" s="3">
        <f>ELEC!AF17</f>
        <v>5396</v>
      </c>
      <c r="C16" s="3">
        <f>ELEC!N17</f>
        <v>22340</v>
      </c>
      <c r="D16" s="3">
        <f t="shared" si="0"/>
        <v>5340</v>
      </c>
      <c r="E16" s="3">
        <f>ELEC!Q17</f>
        <v>17000</v>
      </c>
      <c r="F16" s="3">
        <f>GEN!Z16</f>
        <v>22</v>
      </c>
      <c r="G16" s="3">
        <f>WATER!C19+WATER!H19</f>
        <v>224</v>
      </c>
      <c r="H16" s="3">
        <f>WATER!L19</f>
        <v>5</v>
      </c>
      <c r="I16" s="15">
        <f>WATER!BC19+WATER!BD19+WATER!BE20-Sheet1!G16</f>
        <v>-256</v>
      </c>
      <c r="J16" s="9">
        <f>'B5'!A18</f>
        <v>44026</v>
      </c>
    </row>
    <row r="17" spans="1:10">
      <c r="A17" s="3">
        <f>ELEC!T18+ELEC!X18+ELEC!AB18</f>
        <v>23</v>
      </c>
      <c r="B17" s="3">
        <f>ELEC!AF18</f>
        <v>5310</v>
      </c>
      <c r="C17" s="3">
        <f>ELEC!N18</f>
        <v>20744</v>
      </c>
      <c r="D17" s="3">
        <f t="shared" si="0"/>
        <v>1744</v>
      </c>
      <c r="E17" s="3">
        <f>ELEC!Q18</f>
        <v>19000</v>
      </c>
      <c r="F17" s="3">
        <f>GEN!Z17</f>
        <v>18</v>
      </c>
      <c r="G17" s="3">
        <f>WATER!C20+WATER!H20</f>
        <v>0</v>
      </c>
      <c r="H17" s="3">
        <f>WATER!L20</f>
        <v>0</v>
      </c>
      <c r="I17" s="15">
        <f>WATER!BC20+WATER!BD20+WATER!BE21-Sheet1!G17</f>
        <v>-66.399999999999991</v>
      </c>
      <c r="J17" s="9">
        <f>'B5'!A19</f>
        <v>44027</v>
      </c>
    </row>
    <row r="18" spans="1:10">
      <c r="A18" s="3">
        <f>ELEC!T19+ELEC!X19+ELEC!AB19</f>
        <v>23</v>
      </c>
      <c r="B18" s="3">
        <f>ELEC!AF19</f>
        <v>4103</v>
      </c>
      <c r="C18" s="3">
        <f>ELEC!N19</f>
        <v>20593</v>
      </c>
      <c r="D18" s="3">
        <f t="shared" si="0"/>
        <v>3593</v>
      </c>
      <c r="E18" s="3">
        <f>ELEC!Q19</f>
        <v>17000</v>
      </c>
      <c r="F18" s="3">
        <f>GEN!Z18</f>
        <v>21</v>
      </c>
      <c r="G18" s="3">
        <f>WATER!C21+WATER!H21</f>
        <v>159</v>
      </c>
      <c r="H18" s="3">
        <f>WATER!L21</f>
        <v>8</v>
      </c>
      <c r="I18" s="15">
        <f>WATER!BC21+WATER!BD21+WATER!BE22-Sheet1!G18</f>
        <v>-288.10000000000002</v>
      </c>
      <c r="J18" s="9">
        <f>'B5'!A20</f>
        <v>44028</v>
      </c>
    </row>
    <row r="19" spans="1:10">
      <c r="A19" s="3">
        <f>ELEC!T20+ELEC!X20+ELEC!AB20</f>
        <v>22</v>
      </c>
      <c r="B19" s="3">
        <f>ELEC!AF20</f>
        <v>6017</v>
      </c>
      <c r="C19" s="3">
        <f>ELEC!N20</f>
        <v>21019</v>
      </c>
      <c r="D19" s="3">
        <f t="shared" si="0"/>
        <v>3019</v>
      </c>
      <c r="E19" s="3">
        <f>ELEC!Q20</f>
        <v>18000</v>
      </c>
      <c r="F19" s="3">
        <f>GEN!Z19</f>
        <v>19</v>
      </c>
      <c r="G19" s="3">
        <f>WATER!C22+WATER!H22</f>
        <v>63</v>
      </c>
      <c r="H19" s="3">
        <f>WATER!L22</f>
        <v>4</v>
      </c>
      <c r="I19" s="15">
        <f>WATER!BC22+WATER!BD22+WATER!BE23-Sheet1!G19</f>
        <v>-92.1</v>
      </c>
      <c r="J19" s="9">
        <f>'B5'!A21</f>
        <v>44029</v>
      </c>
    </row>
    <row r="20" spans="1:10">
      <c r="A20" s="3">
        <f>ELEC!T21+ELEC!X21+ELEC!AB21</f>
        <v>24</v>
      </c>
      <c r="B20" s="3">
        <f>ELEC!AF21</f>
        <v>5204</v>
      </c>
      <c r="C20" s="3">
        <f>ELEC!N21</f>
        <v>20427</v>
      </c>
      <c r="D20" s="3">
        <f t="shared" si="0"/>
        <v>5427</v>
      </c>
      <c r="E20" s="3">
        <f>ELEC!Q21</f>
        <v>15000</v>
      </c>
      <c r="F20" s="3">
        <f>GEN!Z20</f>
        <v>22</v>
      </c>
      <c r="G20" s="3">
        <f>WATER!C23+WATER!H23</f>
        <v>213</v>
      </c>
      <c r="H20" s="3">
        <f>WATER!L23</f>
        <v>4</v>
      </c>
      <c r="I20" s="15">
        <f>WATER!BC23+WATER!BD23+WATER!BE24-Sheet1!G20</f>
        <v>-226.4</v>
      </c>
      <c r="J20" s="9">
        <f>'B5'!A22</f>
        <v>44030</v>
      </c>
    </row>
    <row r="21" spans="1:10">
      <c r="A21" s="3">
        <f>ELEC!T22+ELEC!X22+ELEC!AB22</f>
        <v>20</v>
      </c>
      <c r="B21" s="3">
        <f>ELEC!AF22</f>
        <v>5032</v>
      </c>
      <c r="C21" s="3">
        <f>ELEC!N22</f>
        <v>19544</v>
      </c>
      <c r="D21" s="3">
        <f t="shared" si="0"/>
        <v>2544</v>
      </c>
      <c r="E21" s="3">
        <f>ELEC!Q22</f>
        <v>17000</v>
      </c>
      <c r="F21" s="3">
        <f>GEN!Z21</f>
        <v>18</v>
      </c>
      <c r="G21" s="3">
        <f>WATER!C24+WATER!H24</f>
        <v>63</v>
      </c>
      <c r="H21" s="3">
        <f>WATER!L24</f>
        <v>3</v>
      </c>
      <c r="I21" s="15">
        <f>WATER!BC24+WATER!BD24+WATER!BE25-Sheet1!G21</f>
        <v>-6.2000000000000171</v>
      </c>
      <c r="J21" s="9">
        <f>'B5'!A23</f>
        <v>44031</v>
      </c>
    </row>
    <row r="22" spans="1:10">
      <c r="A22" s="3">
        <f>ELEC!T23+ELEC!X23+ELEC!AB23</f>
        <v>24</v>
      </c>
      <c r="B22" s="3">
        <f>ELEC!AF23</f>
        <v>5965</v>
      </c>
      <c r="C22" s="3">
        <f>ELEC!N23</f>
        <v>22437</v>
      </c>
      <c r="D22" s="3">
        <f t="shared" si="0"/>
        <v>12437</v>
      </c>
      <c r="E22" s="3">
        <f>ELEC!Q23</f>
        <v>10000</v>
      </c>
      <c r="F22" s="3">
        <f>GEN!Z22</f>
        <v>19</v>
      </c>
      <c r="G22" s="3">
        <f>WATER!C25+WATER!H25</f>
        <v>321</v>
      </c>
      <c r="H22" s="3">
        <f>WATER!L25</f>
        <v>3</v>
      </c>
      <c r="I22" s="15">
        <f>WATER!BC25+WATER!BD25+WATER!BE26-Sheet1!G22</f>
        <v>-309.20000000000005</v>
      </c>
      <c r="J22" s="9">
        <f>'B5'!A24</f>
        <v>44032</v>
      </c>
    </row>
    <row r="23" spans="1:10">
      <c r="A23" s="3">
        <f>ELEC!T24+ELEC!X24+ELEC!AB24</f>
        <v>20</v>
      </c>
      <c r="B23" s="3">
        <f>ELEC!AF24</f>
        <v>5209</v>
      </c>
      <c r="C23" s="3">
        <f>ELEC!N24</f>
        <v>21541</v>
      </c>
      <c r="D23" s="3">
        <f t="shared" si="0"/>
        <v>5541</v>
      </c>
      <c r="E23" s="3">
        <f>ELEC!Q24</f>
        <v>16000</v>
      </c>
      <c r="F23" s="3">
        <f>GEN!Z23</f>
        <v>11</v>
      </c>
      <c r="G23" s="3">
        <f>WATER!C26+WATER!H26</f>
        <v>0</v>
      </c>
      <c r="H23" s="3">
        <f>WATER!L26</f>
        <v>6</v>
      </c>
      <c r="I23" s="15">
        <f>WATER!BC26+WATER!BD26+WATER!BE27-Sheet1!G23</f>
        <v>-48.699999999999996</v>
      </c>
      <c r="J23" s="9">
        <f>'B5'!A25</f>
        <v>44033</v>
      </c>
    </row>
    <row r="24" spans="1:10">
      <c r="A24" s="3">
        <f>ELEC!T25+ELEC!X25+ELEC!AB25</f>
        <v>23</v>
      </c>
      <c r="B24" s="3">
        <f>ELEC!AF25</f>
        <v>5759</v>
      </c>
      <c r="C24" s="3">
        <f>ELEC!N25</f>
        <v>22796</v>
      </c>
      <c r="D24" s="3">
        <f t="shared" si="0"/>
        <v>11796</v>
      </c>
      <c r="E24" s="3">
        <f>ELEC!Q25</f>
        <v>11000</v>
      </c>
      <c r="F24" s="3">
        <f>GEN!Z24</f>
        <v>19</v>
      </c>
      <c r="G24" s="3">
        <f>WATER!C27+WATER!H27</f>
        <v>223</v>
      </c>
      <c r="H24" s="3">
        <f>WATER!L27</f>
        <v>9</v>
      </c>
      <c r="I24" s="15">
        <f>WATER!BC27+WATER!BD27+WATER!BE28-Sheet1!G24</f>
        <v>-315.89999999999998</v>
      </c>
      <c r="J24" s="9">
        <f>'B5'!A26</f>
        <v>44034</v>
      </c>
    </row>
    <row r="25" spans="1:10">
      <c r="A25" s="3">
        <f>ELEC!T26+ELEC!X26+ELEC!AB26</f>
        <v>24</v>
      </c>
      <c r="B25" s="3">
        <f>ELEC!AF26</f>
        <v>6489</v>
      </c>
      <c r="C25" s="3">
        <f>ELEC!N26</f>
        <v>22136</v>
      </c>
      <c r="D25" s="3">
        <f t="shared" si="0"/>
        <v>7136</v>
      </c>
      <c r="E25" s="3">
        <f>ELEC!Q26</f>
        <v>15000</v>
      </c>
      <c r="F25" s="3">
        <f>GEN!Z25</f>
        <v>11</v>
      </c>
      <c r="G25" s="3">
        <f>WATER!C28+WATER!H28</f>
        <v>0</v>
      </c>
      <c r="H25" s="3">
        <f>WATER!L28</f>
        <v>9</v>
      </c>
      <c r="I25" s="15">
        <f>WATER!BC28+WATER!BD28+WATER!BE29-Sheet1!G25</f>
        <v>-2.0000000000000107</v>
      </c>
      <c r="J25" s="9">
        <f>'B5'!A27</f>
        <v>44035</v>
      </c>
    </row>
    <row r="26" spans="1:10">
      <c r="A26" s="3">
        <f>ELEC!T27+ELEC!X27+ELEC!AB27</f>
        <v>23</v>
      </c>
      <c r="B26" s="3">
        <f>ELEC!AF27</f>
        <v>6126</v>
      </c>
      <c r="C26" s="3">
        <f>ELEC!N27</f>
        <v>23351</v>
      </c>
      <c r="D26" s="3">
        <f t="shared" si="0"/>
        <v>14351</v>
      </c>
      <c r="E26" s="3">
        <f>ELEC!Q27</f>
        <v>9000</v>
      </c>
      <c r="F26" s="3">
        <f>GEN!Z26</f>
        <v>17</v>
      </c>
      <c r="G26" s="3">
        <f>WATER!C29+WATER!H29</f>
        <v>200</v>
      </c>
      <c r="H26" s="3">
        <f>WATER!L29</f>
        <v>6</v>
      </c>
      <c r="I26" s="15">
        <f>WATER!BC29+WATER!BD29+WATER!BE30-Sheet1!G26</f>
        <v>-176.3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9</v>
      </c>
      <c r="G27" s="3">
        <f>WATER!C30+WATER!H30</f>
        <v>125</v>
      </c>
      <c r="H27" s="3">
        <f>WATER!L30</f>
        <v>0</v>
      </c>
      <c r="I27" s="15">
        <f>WATER!BC30+WATER!BD30+WATER!BE31-Sheet1!G27</f>
        <v>-190.8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7"/>
      <c r="B1" s="645" t="s">
        <v>119</v>
      </c>
      <c r="C1" s="645" t="s">
        <v>118</v>
      </c>
      <c r="D1" s="649" t="s">
        <v>113</v>
      </c>
      <c r="E1" s="649" t="s">
        <v>114</v>
      </c>
      <c r="F1" s="650" t="s">
        <v>120</v>
      </c>
      <c r="G1" s="651" t="s">
        <v>75</v>
      </c>
      <c r="H1" s="642" t="s">
        <v>115</v>
      </c>
      <c r="I1" s="643" t="s">
        <v>116</v>
      </c>
      <c r="J1" s="642" t="s">
        <v>117</v>
      </c>
      <c r="K1" s="641" t="s">
        <v>121</v>
      </c>
      <c r="L1" s="641" t="s">
        <v>122</v>
      </c>
      <c r="M1" s="641" t="s">
        <v>123</v>
      </c>
      <c r="N1" s="641" t="s">
        <v>124</v>
      </c>
    </row>
    <row r="2" spans="1:14">
      <c r="A2" s="648"/>
      <c r="B2" s="646"/>
      <c r="C2" s="646"/>
      <c r="D2" s="649"/>
      <c r="E2" s="649"/>
      <c r="F2" s="650"/>
      <c r="G2" s="651"/>
      <c r="H2" s="642"/>
      <c r="I2" s="644"/>
      <c r="J2" s="642"/>
      <c r="K2" s="641"/>
      <c r="L2" s="641"/>
      <c r="M2" s="641"/>
      <c r="N2" s="64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-79.300000000000011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254</v>
      </c>
      <c r="C13" s="76">
        <f>'B5'!AH13</f>
        <v>1.9999999999708962</v>
      </c>
      <c r="D13" s="76">
        <f>GEN!AI11</f>
        <v>5147.679324894515</v>
      </c>
      <c r="E13" s="247">
        <f t="shared" si="0"/>
        <v>5403.6793248944859</v>
      </c>
      <c r="F13" s="75">
        <f>WATER!L13</f>
        <v>5</v>
      </c>
      <c r="G13" s="78">
        <f>WATER!BG13</f>
        <v>18.700000000000003</v>
      </c>
      <c r="H13" s="79">
        <f>ELEC!AF11</f>
        <v>4927</v>
      </c>
      <c r="I13" s="79">
        <f>ELEC!Q11</f>
        <v>20000</v>
      </c>
      <c r="J13" s="79">
        <f>ELEC!R11</f>
        <v>-1891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342</v>
      </c>
      <c r="C14" s="76">
        <f>'B5'!AH14</f>
        <v>0.80000000004656613</v>
      </c>
      <c r="D14" s="76">
        <f>GEN!AI12</f>
        <v>4375.5274261603381</v>
      </c>
      <c r="E14" s="247">
        <f t="shared" si="0"/>
        <v>4718.3274261603847</v>
      </c>
      <c r="F14" s="75">
        <f>WATER!L14</f>
        <v>7</v>
      </c>
      <c r="G14" s="78">
        <f>WATER!BG14</f>
        <v>-72.400000000000006</v>
      </c>
      <c r="H14" s="79">
        <f>ELEC!AF12</f>
        <v>4849</v>
      </c>
      <c r="I14" s="79">
        <f>ELEC!Q12</f>
        <v>17000</v>
      </c>
      <c r="J14" s="79">
        <f>ELEC!R12</f>
        <v>3053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115</v>
      </c>
      <c r="C15" s="76">
        <f>'B5'!AH15</f>
        <v>220</v>
      </c>
      <c r="D15" s="76">
        <f>GEN!AI13</f>
        <v>4632.9113924050635</v>
      </c>
      <c r="E15" s="247">
        <f t="shared" si="0"/>
        <v>4967.9113924050635</v>
      </c>
      <c r="F15" s="75">
        <f>WATER!L15</f>
        <v>7</v>
      </c>
      <c r="G15" s="78">
        <f>WATER!BG15</f>
        <v>-20.5</v>
      </c>
      <c r="H15" s="79">
        <f>ELEC!AF13</f>
        <v>5391</v>
      </c>
      <c r="I15" s="79">
        <f>ELEC!Q13</f>
        <v>18000</v>
      </c>
      <c r="J15" s="79">
        <f>ELEC!R13</f>
        <v>3073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220</v>
      </c>
      <c r="C16" s="76">
        <f>'B5'!AH16</f>
        <v>0</v>
      </c>
      <c r="D16" s="76">
        <f>GEN!AI14</f>
        <v>4890.2953586497897</v>
      </c>
      <c r="E16" s="247">
        <f t="shared" si="0"/>
        <v>5110.2953586497897</v>
      </c>
      <c r="F16" s="75">
        <f>WATER!L16</f>
        <v>4</v>
      </c>
      <c r="G16" s="78">
        <f>WATER!BG16</f>
        <v>-87.4</v>
      </c>
      <c r="H16" s="79">
        <f>ELEC!AF14</f>
        <v>5061</v>
      </c>
      <c r="I16" s="79">
        <f>ELEC!Q14</f>
        <v>19000</v>
      </c>
      <c r="J16" s="79">
        <f>ELEC!R14</f>
        <v>1084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165</v>
      </c>
      <c r="C17" s="76">
        <f>'B5'!AH17</f>
        <v>0</v>
      </c>
      <c r="D17" s="76">
        <f>GEN!AI15</f>
        <v>3603.3755274261607</v>
      </c>
      <c r="E17" s="247">
        <f t="shared" si="0"/>
        <v>3768.3755274261607</v>
      </c>
      <c r="F17" s="75">
        <f>WATER!L17</f>
        <v>11</v>
      </c>
      <c r="G17" s="78">
        <f>WATER!BG17</f>
        <v>74.900000000000034</v>
      </c>
      <c r="H17" s="79">
        <f>ELEC!AF15</f>
        <v>4804</v>
      </c>
      <c r="I17" s="79">
        <f>ELEC!Q15</f>
        <v>14000</v>
      </c>
      <c r="J17" s="79">
        <f>ELEC!R15</f>
        <v>5864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272</v>
      </c>
      <c r="C18" s="76">
        <f>'B5'!AH18</f>
        <v>162.09999999997672</v>
      </c>
      <c r="D18" s="76">
        <f>GEN!AI16</f>
        <v>4632.9113924050635</v>
      </c>
      <c r="E18" s="247">
        <f t="shared" si="0"/>
        <v>5067.0113924050402</v>
      </c>
      <c r="F18" s="75">
        <f>WATER!L18</f>
        <v>4</v>
      </c>
      <c r="G18" s="78">
        <f>WATER!BG18</f>
        <v>-58.300000000000026</v>
      </c>
      <c r="H18" s="79">
        <f>ELEC!AF16</f>
        <v>5017</v>
      </c>
      <c r="I18" s="79">
        <f>ELEC!Q16</f>
        <v>18000</v>
      </c>
      <c r="J18" s="79">
        <f>ELEC!R16</f>
        <v>1752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168</v>
      </c>
      <c r="C19" s="76">
        <f>'B5'!AH19</f>
        <v>284</v>
      </c>
      <c r="D19" s="76">
        <f>GEN!AI17</f>
        <v>4375.5274261603381</v>
      </c>
      <c r="E19" s="247">
        <f t="shared" si="0"/>
        <v>4827.5274261603381</v>
      </c>
      <c r="F19" s="75">
        <f>WATER!L19</f>
        <v>5</v>
      </c>
      <c r="G19" s="78">
        <f>WATER!BG19</f>
        <v>15.100000000000023</v>
      </c>
      <c r="H19" s="79">
        <f>ELEC!AF17</f>
        <v>5396</v>
      </c>
      <c r="I19" s="79">
        <f>ELEC!Q17</f>
        <v>17000</v>
      </c>
      <c r="J19" s="79">
        <f>ELEC!R17</f>
        <v>5340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182</v>
      </c>
      <c r="C20" s="76">
        <f>'B5'!AH20</f>
        <v>75</v>
      </c>
      <c r="D20" s="76">
        <f>GEN!AI18</f>
        <v>4890.2953586497897</v>
      </c>
      <c r="E20" s="247">
        <f t="shared" si="0"/>
        <v>5147.2953586497897</v>
      </c>
      <c r="F20" s="75">
        <f>WATER!L20</f>
        <v>0</v>
      </c>
      <c r="G20" s="78">
        <f>WATER!BG20</f>
        <v>-100.20000000000002</v>
      </c>
      <c r="H20" s="79">
        <f>ELEC!AF18</f>
        <v>5310</v>
      </c>
      <c r="I20" s="79">
        <f>ELEC!Q18</f>
        <v>19000</v>
      </c>
      <c r="J20" s="79">
        <f>ELEC!R18</f>
        <v>1744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188</v>
      </c>
      <c r="C21" s="76">
        <f>'B5'!AH21</f>
        <v>0</v>
      </c>
      <c r="D21" s="76">
        <f>GEN!AI19</f>
        <v>4375.5274261603381</v>
      </c>
      <c r="E21" s="247">
        <f t="shared" si="0"/>
        <v>4563.5274261603381</v>
      </c>
      <c r="F21" s="75">
        <f>WATER!L21</f>
        <v>8</v>
      </c>
      <c r="G21" s="78">
        <f>WATER!BG21</f>
        <v>-13.899999999999977</v>
      </c>
      <c r="H21" s="79">
        <f>ELEC!AF19</f>
        <v>4103</v>
      </c>
      <c r="I21" s="79">
        <f>ELEC!Q19</f>
        <v>17000</v>
      </c>
      <c r="J21" s="79">
        <f>ELEC!R19</f>
        <v>3593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180</v>
      </c>
      <c r="C22" s="76">
        <f>'B5'!AH22</f>
        <v>147</v>
      </c>
      <c r="D22" s="76">
        <f>GEN!AI20</f>
        <v>4632.9113924050635</v>
      </c>
      <c r="E22" s="247">
        <f t="shared" si="0"/>
        <v>4959.9113924050635</v>
      </c>
      <c r="F22" s="75">
        <f>WATER!L22</f>
        <v>4</v>
      </c>
      <c r="G22" s="78">
        <f>WATER!BG22</f>
        <v>-31.500000000000014</v>
      </c>
      <c r="H22" s="79">
        <f>ELEC!AF20</f>
        <v>6017</v>
      </c>
      <c r="I22" s="79">
        <f>ELEC!Q20</f>
        <v>18000</v>
      </c>
      <c r="J22" s="79">
        <f>ELEC!R20</f>
        <v>3019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143</v>
      </c>
      <c r="C23" s="76">
        <f>'B5'!AH23</f>
        <v>0</v>
      </c>
      <c r="D23" s="76">
        <f>GEN!AI21</f>
        <v>3860.7594936708865</v>
      </c>
      <c r="E23" s="247">
        <f t="shared" si="0"/>
        <v>4003.7594936708865</v>
      </c>
      <c r="F23" s="75">
        <f>WATER!L23</f>
        <v>4</v>
      </c>
      <c r="G23" s="78">
        <f>WATER!BG23</f>
        <v>-9.2999999999999829</v>
      </c>
      <c r="H23" s="79">
        <f>ELEC!AF21</f>
        <v>5204</v>
      </c>
      <c r="I23" s="79">
        <f>ELEC!Q21</f>
        <v>15000</v>
      </c>
      <c r="J23" s="79">
        <f>ELEC!R21</f>
        <v>5427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72</v>
      </c>
      <c r="C24" s="76">
        <f>'B5'!AH24</f>
        <v>139</v>
      </c>
      <c r="D24" s="76">
        <f>GEN!AI22</f>
        <v>4375.5274261603381</v>
      </c>
      <c r="E24" s="247">
        <f t="shared" si="0"/>
        <v>4586.5274261603381</v>
      </c>
      <c r="F24" s="75">
        <f>WATER!L24</f>
        <v>3</v>
      </c>
      <c r="G24" s="78">
        <f>WATER!BG24</f>
        <v>-20.300000000000011</v>
      </c>
      <c r="H24" s="79">
        <f>ELEC!AF22</f>
        <v>5032</v>
      </c>
      <c r="I24" s="79">
        <f>ELEC!Q22</f>
        <v>17000</v>
      </c>
      <c r="J24" s="79">
        <f>ELEC!R22</f>
        <v>2544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381</v>
      </c>
      <c r="C25" s="76">
        <f>'B5'!AH25</f>
        <v>205</v>
      </c>
      <c r="D25" s="76">
        <f>GEN!AI23</f>
        <v>2573.8396624472575</v>
      </c>
      <c r="E25" s="247">
        <f t="shared" si="0"/>
        <v>3159.8396624472575</v>
      </c>
      <c r="F25" s="75">
        <f>WATER!L25</f>
        <v>3</v>
      </c>
      <c r="G25" s="78">
        <f>WATER!BG25</f>
        <v>78</v>
      </c>
      <c r="H25" s="79">
        <f>ELEC!AF23</f>
        <v>5965</v>
      </c>
      <c r="I25" s="79">
        <f>ELEC!Q23</f>
        <v>10000</v>
      </c>
      <c r="J25" s="79">
        <f>ELEC!R23</f>
        <v>12437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190</v>
      </c>
      <c r="C26" s="76">
        <f>'B5'!AH26</f>
        <v>261</v>
      </c>
      <c r="D26" s="76">
        <f>GEN!AI24</f>
        <v>4118.1434599156119</v>
      </c>
      <c r="E26" s="247">
        <f t="shared" si="0"/>
        <v>4569.1434599156119</v>
      </c>
      <c r="F26" s="75">
        <f>WATER!L26</f>
        <v>6</v>
      </c>
      <c r="G26" s="78">
        <f>WATER!BG26</f>
        <v>-74.300000000000026</v>
      </c>
      <c r="H26" s="79">
        <f>ELEC!AF24</f>
        <v>5209</v>
      </c>
      <c r="I26" s="79">
        <f>ELEC!Q24</f>
        <v>16000</v>
      </c>
      <c r="J26" s="79">
        <f>ELEC!R24</f>
        <v>5541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324</v>
      </c>
      <c r="C27" s="76">
        <f>'B5'!AH27</f>
        <v>0</v>
      </c>
      <c r="D27" s="76">
        <f>GEN!AI25</f>
        <v>2831.2236286919833</v>
      </c>
      <c r="E27" s="247">
        <f t="shared" si="0"/>
        <v>3155.2236286919833</v>
      </c>
      <c r="F27" s="75">
        <f>WATER!L27</f>
        <v>9</v>
      </c>
      <c r="G27" s="78">
        <f>WATER!BG27</f>
        <v>23.80000000000004</v>
      </c>
      <c r="H27" s="79">
        <f>ELEC!AF25</f>
        <v>5759</v>
      </c>
      <c r="I27" s="79">
        <f>ELEC!Q25</f>
        <v>11000</v>
      </c>
      <c r="J27" s="79">
        <f>ELEC!R25</f>
        <v>11796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204</v>
      </c>
      <c r="C28" s="76">
        <f>'B5'!AH28</f>
        <v>280</v>
      </c>
      <c r="D28" s="76">
        <f>GEN!AI26</f>
        <v>3860.7594936708865</v>
      </c>
      <c r="E28" s="247">
        <f t="shared" si="0"/>
        <v>4344.7594936708865</v>
      </c>
      <c r="F28" s="75">
        <f>WATER!L28</f>
        <v>9</v>
      </c>
      <c r="G28" s="78">
        <f>WATER!BG28</f>
        <v>-80.7</v>
      </c>
      <c r="H28" s="79">
        <f>ELEC!AF26</f>
        <v>6489</v>
      </c>
      <c r="I28" s="79">
        <f>ELEC!Q26</f>
        <v>15000</v>
      </c>
      <c r="J28" s="79">
        <f>ELEC!R26</f>
        <v>7136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184</v>
      </c>
      <c r="C29" s="76">
        <f>'B5'!AH29</f>
        <v>0</v>
      </c>
      <c r="D29" s="76">
        <f>GEN!AI27</f>
        <v>2316.4556962025317</v>
      </c>
      <c r="E29" s="77">
        <f t="shared" si="0"/>
        <v>2500.4556962025317</v>
      </c>
      <c r="F29" s="75">
        <f>WATER!L29</f>
        <v>6</v>
      </c>
      <c r="G29" s="78">
        <f>WATER!BG29</f>
        <v>12.099999999999994</v>
      </c>
      <c r="H29" s="79">
        <f>ELEC!AF27</f>
        <v>6126</v>
      </c>
      <c r="I29" s="79">
        <f>ELEC!Q27</f>
        <v>9000</v>
      </c>
      <c r="J29" s="79">
        <f>ELEC!R27</f>
        <v>14351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13.399999999999991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2" t="s">
        <v>151</v>
      </c>
      <c r="U3" s="65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4</v>
      </c>
      <c r="G16">
        <f t="shared" si="1"/>
        <v>428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2</v>
      </c>
      <c r="G19">
        <f t="shared" si="1"/>
        <v>214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5</v>
      </c>
      <c r="G20">
        <f t="shared" si="1"/>
        <v>535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1</v>
      </c>
      <c r="G21">
        <f t="shared" si="1"/>
        <v>107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2</v>
      </c>
      <c r="G23">
        <f t="shared" si="1"/>
        <v>214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3</v>
      </c>
      <c r="G25">
        <f t="shared" si="1"/>
        <v>321</v>
      </c>
    </row>
    <row r="26" spans="3:7">
      <c r="C26" s="99">
        <v>42450</v>
      </c>
      <c r="D26">
        <f>'B5'!AL25</f>
        <v>4</v>
      </c>
      <c r="E26">
        <f t="shared" si="0"/>
        <v>360</v>
      </c>
      <c r="F26">
        <f>'B5'!AM25</f>
        <v>3</v>
      </c>
      <c r="G26">
        <f t="shared" si="1"/>
        <v>321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5</v>
      </c>
      <c r="G27">
        <f t="shared" si="1"/>
        <v>535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3</v>
      </c>
      <c r="E29">
        <f t="shared" si="0"/>
        <v>270</v>
      </c>
      <c r="F29">
        <f>'B5'!AM28</f>
        <v>5</v>
      </c>
      <c r="G29">
        <f t="shared" si="1"/>
        <v>535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3" zoomScale="80" zoomScaleNormal="80" workbookViewId="0">
      <selection activeCell="J28" sqref="J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1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1">
        <v>19037</v>
      </c>
      <c r="G4" s="160">
        <f t="shared" ref="G4:G32" si="1">F4-F3</f>
        <v>582</v>
      </c>
      <c r="H4" s="571">
        <v>53094</v>
      </c>
      <c r="I4" s="161">
        <f t="shared" ref="I4:I33" si="2">H4-H3</f>
        <v>1006</v>
      </c>
      <c r="J4" s="573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119.84751373206808</v>
      </c>
      <c r="P4" s="305">
        <f>SUM(L4:O4)</f>
        <v>336.86376580503656</v>
      </c>
      <c r="Q4" s="305">
        <f>SUM(-tanks!AX6*tanks!$AU$37)</f>
        <v>1110.0249247311774</v>
      </c>
      <c r="R4" s="305">
        <f>SUM(P4:Q4)</f>
        <v>1446.888690536214</v>
      </c>
      <c r="S4" s="307">
        <f>SUM(ELEC!N3)</f>
        <v>18028</v>
      </c>
      <c r="T4" s="344">
        <f>IF(S4&gt;0,R4/S4,0)</f>
        <v>8.025785947061316E-2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3"/>
      <c r="AC4" s="664"/>
    </row>
    <row r="5" spans="1:30" ht="15.75" thickBot="1">
      <c r="A5" s="163">
        <f>ELEC!C4</f>
        <v>44014</v>
      </c>
      <c r="B5" s="571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1">
        <v>19037</v>
      </c>
      <c r="G5" s="160">
        <f t="shared" si="1"/>
        <v>0</v>
      </c>
      <c r="H5" s="571">
        <v>54800</v>
      </c>
      <c r="I5" s="161">
        <f t="shared" si="2"/>
        <v>1706</v>
      </c>
      <c r="J5" s="573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119.84751373206808</v>
      </c>
      <c r="P5" s="305">
        <f t="shared" ref="P5:P32" si="9">SUM(L5:O5)</f>
        <v>329.59345071382597</v>
      </c>
      <c r="Q5" s="305">
        <f>SUM(-tanks!AX7*tanks!$AU$37)</f>
        <v>2477.6137129032304</v>
      </c>
      <c r="R5" s="305">
        <f t="shared" ref="R5:R32" si="10">SUM(P5:Q5)</f>
        <v>2807.2071636170563</v>
      </c>
      <c r="S5" s="307">
        <f>SUM(ELEC!N4)</f>
        <v>18859</v>
      </c>
      <c r="T5" s="344">
        <f>IF(S5&gt;0,R5/S5,0)</f>
        <v>0.14885238685068436</v>
      </c>
      <c r="U5" s="255"/>
      <c r="V5" s="657"/>
      <c r="W5" s="658"/>
      <c r="X5" s="658"/>
      <c r="Y5" s="659"/>
      <c r="Z5" s="26" t="s">
        <v>203</v>
      </c>
      <c r="AA5" s="270">
        <f>'[2]EDl log'!AA22</f>
        <v>5000</v>
      </c>
      <c r="AB5" s="665"/>
      <c r="AC5" s="666"/>
    </row>
    <row r="6" spans="1:30" ht="15.75" thickBot="1">
      <c r="A6" s="163">
        <f>ELEC!C5</f>
        <v>44015</v>
      </c>
      <c r="B6" s="571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1">
        <v>19656</v>
      </c>
      <c r="G6" s="160">
        <f t="shared" si="1"/>
        <v>619</v>
      </c>
      <c r="H6" s="571">
        <v>56910</v>
      </c>
      <c r="I6" s="161">
        <f t="shared" si="2"/>
        <v>2110</v>
      </c>
      <c r="J6" s="573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119.84751373206808</v>
      </c>
      <c r="P6" s="305">
        <f t="shared" si="9"/>
        <v>458.63358338380937</v>
      </c>
      <c r="Q6" s="305">
        <f>SUM(-tanks!AX8*tanks!$AU$37)</f>
        <v>2267.2167225806479</v>
      </c>
      <c r="R6" s="305">
        <f t="shared" si="10"/>
        <v>2725.8503059644572</v>
      </c>
      <c r="S6" s="307">
        <f>SUM(ELEC!N5)</f>
        <v>20891</v>
      </c>
      <c r="T6" s="344">
        <f t="shared" ref="T6:T32" si="12">IF(S6&gt;0,R6/S6,0)</f>
        <v>0.13047964702333337</v>
      </c>
      <c r="V6" s="660"/>
      <c r="W6" s="661"/>
      <c r="X6" s="661"/>
      <c r="Y6" s="662"/>
      <c r="Z6" s="3"/>
      <c r="AA6" s="3"/>
      <c r="AB6" s="665"/>
      <c r="AC6" s="666"/>
    </row>
    <row r="7" spans="1:30" ht="15" customHeight="1" thickBot="1">
      <c r="A7" s="163">
        <f>ELEC!C6</f>
        <v>44016</v>
      </c>
      <c r="B7" s="571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1">
        <v>19656</v>
      </c>
      <c r="G7" s="160">
        <f t="shared" si="1"/>
        <v>0</v>
      </c>
      <c r="H7" s="571">
        <v>57839</v>
      </c>
      <c r="I7" s="161">
        <f t="shared" si="2"/>
        <v>929</v>
      </c>
      <c r="J7" s="573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119.84751373206808</v>
      </c>
      <c r="P7" s="305">
        <f t="shared" si="9"/>
        <v>190.93739764583259</v>
      </c>
      <c r="Q7" s="305">
        <f>SUM(-tanks!AX9*tanks!$AU$37)</f>
        <v>2527.3193129032229</v>
      </c>
      <c r="R7" s="305">
        <f t="shared" si="10"/>
        <v>2718.2567105490557</v>
      </c>
      <c r="S7" s="307">
        <f>SUM(ELEC!N6)</f>
        <v>18152</v>
      </c>
      <c r="T7" s="344">
        <f t="shared" si="12"/>
        <v>0.14974970860230585</v>
      </c>
      <c r="V7" s="653" t="s">
        <v>204</v>
      </c>
      <c r="W7" s="654"/>
      <c r="X7" s="655" t="s">
        <v>205</v>
      </c>
      <c r="Y7" s="656"/>
      <c r="Z7" s="654"/>
      <c r="AA7" s="26"/>
      <c r="AB7" s="667"/>
      <c r="AC7" s="668"/>
    </row>
    <row r="8" spans="1:30" ht="15.75" customHeight="1" thickBot="1">
      <c r="A8" s="163">
        <f>ELEC!C7</f>
        <v>44017</v>
      </c>
      <c r="B8" s="571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1">
        <v>19656</v>
      </c>
      <c r="G8" s="160">
        <f t="shared" si="1"/>
        <v>0</v>
      </c>
      <c r="H8" s="571">
        <v>57839</v>
      </c>
      <c r="I8" s="161">
        <f t="shared" si="2"/>
        <v>0</v>
      </c>
      <c r="J8" s="573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119.84751373206808</v>
      </c>
      <c r="P8" s="305">
        <f t="shared" si="9"/>
        <v>164.74303612012778</v>
      </c>
      <c r="Q8" s="305">
        <f>SUM(-tanks!AX10*tanks!$AU$37)</f>
        <v>2628.8015795698898</v>
      </c>
      <c r="R8" s="305">
        <f t="shared" si="10"/>
        <v>2793.5446156900175</v>
      </c>
      <c r="S8" s="307">
        <f>SUM(ELEC!N7)</f>
        <v>18161</v>
      </c>
      <c r="T8" s="344">
        <f>IF(S8&gt;0,R8/S8,0)</f>
        <v>0.15382107899840414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9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1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1">
        <v>19811</v>
      </c>
      <c r="G9" s="160">
        <f t="shared" si="1"/>
        <v>155</v>
      </c>
      <c r="H9" s="571">
        <v>60218</v>
      </c>
      <c r="I9" s="161">
        <f t="shared" si="2"/>
        <v>2379</v>
      </c>
      <c r="J9" s="573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119.84751373206808</v>
      </c>
      <c r="P9" s="305">
        <f t="shared" si="9"/>
        <v>343.29560660105648</v>
      </c>
      <c r="Q9" s="305">
        <f>SUM(-tanks!AX11*tanks!$AU$37)</f>
        <v>2176.3904279569906</v>
      </c>
      <c r="R9" s="305">
        <f>SUM(P9:Q9)</f>
        <v>2519.6860345580471</v>
      </c>
      <c r="S9" s="307">
        <f>SUM(ELEC!N8)</f>
        <v>20764</v>
      </c>
      <c r="T9" s="344">
        <f t="shared" si="12"/>
        <v>0.12134877839327909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1">
        <f>B9+1</f>
        <v>125694</v>
      </c>
      <c r="C10" s="270">
        <f t="shared" si="0"/>
        <v>1</v>
      </c>
      <c r="D10" s="316">
        <f t="shared" si="7"/>
        <v>0</v>
      </c>
      <c r="E10" s="316">
        <f t="shared" si="11"/>
        <v>125693</v>
      </c>
      <c r="F10" s="571">
        <v>19811</v>
      </c>
      <c r="G10" s="160">
        <f t="shared" si="1"/>
        <v>0</v>
      </c>
      <c r="H10" s="571">
        <v>60218</v>
      </c>
      <c r="I10" s="161">
        <f t="shared" si="2"/>
        <v>0</v>
      </c>
      <c r="J10" s="573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119.84751373206808</v>
      </c>
      <c r="P10" s="305">
        <f t="shared" si="9"/>
        <v>119.84751373206808</v>
      </c>
      <c r="Q10" s="305">
        <f>SUM(-tanks!AX12*tanks!$AU$37)</f>
        <v>2503.5020462365642</v>
      </c>
      <c r="R10" s="305">
        <f t="shared" si="10"/>
        <v>2623.3495599686321</v>
      </c>
      <c r="S10" s="307">
        <f>SUM(ELEC!N9)</f>
        <v>20479</v>
      </c>
      <c r="T10" s="344">
        <f t="shared" si="12"/>
        <v>0.1280994950910021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1">
        <f>B10+1</f>
        <v>125695</v>
      </c>
      <c r="C11" s="270">
        <f t="shared" si="0"/>
        <v>1</v>
      </c>
      <c r="D11" s="316">
        <f>SUM(G11+I11+K11)</f>
        <v>0</v>
      </c>
      <c r="E11" s="316">
        <f t="shared" si="11"/>
        <v>125694</v>
      </c>
      <c r="F11" s="571">
        <f t="shared" ref="F11:F34" si="14">F10</f>
        <v>19811</v>
      </c>
      <c r="G11" s="160">
        <f t="shared" si="1"/>
        <v>0</v>
      </c>
      <c r="H11" s="571">
        <f t="shared" ref="H11:H34" si="15">H10</f>
        <v>60218</v>
      </c>
      <c r="I11" s="161">
        <f t="shared" si="2"/>
        <v>0</v>
      </c>
      <c r="J11" s="573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119.84751373206808</v>
      </c>
      <c r="P11" s="305">
        <f t="shared" si="9"/>
        <v>119.84751373206808</v>
      </c>
      <c r="Q11" s="305">
        <f>SUM(-tanks!AX13*tanks!$AU$37)</f>
        <v>2376.6091277419387</v>
      </c>
      <c r="R11" s="305">
        <f t="shared" si="10"/>
        <v>2496.4566414740066</v>
      </c>
      <c r="S11" s="307">
        <f>SUM(ELEC!N10)</f>
        <v>23543</v>
      </c>
      <c r="T11" s="344">
        <f t="shared" si="12"/>
        <v>0.10603817021934361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1">
        <v>133264</v>
      </c>
      <c r="C12" s="270">
        <f t="shared" si="0"/>
        <v>7569</v>
      </c>
      <c r="D12" s="316">
        <f t="shared" si="7"/>
        <v>7577</v>
      </c>
      <c r="E12" s="316">
        <f t="shared" si="11"/>
        <v>133272</v>
      </c>
      <c r="F12" s="571">
        <v>20670</v>
      </c>
      <c r="G12" s="160">
        <f t="shared" si="1"/>
        <v>859</v>
      </c>
      <c r="H12" s="571">
        <v>64018</v>
      </c>
      <c r="I12" s="161">
        <f t="shared" si="2"/>
        <v>3800</v>
      </c>
      <c r="J12" s="573">
        <v>48580</v>
      </c>
      <c r="K12" s="162">
        <f t="shared" si="3"/>
        <v>2918</v>
      </c>
      <c r="L12" s="304">
        <f t="shared" si="4"/>
        <v>182.34162520729686</v>
      </c>
      <c r="M12" s="304">
        <f t="shared" si="5"/>
        <v>282.32172470978441</v>
      </c>
      <c r="N12" s="304">
        <f t="shared" si="6"/>
        <v>154.85240464344943</v>
      </c>
      <c r="O12" s="304">
        <f t="shared" si="8"/>
        <v>119.84751373206808</v>
      </c>
      <c r="P12" s="305">
        <f t="shared" si="9"/>
        <v>739.36326829259883</v>
      </c>
      <c r="Q12" s="305">
        <f>SUM(-tanks!AX14*tanks!$AU$37)</f>
        <v>2716.9939450537695</v>
      </c>
      <c r="R12" s="305">
        <f t="shared" si="10"/>
        <v>3456.3572133463686</v>
      </c>
      <c r="S12" s="307">
        <f>SUM(ELEC!N11)</f>
        <v>18109</v>
      </c>
      <c r="T12" s="344">
        <f t="shared" si="12"/>
        <v>0.19086405728347056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1">
        <v>133664</v>
      </c>
      <c r="C13" s="270">
        <f t="shared" si="0"/>
        <v>400</v>
      </c>
      <c r="D13" s="316">
        <f t="shared" si="7"/>
        <v>291</v>
      </c>
      <c r="E13" s="316">
        <f t="shared" si="11"/>
        <v>133555</v>
      </c>
      <c r="F13" s="571">
        <v>20670</v>
      </c>
      <c r="G13" s="160">
        <f t="shared" si="1"/>
        <v>0</v>
      </c>
      <c r="H13" s="571">
        <v>64309</v>
      </c>
      <c r="I13" s="161">
        <f t="shared" si="2"/>
        <v>291</v>
      </c>
      <c r="J13" s="573">
        <v>48580</v>
      </c>
      <c r="K13" s="162">
        <f t="shared" si="3"/>
        <v>0</v>
      </c>
      <c r="L13" s="304">
        <f t="shared" si="4"/>
        <v>0</v>
      </c>
      <c r="M13" s="304">
        <f t="shared" si="5"/>
        <v>21.61990049751244</v>
      </c>
      <c r="N13" s="304">
        <f t="shared" si="6"/>
        <v>0</v>
      </c>
      <c r="O13" s="304">
        <f t="shared" si="8"/>
        <v>119.84751373206808</v>
      </c>
      <c r="P13" s="305">
        <f t="shared" si="9"/>
        <v>141.46741422958053</v>
      </c>
      <c r="Q13" s="305">
        <f>SUM(-tanks!AX15*tanks!$AU$37)</f>
        <v>1009.9439684946029</v>
      </c>
      <c r="R13" s="305">
        <f t="shared" si="10"/>
        <v>1151.4113827241836</v>
      </c>
      <c r="S13" s="307">
        <f>SUM(ELEC!N12)</f>
        <v>20053</v>
      </c>
      <c r="T13" s="344">
        <f t="shared" si="12"/>
        <v>5.74184103487849E-2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4">
        <f>ELEC!C13</f>
        <v>44023</v>
      </c>
      <c r="B14" s="571">
        <v>136005</v>
      </c>
      <c r="C14" s="270">
        <f t="shared" si="0"/>
        <v>2341</v>
      </c>
      <c r="D14" s="316">
        <f t="shared" si="7"/>
        <v>2450</v>
      </c>
      <c r="E14" s="316">
        <f t="shared" si="11"/>
        <v>136114</v>
      </c>
      <c r="F14" s="571">
        <v>21151</v>
      </c>
      <c r="G14" s="160">
        <f t="shared" si="1"/>
        <v>481</v>
      </c>
      <c r="H14" s="571">
        <v>65148</v>
      </c>
      <c r="I14" s="161">
        <f t="shared" si="2"/>
        <v>839</v>
      </c>
      <c r="J14" s="573">
        <v>49710</v>
      </c>
      <c r="K14" s="162">
        <f t="shared" ref="K14:K17" si="16">J14-J13</f>
        <v>1130</v>
      </c>
      <c r="L14" s="304">
        <f t="shared" ref="L14:L17" si="17">SUM(G14*$Y$28)/1507.5</f>
        <v>102.1028192371476</v>
      </c>
      <c r="M14" s="304">
        <f t="shared" ref="M14:M17" si="18">SUM(I14*$Y$27)/1507.5</f>
        <v>62.333665008291874</v>
      </c>
      <c r="N14" s="304">
        <f t="shared" ref="N14:N17" si="19">SUM(K14*$Y$26)/1507.5</f>
        <v>59.966832504145934</v>
      </c>
      <c r="O14" s="304">
        <f t="shared" ref="O14:O17" si="20">($AC$31/$A$39)/1507.5</f>
        <v>119.84751373206808</v>
      </c>
      <c r="P14" s="305">
        <f t="shared" ref="P14:P17" si="21">SUM(L14:O14)</f>
        <v>344.25083048165351</v>
      </c>
      <c r="Q14" s="305">
        <f>SUM(-tanks!AX16*tanks!$AU$37)</f>
        <v>2868.0164604301153</v>
      </c>
      <c r="R14" s="305">
        <f t="shared" ref="R14:R17" si="22">SUM(P14:Q14)</f>
        <v>3212.2672909117687</v>
      </c>
      <c r="S14" s="307">
        <f>SUM(ELEC!N13)</f>
        <v>21073</v>
      </c>
      <c r="T14" s="344">
        <f t="shared" ref="T14:T17" si="23">IF(S14&gt;0,R14/S14,0)</f>
        <v>0.15243521524755699</v>
      </c>
      <c r="V14" s="270" t="str">
        <f>'[2]EDl log'!V31</f>
        <v>Gen RH</v>
      </c>
      <c r="W14" s="585">
        <f>'[1]EDl log'!W14</f>
        <v>119.48999999999978</v>
      </c>
      <c r="X14" s="586">
        <f>'[1]EDl log'!X14</f>
        <v>3.8545161290322509</v>
      </c>
      <c r="Y14" s="586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1">
        <v>136450</v>
      </c>
      <c r="C15" s="270">
        <f t="shared" si="0"/>
        <v>445</v>
      </c>
      <c r="D15" s="316">
        <f t="shared" si="7"/>
        <v>396</v>
      </c>
      <c r="E15" s="316">
        <f t="shared" si="11"/>
        <v>136401</v>
      </c>
      <c r="F15" s="571">
        <v>21151</v>
      </c>
      <c r="G15" s="160">
        <f t="shared" si="1"/>
        <v>0</v>
      </c>
      <c r="H15" s="571">
        <v>65544</v>
      </c>
      <c r="I15" s="161">
        <f t="shared" si="2"/>
        <v>396</v>
      </c>
      <c r="J15" s="573">
        <v>49710</v>
      </c>
      <c r="K15" s="162">
        <f t="shared" si="16"/>
        <v>0</v>
      </c>
      <c r="L15" s="304">
        <f t="shared" si="17"/>
        <v>0</v>
      </c>
      <c r="M15" s="304">
        <f t="shared" si="18"/>
        <v>29.420895522388058</v>
      </c>
      <c r="N15" s="304">
        <f t="shared" si="19"/>
        <v>0</v>
      </c>
      <c r="O15" s="304">
        <f t="shared" si="20"/>
        <v>119.84751373206808</v>
      </c>
      <c r="P15" s="305">
        <f t="shared" si="21"/>
        <v>149.26840925445615</v>
      </c>
      <c r="Q15" s="305">
        <f>SUM(-tanks!AX17*tanks!$AU$37)</f>
        <v>3061.8382365591356</v>
      </c>
      <c r="R15" s="305">
        <f t="shared" si="22"/>
        <v>3211.1066458135915</v>
      </c>
      <c r="S15" s="307">
        <f>SUM(ELEC!N14)</f>
        <v>20084</v>
      </c>
      <c r="T15" s="344">
        <f t="shared" si="23"/>
        <v>0.15988382024564785</v>
      </c>
      <c r="V15" s="270" t="str">
        <f>'[2]EDl log'!V32</f>
        <v>H Deg</v>
      </c>
      <c r="W15" s="585">
        <f>'[1]EDl log'!W16</f>
        <v>-549.00000000000011</v>
      </c>
      <c r="X15" s="585">
        <f>'[1]EDl log'!X15</f>
        <v>0</v>
      </c>
      <c r="Y15" s="585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1">
        <f>B15+1</f>
        <v>136451</v>
      </c>
      <c r="C16" s="270">
        <f t="shared" si="0"/>
        <v>1</v>
      </c>
      <c r="D16" s="316">
        <f t="shared" si="7"/>
        <v>0</v>
      </c>
      <c r="E16" s="316">
        <f t="shared" si="11"/>
        <v>136450</v>
      </c>
      <c r="F16" s="571">
        <v>21151</v>
      </c>
      <c r="G16" s="160">
        <f t="shared" si="1"/>
        <v>0</v>
      </c>
      <c r="H16" s="571">
        <f t="shared" si="15"/>
        <v>65544</v>
      </c>
      <c r="I16" s="161">
        <f t="shared" si="2"/>
        <v>0</v>
      </c>
      <c r="J16" s="573">
        <f t="shared" si="13"/>
        <v>49710</v>
      </c>
      <c r="K16" s="162">
        <f t="shared" si="16"/>
        <v>0</v>
      </c>
      <c r="L16" s="304">
        <f t="shared" si="17"/>
        <v>0</v>
      </c>
      <c r="M16" s="304">
        <f t="shared" si="18"/>
        <v>0</v>
      </c>
      <c r="N16" s="304">
        <f t="shared" si="19"/>
        <v>0</v>
      </c>
      <c r="O16" s="304">
        <f t="shared" si="20"/>
        <v>119.84751373206808</v>
      </c>
      <c r="P16" s="305">
        <f t="shared" si="21"/>
        <v>119.84751373206808</v>
      </c>
      <c r="Q16" s="305">
        <f>SUM(-tanks!AX18*tanks!$AU$37)</f>
        <v>2589.4446320430052</v>
      </c>
      <c r="R16" s="305">
        <f t="shared" si="22"/>
        <v>2709.2921457750731</v>
      </c>
      <c r="S16" s="307">
        <f>SUM(ELEC!N15)</f>
        <v>19864</v>
      </c>
      <c r="T16" s="344">
        <f t="shared" si="23"/>
        <v>0.13639207338779064</v>
      </c>
      <c r="V16" s="270" t="str">
        <f>'[2]EDl log'!V33</f>
        <v>C Deg</v>
      </c>
      <c r="W16" s="587"/>
      <c r="X16" s="585">
        <f>'[1]EDl log'!X16</f>
        <v>0</v>
      </c>
      <c r="Y16" s="585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1">
        <v>140459</v>
      </c>
      <c r="C17" s="270">
        <f t="shared" si="0"/>
        <v>4008</v>
      </c>
      <c r="D17" s="316">
        <f t="shared" si="7"/>
        <v>4053</v>
      </c>
      <c r="E17" s="316">
        <f t="shared" si="11"/>
        <v>140504</v>
      </c>
      <c r="F17" s="571">
        <v>21701</v>
      </c>
      <c r="G17" s="160">
        <f t="shared" si="1"/>
        <v>550</v>
      </c>
      <c r="H17" s="571">
        <v>67098</v>
      </c>
      <c r="I17" s="161">
        <f t="shared" si="2"/>
        <v>1554</v>
      </c>
      <c r="J17" s="573">
        <v>51659</v>
      </c>
      <c r="K17" s="162">
        <f t="shared" si="16"/>
        <v>1949</v>
      </c>
      <c r="L17" s="304">
        <f t="shared" si="17"/>
        <v>116.74958540630182</v>
      </c>
      <c r="M17" s="304">
        <f t="shared" si="18"/>
        <v>115.4547263681592</v>
      </c>
      <c r="N17" s="304">
        <f t="shared" si="19"/>
        <v>103.42951907131011</v>
      </c>
      <c r="O17" s="304">
        <f t="shared" si="20"/>
        <v>119.84751373206808</v>
      </c>
      <c r="P17" s="305">
        <f t="shared" si="21"/>
        <v>455.4813445778392</v>
      </c>
      <c r="Q17" s="305">
        <f>SUM(-tanks!AX19*tanks!$AU$37)</f>
        <v>1958.2319482795824</v>
      </c>
      <c r="R17" s="305">
        <f t="shared" si="22"/>
        <v>2413.7132928574215</v>
      </c>
      <c r="S17" s="307">
        <f>SUM(ELEC!N16)</f>
        <v>19752</v>
      </c>
      <c r="T17" s="344">
        <f t="shared" si="23"/>
        <v>0.12220095650351466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1">
        <v>143143</v>
      </c>
      <c r="C18" s="270">
        <f t="shared" si="0"/>
        <v>2684</v>
      </c>
      <c r="D18" s="316">
        <f t="shared" si="7"/>
        <v>2684</v>
      </c>
      <c r="E18" s="316">
        <f t="shared" si="11"/>
        <v>143143</v>
      </c>
      <c r="F18" s="571">
        <v>22350</v>
      </c>
      <c r="G18" s="160">
        <f t="shared" si="1"/>
        <v>649</v>
      </c>
      <c r="H18" s="571">
        <v>67924</v>
      </c>
      <c r="I18" s="161">
        <f t="shared" si="2"/>
        <v>826</v>
      </c>
      <c r="J18" s="573">
        <v>52868</v>
      </c>
      <c r="K18" s="162">
        <f t="shared" si="3"/>
        <v>1209</v>
      </c>
      <c r="L18" s="304">
        <f t="shared" ref="L18:L33" si="24">SUM(G18*$Y$28)/1507.5</f>
        <v>137.76451077943616</v>
      </c>
      <c r="M18" s="304">
        <f t="shared" ref="M18:M33" si="25">SUM(I18*$Y$27)/1507.5</f>
        <v>61.367827529021561</v>
      </c>
      <c r="N18" s="304">
        <f t="shared" ref="N18:N33" si="26">SUM(K18*$Y$26)/1507.5</f>
        <v>64.159203980099505</v>
      </c>
      <c r="O18" s="304">
        <f t="shared" ref="O18:O34" si="27">($AC$31/$A$39)/1507.5</f>
        <v>119.84751373206808</v>
      </c>
      <c r="P18" s="305">
        <f t="shared" si="9"/>
        <v>383.13905602062533</v>
      </c>
      <c r="Q18" s="305">
        <f>SUM(-tanks!AX20*tanks!$AU$37)</f>
        <v>2751.1715556989288</v>
      </c>
      <c r="R18" s="305">
        <f t="shared" si="10"/>
        <v>3134.3106117195543</v>
      </c>
      <c r="S18" s="307">
        <f>SUM(ELEC!N17)</f>
        <v>22340</v>
      </c>
      <c r="T18" s="344">
        <f t="shared" si="12"/>
        <v>0.14030038548431309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1">
        <v>144480</v>
      </c>
      <c r="C19" s="270">
        <f t="shared" si="0"/>
        <v>1337</v>
      </c>
      <c r="D19" s="316">
        <f t="shared" si="7"/>
        <v>1336</v>
      </c>
      <c r="E19" s="316">
        <f t="shared" si="11"/>
        <v>144479</v>
      </c>
      <c r="F19" s="571">
        <v>22350</v>
      </c>
      <c r="G19" s="160">
        <f t="shared" si="1"/>
        <v>0</v>
      </c>
      <c r="H19" s="571">
        <v>68378</v>
      </c>
      <c r="I19" s="161">
        <f t="shared" si="2"/>
        <v>454</v>
      </c>
      <c r="J19" s="573">
        <v>53750</v>
      </c>
      <c r="K19" s="162">
        <f t="shared" si="3"/>
        <v>882</v>
      </c>
      <c r="L19" s="304">
        <f t="shared" si="24"/>
        <v>0</v>
      </c>
      <c r="M19" s="304">
        <f t="shared" si="25"/>
        <v>33.730016583747926</v>
      </c>
      <c r="N19" s="304">
        <f t="shared" si="26"/>
        <v>46.805970149253731</v>
      </c>
      <c r="O19" s="304">
        <f t="shared" si="27"/>
        <v>119.84751373206808</v>
      </c>
      <c r="P19" s="305">
        <f t="shared" si="9"/>
        <v>200.38350046506974</v>
      </c>
      <c r="Q19" s="305">
        <f>SUM(-tanks!AX21*tanks!$AU$37)</f>
        <v>1649.3089719354798</v>
      </c>
      <c r="R19" s="305">
        <f t="shared" si="10"/>
        <v>1849.6924724005496</v>
      </c>
      <c r="S19" s="307">
        <f>SUM(ELEC!N18)</f>
        <v>20744</v>
      </c>
      <c r="T19" s="344">
        <f t="shared" si="12"/>
        <v>8.9167589298136798E-2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1">
        <v>146355</v>
      </c>
      <c r="C20" s="270">
        <f t="shared" si="0"/>
        <v>1875</v>
      </c>
      <c r="D20" s="316">
        <f t="shared" si="7"/>
        <v>1877</v>
      </c>
      <c r="E20" s="316">
        <f t="shared" si="11"/>
        <v>146357</v>
      </c>
      <c r="F20" s="571">
        <v>22502</v>
      </c>
      <c r="G20" s="160">
        <f t="shared" si="1"/>
        <v>152</v>
      </c>
      <c r="H20" s="571">
        <v>68855</v>
      </c>
      <c r="I20" s="161">
        <f t="shared" si="2"/>
        <v>477</v>
      </c>
      <c r="J20" s="573">
        <v>54998</v>
      </c>
      <c r="K20" s="162">
        <f t="shared" si="3"/>
        <v>1248</v>
      </c>
      <c r="L20" s="304">
        <f t="shared" si="24"/>
        <v>32.265339966832506</v>
      </c>
      <c r="M20" s="304">
        <f t="shared" si="25"/>
        <v>35.438805970149254</v>
      </c>
      <c r="N20" s="304">
        <f t="shared" si="26"/>
        <v>66.228855721393032</v>
      </c>
      <c r="O20" s="304">
        <f t="shared" si="27"/>
        <v>119.84751373206808</v>
      </c>
      <c r="P20" s="305">
        <f t="shared" si="9"/>
        <v>253.78051539044287</v>
      </c>
      <c r="Q20" s="305">
        <f>SUM(-tanks!AX22*tanks!$AU$37)</f>
        <v>2578.9306282795692</v>
      </c>
      <c r="R20" s="305">
        <f t="shared" si="10"/>
        <v>2832.711143670012</v>
      </c>
      <c r="S20" s="307">
        <f>SUM(ELEC!N19)</f>
        <v>20593</v>
      </c>
      <c r="T20" s="344">
        <f t="shared" si="12"/>
        <v>0.13755699236002583</v>
      </c>
      <c r="V20" t="s">
        <v>415</v>
      </c>
      <c r="AB20" s="270"/>
    </row>
    <row r="21" spans="1:32" ht="15.75" thickBot="1">
      <c r="A21" s="163">
        <f>ELEC!C20</f>
        <v>44030</v>
      </c>
      <c r="B21" s="571">
        <v>148069</v>
      </c>
      <c r="C21" s="270">
        <f t="shared" si="0"/>
        <v>1714</v>
      </c>
      <c r="D21" s="316">
        <f t="shared" si="7"/>
        <v>1721</v>
      </c>
      <c r="E21" s="316">
        <f t="shared" si="11"/>
        <v>148076</v>
      </c>
      <c r="F21" s="571">
        <v>22502</v>
      </c>
      <c r="G21" s="160">
        <f t="shared" si="1"/>
        <v>0</v>
      </c>
      <c r="H21" s="571">
        <v>69596</v>
      </c>
      <c r="I21" s="161">
        <f t="shared" si="2"/>
        <v>741</v>
      </c>
      <c r="J21" s="573">
        <v>55978</v>
      </c>
      <c r="K21" s="162">
        <f t="shared" si="3"/>
        <v>980</v>
      </c>
      <c r="L21" s="304">
        <f t="shared" si="24"/>
        <v>0</v>
      </c>
      <c r="M21" s="304">
        <f t="shared" si="25"/>
        <v>55.052736318407959</v>
      </c>
      <c r="N21" s="304">
        <f t="shared" si="26"/>
        <v>52.00663349917081</v>
      </c>
      <c r="O21" s="304">
        <f t="shared" si="27"/>
        <v>119.84751373206808</v>
      </c>
      <c r="P21" s="305">
        <f t="shared" si="9"/>
        <v>226.90688354964686</v>
      </c>
      <c r="Q21" s="305">
        <f>SUM(-tanks!AX23*tanks!$AU$37)</f>
        <v>2970.193536559143</v>
      </c>
      <c r="R21" s="305">
        <f t="shared" si="10"/>
        <v>3197.1004201087899</v>
      </c>
      <c r="S21" s="307">
        <f>SUM(ELEC!N20)</f>
        <v>21019</v>
      </c>
      <c r="T21" s="344">
        <f t="shared" si="12"/>
        <v>0.15210525810499023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3"/>
      <c r="AC21" s="664"/>
    </row>
    <row r="22" spans="1:32" ht="15.75" thickBot="1">
      <c r="A22" s="163">
        <f>ELEC!C21</f>
        <v>44031</v>
      </c>
      <c r="B22" s="571">
        <f>B21+1</f>
        <v>148070</v>
      </c>
      <c r="C22" s="270">
        <f t="shared" si="0"/>
        <v>1</v>
      </c>
      <c r="D22" s="316">
        <f t="shared" si="7"/>
        <v>0</v>
      </c>
      <c r="E22" s="316">
        <f t="shared" si="11"/>
        <v>148069</v>
      </c>
      <c r="F22" s="571">
        <f t="shared" si="14"/>
        <v>22502</v>
      </c>
      <c r="G22" s="160">
        <f t="shared" si="1"/>
        <v>0</v>
      </c>
      <c r="H22" s="571">
        <f t="shared" si="15"/>
        <v>69596</v>
      </c>
      <c r="I22" s="161">
        <f t="shared" si="2"/>
        <v>0</v>
      </c>
      <c r="J22" s="573">
        <f t="shared" si="13"/>
        <v>55978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27"/>
        <v>119.84751373206808</v>
      </c>
      <c r="P22" s="305">
        <f t="shared" si="9"/>
        <v>119.84751373206808</v>
      </c>
      <c r="Q22" s="305">
        <f>SUM(-tanks!AX24*tanks!$AU$37)</f>
        <v>2307.769544086023</v>
      </c>
      <c r="R22" s="305">
        <f t="shared" si="10"/>
        <v>2427.6170578180909</v>
      </c>
      <c r="S22" s="307">
        <f>SUM(ELEC!N21)</f>
        <v>20427</v>
      </c>
      <c r="T22" s="344">
        <f t="shared" si="12"/>
        <v>0.11884354324267346</v>
      </c>
      <c r="V22" s="669"/>
      <c r="W22" s="670"/>
      <c r="X22" s="670"/>
      <c r="Y22" s="671"/>
      <c r="Z22" s="26" t="s">
        <v>203</v>
      </c>
      <c r="AA22" s="26">
        <v>5000</v>
      </c>
      <c r="AB22" s="665"/>
      <c r="AC22" s="666"/>
    </row>
    <row r="23" spans="1:32" ht="15.75" thickBot="1">
      <c r="A23" s="163">
        <f>ELEC!C22</f>
        <v>44032</v>
      </c>
      <c r="B23" s="571">
        <v>153398</v>
      </c>
      <c r="C23" s="270">
        <f t="shared" si="0"/>
        <v>5328</v>
      </c>
      <c r="D23" s="316">
        <f t="shared" si="7"/>
        <v>5323</v>
      </c>
      <c r="E23" s="316">
        <f t="shared" si="11"/>
        <v>153393</v>
      </c>
      <c r="F23" s="571">
        <v>23160</v>
      </c>
      <c r="G23" s="160">
        <f t="shared" si="1"/>
        <v>658</v>
      </c>
      <c r="H23" s="571">
        <v>72454</v>
      </c>
      <c r="I23" s="161">
        <f t="shared" si="2"/>
        <v>2858</v>
      </c>
      <c r="J23" s="573">
        <v>57785</v>
      </c>
      <c r="K23" s="162">
        <f t="shared" si="3"/>
        <v>1807</v>
      </c>
      <c r="L23" s="304">
        <f t="shared" si="24"/>
        <v>139.67495854063017</v>
      </c>
      <c r="M23" s="304">
        <f t="shared" si="25"/>
        <v>212.33565505804313</v>
      </c>
      <c r="N23" s="304">
        <f t="shared" si="26"/>
        <v>95.893864013266992</v>
      </c>
      <c r="O23" s="304">
        <f t="shared" si="27"/>
        <v>119.84751373206808</v>
      </c>
      <c r="P23" s="305">
        <f t="shared" si="9"/>
        <v>567.75199134400839</v>
      </c>
      <c r="Q23" s="305">
        <f>SUM(-tanks!AX25*tanks!$AU$37)</f>
        <v>2748.9234462365566</v>
      </c>
      <c r="R23" s="305">
        <f t="shared" si="10"/>
        <v>3316.6754375805649</v>
      </c>
      <c r="S23" s="307">
        <f>SUM(ELEC!N22)</f>
        <v>19544</v>
      </c>
      <c r="T23" s="344">
        <f t="shared" si="12"/>
        <v>0.16970300028553853</v>
      </c>
      <c r="V23" s="672"/>
      <c r="W23" s="673"/>
      <c r="X23" s="673"/>
      <c r="Y23" s="674"/>
      <c r="Z23" s="675"/>
      <c r="AA23" s="676"/>
      <c r="AB23" s="665"/>
      <c r="AC23" s="666"/>
    </row>
    <row r="24" spans="1:32" ht="15" customHeight="1" thickBot="1">
      <c r="A24" s="163">
        <f>ELEC!C23</f>
        <v>44033</v>
      </c>
      <c r="B24" s="571">
        <v>153398</v>
      </c>
      <c r="C24" s="270">
        <v>1</v>
      </c>
      <c r="D24" s="316">
        <f t="shared" si="7"/>
        <v>0</v>
      </c>
      <c r="E24" s="316">
        <f t="shared" si="11"/>
        <v>153398</v>
      </c>
      <c r="F24" s="571">
        <v>23160</v>
      </c>
      <c r="G24" s="160">
        <f t="shared" si="1"/>
        <v>0</v>
      </c>
      <c r="H24" s="571">
        <v>72454</v>
      </c>
      <c r="I24" s="161">
        <f t="shared" si="2"/>
        <v>0</v>
      </c>
      <c r="J24" s="573">
        <v>57785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27"/>
        <v>119.84751373206808</v>
      </c>
      <c r="P24" s="305">
        <f t="shared" si="9"/>
        <v>119.84751373206808</v>
      </c>
      <c r="Q24" s="305">
        <f>SUM(-tanks!AX26*tanks!$AU$37)</f>
        <v>57.809483440870743</v>
      </c>
      <c r="R24" s="305">
        <f t="shared" si="10"/>
        <v>177.65699717293882</v>
      </c>
      <c r="S24" s="307">
        <f>SUM(ELEC!N23)</f>
        <v>22437</v>
      </c>
      <c r="T24" s="344">
        <f t="shared" si="12"/>
        <v>7.9180370447447888E-3</v>
      </c>
      <c r="V24" s="677" t="s">
        <v>204</v>
      </c>
      <c r="W24" s="678"/>
      <c r="X24" s="679" t="s">
        <v>205</v>
      </c>
      <c r="Y24" s="680"/>
      <c r="Z24" s="681"/>
      <c r="AA24" s="170"/>
      <c r="AB24" s="667"/>
      <c r="AC24" s="668"/>
    </row>
    <row r="25" spans="1:32" ht="17.25" customHeight="1" thickBot="1">
      <c r="A25" s="163">
        <f>ELEC!C24</f>
        <v>44034</v>
      </c>
      <c r="B25" s="571">
        <v>160588</v>
      </c>
      <c r="C25" s="270">
        <f t="shared" si="0"/>
        <v>7190</v>
      </c>
      <c r="D25" s="316">
        <f t="shared" si="7"/>
        <v>8190</v>
      </c>
      <c r="E25" s="316">
        <f t="shared" si="11"/>
        <v>161588</v>
      </c>
      <c r="F25" s="571">
        <v>24552</v>
      </c>
      <c r="G25" s="160">
        <f t="shared" si="1"/>
        <v>1392</v>
      </c>
      <c r="H25" s="571">
        <v>76100</v>
      </c>
      <c r="I25" s="161">
        <f t="shared" si="2"/>
        <v>3646</v>
      </c>
      <c r="J25" s="573">
        <v>60937</v>
      </c>
      <c r="K25" s="162">
        <f t="shared" si="3"/>
        <v>3152</v>
      </c>
      <c r="L25" s="304">
        <f t="shared" si="24"/>
        <v>295.48258706467664</v>
      </c>
      <c r="M25" s="304">
        <f t="shared" si="25"/>
        <v>270.88026533996685</v>
      </c>
      <c r="N25" s="304">
        <f t="shared" si="26"/>
        <v>167.27031509121062</v>
      </c>
      <c r="O25" s="304">
        <f t="shared" si="27"/>
        <v>119.84751373206808</v>
      </c>
      <c r="P25" s="305">
        <f t="shared" si="9"/>
        <v>853.4806812279221</v>
      </c>
      <c r="Q25" s="305">
        <f>SUM(-tanks!AX27*tanks!$AU$37)</f>
        <v>2796.2205961290301</v>
      </c>
      <c r="R25" s="305">
        <f t="shared" si="10"/>
        <v>3649.7012773569522</v>
      </c>
      <c r="S25" s="307">
        <f>SUM(ELEC!N24)</f>
        <v>21541</v>
      </c>
      <c r="T25" s="344">
        <f t="shared" si="12"/>
        <v>0.16943044786021783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1">
        <v>168116</v>
      </c>
      <c r="C26" s="270">
        <f t="shared" si="0"/>
        <v>7528</v>
      </c>
      <c r="D26" s="316">
        <f t="shared" si="7"/>
        <v>6529</v>
      </c>
      <c r="E26" s="316">
        <f t="shared" si="11"/>
        <v>167117</v>
      </c>
      <c r="F26" s="571">
        <v>24683</v>
      </c>
      <c r="G26" s="160">
        <f t="shared" si="1"/>
        <v>131</v>
      </c>
      <c r="H26" s="571">
        <v>79555</v>
      </c>
      <c r="I26" s="161">
        <f t="shared" si="2"/>
        <v>3455</v>
      </c>
      <c r="J26" s="573">
        <v>63880</v>
      </c>
      <c r="K26" s="162">
        <f t="shared" si="3"/>
        <v>2943</v>
      </c>
      <c r="L26" s="304">
        <f t="shared" si="24"/>
        <v>27.807628524046436</v>
      </c>
      <c r="M26" s="304">
        <f t="shared" si="25"/>
        <v>256.6898839137645</v>
      </c>
      <c r="N26" s="304">
        <f t="shared" si="26"/>
        <v>156.17910447761193</v>
      </c>
      <c r="O26" s="304">
        <f t="shared" si="27"/>
        <v>119.84751373206808</v>
      </c>
      <c r="P26" s="305">
        <f t="shared" si="9"/>
        <v>560.52413064749089</v>
      </c>
      <c r="Q26" s="305">
        <f>SUM(-tanks!AX28*tanks!$AU$37)</f>
        <v>-35.742602150537152</v>
      </c>
      <c r="R26" s="305">
        <f t="shared" si="10"/>
        <v>524.7815284969538</v>
      </c>
      <c r="S26" s="307">
        <f>SUM(ELEC!N25)</f>
        <v>22796</v>
      </c>
      <c r="T26" s="344">
        <f t="shared" si="12"/>
        <v>2.3020772438013416E-2</v>
      </c>
      <c r="V26" s="259">
        <f>W9</f>
        <v>41646</v>
      </c>
      <c r="W26" s="170">
        <f>J34</f>
        <v>65812</v>
      </c>
      <c r="X26" s="172" t="s">
        <v>199</v>
      </c>
      <c r="Y26" s="172">
        <v>80</v>
      </c>
      <c r="Z26" s="172">
        <v>1</v>
      </c>
      <c r="AA26" s="199">
        <f>(W26-V26)*Z26</f>
        <v>24166</v>
      </c>
      <c r="AB26" s="199">
        <f>AA26*Y26</f>
        <v>1933280</v>
      </c>
      <c r="AC26" s="254">
        <f>AC9</f>
        <v>1033333</v>
      </c>
      <c r="AD26" s="215">
        <f>SUM(K38)</f>
        <v>0.39995365926318227</v>
      </c>
    </row>
    <row r="27" spans="1:32" ht="15.75" thickBot="1">
      <c r="A27" s="163">
        <f>ELEC!C26</f>
        <v>44036</v>
      </c>
      <c r="B27" s="571">
        <v>172611</v>
      </c>
      <c r="C27" s="270">
        <f t="shared" si="0"/>
        <v>4495</v>
      </c>
      <c r="D27" s="316">
        <f t="shared" si="7"/>
        <v>4494</v>
      </c>
      <c r="E27" s="316">
        <f t="shared" si="11"/>
        <v>172610</v>
      </c>
      <c r="F27" s="571">
        <f t="shared" si="14"/>
        <v>24683</v>
      </c>
      <c r="G27" s="160">
        <f t="shared" si="1"/>
        <v>0</v>
      </c>
      <c r="H27" s="571">
        <v>82117</v>
      </c>
      <c r="I27" s="161">
        <f t="shared" si="2"/>
        <v>2562</v>
      </c>
      <c r="J27" s="573">
        <v>65812</v>
      </c>
      <c r="K27" s="162">
        <f t="shared" si="3"/>
        <v>1932</v>
      </c>
      <c r="L27" s="304">
        <f t="shared" si="24"/>
        <v>0</v>
      </c>
      <c r="M27" s="304">
        <f t="shared" si="25"/>
        <v>190.34427860696516</v>
      </c>
      <c r="N27" s="304">
        <f t="shared" si="26"/>
        <v>102.5273631840796</v>
      </c>
      <c r="O27" s="304">
        <f t="shared" si="27"/>
        <v>119.84751373206808</v>
      </c>
      <c r="P27" s="305">
        <f t="shared" si="9"/>
        <v>412.71915552311287</v>
      </c>
      <c r="Q27" s="305">
        <f>SUM(-tanks!AX29*tanks!$AU$37)</f>
        <v>2693.8731580645108</v>
      </c>
      <c r="R27" s="305">
        <f t="shared" si="10"/>
        <v>3106.5923135876237</v>
      </c>
      <c r="S27" s="307">
        <f>SUM(ELEC!N26)</f>
        <v>22136</v>
      </c>
      <c r="T27" s="344">
        <f t="shared" si="12"/>
        <v>0.14034117788162376</v>
      </c>
      <c r="V27" s="259">
        <f t="shared" ref="V27:V28" si="28">W10</f>
        <v>52088</v>
      </c>
      <c r="W27" s="170">
        <f>H34</f>
        <v>82117</v>
      </c>
      <c r="X27" s="172" t="s">
        <v>213</v>
      </c>
      <c r="Y27" s="172">
        <v>112</v>
      </c>
      <c r="Z27" s="172">
        <v>1</v>
      </c>
      <c r="AA27" s="199">
        <f>(W27-V27)*Z27</f>
        <v>30029</v>
      </c>
      <c r="AB27" s="199">
        <f>SUM(AA27*Y27)</f>
        <v>3363248</v>
      </c>
      <c r="AC27" s="254">
        <f>AC10</f>
        <v>6200000</v>
      </c>
      <c r="AD27" s="215">
        <f>SUM(I38)</f>
        <v>0.49698785210684843</v>
      </c>
    </row>
    <row r="28" spans="1:32" ht="15.75" thickBot="1">
      <c r="A28" s="163">
        <f>ELEC!C27</f>
        <v>44037</v>
      </c>
      <c r="B28" s="571">
        <f t="shared" ref="B28:B34" si="29">B27</f>
        <v>172611</v>
      </c>
      <c r="C28" s="270">
        <f t="shared" si="0"/>
        <v>0</v>
      </c>
      <c r="D28" s="316">
        <f t="shared" si="7"/>
        <v>0</v>
      </c>
      <c r="E28" s="316">
        <f t="shared" si="11"/>
        <v>172611</v>
      </c>
      <c r="F28" s="571">
        <f t="shared" si="14"/>
        <v>24683</v>
      </c>
      <c r="G28" s="160">
        <f t="shared" si="1"/>
        <v>0</v>
      </c>
      <c r="H28" s="571">
        <f t="shared" si="15"/>
        <v>82117</v>
      </c>
      <c r="I28" s="161">
        <f t="shared" si="2"/>
        <v>0</v>
      </c>
      <c r="J28" s="573">
        <f t="shared" si="13"/>
        <v>65812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27"/>
        <v>119.84751373206808</v>
      </c>
      <c r="P28" s="305">
        <f t="shared" si="9"/>
        <v>119.84751373206808</v>
      </c>
      <c r="Q28" s="305">
        <f>SUM(-tanks!AX30*tanks!$AU$37)</f>
        <v>1528.8480516128993</v>
      </c>
      <c r="R28" s="305">
        <f t="shared" si="10"/>
        <v>1648.6955653449675</v>
      </c>
      <c r="S28" s="307">
        <f>SUM(ELEC!N27)</f>
        <v>23351</v>
      </c>
      <c r="T28" s="344">
        <f t="shared" si="12"/>
        <v>7.0604923358527152E-2</v>
      </c>
      <c r="V28" s="259">
        <f t="shared" si="28"/>
        <v>18455</v>
      </c>
      <c r="W28" s="170">
        <f>F34</f>
        <v>24683</v>
      </c>
      <c r="X28" s="172" t="s">
        <v>197</v>
      </c>
      <c r="Y28" s="172">
        <v>320</v>
      </c>
      <c r="Z28" s="172">
        <v>1</v>
      </c>
      <c r="AA28" s="199">
        <f>(W28-V28)*Z28</f>
        <v>6228</v>
      </c>
      <c r="AB28" s="199">
        <f>SUM(AA28*Y28)</f>
        <v>1992960</v>
      </c>
      <c r="AC28" s="254">
        <f>AC11</f>
        <v>1000</v>
      </c>
      <c r="AD28" s="215">
        <f>SUM(G38)</f>
        <v>0.10307503889311839</v>
      </c>
      <c r="AE28" s="40">
        <f>SUM(AB28*5%)</f>
        <v>99648</v>
      </c>
      <c r="AF28" s="82">
        <f>SUM(AE28/7)*31</f>
        <v>441298.28571428568</v>
      </c>
    </row>
    <row r="29" spans="1:32" ht="15.75" thickBot="1">
      <c r="A29" s="163">
        <v>172611</v>
      </c>
      <c r="B29" s="571">
        <f t="shared" si="29"/>
        <v>172611</v>
      </c>
      <c r="C29" s="270">
        <f t="shared" si="0"/>
        <v>0</v>
      </c>
      <c r="D29" s="316">
        <f t="shared" si="7"/>
        <v>0</v>
      </c>
      <c r="E29" s="316">
        <f t="shared" si="11"/>
        <v>172611</v>
      </c>
      <c r="F29" s="571">
        <f t="shared" si="14"/>
        <v>24683</v>
      </c>
      <c r="G29" s="160">
        <f t="shared" si="1"/>
        <v>0</v>
      </c>
      <c r="H29" s="571">
        <f t="shared" si="15"/>
        <v>82117</v>
      </c>
      <c r="I29" s="161">
        <f t="shared" si="2"/>
        <v>0</v>
      </c>
      <c r="J29" s="573">
        <f t="shared" si="13"/>
        <v>65812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27"/>
        <v>119.84751373206808</v>
      </c>
      <c r="P29" s="305">
        <f t="shared" si="9"/>
        <v>119.84751373206808</v>
      </c>
      <c r="Q29" s="305">
        <f>SUM(-tanks!AX31*tanks!$AU$37)</f>
        <v>0</v>
      </c>
      <c r="R29" s="305">
        <f t="shared" si="10"/>
        <v>119.84751373206808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60423</v>
      </c>
      <c r="AB29" s="199"/>
      <c r="AC29" s="254"/>
    </row>
    <row r="30" spans="1:32" ht="14.25" customHeight="1" thickBot="1">
      <c r="A30" s="163">
        <f>ELEC!C29</f>
        <v>44039</v>
      </c>
      <c r="B30" s="571">
        <f t="shared" si="29"/>
        <v>172611</v>
      </c>
      <c r="C30" s="270">
        <f t="shared" si="0"/>
        <v>0</v>
      </c>
      <c r="D30" s="316">
        <f t="shared" si="7"/>
        <v>0</v>
      </c>
      <c r="E30" s="316">
        <f t="shared" si="11"/>
        <v>172611</v>
      </c>
      <c r="F30" s="571">
        <f t="shared" si="14"/>
        <v>24683</v>
      </c>
      <c r="G30" s="160">
        <f t="shared" si="1"/>
        <v>0</v>
      </c>
      <c r="H30" s="571">
        <f t="shared" si="15"/>
        <v>82117</v>
      </c>
      <c r="I30" s="161">
        <f t="shared" si="2"/>
        <v>0</v>
      </c>
      <c r="J30" s="573">
        <f t="shared" si="13"/>
        <v>65812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27"/>
        <v>119.84751373206808</v>
      </c>
      <c r="P30" s="305">
        <f t="shared" si="9"/>
        <v>119.84751373206808</v>
      </c>
      <c r="Q30" s="305">
        <f>SUM(-tanks!AX32*tanks!$AU$37)</f>
        <v>0</v>
      </c>
      <c r="R30" s="305">
        <f t="shared" si="10"/>
        <v>119.84751373206808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0.141432</v>
      </c>
      <c r="X30" s="220"/>
      <c r="Y30" s="221" t="s">
        <v>333</v>
      </c>
      <c r="Z30" s="3"/>
      <c r="AA30" s="293"/>
      <c r="AB30" s="199">
        <f>SUM(AB26:AB29)</f>
        <v>7289488</v>
      </c>
      <c r="AC30" s="254">
        <f>SUM(AC26:AC29)/A39*A37</f>
        <v>5600773.935483871</v>
      </c>
    </row>
    <row r="31" spans="1:32" ht="15.75" thickBot="1">
      <c r="A31" s="163">
        <f>ELEC!C30</f>
        <v>44040</v>
      </c>
      <c r="B31" s="571">
        <f t="shared" si="29"/>
        <v>172611</v>
      </c>
      <c r="C31" s="270">
        <f t="shared" si="0"/>
        <v>0</v>
      </c>
      <c r="D31" s="316">
        <f t="shared" si="7"/>
        <v>0</v>
      </c>
      <c r="E31" s="316">
        <f t="shared" si="11"/>
        <v>172611</v>
      </c>
      <c r="F31" s="571">
        <f t="shared" si="14"/>
        <v>24683</v>
      </c>
      <c r="G31" s="160">
        <f t="shared" si="1"/>
        <v>0</v>
      </c>
      <c r="H31" s="571">
        <f t="shared" si="15"/>
        <v>82117</v>
      </c>
      <c r="I31" s="161">
        <f t="shared" si="2"/>
        <v>0</v>
      </c>
      <c r="J31" s="573">
        <f t="shared" si="13"/>
        <v>65812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27"/>
        <v>119.84751373206808</v>
      </c>
      <c r="P31" s="305">
        <f t="shared" si="9"/>
        <v>119.84751373206808</v>
      </c>
      <c r="Q31" s="305">
        <f>SUM(-tanks!AX33*tanks!$AU$37)</f>
        <v>0</v>
      </c>
      <c r="R31" s="305">
        <f t="shared" si="10"/>
        <v>119.84751373206808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460</v>
      </c>
      <c r="X31" s="225">
        <f>SUM(W31/A37)</f>
        <v>19.166666666666668</v>
      </c>
      <c r="Y31" s="266">
        <f>SUM(X31/2)</f>
        <v>9.5833333333333339</v>
      </c>
      <c r="Z31" s="3"/>
      <c r="AA31" s="3"/>
      <c r="AB31" s="578">
        <f>SUM(AB30+AC31)</f>
        <v>12890261.935483871</v>
      </c>
      <c r="AC31" s="254">
        <f>SUM(AC30)</f>
        <v>5600773.935483871</v>
      </c>
    </row>
    <row r="32" spans="1:32" ht="15.75" thickBot="1">
      <c r="A32" s="163">
        <f>ELEC!C31</f>
        <v>44041</v>
      </c>
      <c r="B32" s="571">
        <f t="shared" si="29"/>
        <v>172611</v>
      </c>
      <c r="C32" s="270">
        <f t="shared" si="0"/>
        <v>0</v>
      </c>
      <c r="D32" s="316">
        <f t="shared" si="7"/>
        <v>0</v>
      </c>
      <c r="E32" s="316">
        <f t="shared" si="11"/>
        <v>172611</v>
      </c>
      <c r="F32" s="571">
        <f t="shared" si="14"/>
        <v>24683</v>
      </c>
      <c r="G32" s="160">
        <f t="shared" si="1"/>
        <v>0</v>
      </c>
      <c r="H32" s="571">
        <f t="shared" si="15"/>
        <v>82117</v>
      </c>
      <c r="I32" s="161">
        <f t="shared" si="2"/>
        <v>0</v>
      </c>
      <c r="J32" s="573">
        <f t="shared" si="13"/>
        <v>65812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27"/>
        <v>119.84751373206808</v>
      </c>
      <c r="P32" s="305">
        <f t="shared" si="9"/>
        <v>119.84751373206808</v>
      </c>
      <c r="Q32" s="305">
        <f>SUM(-tanks!AX34*tanks!$AU$37)</f>
        <v>0</v>
      </c>
      <c r="R32" s="305">
        <f t="shared" si="10"/>
        <v>119.84751373206808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1">
        <f t="shared" si="29"/>
        <v>172611</v>
      </c>
      <c r="C33" s="270">
        <f t="shared" si="0"/>
        <v>0</v>
      </c>
      <c r="D33" s="316">
        <f t="shared" si="7"/>
        <v>0</v>
      </c>
      <c r="E33" s="316">
        <f t="shared" si="11"/>
        <v>172611</v>
      </c>
      <c r="F33" s="571">
        <f t="shared" si="14"/>
        <v>24683</v>
      </c>
      <c r="G33" s="160">
        <f>F33-F32</f>
        <v>0</v>
      </c>
      <c r="H33" s="571">
        <f t="shared" si="15"/>
        <v>82117</v>
      </c>
      <c r="I33" s="161">
        <f t="shared" si="2"/>
        <v>0</v>
      </c>
      <c r="J33" s="573">
        <f t="shared" si="13"/>
        <v>65812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27"/>
        <v>119.84751373206808</v>
      </c>
      <c r="P33" s="305">
        <f>SUM(L33:O33)</f>
        <v>119.84751373206808</v>
      </c>
      <c r="Q33" s="305">
        <f>SUM(-tanks!AX35*tanks!$AU$37)</f>
        <v>0</v>
      </c>
      <c r="R33" s="305">
        <f>SUM(P33:Q33)</f>
        <v>119.84751373206808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1">
        <f t="shared" si="29"/>
        <v>172611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172611</v>
      </c>
      <c r="F34" s="571">
        <f t="shared" si="14"/>
        <v>24683</v>
      </c>
      <c r="G34" s="160">
        <f>F34-F33</f>
        <v>0</v>
      </c>
      <c r="H34" s="571">
        <f t="shared" si="15"/>
        <v>82117</v>
      </c>
      <c r="I34" s="161">
        <f t="shared" ref="I34" si="31">H34-H33</f>
        <v>0</v>
      </c>
      <c r="J34" s="573">
        <f t="shared" si="13"/>
        <v>65812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7"/>
        <v>119.84751373206808</v>
      </c>
      <c r="P34" s="305">
        <f>SUM(L34:O34)</f>
        <v>119.84751373206808</v>
      </c>
      <c r="Q34" s="305">
        <f>SUM(-tanks!AX36*tanks!$AU$37)</f>
        <v>0</v>
      </c>
      <c r="R34" s="305">
        <f>SUM(P34:Q34)</f>
        <v>119.84751373206808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1"/>
      <c r="B35" s="562"/>
      <c r="C35" s="563"/>
      <c r="D35" s="562"/>
      <c r="E35" s="562"/>
      <c r="F35" s="562"/>
      <c r="G35" s="562"/>
      <c r="H35" s="562"/>
      <c r="I35" s="562"/>
      <c r="J35" s="562"/>
      <c r="K35" s="562"/>
      <c r="L35" s="564"/>
      <c r="M35" s="564"/>
      <c r="N35" s="564"/>
      <c r="O35" s="564"/>
      <c r="P35" s="565"/>
      <c r="Q35" s="565"/>
      <c r="R35" s="565"/>
      <c r="S35" s="566"/>
      <c r="T35" s="567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1"/>
      <c r="B36" s="562"/>
      <c r="C36" s="563"/>
      <c r="D36" s="563"/>
      <c r="E36" s="563"/>
      <c r="F36" s="562"/>
      <c r="G36" s="562"/>
      <c r="H36" s="562"/>
      <c r="I36" s="562"/>
      <c r="J36" s="562"/>
      <c r="K36" s="568"/>
      <c r="L36" s="565"/>
      <c r="M36" s="565"/>
      <c r="N36" s="565"/>
      <c r="O36" s="565"/>
      <c r="P36" s="566"/>
      <c r="Q36" s="566"/>
      <c r="R36" s="566"/>
      <c r="S36" s="566"/>
      <c r="T36" s="567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1417928.8129032259</v>
      </c>
      <c r="AC36" s="286"/>
    </row>
    <row r="37" spans="1:32" ht="15.75" thickBot="1">
      <c r="A37" s="560">
        <f>A39-COUNTIF(C4:C35,0)</f>
        <v>24</v>
      </c>
      <c r="C37" s="176">
        <f>SUM(C4:C35)/A37</f>
        <v>2517.5833333333335</v>
      </c>
      <c r="D37" s="176"/>
      <c r="E37" s="176"/>
      <c r="G37" s="176">
        <f>SUM(G4:G35)/A37</f>
        <v>259.5</v>
      </c>
      <c r="I37" s="176">
        <f>SUM(I4:I35)/A37</f>
        <v>1251.2083333333333</v>
      </c>
      <c r="K37" s="176">
        <f>SUM(K4:K36)/A37</f>
        <v>1006.9166666666666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14308190.748387096</v>
      </c>
      <c r="AC37" s="286"/>
    </row>
    <row r="38" spans="1:32" ht="15.75" thickBot="1">
      <c r="A38" s="213"/>
      <c r="C38" s="215">
        <f>SUM(G38:K38)</f>
        <v>1.0000165502631491</v>
      </c>
      <c r="G38" s="228">
        <f>IF(C37&gt;0,G37/C37,0)</f>
        <v>0.10307503889311839</v>
      </c>
      <c r="H38" s="215"/>
      <c r="I38" s="228">
        <f>SUM(I37/C37)</f>
        <v>0.49698785210684843</v>
      </c>
      <c r="J38" s="215"/>
      <c r="K38" s="228">
        <f>SUM(K37/C37)</f>
        <v>0.39995365926318227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8550.7541860589517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3715.2729256941102</v>
      </c>
      <c r="Z40" s="40"/>
      <c r="AA40" s="300" t="s">
        <v>215</v>
      </c>
      <c r="AB40" s="301">
        <f>SUM(AB38)</f>
        <v>8550.7541860589517</v>
      </c>
    </row>
    <row r="41" spans="1:32">
      <c r="V41" s="220"/>
      <c r="W41" s="82">
        <f>(AB30+AB56)/1507.5</f>
        <v>4835.4812603648425</v>
      </c>
      <c r="X41" s="579"/>
      <c r="Z41" s="302">
        <f>SUM(AB40)</f>
        <v>8550.7541860589517</v>
      </c>
      <c r="AA41" s="301"/>
      <c r="AB41" s="301"/>
    </row>
    <row r="42" spans="1:32">
      <c r="V42" s="17"/>
      <c r="W42" s="82">
        <f>SUM(W40:W41)</f>
        <v>8550.7541860589517</v>
      </c>
      <c r="X42" s="579"/>
      <c r="Y42" s="82"/>
      <c r="Z42" s="302">
        <f>SUM(-tanks!AX37)*tanks!AU37</f>
        <v>54319.253415376341</v>
      </c>
      <c r="AA42" s="101">
        <f>SUM(AB31/A37)</f>
        <v>537094.24731182796</v>
      </c>
      <c r="AB42" s="358">
        <f>SUM(AA42*A39)</f>
        <v>16649921.666666666</v>
      </c>
    </row>
    <row r="43" spans="1:32" ht="18.75">
      <c r="W43" s="82">
        <f>(AB30+AB56)/1507.5</f>
        <v>4835.4812603648425</v>
      </c>
      <c r="Z43" s="282">
        <f>SUM(Z41:Z42)</f>
        <v>62870.007601435296</v>
      </c>
      <c r="AA43" s="301">
        <f>SUM(AA42/1507.5)</f>
        <v>356.28142441912303</v>
      </c>
      <c r="AB43" s="357">
        <f>SUM(AB42/1507.5)</f>
        <v>11044.724156992814</v>
      </c>
    </row>
    <row r="44" spans="1:32">
      <c r="D44" s="534"/>
      <c r="E44" s="534"/>
      <c r="F44" s="534"/>
      <c r="W44" s="82">
        <f>SUM(W42:W43)</f>
        <v>13386.235446423794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88"/>
      <c r="W47" s="589"/>
      <c r="X47" s="17"/>
      <c r="Y47" s="17"/>
      <c r="Z47" s="590"/>
      <c r="AA47" s="17"/>
      <c r="AB47" s="682"/>
      <c r="AC47" s="682"/>
      <c r="AD47" s="17"/>
      <c r="AE47" s="17"/>
      <c r="AF47" s="17"/>
    </row>
    <row r="48" spans="1:32">
      <c r="V48" s="682"/>
      <c r="W48" s="682"/>
      <c r="X48" s="682"/>
      <c r="Y48" s="682"/>
      <c r="Z48" s="590"/>
      <c r="AA48" s="590"/>
      <c r="AB48" s="682"/>
      <c r="AC48" s="682"/>
      <c r="AD48" s="17"/>
      <c r="AE48" s="17"/>
      <c r="AF48" s="17"/>
    </row>
    <row r="49" spans="22:32">
      <c r="V49" s="682"/>
      <c r="W49" s="682"/>
      <c r="X49" s="682"/>
      <c r="Y49" s="682"/>
      <c r="Z49" s="682"/>
      <c r="AA49" s="682"/>
      <c r="AB49" s="682"/>
      <c r="AC49" s="682"/>
      <c r="AD49" s="17"/>
      <c r="AE49" s="17"/>
      <c r="AF49" s="17"/>
    </row>
    <row r="50" spans="22:32">
      <c r="V50" s="683"/>
      <c r="W50" s="683"/>
      <c r="X50" s="684"/>
      <c r="Y50" s="684"/>
      <c r="Z50" s="684"/>
      <c r="AA50" s="591"/>
      <c r="AB50" s="682"/>
      <c r="AC50" s="682"/>
      <c r="AD50" s="17"/>
      <c r="AE50" s="17"/>
      <c r="AF50" s="17"/>
    </row>
    <row r="51" spans="22:32">
      <c r="V51" s="588"/>
      <c r="W51" s="588"/>
      <c r="X51" s="588"/>
      <c r="Y51" s="588"/>
      <c r="Z51" s="588"/>
      <c r="AA51" s="588"/>
      <c r="AB51" s="588"/>
      <c r="AC51" s="592"/>
      <c r="AD51" s="17"/>
      <c r="AE51" s="17"/>
      <c r="AF51" s="17"/>
    </row>
    <row r="52" spans="22:32">
      <c r="V52" s="591"/>
      <c r="W52" s="591"/>
      <c r="X52" s="593"/>
      <c r="Y52" s="593"/>
      <c r="Z52" s="593"/>
      <c r="AA52" s="73"/>
      <c r="AB52" s="73"/>
      <c r="AC52" s="73"/>
      <c r="AD52" s="594"/>
      <c r="AE52" s="17"/>
      <c r="AF52" s="17"/>
    </row>
    <row r="53" spans="22:32">
      <c r="V53" s="591"/>
      <c r="W53" s="591"/>
      <c r="X53" s="593"/>
      <c r="Y53" s="593"/>
      <c r="Z53" s="593"/>
      <c r="AA53" s="73"/>
      <c r="AB53" s="73"/>
      <c r="AC53" s="73"/>
      <c r="AD53" s="594"/>
      <c r="AE53" s="17"/>
      <c r="AF53" s="17"/>
    </row>
    <row r="54" spans="22:32">
      <c r="V54" s="591"/>
      <c r="W54" s="591"/>
      <c r="X54" s="593"/>
      <c r="Y54" s="593"/>
      <c r="Z54" s="593"/>
      <c r="AA54" s="73"/>
      <c r="AB54" s="73"/>
      <c r="AC54" s="73"/>
      <c r="AD54" s="594"/>
      <c r="AE54" s="595"/>
      <c r="AF54" s="596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97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98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99"/>
      <c r="AB61" s="600"/>
      <c r="AC61" s="601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2"/>
      <c r="AB62" s="600"/>
      <c r="AC62" s="601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0"/>
      <c r="AC63" s="601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3"/>
      <c r="AC64" s="17"/>
      <c r="AD64" s="17"/>
      <c r="AE64" s="17"/>
      <c r="AF64" s="17"/>
    </row>
    <row r="65" spans="22:32">
      <c r="V65" s="220"/>
      <c r="W65" s="596"/>
      <c r="X65" s="17"/>
      <c r="Y65" s="17"/>
      <c r="Z65" s="595"/>
      <c r="AA65" s="604"/>
      <c r="AB65" s="593"/>
      <c r="AC65" s="17"/>
      <c r="AD65" s="17"/>
      <c r="AE65" s="17"/>
      <c r="AF65" s="17"/>
    </row>
    <row r="66" spans="22:32">
      <c r="V66" s="220"/>
      <c r="W66" s="596"/>
      <c r="X66" s="17"/>
      <c r="Y66" s="17"/>
      <c r="Z66" s="433"/>
      <c r="AA66" s="593"/>
      <c r="AB66" s="593"/>
      <c r="AC66" s="17"/>
      <c r="AD66" s="17"/>
      <c r="AE66" s="17"/>
      <c r="AF66" s="17"/>
    </row>
    <row r="67" spans="22:32">
      <c r="V67" s="17"/>
      <c r="W67" s="596"/>
      <c r="X67" s="17"/>
      <c r="Y67" s="596"/>
      <c r="Z67" s="433"/>
      <c r="AA67" s="593"/>
      <c r="AB67" s="605"/>
      <c r="AC67" s="17"/>
      <c r="AD67" s="17"/>
      <c r="AE67" s="17"/>
      <c r="AF67" s="17"/>
    </row>
    <row r="68" spans="22:32" ht="18.75">
      <c r="V68" s="17"/>
      <c r="W68" s="596"/>
      <c r="X68" s="17"/>
      <c r="Y68" s="17"/>
      <c r="Z68" s="606"/>
      <c r="AA68" s="593"/>
      <c r="AB68" s="607"/>
      <c r="AC68" s="17"/>
      <c r="AD68" s="17"/>
      <c r="AE68" s="17"/>
      <c r="AF68" s="17"/>
    </row>
    <row r="69" spans="22:32">
      <c r="V69" s="17"/>
      <c r="W69" s="596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3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2" activePane="bottomLeft" state="frozen"/>
      <selection pane="bottomLeft" activeCell="M30" sqref="M30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5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5" t="s">
        <v>51</v>
      </c>
      <c r="B1" s="697" t="s">
        <v>321</v>
      </c>
      <c r="C1" s="698"/>
      <c r="D1" s="700"/>
      <c r="E1" s="697" t="s">
        <v>322</v>
      </c>
      <c r="F1" s="698"/>
      <c r="G1" s="699"/>
      <c r="H1" s="694" t="s">
        <v>327</v>
      </c>
      <c r="I1" s="691" t="s">
        <v>328</v>
      </c>
      <c r="J1" s="688" t="s">
        <v>43</v>
      </c>
    </row>
    <row r="2" spans="1:18" ht="38.25" thickBot="1">
      <c r="A2" s="686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5"/>
      <c r="I2" s="692"/>
      <c r="J2" s="689"/>
    </row>
    <row r="3" spans="1:18" ht="24" customHeight="1" thickBot="1">
      <c r="A3" s="687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6"/>
      <c r="I3" s="693"/>
      <c r="J3" s="690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2">
        <f>'[6]Swimming Pool quality check '!J36</f>
        <v>0.33333333333333398</v>
      </c>
      <c r="K5" s="417">
        <v>0</v>
      </c>
      <c r="L5" s="550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0">
        <v>2.1</v>
      </c>
      <c r="C6" s="571">
        <v>7.8</v>
      </c>
      <c r="D6" s="572">
        <v>29</v>
      </c>
      <c r="E6" s="572">
        <v>2.5</v>
      </c>
      <c r="F6" s="572">
        <v>8.1</v>
      </c>
      <c r="G6" s="572">
        <v>36</v>
      </c>
      <c r="H6" s="572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4">
        <v>2</v>
      </c>
      <c r="C7" s="569">
        <v>7.8</v>
      </c>
      <c r="D7" s="170">
        <v>27</v>
      </c>
      <c r="E7" s="170">
        <v>2.5</v>
      </c>
      <c r="F7" s="170">
        <v>7.8</v>
      </c>
      <c r="G7" s="170">
        <v>35</v>
      </c>
      <c r="H7" s="572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4">
        <v>1.3</v>
      </c>
      <c r="C8" s="553">
        <v>7.7</v>
      </c>
      <c r="D8" s="170">
        <v>29</v>
      </c>
      <c r="E8" s="170">
        <v>3</v>
      </c>
      <c r="F8" s="170">
        <v>8</v>
      </c>
      <c r="G8" s="170">
        <v>36</v>
      </c>
      <c r="H8" s="572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4">
        <v>2</v>
      </c>
      <c r="C9" s="576">
        <v>7.8</v>
      </c>
      <c r="D9" s="170">
        <v>29</v>
      </c>
      <c r="E9" s="170">
        <v>2.5</v>
      </c>
      <c r="F9" s="170">
        <v>8.1</v>
      </c>
      <c r="G9" s="170">
        <v>36</v>
      </c>
      <c r="H9" s="572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2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2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2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4">
        <v>2</v>
      </c>
      <c r="C13" s="577">
        <v>7.8</v>
      </c>
      <c r="D13" s="170">
        <v>28</v>
      </c>
      <c r="E13" s="170">
        <v>2</v>
      </c>
      <c r="F13" s="170">
        <v>7.8</v>
      </c>
      <c r="G13" s="170">
        <v>35</v>
      </c>
      <c r="H13" s="572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>
        <v>2</v>
      </c>
      <c r="C14" s="556">
        <v>7.8</v>
      </c>
      <c r="D14" s="170">
        <v>28</v>
      </c>
      <c r="E14" s="170">
        <v>2</v>
      </c>
      <c r="F14" s="170">
        <v>7.8</v>
      </c>
      <c r="G14" s="170">
        <v>35</v>
      </c>
      <c r="H14" s="572">
        <v>6412</v>
      </c>
      <c r="I14" s="524">
        <f t="shared" si="3"/>
        <v>7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>
        <v>2</v>
      </c>
      <c r="C15" s="557">
        <v>7.8</v>
      </c>
      <c r="D15" s="170">
        <v>28</v>
      </c>
      <c r="E15" s="170">
        <v>1.5</v>
      </c>
      <c r="F15" s="170">
        <v>7.8</v>
      </c>
      <c r="G15" s="170">
        <v>35</v>
      </c>
      <c r="H15" s="572">
        <v>6419</v>
      </c>
      <c r="I15" s="524">
        <f t="shared" si="3"/>
        <v>7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>
        <v>2</v>
      </c>
      <c r="C16" s="558">
        <v>7.7</v>
      </c>
      <c r="D16" s="170">
        <v>29</v>
      </c>
      <c r="E16" s="170">
        <v>3</v>
      </c>
      <c r="F16" s="170">
        <v>8</v>
      </c>
      <c r="G16" s="170">
        <v>36</v>
      </c>
      <c r="H16" s="572">
        <v>6423</v>
      </c>
      <c r="I16" s="524">
        <f t="shared" si="3"/>
        <v>4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>
        <v>2.2000000000000002</v>
      </c>
      <c r="C17" s="580">
        <v>7.8</v>
      </c>
      <c r="D17" s="524">
        <v>29</v>
      </c>
      <c r="E17" s="524">
        <v>1.5</v>
      </c>
      <c r="F17" s="524">
        <v>8</v>
      </c>
      <c r="G17" s="524">
        <v>36</v>
      </c>
      <c r="H17" s="572">
        <v>6434</v>
      </c>
      <c r="I17" s="524">
        <f t="shared" si="3"/>
        <v>11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>
        <v>2</v>
      </c>
      <c r="C18" s="524">
        <v>7.8</v>
      </c>
      <c r="D18" s="524">
        <v>29</v>
      </c>
      <c r="E18" s="524">
        <v>2.5</v>
      </c>
      <c r="F18" s="524">
        <v>8</v>
      </c>
      <c r="G18" s="524">
        <v>36</v>
      </c>
      <c r="H18" s="572">
        <v>6438</v>
      </c>
      <c r="I18" s="524">
        <f t="shared" si="3"/>
        <v>4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>
        <v>2.7</v>
      </c>
      <c r="C19" s="581">
        <v>7.8</v>
      </c>
      <c r="D19" s="170">
        <v>29</v>
      </c>
      <c r="E19" s="170">
        <v>2</v>
      </c>
      <c r="F19" s="170">
        <v>8</v>
      </c>
      <c r="G19" s="170">
        <v>36</v>
      </c>
      <c r="H19" s="572">
        <v>6443</v>
      </c>
      <c r="I19" s="524">
        <f t="shared" si="3"/>
        <v>5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>
        <v>2.5</v>
      </c>
      <c r="C20" s="524">
        <v>7.8</v>
      </c>
      <c r="D20" s="524">
        <v>29</v>
      </c>
      <c r="E20" s="524">
        <v>2</v>
      </c>
      <c r="F20" s="524">
        <v>8</v>
      </c>
      <c r="G20" s="524">
        <v>36</v>
      </c>
      <c r="H20" s="572">
        <v>6443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>
        <v>2</v>
      </c>
      <c r="C21" s="524">
        <v>7.8</v>
      </c>
      <c r="D21" s="524">
        <v>29</v>
      </c>
      <c r="E21" s="524">
        <v>2.5</v>
      </c>
      <c r="F21" s="524">
        <v>8</v>
      </c>
      <c r="G21" s="524">
        <v>36</v>
      </c>
      <c r="H21" s="572">
        <v>6451</v>
      </c>
      <c r="I21" s="524">
        <f t="shared" si="3"/>
        <v>8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>
        <v>2.5</v>
      </c>
      <c r="C22" s="582">
        <v>7.8</v>
      </c>
      <c r="D22" s="170">
        <v>28</v>
      </c>
      <c r="E22" s="170">
        <v>2.5</v>
      </c>
      <c r="F22" s="170">
        <v>8</v>
      </c>
      <c r="G22" s="170">
        <v>36</v>
      </c>
      <c r="H22" s="572">
        <v>6455</v>
      </c>
      <c r="I22" s="524">
        <f t="shared" si="3"/>
        <v>4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>
        <v>2.5</v>
      </c>
      <c r="C23" s="170">
        <v>7.8</v>
      </c>
      <c r="D23" s="170">
        <v>28</v>
      </c>
      <c r="E23" s="170">
        <v>2</v>
      </c>
      <c r="F23" s="170">
        <v>8</v>
      </c>
      <c r="G23" s="170">
        <v>36</v>
      </c>
      <c r="H23" s="572">
        <v>6459</v>
      </c>
      <c r="I23" s="524">
        <f t="shared" si="3"/>
        <v>4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>
        <v>2.5299999999999998</v>
      </c>
      <c r="C24" s="524">
        <v>7.8</v>
      </c>
      <c r="D24" s="524">
        <v>29</v>
      </c>
      <c r="E24" s="524">
        <v>3</v>
      </c>
      <c r="F24" s="524">
        <v>7.9</v>
      </c>
      <c r="G24" s="524">
        <v>36</v>
      </c>
      <c r="H24" s="572">
        <v>6462</v>
      </c>
      <c r="I24" s="524">
        <f t="shared" si="3"/>
        <v>3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>
        <v>2.5</v>
      </c>
      <c r="C25" s="524">
        <v>7.8</v>
      </c>
      <c r="D25" s="524">
        <v>29</v>
      </c>
      <c r="E25" s="524">
        <v>1.5</v>
      </c>
      <c r="F25" s="524">
        <v>7.8</v>
      </c>
      <c r="G25" s="524">
        <v>36</v>
      </c>
      <c r="H25" s="572">
        <v>6465</v>
      </c>
      <c r="I25" s="524">
        <f t="shared" si="3"/>
        <v>3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>
        <v>2.5</v>
      </c>
      <c r="C26" s="524">
        <v>7.8</v>
      </c>
      <c r="D26" s="524">
        <v>28</v>
      </c>
      <c r="E26" s="524">
        <v>2</v>
      </c>
      <c r="F26" s="524">
        <v>7.8</v>
      </c>
      <c r="G26" s="524">
        <v>36</v>
      </c>
      <c r="H26" s="572">
        <v>6471</v>
      </c>
      <c r="I26" s="524">
        <f t="shared" si="3"/>
        <v>6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>
        <v>2.5</v>
      </c>
      <c r="C27" s="524">
        <v>7.8</v>
      </c>
      <c r="D27" s="524">
        <v>28</v>
      </c>
      <c r="E27" s="524">
        <v>2</v>
      </c>
      <c r="F27" s="524">
        <v>7.8</v>
      </c>
      <c r="G27" s="524">
        <v>36</v>
      </c>
      <c r="H27" s="572">
        <v>6480</v>
      </c>
      <c r="I27" s="524">
        <f t="shared" si="3"/>
        <v>9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>
        <v>2.5</v>
      </c>
      <c r="C28" s="583">
        <v>7.8</v>
      </c>
      <c r="D28" s="170">
        <v>28</v>
      </c>
      <c r="E28" s="170">
        <v>2.5</v>
      </c>
      <c r="F28" s="170">
        <v>7.8</v>
      </c>
      <c r="G28" s="170">
        <v>36</v>
      </c>
      <c r="H28" s="572">
        <v>6489</v>
      </c>
      <c r="I28" s="524">
        <f t="shared" si="3"/>
        <v>9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>
        <v>2.5</v>
      </c>
      <c r="C29" s="524">
        <v>7.8</v>
      </c>
      <c r="D29" s="524">
        <v>28</v>
      </c>
      <c r="E29" s="524">
        <v>2.5</v>
      </c>
      <c r="F29" s="524">
        <v>7.8</v>
      </c>
      <c r="G29" s="524">
        <v>36</v>
      </c>
      <c r="H29" s="572">
        <v>6495</v>
      </c>
      <c r="I29" s="524">
        <f t="shared" si="3"/>
        <v>6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524">
        <v>2.5</v>
      </c>
      <c r="C30" s="524">
        <v>7.8</v>
      </c>
      <c r="D30" s="170">
        <v>31</v>
      </c>
      <c r="E30" s="170">
        <v>3</v>
      </c>
      <c r="F30" s="170">
        <v>8</v>
      </c>
      <c r="G30" s="170">
        <v>37</v>
      </c>
      <c r="H30" s="572">
        <f t="shared" si="2"/>
        <v>6495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59"/>
      <c r="D31" s="170"/>
      <c r="E31" s="170"/>
      <c r="F31" s="170"/>
      <c r="G31" s="170"/>
      <c r="H31" s="572">
        <f t="shared" si="2"/>
        <v>6495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2">
        <f t="shared" si="2"/>
        <v>6495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2">
        <f t="shared" si="2"/>
        <v>6495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2">
        <f t="shared" si="2"/>
        <v>6495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2">
        <f t="shared" si="2"/>
        <v>6495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2">
        <f t="shared" si="2"/>
        <v>6495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5" zoomScale="80" zoomScaleNormal="80" workbookViewId="0">
      <selection activeCell="B56" sqref="B56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2" t="s">
        <v>161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</row>
    <row r="2" spans="1:28" ht="19.5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</row>
    <row r="3" spans="1:28" ht="19.5">
      <c r="A3" s="713" t="s">
        <v>162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3" t="s">
        <v>412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713"/>
      <c r="V5" s="713"/>
      <c r="W5" s="713"/>
      <c r="X5" s="713"/>
    </row>
    <row r="6" spans="1:28" ht="15.75" thickBot="1">
      <c r="A6" s="714"/>
      <c r="B6" s="714"/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</row>
    <row r="7" spans="1:28" ht="15.75" thickBot="1">
      <c r="A7" s="702" t="s">
        <v>163</v>
      </c>
      <c r="B7" s="703"/>
      <c r="C7" s="704" t="s">
        <v>164</v>
      </c>
      <c r="D7" s="705"/>
      <c r="E7" s="705"/>
      <c r="F7" s="705"/>
      <c r="G7" s="705"/>
      <c r="H7" s="705"/>
      <c r="I7" s="705"/>
      <c r="J7" s="705"/>
      <c r="K7" s="70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6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6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6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6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6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6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6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6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6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6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6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6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-109.8</v>
      </c>
      <c r="AB16" s="278">
        <f>C81</f>
        <v>213.99999999999991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6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6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6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6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6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6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6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6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6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6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6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6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6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6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-517.59999999999991</v>
      </c>
      <c r="AB23" s="134">
        <f>SUM(AB10:AB22)</f>
        <v>587.99999999999989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6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6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6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6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6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6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6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6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6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6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6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6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6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6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6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6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6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6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6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6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6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6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6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6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6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6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6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6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6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6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6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6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6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30</v>
      </c>
      <c r="C56" s="278">
        <f>'General information '!C14</f>
        <v>22</v>
      </c>
      <c r="D56" s="119">
        <f t="shared" si="8"/>
        <v>7.6999999999999993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30</v>
      </c>
      <c r="C57" s="278">
        <f>'General information '!C15</f>
        <v>22</v>
      </c>
      <c r="D57" s="119">
        <f t="shared" ref="D57:D78" si="14">(B57+C57)/2-18.3</f>
        <v>7.6999999999999993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30</v>
      </c>
      <c r="C58" s="278">
        <f>'General information '!C16</f>
        <v>26</v>
      </c>
      <c r="D58" s="119">
        <f t="shared" si="14"/>
        <v>9.6999999999999993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30</v>
      </c>
      <c r="C59" s="278">
        <f>'General information '!C17</f>
        <v>22</v>
      </c>
      <c r="D59" s="119">
        <f t="shared" si="14"/>
        <v>7.6999999999999993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30</v>
      </c>
      <c r="C60" s="278">
        <f>'General information '!C18</f>
        <v>23</v>
      </c>
      <c r="D60" s="119">
        <f t="shared" si="14"/>
        <v>8.1999999999999993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30</v>
      </c>
      <c r="C61" s="278">
        <f>'General information '!C19</f>
        <v>25</v>
      </c>
      <c r="D61" s="119">
        <f t="shared" si="14"/>
        <v>9.1999999999999993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30</v>
      </c>
      <c r="C62" s="278">
        <f>'General information '!C20</f>
        <v>23</v>
      </c>
      <c r="D62" s="119">
        <f t="shared" si="14"/>
        <v>8.1999999999999993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30</v>
      </c>
      <c r="C63" s="278">
        <f>'General information '!C21</f>
        <v>25</v>
      </c>
      <c r="D63" s="119">
        <f t="shared" si="14"/>
        <v>9.1999999999999993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31</v>
      </c>
      <c r="C64" s="278">
        <f>'General information '!C22</f>
        <v>23</v>
      </c>
      <c r="D64" s="119">
        <f t="shared" si="14"/>
        <v>8.6999999999999993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30</v>
      </c>
      <c r="C65" s="278">
        <f>'General information '!C23</f>
        <v>25</v>
      </c>
      <c r="D65" s="119">
        <f t="shared" si="14"/>
        <v>9.1999999999999993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31</v>
      </c>
      <c r="C66" s="278">
        <f>'General information '!C24</f>
        <v>23</v>
      </c>
      <c r="D66" s="119">
        <f t="shared" si="14"/>
        <v>8.6999999999999993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31</v>
      </c>
      <c r="C67" s="278">
        <f>'General information '!C25</f>
        <v>23</v>
      </c>
      <c r="D67" s="119">
        <f t="shared" si="14"/>
        <v>8.6999999999999993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31</v>
      </c>
      <c r="C68" s="278">
        <f>'General information '!C26</f>
        <v>23</v>
      </c>
      <c r="D68" s="119">
        <f t="shared" si="14"/>
        <v>8.6999999999999993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31</v>
      </c>
      <c r="C69" s="278">
        <f>'General information '!C27</f>
        <v>23</v>
      </c>
      <c r="D69" s="119">
        <f t="shared" si="14"/>
        <v>8.6999999999999993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32</v>
      </c>
      <c r="C70" s="278">
        <f>'General information '!C28</f>
        <v>27</v>
      </c>
      <c r="D70" s="119">
        <f t="shared" si="14"/>
        <v>11.2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30</v>
      </c>
      <c r="C71" s="278">
        <f>'General information '!C29</f>
        <v>24</v>
      </c>
      <c r="D71" s="119">
        <f t="shared" si="14"/>
        <v>8.6999999999999993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30</v>
      </c>
      <c r="C72" s="278">
        <f>'General information '!C30</f>
        <v>24</v>
      </c>
      <c r="D72" s="119">
        <f t="shared" si="14"/>
        <v>8.6999999999999993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-109.8</v>
      </c>
      <c r="C81" s="119">
        <f>SUMIF(D48:D78,"&gt;0")</f>
        <v>213.99999999999991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7" t="s">
        <v>174</v>
      </c>
      <c r="O84" s="707" t="s">
        <v>175</v>
      </c>
      <c r="P84" s="134"/>
      <c r="T84" s="134"/>
      <c r="X84" s="134"/>
    </row>
    <row r="85" spans="1:24" ht="20.25" thickBot="1">
      <c r="D85" s="134"/>
      <c r="I85" s="709" t="s">
        <v>182</v>
      </c>
      <c r="J85" s="710"/>
      <c r="K85" s="710"/>
      <c r="L85" s="710"/>
      <c r="N85" s="708"/>
      <c r="O85" s="708"/>
      <c r="P85" s="134"/>
      <c r="R85" s="17"/>
      <c r="S85" s="17"/>
      <c r="T85" s="140"/>
      <c r="U85" s="141"/>
      <c r="X85" s="134"/>
    </row>
    <row r="86" spans="1:24" ht="18.75" thickBot="1">
      <c r="D86" s="134"/>
      <c r="I86" s="711" t="s">
        <v>183</v>
      </c>
      <c r="J86" s="711"/>
      <c r="K86" s="711"/>
      <c r="L86" s="711"/>
      <c r="N86" s="142">
        <f>B43+F43+J43+N43+R43+V43+B81+F81+J81+N81+R81+V81</f>
        <v>-3329.2000000000003</v>
      </c>
      <c r="O86" s="142">
        <f>C43+G43+K43+O43+S43+W43+C81+G81+K81+O81+S81+W81</f>
        <v>565.99999999999989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1"/>
      <c r="C88" s="701"/>
      <c r="D88" s="701"/>
      <c r="E88" s="701"/>
      <c r="F88" s="701"/>
      <c r="G88" s="701"/>
      <c r="H88" s="701"/>
      <c r="I88" s="701"/>
      <c r="J88" s="701"/>
      <c r="K88" s="701"/>
      <c r="L88" s="701"/>
      <c r="M88" s="701"/>
      <c r="N88" s="701"/>
      <c r="O88" s="701"/>
      <c r="P88" s="701"/>
      <c r="Q88" s="701"/>
      <c r="R88" s="701"/>
      <c r="S88" s="701"/>
      <c r="T88" s="701"/>
      <c r="U88" s="701"/>
      <c r="V88" s="701"/>
      <c r="W88" s="70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17" sqref="H1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5" t="s">
        <v>216</v>
      </c>
      <c r="B2" s="715"/>
      <c r="C2" s="715"/>
      <c r="D2" s="715"/>
      <c r="E2" s="715"/>
      <c r="F2" s="715"/>
      <c r="G2" s="715"/>
      <c r="H2" s="715"/>
      <c r="I2" s="715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24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251</v>
      </c>
      <c r="C6" s="337">
        <v>1.45</v>
      </c>
      <c r="D6" s="187">
        <f>SUM(C6*B6)*D4</f>
        <v>548654.625</v>
      </c>
      <c r="E6" s="448">
        <f>SUM(D6/D4)/F4</f>
        <v>15.164583333333333</v>
      </c>
      <c r="F6" s="188">
        <f>SUM(E6*F4)</f>
        <v>363.95</v>
      </c>
      <c r="G6" s="189">
        <f>SUM(B6*C6)</f>
        <v>363.95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3152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5806.4516129032254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135679</v>
      </c>
      <c r="C8" s="508">
        <f>SUM(tanks!AU37)</f>
        <v>0.51776666666666671</v>
      </c>
      <c r="D8" s="194">
        <f>SUM(B8*C8)*D4</f>
        <v>105901970.82675003</v>
      </c>
      <c r="E8" s="195">
        <f>SUM(D8/D4/F4)</f>
        <v>2927.0859819444449</v>
      </c>
      <c r="F8" s="195">
        <f>SUM(E8*F4)</f>
        <v>70250.063566666679</v>
      </c>
      <c r="G8" s="525">
        <f>E8*$F$4</f>
        <v>70250.063566666679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4500</v>
      </c>
      <c r="C9" s="359">
        <v>0.7</v>
      </c>
      <c r="D9" s="191">
        <f>SUM(B9*C9)*D4</f>
        <v>4748625</v>
      </c>
      <c r="E9" s="192">
        <f>SUM(C9*B9)/F4</f>
        <v>131.25</v>
      </c>
      <c r="F9" s="192">
        <f>SUM(E9*F4)</f>
        <v>3150</v>
      </c>
      <c r="G9" s="525">
        <f>E9*$G$4</f>
        <v>4068.75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12890261.935483871</v>
      </c>
      <c r="E10" s="185">
        <f>SUM(D10/D4/F4)</f>
        <v>356.28142441912297</v>
      </c>
      <c r="F10" s="185">
        <f>SUM(E10*F4)</f>
        <v>8550.7541860589517</v>
      </c>
      <c r="G10" s="525">
        <f>E10*$G$4</f>
        <v>11044.724156992812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3671.7174735678691</v>
      </c>
      <c r="F12" s="183">
        <f>SUM(F6:F10)</f>
        <v>88121.219365628858</v>
      </c>
      <c r="G12" s="182">
        <f>SUM(G6:G10)</f>
        <v>93227.487723659491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-109.8</v>
      </c>
      <c r="C14" s="445">
        <f>'[7]Utility Cost '!C14</f>
        <v>151</v>
      </c>
      <c r="D14" s="170"/>
      <c r="E14" s="170">
        <f t="shared" ref="E14:E18" si="0">B14-C14</f>
        <v>-260.8</v>
      </c>
      <c r="F14" s="524">
        <v>0</v>
      </c>
      <c r="G14" s="433"/>
      <c r="H14" s="434">
        <f>SUM(G12-H12)</f>
        <v>19725.787723659494</v>
      </c>
      <c r="I14" s="434">
        <f>SUM(G12-I12)</f>
        <v>-572.51227634050883</v>
      </c>
    </row>
    <row r="15" spans="1:11">
      <c r="A15" s="462" t="s">
        <v>304</v>
      </c>
      <c r="B15" s="97">
        <f>'Degree Days 2020'!AB16</f>
        <v>213.99999999999991</v>
      </c>
      <c r="C15" s="445">
        <f>'[7]Utility Cost '!C15</f>
        <v>-18.3</v>
      </c>
      <c r="D15" s="170"/>
      <c r="E15" s="170">
        <f t="shared" si="0"/>
        <v>232.29999999999993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610">
        <f>'General information '!D38</f>
        <v>27.979166666666668</v>
      </c>
      <c r="C16" s="445">
        <f>'[7]Utility Cost '!C16</f>
        <v>27.967741935483872</v>
      </c>
      <c r="D16" s="445"/>
      <c r="E16" s="446">
        <f t="shared" si="0"/>
        <v>1.1424731182795966E-2</v>
      </c>
      <c r="F16" s="544">
        <v>0</v>
      </c>
      <c r="G16" s="433"/>
      <c r="H16" s="17"/>
      <c r="I16" s="17"/>
      <c r="J16" s="17"/>
    </row>
    <row r="17" spans="1:10">
      <c r="A17" s="536" t="s">
        <v>317</v>
      </c>
      <c r="B17" s="539">
        <f>'General information '!F37</f>
        <v>0.141432</v>
      </c>
      <c r="C17" s="538">
        <f>'[7]Utility Cost '!C17</f>
        <v>0.83235161290322568</v>
      </c>
      <c r="D17" s="491">
        <f>'[8]Other Fuel Calculation 2020'!$H$62</f>
        <v>0.68010000000000004</v>
      </c>
      <c r="E17" s="538">
        <f t="shared" si="0"/>
        <v>-0.69091961290322568</v>
      </c>
      <c r="F17" s="542">
        <f>B17-D17</f>
        <v>-0.53866800000000004</v>
      </c>
      <c r="G17" s="17"/>
      <c r="H17" s="17"/>
      <c r="I17" s="17"/>
      <c r="J17" s="17"/>
    </row>
    <row r="18" spans="1:10">
      <c r="A18" s="537" t="s">
        <v>389</v>
      </c>
      <c r="B18" s="541">
        <f>GEN!Z34</f>
        <v>460</v>
      </c>
      <c r="C18" s="445">
        <f>'[7]Utility Cost '!C18</f>
        <v>243</v>
      </c>
      <c r="D18" s="443">
        <f>'[8]Other Fuel Calculation 2020'!$H$60</f>
        <v>220</v>
      </c>
      <c r="E18" s="540">
        <f t="shared" si="0"/>
        <v>217</v>
      </c>
      <c r="F18" s="543">
        <f>B18-D18</f>
        <v>240</v>
      </c>
    </row>
    <row r="19" spans="1:10">
      <c r="A19" s="537" t="s">
        <v>414</v>
      </c>
      <c r="B19" s="535">
        <f>SUM(B18/$F$4)</f>
        <v>19.166666666666668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2020-07-26T07:55:27Z</dcterms:modified>
</cp:coreProperties>
</file>