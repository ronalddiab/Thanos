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J335" i="4"/>
  <c r="K335" i="4" s="1"/>
  <c r="S334" i="4"/>
  <c r="R334" i="4"/>
  <c r="O334" i="4"/>
  <c r="L334" i="4"/>
  <c r="M334" i="4" s="1"/>
  <c r="J334" i="4"/>
  <c r="K334" i="4" s="1"/>
  <c r="S333" i="4"/>
  <c r="R333" i="4"/>
  <c r="P333" i="4"/>
  <c r="P335" i="4" s="1"/>
  <c r="O333" i="4"/>
  <c r="L333" i="4"/>
  <c r="M333" i="4" s="1"/>
  <c r="J333" i="4"/>
  <c r="K333" i="4" s="1"/>
  <c r="S332" i="4"/>
  <c r="R332" i="4"/>
  <c r="O332" i="4"/>
  <c r="L332" i="4"/>
  <c r="M332" i="4" s="1"/>
  <c r="J332" i="4"/>
  <c r="K332" i="4" s="1"/>
  <c r="S331" i="4"/>
  <c r="R331" i="4"/>
  <c r="P331" i="4"/>
  <c r="O331" i="4"/>
  <c r="L331" i="4"/>
  <c r="M331" i="4" s="1"/>
  <c r="J331" i="4"/>
  <c r="K331" i="4" s="1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F347" i="1" s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<sst xmlns="http://schemas.openxmlformats.org/spreadsheetml/2006/main" count="608" uniqueCount="78">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</sst>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09" workbookViewId="0">
      <selection activeCell="L327" sqref="L32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0.97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13.9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0.97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13.9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0.97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13.9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0.97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13.9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0.97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13.9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0.97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13.9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0.97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13.9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>
        <v>0.97</v>
      </c>
      <c r="G328" s="4" t="str">
        <f>'Gas Water'!M330</f>
        <v/>
      </c>
      <c r="H328" s="153">
        <v>3.85</v>
      </c>
      <c r="I328" s="2" t="str">
        <f>'Gas Water'!L330</f>
        <v/>
      </c>
      <c r="J328" s="153">
        <v>13.9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>
        <v>0.97</v>
      </c>
      <c r="G329" s="4" t="str">
        <f>'Gas Water'!M331</f>
        <v/>
      </c>
      <c r="H329" s="153">
        <v>3.85</v>
      </c>
      <c r="I329" s="2" t="str">
        <f>'Gas Water'!L331</f>
        <v/>
      </c>
      <c r="J329" s="153">
        <v>13.9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>
        <v>0.97</v>
      </c>
      <c r="G330" s="4" t="str">
        <f>'Gas Water'!M332</f>
        <v/>
      </c>
      <c r="H330" s="153">
        <v>3.85</v>
      </c>
      <c r="I330" s="2" t="str">
        <f>'Gas Water'!L332</f>
        <v/>
      </c>
      <c r="J330" s="153">
        <v>13.9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>
        <v>0.97</v>
      </c>
      <c r="G331" s="4" t="str">
        <f>'Gas Water'!M333</f>
        <v/>
      </c>
      <c r="H331" s="153">
        <v>3.85</v>
      </c>
      <c r="I331" s="2" t="str">
        <f>'Gas Water'!L333</f>
        <v/>
      </c>
      <c r="J331" s="153">
        <v>13.9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0.97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0.97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0.97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0.97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95" workbookViewId="0">
      <selection activeCell="G331" sqref="G33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3961</v>
      </c>
      <c r="O331" s="32">
        <f>SUM(M309:M338)</f>
        <v>39518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188.61904761904762</v>
      </c>
      <c r="O334" s="32">
        <f>AVERAGE(M309:M338)</f>
        <v>1881.8095238095239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578788</v>
      </c>
      <c r="J371" s="40">
        <f t="shared" si="30"/>
        <v>60288</v>
      </c>
      <c r="K371" s="40">
        <f t="shared" si="30"/>
        <v>55577</v>
      </c>
      <c r="L371" s="40">
        <f t="shared" si="30"/>
        <v>61407</v>
      </c>
      <c r="M371" s="40">
        <f t="shared" si="30"/>
        <v>694653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F328" sqref="F328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36" si="42">IF(D316="","",+(E316-E315)*4140)</f>
        <v>22960.440000000202</v>
      </c>
      <c r="J316" s="59">
        <f t="shared" ref="J316:J330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2.394750865973885E-2</v>
      </c>
      <c r="Q328" s="70">
        <f>IF(L308="",0,+SUM(L308:L337)/SUM(I308:I337))</f>
        <v>2.394750865973885E-2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2"/>
        <v/>
      </c>
      <c r="J329" s="59" t="str">
        <f t="shared" si="43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2"/>
        <v/>
      </c>
      <c r="J330" s="59" t="str">
        <f t="shared" si="43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2"/>
        <v/>
      </c>
      <c r="J331" s="59" t="str">
        <f t="shared" ref="I331:J368" si="49">IF(E331="","",+(E331-E330)*4140)</f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2"/>
        <v/>
      </c>
      <c r="J332" s="59" t="str">
        <f t="shared" si="49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9"/>
        <v/>
      </c>
      <c r="K333" s="60" t="str">
        <f t="shared" ref="K333:K337" si="50">IF(J333="","",+(J333/I333))</f>
        <v/>
      </c>
      <c r="L333" s="59" t="str">
        <f t="shared" si="46"/>
        <v/>
      </c>
      <c r="M333" s="60" t="str">
        <f t="shared" ref="M333:M362" si="51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9"/>
        <v/>
      </c>
      <c r="K334" s="60" t="str">
        <f t="shared" si="50"/>
        <v/>
      </c>
      <c r="L334" s="59" t="str">
        <f t="shared" si="46"/>
        <v/>
      </c>
      <c r="M334" s="60" t="str">
        <f t="shared" si="51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9"/>
        <v/>
      </c>
      <c r="K335" s="60" t="str">
        <f t="shared" si="50"/>
        <v/>
      </c>
      <c r="L335" s="59" t="str">
        <f t="shared" si="46"/>
        <v/>
      </c>
      <c r="M335" s="60" t="str">
        <f t="shared" si="51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si="49"/>
        <v/>
      </c>
      <c r="K336" s="60" t="str">
        <f t="shared" si="50"/>
        <v/>
      </c>
      <c r="L336" s="59" t="str">
        <f t="shared" si="46"/>
        <v/>
      </c>
      <c r="M336" s="60" t="str">
        <f t="shared" si="51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9"/>
        <v/>
      </c>
      <c r="J337" s="90" t="str">
        <f t="shared" si="49"/>
        <v/>
      </c>
      <c r="K337" s="60" t="str">
        <f t="shared" si="50"/>
        <v/>
      </c>
      <c r="L337" s="90" t="str">
        <f t="shared" si="46"/>
        <v/>
      </c>
      <c r="M337" s="60" t="str">
        <f t="shared" si="51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9"/>
        <v/>
      </c>
      <c r="J338" s="59" t="str">
        <f t="shared" si="49"/>
        <v/>
      </c>
      <c r="K338" s="60" t="str">
        <f t="shared" ref="K338:K368" si="52">IF(J338="","",+(J338/I338))</f>
        <v/>
      </c>
      <c r="L338" s="59" t="str">
        <f t="shared" si="46"/>
        <v/>
      </c>
      <c r="M338" s="60" t="str">
        <f t="shared" si="51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9"/>
        <v/>
      </c>
      <c r="J339" s="59" t="str">
        <f t="shared" si="49"/>
        <v/>
      </c>
      <c r="K339" s="60" t="str">
        <f t="shared" si="52"/>
        <v/>
      </c>
      <c r="L339" s="59" t="str">
        <f t="shared" si="46"/>
        <v/>
      </c>
      <c r="M339" s="60" t="str">
        <f t="shared" si="51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9"/>
        <v/>
      </c>
      <c r="J340" s="59" t="str">
        <f t="shared" si="49"/>
        <v/>
      </c>
      <c r="K340" s="60" t="str">
        <f t="shared" si="52"/>
        <v/>
      </c>
      <c r="L340" s="59" t="str">
        <f t="shared" si="46"/>
        <v/>
      </c>
      <c r="M340" s="60" t="str">
        <f t="shared" si="51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9"/>
        <v/>
      </c>
      <c r="J341" s="59" t="str">
        <f t="shared" si="49"/>
        <v/>
      </c>
      <c r="K341" s="60" t="str">
        <f t="shared" si="52"/>
        <v/>
      </c>
      <c r="L341" s="59" t="str">
        <f t="shared" si="46"/>
        <v/>
      </c>
      <c r="M341" s="60" t="str">
        <f t="shared" si="51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9"/>
        <v/>
      </c>
      <c r="J342" s="59" t="str">
        <f t="shared" si="49"/>
        <v/>
      </c>
      <c r="K342" s="60" t="str">
        <f t="shared" si="52"/>
        <v/>
      </c>
      <c r="L342" s="59" t="str">
        <f t="shared" si="46"/>
        <v/>
      </c>
      <c r="M342" s="60" t="str">
        <f t="shared" si="51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9"/>
        <v/>
      </c>
      <c r="J343" s="59" t="str">
        <f t="shared" si="49"/>
        <v/>
      </c>
      <c r="K343" s="60" t="str">
        <f t="shared" si="52"/>
        <v/>
      </c>
      <c r="L343" s="59" t="str">
        <f t="shared" si="46"/>
        <v/>
      </c>
      <c r="M343" s="60" t="str">
        <f t="shared" si="51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9"/>
        <v/>
      </c>
      <c r="J344" s="59" t="str">
        <f t="shared" si="49"/>
        <v/>
      </c>
      <c r="K344" s="60" t="str">
        <f t="shared" si="52"/>
        <v/>
      </c>
      <c r="L344" s="59" t="str">
        <f t="shared" si="46"/>
        <v/>
      </c>
      <c r="M344" s="60" t="str">
        <f t="shared" si="51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9"/>
        <v/>
      </c>
      <c r="J345" s="59" t="str">
        <f t="shared" si="49"/>
        <v/>
      </c>
      <c r="K345" s="60" t="str">
        <f t="shared" si="52"/>
        <v/>
      </c>
      <c r="L345" s="59" t="str">
        <f t="shared" si="46"/>
        <v/>
      </c>
      <c r="M345" s="60" t="str">
        <f t="shared" si="51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9"/>
        <v/>
      </c>
      <c r="J346" s="59" t="str">
        <f t="shared" si="49"/>
        <v/>
      </c>
      <c r="K346" s="60" t="str">
        <f t="shared" si="52"/>
        <v/>
      </c>
      <c r="L346" s="59" t="str">
        <f t="shared" si="46"/>
        <v/>
      </c>
      <c r="M346" s="60" t="str">
        <f t="shared" si="51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9"/>
        <v/>
      </c>
      <c r="J347" s="59" t="str">
        <f t="shared" si="49"/>
        <v/>
      </c>
      <c r="K347" s="60" t="str">
        <f t="shared" si="52"/>
        <v/>
      </c>
      <c r="L347" s="59" t="str">
        <f t="shared" si="46"/>
        <v/>
      </c>
      <c r="M347" s="60" t="str">
        <f t="shared" si="51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9"/>
        <v/>
      </c>
      <c r="J348" s="59" t="str">
        <f t="shared" si="49"/>
        <v/>
      </c>
      <c r="K348" s="60" t="str">
        <f t="shared" si="52"/>
        <v/>
      </c>
      <c r="L348" s="59" t="str">
        <f t="shared" si="46"/>
        <v/>
      </c>
      <c r="M348" s="60" t="str">
        <f t="shared" si="51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9"/>
        <v/>
      </c>
      <c r="J349" s="59" t="str">
        <f t="shared" si="49"/>
        <v/>
      </c>
      <c r="K349" s="60" t="str">
        <f t="shared" si="52"/>
        <v/>
      </c>
      <c r="L349" s="59" t="str">
        <f t="shared" si="46"/>
        <v/>
      </c>
      <c r="M349" s="60" t="str">
        <f t="shared" si="51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9"/>
        <v/>
      </c>
      <c r="J350" s="59" t="str">
        <f t="shared" si="49"/>
        <v/>
      </c>
      <c r="K350" s="60" t="str">
        <f t="shared" si="52"/>
        <v/>
      </c>
      <c r="L350" s="59" t="str">
        <f t="shared" si="46"/>
        <v/>
      </c>
      <c r="M350" s="60" t="str">
        <f t="shared" si="51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9"/>
        <v/>
      </c>
      <c r="J351" s="59" t="str">
        <f t="shared" si="49"/>
        <v/>
      </c>
      <c r="K351" s="60" t="str">
        <f t="shared" si="52"/>
        <v/>
      </c>
      <c r="L351" s="59" t="str">
        <f t="shared" si="46"/>
        <v/>
      </c>
      <c r="M351" s="60" t="str">
        <f t="shared" si="51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9"/>
        <v/>
      </c>
      <c r="J352" s="59" t="str">
        <f t="shared" si="49"/>
        <v/>
      </c>
      <c r="K352" s="60" t="str">
        <f t="shared" si="52"/>
        <v/>
      </c>
      <c r="L352" s="59" t="str">
        <f t="shared" si="46"/>
        <v/>
      </c>
      <c r="M352" s="60" t="str">
        <f t="shared" si="51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9"/>
        <v/>
      </c>
      <c r="J353" s="59" t="str">
        <f t="shared" si="49"/>
        <v/>
      </c>
      <c r="K353" s="60" t="str">
        <f t="shared" si="52"/>
        <v/>
      </c>
      <c r="L353" s="59" t="str">
        <f t="shared" si="46"/>
        <v/>
      </c>
      <c r="M353" s="60" t="str">
        <f t="shared" si="51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9"/>
        <v/>
      </c>
      <c r="J354" s="59" t="str">
        <f t="shared" si="49"/>
        <v/>
      </c>
      <c r="K354" s="60" t="str">
        <f t="shared" si="52"/>
        <v/>
      </c>
      <c r="L354" s="59" t="str">
        <f t="shared" si="46"/>
        <v/>
      </c>
      <c r="M354" s="60" t="str">
        <f t="shared" si="51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9"/>
        <v/>
      </c>
      <c r="J355" s="59" t="str">
        <f>IF(E355="","",+(E355-E354)*4140)</f>
        <v/>
      </c>
      <c r="K355" s="60" t="str">
        <f t="shared" si="52"/>
        <v/>
      </c>
      <c r="L355" s="59" t="str">
        <f t="shared" si="46"/>
        <v/>
      </c>
      <c r="M355" s="60" t="str">
        <f t="shared" si="51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9"/>
        <v/>
      </c>
      <c r="J356" s="59" t="str">
        <f>IF(E356="","",+(E356-E355)*4140)</f>
        <v/>
      </c>
      <c r="K356" s="60" t="str">
        <f t="shared" si="52"/>
        <v/>
      </c>
      <c r="L356" s="59" t="str">
        <f t="shared" si="46"/>
        <v/>
      </c>
      <c r="M356" s="60" t="str">
        <f t="shared" si="51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9"/>
        <v/>
      </c>
      <c r="J357" s="59" t="str">
        <f>IF(E357="","",+(E357-E356)*4140)</f>
        <v/>
      </c>
      <c r="K357" s="60" t="str">
        <f t="shared" si="52"/>
        <v/>
      </c>
      <c r="L357" s="59" t="str">
        <f t="shared" si="46"/>
        <v/>
      </c>
      <c r="M357" s="60" t="str">
        <f t="shared" si="51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9"/>
        <v/>
      </c>
      <c r="J358" s="59" t="str">
        <f>IF(E358="","",+(E358-E357)*4140)</f>
        <v/>
      </c>
      <c r="K358" s="60" t="str">
        <f t="shared" si="52"/>
        <v/>
      </c>
      <c r="L358" s="59" t="str">
        <f t="shared" si="46"/>
        <v/>
      </c>
      <c r="M358" s="60" t="str">
        <f t="shared" si="51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9"/>
        <v/>
      </c>
      <c r="J359" s="59" t="str">
        <f t="shared" si="49"/>
        <v/>
      </c>
      <c r="K359" s="60" t="str">
        <f t="shared" si="52"/>
        <v/>
      </c>
      <c r="L359" s="59" t="str">
        <f t="shared" si="46"/>
        <v/>
      </c>
      <c r="M359" s="60" t="str">
        <f t="shared" si="51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9"/>
        <v/>
      </c>
      <c r="J360" s="59" t="str">
        <f t="shared" si="49"/>
        <v/>
      </c>
      <c r="K360" s="60" t="str">
        <f t="shared" si="52"/>
        <v/>
      </c>
      <c r="L360" s="59" t="str">
        <f t="shared" si="46"/>
        <v/>
      </c>
      <c r="M360" s="60" t="str">
        <f t="shared" si="51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9"/>
        <v/>
      </c>
      <c r="J361" s="59" t="str">
        <f t="shared" si="49"/>
        <v/>
      </c>
      <c r="K361" s="60" t="str">
        <f t="shared" si="52"/>
        <v/>
      </c>
      <c r="L361" s="59" t="str">
        <f t="shared" si="46"/>
        <v/>
      </c>
      <c r="M361" s="60" t="str">
        <f t="shared" si="51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9"/>
        <v/>
      </c>
      <c r="J362" s="59" t="str">
        <f t="shared" si="49"/>
        <v/>
      </c>
      <c r="K362" s="60" t="str">
        <f t="shared" si="52"/>
        <v/>
      </c>
      <c r="L362" s="59" t="str">
        <f t="shared" si="46"/>
        <v/>
      </c>
      <c r="M362" s="60" t="str">
        <f t="shared" si="51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9"/>
        <v/>
      </c>
      <c r="J363" s="59" t="str">
        <f t="shared" si="49"/>
        <v/>
      </c>
      <c r="K363" s="60" t="str">
        <f t="shared" si="52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9"/>
        <v/>
      </c>
      <c r="J364" s="59" t="str">
        <f t="shared" si="49"/>
        <v/>
      </c>
      <c r="K364" s="60" t="str">
        <f t="shared" si="52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9"/>
        <v/>
      </c>
      <c r="J365" s="59" t="str">
        <f t="shared" si="49"/>
        <v/>
      </c>
      <c r="K365" s="60" t="str">
        <f t="shared" si="52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9"/>
        <v/>
      </c>
      <c r="K366" s="60" t="str">
        <f t="shared" si="52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9"/>
        <v/>
      </c>
      <c r="J367" s="59" t="str">
        <f t="shared" si="49"/>
        <v/>
      </c>
      <c r="K367" s="60" t="str">
        <f t="shared" si="52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9"/>
        <v/>
      </c>
      <c r="J368" s="90" t="str">
        <f t="shared" si="49"/>
        <v/>
      </c>
      <c r="K368" s="91" t="str">
        <f t="shared" si="52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8440536.3000000007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2021-11-23T07:39:10Z</dcterms:modified>
  <cp:category/>
  <cp:contentStatus/>
</cp:coreProperties>
</file>