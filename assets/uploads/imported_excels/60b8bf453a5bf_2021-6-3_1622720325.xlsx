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4218" documentId="8_{5B502D95-7A37-4D5A-8B6B-374537CC2F26}" xr6:coauthVersionLast="47" xr6:coauthVersionMax="47" xr10:uidLastSave="{F2F7DB34-6864-4935-A9AD-1C385577B4FB}"/>
  <bookViews>
    <workbookView xWindow="-120" yWindow="-120" windowWidth="15600" windowHeight="11760" tabRatio="764" firstSheet="2" activeTab="6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" i="2" l="1"/>
  <c r="N12" i="2"/>
  <c r="M12" i="2"/>
  <c r="L12" i="2"/>
  <c r="F12" i="2"/>
  <c r="K11" i="6"/>
  <c r="I11" i="6"/>
  <c r="G11" i="6"/>
  <c r="E11" i="6"/>
  <c r="C11" i="6"/>
  <c r="N11" i="2"/>
  <c r="M11" i="2"/>
  <c r="L11" i="2"/>
  <c r="F11" i="2"/>
  <c r="K10" i="6"/>
  <c r="I10" i="6"/>
  <c r="G10" i="6"/>
  <c r="E10" i="6"/>
  <c r="C10" i="6"/>
  <c r="L28" i="22"/>
  <c r="L29" i="22"/>
  <c r="L30" i="22"/>
  <c r="L31" i="22"/>
  <c r="K28" i="22"/>
  <c r="K29" i="22"/>
  <c r="K30" i="22"/>
  <c r="K31" i="22"/>
  <c r="G27" i="22"/>
  <c r="G28" i="22"/>
  <c r="G29" i="22"/>
  <c r="G30" i="22"/>
  <c r="X39" i="2"/>
  <c r="O39" i="2"/>
  <c r="G28" i="4"/>
  <c r="G29" i="4"/>
  <c r="G30" i="4"/>
  <c r="G31" i="4"/>
  <c r="G32" i="4"/>
  <c r="G33" i="4"/>
  <c r="G34" i="4"/>
  <c r="G35" i="4"/>
  <c r="E28" i="4"/>
  <c r="E29" i="4"/>
  <c r="E30" i="4"/>
  <c r="E31" i="4"/>
  <c r="E32" i="4"/>
  <c r="E33" i="4"/>
  <c r="E34" i="4"/>
  <c r="E35" i="4"/>
  <c r="C28" i="4"/>
  <c r="C29" i="4"/>
  <c r="C30" i="4"/>
  <c r="C31" i="4"/>
  <c r="C32" i="4"/>
  <c r="C33" i="4"/>
  <c r="C34" i="4"/>
  <c r="C35" i="4"/>
  <c r="I30" i="4"/>
  <c r="Q39" i="2"/>
  <c r="H39" i="2"/>
  <c r="G5" i="4"/>
  <c r="G6" i="4"/>
  <c r="G7" i="4"/>
  <c r="G8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4" i="4"/>
  <c r="G25" i="4"/>
  <c r="G26" i="4"/>
  <c r="G27" i="4"/>
  <c r="E5" i="4"/>
  <c r="E6" i="4"/>
  <c r="E7" i="4"/>
  <c r="E8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4" i="4"/>
  <c r="E25" i="4"/>
  <c r="E26" i="4"/>
  <c r="E27" i="4"/>
  <c r="C5" i="4"/>
  <c r="C6" i="4"/>
  <c r="C7" i="4"/>
  <c r="C8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4" i="4"/>
  <c r="C25" i="4"/>
  <c r="C26" i="4"/>
  <c r="C27" i="4"/>
  <c r="AC9" i="4"/>
  <c r="AC10" i="4"/>
  <c r="G6" i="21"/>
  <c r="G7" i="21"/>
  <c r="G8" i="21"/>
  <c r="I31" i="21"/>
  <c r="H31" i="21"/>
  <c r="G31" i="21"/>
  <c r="F31" i="21"/>
  <c r="E31" i="21"/>
  <c r="E31" i="22" s="1"/>
  <c r="I31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0" i="22" s="1"/>
  <c r="E28" i="22"/>
  <c r="E29" i="22"/>
  <c r="O38" i="2"/>
  <c r="E23" i="22"/>
  <c r="E24" i="22"/>
  <c r="E25" i="22"/>
  <c r="E26" i="22"/>
  <c r="E27" i="2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X38" i="2"/>
  <c r="F40" i="2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23" i="4" l="1"/>
  <c r="E23" i="4"/>
  <c r="C23" i="4"/>
  <c r="G9" i="4"/>
  <c r="E9" i="4"/>
  <c r="C9" i="4"/>
  <c r="E8" i="22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X36" i="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I47" i="2"/>
  <c r="L47" i="2" s="1"/>
  <c r="N47" i="2" s="1"/>
  <c r="I43" i="2"/>
  <c r="L43" i="2" s="1"/>
  <c r="N43" i="2" s="1"/>
  <c r="N46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0" i="2" s="1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<sst xmlns="http://schemas.openxmlformats.org/spreadsheetml/2006/main" count="476" uniqueCount="185">
  <si>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</si>
  <si>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</si>
  <si>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</si>
  <si>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</si>
  <si>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</si>
  <si>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</si>
  <si>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</si>
  <si>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</si>
  <si>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</si>
  <si>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</si>
  <si>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</si>
  <si>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</si>
  <si>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</si>
  <si>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</si>
  <si>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</si>
  <si>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</si>
  <si>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</si>
  <si>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</si>
  <si>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</si>
  <si>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</si>
  <si>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</si>
  <si>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</si>
  <si>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</si>
  <si>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</si>
  <si>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</si>
  <si>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</si>
  <si>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</si>
  <si>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</si>
  <si>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</si>
  <si>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</si>
  <si>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</si>
  <si>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</si>
  <si>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</si>
  <si>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</si>
  <si>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</si>
  <si>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</si>
  <si>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</si>
  <si>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</si>
  <si>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</si>
  <si>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</si>
  <si>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</si>
  <si>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</si>
  <si>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</si>
  <si>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</si>
  <si>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</si>
  <si>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</si>
  <si>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</si>
  <si>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</si>
  <si>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</si>
  <si>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</si>
  <si>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</si>
  <si>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</si>
  <si>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</si>
  <si>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</si>
  <si>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</si>
  <si>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</si>
  <si>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</si>
  <si>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</si>
  <si>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</si>
  <si>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</si>
  <si>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</si>
  <si>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</si>
  <si>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</si>
  <si>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</si>
  <si>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</si>
  <si>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</si>
  <si>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</si>
  <si>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</si>
  <si>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</si>
  <si>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</si>
  <si>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</si>
  <si>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</si>
  <si>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</si>
  <si>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</si>
  <si>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</si>
  <si>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</si>
  <si>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</si>
  <si>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</si>
  <si>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</si>
  <si>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</si>
  <si>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</si>
  <si>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</si>
  <si>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</si>
  <si>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</si>
  <si>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</si>
  <si>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</si>
  <si>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</si>
  <si>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</si>
  <si>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</si>
  <si>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</si>
  <si>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</si>
  <si>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</si>
  <si>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</si>
  <si>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</si>
  <si>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</si>
  <si>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</si>
  <si>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</si>
  <si>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</si>
  <si>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</si>
  <si>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</si>
  <si>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</si>
  <si>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</si>
  <si>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</si>
  <si>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</si>
  <si>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</si>
  <si>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</si>
  <si>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</si>
  <si>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</si>
  <si>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</si>
  <si>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</si>
  <si>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</si>
  <si>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</si>
  <si>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</si>
  <si>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</si>
  <si>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</si>
  <si>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</si>
  <si>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</si>
  <si>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</si>
  <si>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</si>
  <si>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</si>
  <si>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</si>
  <si>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</si>
  <si>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</si>
  <si>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</si>
  <si>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</si>
  <si>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</si>
  <si>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</si>
  <si>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</si>
  <si>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</si>
  <si>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</si>
  <si>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</si>
  <si>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</si>
  <si>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Juin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</si>
  <si>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</si>
  <si>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</si>
  <si>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</si>
  <si>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</si>
  <si>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</si>
  <si>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</si>
  <si>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</si>
  <si>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</si>
  <si>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</si>
  <si>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</si>
  <si>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</si>
  <si>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</si>
  <si>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</si>
  <si>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</si>
  <si>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</si>
  <si>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</si>
  <si>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</si>
  <si>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</si>
  <si>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</si>
  <si>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</si>
  <si>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</si>
  <si>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Juin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</si>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</sst>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1" fillId="3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69.299999999988358</c:v>
                </c:pt>
                <c:pt idx="1">
                  <c:v>73.80000000000291</c:v>
                </c:pt>
                <c:pt idx="2">
                  <c:v>118.19999999999709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2794</c:v>
                </c:pt>
                <c:pt idx="1">
                  <c:v>2350</c:v>
                </c:pt>
                <c:pt idx="2">
                  <c:v>3656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5274</c:v>
                </c:pt>
                <c:pt idx="1">
                  <c:v>5922</c:v>
                </c:pt>
                <c:pt idx="2">
                  <c:v>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1876</c:v>
                </c:pt>
                <c:pt idx="1">
                  <c:v>2241</c:v>
                </c:pt>
                <c:pt idx="2">
                  <c:v>2537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333.27000000000004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L27" sqref="L27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2021</v>
      </c>
      <c r="E2" s="137">
        <f>submetering!E2+submetering!F2+submetering!G2</f>
        <v>9944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69.299999999988358</v>
      </c>
      <c r="J2" s="134">
        <v>11.4</v>
      </c>
      <c r="K2" s="137">
        <f>'Consommation mensuel énergie'!D10</f>
        <v>51</v>
      </c>
      <c r="L2" s="137">
        <f>'Consommation mensuel énergie'!E10</f>
        <v>68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submetering!E3+submetering!F3+submetering!G3</f>
        <v>8272</v>
      </c>
      <c r="F3" s="134">
        <v>1.05</v>
      </c>
      <c r="G3" s="134">
        <f>'Consommation mensuel énergie'!V11</f>
        <v>333.27000000000004</v>
      </c>
      <c r="H3" s="134">
        <v>8.6999999999999993</v>
      </c>
      <c r="I3" s="134">
        <f>'Consommation mensuel énergie'!F11</f>
        <v>73.80000000000291</v>
      </c>
      <c r="J3" s="134">
        <v>11.4</v>
      </c>
      <c r="K3" s="137">
        <f>'Consommation mensuel énergie'!D11</f>
        <v>73</v>
      </c>
      <c r="L3" s="137">
        <f>'Consommation mensuel énergie'!E11</f>
        <v>99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submetering!E4+submetering!F4+submetering!G4</f>
        <v>13099</v>
      </c>
      <c r="F4" s="134">
        <v>1.05</v>
      </c>
      <c r="G4" s="134">
        <f>'Consommation mensuel énergie'!V12</f>
        <v>0</v>
      </c>
      <c r="H4" s="134">
        <v>8.6999999999999993</v>
      </c>
      <c r="I4" s="134">
        <f>'Consommation mensuel énergie'!F12</f>
        <v>118.19999999999709</v>
      </c>
      <c r="J4" s="134">
        <v>11.4</v>
      </c>
      <c r="K4" s="137">
        <f>'Consommation mensuel énergie'!D12</f>
        <v>0</v>
      </c>
      <c r="L4" s="137">
        <f>'Consommation mensuel énergie'!E12</f>
        <v>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submetering!E5+submetering!F5+submetering!G5</f>
        <v>0</v>
      </c>
      <c r="F5" s="134">
        <v>1.05</v>
      </c>
      <c r="G5" s="134">
        <f>'Consommation mensuel énergie'!V13</f>
        <v>0</v>
      </c>
      <c r="H5" s="134">
        <v>8.6999999999999993</v>
      </c>
      <c r="I5" s="134">
        <f>'Consommation mensuel énergie'!F13</f>
        <v>0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8.6999999999999993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8.6999999999999993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592.48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2021</v>
      </c>
      <c r="E2" s="137">
        <f>'Consommation mensuel énergie'!L10</f>
        <v>2794</v>
      </c>
      <c r="F2" s="137">
        <f>'Consommation mensuel énergie'!M10</f>
        <v>5274</v>
      </c>
      <c r="G2" s="137">
        <f>'Consommation mensuel énergie'!N10</f>
        <v>1876</v>
      </c>
      <c r="H2" s="137">
        <f>'Consommation mensuel énergie'!D10</f>
        <v>51</v>
      </c>
      <c r="I2" s="137">
        <f>'Consommation mensuel énergie'!E10</f>
        <v>68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'Consommation mensuel énergie'!L11</f>
        <v>2350</v>
      </c>
      <c r="F3" s="137">
        <f>'Consommation mensuel énergie'!M11</f>
        <v>5922</v>
      </c>
      <c r="G3" s="137">
        <f>'Consommation mensuel énergie'!N14</f>
        <v>0</v>
      </c>
      <c r="H3" s="137">
        <f>'Consommation mensuel énergie'!D11</f>
        <v>73</v>
      </c>
      <c r="I3" s="137">
        <f>'Consommation mensuel énergie'!E11</f>
        <v>99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'Consommation mensuel énergie'!L12</f>
        <v>3656</v>
      </c>
      <c r="F4" s="137">
        <f>'Consommation mensuel énergie'!M12</f>
        <v>6906</v>
      </c>
      <c r="G4" s="137">
        <f>'Consommation mensuel énergie'!N12</f>
        <v>2537</v>
      </c>
      <c r="H4" s="137">
        <f>'Consommation mensuel énergie'!D12</f>
        <v>0</v>
      </c>
      <c r="I4" s="137">
        <f>'Consommation mensuel énergie'!E12</f>
        <v>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'Consommation mensuel énergie'!L13</f>
        <v>0</v>
      </c>
      <c r="F5" s="137">
        <f>'Consommation mensuel énergie'!M13</f>
        <v>0</v>
      </c>
      <c r="G5" s="137">
        <f>'Consommation mensuel énergie'!N13</f>
        <v>0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37" activePane="bottomRight" state="frozen"/>
      <selection pane="bottomRight" activeCell="F11" sqref="F1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22"/>
      <c r="B2" s="223"/>
      <c r="C2" s="223"/>
      <c r="D2" s="223"/>
      <c r="E2" s="223"/>
      <c r="F2" s="223"/>
      <c r="G2" s="223"/>
      <c r="H2" s="224"/>
      <c r="I2" s="233" t="s">
        <v>17</v>
      </c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</row>
    <row r="3" spans="1:24" ht="15" hidden="1" customHeight="1" thickBot="1"/>
    <row r="4" spans="1:24" ht="39" hidden="1" customHeight="1" thickBot="1">
      <c r="A4" s="225"/>
      <c r="B4" s="225"/>
      <c r="C4" s="22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5"/>
      <c r="B5" s="225"/>
      <c r="C5" s="225"/>
      <c r="D5" s="5"/>
      <c r="E5" s="5"/>
      <c r="F5" s="5"/>
      <c r="G5" s="5"/>
      <c r="H5" s="5"/>
      <c r="I5" s="5"/>
      <c r="J5" s="5"/>
      <c r="K5" s="5"/>
      <c r="L5" s="5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</row>
    <row r="6" spans="1:24" s="5" customFormat="1" ht="44.25" hidden="1" customHeight="1" thickBot="1">
      <c r="A6" s="3"/>
      <c r="B6" s="3"/>
      <c r="C6" s="3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</row>
    <row r="7" spans="1:24" s="5" customFormat="1" ht="18.75" hidden="1" customHeight="1" thickBot="1">
      <c r="F7" s="226"/>
      <c r="G7" s="226"/>
      <c r="H7" s="226"/>
      <c r="I7" s="226"/>
      <c r="J7" s="226"/>
      <c r="K7" s="226"/>
      <c r="L7" s="226"/>
      <c r="M7" s="226"/>
      <c r="N7" s="235"/>
      <c r="O7" s="235"/>
      <c r="P7" s="226"/>
      <c r="Q7" s="226"/>
      <c r="R7" s="226"/>
      <c r="S7" s="226"/>
      <c r="T7" s="226"/>
      <c r="U7" s="226"/>
      <c r="V7" s="226"/>
      <c r="W7" s="226"/>
      <c r="X7" s="226"/>
    </row>
    <row r="8" spans="1:24" ht="18.75" customHeight="1" thickBot="1">
      <c r="A8" s="226"/>
      <c r="B8" s="240" t="s">
        <v>19</v>
      </c>
      <c r="C8" s="4"/>
      <c r="D8" s="241" t="s">
        <v>20</v>
      </c>
      <c r="E8" s="241" t="s">
        <v>21</v>
      </c>
      <c r="F8" s="245" t="s">
        <v>22</v>
      </c>
      <c r="G8" s="2"/>
      <c r="H8" s="227" t="s">
        <v>23</v>
      </c>
      <c r="I8" s="228"/>
      <c r="J8" s="229"/>
      <c r="K8" s="247" t="s">
        <v>24</v>
      </c>
      <c r="L8" s="238" t="s">
        <v>25</v>
      </c>
      <c r="M8" s="238"/>
      <c r="N8" s="238"/>
      <c r="O8" s="238" t="s">
        <v>26</v>
      </c>
      <c r="P8" s="2"/>
      <c r="Q8" s="236" t="s">
        <v>23</v>
      </c>
      <c r="R8" s="2"/>
      <c r="S8" s="236" t="s">
        <v>27</v>
      </c>
      <c r="T8" s="2"/>
      <c r="U8" s="236" t="s">
        <v>28</v>
      </c>
      <c r="V8" s="243" t="s">
        <v>29</v>
      </c>
      <c r="W8" s="2"/>
      <c r="X8" s="236" t="s">
        <v>23</v>
      </c>
    </row>
    <row r="9" spans="1:24" ht="59.25" customHeight="1" thickBot="1">
      <c r="A9" s="226"/>
      <c r="B9" s="240"/>
      <c r="C9" s="4"/>
      <c r="D9" s="242"/>
      <c r="E9" s="242"/>
      <c r="F9" s="246"/>
      <c r="G9" s="2"/>
      <c r="H9" s="230"/>
      <c r="I9" s="231"/>
      <c r="J9" s="232"/>
      <c r="K9" s="248"/>
      <c r="L9" s="163" t="s">
        <v>30</v>
      </c>
      <c r="M9" s="163" t="s">
        <v>31</v>
      </c>
      <c r="N9" s="163" t="s">
        <v>32</v>
      </c>
      <c r="O9" s="239"/>
      <c r="P9" s="2"/>
      <c r="Q9" s="237"/>
      <c r="R9" s="2"/>
      <c r="S9" s="237"/>
      <c r="T9" s="2"/>
      <c r="U9" s="237"/>
      <c r="V9" s="244"/>
      <c r="W9" s="2"/>
      <c r="X9" s="237"/>
    </row>
    <row r="10" spans="1:24" ht="32.25" customHeight="1">
      <c r="A10" s="2"/>
      <c r="B10" s="6">
        <v>44348</v>
      </c>
      <c r="C10" s="7"/>
      <c r="D10" s="143">
        <v>51</v>
      </c>
      <c r="E10" s="143">
        <v>68</v>
      </c>
      <c r="F10" s="13">
        <f>'Suivi EAU-ELEC'!E9</f>
        <v>69.299999999988358</v>
      </c>
      <c r="G10" s="11"/>
      <c r="H10" s="204">
        <f>F10*8.79</f>
        <v>609.14699999989762</v>
      </c>
      <c r="I10" s="205"/>
      <c r="J10" s="205"/>
      <c r="K10" s="60">
        <v>42278</v>
      </c>
      <c r="L10" s="90">
        <f>'Suivi EAU-ELEC'!G9</f>
        <v>2794</v>
      </c>
      <c r="M10" s="91">
        <f>'Suivi EAU-ELEC'!I9</f>
        <v>5274</v>
      </c>
      <c r="N10" s="91">
        <f>'Suivi EAU-ELEC'!K9</f>
        <v>1876</v>
      </c>
      <c r="O10" s="91">
        <f>L10+M10+N10</f>
        <v>9944</v>
      </c>
      <c r="P10" s="11"/>
      <c r="Q10" s="34">
        <f>L10*0.6985+M10*0.9514+N10*1.3304</f>
        <v>9465.1229999999996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44349</v>
      </c>
      <c r="C11" s="7"/>
      <c r="D11" s="143">
        <v>73</v>
      </c>
      <c r="E11" s="143">
        <v>99</v>
      </c>
      <c r="F11" s="13">
        <f>'Suivi EAU-ELEC'!E10</f>
        <v>73.80000000000291</v>
      </c>
      <c r="G11" s="11"/>
      <c r="H11" s="204">
        <f t="shared" ref="H11:H21" si="0">F11*8.79</f>
        <v>648.70200000002546</v>
      </c>
      <c r="I11" s="205"/>
      <c r="J11" s="205"/>
      <c r="K11" s="60">
        <v>42279</v>
      </c>
      <c r="L11" s="90">
        <f>'Suivi EAU-ELEC'!G10</f>
        <v>2350</v>
      </c>
      <c r="M11" s="91">
        <f>'Suivi EAU-ELEC'!I10</f>
        <v>5922</v>
      </c>
      <c r="N11" s="91">
        <f>'Suivi EAU-ELEC'!K10</f>
        <v>2241</v>
      </c>
      <c r="O11" s="91">
        <f>L11+M11+N11</f>
        <v>10513</v>
      </c>
      <c r="P11" s="11"/>
      <c r="Q11" s="34">
        <f>L11*0.6985+M11*0.9514+N14*1.3304</f>
        <v>7275.6658000000007</v>
      </c>
      <c r="R11" s="11"/>
      <c r="S11" s="28"/>
      <c r="T11" s="11"/>
      <c r="U11" s="28"/>
      <c r="V11" s="147">
        <f>'Suvi Gaz'!O5</f>
        <v>333.27000000000004</v>
      </c>
      <c r="W11" s="11"/>
      <c r="X11" s="34">
        <f t="shared" ref="X11:X39" si="1">V11*9.8209</f>
        <v>3273.0113430000006</v>
      </c>
    </row>
    <row r="12" spans="1:24" ht="32.25" customHeight="1">
      <c r="A12" s="2"/>
      <c r="B12" s="6">
        <v>44350</v>
      </c>
      <c r="C12" s="7"/>
      <c r="D12" s="143"/>
      <c r="E12" s="143"/>
      <c r="F12" s="13">
        <f>'Suivi EAU-ELEC'!E11</f>
        <v>118.19999999999709</v>
      </c>
      <c r="G12" s="11"/>
      <c r="H12" s="204">
        <f t="shared" si="0"/>
        <v>1038.9779999999744</v>
      </c>
      <c r="I12" s="205"/>
      <c r="J12" s="205"/>
      <c r="K12" s="60">
        <v>42280</v>
      </c>
      <c r="L12" s="90">
        <f>'Suivi EAU-ELEC'!G11</f>
        <v>3656</v>
      </c>
      <c r="M12" s="91">
        <f>'Suivi EAU-ELEC'!I11</f>
        <v>6906</v>
      </c>
      <c r="N12" s="91">
        <f>'Suivi EAU-ELEC'!K11</f>
        <v>2537</v>
      </c>
      <c r="O12" s="91">
        <f>L12+M12+N12</f>
        <v>13099</v>
      </c>
      <c r="P12" s="11"/>
      <c r="Q12" s="34">
        <f>L12*0.6985+M12*0.9514+N12*1.3304</f>
        <v>12499.3092</v>
      </c>
      <c r="R12" s="11"/>
      <c r="S12" s="28"/>
      <c r="T12" s="11"/>
      <c r="U12" s="28"/>
      <c r="V12" s="147"/>
      <c r="W12" s="11"/>
      <c r="X12" s="34">
        <f t="shared" si="1"/>
        <v>0</v>
      </c>
    </row>
    <row r="13" spans="1:24" ht="32.25" customHeight="1">
      <c r="A13" s="2"/>
      <c r="B13" s="6">
        <v>44351</v>
      </c>
      <c r="C13" s="7"/>
      <c r="D13" s="143"/>
      <c r="E13" s="143"/>
      <c r="F13" s="13"/>
      <c r="G13" s="11"/>
      <c r="H13" s="204">
        <f t="shared" si="0"/>
        <v>0</v>
      </c>
      <c r="I13" s="205"/>
      <c r="J13" s="205"/>
      <c r="K13" s="60">
        <v>42281</v>
      </c>
      <c r="L13" s="90"/>
      <c r="M13" s="91"/>
      <c r="N13" s="91"/>
      <c r="O13" s="91">
        <f t="shared" ref="O13:O39" si="2">L13+M13+N13</f>
        <v>0</v>
      </c>
      <c r="P13" s="11"/>
      <c r="Q13" s="34">
        <f t="shared" ref="Q13:Q39" si="3">L13*0.6985+M13*0.9514+N13*1.3304</f>
        <v>0</v>
      </c>
      <c r="R13" s="11"/>
      <c r="S13" s="28"/>
      <c r="T13" s="11"/>
      <c r="U13" s="28"/>
      <c r="V13" s="147"/>
      <c r="W13" s="11"/>
      <c r="X13" s="34">
        <f t="shared" si="1"/>
        <v>0</v>
      </c>
    </row>
    <row r="14" spans="1:24" ht="32.25" customHeight="1">
      <c r="A14" s="2"/>
      <c r="B14" s="6">
        <v>44352</v>
      </c>
      <c r="C14" s="7"/>
      <c r="D14" s="143"/>
      <c r="E14" s="143"/>
      <c r="F14" s="13"/>
      <c r="G14" s="12"/>
      <c r="H14" s="204">
        <f t="shared" si="0"/>
        <v>0</v>
      </c>
      <c r="I14" s="205"/>
      <c r="J14" s="205"/>
      <c r="K14" s="60">
        <v>42282</v>
      </c>
      <c r="L14" s="90"/>
      <c r="M14" s="91"/>
      <c r="N14" s="91"/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7"/>
      <c r="W14" s="11"/>
      <c r="X14" s="34">
        <f t="shared" si="1"/>
        <v>0</v>
      </c>
    </row>
    <row r="15" spans="1:24" ht="32.25" customHeight="1">
      <c r="A15" s="5"/>
      <c r="B15" s="6">
        <v>44353</v>
      </c>
      <c r="C15" s="7"/>
      <c r="D15" s="143"/>
      <c r="E15" s="143"/>
      <c r="F15" s="13"/>
      <c r="G15" s="11"/>
      <c r="H15" s="204">
        <f t="shared" si="0"/>
        <v>0</v>
      </c>
      <c r="I15" s="205"/>
      <c r="J15" s="205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7"/>
      <c r="W15" s="11"/>
      <c r="X15" s="34">
        <f t="shared" si="1"/>
        <v>0</v>
      </c>
    </row>
    <row r="16" spans="1:24" ht="32.25" customHeight="1">
      <c r="A16" s="5"/>
      <c r="B16" s="6">
        <v>44354</v>
      </c>
      <c r="C16" s="7"/>
      <c r="D16" s="143"/>
      <c r="E16" s="143"/>
      <c r="F16" s="13"/>
      <c r="G16" s="11"/>
      <c r="H16" s="204">
        <f t="shared" si="0"/>
        <v>0</v>
      </c>
      <c r="I16" s="205"/>
      <c r="J16" s="205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7"/>
      <c r="W16" s="11"/>
      <c r="X16" s="34">
        <f t="shared" si="1"/>
        <v>0</v>
      </c>
    </row>
    <row r="17" spans="1:24" s="5" customFormat="1" ht="32.25" customHeight="1">
      <c r="A17" s="2"/>
      <c r="B17" s="6">
        <v>44355</v>
      </c>
      <c r="C17" s="7"/>
      <c r="D17" s="143"/>
      <c r="E17" s="143"/>
      <c r="F17" s="13"/>
      <c r="G17" s="11"/>
      <c r="H17" s="204">
        <f t="shared" si="0"/>
        <v>0</v>
      </c>
      <c r="I17" s="205"/>
      <c r="J17" s="205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7"/>
      <c r="W17" s="11"/>
      <c r="X17" s="34">
        <f t="shared" si="1"/>
        <v>0</v>
      </c>
    </row>
    <row r="18" spans="1:24" ht="32.25" customHeight="1">
      <c r="A18" s="2"/>
      <c r="B18" s="6">
        <v>44356</v>
      </c>
      <c r="C18" s="7"/>
      <c r="D18" s="143"/>
      <c r="E18" s="143"/>
      <c r="F18" s="13"/>
      <c r="G18" s="11"/>
      <c r="H18" s="204">
        <f t="shared" si="0"/>
        <v>0</v>
      </c>
      <c r="I18" s="205"/>
      <c r="J18" s="205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7"/>
      <c r="W18" s="11"/>
      <c r="X18" s="34">
        <f t="shared" si="1"/>
        <v>0</v>
      </c>
    </row>
    <row r="19" spans="1:24" ht="32.25" customHeight="1">
      <c r="A19" s="2"/>
      <c r="B19" s="6">
        <v>44357</v>
      </c>
      <c r="C19" s="7"/>
      <c r="D19" s="143"/>
      <c r="E19" s="143"/>
      <c r="F19" s="13"/>
      <c r="G19" s="12"/>
      <c r="H19" s="204">
        <f t="shared" si="0"/>
        <v>0</v>
      </c>
      <c r="I19" s="205"/>
      <c r="J19" s="205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7"/>
      <c r="W19" s="11"/>
      <c r="X19" s="34">
        <f t="shared" si="1"/>
        <v>0</v>
      </c>
    </row>
    <row r="20" spans="1:24" ht="32.25" customHeight="1">
      <c r="A20" s="2"/>
      <c r="B20" s="6">
        <v>44358</v>
      </c>
      <c r="C20" s="7"/>
      <c r="D20" s="143"/>
      <c r="E20" s="143"/>
      <c r="F20" s="13"/>
      <c r="G20" s="12"/>
      <c r="H20" s="204">
        <f t="shared" si="0"/>
        <v>0</v>
      </c>
      <c r="I20" s="205"/>
      <c r="J20" s="205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7"/>
      <c r="W20" s="11"/>
      <c r="X20" s="34">
        <f t="shared" si="1"/>
        <v>0</v>
      </c>
    </row>
    <row r="21" spans="1:24" ht="32.25" customHeight="1">
      <c r="A21" s="2"/>
      <c r="B21" s="6">
        <v>44359</v>
      </c>
      <c r="C21" s="7"/>
      <c r="D21" s="143"/>
      <c r="E21" s="143"/>
      <c r="F21" s="13"/>
      <c r="G21" s="12"/>
      <c r="H21" s="204">
        <f t="shared" si="0"/>
        <v>0</v>
      </c>
      <c r="I21" s="205"/>
      <c r="J21" s="205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7"/>
      <c r="W21" s="11"/>
      <c r="X21" s="34">
        <f t="shared" si="1"/>
        <v>0</v>
      </c>
    </row>
    <row r="22" spans="1:24" ht="32.25" customHeight="1">
      <c r="A22" s="2"/>
      <c r="B22" s="6">
        <v>44360</v>
      </c>
      <c r="C22" s="7"/>
      <c r="D22" s="143"/>
      <c r="E22" s="143"/>
      <c r="F22" s="13"/>
      <c r="G22" s="12"/>
      <c r="H22" s="204">
        <f t="shared" ref="H22:H35" si="4">F22*8.79</f>
        <v>0</v>
      </c>
      <c r="I22" s="205"/>
      <c r="J22" s="205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7"/>
      <c r="W22" s="11"/>
      <c r="X22" s="34">
        <f t="shared" si="1"/>
        <v>0</v>
      </c>
    </row>
    <row r="23" spans="1:24" ht="32.25" customHeight="1">
      <c r="A23" s="2"/>
      <c r="B23" s="6">
        <v>44361</v>
      </c>
      <c r="C23" s="7"/>
      <c r="D23" s="143"/>
      <c r="E23" s="143"/>
      <c r="F23" s="13"/>
      <c r="G23" s="14"/>
      <c r="H23" s="204">
        <f t="shared" si="4"/>
        <v>0</v>
      </c>
      <c r="I23" s="205"/>
      <c r="J23" s="205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7"/>
      <c r="W23" s="11"/>
      <c r="X23" s="34">
        <f t="shared" si="1"/>
        <v>0</v>
      </c>
    </row>
    <row r="24" spans="1:24" ht="32.25" customHeight="1">
      <c r="A24" s="2"/>
      <c r="B24" s="6">
        <v>44362</v>
      </c>
      <c r="C24" s="7"/>
      <c r="D24" s="143"/>
      <c r="E24" s="143"/>
      <c r="F24" s="13"/>
      <c r="G24" s="14"/>
      <c r="H24" s="204">
        <f t="shared" si="4"/>
        <v>0</v>
      </c>
      <c r="I24" s="205"/>
      <c r="J24" s="205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7"/>
      <c r="W24" s="11"/>
      <c r="X24" s="34">
        <f t="shared" si="1"/>
        <v>0</v>
      </c>
    </row>
    <row r="25" spans="1:24" ht="32.25" customHeight="1">
      <c r="A25" s="2"/>
      <c r="B25" s="6">
        <v>44363</v>
      </c>
      <c r="C25" s="7"/>
      <c r="D25" s="143"/>
      <c r="E25" s="143"/>
      <c r="F25" s="13"/>
      <c r="G25" s="14"/>
      <c r="H25" s="204">
        <f t="shared" si="4"/>
        <v>0</v>
      </c>
      <c r="I25" s="205"/>
      <c r="J25" s="205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7"/>
      <c r="W25" s="11"/>
      <c r="X25" s="34">
        <f t="shared" si="1"/>
        <v>0</v>
      </c>
    </row>
    <row r="26" spans="1:24" ht="32.25" customHeight="1">
      <c r="A26" s="2"/>
      <c r="B26" s="6">
        <v>44364</v>
      </c>
      <c r="C26" s="7"/>
      <c r="D26" s="143"/>
      <c r="E26" s="143"/>
      <c r="F26" s="13"/>
      <c r="G26" s="14"/>
      <c r="H26" s="204">
        <f t="shared" si="4"/>
        <v>0</v>
      </c>
      <c r="I26" s="205"/>
      <c r="J26" s="205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7"/>
      <c r="W26" s="11"/>
      <c r="X26" s="34">
        <f t="shared" si="1"/>
        <v>0</v>
      </c>
    </row>
    <row r="27" spans="1:24" ht="32.25" customHeight="1">
      <c r="A27" s="2"/>
      <c r="B27" s="6">
        <v>44365</v>
      </c>
      <c r="C27" s="7"/>
      <c r="D27" s="143"/>
      <c r="E27" s="143"/>
      <c r="F27" s="13"/>
      <c r="G27" s="14"/>
      <c r="H27" s="204">
        <f t="shared" si="4"/>
        <v>0</v>
      </c>
      <c r="I27" s="205"/>
      <c r="J27" s="205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7"/>
      <c r="W27" s="11"/>
      <c r="X27" s="34">
        <f t="shared" si="1"/>
        <v>0</v>
      </c>
    </row>
    <row r="28" spans="1:24" ht="32.25" customHeight="1">
      <c r="A28" s="2"/>
      <c r="B28" s="6">
        <v>44366</v>
      </c>
      <c r="C28" s="7"/>
      <c r="D28" s="143"/>
      <c r="E28" s="143"/>
      <c r="F28" s="13"/>
      <c r="G28" s="11"/>
      <c r="H28" s="204">
        <f t="shared" si="4"/>
        <v>0</v>
      </c>
      <c r="I28" s="205"/>
      <c r="J28" s="205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7"/>
      <c r="W28" s="11"/>
      <c r="X28" s="34">
        <f t="shared" si="1"/>
        <v>0</v>
      </c>
    </row>
    <row r="29" spans="1:24" ht="32.25" customHeight="1">
      <c r="A29" s="2"/>
      <c r="B29" s="6">
        <v>44367</v>
      </c>
      <c r="C29" s="7"/>
      <c r="D29" s="143"/>
      <c r="E29" s="143"/>
      <c r="F29" s="13"/>
      <c r="G29" s="11"/>
      <c r="H29" s="204">
        <f t="shared" si="4"/>
        <v>0</v>
      </c>
      <c r="I29" s="205"/>
      <c r="J29" s="205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7"/>
      <c r="W29" s="11"/>
      <c r="X29" s="34">
        <f t="shared" si="1"/>
        <v>0</v>
      </c>
    </row>
    <row r="30" spans="1:24" ht="32.25" customHeight="1">
      <c r="A30" s="2"/>
      <c r="B30" s="6">
        <v>44368</v>
      </c>
      <c r="C30" s="7"/>
      <c r="D30" s="143"/>
      <c r="E30" s="143"/>
      <c r="F30" s="13"/>
      <c r="G30" s="11"/>
      <c r="H30" s="204">
        <f t="shared" si="4"/>
        <v>0</v>
      </c>
      <c r="I30" s="205"/>
      <c r="J30" s="205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7"/>
      <c r="W30" s="11"/>
      <c r="X30" s="34">
        <f t="shared" si="1"/>
        <v>0</v>
      </c>
    </row>
    <row r="31" spans="1:24" ht="27.75" customHeight="1">
      <c r="A31" s="2"/>
      <c r="B31" s="6">
        <v>44369</v>
      </c>
      <c r="C31" s="7"/>
      <c r="D31" s="143"/>
      <c r="E31" s="143"/>
      <c r="F31" s="13"/>
      <c r="G31" s="11"/>
      <c r="H31" s="204">
        <f t="shared" si="4"/>
        <v>0</v>
      </c>
      <c r="I31" s="205"/>
      <c r="J31" s="205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7"/>
      <c r="W31" s="11"/>
      <c r="X31" s="34">
        <f t="shared" si="1"/>
        <v>0</v>
      </c>
    </row>
    <row r="32" spans="1:24" ht="37.5" customHeight="1">
      <c r="A32" s="2"/>
      <c r="B32" s="6">
        <v>44370</v>
      </c>
      <c r="C32" s="7"/>
      <c r="D32" s="143"/>
      <c r="E32" s="143"/>
      <c r="F32" s="13"/>
      <c r="G32" s="11"/>
      <c r="H32" s="204">
        <f t="shared" si="4"/>
        <v>0</v>
      </c>
      <c r="I32" s="205"/>
      <c r="J32" s="205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7"/>
      <c r="W32" s="11"/>
      <c r="X32" s="34">
        <f t="shared" si="1"/>
        <v>0</v>
      </c>
    </row>
    <row r="33" spans="1:24" ht="37.5" customHeight="1">
      <c r="A33" s="2"/>
      <c r="B33" s="6">
        <v>44371</v>
      </c>
      <c r="C33" s="7"/>
      <c r="D33" s="143"/>
      <c r="E33" s="143"/>
      <c r="F33" s="13"/>
      <c r="G33" s="11"/>
      <c r="H33" s="204">
        <f t="shared" si="4"/>
        <v>0</v>
      </c>
      <c r="I33" s="205"/>
      <c r="J33" s="205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7"/>
      <c r="W33" s="11"/>
      <c r="X33" s="34">
        <f t="shared" si="1"/>
        <v>0</v>
      </c>
    </row>
    <row r="34" spans="1:24" ht="37.5" customHeight="1">
      <c r="A34" s="2"/>
      <c r="B34" s="6">
        <v>44372</v>
      </c>
      <c r="C34" s="7"/>
      <c r="D34" s="143"/>
      <c r="E34" s="143"/>
      <c r="F34" s="13"/>
      <c r="G34" s="11"/>
      <c r="H34" s="204">
        <f t="shared" si="4"/>
        <v>0</v>
      </c>
      <c r="I34" s="205"/>
      <c r="J34" s="205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44373</v>
      </c>
      <c r="C35" s="7"/>
      <c r="D35" s="143"/>
      <c r="E35" s="143"/>
      <c r="F35" s="13"/>
      <c r="G35" s="11"/>
      <c r="H35" s="204">
        <f t="shared" si="4"/>
        <v>0</v>
      </c>
      <c r="I35" s="205"/>
      <c r="J35" s="205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44374</v>
      </c>
      <c r="C36" s="7"/>
      <c r="D36" s="143"/>
      <c r="E36" s="143"/>
      <c r="F36" s="13"/>
      <c r="G36" s="11"/>
      <c r="H36" s="204">
        <f>F36*8.79</f>
        <v>0</v>
      </c>
      <c r="I36" s="205"/>
      <c r="J36" s="205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44375</v>
      </c>
      <c r="C37" s="7"/>
      <c r="D37" s="143"/>
      <c r="E37" s="143"/>
      <c r="F37" s="13"/>
      <c r="G37" s="11"/>
      <c r="H37" s="204">
        <f t="shared" ref="H37:H38" si="5">F37*8.79</f>
        <v>0</v>
      </c>
      <c r="I37" s="205"/>
      <c r="J37" s="205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44376</v>
      </c>
      <c r="C38" s="7"/>
      <c r="D38" s="143"/>
      <c r="E38" s="143"/>
      <c r="F38" s="13"/>
      <c r="G38" s="11"/>
      <c r="H38" s="204">
        <f t="shared" si="5"/>
        <v>0</v>
      </c>
      <c r="I38" s="205"/>
      <c r="J38" s="205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44377</v>
      </c>
      <c r="C39" s="7"/>
      <c r="D39" s="143"/>
      <c r="E39" s="143"/>
      <c r="F39" s="13"/>
      <c r="G39" s="11"/>
      <c r="H39" s="204">
        <f t="shared" ref="H39" si="6">F39*8.79</f>
        <v>0</v>
      </c>
      <c r="I39" s="205"/>
      <c r="J39" s="205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7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124</v>
      </c>
      <c r="E40" s="8">
        <f>SUM(E10:E39)</f>
        <v>167</v>
      </c>
      <c r="F40" s="153">
        <f>SUM(F10:F39)</f>
        <v>261.29999999998836</v>
      </c>
      <c r="G40" s="1"/>
      <c r="H40" s="249">
        <f>SUM(H10:H39)</f>
        <v>2296.8269999998975</v>
      </c>
      <c r="I40" s="250"/>
      <c r="J40" s="251"/>
      <c r="K40" s="1"/>
      <c r="L40" s="53">
        <f>SUM(L10:L39)</f>
        <v>8800</v>
      </c>
      <c r="M40" s="53">
        <f>SUM(M10:M39)</f>
        <v>18102</v>
      </c>
      <c r="N40" s="54">
        <f>SUM(N10:N39)</f>
        <v>6654</v>
      </c>
      <c r="O40" s="55">
        <f>SUM(O10:O39)</f>
        <v>33556</v>
      </c>
      <c r="P40" s="31"/>
      <c r="Q40" s="32">
        <f>SUM(Q10:Q39)</f>
        <v>29240.098000000002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592.48</v>
      </c>
      <c r="W40" s="31"/>
      <c r="X40" s="32">
        <f>SUM(X10:X39)</f>
        <v>5818.6868320000012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4" t="s">
        <v>33</v>
      </c>
      <c r="B42" s="185"/>
      <c r="C42" s="185"/>
      <c r="D42" s="185"/>
      <c r="E42" s="185"/>
      <c r="F42" s="186"/>
      <c r="G42" s="26"/>
      <c r="H42" s="27" t="s">
        <v>34</v>
      </c>
      <c r="I42" s="196" t="s">
        <v>35</v>
      </c>
      <c r="J42" s="197"/>
      <c r="K42" s="198"/>
      <c r="L42" s="220" t="s">
        <v>36</v>
      </c>
      <c r="M42" s="221"/>
      <c r="N42" s="184" t="s">
        <v>37</v>
      </c>
      <c r="O42" s="185"/>
      <c r="P42" s="185"/>
      <c r="Q42" s="185"/>
      <c r="R42" s="185"/>
      <c r="S42" s="185"/>
      <c r="T42" s="185"/>
      <c r="U42" s="185"/>
      <c r="V42" s="185"/>
      <c r="W42" s="185"/>
      <c r="X42" s="186"/>
    </row>
    <row r="43" spans="1:24" s="18" customFormat="1" ht="29.25" customHeight="1" thickBot="1">
      <c r="A43" s="214" t="s">
        <v>38</v>
      </c>
      <c r="B43" s="215"/>
      <c r="C43" s="216"/>
      <c r="D43" s="160" t="s">
        <v>30</v>
      </c>
      <c r="E43" s="160" t="s">
        <v>30</v>
      </c>
      <c r="F43" s="160" t="s">
        <v>30</v>
      </c>
      <c r="G43" s="16"/>
      <c r="H43" s="17">
        <v>0.69850000000000001</v>
      </c>
      <c r="I43" s="211">
        <f>L40</f>
        <v>8800</v>
      </c>
      <c r="J43" s="212"/>
      <c r="K43" s="213"/>
      <c r="L43" s="202">
        <f>I43*H43</f>
        <v>6146.8</v>
      </c>
      <c r="M43" s="203"/>
      <c r="N43" s="175">
        <f>L43+L44+L45</f>
        <v>32221.524400000002</v>
      </c>
      <c r="O43" s="176"/>
      <c r="P43" s="176"/>
      <c r="Q43" s="176"/>
      <c r="R43" s="176"/>
      <c r="S43" s="176"/>
      <c r="T43" s="176"/>
      <c r="U43" s="176"/>
      <c r="V43" s="176"/>
      <c r="W43" s="176"/>
      <c r="X43" s="177"/>
    </row>
    <row r="44" spans="1:24" s="18" customFormat="1" ht="29.25" customHeight="1" thickBot="1">
      <c r="A44" s="217"/>
      <c r="B44" s="218"/>
      <c r="C44" s="219"/>
      <c r="D44" s="159" t="s">
        <v>31</v>
      </c>
      <c r="E44" s="159" t="s">
        <v>31</v>
      </c>
      <c r="F44" s="159" t="s">
        <v>31</v>
      </c>
      <c r="G44" s="16"/>
      <c r="H44" s="19">
        <v>0.95140000000000002</v>
      </c>
      <c r="I44" s="211">
        <f>M40</f>
        <v>18102</v>
      </c>
      <c r="J44" s="212"/>
      <c r="K44" s="213"/>
      <c r="L44" s="202">
        <f>I44*H44</f>
        <v>17222.2428</v>
      </c>
      <c r="M44" s="203"/>
      <c r="N44" s="178"/>
      <c r="O44" s="179"/>
      <c r="P44" s="179"/>
      <c r="Q44" s="179"/>
      <c r="R44" s="179"/>
      <c r="S44" s="179"/>
      <c r="T44" s="179"/>
      <c r="U44" s="179"/>
      <c r="V44" s="179"/>
      <c r="W44" s="179"/>
      <c r="X44" s="180"/>
    </row>
    <row r="45" spans="1:24" s="18" customFormat="1" ht="24.75" customHeight="1" thickBot="1">
      <c r="A45" s="217"/>
      <c r="B45" s="218"/>
      <c r="C45" s="219"/>
      <c r="D45" s="156" t="s">
        <v>32</v>
      </c>
      <c r="E45" s="156" t="s">
        <v>32</v>
      </c>
      <c r="F45" s="156" t="s">
        <v>32</v>
      </c>
      <c r="G45" s="20"/>
      <c r="H45" s="20">
        <v>1.3304</v>
      </c>
      <c r="I45" s="193">
        <f>N40</f>
        <v>6654</v>
      </c>
      <c r="J45" s="194"/>
      <c r="K45" s="195"/>
      <c r="L45" s="202">
        <f>I45*H45</f>
        <v>8852.481600000001</v>
      </c>
      <c r="M45" s="203"/>
      <c r="N45" s="181"/>
      <c r="O45" s="182"/>
      <c r="P45" s="182"/>
      <c r="Q45" s="182"/>
      <c r="R45" s="182"/>
      <c r="S45" s="182"/>
      <c r="T45" s="182"/>
      <c r="U45" s="182"/>
      <c r="V45" s="182"/>
      <c r="W45" s="182"/>
      <c r="X45" s="183"/>
    </row>
    <row r="46" spans="1:24" s="18" customFormat="1" ht="43.5" customHeight="1" thickBot="1">
      <c r="A46" s="161"/>
      <c r="B46" s="162"/>
      <c r="C46" s="162"/>
      <c r="D46" s="156"/>
      <c r="E46" s="156"/>
      <c r="F46" s="156"/>
      <c r="G46" s="16"/>
      <c r="H46" s="16"/>
      <c r="I46" s="154"/>
      <c r="J46" s="155"/>
      <c r="K46" s="156"/>
      <c r="L46" s="157"/>
      <c r="M46" s="158"/>
      <c r="N46" s="199">
        <f>N43*1.3</f>
        <v>41887.981720000003</v>
      </c>
      <c r="O46" s="200"/>
      <c r="P46" s="200"/>
      <c r="Q46" s="200"/>
      <c r="R46" s="200"/>
      <c r="S46" s="200"/>
      <c r="T46" s="200"/>
      <c r="U46" s="200"/>
      <c r="V46" s="200"/>
      <c r="W46" s="200"/>
      <c r="X46" s="201"/>
    </row>
    <row r="47" spans="1:24" s="23" customFormat="1" ht="32.25" customHeight="1" thickBot="1">
      <c r="A47" s="206" t="s">
        <v>39</v>
      </c>
      <c r="B47" s="207"/>
      <c r="C47" s="207"/>
      <c r="D47" s="207"/>
      <c r="E47" s="207"/>
      <c r="F47" s="208"/>
      <c r="G47" s="21"/>
      <c r="H47" s="22">
        <v>8.7899999999999991</v>
      </c>
      <c r="I47" s="206">
        <f>F40</f>
        <v>261.29999999998836</v>
      </c>
      <c r="J47" s="207"/>
      <c r="K47" s="208"/>
      <c r="L47" s="209">
        <f>I47*H47</f>
        <v>2296.8269999998975</v>
      </c>
      <c r="M47" s="210"/>
      <c r="N47" s="172">
        <f>L47</f>
        <v>2296.8269999998975</v>
      </c>
      <c r="O47" s="173"/>
      <c r="P47" s="173"/>
      <c r="Q47" s="173"/>
      <c r="R47" s="173"/>
      <c r="S47" s="173"/>
      <c r="T47" s="173"/>
      <c r="U47" s="173"/>
      <c r="V47" s="173"/>
      <c r="W47" s="173"/>
      <c r="X47" s="174"/>
    </row>
    <row r="48" spans="1:24" s="23" customFormat="1" ht="36.75" customHeight="1">
      <c r="A48" s="187" t="s">
        <v>40</v>
      </c>
      <c r="B48" s="188"/>
      <c r="C48" s="188"/>
      <c r="D48" s="188"/>
      <c r="E48" s="188"/>
      <c r="F48" s="189"/>
      <c r="G48" s="24"/>
      <c r="H48" s="25">
        <v>9.8209</v>
      </c>
      <c r="I48" s="190">
        <f>V40</f>
        <v>592.48</v>
      </c>
      <c r="J48" s="191"/>
      <c r="K48" s="192"/>
      <c r="L48" s="190">
        <f>I48*H48</f>
        <v>5818.6868320000003</v>
      </c>
      <c r="M48" s="192"/>
      <c r="N48" s="169">
        <f>L48</f>
        <v>5818.6868320000003</v>
      </c>
      <c r="O48" s="170"/>
      <c r="P48" s="170"/>
      <c r="Q48" s="170"/>
      <c r="R48" s="170"/>
      <c r="S48" s="170"/>
      <c r="T48" s="170"/>
      <c r="U48" s="170"/>
      <c r="V48" s="170"/>
      <c r="W48" s="170"/>
      <c r="X48" s="171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</row>
  </sheetData>
  <mergeCells count="72"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J10" sqref="J1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44348</v>
      </c>
      <c r="B9" s="116">
        <v>2559</v>
      </c>
      <c r="C9" s="115">
        <v>0</v>
      </c>
      <c r="D9" s="57">
        <v>111004.4</v>
      </c>
      <c r="E9" s="50">
        <v>69.299999999988358</v>
      </c>
      <c r="F9" s="51">
        <v>10605184</v>
      </c>
      <c r="G9" s="50">
        <v>2794</v>
      </c>
      <c r="H9" s="51">
        <v>17852469</v>
      </c>
      <c r="I9" s="50">
        <v>5274</v>
      </c>
      <c r="J9" s="51">
        <v>7898077</v>
      </c>
      <c r="K9" s="50">
        <v>1876</v>
      </c>
    </row>
    <row r="10" spans="1:12" ht="19.5">
      <c r="A10" s="59">
        <v>44349</v>
      </c>
      <c r="B10" s="116">
        <v>2559</v>
      </c>
      <c r="C10" s="115">
        <f>B10-B9</f>
        <v>0</v>
      </c>
      <c r="D10" s="57">
        <v>111078.2</v>
      </c>
      <c r="E10" s="50">
        <f>D10-D9</f>
        <v>73.80000000000291</v>
      </c>
      <c r="F10" s="51">
        <v>10607534</v>
      </c>
      <c r="G10" s="50">
        <f>F10-F9</f>
        <v>2350</v>
      </c>
      <c r="H10" s="51">
        <v>17858391</v>
      </c>
      <c r="I10" s="50">
        <f>H10-H9</f>
        <v>5922</v>
      </c>
      <c r="J10" s="51">
        <v>7900318</v>
      </c>
      <c r="K10" s="50">
        <f>J10-J9</f>
        <v>2241</v>
      </c>
    </row>
    <row r="11" spans="1:12" ht="19.5">
      <c r="A11" s="59">
        <v>44350</v>
      </c>
      <c r="B11" s="116">
        <v>2559</v>
      </c>
      <c r="C11" s="115">
        <f>B11-B10</f>
        <v>0</v>
      </c>
      <c r="D11" s="57">
        <v>111196.4</v>
      </c>
      <c r="E11" s="50">
        <f>D11-D10</f>
        <v>118.19999999999709</v>
      </c>
      <c r="F11" s="51">
        <v>10611190</v>
      </c>
      <c r="G11" s="50">
        <f>F11-F10</f>
        <v>3656</v>
      </c>
      <c r="H11" s="51">
        <v>17865297</v>
      </c>
      <c r="I11" s="50">
        <f>H11-H10</f>
        <v>6906</v>
      </c>
      <c r="J11" s="51">
        <v>7902855</v>
      </c>
      <c r="K11" s="50">
        <f>J11-J10</f>
        <v>2537</v>
      </c>
    </row>
    <row r="12" spans="1:12" ht="19.5">
      <c r="A12" s="59">
        <v>44351</v>
      </c>
      <c r="B12" s="116"/>
      <c r="C12" s="115"/>
      <c r="D12" s="57"/>
      <c r="E12" s="50"/>
      <c r="F12" s="51"/>
      <c r="G12" s="50"/>
      <c r="H12" s="51"/>
      <c r="I12" s="50"/>
      <c r="J12" s="51"/>
      <c r="K12" s="50"/>
    </row>
    <row r="13" spans="1:12" ht="19.5">
      <c r="A13" s="59">
        <v>44352</v>
      </c>
      <c r="B13" s="116"/>
      <c r="C13" s="115"/>
      <c r="D13" s="57"/>
      <c r="E13" s="50"/>
      <c r="F13" s="51"/>
      <c r="G13" s="50"/>
      <c r="H13" s="51"/>
      <c r="I13" s="50"/>
      <c r="J13" s="51"/>
      <c r="K13" s="50"/>
    </row>
    <row r="14" spans="1:12" ht="19.5">
      <c r="A14" s="59">
        <v>44353</v>
      </c>
      <c r="B14" s="116"/>
      <c r="C14" s="115"/>
      <c r="D14" s="57"/>
      <c r="E14" s="50"/>
      <c r="F14" s="51"/>
      <c r="G14" s="50"/>
      <c r="H14" s="51"/>
      <c r="I14" s="50"/>
      <c r="J14" s="51"/>
      <c r="K14" s="50"/>
    </row>
    <row r="15" spans="1:12" ht="19.5">
      <c r="A15" s="59">
        <v>44354</v>
      </c>
      <c r="B15" s="116"/>
      <c r="C15" s="115"/>
      <c r="D15" s="57"/>
      <c r="E15" s="50"/>
      <c r="F15" s="51"/>
      <c r="G15" s="50"/>
      <c r="H15" s="51"/>
      <c r="I15" s="50"/>
      <c r="J15" s="51"/>
      <c r="K15" s="50"/>
    </row>
    <row r="16" spans="1:12" ht="19.5">
      <c r="A16" s="59">
        <v>44355</v>
      </c>
      <c r="B16" s="116"/>
      <c r="C16" s="115"/>
      <c r="D16" s="57"/>
      <c r="E16" s="50"/>
      <c r="F16" s="51"/>
      <c r="G16" s="50"/>
      <c r="H16" s="51"/>
      <c r="I16" s="50"/>
      <c r="J16" s="51"/>
      <c r="K16" s="50"/>
    </row>
    <row r="17" spans="1:29" ht="19.5">
      <c r="A17" s="59">
        <v>44356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44357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44358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44359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44360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44361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44362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44363</v>
      </c>
      <c r="B24" s="116"/>
      <c r="C24" s="115"/>
      <c r="D24" s="57"/>
      <c r="E24" s="167"/>
      <c r="F24" s="51"/>
      <c r="G24" s="50"/>
      <c r="H24" s="51"/>
      <c r="I24" s="50"/>
      <c r="J24" s="51"/>
      <c r="K24" s="50"/>
    </row>
    <row r="25" spans="1:29" ht="19.5">
      <c r="A25" s="59">
        <v>44364</v>
      </c>
      <c r="B25" s="116"/>
      <c r="C25" s="115"/>
      <c r="D25" s="57"/>
      <c r="E25" s="167"/>
      <c r="F25" s="51"/>
      <c r="G25" s="50"/>
      <c r="H25" s="51"/>
      <c r="I25" s="50"/>
      <c r="J25" s="51"/>
      <c r="K25" s="50"/>
    </row>
    <row r="26" spans="1:29" ht="19.5">
      <c r="A26" s="59">
        <v>44365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44366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44367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44368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44369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44370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44371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44372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44373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44374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44375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44376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44377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44378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M4" activePane="bottomRight" state="frozen"/>
      <selection pane="bottomRight" activeCell="A4" sqref="A4:AC4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44348</v>
      </c>
      <c r="B4" s="41">
        <v>56</v>
      </c>
      <c r="C4" s="39">
        <f t="shared" ref="C4:C35" si="0">IF(AC4&gt;0,((B4-R4)+(S4-B5)),IF(B5=0, ,(B4-B5)))</f>
        <v>1</v>
      </c>
      <c r="D4" s="41">
        <v>59</v>
      </c>
      <c r="E4" s="39">
        <f t="shared" ref="E4:E35" si="1">IF(AC4&gt;0,((D4-U4)+(V4-D5)),IF(D5=0, ,(D4-D5)))</f>
        <v>2</v>
      </c>
      <c r="F4" s="41">
        <v>57</v>
      </c>
      <c r="G4" s="39">
        <f t="shared" ref="G4:G35" si="2">IF(AC4&gt;0,((F4-X4)+(Y4-F5)),IF(F5=0, ,(F4-F5)))</f>
        <v>2</v>
      </c>
      <c r="H4" s="41">
        <v>59</v>
      </c>
      <c r="I4" s="39">
        <f>IF(AC4&gt;0,((H4-AA4)+(AB4-H5)),IF(H5=0, ,(H4-H5)))</f>
        <v>2</v>
      </c>
      <c r="J4" s="39">
        <f>B4+D4+F4+H4</f>
        <v>231</v>
      </c>
      <c r="K4" s="39">
        <f>J4/4</f>
        <v>57.75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44349</v>
      </c>
      <c r="B5" s="41">
        <v>55</v>
      </c>
      <c r="C5" s="39">
        <f t="shared" si="0"/>
        <v>1</v>
      </c>
      <c r="D5" s="41">
        <v>57</v>
      </c>
      <c r="E5" s="39">
        <f t="shared" si="1"/>
        <v>4</v>
      </c>
      <c r="F5" s="41">
        <v>55</v>
      </c>
      <c r="G5" s="39">
        <f t="shared" si="2"/>
        <v>2</v>
      </c>
      <c r="H5" s="41">
        <v>57</v>
      </c>
      <c r="I5" s="39">
        <f>IF(AC5&gt;0,((H5-AA5)+(AB5-H6)),IF(H6=0, ,(H5-H6)))</f>
        <v>2</v>
      </c>
      <c r="J5" s="39">
        <f>B5+D5+F5+H5</f>
        <v>224</v>
      </c>
      <c r="K5" s="39">
        <f>J5/4</f>
        <v>56</v>
      </c>
      <c r="L5" s="39">
        <f>IF(AC5&gt;0,((K5-AD5)+(AE5-K6)),IF(K6=0, ,(K5-K6)))</f>
        <v>2.25</v>
      </c>
      <c r="M5" s="150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38" si="7">O5*8.7</f>
        <v>2899.4490000000001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44350</v>
      </c>
      <c r="B6" s="41">
        <v>54</v>
      </c>
      <c r="C6" s="39">
        <f t="shared" si="0"/>
        <v>0</v>
      </c>
      <c r="D6" s="41">
        <v>53</v>
      </c>
      <c r="E6" s="39">
        <f t="shared" si="1"/>
        <v>0</v>
      </c>
      <c r="F6" s="41">
        <v>53</v>
      </c>
      <c r="G6" s="39">
        <f t="shared" si="2"/>
        <v>0</v>
      </c>
      <c r="H6" s="41">
        <v>55</v>
      </c>
      <c r="I6" s="39">
        <f t="shared" ref="I6:I36" si="8">IF(AC6&gt;0,((H6-AA6)+(AB6-H7)),IF(H7=0, ,(H6-H7)))</f>
        <v>0</v>
      </c>
      <c r="J6" s="39">
        <f t="shared" ref="J6:J42" si="9">B6+D6+F6+H6</f>
        <v>215</v>
      </c>
      <c r="K6" s="39">
        <f t="shared" ref="K6:K42" si="10">J6/4</f>
        <v>53.75</v>
      </c>
      <c r="L6" s="39">
        <f t="shared" ref="L6:L19" si="11">IF(AC6&gt;0,((K6-AD6)+(AE6-K7)),IF(K7=0, ,(K6-K7)))</f>
        <v>0</v>
      </c>
      <c r="M6" s="150">
        <f t="shared" si="6"/>
        <v>28000</v>
      </c>
      <c r="N6" s="39">
        <f t="shared" ref="N6:N42" si="12">L6*M6/100</f>
        <v>0</v>
      </c>
      <c r="O6" s="39">
        <f>N6*0.529</f>
        <v>0</v>
      </c>
      <c r="P6" s="42">
        <f t="shared" si="7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44351</v>
      </c>
      <c r="B7" s="41"/>
      <c r="C7" s="39">
        <f t="shared" si="0"/>
        <v>0</v>
      </c>
      <c r="D7" s="41"/>
      <c r="E7" s="39">
        <f t="shared" si="1"/>
        <v>0</v>
      </c>
      <c r="F7" s="41"/>
      <c r="G7" s="39">
        <f t="shared" si="2"/>
        <v>0</v>
      </c>
      <c r="H7" s="41"/>
      <c r="I7" s="39">
        <f t="shared" si="8"/>
        <v>0</v>
      </c>
      <c r="J7" s="39">
        <f t="shared" si="9"/>
        <v>0</v>
      </c>
      <c r="K7" s="39">
        <f t="shared" si="10"/>
        <v>0</v>
      </c>
      <c r="L7" s="39">
        <f t="shared" si="11"/>
        <v>0</v>
      </c>
      <c r="M7" s="150">
        <f t="shared" si="6"/>
        <v>28000</v>
      </c>
      <c r="N7" s="39">
        <f t="shared" si="12"/>
        <v>0</v>
      </c>
      <c r="O7" s="39">
        <f>N7*0.53</f>
        <v>0</v>
      </c>
      <c r="P7" s="42">
        <f t="shared" si="7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44352</v>
      </c>
      <c r="B8" s="41"/>
      <c r="C8" s="39">
        <f t="shared" si="0"/>
        <v>0</v>
      </c>
      <c r="D8" s="41"/>
      <c r="E8" s="39">
        <f t="shared" si="1"/>
        <v>0</v>
      </c>
      <c r="F8" s="41"/>
      <c r="G8" s="39">
        <f t="shared" si="2"/>
        <v>0</v>
      </c>
      <c r="H8" s="41"/>
      <c r="I8" s="39">
        <f t="shared" si="8"/>
        <v>0</v>
      </c>
      <c r="J8" s="39">
        <f t="shared" si="9"/>
        <v>0</v>
      </c>
      <c r="K8" s="39">
        <f t="shared" si="10"/>
        <v>0</v>
      </c>
      <c r="L8" s="39">
        <f t="shared" si="11"/>
        <v>0</v>
      </c>
      <c r="M8" s="150">
        <f>6049*4</f>
        <v>24196</v>
      </c>
      <c r="N8" s="39">
        <f t="shared" si="12"/>
        <v>0</v>
      </c>
      <c r="O8" s="149">
        <f t="shared" ref="O8:O37" si="13">N8*0.529</f>
        <v>0</v>
      </c>
      <c r="P8" s="42">
        <f t="shared" si="7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44353</v>
      </c>
      <c r="B9" s="41"/>
      <c r="C9" s="39">
        <f t="shared" si="0"/>
        <v>0</v>
      </c>
      <c r="D9" s="41"/>
      <c r="E9" s="39">
        <f t="shared" si="1"/>
        <v>0</v>
      </c>
      <c r="F9" s="41"/>
      <c r="G9" s="39">
        <f t="shared" si="2"/>
        <v>0</v>
      </c>
      <c r="H9" s="41"/>
      <c r="I9" s="39">
        <f t="shared" si="8"/>
        <v>0</v>
      </c>
      <c r="J9" s="39">
        <f t="shared" si="9"/>
        <v>0</v>
      </c>
      <c r="K9" s="39">
        <f t="shared" si="10"/>
        <v>0</v>
      </c>
      <c r="L9" s="39">
        <f t="shared" si="11"/>
        <v>0</v>
      </c>
      <c r="M9" s="150">
        <f t="shared" ref="M9:M42" si="14">6049*4</f>
        <v>24196</v>
      </c>
      <c r="N9" s="39">
        <f t="shared" si="12"/>
        <v>0</v>
      </c>
      <c r="O9" s="39">
        <f t="shared" si="13"/>
        <v>0</v>
      </c>
      <c r="P9" s="42">
        <f t="shared" si="7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44354</v>
      </c>
      <c r="B10" s="41"/>
      <c r="C10" s="39">
        <f t="shared" si="0"/>
        <v>0</v>
      </c>
      <c r="D10" s="41"/>
      <c r="E10" s="39">
        <f t="shared" si="1"/>
        <v>0</v>
      </c>
      <c r="F10" s="41"/>
      <c r="G10" s="39">
        <f t="shared" si="2"/>
        <v>0</v>
      </c>
      <c r="H10" s="41"/>
      <c r="I10" s="39">
        <f t="shared" si="8"/>
        <v>0</v>
      </c>
      <c r="J10" s="39">
        <f t="shared" si="9"/>
        <v>0</v>
      </c>
      <c r="K10" s="39">
        <f t="shared" si="10"/>
        <v>0</v>
      </c>
      <c r="L10" s="39">
        <f t="shared" si="11"/>
        <v>0</v>
      </c>
      <c r="M10" s="150">
        <f t="shared" si="14"/>
        <v>24196</v>
      </c>
      <c r="N10" s="39">
        <f t="shared" si="12"/>
        <v>0</v>
      </c>
      <c r="O10" s="149">
        <f t="shared" si="13"/>
        <v>0</v>
      </c>
      <c r="P10" s="42">
        <f t="shared" si="7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44355</v>
      </c>
      <c r="B11" s="41"/>
      <c r="C11" s="39">
        <f t="shared" si="0"/>
        <v>0</v>
      </c>
      <c r="D11" s="41"/>
      <c r="E11" s="39">
        <f t="shared" si="1"/>
        <v>0</v>
      </c>
      <c r="F11" s="41"/>
      <c r="G11" s="39">
        <f t="shared" si="2"/>
        <v>0</v>
      </c>
      <c r="H11" s="41"/>
      <c r="I11" s="39">
        <f t="shared" si="8"/>
        <v>0</v>
      </c>
      <c r="J11" s="39">
        <f t="shared" si="9"/>
        <v>0</v>
      </c>
      <c r="K11" s="39">
        <f t="shared" si="10"/>
        <v>0</v>
      </c>
      <c r="L11" s="39">
        <f t="shared" si="11"/>
        <v>0</v>
      </c>
      <c r="M11" s="150">
        <f t="shared" si="14"/>
        <v>24196</v>
      </c>
      <c r="N11" s="39">
        <f t="shared" si="12"/>
        <v>0</v>
      </c>
      <c r="O11" s="39">
        <f t="shared" si="13"/>
        <v>0</v>
      </c>
      <c r="P11" s="42">
        <f t="shared" si="7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44356</v>
      </c>
      <c r="B12" s="41"/>
      <c r="C12" s="39">
        <f t="shared" si="0"/>
        <v>0</v>
      </c>
      <c r="D12" s="41"/>
      <c r="E12" s="39">
        <f t="shared" si="1"/>
        <v>0</v>
      </c>
      <c r="F12" s="41"/>
      <c r="G12" s="39">
        <f t="shared" si="2"/>
        <v>0</v>
      </c>
      <c r="H12" s="41"/>
      <c r="I12" s="39">
        <f t="shared" si="8"/>
        <v>0</v>
      </c>
      <c r="J12" s="39">
        <f t="shared" si="9"/>
        <v>0</v>
      </c>
      <c r="K12" s="39">
        <f t="shared" si="10"/>
        <v>0</v>
      </c>
      <c r="L12" s="39">
        <f t="shared" si="11"/>
        <v>0</v>
      </c>
      <c r="M12" s="150">
        <f t="shared" si="14"/>
        <v>24196</v>
      </c>
      <c r="N12" s="39">
        <f t="shared" si="12"/>
        <v>0</v>
      </c>
      <c r="O12" s="39">
        <f t="shared" si="13"/>
        <v>0</v>
      </c>
      <c r="P12" s="42">
        <f t="shared" si="7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44357</v>
      </c>
      <c r="B13" s="41"/>
      <c r="C13" s="39">
        <f t="shared" si="0"/>
        <v>0</v>
      </c>
      <c r="D13" s="41"/>
      <c r="E13" s="39">
        <f t="shared" si="1"/>
        <v>0</v>
      </c>
      <c r="F13" s="41"/>
      <c r="G13" s="39">
        <f t="shared" si="2"/>
        <v>0</v>
      </c>
      <c r="H13" s="41"/>
      <c r="I13" s="39">
        <f t="shared" si="8"/>
        <v>0</v>
      </c>
      <c r="J13" s="39">
        <f t="shared" si="9"/>
        <v>0</v>
      </c>
      <c r="K13" s="39">
        <f t="shared" si="10"/>
        <v>0</v>
      </c>
      <c r="L13" s="39">
        <f t="shared" si="11"/>
        <v>0</v>
      </c>
      <c r="M13" s="150">
        <f t="shared" si="14"/>
        <v>24196</v>
      </c>
      <c r="N13" s="39">
        <f t="shared" si="12"/>
        <v>0</v>
      </c>
      <c r="O13" s="39">
        <f t="shared" si="13"/>
        <v>0</v>
      </c>
      <c r="P13" s="42">
        <f t="shared" si="7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44358</v>
      </c>
      <c r="B14" s="41"/>
      <c r="C14" s="39">
        <f t="shared" si="0"/>
        <v>0</v>
      </c>
      <c r="D14" s="41"/>
      <c r="E14" s="39">
        <f t="shared" si="1"/>
        <v>0</v>
      </c>
      <c r="F14" s="41"/>
      <c r="G14" s="39">
        <f t="shared" si="2"/>
        <v>0</v>
      </c>
      <c r="H14" s="41"/>
      <c r="I14" s="39">
        <f>IF(AC14&gt;0,((H14-AA14)+(AB14-H15)),IF(H15=0, ,(H14-H15)))</f>
        <v>0</v>
      </c>
      <c r="J14" s="39">
        <f t="shared" si="9"/>
        <v>0</v>
      </c>
      <c r="K14" s="39">
        <f t="shared" si="10"/>
        <v>0</v>
      </c>
      <c r="L14" s="39">
        <f t="shared" si="11"/>
        <v>0</v>
      </c>
      <c r="M14" s="150">
        <f t="shared" si="14"/>
        <v>24196</v>
      </c>
      <c r="N14" s="39">
        <f t="shared" si="12"/>
        <v>0</v>
      </c>
      <c r="O14" s="39">
        <f t="shared" si="13"/>
        <v>0</v>
      </c>
      <c r="P14" s="42">
        <f t="shared" si="7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44359</v>
      </c>
      <c r="B15" s="41"/>
      <c r="C15" s="39">
        <f t="shared" si="0"/>
        <v>0</v>
      </c>
      <c r="D15" s="41"/>
      <c r="E15" s="39">
        <f t="shared" si="1"/>
        <v>0</v>
      </c>
      <c r="F15" s="41"/>
      <c r="G15" s="39">
        <f t="shared" si="2"/>
        <v>0</v>
      </c>
      <c r="H15" s="41"/>
      <c r="I15" s="39">
        <f>IF(AC15&gt;0,((H15-AA15)+(AB15-H16)),IF(H16=0, ,(H15-H16)))</f>
        <v>0</v>
      </c>
      <c r="J15" s="39">
        <f t="shared" si="9"/>
        <v>0</v>
      </c>
      <c r="K15" s="39">
        <f t="shared" si="10"/>
        <v>0</v>
      </c>
      <c r="L15" s="39">
        <f t="shared" si="11"/>
        <v>0</v>
      </c>
      <c r="M15" s="150">
        <f t="shared" si="14"/>
        <v>24196</v>
      </c>
      <c r="N15" s="39">
        <f t="shared" si="12"/>
        <v>0</v>
      </c>
      <c r="O15" s="39">
        <f t="shared" si="13"/>
        <v>0</v>
      </c>
      <c r="P15" s="42">
        <f t="shared" si="7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44360</v>
      </c>
      <c r="B16" s="41"/>
      <c r="C16" s="39">
        <f t="shared" si="0"/>
        <v>0</v>
      </c>
      <c r="D16" s="41"/>
      <c r="E16" s="39">
        <f t="shared" si="1"/>
        <v>0</v>
      </c>
      <c r="F16" s="41"/>
      <c r="G16" s="39">
        <f t="shared" si="2"/>
        <v>0</v>
      </c>
      <c r="H16" s="41"/>
      <c r="I16" s="39">
        <f t="shared" si="8"/>
        <v>0</v>
      </c>
      <c r="J16" s="39">
        <f t="shared" si="9"/>
        <v>0</v>
      </c>
      <c r="K16" s="39">
        <f t="shared" si="10"/>
        <v>0</v>
      </c>
      <c r="L16" s="39">
        <f t="shared" si="11"/>
        <v>0</v>
      </c>
      <c r="M16" s="150">
        <f t="shared" si="14"/>
        <v>24196</v>
      </c>
      <c r="N16" s="39">
        <f t="shared" si="12"/>
        <v>0</v>
      </c>
      <c r="O16" s="39">
        <f t="shared" si="13"/>
        <v>0</v>
      </c>
      <c r="P16" s="42">
        <f t="shared" si="7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44361</v>
      </c>
      <c r="B17" s="41"/>
      <c r="C17" s="39">
        <f t="shared" si="0"/>
        <v>0</v>
      </c>
      <c r="D17" s="41"/>
      <c r="E17" s="39">
        <f t="shared" si="1"/>
        <v>0</v>
      </c>
      <c r="F17" s="41"/>
      <c r="G17" s="39">
        <f t="shared" si="2"/>
        <v>0</v>
      </c>
      <c r="H17" s="41"/>
      <c r="I17" s="39">
        <f t="shared" si="8"/>
        <v>0</v>
      </c>
      <c r="J17" s="39">
        <f t="shared" si="9"/>
        <v>0</v>
      </c>
      <c r="K17" s="39">
        <f t="shared" si="10"/>
        <v>0</v>
      </c>
      <c r="L17" s="39">
        <f t="shared" si="11"/>
        <v>0</v>
      </c>
      <c r="M17" s="150">
        <f t="shared" si="14"/>
        <v>24196</v>
      </c>
      <c r="N17" s="39">
        <f t="shared" si="12"/>
        <v>0</v>
      </c>
      <c r="O17" s="39">
        <f t="shared" si="13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44362</v>
      </c>
      <c r="B18" s="41"/>
      <c r="C18" s="39">
        <f t="shared" si="0"/>
        <v>0</v>
      </c>
      <c r="D18" s="41"/>
      <c r="E18" s="39">
        <f t="shared" si="1"/>
        <v>0</v>
      </c>
      <c r="F18" s="41"/>
      <c r="G18" s="39">
        <f t="shared" si="2"/>
        <v>0</v>
      </c>
      <c r="H18" s="41"/>
      <c r="I18" s="39">
        <f t="shared" si="8"/>
        <v>0</v>
      </c>
      <c r="J18" s="39">
        <f t="shared" si="9"/>
        <v>0</v>
      </c>
      <c r="K18" s="39">
        <f t="shared" si="10"/>
        <v>0</v>
      </c>
      <c r="L18" s="39">
        <f t="shared" si="11"/>
        <v>0</v>
      </c>
      <c r="M18" s="150">
        <f t="shared" si="14"/>
        <v>24196</v>
      </c>
      <c r="N18" s="39">
        <f t="shared" si="12"/>
        <v>0</v>
      </c>
      <c r="O18" s="39">
        <f t="shared" si="13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44363</v>
      </c>
      <c r="B19" s="41"/>
      <c r="C19" s="39">
        <f t="shared" si="0"/>
        <v>0</v>
      </c>
      <c r="D19" s="41"/>
      <c r="E19" s="39">
        <f t="shared" si="1"/>
        <v>0</v>
      </c>
      <c r="F19" s="41"/>
      <c r="G19" s="39">
        <f t="shared" si="2"/>
        <v>0</v>
      </c>
      <c r="H19" s="41"/>
      <c r="I19" s="39">
        <f t="shared" si="8"/>
        <v>0</v>
      </c>
      <c r="J19" s="39">
        <f t="shared" si="9"/>
        <v>0</v>
      </c>
      <c r="K19" s="39">
        <f t="shared" si="10"/>
        <v>0</v>
      </c>
      <c r="L19" s="39">
        <f t="shared" si="11"/>
        <v>0</v>
      </c>
      <c r="M19" s="150">
        <f t="shared" si="14"/>
        <v>24196</v>
      </c>
      <c r="N19" s="39">
        <f t="shared" si="12"/>
        <v>0</v>
      </c>
      <c r="O19" s="39">
        <f t="shared" si="13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44364</v>
      </c>
      <c r="B20" s="41"/>
      <c r="C20" s="39">
        <f t="shared" si="0"/>
        <v>0</v>
      </c>
      <c r="D20" s="41"/>
      <c r="E20" s="39">
        <f t="shared" si="1"/>
        <v>0</v>
      </c>
      <c r="F20" s="41"/>
      <c r="G20" s="39">
        <f t="shared" si="2"/>
        <v>0</v>
      </c>
      <c r="H20" s="41"/>
      <c r="I20" s="39">
        <f t="shared" si="8"/>
        <v>0</v>
      </c>
      <c r="J20" s="39">
        <f t="shared" si="9"/>
        <v>0</v>
      </c>
      <c r="K20" s="39">
        <f t="shared" si="10"/>
        <v>0</v>
      </c>
      <c r="L20" s="39">
        <f t="shared" ref="L20:L42" si="15">IF(AC20&gt;0,((K20-AD20)+(AE20-K21)),IF(K21=0, ,(K20-K21)))</f>
        <v>0</v>
      </c>
      <c r="M20" s="150">
        <f t="shared" si="14"/>
        <v>24196</v>
      </c>
      <c r="N20" s="39">
        <f t="shared" si="12"/>
        <v>0</v>
      </c>
      <c r="O20" s="39">
        <f t="shared" si="13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44365</v>
      </c>
      <c r="B21" s="41"/>
      <c r="C21" s="39">
        <f t="shared" si="0"/>
        <v>0</v>
      </c>
      <c r="D21" s="41"/>
      <c r="E21" s="39">
        <f t="shared" si="1"/>
        <v>0</v>
      </c>
      <c r="F21" s="41"/>
      <c r="G21" s="39">
        <f t="shared" si="2"/>
        <v>0</v>
      </c>
      <c r="H21" s="41"/>
      <c r="I21" s="39">
        <f t="shared" si="8"/>
        <v>0</v>
      </c>
      <c r="J21" s="39">
        <f t="shared" si="9"/>
        <v>0</v>
      </c>
      <c r="K21" s="39">
        <f t="shared" si="10"/>
        <v>0</v>
      </c>
      <c r="L21" s="39">
        <f>IF(AC21&gt;0,((K21-AD21)+(AE21-K22)),IF(K22=0, ,(K21-K22)))</f>
        <v>0</v>
      </c>
      <c r="M21" s="150">
        <f t="shared" si="14"/>
        <v>24196</v>
      </c>
      <c r="N21" s="39">
        <f t="shared" si="12"/>
        <v>0</v>
      </c>
      <c r="O21" s="39">
        <f t="shared" si="13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44366</v>
      </c>
      <c r="B22" s="41"/>
      <c r="C22" s="39">
        <f t="shared" si="0"/>
        <v>0</v>
      </c>
      <c r="D22" s="41"/>
      <c r="E22" s="39">
        <f t="shared" si="1"/>
        <v>0</v>
      </c>
      <c r="F22" s="41"/>
      <c r="G22" s="39">
        <f t="shared" si="2"/>
        <v>0</v>
      </c>
      <c r="H22" s="41"/>
      <c r="I22" s="39">
        <f t="shared" si="8"/>
        <v>0</v>
      </c>
      <c r="J22" s="39">
        <f t="shared" si="9"/>
        <v>0</v>
      </c>
      <c r="K22" s="39">
        <f t="shared" si="10"/>
        <v>0</v>
      </c>
      <c r="L22" s="39">
        <f>IF(AC22&gt;0,((K22-AD22)+(AE22-K23)),IF(K23=0, ,(K22-K23)))</f>
        <v>0</v>
      </c>
      <c r="M22" s="150">
        <f t="shared" si="14"/>
        <v>24196</v>
      </c>
      <c r="N22" s="39">
        <f t="shared" si="12"/>
        <v>0</v>
      </c>
      <c r="O22" s="39">
        <f t="shared" si="13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44367</v>
      </c>
      <c r="B23" s="41"/>
      <c r="C23" s="39">
        <f t="shared" si="0"/>
        <v>0</v>
      </c>
      <c r="D23" s="41"/>
      <c r="E23" s="39">
        <f t="shared" si="1"/>
        <v>0</v>
      </c>
      <c r="F23" s="41"/>
      <c r="G23" s="39">
        <f t="shared" si="2"/>
        <v>0</v>
      </c>
      <c r="H23" s="41"/>
      <c r="I23" s="39">
        <f t="shared" si="8"/>
        <v>0</v>
      </c>
      <c r="J23" s="39">
        <f t="shared" si="9"/>
        <v>0</v>
      </c>
      <c r="K23" s="39">
        <f t="shared" si="10"/>
        <v>0</v>
      </c>
      <c r="L23" s="39">
        <f t="shared" si="15"/>
        <v>0</v>
      </c>
      <c r="M23" s="150">
        <f t="shared" si="14"/>
        <v>24196</v>
      </c>
      <c r="N23" s="39">
        <f t="shared" si="12"/>
        <v>0</v>
      </c>
      <c r="O23" s="39">
        <f t="shared" si="13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44368</v>
      </c>
      <c r="B24" s="41"/>
      <c r="C24" s="39">
        <f t="shared" si="0"/>
        <v>0</v>
      </c>
      <c r="D24" s="41"/>
      <c r="E24" s="39">
        <f t="shared" si="1"/>
        <v>0</v>
      </c>
      <c r="F24" s="41"/>
      <c r="G24" s="39">
        <f t="shared" si="2"/>
        <v>0</v>
      </c>
      <c r="H24" s="41"/>
      <c r="I24" s="39">
        <f t="shared" si="8"/>
        <v>0</v>
      </c>
      <c r="J24" s="39">
        <f t="shared" si="9"/>
        <v>0</v>
      </c>
      <c r="K24" s="39">
        <f t="shared" si="10"/>
        <v>0</v>
      </c>
      <c r="L24" s="39">
        <f t="shared" si="15"/>
        <v>0</v>
      </c>
      <c r="M24" s="150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44369</v>
      </c>
      <c r="B25" s="41"/>
      <c r="C25" s="39">
        <f t="shared" si="0"/>
        <v>0</v>
      </c>
      <c r="D25" s="41"/>
      <c r="E25" s="39">
        <f t="shared" si="1"/>
        <v>0</v>
      </c>
      <c r="F25" s="41"/>
      <c r="G25" s="39">
        <f t="shared" si="2"/>
        <v>0</v>
      </c>
      <c r="H25" s="41"/>
      <c r="I25" s="39">
        <f t="shared" si="8"/>
        <v>0</v>
      </c>
      <c r="J25" s="39">
        <f t="shared" si="9"/>
        <v>0</v>
      </c>
      <c r="K25" s="39">
        <f t="shared" si="10"/>
        <v>0</v>
      </c>
      <c r="L25" s="39">
        <f t="shared" si="15"/>
        <v>0</v>
      </c>
      <c r="M25" s="150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44370</v>
      </c>
      <c r="B26" s="41"/>
      <c r="C26" s="39">
        <f t="shared" si="0"/>
        <v>0</v>
      </c>
      <c r="D26" s="41"/>
      <c r="E26" s="39">
        <f t="shared" si="1"/>
        <v>0</v>
      </c>
      <c r="F26" s="41"/>
      <c r="G26" s="39">
        <f t="shared" si="2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50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44371</v>
      </c>
      <c r="B27" s="41"/>
      <c r="C27" s="39">
        <f t="shared" si="0"/>
        <v>0</v>
      </c>
      <c r="D27" s="41"/>
      <c r="E27" s="39">
        <f t="shared" si="1"/>
        <v>0</v>
      </c>
      <c r="F27" s="41"/>
      <c r="G27" s="39">
        <f t="shared" si="2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50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44372</v>
      </c>
      <c r="B28" s="41"/>
      <c r="C28" s="39">
        <f t="shared" si="0"/>
        <v>0</v>
      </c>
      <c r="D28" s="41"/>
      <c r="E28" s="39">
        <f t="shared" si="1"/>
        <v>0</v>
      </c>
      <c r="F28" s="41"/>
      <c r="G28" s="39">
        <f t="shared" si="2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44373</v>
      </c>
      <c r="B29" s="41"/>
      <c r="C29" s="39">
        <f t="shared" si="0"/>
        <v>0</v>
      </c>
      <c r="D29" s="41"/>
      <c r="E29" s="39">
        <f t="shared" si="1"/>
        <v>0</v>
      </c>
      <c r="F29" s="41"/>
      <c r="G29" s="39">
        <f t="shared" si="2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44374</v>
      </c>
      <c r="B30" s="41"/>
      <c r="C30" s="39">
        <f t="shared" si="0"/>
        <v>0</v>
      </c>
      <c r="D30" s="41"/>
      <c r="E30" s="39">
        <f t="shared" si="1"/>
        <v>0</v>
      </c>
      <c r="F30" s="41"/>
      <c r="G30" s="39">
        <f t="shared" si="2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44375</v>
      </c>
      <c r="B31" s="41"/>
      <c r="C31" s="39">
        <f t="shared" si="0"/>
        <v>0</v>
      </c>
      <c r="D31" s="41"/>
      <c r="E31" s="39">
        <f t="shared" si="1"/>
        <v>0</v>
      </c>
      <c r="F31" s="41"/>
      <c r="G31" s="39">
        <f t="shared" si="2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44376</v>
      </c>
      <c r="B32" s="41"/>
      <c r="C32" s="39">
        <f t="shared" si="0"/>
        <v>0</v>
      </c>
      <c r="D32" s="41"/>
      <c r="E32" s="39">
        <f t="shared" si="1"/>
        <v>0</v>
      </c>
      <c r="F32" s="41"/>
      <c r="G32" s="39">
        <f t="shared" si="2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44377</v>
      </c>
      <c r="B33" s="41"/>
      <c r="C33" s="39">
        <f t="shared" si="0"/>
        <v>0</v>
      </c>
      <c r="D33" s="41"/>
      <c r="E33" s="39">
        <f t="shared" si="1"/>
        <v>0</v>
      </c>
      <c r="F33" s="41"/>
      <c r="G33" s="39">
        <f t="shared" si="2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44378</v>
      </c>
      <c r="B34" s="41"/>
      <c r="C34" s="39">
        <f t="shared" si="0"/>
        <v>0</v>
      </c>
      <c r="D34" s="41"/>
      <c r="E34" s="39">
        <f t="shared" si="1"/>
        <v>0</v>
      </c>
      <c r="F34" s="41"/>
      <c r="G34" s="39">
        <f t="shared" si="2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44379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4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5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1120</v>
      </c>
      <c r="O43" s="39">
        <f>N43*0.529</f>
        <v>592.48</v>
      </c>
      <c r="P43" s="42">
        <f>O43*8.7</f>
        <v>5154.576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17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1120</v>
      </c>
      <c r="L47" s="46">
        <f>O43</f>
        <v>592.48</v>
      </c>
      <c r="M47" s="46">
        <f>P43</f>
        <v>5154.576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L48*8.7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44314</v>
      </c>
      <c r="D8" s="352"/>
      <c r="E8" s="113">
        <v>44344</v>
      </c>
      <c r="F8" s="165" t="s">
        <v>97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807</v>
      </c>
      <c r="H12" s="348"/>
      <c r="I12" s="349"/>
      <c r="J12" s="349"/>
    </row>
    <row r="13" spans="1:10">
      <c r="A13" s="350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17830411</v>
      </c>
      <c r="D17" s="66">
        <v>17686099</v>
      </c>
      <c r="E17" s="67">
        <f>MIN(C17-D17)</f>
        <v>144312</v>
      </c>
      <c r="F17" s="67">
        <f>+E17</f>
        <v>144312</v>
      </c>
      <c r="G17" s="338"/>
      <c r="H17" s="339"/>
      <c r="I17" s="338">
        <f>+E17</f>
        <v>144312</v>
      </c>
      <c r="J17" s="339"/>
    </row>
    <row r="18" spans="1:10">
      <c r="A18" s="336" t="s">
        <v>111</v>
      </c>
      <c r="B18" s="337"/>
      <c r="C18" s="66">
        <v>10592993</v>
      </c>
      <c r="D18" s="66">
        <v>10521778</v>
      </c>
      <c r="E18" s="67">
        <f>MIN(C18-D18)</f>
        <v>71215</v>
      </c>
      <c r="F18" s="67">
        <f>+E18</f>
        <v>71215</v>
      </c>
      <c r="G18" s="338"/>
      <c r="H18" s="339"/>
      <c r="I18" s="338">
        <f>+E18</f>
        <v>71215</v>
      </c>
      <c r="J18" s="339"/>
    </row>
    <row r="19" spans="1:10">
      <c r="A19" s="336" t="s">
        <v>112</v>
      </c>
      <c r="B19" s="337"/>
      <c r="C19" s="66">
        <v>7889662</v>
      </c>
      <c r="D19" s="66">
        <v>7832353</v>
      </c>
      <c r="E19" s="67">
        <f>AVERAGE(C19-D19)</f>
        <v>57309</v>
      </c>
      <c r="F19" s="67">
        <f>+E19</f>
        <v>57309</v>
      </c>
      <c r="G19" s="338"/>
      <c r="H19" s="339"/>
      <c r="I19" s="338">
        <f>+E19</f>
        <v>57309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272836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144312</v>
      </c>
      <c r="E25" s="72">
        <v>0.95140000000000002</v>
      </c>
      <c r="F25" s="73">
        <f>PRODUCT(D25*E25)</f>
        <v>137298.4368</v>
      </c>
      <c r="G25" s="152">
        <v>14</v>
      </c>
      <c r="H25" s="65">
        <f>PRODUCT(0.14,F25)</f>
        <v>19221.781152</v>
      </c>
      <c r="I25" s="304">
        <f>SUM(H25,F25)</f>
        <v>156520.21795200001</v>
      </c>
      <c r="J25" s="305"/>
    </row>
    <row r="26" spans="1:10" ht="15">
      <c r="A26" s="301" t="s">
        <v>124</v>
      </c>
      <c r="B26" s="302"/>
      <c r="C26" s="303"/>
      <c r="D26" s="67">
        <f>+E18</f>
        <v>71215</v>
      </c>
      <c r="E26" s="74">
        <v>0.69850000000000001</v>
      </c>
      <c r="F26" s="73">
        <f>PRODUCT(D26*E26)</f>
        <v>49743.677499999998</v>
      </c>
      <c r="G26">
        <v>14</v>
      </c>
      <c r="H26" s="67">
        <f>PRODUCT(0.14,F26)</f>
        <v>6964.1148499999999</v>
      </c>
      <c r="I26" s="304">
        <f t="shared" ref="I26:I31" si="0">SUM(H26,F26)</f>
        <v>56707.792349999996</v>
      </c>
      <c r="J26" s="305"/>
    </row>
    <row r="27" spans="1:10" ht="15">
      <c r="A27" s="301" t="s">
        <v>125</v>
      </c>
      <c r="B27" s="302"/>
      <c r="C27" s="303"/>
      <c r="D27" s="67">
        <f>+E19</f>
        <v>57309</v>
      </c>
      <c r="E27" s="74">
        <v>1.3304</v>
      </c>
      <c r="F27" s="73">
        <f>PRODUCT(D27*E27)</f>
        <v>76243.893599999996</v>
      </c>
      <c r="G27">
        <v>14</v>
      </c>
      <c r="H27" s="67">
        <f>PRODUCT(0.14,F27)</f>
        <v>10674.145104000001</v>
      </c>
      <c r="I27" s="304">
        <f>SUM(H27,F27)</f>
        <v>86918.038703999991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309500.67789999995</v>
      </c>
      <c r="G32" s="85"/>
      <c r="H32" s="86"/>
      <c r="I32" s="313">
        <f>SUM(I25:J31)</f>
        <v>352776.79280599998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abSelected="1" topLeftCell="A6" workbookViewId="0">
      <selection activeCell="D19" sqref="D19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44233</v>
      </c>
      <c r="D8" s="352"/>
      <c r="E8" s="113">
        <v>44261</v>
      </c>
      <c r="F8" s="165" t="s">
        <v>131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712</v>
      </c>
      <c r="H12" s="348"/>
      <c r="I12" s="349"/>
      <c r="J12" s="349"/>
    </row>
    <row r="13" spans="1:10">
      <c r="A13" s="350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17865297</v>
      </c>
      <c r="D17" s="66">
        <v>17858391</v>
      </c>
      <c r="E17" s="67">
        <f>MIN(C17-D17)</f>
        <v>6906</v>
      </c>
      <c r="F17" s="67">
        <f>+E17</f>
        <v>6906</v>
      </c>
      <c r="G17" s="338"/>
      <c r="H17" s="339"/>
      <c r="I17" s="338">
        <f>+E17</f>
        <v>6906</v>
      </c>
      <c r="J17" s="339"/>
    </row>
    <row r="18" spans="1:10">
      <c r="A18" s="336" t="s">
        <v>111</v>
      </c>
      <c r="B18" s="337"/>
      <c r="C18" s="66">
        <v>10611190</v>
      </c>
      <c r="D18" s="66">
        <v>10607534</v>
      </c>
      <c r="E18" s="67">
        <f>MIN(C18-D18)</f>
        <v>3656</v>
      </c>
      <c r="F18" s="67">
        <f>+E18</f>
        <v>3656</v>
      </c>
      <c r="G18" s="338"/>
      <c r="H18" s="339"/>
      <c r="I18" s="338">
        <f>+E18</f>
        <v>3656</v>
      </c>
      <c r="J18" s="339"/>
    </row>
    <row r="19" spans="1:10">
      <c r="A19" s="336" t="s">
        <v>112</v>
      </c>
      <c r="B19" s="337"/>
      <c r="C19" s="66">
        <v>7902855</v>
      </c>
      <c r="D19" s="66">
        <v>7900318</v>
      </c>
      <c r="E19" s="67">
        <f>AVERAGE(C19-D19)</f>
        <v>2537</v>
      </c>
      <c r="F19" s="67">
        <f>+E19</f>
        <v>2537</v>
      </c>
      <c r="G19" s="338"/>
      <c r="H19" s="339"/>
      <c r="I19" s="338">
        <f>+E19</f>
        <v>2537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13099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6906</v>
      </c>
      <c r="E25" s="72">
        <v>0.95140000000000002</v>
      </c>
      <c r="F25" s="73">
        <f>PRODUCT(D25*E25)</f>
        <v>6570.3684000000003</v>
      </c>
      <c r="G25" s="152">
        <v>14</v>
      </c>
      <c r="H25" s="65">
        <f>PRODUCT(0.14,F25)</f>
        <v>919.85157600000014</v>
      </c>
      <c r="I25" s="304">
        <f>SUM(H25,F25)</f>
        <v>7490.2199760000003</v>
      </c>
      <c r="J25" s="305"/>
    </row>
    <row r="26" spans="1:10" ht="15">
      <c r="A26" s="301" t="s">
        <v>124</v>
      </c>
      <c r="B26" s="302"/>
      <c r="C26" s="303"/>
      <c r="D26" s="67">
        <f>+E18</f>
        <v>3656</v>
      </c>
      <c r="E26" s="74">
        <v>0.69850000000000001</v>
      </c>
      <c r="F26" s="73">
        <f>PRODUCT(D26*E26)</f>
        <v>2553.7159999999999</v>
      </c>
      <c r="G26">
        <v>14</v>
      </c>
      <c r="H26" s="67">
        <f>PRODUCT(0.14,F26)</f>
        <v>357.52024</v>
      </c>
      <c r="I26" s="304">
        <f t="shared" ref="I26:I31" si="0">SUM(H26,F26)</f>
        <v>2911.2362399999997</v>
      </c>
      <c r="J26" s="305"/>
    </row>
    <row r="27" spans="1:10" ht="15">
      <c r="A27" s="301" t="s">
        <v>125</v>
      </c>
      <c r="B27" s="302"/>
      <c r="C27" s="303"/>
      <c r="D27" s="67">
        <f>+E19</f>
        <v>2537</v>
      </c>
      <c r="E27" s="74">
        <v>1.3304</v>
      </c>
      <c r="F27" s="73">
        <f>PRODUCT(D27*E27)</f>
        <v>3375.2248</v>
      </c>
      <c r="G27">
        <v>14</v>
      </c>
      <c r="H27" s="67">
        <f>PRODUCT(0.14,F27)</f>
        <v>472.53147200000006</v>
      </c>
      <c r="I27" s="304">
        <f>SUM(H27,F27)</f>
        <v>3847.7562720000001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58713.979200000002</v>
      </c>
      <c r="G32" s="85"/>
      <c r="H32" s="86"/>
      <c r="I32" s="313">
        <f>SUM(I25:J31)</f>
        <v>66879.956288000001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132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6"/>
      <c r="B8" s="95" t="s">
        <v>137</v>
      </c>
      <c r="C8" s="96">
        <v>108477.2</v>
      </c>
      <c r="D8" s="97">
        <v>43952</v>
      </c>
      <c r="E8" s="96">
        <v>111004.4</v>
      </c>
      <c r="F8" s="97">
        <v>44348</v>
      </c>
      <c r="G8" s="98">
        <f>E8-C8</f>
        <v>2527.1999999999971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2527.1999999999971</v>
      </c>
      <c r="C13" s="396"/>
      <c r="D13" s="396">
        <v>8.7899999999999991</v>
      </c>
      <c r="E13" s="396"/>
      <c r="F13" s="400">
        <f>PRODUCT(D13,B13)</f>
        <v>22214.087999999971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2527.1999999999971</v>
      </c>
      <c r="C19" s="396"/>
      <c r="D19" s="396">
        <v>2.61</v>
      </c>
      <c r="E19" s="396"/>
      <c r="F19" s="396">
        <f>PRODUCT(D19,B19)</f>
        <v>6595.991999999992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28833.079999999962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2018.3155999999974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2226.5755999999974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31059.655599999958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132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6"/>
      <c r="B8" s="95" t="s">
        <v>137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89.69999999999709</v>
      </c>
      <c r="C13" s="396"/>
      <c r="D13" s="396">
        <v>8.5</v>
      </c>
      <c r="E13" s="396"/>
      <c r="F13" s="400">
        <f>PRODUCT(D13,B13)</f>
        <v>762.44999999997526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6"/>
    </row>
    <row r="20" spans="1:8" ht="15">
      <c r="A20" s="103" t="s">
        <v>153</v>
      </c>
      <c r="B20" s="396">
        <f>G8</f>
        <v>89.69999999999709</v>
      </c>
      <c r="C20" s="396"/>
      <c r="D20" s="396">
        <v>2.54</v>
      </c>
      <c r="E20" s="396"/>
      <c r="F20" s="396">
        <f>PRODUCT(D20,B20)</f>
        <v>227.8379999999926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1013.2879999999678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70.930159999997755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279.19015999999772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1292.4781599999656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154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6"/>
      <c r="B8" s="95" t="s">
        <v>137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6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180</v>
      </c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5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182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184</v>
      </c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5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2021-06-03T10:56:00Z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