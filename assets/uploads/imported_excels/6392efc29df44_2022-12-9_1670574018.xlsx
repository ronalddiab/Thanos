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xr:revisionPtr revIDLastSave="51" documentId="11_202944C65232C2B1AE055D13576915CCE801E0D2" xr6:coauthVersionLast="47" xr6:coauthVersionMax="47" xr10:uidLastSave="{23E58A1E-323E-4630-B483-EB69357DC29D}"/>
  <bookViews>
    <workbookView xWindow="1350" yWindow="165" windowWidth="12915" windowHeight="11835" tabRatio="579" firstSheet="9" activeTab="2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4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" l="1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4" i="3"/>
  <c r="B5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6" i="1"/>
  <c r="B7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D6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P5" i="2"/>
  <c r="P6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J5" i="2"/>
  <c r="J6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V7" i="5"/>
  <c r="AV8" i="5" s="1"/>
  <c r="AV9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2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D5" i="1" l="1"/>
  <c r="C6" i="1"/>
  <c r="C7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Z6" i="7"/>
  <c r="C24" i="3"/>
  <c r="B25" i="3"/>
  <c r="B26" i="3" l="1"/>
  <c r="C25" i="3"/>
  <c r="A24" i="1"/>
  <c r="D14" i="73"/>
  <c r="D13" i="73"/>
  <c r="D12" i="73"/>
  <c r="D11" i="73"/>
  <c r="C26" i="3" l="1"/>
  <c r="B27" i="3"/>
  <c r="C27" i="3" l="1"/>
  <c r="B28" i="3"/>
  <c r="B29" i="3" s="1"/>
  <c r="B30" i="3" s="1"/>
  <c r="B31" i="3" s="1"/>
  <c r="B32" i="3" s="1"/>
  <c r="B33" i="3" s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3" i="1" s="1"/>
  <c r="P34" i="1" s="1"/>
  <c r="P35" i="1" s="1"/>
  <c r="Q6" i="1"/>
  <c r="Q7" i="1" s="1"/>
  <c r="Q8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Q24" i="1" l="1"/>
  <c r="Q25" i="1" s="1"/>
  <c r="Q26" i="1" s="1"/>
  <c r="Q27" i="1" s="1"/>
  <c r="Q28" i="1" s="1"/>
  <c r="Q29" i="1" s="1"/>
  <c r="Q30" i="1" s="1"/>
  <c r="Q31" i="1" s="1"/>
  <c r="Q33" i="1" s="1"/>
  <c r="Q34" i="1" s="1"/>
  <c r="Q35" i="1" s="1"/>
  <c r="I30" i="1"/>
  <c r="E29" i="2"/>
  <c r="E30" i="2"/>
  <c r="C29" i="3" l="1"/>
  <c r="C28" i="3"/>
  <c r="AM18" i="5"/>
  <c r="C30" i="3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C25" i="76" l="1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4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14" i="7" l="1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H31" i="63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S11" i="76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AA32" i="3" s="1"/>
  <c r="AC32" i="3" s="1"/>
  <c r="AH32" i="3" s="1"/>
  <c r="E33" i="3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<sst xmlns="http://schemas.openxmlformats.org/spreadsheetml/2006/main" count="666" uniqueCount="418">
  <si>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</si>
  <si>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</si>
  <si>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</si>
  <si>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</si>
  <si>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</si>
  <si>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</si>
  <si>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</si>
  <si>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</si>
  <si>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</si>
  <si>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</si>
  <si>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</si>
  <si>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</si>
  <si>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</si>
  <si>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</si>
  <si>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</si>
  <si>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</si>
  <si>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</si>
  <si>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</si>
  <si>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</si>
  <si>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</si>
  <si>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</si>
  <si>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</si>
  <si>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</si>
  <si>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</si>
  <si>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</si>
  <si>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</si>
  <si>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</si>
  <si>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</si>
  <si>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</si>
  <si>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</si>
  <si>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</si>
  <si>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</si>
  <si>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</si>
  <si>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</si>
  <si>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</si>
  <si>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</si>
  <si>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</si>
  <si>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</si>
  <si>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</si>
  <si>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</si>
  <si>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</si>
  <si>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</si>
  <si>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</si>
  <si>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</si>
  <si>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</si>
  <si>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</si>
  <si>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</si>
  <si>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</si>
  <si>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</si>
  <si>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</si>
  <si>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</si>
  <si>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</si>
  <si>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</si>
  <si>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</si>
  <si>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</si>
  <si>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</si>
  <si>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</si>
  <si>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</si>
  <si>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</si>
  <si>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</si>
  <si>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</si>
  <si>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</si>
  <si>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</si>
  <si>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</si>
  <si>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</si>
  <si>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</si>
  <si>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</si>
  <si>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</si>
  <si>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</si>
  <si>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</si>
  <si>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</si>
  <si>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</si>
  <si>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</si>
  <si>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</si>
  <si>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</si>
  <si>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</si>
  <si>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</si>
  <si>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</si>
  <si>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</si>
  <si>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</si>
  <si>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</si>
  <si>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</si>
  <si>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</si>
  <si>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</si>
  <si>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</si>
  <si>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</si>
  <si>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</si>
  <si>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</si>
  <si>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</si>
  <si>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</si>
  <si>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</si>
  <si>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</si>
  <si>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</si>
  <si>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</si>
  <si>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</si>
  <si>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</si>
  <si>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</si>
  <si>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</si>
  <si>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>Tank 1</t>
  </si>
  <si>
    <t>Tank 2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</si>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</sst>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" Target="richData/rdrichvalue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2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3160"/>
        <c:axId val="444542376"/>
      </c:lineChart>
      <c:catAx>
        <c:axId val="444543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2376"/>
        <c:crosses val="autoZero"/>
        <c:auto val="1"/>
        <c:lblAlgn val="ctr"/>
        <c:lblOffset val="100"/>
        <c:noMultiLvlLbl val="0"/>
      </c:catAx>
      <c:valAx>
        <c:axId val="444542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3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1592"/>
        <c:axId val="444544336"/>
      </c:lineChart>
      <c:catAx>
        <c:axId val="444541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4336"/>
        <c:crosses val="autoZero"/>
        <c:auto val="1"/>
        <c:lblAlgn val="ctr"/>
        <c:lblOffset val="100"/>
        <c:noMultiLvlLbl val="0"/>
      </c:catAx>
      <c:valAx>
        <c:axId val="44454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1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0024"/>
        <c:axId val="444546296"/>
      </c:lineChart>
      <c:catAx>
        <c:axId val="444540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6296"/>
        <c:crosses val="autoZero"/>
        <c:auto val="1"/>
        <c:lblAlgn val="ctr"/>
        <c:lblOffset val="100"/>
        <c:noMultiLvlLbl val="0"/>
      </c:catAx>
      <c:valAx>
        <c:axId val="4445462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0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0808"/>
        <c:axId val="444545120"/>
      </c:lineChart>
      <c:catAx>
        <c:axId val="444540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5120"/>
        <c:crosses val="autoZero"/>
        <c:auto val="1"/>
        <c:lblAlgn val="ctr"/>
        <c:lblOffset val="100"/>
        <c:noMultiLvlLbl val="0"/>
      </c:catAx>
      <c:valAx>
        <c:axId val="4445451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0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5376"/>
        <c:axId val="446927728"/>
      </c:lineChart>
      <c:catAx>
        <c:axId val="4469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7728"/>
        <c:crosses val="autoZero"/>
        <c:auto val="1"/>
        <c:lblAlgn val="ctr"/>
        <c:lblOffset val="100"/>
        <c:noMultiLvlLbl val="0"/>
      </c:catAx>
      <c:valAx>
        <c:axId val="446927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4200"/>
        <c:axId val="446924592"/>
      </c:lineChart>
      <c:catAx>
        <c:axId val="44692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592"/>
        <c:crosses val="autoZero"/>
        <c:auto val="1"/>
        <c:lblAlgn val="ctr"/>
        <c:lblOffset val="100"/>
        <c:noMultiLvlLbl val="0"/>
      </c:catAx>
      <c:valAx>
        <c:axId val="44692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7336"/>
        <c:axId val="446924984"/>
      </c:lineChart>
      <c:catAx>
        <c:axId val="44692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984"/>
        <c:crosses val="autoZero"/>
        <c:auto val="1"/>
        <c:lblAlgn val="ctr"/>
        <c:lblOffset val="100"/>
        <c:noMultiLvlLbl val="0"/>
      </c:catAx>
      <c:valAx>
        <c:axId val="446924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7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1456"/>
        <c:axId val="446922632"/>
      </c:lineChart>
      <c:catAx>
        <c:axId val="44692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2632"/>
        <c:crosses val="autoZero"/>
        <c:auto val="1"/>
        <c:lblAlgn val="ctr"/>
        <c:lblOffset val="100"/>
        <c:noMultiLvlLbl val="0"/>
      </c:catAx>
      <c:valAx>
        <c:axId val="446922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1848"/>
        <c:axId val="446925768"/>
      </c:lineChart>
      <c:catAx>
        <c:axId val="446921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5768"/>
        <c:crosses val="autoZero"/>
        <c:auto val="1"/>
        <c:lblAlgn val="ctr"/>
        <c:lblOffset val="100"/>
        <c:noMultiLvlLbl val="0"/>
      </c:catAx>
      <c:valAx>
        <c:axId val="446925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1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6552"/>
        <c:axId val="446926944"/>
      </c:lineChart>
      <c:catAx>
        <c:axId val="44692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6944"/>
        <c:crosses val="autoZero"/>
        <c:auto val="1"/>
        <c:lblAlgn val="ctr"/>
        <c:lblOffset val="100"/>
        <c:noMultiLvlLbl val="0"/>
      </c:catAx>
      <c:valAx>
        <c:axId val="44692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6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3024"/>
        <c:axId val="446923416"/>
      </c:lineChart>
      <c:catAx>
        <c:axId val="44692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3416"/>
        <c:crosses val="autoZero"/>
        <c:auto val="1"/>
        <c:lblAlgn val="ctr"/>
        <c:lblOffset val="100"/>
        <c:noMultiLvlLbl val="0"/>
      </c:catAx>
      <c:valAx>
        <c:axId val="4469234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1984"/>
        <c:axId val="444543552"/>
      </c:lineChart>
      <c:catAx>
        <c:axId val="44454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3552"/>
        <c:crosses val="autoZero"/>
        <c:auto val="1"/>
        <c:lblAlgn val="ctr"/>
        <c:lblOffset val="100"/>
        <c:noMultiLvlLbl val="0"/>
      </c:catAx>
      <c:valAx>
        <c:axId val="444543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8112"/>
        <c:axId val="446659680"/>
      </c:lineChart>
      <c:catAx>
        <c:axId val="4466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9680"/>
        <c:crosses val="autoZero"/>
        <c:auto val="1"/>
        <c:lblAlgn val="ctr"/>
        <c:lblOffset val="100"/>
        <c:noMultiLvlLbl val="0"/>
      </c:catAx>
      <c:valAx>
        <c:axId val="44665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8896"/>
        <c:axId val="446659288"/>
      </c:lineChart>
      <c:catAx>
        <c:axId val="44665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9288"/>
        <c:crosses val="autoZero"/>
        <c:auto val="1"/>
        <c:lblAlgn val="ctr"/>
        <c:lblOffset val="100"/>
        <c:noMultiLvlLbl val="0"/>
      </c:catAx>
      <c:valAx>
        <c:axId val="446659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7328"/>
        <c:axId val="446656936"/>
      </c:lineChart>
      <c:catAx>
        <c:axId val="44665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936"/>
        <c:crosses val="autoZero"/>
        <c:auto val="1"/>
        <c:lblAlgn val="ctr"/>
        <c:lblOffset val="100"/>
        <c:noMultiLvlLbl val="0"/>
      </c:catAx>
      <c:valAx>
        <c:axId val="4466569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6544"/>
        <c:axId val="446660464"/>
      </c:lineChart>
      <c:catAx>
        <c:axId val="44665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60464"/>
        <c:crosses val="autoZero"/>
        <c:auto val="1"/>
        <c:lblAlgn val="ctr"/>
        <c:lblOffset val="100"/>
        <c:noMultiLvlLbl val="0"/>
      </c:catAx>
      <c:valAx>
        <c:axId val="44666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3800"/>
        <c:axId val="446654192"/>
      </c:lineChart>
      <c:catAx>
        <c:axId val="446653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4192"/>
        <c:crosses val="autoZero"/>
        <c:auto val="1"/>
        <c:lblAlgn val="ctr"/>
        <c:lblOffset val="100"/>
        <c:noMultiLvlLbl val="0"/>
      </c:catAx>
      <c:valAx>
        <c:axId val="4466541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3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-921.03225806451519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4976"/>
        <c:axId val="446655368"/>
      </c:lineChart>
      <c:catAx>
        <c:axId val="44665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5368"/>
        <c:crosses val="autoZero"/>
        <c:auto val="1"/>
        <c:lblAlgn val="ctr"/>
        <c:lblOffset val="100"/>
        <c:noMultiLvlLbl val="0"/>
      </c:catAx>
      <c:valAx>
        <c:axId val="446655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6152"/>
        <c:axId val="448276448"/>
      </c:lineChart>
      <c:catAx>
        <c:axId val="446656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448"/>
        <c:crosses val="autoZero"/>
        <c:auto val="1"/>
        <c:lblAlgn val="ctr"/>
        <c:lblOffset val="100"/>
        <c:noMultiLvlLbl val="0"/>
      </c:catAx>
      <c:valAx>
        <c:axId val="44827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81544"/>
        <c:axId val="448279584"/>
      </c:lineChart>
      <c:catAx>
        <c:axId val="448281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9584"/>
        <c:crosses val="autoZero"/>
        <c:auto val="1"/>
        <c:lblAlgn val="ctr"/>
        <c:lblOffset val="100"/>
        <c:noMultiLvlLbl val="0"/>
      </c:catAx>
      <c:valAx>
        <c:axId val="448279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1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4488"/>
        <c:axId val="448280368"/>
      </c:lineChart>
      <c:catAx>
        <c:axId val="44827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0368"/>
        <c:crosses val="autoZero"/>
        <c:auto val="1"/>
        <c:lblAlgn val="ctr"/>
        <c:lblOffset val="100"/>
        <c:noMultiLvlLbl val="0"/>
      </c:catAx>
      <c:valAx>
        <c:axId val="448280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4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81936"/>
        <c:axId val="448279192"/>
      </c:lineChart>
      <c:catAx>
        <c:axId val="44828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9192"/>
        <c:crosses val="autoZero"/>
        <c:auto val="1"/>
        <c:lblAlgn val="ctr"/>
        <c:lblOffset val="100"/>
        <c:noMultiLvlLbl val="0"/>
      </c:catAx>
      <c:valAx>
        <c:axId val="448279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7624"/>
        <c:axId val="448276840"/>
      </c:lineChart>
      <c:catAx>
        <c:axId val="448277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840"/>
        <c:crosses val="autoZero"/>
        <c:auto val="1"/>
        <c:lblAlgn val="ctr"/>
        <c:lblOffset val="100"/>
        <c:noMultiLvlLbl val="0"/>
      </c:catAx>
      <c:valAx>
        <c:axId val="448276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7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4880"/>
        <c:axId val="448275272"/>
      </c:lineChart>
      <c:catAx>
        <c:axId val="4482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5272"/>
        <c:crosses val="autoZero"/>
        <c:auto val="1"/>
        <c:lblAlgn val="ctr"/>
        <c:lblOffset val="100"/>
        <c:noMultiLvlLbl val="0"/>
      </c:catAx>
      <c:valAx>
        <c:axId val="448275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6056"/>
        <c:axId val="448278016"/>
      </c:lineChart>
      <c:catAx>
        <c:axId val="448276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8016"/>
        <c:crosses val="autoZero"/>
        <c:auto val="1"/>
        <c:lblAlgn val="ctr"/>
        <c:lblOffset val="100"/>
        <c:noMultiLvlLbl val="0"/>
      </c:catAx>
      <c:valAx>
        <c:axId val="44827801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14696"/>
        <c:axId val="448615088"/>
      </c:lineChart>
      <c:catAx>
        <c:axId val="448614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5088"/>
        <c:crosses val="autoZero"/>
        <c:auto val="1"/>
        <c:lblAlgn val="ctr"/>
        <c:lblOffset val="100"/>
        <c:noMultiLvlLbl val="0"/>
      </c:catAx>
      <c:valAx>
        <c:axId val="448615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4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15480"/>
        <c:axId val="448613128"/>
      </c:lineChart>
      <c:catAx>
        <c:axId val="448615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3128"/>
        <c:crosses val="autoZero"/>
        <c:auto val="1"/>
        <c:lblAlgn val="ctr"/>
        <c:lblOffset val="100"/>
        <c:noMultiLvlLbl val="0"/>
      </c:catAx>
      <c:valAx>
        <c:axId val="448613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5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20184"/>
        <c:axId val="448616656"/>
      </c:lineChart>
      <c:catAx>
        <c:axId val="448620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6656"/>
        <c:crosses val="autoZero"/>
        <c:auto val="1"/>
        <c:lblAlgn val="ctr"/>
        <c:lblOffset val="100"/>
        <c:noMultiLvlLbl val="0"/>
      </c:catAx>
      <c:valAx>
        <c:axId val="44861665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20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/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/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5.475876850745947E-2</v>
      </c>
      <c r="G2" s="192">
        <f>-tanks!AW6</f>
        <v>154</v>
      </c>
      <c r="H2" s="282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282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282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5.1982215772527846E-2</v>
      </c>
      <c r="G5" s="192">
        <f>-tanks!AW9</f>
        <v>152</v>
      </c>
      <c r="H5" s="282">
        <f>tanks!AV9</f>
        <v>0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6.2876944992115325E-2</v>
      </c>
      <c r="G6" s="192">
        <f>-tanks!AW10</f>
        <v>193</v>
      </c>
      <c r="H6" s="282">
        <f>tanks!AV10</f>
        <v>0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5.1860314429007674E-2</v>
      </c>
      <c r="G7" s="192">
        <f>-tanks!AW11</f>
        <v>116</v>
      </c>
      <c r="H7" s="282">
        <f>tanks!AV11</f>
        <v>0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7.1668073412309213E-2</v>
      </c>
      <c r="G8" s="192">
        <f>-tanks!AW12</f>
        <v>68</v>
      </c>
      <c r="H8" s="282">
        <f>tanks!AV12</f>
        <v>0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5.8022128399770584E-2</v>
      </c>
      <c r="G9" s="192">
        <f>-tanks!AW13</f>
        <v>176</v>
      </c>
      <c r="H9" s="282">
        <f>tanks!AV13</f>
        <v>0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282">
        <f>tanks!AV14</f>
        <v>0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282">
        <f>tanks!AV15</f>
        <v>0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0</v>
      </c>
      <c r="F12" s="282">
        <f>SUM('EDl log'!T14)</f>
        <v>0</v>
      </c>
      <c r="G12" s="192">
        <f>-tanks!AW16</f>
        <v>0</v>
      </c>
      <c r="H12" s="282">
        <f>tanks!AV16</f>
        <v>0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0</v>
      </c>
      <c r="F13" s="282">
        <f>SUM('EDl log'!T15)</f>
        <v>0</v>
      </c>
      <c r="G13" s="192">
        <f>-tanks!AW17</f>
        <v>0</v>
      </c>
      <c r="H13" s="282">
        <f>tanks!AV17</f>
        <v>0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282">
        <f>tanks!AV18</f>
        <v>0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282">
        <f>tanks!AV19</f>
        <v>0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0</v>
      </c>
      <c r="F16" s="282">
        <f>SUM('EDl log'!T18)</f>
        <v>0</v>
      </c>
      <c r="G16" s="192">
        <f>-tanks!AW20</f>
        <v>0</v>
      </c>
      <c r="H16" s="282">
        <f>tanks!AV20</f>
        <v>0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282">
        <f>tanks!AV21</f>
        <v>0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282">
        <f>tanks!AV22</f>
        <v>0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0</v>
      </c>
      <c r="F19" s="282">
        <f>SUM('EDl log'!T21)</f>
        <v>0</v>
      </c>
      <c r="G19" s="192">
        <f>-tanks!AW23</f>
        <v>0</v>
      </c>
      <c r="H19" s="282">
        <f>tanks!AV23</f>
        <v>0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0</v>
      </c>
      <c r="F20" s="282">
        <f>SUM('EDl log'!T22)</f>
        <v>0</v>
      </c>
      <c r="G20" s="192">
        <f>-tanks!AW24</f>
        <v>0</v>
      </c>
      <c r="H20" s="282">
        <f>tanks!AV24</f>
        <v>0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282">
        <f>tanks!AV25</f>
        <v>0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282">
        <f>tanks!AV26</f>
        <v>0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0</v>
      </c>
      <c r="F23" s="282">
        <f>SUM('EDl log'!T25)</f>
        <v>0</v>
      </c>
      <c r="G23" s="192">
        <f>-tanks!AW27</f>
        <v>0</v>
      </c>
      <c r="H23" s="282">
        <f>tanks!AV27</f>
        <v>0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282">
        <f>tanks!AV28</f>
        <v>0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282">
        <f>tanks!AV29</f>
        <v>0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282">
        <f>tanks!AV30</f>
        <v>0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282">
        <f>tanks!AV31</f>
        <v>0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282">
        <f>tanks!AV32</f>
        <v>0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-366</v>
      </c>
      <c r="H29" s="282">
        <f>tanks!AV33</f>
        <v>0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282">
        <f>tanks!AV34</f>
        <v>0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282">
        <f>tanks!AV35</f>
        <v>0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282">
        <f>tanks!AV36</f>
        <v>0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0</v>
      </c>
      <c r="F12" s="192">
        <f>ELEC!K14</f>
        <v>0</v>
      </c>
      <c r="G12" s="192">
        <f>ELEC!I14</f>
        <v>0</v>
      </c>
      <c r="H12" s="192">
        <f>ELEC!E14</f>
        <v>0</v>
      </c>
      <c r="I12" s="192">
        <f>ELEC!G14</f>
        <v>0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0</v>
      </c>
      <c r="F13" s="192">
        <f>ELEC!K15</f>
        <v>0</v>
      </c>
      <c r="G13" s="192">
        <f>ELEC!I15</f>
        <v>0</v>
      </c>
      <c r="H13" s="192">
        <f>ELEC!E15</f>
        <v>0</v>
      </c>
      <c r="I13" s="192">
        <f>ELEC!G15</f>
        <v>0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0</v>
      </c>
      <c r="F16" s="192">
        <f>ELEC!K18</f>
        <v>0</v>
      </c>
      <c r="G16" s="192">
        <f>ELEC!I18</f>
        <v>0</v>
      </c>
      <c r="H16" s="192">
        <f>ELEC!E18</f>
        <v>0</v>
      </c>
      <c r="I16" s="192">
        <f>ELEC!G18</f>
        <v>0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0</v>
      </c>
      <c r="F20" s="192">
        <f>ELEC!K22</f>
        <v>0</v>
      </c>
      <c r="G20" s="192">
        <f>ELEC!I22</f>
        <v>0</v>
      </c>
      <c r="H20" s="192">
        <f>ELEC!E22</f>
        <v>0</v>
      </c>
      <c r="I20" s="192">
        <f>ELEC!G22</f>
        <v>0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0</v>
      </c>
      <c r="F23" s="192">
        <f>ELEC!K25</f>
        <v>0</v>
      </c>
      <c r="G23" s="192">
        <f>ELEC!I25</f>
        <v>0</v>
      </c>
      <c r="H23" s="192">
        <f>ELEC!E25</f>
        <v>0</v>
      </c>
      <c r="I23" s="192">
        <f>ELEC!G25</f>
        <v>0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tabSelected="1" zoomScale="60" zoomScaleNormal="60" zoomScaleSheetLayoutView="100" workbookViewId="0">
      <pane ySplit="2" topLeftCell="A3" activePane="bottomLeft" state="frozen"/>
      <selection pane="bottomLeft" activeCell="I11" sqref="I11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2.42578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f>[2]ELEC!$C$33</f>
        <v>44895</v>
      </c>
      <c r="D3" s="380">
        <f>[2]ELEC!D33</f>
        <v>408650</v>
      </c>
      <c r="E3" s="380">
        <f>[2]ELEC!E33</f>
        <v>720</v>
      </c>
      <c r="F3" s="380">
        <f>[2]ELEC!F33</f>
        <v>4184058</v>
      </c>
      <c r="G3" s="380">
        <f>[2]ELEC!G33</f>
        <v>440</v>
      </c>
      <c r="H3" s="380">
        <f>[2]ELEC!H33</f>
        <v>18098788</v>
      </c>
      <c r="I3" s="380">
        <f>[2]ELEC!I33</f>
        <v>458</v>
      </c>
      <c r="J3" s="380">
        <f>[2]ELEC!J33</f>
        <v>29882776</v>
      </c>
      <c r="K3" s="380">
        <f>[2]ELEC!K33</f>
        <v>1214</v>
      </c>
      <c r="L3" s="380">
        <f>[2]ELEC!L33</f>
        <v>24703062</v>
      </c>
      <c r="M3" s="380">
        <f>[2]ELEC!M33</f>
        <v>740</v>
      </c>
      <c r="N3" s="380">
        <f>[2]ELEC!N33</f>
        <v>3572</v>
      </c>
      <c r="O3" s="380">
        <f>[2]ELEC!O33</f>
        <v>0</v>
      </c>
      <c r="P3" s="380">
        <f>[2]ELEC!P33</f>
        <v>19655.449000000001</v>
      </c>
      <c r="Q3" s="380">
        <f>[2]ELEC!Q33</f>
        <v>3586.9999999995343</v>
      </c>
      <c r="R3" s="380">
        <f>[2]ELEC!R33</f>
        <v>-14.999999999534339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f>[2]ELEC!W33</f>
        <v>33498</v>
      </c>
      <c r="X3" s="380">
        <f>[2]ELEC!X33</f>
        <v>0</v>
      </c>
      <c r="Y3" s="380">
        <f>[2]ELEC!Y33</f>
        <v>999659</v>
      </c>
      <c r="Z3" s="380">
        <f>[2]ELEC!Z33</f>
        <v>0</v>
      </c>
      <c r="AA3" s="380">
        <f>[2]ELEC!AA33</f>
        <v>36803</v>
      </c>
      <c r="AB3" s="380">
        <f>[2]ELEC!AB33</f>
        <v>0</v>
      </c>
      <c r="AC3" s="380">
        <f>[2]ELEC!AC33</f>
        <v>1172182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382">
        <f>N5-Q5</f>
        <v>0</v>
      </c>
      <c r="S5" s="380">
        <f t="shared" ref="S5:S34" si="14">S4</f>
        <v>10175</v>
      </c>
      <c r="T5" s="400">
        <f t="shared" si="2"/>
        <v>0</v>
      </c>
      <c r="U5" s="380">
        <f t="shared" ref="U5:U34" si="15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6">AA4</f>
        <v>36803</v>
      </c>
      <c r="AB5" s="401">
        <f>AA5-AA4</f>
        <v>0</v>
      </c>
      <c r="AC5" s="380">
        <f t="shared" ref="AC5:AC34" si="17">AC4</f>
        <v>1172182</v>
      </c>
      <c r="AD5" s="402">
        <f>AC5-AC4</f>
        <v>0</v>
      </c>
      <c r="AE5" s="403">
        <f t="shared" ref="AE5:AE31" si="18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19">D6-D5</f>
        <v>0</v>
      </c>
      <c r="F6" s="380">
        <f t="shared" si="9"/>
        <v>4184347</v>
      </c>
      <c r="G6" s="402">
        <f t="shared" ref="G6:G7" si="20">F6-F5</f>
        <v>0</v>
      </c>
      <c r="H6" s="380">
        <f t="shared" si="10"/>
        <v>18099218</v>
      </c>
      <c r="I6" s="402">
        <f t="shared" ref="I6:I7" si="21">H6-H5</f>
        <v>0</v>
      </c>
      <c r="J6" s="380">
        <f t="shared" si="11"/>
        <v>29883598</v>
      </c>
      <c r="K6" s="402">
        <f t="shared" ref="K6:K7" si="22">J6-J5</f>
        <v>0</v>
      </c>
      <c r="L6" s="380">
        <f t="shared" si="12"/>
        <v>24703738</v>
      </c>
      <c r="M6" s="402">
        <f t="shared" ref="M6:M7" si="23">L6-L5</f>
        <v>0</v>
      </c>
      <c r="N6" s="266">
        <f t="shared" ref="N6:N7" si="24">M6+K6+I6+G6+E6</f>
        <v>0</v>
      </c>
      <c r="O6" s="399">
        <f t="shared" ref="O6:O7" si="25">IF(B6&gt;0,N6/B6,0)</f>
        <v>0</v>
      </c>
      <c r="P6" s="526">
        <f t="shared" si="13"/>
        <v>19658.162</v>
      </c>
      <c r="Q6" s="382">
        <f t="shared" ref="Q6:Q7" si="26">(P6-P5)*1000</f>
        <v>0</v>
      </c>
      <c r="R6" s="382">
        <f>N6-Q6</f>
        <v>0</v>
      </c>
      <c r="S6" s="380">
        <f t="shared" si="14"/>
        <v>10175</v>
      </c>
      <c r="T6" s="400">
        <f t="shared" si="2"/>
        <v>0</v>
      </c>
      <c r="U6" s="380">
        <f t="shared" si="15"/>
        <v>429166</v>
      </c>
      <c r="V6" s="382">
        <f t="shared" ref="V6:V30" si="27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6"/>
        <v>36803</v>
      </c>
      <c r="AB6" s="382">
        <f t="shared" ref="AB6:AB31" si="28">AA6-AA5</f>
        <v>0</v>
      </c>
      <c r="AC6" s="380">
        <f t="shared" si="17"/>
        <v>1172182</v>
      </c>
      <c r="AD6" s="382">
        <f t="shared" ref="AD6:AD17" si="29">AC6-AC5</f>
        <v>0</v>
      </c>
      <c r="AE6" s="403">
        <f t="shared" si="18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19"/>
        <v>560</v>
      </c>
      <c r="F7" s="380">
        <v>4184685</v>
      </c>
      <c r="G7" s="402">
        <f t="shared" si="20"/>
        <v>338</v>
      </c>
      <c r="H7" s="380">
        <v>18099634</v>
      </c>
      <c r="I7" s="402">
        <f t="shared" si="21"/>
        <v>416</v>
      </c>
      <c r="J7" s="380">
        <v>29884638</v>
      </c>
      <c r="K7" s="402">
        <f t="shared" si="22"/>
        <v>1040</v>
      </c>
      <c r="L7" s="380">
        <v>24704362</v>
      </c>
      <c r="M7" s="402">
        <f t="shared" si="23"/>
        <v>624</v>
      </c>
      <c r="N7" s="266">
        <f t="shared" si="24"/>
        <v>2978</v>
      </c>
      <c r="O7" s="399">
        <f t="shared" si="25"/>
        <v>0</v>
      </c>
      <c r="P7" s="526">
        <v>19661.249</v>
      </c>
      <c r="Q7" s="382">
        <f t="shared" si="26"/>
        <v>3086.9999999995343</v>
      </c>
      <c r="R7" s="382">
        <f t="shared" ref="R7:R18" si="30">N7-Q7</f>
        <v>-108.99999999953434</v>
      </c>
      <c r="S7" s="380">
        <f t="shared" si="14"/>
        <v>10175</v>
      </c>
      <c r="T7" s="400">
        <f t="shared" si="2"/>
        <v>0</v>
      </c>
      <c r="U7" s="380">
        <f t="shared" si="15"/>
        <v>429166</v>
      </c>
      <c r="V7" s="382">
        <f t="shared" si="27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6"/>
        <v>36803</v>
      </c>
      <c r="AB7" s="382">
        <f t="shared" si="28"/>
        <v>0</v>
      </c>
      <c r="AC7" s="380">
        <f t="shared" si="17"/>
        <v>1172182</v>
      </c>
      <c r="AD7" s="382">
        <f t="shared" si="29"/>
        <v>0</v>
      </c>
      <c r="AE7" s="403">
        <f t="shared" si="18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 t="shared" ref="N8:N31" si="36"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382">
        <f t="shared" si="30"/>
        <v>-9.00000000136788</v>
      </c>
      <c r="S8" s="380">
        <f t="shared" si="14"/>
        <v>10175</v>
      </c>
      <c r="T8" s="400">
        <f t="shared" si="2"/>
        <v>0</v>
      </c>
      <c r="U8" s="380">
        <f t="shared" si="15"/>
        <v>429166</v>
      </c>
      <c r="V8" s="382">
        <f t="shared" si="27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8"/>
        <v>1</v>
      </c>
      <c r="AC8" s="380">
        <v>1173391</v>
      </c>
      <c r="AD8" s="382">
        <f t="shared" si="29"/>
        <v>1209</v>
      </c>
      <c r="AE8" s="403">
        <f t="shared" si="18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si="36"/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382">
        <f t="shared" si="30"/>
        <v>-61.999999998661224</v>
      </c>
      <c r="S9" s="380">
        <f t="shared" si="14"/>
        <v>10175</v>
      </c>
      <c r="T9" s="400">
        <f t="shared" si="2"/>
        <v>0</v>
      </c>
      <c r="U9" s="380">
        <f t="shared" si="15"/>
        <v>429166</v>
      </c>
      <c r="V9" s="382">
        <f t="shared" si="27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6"/>
        <v>36804</v>
      </c>
      <c r="AB9" s="382">
        <f t="shared" si="28"/>
        <v>0</v>
      </c>
      <c r="AC9" s="380">
        <f t="shared" si="17"/>
        <v>1173391</v>
      </c>
      <c r="AD9" s="382">
        <f t="shared" si="29"/>
        <v>0</v>
      </c>
      <c r="AE9" s="403">
        <f t="shared" si="18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382">
        <f t="shared" si="30"/>
        <v>-35.999999999912689</v>
      </c>
      <c r="S10" s="380">
        <f t="shared" si="14"/>
        <v>10175</v>
      </c>
      <c r="T10" s="400">
        <f t="shared" si="2"/>
        <v>0</v>
      </c>
      <c r="U10" s="380">
        <f t="shared" si="15"/>
        <v>429166</v>
      </c>
      <c r="V10" s="382">
        <f t="shared" si="27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6"/>
        <v>36804</v>
      </c>
      <c r="AB10" s="382">
        <f t="shared" si="28"/>
        <v>0</v>
      </c>
      <c r="AC10" s="380">
        <f t="shared" si="17"/>
        <v>1173391</v>
      </c>
      <c r="AD10" s="382">
        <f t="shared" si="29"/>
        <v>0</v>
      </c>
      <c r="AE10" s="403">
        <f t="shared" si="18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si="30"/>
        <v>-65.000000000174623</v>
      </c>
      <c r="S11" s="380">
        <f t="shared" si="14"/>
        <v>10175</v>
      </c>
      <c r="T11" s="400">
        <f t="shared" si="2"/>
        <v>0</v>
      </c>
      <c r="U11" s="380">
        <f t="shared" si="15"/>
        <v>429166</v>
      </c>
      <c r="V11" s="382">
        <f t="shared" si="27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6"/>
        <v>36804</v>
      </c>
      <c r="AB11" s="382">
        <f t="shared" si="28"/>
        <v>0</v>
      </c>
      <c r="AC11" s="380">
        <f t="shared" si="17"/>
        <v>1173391</v>
      </c>
      <c r="AD11" s="382">
        <f t="shared" si="29"/>
        <v>0</v>
      </c>
      <c r="AE11" s="403">
        <f t="shared" si="18"/>
        <v>1</v>
      </c>
      <c r="AF11" s="404">
        <f t="shared" si="4"/>
        <v>730</v>
      </c>
      <c r="AG11" s="397">
        <f t="shared" ref="AG11:AG32" si="39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4"/>
        <v>10175</v>
      </c>
      <c r="T12" s="400">
        <f t="shared" si="2"/>
        <v>0</v>
      </c>
      <c r="U12" s="380">
        <f t="shared" si="15"/>
        <v>429166</v>
      </c>
      <c r="V12" s="382">
        <f t="shared" si="27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6"/>
        <v>36804</v>
      </c>
      <c r="AB12" s="382">
        <f t="shared" si="28"/>
        <v>0</v>
      </c>
      <c r="AC12" s="380">
        <f t="shared" si="17"/>
        <v>1173391</v>
      </c>
      <c r="AD12" s="382">
        <f t="shared" si="29"/>
        <v>0</v>
      </c>
      <c r="AE12" s="403">
        <f t="shared" si="18"/>
        <v>0</v>
      </c>
      <c r="AF12" s="404">
        <f t="shared" si="4"/>
        <v>0</v>
      </c>
      <c r="AG12" s="397">
        <f t="shared" si="39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0"/>
        <v>0</v>
      </c>
      <c r="S13" s="380">
        <f t="shared" si="14"/>
        <v>10175</v>
      </c>
      <c r="T13" s="400">
        <f t="shared" si="2"/>
        <v>0</v>
      </c>
      <c r="U13" s="380">
        <f t="shared" si="15"/>
        <v>429166</v>
      </c>
      <c r="V13" s="382">
        <f t="shared" si="27"/>
        <v>0</v>
      </c>
      <c r="W13" s="380">
        <v>33499</v>
      </c>
      <c r="X13" s="382">
        <f t="shared" si="37"/>
        <v>0</v>
      </c>
      <c r="Y13" s="380">
        <f t="shared" ref="Y13:Y34" si="40">Y12</f>
        <v>1000389</v>
      </c>
      <c r="Z13" s="382">
        <f t="shared" si="31"/>
        <v>0</v>
      </c>
      <c r="AA13" s="380">
        <f t="shared" si="16"/>
        <v>36804</v>
      </c>
      <c r="AB13" s="382">
        <f t="shared" si="28"/>
        <v>0</v>
      </c>
      <c r="AC13" s="380">
        <f t="shared" si="17"/>
        <v>1173391</v>
      </c>
      <c r="AD13" s="382">
        <f t="shared" si="29"/>
        <v>0</v>
      </c>
      <c r="AE13" s="403">
        <f t="shared" si="18"/>
        <v>0</v>
      </c>
      <c r="AF13" s="404">
        <f t="shared" si="4"/>
        <v>0</v>
      </c>
      <c r="AG13" s="397">
        <f t="shared" si="39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f t="shared" si="7"/>
        <v>412160</v>
      </c>
      <c r="E14" s="497">
        <f t="shared" si="8"/>
        <v>0</v>
      </c>
      <c r="F14" s="380">
        <f t="shared" si="9"/>
        <v>4185784</v>
      </c>
      <c r="G14" s="402">
        <f t="shared" si="32"/>
        <v>0</v>
      </c>
      <c r="H14" s="380">
        <f t="shared" si="10"/>
        <v>18101262</v>
      </c>
      <c r="I14" s="402">
        <f t="shared" si="33"/>
        <v>0</v>
      </c>
      <c r="J14" s="380">
        <f t="shared" si="11"/>
        <v>29887306</v>
      </c>
      <c r="K14" s="402">
        <f t="shared" si="34"/>
        <v>0</v>
      </c>
      <c r="L14" s="380">
        <f t="shared" si="12"/>
        <v>24706902</v>
      </c>
      <c r="M14" s="402">
        <f t="shared" si="35"/>
        <v>0</v>
      </c>
      <c r="N14" s="266">
        <f>M14+K14+I14+G14+E14</f>
        <v>0</v>
      </c>
      <c r="O14" s="399">
        <f t="shared" si="38"/>
        <v>0</v>
      </c>
      <c r="P14" s="526">
        <f t="shared" si="13"/>
        <v>19671.696</v>
      </c>
      <c r="Q14" s="382">
        <f t="shared" si="1"/>
        <v>0</v>
      </c>
      <c r="R14" s="382">
        <f t="shared" si="30"/>
        <v>0</v>
      </c>
      <c r="S14" s="380">
        <f t="shared" si="14"/>
        <v>10175</v>
      </c>
      <c r="T14" s="400">
        <f t="shared" si="2"/>
        <v>0</v>
      </c>
      <c r="U14" s="380">
        <f t="shared" si="15"/>
        <v>429166</v>
      </c>
      <c r="V14" s="382">
        <f t="shared" si="27"/>
        <v>0</v>
      </c>
      <c r="W14" s="380">
        <v>33499</v>
      </c>
      <c r="X14" s="382">
        <f t="shared" si="37"/>
        <v>0</v>
      </c>
      <c r="Y14" s="380">
        <f t="shared" si="40"/>
        <v>1000389</v>
      </c>
      <c r="Z14" s="382">
        <f t="shared" si="31"/>
        <v>0</v>
      </c>
      <c r="AA14" s="380">
        <f t="shared" si="16"/>
        <v>36804</v>
      </c>
      <c r="AB14" s="382">
        <f t="shared" si="28"/>
        <v>0</v>
      </c>
      <c r="AC14" s="380">
        <f t="shared" si="17"/>
        <v>1173391</v>
      </c>
      <c r="AD14" s="382">
        <f t="shared" si="29"/>
        <v>0</v>
      </c>
      <c r="AE14" s="403">
        <f t="shared" si="18"/>
        <v>0</v>
      </c>
      <c r="AF14" s="404">
        <f t="shared" si="4"/>
        <v>0</v>
      </c>
      <c r="AG14" s="397">
        <f t="shared" si="39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f t="shared" si="7"/>
        <v>412160</v>
      </c>
      <c r="E15" s="497">
        <f t="shared" si="8"/>
        <v>0</v>
      </c>
      <c r="F15" s="380">
        <f t="shared" si="9"/>
        <v>4185784</v>
      </c>
      <c r="G15" s="402">
        <f t="shared" si="32"/>
        <v>0</v>
      </c>
      <c r="H15" s="380">
        <f t="shared" si="10"/>
        <v>18101262</v>
      </c>
      <c r="I15" s="402">
        <f t="shared" si="33"/>
        <v>0</v>
      </c>
      <c r="J15" s="380">
        <f t="shared" si="11"/>
        <v>29887306</v>
      </c>
      <c r="K15" s="402">
        <f t="shared" si="34"/>
        <v>0</v>
      </c>
      <c r="L15" s="380">
        <f t="shared" si="12"/>
        <v>24706902</v>
      </c>
      <c r="M15" s="402">
        <f t="shared" si="35"/>
        <v>0</v>
      </c>
      <c r="N15" s="266">
        <f t="shared" si="36"/>
        <v>0</v>
      </c>
      <c r="O15" s="399">
        <f t="shared" si="38"/>
        <v>0</v>
      </c>
      <c r="P15" s="526">
        <f t="shared" si="13"/>
        <v>19671.696</v>
      </c>
      <c r="Q15" s="382">
        <f t="shared" si="1"/>
        <v>0</v>
      </c>
      <c r="R15" s="506">
        <f>N15-Q15</f>
        <v>0</v>
      </c>
      <c r="S15" s="380">
        <f t="shared" si="14"/>
        <v>10175</v>
      </c>
      <c r="T15" s="400">
        <f t="shared" si="2"/>
        <v>0</v>
      </c>
      <c r="U15" s="380">
        <f t="shared" si="15"/>
        <v>429166</v>
      </c>
      <c r="V15" s="382">
        <f t="shared" si="27"/>
        <v>0</v>
      </c>
      <c r="W15" s="380">
        <v>33499</v>
      </c>
      <c r="X15" s="382">
        <f t="shared" si="37"/>
        <v>0</v>
      </c>
      <c r="Y15" s="380">
        <f t="shared" si="40"/>
        <v>1000389</v>
      </c>
      <c r="Z15" s="382">
        <f t="shared" si="31"/>
        <v>0</v>
      </c>
      <c r="AA15" s="380">
        <f t="shared" si="16"/>
        <v>36804</v>
      </c>
      <c r="AB15" s="382">
        <f t="shared" si="28"/>
        <v>0</v>
      </c>
      <c r="AC15" s="380">
        <f t="shared" si="17"/>
        <v>1173391</v>
      </c>
      <c r="AD15" s="382">
        <f t="shared" si="29"/>
        <v>0</v>
      </c>
      <c r="AE15" s="403">
        <f t="shared" si="18"/>
        <v>0</v>
      </c>
      <c r="AF15" s="404">
        <f t="shared" si="4"/>
        <v>0</v>
      </c>
      <c r="AG15" s="397">
        <f t="shared" si="39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f t="shared" si="7"/>
        <v>412160</v>
      </c>
      <c r="E16" s="497">
        <f t="shared" si="8"/>
        <v>0</v>
      </c>
      <c r="F16" s="380">
        <f t="shared" si="9"/>
        <v>4185784</v>
      </c>
      <c r="G16" s="402">
        <f t="shared" si="32"/>
        <v>0</v>
      </c>
      <c r="H16" s="380">
        <f t="shared" si="10"/>
        <v>18101262</v>
      </c>
      <c r="I16" s="402">
        <f t="shared" si="33"/>
        <v>0</v>
      </c>
      <c r="J16" s="380">
        <f t="shared" si="11"/>
        <v>29887306</v>
      </c>
      <c r="K16" s="402">
        <f t="shared" si="34"/>
        <v>0</v>
      </c>
      <c r="L16" s="380">
        <f t="shared" si="12"/>
        <v>24706902</v>
      </c>
      <c r="M16" s="402">
        <f t="shared" si="35"/>
        <v>0</v>
      </c>
      <c r="N16" s="266">
        <f t="shared" si="36"/>
        <v>0</v>
      </c>
      <c r="O16" s="399">
        <f t="shared" si="38"/>
        <v>0</v>
      </c>
      <c r="P16" s="526">
        <f t="shared" si="13"/>
        <v>19671.696</v>
      </c>
      <c r="Q16" s="382">
        <f t="shared" si="1"/>
        <v>0</v>
      </c>
      <c r="R16" s="382">
        <f t="shared" si="30"/>
        <v>0</v>
      </c>
      <c r="S16" s="380">
        <f t="shared" si="14"/>
        <v>10175</v>
      </c>
      <c r="T16" s="400">
        <f t="shared" si="2"/>
        <v>0</v>
      </c>
      <c r="U16" s="380">
        <f t="shared" si="15"/>
        <v>429166</v>
      </c>
      <c r="V16" s="382">
        <f t="shared" si="27"/>
        <v>0</v>
      </c>
      <c r="W16" s="380">
        <v>33499</v>
      </c>
      <c r="X16" s="382">
        <f t="shared" si="37"/>
        <v>0</v>
      </c>
      <c r="Y16" s="380">
        <f t="shared" si="40"/>
        <v>1000389</v>
      </c>
      <c r="Z16" s="382">
        <f t="shared" si="31"/>
        <v>0</v>
      </c>
      <c r="AA16" s="380">
        <f t="shared" si="16"/>
        <v>36804</v>
      </c>
      <c r="AB16" s="382">
        <f t="shared" si="28"/>
        <v>0</v>
      </c>
      <c r="AC16" s="380">
        <f t="shared" si="17"/>
        <v>1173391</v>
      </c>
      <c r="AD16" s="382">
        <f t="shared" si="29"/>
        <v>0</v>
      </c>
      <c r="AE16" s="403">
        <f t="shared" si="18"/>
        <v>0</v>
      </c>
      <c r="AF16" s="404">
        <f t="shared" si="4"/>
        <v>0</v>
      </c>
      <c r="AG16" s="397">
        <f t="shared" si="39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f t="shared" si="7"/>
        <v>412160</v>
      </c>
      <c r="E17" s="497">
        <f t="shared" si="8"/>
        <v>0</v>
      </c>
      <c r="F17" s="380">
        <f t="shared" si="9"/>
        <v>4185784</v>
      </c>
      <c r="G17" s="402">
        <f t="shared" si="32"/>
        <v>0</v>
      </c>
      <c r="H17" s="380">
        <f t="shared" si="10"/>
        <v>18101262</v>
      </c>
      <c r="I17" s="402">
        <f t="shared" si="33"/>
        <v>0</v>
      </c>
      <c r="J17" s="380">
        <f t="shared" si="11"/>
        <v>29887306</v>
      </c>
      <c r="K17" s="402">
        <f t="shared" si="34"/>
        <v>0</v>
      </c>
      <c r="L17" s="380">
        <f t="shared" si="12"/>
        <v>24706902</v>
      </c>
      <c r="M17" s="402">
        <f t="shared" si="35"/>
        <v>0</v>
      </c>
      <c r="N17" s="266">
        <f t="shared" si="36"/>
        <v>0</v>
      </c>
      <c r="O17" s="399">
        <f t="shared" si="38"/>
        <v>0</v>
      </c>
      <c r="P17" s="526">
        <f t="shared" si="13"/>
        <v>19671.696</v>
      </c>
      <c r="Q17" s="382">
        <f t="shared" si="1"/>
        <v>0</v>
      </c>
      <c r="R17" s="382">
        <f t="shared" si="30"/>
        <v>0</v>
      </c>
      <c r="S17" s="380">
        <f t="shared" si="14"/>
        <v>10175</v>
      </c>
      <c r="T17" s="400">
        <f t="shared" si="2"/>
        <v>0</v>
      </c>
      <c r="U17" s="380">
        <f t="shared" si="15"/>
        <v>429166</v>
      </c>
      <c r="V17" s="382">
        <f t="shared" si="27"/>
        <v>0</v>
      </c>
      <c r="W17" s="380">
        <v>33499</v>
      </c>
      <c r="X17" s="382">
        <f>W17-W16</f>
        <v>0</v>
      </c>
      <c r="Y17" s="380">
        <f t="shared" si="40"/>
        <v>1000389</v>
      </c>
      <c r="Z17" s="382">
        <f>Y17-Y16</f>
        <v>0</v>
      </c>
      <c r="AA17" s="380">
        <f t="shared" si="16"/>
        <v>36804</v>
      </c>
      <c r="AB17" s="382">
        <f>AA17-AA16</f>
        <v>0</v>
      </c>
      <c r="AC17" s="380">
        <f t="shared" si="17"/>
        <v>1173391</v>
      </c>
      <c r="AD17" s="382">
        <f t="shared" si="29"/>
        <v>0</v>
      </c>
      <c r="AE17" s="403">
        <f t="shared" si="18"/>
        <v>0</v>
      </c>
      <c r="AF17" s="404">
        <f t="shared" si="4"/>
        <v>0</v>
      </c>
      <c r="AG17" s="397">
        <f t="shared" si="39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f t="shared" si="7"/>
        <v>412160</v>
      </c>
      <c r="E18" s="497">
        <f t="shared" si="8"/>
        <v>0</v>
      </c>
      <c r="F18" s="380">
        <f t="shared" si="9"/>
        <v>4185784</v>
      </c>
      <c r="G18" s="402">
        <f t="shared" si="32"/>
        <v>0</v>
      </c>
      <c r="H18" s="380">
        <f t="shared" si="10"/>
        <v>18101262</v>
      </c>
      <c r="I18" s="402">
        <f t="shared" si="33"/>
        <v>0</v>
      </c>
      <c r="J18" s="380">
        <f t="shared" si="11"/>
        <v>29887306</v>
      </c>
      <c r="K18" s="402">
        <f t="shared" si="34"/>
        <v>0</v>
      </c>
      <c r="L18" s="380">
        <f t="shared" si="12"/>
        <v>24706902</v>
      </c>
      <c r="M18" s="402">
        <f t="shared" si="35"/>
        <v>0</v>
      </c>
      <c r="N18" s="266">
        <f>M18+K18+I18+G18+E18</f>
        <v>0</v>
      </c>
      <c r="O18" s="399">
        <f t="shared" si="38"/>
        <v>0</v>
      </c>
      <c r="P18" s="526">
        <f t="shared" si="13"/>
        <v>19671.696</v>
      </c>
      <c r="Q18" s="382">
        <f t="shared" si="1"/>
        <v>0</v>
      </c>
      <c r="R18" s="382">
        <f t="shared" si="30"/>
        <v>0</v>
      </c>
      <c r="S18" s="380">
        <f t="shared" si="14"/>
        <v>10175</v>
      </c>
      <c r="T18" s="400">
        <f t="shared" si="2"/>
        <v>0</v>
      </c>
      <c r="U18" s="380">
        <f t="shared" si="15"/>
        <v>429166</v>
      </c>
      <c r="V18" s="382">
        <f t="shared" si="27"/>
        <v>0</v>
      </c>
      <c r="W18" s="380">
        <v>33499</v>
      </c>
      <c r="X18" s="382">
        <f t="shared" si="37"/>
        <v>0</v>
      </c>
      <c r="Y18" s="380">
        <f t="shared" si="40"/>
        <v>1000389</v>
      </c>
      <c r="Z18" s="382">
        <f t="shared" si="31"/>
        <v>0</v>
      </c>
      <c r="AA18" s="380">
        <f t="shared" si="16"/>
        <v>36804</v>
      </c>
      <c r="AB18" s="382">
        <f t="shared" si="28"/>
        <v>0</v>
      </c>
      <c r="AC18" s="380">
        <f t="shared" si="17"/>
        <v>1173391</v>
      </c>
      <c r="AD18" s="382">
        <f t="shared" ref="AD18:AD31" si="41">AC18-AC17</f>
        <v>0</v>
      </c>
      <c r="AE18" s="403">
        <f t="shared" si="18"/>
        <v>0</v>
      </c>
      <c r="AF18" s="404">
        <f t="shared" si="4"/>
        <v>0</v>
      </c>
      <c r="AG18" s="397">
        <f t="shared" si="39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412160</v>
      </c>
      <c r="E19" s="497">
        <f t="shared" si="8"/>
        <v>0</v>
      </c>
      <c r="F19" s="380">
        <f t="shared" si="9"/>
        <v>4185784</v>
      </c>
      <c r="G19" s="402">
        <f t="shared" si="32"/>
        <v>0</v>
      </c>
      <c r="H19" s="380">
        <f t="shared" si="10"/>
        <v>18101262</v>
      </c>
      <c r="I19" s="402">
        <f t="shared" si="33"/>
        <v>0</v>
      </c>
      <c r="J19" s="380">
        <f t="shared" si="11"/>
        <v>29887306</v>
      </c>
      <c r="K19" s="402">
        <f t="shared" si="34"/>
        <v>0</v>
      </c>
      <c r="L19" s="380">
        <f t="shared" si="12"/>
        <v>24706902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19671.696</v>
      </c>
      <c r="Q19" s="382">
        <f>(P19-P18)*1000</f>
        <v>0</v>
      </c>
      <c r="R19" s="506">
        <f>N19-Q19</f>
        <v>0</v>
      </c>
      <c r="S19" s="380">
        <f t="shared" si="14"/>
        <v>10175</v>
      </c>
      <c r="T19" s="400">
        <f t="shared" si="2"/>
        <v>0</v>
      </c>
      <c r="U19" s="380">
        <f t="shared" si="15"/>
        <v>429166</v>
      </c>
      <c r="V19" s="382">
        <f t="shared" si="27"/>
        <v>0</v>
      </c>
      <c r="W19" s="380">
        <v>33499</v>
      </c>
      <c r="X19" s="382">
        <f t="shared" si="37"/>
        <v>0</v>
      </c>
      <c r="Y19" s="380">
        <f t="shared" si="40"/>
        <v>1000389</v>
      </c>
      <c r="Z19" s="382">
        <f t="shared" si="31"/>
        <v>0</v>
      </c>
      <c r="AA19" s="380">
        <f t="shared" si="16"/>
        <v>36804</v>
      </c>
      <c r="AB19" s="382">
        <f t="shared" si="28"/>
        <v>0</v>
      </c>
      <c r="AC19" s="380">
        <f t="shared" si="17"/>
        <v>1173391</v>
      </c>
      <c r="AD19" s="382">
        <f t="shared" si="41"/>
        <v>0</v>
      </c>
      <c r="AE19" s="403">
        <f t="shared" si="18"/>
        <v>0</v>
      </c>
      <c r="AF19" s="404">
        <f t="shared" si="4"/>
        <v>0</v>
      </c>
      <c r="AG19" s="397">
        <f t="shared" si="39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412160</v>
      </c>
      <c r="E20" s="497">
        <f t="shared" si="8"/>
        <v>0</v>
      </c>
      <c r="F20" s="380">
        <f t="shared" si="9"/>
        <v>4185784</v>
      </c>
      <c r="G20" s="402">
        <f t="shared" si="32"/>
        <v>0</v>
      </c>
      <c r="H20" s="380">
        <f t="shared" si="10"/>
        <v>18101262</v>
      </c>
      <c r="I20" s="402">
        <f t="shared" si="33"/>
        <v>0</v>
      </c>
      <c r="J20" s="380">
        <f t="shared" si="11"/>
        <v>29887306</v>
      </c>
      <c r="K20" s="402">
        <f t="shared" si="34"/>
        <v>0</v>
      </c>
      <c r="L20" s="380">
        <f t="shared" si="12"/>
        <v>24706902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19671.696</v>
      </c>
      <c r="Q20" s="382">
        <f>(P20-P19)*1000</f>
        <v>0</v>
      </c>
      <c r="R20" s="506">
        <f>N20-Q20</f>
        <v>0</v>
      </c>
      <c r="S20" s="380">
        <f t="shared" si="14"/>
        <v>10175</v>
      </c>
      <c r="T20" s="400">
        <f t="shared" si="2"/>
        <v>0</v>
      </c>
      <c r="U20" s="380">
        <f t="shared" si="15"/>
        <v>429166</v>
      </c>
      <c r="V20" s="382">
        <f t="shared" si="27"/>
        <v>0</v>
      </c>
      <c r="W20" s="380">
        <v>33499</v>
      </c>
      <c r="X20" s="382">
        <f t="shared" si="37"/>
        <v>0</v>
      </c>
      <c r="Y20" s="380">
        <f t="shared" si="40"/>
        <v>1000389</v>
      </c>
      <c r="Z20" s="382">
        <f t="shared" si="31"/>
        <v>0</v>
      </c>
      <c r="AA20" s="380">
        <f t="shared" si="16"/>
        <v>36804</v>
      </c>
      <c r="AB20" s="382">
        <f t="shared" si="28"/>
        <v>0</v>
      </c>
      <c r="AC20" s="380">
        <f t="shared" si="17"/>
        <v>1173391</v>
      </c>
      <c r="AD20" s="382">
        <f t="shared" si="41"/>
        <v>0</v>
      </c>
      <c r="AE20" s="403">
        <f t="shared" si="18"/>
        <v>0</v>
      </c>
      <c r="AF20" s="404">
        <f t="shared" si="4"/>
        <v>0</v>
      </c>
      <c r="AG20" s="397">
        <f t="shared" si="39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f t="shared" si="7"/>
        <v>412160</v>
      </c>
      <c r="E21" s="497">
        <f t="shared" si="8"/>
        <v>0</v>
      </c>
      <c r="F21" s="380">
        <f t="shared" si="9"/>
        <v>4185784</v>
      </c>
      <c r="G21" s="402">
        <f t="shared" si="32"/>
        <v>0</v>
      </c>
      <c r="H21" s="380">
        <f t="shared" si="10"/>
        <v>18101262</v>
      </c>
      <c r="I21" s="402">
        <f t="shared" si="33"/>
        <v>0</v>
      </c>
      <c r="J21" s="380">
        <f t="shared" si="11"/>
        <v>29887306</v>
      </c>
      <c r="K21" s="402">
        <f t="shared" si="34"/>
        <v>0</v>
      </c>
      <c r="L21" s="380">
        <f t="shared" si="12"/>
        <v>24706902</v>
      </c>
      <c r="M21" s="402">
        <f t="shared" si="35"/>
        <v>0</v>
      </c>
      <c r="N21" s="266">
        <f t="shared" si="36"/>
        <v>0</v>
      </c>
      <c r="O21" s="399">
        <f t="shared" si="38"/>
        <v>0</v>
      </c>
      <c r="P21" s="526">
        <f t="shared" si="13"/>
        <v>19671.696</v>
      </c>
      <c r="Q21" s="382">
        <f t="shared" si="1"/>
        <v>0</v>
      </c>
      <c r="R21" s="506">
        <f t="shared" ref="R21:R31" si="42">N21-Q21</f>
        <v>0</v>
      </c>
      <c r="S21" s="380">
        <f t="shared" si="14"/>
        <v>10175</v>
      </c>
      <c r="T21" s="400">
        <f t="shared" si="2"/>
        <v>0</v>
      </c>
      <c r="U21" s="380">
        <f t="shared" si="15"/>
        <v>429166</v>
      </c>
      <c r="V21" s="382">
        <f t="shared" si="27"/>
        <v>0</v>
      </c>
      <c r="W21" s="380">
        <v>33499</v>
      </c>
      <c r="X21" s="382">
        <f t="shared" si="37"/>
        <v>0</v>
      </c>
      <c r="Y21" s="380">
        <f t="shared" si="40"/>
        <v>1000389</v>
      </c>
      <c r="Z21" s="382">
        <f t="shared" si="31"/>
        <v>0</v>
      </c>
      <c r="AA21" s="380">
        <f t="shared" si="16"/>
        <v>36804</v>
      </c>
      <c r="AB21" s="382">
        <f t="shared" si="28"/>
        <v>0</v>
      </c>
      <c r="AC21" s="380">
        <f t="shared" si="17"/>
        <v>1173391</v>
      </c>
      <c r="AD21" s="382">
        <f t="shared" si="41"/>
        <v>0</v>
      </c>
      <c r="AE21" s="403">
        <f t="shared" si="18"/>
        <v>0</v>
      </c>
      <c r="AF21" s="404">
        <f t="shared" si="4"/>
        <v>0</v>
      </c>
      <c r="AG21" s="397">
        <f t="shared" si="39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f t="shared" si="7"/>
        <v>412160</v>
      </c>
      <c r="E22" s="497">
        <f t="shared" ref="E22" si="43">D22-D21</f>
        <v>0</v>
      </c>
      <c r="F22" s="380">
        <f t="shared" si="9"/>
        <v>4185784</v>
      </c>
      <c r="G22" s="402">
        <f t="shared" ref="G22" si="44">F22-F21</f>
        <v>0</v>
      </c>
      <c r="H22" s="380">
        <f t="shared" si="10"/>
        <v>18101262</v>
      </c>
      <c r="I22" s="402">
        <f t="shared" si="33"/>
        <v>0</v>
      </c>
      <c r="J22" s="380">
        <f t="shared" si="11"/>
        <v>29887306</v>
      </c>
      <c r="K22" s="402">
        <f t="shared" ref="K22" si="45">J22-J21</f>
        <v>0</v>
      </c>
      <c r="L22" s="380">
        <f t="shared" si="12"/>
        <v>24706902</v>
      </c>
      <c r="M22" s="402">
        <f t="shared" ref="M22" si="46">L22-L21</f>
        <v>0</v>
      </c>
      <c r="N22" s="266">
        <f t="shared" ref="N22" si="47">M22+K22+I22+G22+E22</f>
        <v>0</v>
      </c>
      <c r="O22" s="399">
        <f t="shared" ref="O22" si="48">IF(B22&gt;0,N22/B22,0)</f>
        <v>0</v>
      </c>
      <c r="P22" s="526">
        <f t="shared" si="13"/>
        <v>19671.696</v>
      </c>
      <c r="Q22" s="382">
        <f t="shared" ref="Q22" si="49">(P22-P21)*1000</f>
        <v>0</v>
      </c>
      <c r="R22" s="506">
        <f t="shared" ref="R22" si="50">N22-Q22</f>
        <v>0</v>
      </c>
      <c r="S22" s="380">
        <f t="shared" si="14"/>
        <v>10175</v>
      </c>
      <c r="T22" s="400">
        <f t="shared" si="2"/>
        <v>0</v>
      </c>
      <c r="U22" s="380">
        <f t="shared" si="15"/>
        <v>429166</v>
      </c>
      <c r="V22" s="382">
        <f t="shared" si="27"/>
        <v>0</v>
      </c>
      <c r="W22" s="380">
        <v>33499</v>
      </c>
      <c r="X22" s="382">
        <f t="shared" si="37"/>
        <v>0</v>
      </c>
      <c r="Y22" s="380">
        <f t="shared" si="40"/>
        <v>1000389</v>
      </c>
      <c r="Z22" s="382">
        <f t="shared" si="31"/>
        <v>0</v>
      </c>
      <c r="AA22" s="380">
        <f t="shared" si="16"/>
        <v>36804</v>
      </c>
      <c r="AB22" s="382">
        <f t="shared" si="28"/>
        <v>0</v>
      </c>
      <c r="AC22" s="380">
        <f t="shared" si="17"/>
        <v>1173391</v>
      </c>
      <c r="AD22" s="402">
        <f>AC22-AC21</f>
        <v>0</v>
      </c>
      <c r="AE22" s="403">
        <f t="shared" si="18"/>
        <v>0</v>
      </c>
      <c r="AF22" s="404">
        <f t="shared" si="4"/>
        <v>0</v>
      </c>
      <c r="AG22" s="397">
        <f t="shared" si="39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f t="shared" si="7"/>
        <v>412160</v>
      </c>
      <c r="E23" s="497">
        <f t="shared" si="8"/>
        <v>0</v>
      </c>
      <c r="F23" s="380">
        <f t="shared" si="9"/>
        <v>4185784</v>
      </c>
      <c r="G23" s="402">
        <f t="shared" si="32"/>
        <v>0</v>
      </c>
      <c r="H23" s="380">
        <f t="shared" si="10"/>
        <v>18101262</v>
      </c>
      <c r="I23" s="402">
        <f t="shared" si="33"/>
        <v>0</v>
      </c>
      <c r="J23" s="380">
        <f t="shared" si="11"/>
        <v>29887306</v>
      </c>
      <c r="K23" s="402">
        <f t="shared" si="34"/>
        <v>0</v>
      </c>
      <c r="L23" s="380">
        <f t="shared" si="12"/>
        <v>24706902</v>
      </c>
      <c r="M23" s="402">
        <f t="shared" si="35"/>
        <v>0</v>
      </c>
      <c r="N23" s="266">
        <f t="shared" si="36"/>
        <v>0</v>
      </c>
      <c r="O23" s="399">
        <f t="shared" si="38"/>
        <v>0</v>
      </c>
      <c r="P23" s="526">
        <f t="shared" si="13"/>
        <v>19671.696</v>
      </c>
      <c r="Q23" s="382">
        <f t="shared" si="1"/>
        <v>0</v>
      </c>
      <c r="R23" s="506">
        <f t="shared" si="42"/>
        <v>0</v>
      </c>
      <c r="S23" s="380">
        <f t="shared" si="14"/>
        <v>10175</v>
      </c>
      <c r="T23" s="400">
        <f t="shared" si="2"/>
        <v>0</v>
      </c>
      <c r="U23" s="380">
        <f t="shared" si="15"/>
        <v>429166</v>
      </c>
      <c r="V23" s="382">
        <f t="shared" si="27"/>
        <v>0</v>
      </c>
      <c r="W23" s="380">
        <v>33499</v>
      </c>
      <c r="X23" s="382">
        <f t="shared" si="37"/>
        <v>0</v>
      </c>
      <c r="Y23" s="380">
        <f t="shared" si="40"/>
        <v>1000389</v>
      </c>
      <c r="Z23" s="382">
        <f t="shared" si="31"/>
        <v>0</v>
      </c>
      <c r="AA23" s="380">
        <f t="shared" si="16"/>
        <v>36804</v>
      </c>
      <c r="AB23" s="382">
        <f t="shared" si="28"/>
        <v>0</v>
      </c>
      <c r="AC23" s="380">
        <f t="shared" si="17"/>
        <v>1173391</v>
      </c>
      <c r="AD23" s="382">
        <f t="shared" si="41"/>
        <v>0</v>
      </c>
      <c r="AE23" s="403">
        <f t="shared" si="18"/>
        <v>0</v>
      </c>
      <c r="AF23" s="404">
        <f t="shared" si="4"/>
        <v>0</v>
      </c>
      <c r="AG23" s="397">
        <f t="shared" si="39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f t="shared" si="7"/>
        <v>412160</v>
      </c>
      <c r="E24" s="497">
        <f t="shared" si="8"/>
        <v>0</v>
      </c>
      <c r="F24" s="380">
        <f t="shared" si="9"/>
        <v>4185784</v>
      </c>
      <c r="G24" s="402">
        <f t="shared" si="32"/>
        <v>0</v>
      </c>
      <c r="H24" s="380">
        <f t="shared" si="10"/>
        <v>18101262</v>
      </c>
      <c r="I24" s="509">
        <f t="shared" si="33"/>
        <v>0</v>
      </c>
      <c r="J24" s="380">
        <f t="shared" si="11"/>
        <v>29887306</v>
      </c>
      <c r="K24" s="402">
        <f t="shared" si="34"/>
        <v>0</v>
      </c>
      <c r="L24" s="380">
        <f t="shared" si="12"/>
        <v>24706902</v>
      </c>
      <c r="M24" s="402">
        <f t="shared" si="35"/>
        <v>0</v>
      </c>
      <c r="N24" s="266">
        <f t="shared" si="36"/>
        <v>0</v>
      </c>
      <c r="O24" s="399">
        <f t="shared" si="38"/>
        <v>0</v>
      </c>
      <c r="P24" s="526">
        <f t="shared" si="13"/>
        <v>19671.696</v>
      </c>
      <c r="Q24" s="382">
        <f t="shared" si="1"/>
        <v>0</v>
      </c>
      <c r="R24" s="506">
        <f t="shared" si="42"/>
        <v>0</v>
      </c>
      <c r="S24" s="380">
        <f t="shared" si="14"/>
        <v>10175</v>
      </c>
      <c r="T24" s="400">
        <f t="shared" si="2"/>
        <v>0</v>
      </c>
      <c r="U24" s="380">
        <f t="shared" si="15"/>
        <v>429166</v>
      </c>
      <c r="V24" s="382">
        <f t="shared" si="27"/>
        <v>0</v>
      </c>
      <c r="W24" s="380">
        <v>33499</v>
      </c>
      <c r="X24" s="382">
        <f t="shared" si="37"/>
        <v>0</v>
      </c>
      <c r="Y24" s="380">
        <f t="shared" si="40"/>
        <v>1000389</v>
      </c>
      <c r="Z24" s="382">
        <f t="shared" si="31"/>
        <v>0</v>
      </c>
      <c r="AA24" s="380">
        <f t="shared" si="16"/>
        <v>36804</v>
      </c>
      <c r="AB24" s="382">
        <f t="shared" si="28"/>
        <v>0</v>
      </c>
      <c r="AC24" s="380">
        <f t="shared" si="17"/>
        <v>1173391</v>
      </c>
      <c r="AD24" s="382">
        <f t="shared" si="41"/>
        <v>0</v>
      </c>
      <c r="AE24" s="403">
        <f t="shared" si="18"/>
        <v>0</v>
      </c>
      <c r="AF24" s="404">
        <f t="shared" si="4"/>
        <v>0</v>
      </c>
      <c r="AG24" s="397">
        <f t="shared" si="39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f t="shared" si="7"/>
        <v>412160</v>
      </c>
      <c r="E25" s="497">
        <f t="shared" si="8"/>
        <v>0</v>
      </c>
      <c r="F25" s="380">
        <f t="shared" si="9"/>
        <v>4185784</v>
      </c>
      <c r="G25" s="402">
        <f t="shared" si="32"/>
        <v>0</v>
      </c>
      <c r="H25" s="380">
        <f t="shared" si="10"/>
        <v>18101262</v>
      </c>
      <c r="I25" s="402">
        <f t="shared" si="33"/>
        <v>0</v>
      </c>
      <c r="J25" s="380">
        <f t="shared" si="11"/>
        <v>29887306</v>
      </c>
      <c r="K25" s="402">
        <f t="shared" si="34"/>
        <v>0</v>
      </c>
      <c r="L25" s="380">
        <f t="shared" si="12"/>
        <v>24706902</v>
      </c>
      <c r="M25" s="402">
        <f t="shared" si="35"/>
        <v>0</v>
      </c>
      <c r="N25" s="266">
        <f t="shared" si="36"/>
        <v>0</v>
      </c>
      <c r="O25" s="399">
        <f t="shared" si="38"/>
        <v>0</v>
      </c>
      <c r="P25" s="526">
        <f t="shared" si="13"/>
        <v>19671.696</v>
      </c>
      <c r="Q25" s="382">
        <f t="shared" si="1"/>
        <v>0</v>
      </c>
      <c r="R25" s="506">
        <f t="shared" si="42"/>
        <v>0</v>
      </c>
      <c r="S25" s="380">
        <f t="shared" si="14"/>
        <v>10175</v>
      </c>
      <c r="T25" s="400">
        <f t="shared" si="2"/>
        <v>0</v>
      </c>
      <c r="U25" s="380">
        <f t="shared" si="15"/>
        <v>429166</v>
      </c>
      <c r="V25" s="382">
        <f t="shared" si="27"/>
        <v>0</v>
      </c>
      <c r="W25" s="380">
        <v>33499</v>
      </c>
      <c r="X25" s="382">
        <f t="shared" si="37"/>
        <v>0</v>
      </c>
      <c r="Y25" s="380">
        <f t="shared" si="40"/>
        <v>1000389</v>
      </c>
      <c r="Z25" s="382">
        <f t="shared" si="31"/>
        <v>0</v>
      </c>
      <c r="AA25" s="380">
        <f t="shared" si="16"/>
        <v>36804</v>
      </c>
      <c r="AB25" s="382">
        <f t="shared" si="28"/>
        <v>0</v>
      </c>
      <c r="AC25" s="380">
        <f t="shared" si="17"/>
        <v>1173391</v>
      </c>
      <c r="AD25" s="382">
        <f t="shared" si="41"/>
        <v>0</v>
      </c>
      <c r="AE25" s="403">
        <f t="shared" si="18"/>
        <v>0</v>
      </c>
      <c r="AF25" s="404">
        <f t="shared" si="4"/>
        <v>0</v>
      </c>
      <c r="AG25" s="397">
        <f t="shared" si="39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f t="shared" si="7"/>
        <v>412160</v>
      </c>
      <c r="E26" s="497">
        <f t="shared" si="8"/>
        <v>0</v>
      </c>
      <c r="F26" s="380">
        <f t="shared" si="9"/>
        <v>4185784</v>
      </c>
      <c r="G26" s="402">
        <f t="shared" si="32"/>
        <v>0</v>
      </c>
      <c r="H26" s="380">
        <f t="shared" si="10"/>
        <v>18101262</v>
      </c>
      <c r="I26" s="402">
        <f t="shared" si="33"/>
        <v>0</v>
      </c>
      <c r="J26" s="380">
        <f t="shared" si="11"/>
        <v>29887306</v>
      </c>
      <c r="K26" s="402">
        <f t="shared" si="34"/>
        <v>0</v>
      </c>
      <c r="L26" s="380">
        <f t="shared" si="12"/>
        <v>24706902</v>
      </c>
      <c r="M26" s="402">
        <f t="shared" si="35"/>
        <v>0</v>
      </c>
      <c r="N26" s="266">
        <f t="shared" si="36"/>
        <v>0</v>
      </c>
      <c r="O26" s="399">
        <f t="shared" si="38"/>
        <v>0</v>
      </c>
      <c r="P26" s="526">
        <f t="shared" si="13"/>
        <v>19671.696</v>
      </c>
      <c r="Q26" s="382">
        <f t="shared" si="1"/>
        <v>0</v>
      </c>
      <c r="R26" s="506">
        <f t="shared" si="42"/>
        <v>0</v>
      </c>
      <c r="S26" s="380">
        <f t="shared" si="14"/>
        <v>10175</v>
      </c>
      <c r="T26" s="400">
        <f t="shared" si="2"/>
        <v>0</v>
      </c>
      <c r="U26" s="380">
        <f t="shared" si="15"/>
        <v>429166</v>
      </c>
      <c r="V26" s="382">
        <f t="shared" si="27"/>
        <v>0</v>
      </c>
      <c r="W26" s="380">
        <v>33499</v>
      </c>
      <c r="X26" s="382">
        <f t="shared" si="37"/>
        <v>0</v>
      </c>
      <c r="Y26" s="380">
        <f t="shared" si="40"/>
        <v>1000389</v>
      </c>
      <c r="Z26" s="382">
        <f t="shared" si="31"/>
        <v>0</v>
      </c>
      <c r="AA26" s="380">
        <f t="shared" si="16"/>
        <v>36804</v>
      </c>
      <c r="AB26" s="382">
        <f t="shared" si="28"/>
        <v>0</v>
      </c>
      <c r="AC26" s="380">
        <f t="shared" si="17"/>
        <v>1173391</v>
      </c>
      <c r="AD26" s="382">
        <f t="shared" si="41"/>
        <v>0</v>
      </c>
      <c r="AE26" s="403">
        <f t="shared" si="18"/>
        <v>0</v>
      </c>
      <c r="AF26" s="404">
        <f t="shared" si="4"/>
        <v>0</v>
      </c>
      <c r="AG26" s="397">
        <f t="shared" si="39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412160</v>
      </c>
      <c r="E27" s="497">
        <f t="shared" si="8"/>
        <v>0</v>
      </c>
      <c r="F27" s="380">
        <f t="shared" si="9"/>
        <v>4185784</v>
      </c>
      <c r="G27" s="402">
        <f t="shared" si="32"/>
        <v>0</v>
      </c>
      <c r="H27" s="380">
        <f t="shared" si="10"/>
        <v>18101262</v>
      </c>
      <c r="I27" s="402">
        <f t="shared" si="33"/>
        <v>0</v>
      </c>
      <c r="J27" s="380">
        <f t="shared" si="11"/>
        <v>29887306</v>
      </c>
      <c r="K27" s="402">
        <f t="shared" si="34"/>
        <v>0</v>
      </c>
      <c r="L27" s="380">
        <f t="shared" si="12"/>
        <v>24706902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19671.696</v>
      </c>
      <c r="Q27" s="382">
        <f t="shared" si="1"/>
        <v>0</v>
      </c>
      <c r="R27" s="506">
        <f t="shared" si="42"/>
        <v>0</v>
      </c>
      <c r="S27" s="380">
        <f t="shared" si="14"/>
        <v>10175</v>
      </c>
      <c r="T27" s="400">
        <f t="shared" si="2"/>
        <v>0</v>
      </c>
      <c r="U27" s="380">
        <f t="shared" si="15"/>
        <v>429166</v>
      </c>
      <c r="V27" s="382">
        <f t="shared" si="27"/>
        <v>0</v>
      </c>
      <c r="W27" s="380">
        <v>33499</v>
      </c>
      <c r="X27" s="382">
        <f t="shared" si="37"/>
        <v>0</v>
      </c>
      <c r="Y27" s="380">
        <f t="shared" si="40"/>
        <v>1000389</v>
      </c>
      <c r="Z27" s="382">
        <f t="shared" si="31"/>
        <v>0</v>
      </c>
      <c r="AA27" s="380">
        <f t="shared" si="16"/>
        <v>36804</v>
      </c>
      <c r="AB27" s="382">
        <f t="shared" si="28"/>
        <v>0</v>
      </c>
      <c r="AC27" s="380">
        <f t="shared" si="17"/>
        <v>1173391</v>
      </c>
      <c r="AD27" s="382">
        <f t="shared" si="41"/>
        <v>0</v>
      </c>
      <c r="AE27" s="403">
        <f t="shared" si="18"/>
        <v>0</v>
      </c>
      <c r="AF27" s="404">
        <f t="shared" si="4"/>
        <v>0</v>
      </c>
      <c r="AG27" s="397">
        <f t="shared" si="39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412160</v>
      </c>
      <c r="E28" s="497">
        <f t="shared" si="8"/>
        <v>0</v>
      </c>
      <c r="F28" s="380">
        <f t="shared" si="9"/>
        <v>4185784</v>
      </c>
      <c r="G28" s="402">
        <f>F28-F27</f>
        <v>0</v>
      </c>
      <c r="H28" s="380">
        <f t="shared" si="10"/>
        <v>18101262</v>
      </c>
      <c r="I28" s="402">
        <f t="shared" si="33"/>
        <v>0</v>
      </c>
      <c r="J28" s="380">
        <f t="shared" si="11"/>
        <v>29887306</v>
      </c>
      <c r="K28" s="402">
        <f t="shared" si="34"/>
        <v>0</v>
      </c>
      <c r="L28" s="380">
        <f t="shared" si="12"/>
        <v>24706902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19671.696</v>
      </c>
      <c r="Q28" s="382">
        <f t="shared" si="1"/>
        <v>0</v>
      </c>
      <c r="R28" s="506">
        <f>N28-Q28</f>
        <v>0</v>
      </c>
      <c r="S28" s="380">
        <f t="shared" si="14"/>
        <v>10175</v>
      </c>
      <c r="T28" s="400">
        <f t="shared" si="2"/>
        <v>0</v>
      </c>
      <c r="U28" s="380">
        <f t="shared" si="15"/>
        <v>429166</v>
      </c>
      <c r="V28" s="382">
        <f t="shared" si="27"/>
        <v>0</v>
      </c>
      <c r="W28" s="380">
        <v>33499</v>
      </c>
      <c r="X28" s="382">
        <f t="shared" si="37"/>
        <v>0</v>
      </c>
      <c r="Y28" s="380">
        <f t="shared" si="40"/>
        <v>1000389</v>
      </c>
      <c r="Z28" s="382">
        <f t="shared" si="31"/>
        <v>0</v>
      </c>
      <c r="AA28" s="380">
        <f t="shared" si="16"/>
        <v>36804</v>
      </c>
      <c r="AB28" s="382">
        <f t="shared" si="28"/>
        <v>0</v>
      </c>
      <c r="AC28" s="380">
        <f t="shared" si="17"/>
        <v>1173391</v>
      </c>
      <c r="AD28" s="382">
        <f t="shared" si="41"/>
        <v>0</v>
      </c>
      <c r="AE28" s="403">
        <f t="shared" si="18"/>
        <v>0</v>
      </c>
      <c r="AF28" s="404">
        <f t="shared" si="4"/>
        <v>0</v>
      </c>
      <c r="AG28" s="397">
        <f t="shared" si="39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f t="shared" si="7"/>
        <v>412160</v>
      </c>
      <c r="E29" s="497">
        <f t="shared" si="8"/>
        <v>0</v>
      </c>
      <c r="F29" s="380">
        <f t="shared" si="9"/>
        <v>4185784</v>
      </c>
      <c r="G29" s="402">
        <f>F29-F28</f>
        <v>0</v>
      </c>
      <c r="H29" s="380">
        <f t="shared" si="10"/>
        <v>18101262</v>
      </c>
      <c r="I29" s="402">
        <f>H29-H28</f>
        <v>0</v>
      </c>
      <c r="J29" s="380">
        <f t="shared" si="11"/>
        <v>29887306</v>
      </c>
      <c r="K29" s="402">
        <f>J29-J28</f>
        <v>0</v>
      </c>
      <c r="L29" s="380">
        <f t="shared" si="12"/>
        <v>24706902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13"/>
        <v>19671.696</v>
      </c>
      <c r="Q29" s="382">
        <f>(P29-P28)*1000</f>
        <v>0</v>
      </c>
      <c r="R29" s="506">
        <f t="shared" si="42"/>
        <v>0</v>
      </c>
      <c r="S29" s="380">
        <f t="shared" si="14"/>
        <v>10175</v>
      </c>
      <c r="T29" s="400">
        <f>S29-S28</f>
        <v>0</v>
      </c>
      <c r="U29" s="380">
        <f t="shared" si="15"/>
        <v>429166</v>
      </c>
      <c r="V29" s="382">
        <f>U29-U28</f>
        <v>0</v>
      </c>
      <c r="W29" s="380">
        <v>33499</v>
      </c>
      <c r="X29" s="382">
        <f>W29-W28</f>
        <v>0</v>
      </c>
      <c r="Y29" s="380">
        <f t="shared" si="40"/>
        <v>1000389</v>
      </c>
      <c r="Z29" s="382">
        <f>Y29-Y28</f>
        <v>0</v>
      </c>
      <c r="AA29" s="380">
        <f t="shared" si="16"/>
        <v>36804</v>
      </c>
      <c r="AB29" s="382">
        <f>AA29-AA28</f>
        <v>0</v>
      </c>
      <c r="AC29" s="380">
        <f t="shared" si="17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39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f t="shared" si="7"/>
        <v>412160</v>
      </c>
      <c r="E30" s="497">
        <f t="shared" si="8"/>
        <v>0</v>
      </c>
      <c r="F30" s="380">
        <f t="shared" si="9"/>
        <v>4185784</v>
      </c>
      <c r="G30" s="402">
        <f t="shared" si="32"/>
        <v>0</v>
      </c>
      <c r="H30" s="380">
        <f t="shared" si="10"/>
        <v>18101262</v>
      </c>
      <c r="I30" s="402">
        <f t="shared" si="33"/>
        <v>0</v>
      </c>
      <c r="J30" s="380">
        <f t="shared" si="11"/>
        <v>29887306</v>
      </c>
      <c r="K30" s="402">
        <f t="shared" si="34"/>
        <v>0</v>
      </c>
      <c r="L30" s="380">
        <f t="shared" si="12"/>
        <v>24706902</v>
      </c>
      <c r="M30" s="402">
        <f t="shared" si="35"/>
        <v>0</v>
      </c>
      <c r="N30" s="266">
        <f>M30+K30+I30+G30+E30</f>
        <v>0</v>
      </c>
      <c r="O30" s="399">
        <f t="shared" si="38"/>
        <v>0</v>
      </c>
      <c r="P30" s="526">
        <f t="shared" si="13"/>
        <v>19671.696</v>
      </c>
      <c r="Q30" s="382">
        <f t="shared" si="1"/>
        <v>0</v>
      </c>
      <c r="R30" s="506">
        <f>N30-Q30</f>
        <v>0</v>
      </c>
      <c r="S30" s="380">
        <f t="shared" si="14"/>
        <v>10175</v>
      </c>
      <c r="T30" s="400">
        <f t="shared" si="2"/>
        <v>0</v>
      </c>
      <c r="U30" s="380">
        <f t="shared" si="15"/>
        <v>429166</v>
      </c>
      <c r="V30" s="382">
        <f t="shared" si="27"/>
        <v>0</v>
      </c>
      <c r="W30" s="380">
        <v>33499</v>
      </c>
      <c r="X30" s="382">
        <f t="shared" si="37"/>
        <v>0</v>
      </c>
      <c r="Y30" s="380">
        <f t="shared" si="40"/>
        <v>1000389</v>
      </c>
      <c r="Z30" s="382">
        <f t="shared" si="31"/>
        <v>0</v>
      </c>
      <c r="AA30" s="380">
        <f t="shared" si="16"/>
        <v>36804</v>
      </c>
      <c r="AB30" s="382">
        <f t="shared" si="28"/>
        <v>0</v>
      </c>
      <c r="AC30" s="380">
        <f t="shared" si="17"/>
        <v>1173391</v>
      </c>
      <c r="AD30" s="382">
        <f t="shared" si="41"/>
        <v>0</v>
      </c>
      <c r="AE30" s="403">
        <f t="shared" si="18"/>
        <v>0</v>
      </c>
      <c r="AF30" s="404">
        <f t="shared" si="4"/>
        <v>0</v>
      </c>
      <c r="AG30" s="397">
        <f t="shared" si="39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f t="shared" si="7"/>
        <v>412160</v>
      </c>
      <c r="E31" s="497">
        <f t="shared" si="8"/>
        <v>0</v>
      </c>
      <c r="F31" s="380">
        <f t="shared" si="9"/>
        <v>4185784</v>
      </c>
      <c r="G31" s="402">
        <f t="shared" si="32"/>
        <v>0</v>
      </c>
      <c r="H31" s="380">
        <f t="shared" si="10"/>
        <v>18101262</v>
      </c>
      <c r="I31" s="402">
        <f t="shared" si="33"/>
        <v>0</v>
      </c>
      <c r="J31" s="380">
        <f t="shared" si="11"/>
        <v>29887306</v>
      </c>
      <c r="K31" s="402">
        <f t="shared" si="34"/>
        <v>0</v>
      </c>
      <c r="L31" s="380">
        <f t="shared" si="12"/>
        <v>24706902</v>
      </c>
      <c r="M31" s="402">
        <f t="shared" si="35"/>
        <v>0</v>
      </c>
      <c r="N31" s="266">
        <f t="shared" si="36"/>
        <v>0</v>
      </c>
      <c r="O31" s="399">
        <f t="shared" si="38"/>
        <v>0</v>
      </c>
      <c r="P31" s="526">
        <f t="shared" si="13"/>
        <v>19671.696</v>
      </c>
      <c r="Q31" s="382">
        <f t="shared" si="1"/>
        <v>0</v>
      </c>
      <c r="R31" s="506">
        <f t="shared" si="42"/>
        <v>0</v>
      </c>
      <c r="S31" s="380">
        <f t="shared" si="14"/>
        <v>10175</v>
      </c>
      <c r="T31" s="400">
        <f t="shared" si="2"/>
        <v>0</v>
      </c>
      <c r="U31" s="380">
        <f t="shared" si="15"/>
        <v>429166</v>
      </c>
      <c r="V31" s="402">
        <f>U31-U30</f>
        <v>0</v>
      </c>
      <c r="W31" s="380">
        <v>33499</v>
      </c>
      <c r="X31" s="401">
        <f t="shared" si="37"/>
        <v>0</v>
      </c>
      <c r="Y31" s="380">
        <f t="shared" si="40"/>
        <v>1000389</v>
      </c>
      <c r="Z31" s="382">
        <f t="shared" si="31"/>
        <v>0</v>
      </c>
      <c r="AA31" s="380">
        <f t="shared" si="16"/>
        <v>36804</v>
      </c>
      <c r="AB31" s="382">
        <f t="shared" si="28"/>
        <v>0</v>
      </c>
      <c r="AC31" s="380">
        <f t="shared" si="17"/>
        <v>1173391</v>
      </c>
      <c r="AD31" s="382">
        <f t="shared" si="41"/>
        <v>0</v>
      </c>
      <c r="AE31" s="403">
        <f t="shared" si="18"/>
        <v>0</v>
      </c>
      <c r="AF31" s="404">
        <f t="shared" si="4"/>
        <v>0</v>
      </c>
      <c r="AG31" s="397">
        <f t="shared" si="39"/>
        <v>0</v>
      </c>
      <c r="AJ31" s="473"/>
    </row>
    <row r="32" spans="1:36">
      <c r="A32" s="390">
        <f>'General information '!F33</f>
        <v>0</v>
      </c>
      <c r="B32" s="384">
        <f t="shared" ref="B32:B34" si="51">SUM(230*A32)</f>
        <v>0</v>
      </c>
      <c r="C32" s="391">
        <v>44924</v>
      </c>
      <c r="D32" s="380">
        <f t="shared" si="7"/>
        <v>412160</v>
      </c>
      <c r="E32" s="497">
        <f t="shared" si="8"/>
        <v>0</v>
      </c>
      <c r="F32" s="380">
        <f t="shared" si="9"/>
        <v>4185784</v>
      </c>
      <c r="G32" s="402">
        <f t="shared" si="32"/>
        <v>0</v>
      </c>
      <c r="H32" s="380">
        <f t="shared" si="10"/>
        <v>18101262</v>
      </c>
      <c r="I32" s="402">
        <f t="shared" si="33"/>
        <v>0</v>
      </c>
      <c r="J32" s="380">
        <f t="shared" si="11"/>
        <v>29887306</v>
      </c>
      <c r="K32" s="402">
        <f t="shared" si="34"/>
        <v>0</v>
      </c>
      <c r="L32" s="380">
        <f t="shared" si="12"/>
        <v>24706902</v>
      </c>
      <c r="M32" s="402">
        <f t="shared" ref="M32:M34" si="52">L32-L31</f>
        <v>0</v>
      </c>
      <c r="N32" s="266">
        <f t="shared" ref="N32:N34" si="53">M32+K32+I32+G32+E32</f>
        <v>0</v>
      </c>
      <c r="O32" s="399">
        <f t="shared" ref="O32:O34" si="54">IF(B32&gt;0,N32/B32,0)</f>
        <v>0</v>
      </c>
      <c r="P32" s="526">
        <f t="shared" si="13"/>
        <v>19671.696</v>
      </c>
      <c r="Q32" s="382">
        <f t="shared" ref="Q32:Q34" si="55">(P32-P31)*1000</f>
        <v>0</v>
      </c>
      <c r="R32" s="506">
        <f t="shared" ref="R32:R34" si="56">N32-Q32</f>
        <v>0</v>
      </c>
      <c r="S32" s="380">
        <f t="shared" si="14"/>
        <v>10175</v>
      </c>
      <c r="T32" s="400">
        <f t="shared" si="2"/>
        <v>0</v>
      </c>
      <c r="U32" s="380">
        <f t="shared" si="15"/>
        <v>429166</v>
      </c>
      <c r="V32" s="402">
        <f>U32-U31</f>
        <v>0</v>
      </c>
      <c r="W32" s="380">
        <v>33499</v>
      </c>
      <c r="X32" s="401">
        <f t="shared" ref="X32:X34" si="57">W32-W31</f>
        <v>0</v>
      </c>
      <c r="Y32" s="380">
        <f t="shared" si="40"/>
        <v>1000389</v>
      </c>
      <c r="Z32" s="382">
        <f t="shared" ref="Z32:Z34" si="58">Y32-Y31</f>
        <v>0</v>
      </c>
      <c r="AA32" s="380">
        <f t="shared" si="16"/>
        <v>36804</v>
      </c>
      <c r="AB32" s="382">
        <f t="shared" ref="AB32:AB34" si="59">AA32-AA31</f>
        <v>0</v>
      </c>
      <c r="AC32" s="380">
        <f t="shared" si="17"/>
        <v>1173391</v>
      </c>
      <c r="AD32" s="382">
        <f t="shared" ref="AD32:AD34" si="60">AC32-AC31</f>
        <v>0</v>
      </c>
      <c r="AE32" s="403">
        <f t="shared" ref="AE32:AE34" si="61">AB32+X32+T32</f>
        <v>0</v>
      </c>
      <c r="AF32" s="404">
        <f t="shared" ref="AF32:AF34" si="62">V32+Z32+AD32</f>
        <v>0</v>
      </c>
      <c r="AG32" s="397">
        <f t="shared" si="39"/>
        <v>0</v>
      </c>
      <c r="AJ32" s="473"/>
    </row>
    <row r="33" spans="1:36">
      <c r="A33" s="390">
        <f>'General information '!F34</f>
        <v>0</v>
      </c>
      <c r="B33" s="384">
        <f t="shared" si="51"/>
        <v>0</v>
      </c>
      <c r="C33" s="391">
        <v>44925</v>
      </c>
      <c r="D33" s="380">
        <f t="shared" si="7"/>
        <v>412160</v>
      </c>
      <c r="E33" s="497">
        <f t="shared" si="8"/>
        <v>0</v>
      </c>
      <c r="F33" s="380">
        <f t="shared" si="9"/>
        <v>4185784</v>
      </c>
      <c r="G33" s="402">
        <f t="shared" si="32"/>
        <v>0</v>
      </c>
      <c r="H33" s="380">
        <f t="shared" si="10"/>
        <v>18101262</v>
      </c>
      <c r="I33" s="402">
        <f t="shared" si="33"/>
        <v>0</v>
      </c>
      <c r="J33" s="380">
        <f t="shared" si="11"/>
        <v>29887306</v>
      </c>
      <c r="K33" s="402">
        <f t="shared" si="34"/>
        <v>0</v>
      </c>
      <c r="L33" s="380">
        <f t="shared" si="12"/>
        <v>24706902</v>
      </c>
      <c r="M33" s="402">
        <f t="shared" si="52"/>
        <v>0</v>
      </c>
      <c r="N33" s="266">
        <f t="shared" si="53"/>
        <v>0</v>
      </c>
      <c r="O33" s="399">
        <f t="shared" si="54"/>
        <v>0</v>
      </c>
      <c r="P33" s="526">
        <f t="shared" si="13"/>
        <v>19671.696</v>
      </c>
      <c r="Q33" s="382">
        <f t="shared" si="55"/>
        <v>0</v>
      </c>
      <c r="R33" s="506">
        <f>N33-Q33</f>
        <v>0</v>
      </c>
      <c r="S33" s="380">
        <f t="shared" si="14"/>
        <v>10175</v>
      </c>
      <c r="T33" s="400">
        <f t="shared" si="2"/>
        <v>0</v>
      </c>
      <c r="U33" s="380">
        <f t="shared" si="15"/>
        <v>429166</v>
      </c>
      <c r="V33" s="382">
        <f t="shared" ref="V33" si="63">U33-U32</f>
        <v>0</v>
      </c>
      <c r="W33" s="380">
        <v>33499</v>
      </c>
      <c r="X33" s="401">
        <f t="shared" si="57"/>
        <v>0</v>
      </c>
      <c r="Y33" s="380">
        <f t="shared" si="40"/>
        <v>1000389</v>
      </c>
      <c r="Z33" s="382">
        <f t="shared" si="58"/>
        <v>0</v>
      </c>
      <c r="AA33" s="380">
        <f t="shared" si="16"/>
        <v>36804</v>
      </c>
      <c r="AB33" s="382">
        <f t="shared" si="59"/>
        <v>0</v>
      </c>
      <c r="AC33" s="380">
        <f t="shared" si="17"/>
        <v>1173391</v>
      </c>
      <c r="AD33" s="382">
        <f t="shared" si="60"/>
        <v>0</v>
      </c>
      <c r="AE33" s="403">
        <f t="shared" si="61"/>
        <v>0</v>
      </c>
      <c r="AF33" s="404">
        <f t="shared" si="62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1"/>
        <v>0</v>
      </c>
      <c r="C34" s="391">
        <v>44926</v>
      </c>
      <c r="D34" s="380">
        <f t="shared" si="7"/>
        <v>412160</v>
      </c>
      <c r="E34" s="497">
        <f t="shared" si="8"/>
        <v>0</v>
      </c>
      <c r="F34" s="380">
        <f t="shared" si="9"/>
        <v>4185784</v>
      </c>
      <c r="G34" s="402">
        <f t="shared" si="32"/>
        <v>0</v>
      </c>
      <c r="H34" s="380">
        <f t="shared" si="10"/>
        <v>18101262</v>
      </c>
      <c r="I34" s="402">
        <f t="shared" si="33"/>
        <v>0</v>
      </c>
      <c r="J34" s="380">
        <f t="shared" si="11"/>
        <v>29887306</v>
      </c>
      <c r="K34" s="402">
        <f t="shared" si="34"/>
        <v>0</v>
      </c>
      <c r="L34" s="380">
        <f t="shared" si="12"/>
        <v>24706902</v>
      </c>
      <c r="M34" s="402">
        <f t="shared" si="52"/>
        <v>0</v>
      </c>
      <c r="N34" s="266">
        <f t="shared" si="53"/>
        <v>0</v>
      </c>
      <c r="O34" s="399">
        <f t="shared" si="54"/>
        <v>0</v>
      </c>
      <c r="P34" s="526">
        <f t="shared" si="13"/>
        <v>19671.696</v>
      </c>
      <c r="Q34" s="382">
        <f t="shared" si="55"/>
        <v>0</v>
      </c>
      <c r="R34" s="506">
        <f t="shared" si="56"/>
        <v>0</v>
      </c>
      <c r="S34" s="380">
        <f t="shared" si="14"/>
        <v>10175</v>
      </c>
      <c r="T34" s="400">
        <f t="shared" si="2"/>
        <v>0</v>
      </c>
      <c r="U34" s="380">
        <f t="shared" si="15"/>
        <v>429166</v>
      </c>
      <c r="V34" s="402">
        <f>U34-U33</f>
        <v>0</v>
      </c>
      <c r="W34" s="380">
        <v>33499</v>
      </c>
      <c r="X34" s="401">
        <f t="shared" si="57"/>
        <v>0</v>
      </c>
      <c r="Y34" s="380">
        <f t="shared" si="40"/>
        <v>1000389</v>
      </c>
      <c r="Z34" s="382">
        <f t="shared" si="58"/>
        <v>0</v>
      </c>
      <c r="AA34" s="380">
        <f t="shared" si="16"/>
        <v>36804</v>
      </c>
      <c r="AB34" s="382">
        <f t="shared" si="59"/>
        <v>0</v>
      </c>
      <c r="AC34" s="380">
        <f t="shared" si="17"/>
        <v>1173391</v>
      </c>
      <c r="AD34" s="382">
        <f t="shared" si="60"/>
        <v>0</v>
      </c>
      <c r="AE34" s="403">
        <f t="shared" si="61"/>
        <v>0</v>
      </c>
      <c r="AF34" s="404">
        <f t="shared" si="62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H3" activePane="bottomLeft" state="frozen"/>
      <selection pane="bottomLeft" activeCell="AI12" sqref="AI12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1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[2]B5!$A$34</f>
        <v>44895</v>
      </c>
      <c r="B4" s="337">
        <f>[2]B5!B34</f>
        <v>243</v>
      </c>
      <c r="C4" s="337">
        <f>[2]B5!C34</f>
        <v>250</v>
      </c>
      <c r="D4" s="337">
        <f>[2]B5!D34</f>
        <v>-35</v>
      </c>
      <c r="E4" s="337">
        <f>[2]B5!E34</f>
        <v>-293.3</v>
      </c>
      <c r="F4" s="337">
        <f>[2]B5!F34</f>
        <v>2331</v>
      </c>
      <c r="G4" s="337">
        <f>[2]B5!G34</f>
        <v>0</v>
      </c>
      <c r="H4" s="337">
        <f>[2]B5!H34</f>
        <v>50123</v>
      </c>
      <c r="I4" s="337">
        <f>[2]B5!I34</f>
        <v>0</v>
      </c>
      <c r="J4" s="337">
        <f>[2]B5!J34</f>
        <v>0</v>
      </c>
      <c r="K4" s="337">
        <f>[2]B5!K34</f>
        <v>2478</v>
      </c>
      <c r="L4" s="337">
        <f>[2]B5!L34</f>
        <v>2</v>
      </c>
      <c r="M4" s="337">
        <f>[2]B5!M34</f>
        <v>184687</v>
      </c>
      <c r="N4" s="337">
        <f>[2]B5!N34</f>
        <v>223</v>
      </c>
      <c r="O4" s="337">
        <f>[2]B5!O34</f>
        <v>1869</v>
      </c>
      <c r="P4" s="337">
        <f>[2]B5!P34</f>
        <v>2232</v>
      </c>
      <c r="Q4" s="337">
        <f>[2]B5!Q34</f>
        <v>186541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f>[2]B5!U34</f>
        <v>2</v>
      </c>
      <c r="V4" s="337">
        <f>[2]B5!V34</f>
        <v>223</v>
      </c>
      <c r="W4" s="337">
        <f>[2]B5!W34</f>
        <v>0</v>
      </c>
      <c r="X4" s="337">
        <f>[2]B5!X34</f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f>[2]B5!AC34</f>
        <v>1954</v>
      </c>
      <c r="AD4" s="337">
        <f>[2]B5!AD34</f>
        <v>0</v>
      </c>
      <c r="AE4" s="337">
        <f>[2]B5!AE34</f>
        <v>367168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f>[2]B5!AI34</f>
        <v>223</v>
      </c>
      <c r="AJ4" s="337">
        <f>[2]B5!AJ34</f>
        <v>223</v>
      </c>
      <c r="AK4" s="337">
        <f>[2]B5!AK34</f>
        <v>0</v>
      </c>
      <c r="AL4" s="337">
        <f>[2]B5!AL34</f>
        <v>2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94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f t="shared" si="9"/>
        <v>222</v>
      </c>
      <c r="C15" s="63">
        <f t="shared" si="10"/>
        <v>229</v>
      </c>
      <c r="D15" s="44">
        <f t="shared" si="36"/>
        <v>0</v>
      </c>
      <c r="E15" s="44">
        <f t="shared" si="11"/>
        <v>0</v>
      </c>
      <c r="F15" s="468">
        <f t="shared" si="12"/>
        <v>2331</v>
      </c>
      <c r="G15" s="51">
        <f t="shared" si="0"/>
        <v>0</v>
      </c>
      <c r="H15" s="468">
        <f t="shared" si="13"/>
        <v>50130</v>
      </c>
      <c r="I15" s="338">
        <f t="shared" si="1"/>
        <v>0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f t="shared" si="3"/>
        <v>2237</v>
      </c>
      <c r="Q15" s="468">
        <f t="shared" ref="Q15:Q35" si="45">Q14</f>
        <v>186907</v>
      </c>
      <c r="R15" s="337">
        <f t="shared" si="44"/>
        <v>0</v>
      </c>
      <c r="S15" s="51">
        <f t="shared" si="5"/>
        <v>0</v>
      </c>
      <c r="T15" s="66">
        <f t="shared" si="37"/>
        <v>0</v>
      </c>
      <c r="U15" s="344">
        <f t="shared" si="18"/>
        <v>0</v>
      </c>
      <c r="V15" s="61">
        <f t="shared" si="19"/>
        <v>0</v>
      </c>
      <c r="W15" s="342" t="e">
        <f t="shared" si="20"/>
        <v>#DIV/0!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f t="shared" si="25"/>
        <v>367366</v>
      </c>
      <c r="AF15" s="263">
        <f t="shared" si="26"/>
        <v>0</v>
      </c>
      <c r="AG15" s="196">
        <f t="shared" si="39"/>
        <v>0</v>
      </c>
      <c r="AH15" s="61">
        <f t="shared" si="40"/>
        <v>0</v>
      </c>
      <c r="AI15" s="271">
        <f t="shared" si="27"/>
        <v>0</v>
      </c>
      <c r="AJ15" s="271">
        <f>-tanks!AW16</f>
        <v>0</v>
      </c>
      <c r="AK15" s="271">
        <f t="shared" si="28"/>
        <v>0</v>
      </c>
      <c r="AL15" s="271">
        <f t="shared" si="8"/>
        <v>0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f t="shared" si="9"/>
        <v>222</v>
      </c>
      <c r="C16" s="63">
        <f t="shared" si="10"/>
        <v>229</v>
      </c>
      <c r="D16" s="44">
        <f t="shared" si="36"/>
        <v>0</v>
      </c>
      <c r="E16" s="44">
        <f t="shared" si="11"/>
        <v>0</v>
      </c>
      <c r="F16" s="468">
        <f t="shared" si="12"/>
        <v>2331</v>
      </c>
      <c r="G16" s="51">
        <f t="shared" si="0"/>
        <v>0</v>
      </c>
      <c r="H16" s="468">
        <f t="shared" si="13"/>
        <v>50130</v>
      </c>
      <c r="I16" s="338">
        <f t="shared" si="1"/>
        <v>0</v>
      </c>
      <c r="J16" s="65">
        <f t="shared" si="14"/>
        <v>0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2237</v>
      </c>
      <c r="Q16" s="468">
        <f t="shared" si="45"/>
        <v>186907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0</v>
      </c>
      <c r="V16" s="61">
        <f t="shared" si="19"/>
        <v>0</v>
      </c>
      <c r="W16" s="342" t="e">
        <f t="shared" si="20"/>
        <v>#DIV/0!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f t="shared" si="24"/>
        <v>1956</v>
      </c>
      <c r="AD16" s="44">
        <f t="shared" si="7"/>
        <v>0</v>
      </c>
      <c r="AE16" s="468">
        <f t="shared" si="25"/>
        <v>367366</v>
      </c>
      <c r="AF16" s="263">
        <f t="shared" si="26"/>
        <v>0</v>
      </c>
      <c r="AG16" s="196">
        <f t="shared" si="39"/>
        <v>0</v>
      </c>
      <c r="AH16" s="61">
        <f t="shared" si="40"/>
        <v>0</v>
      </c>
      <c r="AI16" s="271">
        <f t="shared" si="27"/>
        <v>0</v>
      </c>
      <c r="AJ16" s="271">
        <f>-tanks!AW17</f>
        <v>0</v>
      </c>
      <c r="AK16" s="271">
        <f t="shared" si="28"/>
        <v>0</v>
      </c>
      <c r="AL16" s="271">
        <f t="shared" si="8"/>
        <v>0</v>
      </c>
      <c r="AM16" s="271">
        <f t="shared" si="29"/>
        <v>0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f t="shared" si="9"/>
        <v>222</v>
      </c>
      <c r="C17" s="63">
        <f t="shared" si="10"/>
        <v>229</v>
      </c>
      <c r="D17" s="44">
        <f t="shared" si="36"/>
        <v>0</v>
      </c>
      <c r="E17" s="44">
        <f t="shared" si="11"/>
        <v>0</v>
      </c>
      <c r="F17" s="468">
        <f t="shared" si="12"/>
        <v>2331</v>
      </c>
      <c r="G17" s="51">
        <f t="shared" si="0"/>
        <v>0</v>
      </c>
      <c r="H17" s="468">
        <f t="shared" si="13"/>
        <v>50130</v>
      </c>
      <c r="I17" s="338">
        <f t="shared" si="1"/>
        <v>0</v>
      </c>
      <c r="J17" s="65">
        <f t="shared" si="14"/>
        <v>0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2237</v>
      </c>
      <c r="Q17" s="468">
        <f t="shared" si="45"/>
        <v>186907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0</v>
      </c>
      <c r="V17" s="61">
        <f t="shared" si="19"/>
        <v>0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1956</v>
      </c>
      <c r="AD17" s="44">
        <f t="shared" si="7"/>
        <v>0</v>
      </c>
      <c r="AE17" s="468">
        <f t="shared" si="25"/>
        <v>367366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0</v>
      </c>
      <c r="AJ17" s="271">
        <f>-tanks!AW18</f>
        <v>0</v>
      </c>
      <c r="AK17" s="271">
        <f t="shared" si="28"/>
        <v>0</v>
      </c>
      <c r="AL17" s="271">
        <f t="shared" si="8"/>
        <v>0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f t="shared" si="9"/>
        <v>222</v>
      </c>
      <c r="C18" s="63">
        <f t="shared" si="10"/>
        <v>229</v>
      </c>
      <c r="D18" s="44">
        <f t="shared" si="36"/>
        <v>0</v>
      </c>
      <c r="E18" s="44">
        <f t="shared" si="11"/>
        <v>0</v>
      </c>
      <c r="F18" s="468">
        <f t="shared" si="12"/>
        <v>2331</v>
      </c>
      <c r="G18" s="51">
        <f t="shared" si="0"/>
        <v>0</v>
      </c>
      <c r="H18" s="468">
        <f t="shared" si="13"/>
        <v>50130</v>
      </c>
      <c r="I18" s="338">
        <f t="shared" si="1"/>
        <v>0</v>
      </c>
      <c r="J18" s="65">
        <f t="shared" si="14"/>
        <v>0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2237</v>
      </c>
      <c r="Q18" s="468">
        <f t="shared" si="45"/>
        <v>186907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0</v>
      </c>
      <c r="V18" s="61">
        <f t="shared" si="19"/>
        <v>0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1956</v>
      </c>
      <c r="AD18" s="44">
        <f t="shared" si="7"/>
        <v>0</v>
      </c>
      <c r="AE18" s="468">
        <f t="shared" si="25"/>
        <v>367366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0</v>
      </c>
      <c r="AJ18" s="271">
        <f>-tanks!AW19</f>
        <v>0</v>
      </c>
      <c r="AK18" s="271">
        <f t="shared" si="28"/>
        <v>0</v>
      </c>
      <c r="AL18" s="271">
        <f t="shared" si="8"/>
        <v>0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f t="shared" si="9"/>
        <v>222</v>
      </c>
      <c r="C19" s="63">
        <f t="shared" si="10"/>
        <v>229</v>
      </c>
      <c r="D19" s="44">
        <f t="shared" si="36"/>
        <v>0</v>
      </c>
      <c r="E19" s="44">
        <f t="shared" si="11"/>
        <v>0</v>
      </c>
      <c r="F19" s="468">
        <f t="shared" si="12"/>
        <v>2331</v>
      </c>
      <c r="G19" s="51">
        <f t="shared" si="0"/>
        <v>0</v>
      </c>
      <c r="H19" s="468">
        <f t="shared" si="13"/>
        <v>50130</v>
      </c>
      <c r="I19" s="338">
        <f t="shared" si="1"/>
        <v>0</v>
      </c>
      <c r="J19" s="65">
        <f t="shared" si="14"/>
        <v>0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2237</v>
      </c>
      <c r="Q19" s="468">
        <f t="shared" si="45"/>
        <v>186907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0</v>
      </c>
      <c r="V19" s="61">
        <f t="shared" si="19"/>
        <v>0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1956</v>
      </c>
      <c r="AD19" s="44">
        <f t="shared" si="7"/>
        <v>0</v>
      </c>
      <c r="AE19" s="468">
        <f t="shared" si="25"/>
        <v>367366</v>
      </c>
      <c r="AF19" s="263">
        <f t="shared" si="26"/>
        <v>0</v>
      </c>
      <c r="AG19" s="196">
        <f t="shared" si="39"/>
        <v>0</v>
      </c>
      <c r="AH19" s="61">
        <f t="shared" si="40"/>
        <v>0</v>
      </c>
      <c r="AI19" s="271">
        <f t="shared" si="27"/>
        <v>0</v>
      </c>
      <c r="AJ19" s="271">
        <f>-tanks!AW20</f>
        <v>0</v>
      </c>
      <c r="AK19" s="271">
        <f t="shared" si="28"/>
        <v>0</v>
      </c>
      <c r="AL19" s="271">
        <f t="shared" si="8"/>
        <v>0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222</v>
      </c>
      <c r="C20" s="63">
        <f t="shared" si="10"/>
        <v>229</v>
      </c>
      <c r="D20" s="44">
        <f>C19-C20</f>
        <v>0</v>
      </c>
      <c r="E20" s="44">
        <f t="shared" si="11"/>
        <v>0</v>
      </c>
      <c r="F20" s="468">
        <f t="shared" si="12"/>
        <v>2331</v>
      </c>
      <c r="G20" s="51">
        <f t="shared" si="0"/>
        <v>0</v>
      </c>
      <c r="H20" s="468">
        <f t="shared" si="13"/>
        <v>50130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2237</v>
      </c>
      <c r="Q20" s="468">
        <f t="shared" si="45"/>
        <v>186907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1956</v>
      </c>
      <c r="AD20" s="44">
        <f t="shared" si="7"/>
        <v>0</v>
      </c>
      <c r="AE20" s="468">
        <f t="shared" si="25"/>
        <v>367366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222</v>
      </c>
      <c r="C21" s="63">
        <f t="shared" si="10"/>
        <v>229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2331</v>
      </c>
      <c r="G21" s="51">
        <f t="shared" si="0"/>
        <v>0</v>
      </c>
      <c r="H21" s="468">
        <f t="shared" si="13"/>
        <v>50130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2237</v>
      </c>
      <c r="Q21" s="468">
        <f t="shared" si="45"/>
        <v>186907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1956</v>
      </c>
      <c r="AD21" s="44">
        <f t="shared" si="7"/>
        <v>0</v>
      </c>
      <c r="AE21" s="468">
        <f t="shared" si="25"/>
        <v>367366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f t="shared" si="9"/>
        <v>222</v>
      </c>
      <c r="C22" s="63">
        <f t="shared" si="10"/>
        <v>229</v>
      </c>
      <c r="D22" s="44">
        <f t="shared" si="49"/>
        <v>0</v>
      </c>
      <c r="E22" s="44">
        <f t="shared" si="11"/>
        <v>0</v>
      </c>
      <c r="F22" s="468">
        <f t="shared" si="12"/>
        <v>2331</v>
      </c>
      <c r="G22" s="51">
        <f t="shared" si="0"/>
        <v>0</v>
      </c>
      <c r="H22" s="468">
        <f t="shared" si="13"/>
        <v>50130</v>
      </c>
      <c r="I22" s="338">
        <f t="shared" si="1"/>
        <v>0</v>
      </c>
      <c r="J22" s="65">
        <f t="shared" si="14"/>
        <v>0</v>
      </c>
      <c r="K22" s="468">
        <f t="shared" si="15"/>
        <v>2481</v>
      </c>
      <c r="L22" s="51">
        <f t="shared" si="16"/>
        <v>0</v>
      </c>
      <c r="M22" s="63">
        <f t="shared" si="17"/>
        <v>184975</v>
      </c>
      <c r="N22" s="338">
        <f t="shared" si="2"/>
        <v>0</v>
      </c>
      <c r="O22" s="63">
        <f t="shared" si="48"/>
        <v>1869</v>
      </c>
      <c r="P22" s="468">
        <f t="shared" si="46"/>
        <v>2237</v>
      </c>
      <c r="Q22" s="468">
        <f t="shared" si="45"/>
        <v>186907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0</v>
      </c>
      <c r="V22" s="61">
        <f t="shared" si="19"/>
        <v>0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1956</v>
      </c>
      <c r="AD22" s="44">
        <f t="shared" si="7"/>
        <v>0</v>
      </c>
      <c r="AE22" s="468">
        <f t="shared" si="25"/>
        <v>367366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0</v>
      </c>
      <c r="AJ22" s="271">
        <f>-tanks!AW23</f>
        <v>0</v>
      </c>
      <c r="AK22" s="271">
        <f t="shared" si="28"/>
        <v>0</v>
      </c>
      <c r="AL22" s="271">
        <f t="shared" si="8"/>
        <v>0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f t="shared" si="9"/>
        <v>222</v>
      </c>
      <c r="C23" s="63">
        <f t="shared" si="10"/>
        <v>229</v>
      </c>
      <c r="D23" s="44">
        <f t="shared" si="49"/>
        <v>0</v>
      </c>
      <c r="E23" s="44">
        <f t="shared" si="11"/>
        <v>0</v>
      </c>
      <c r="F23" s="468">
        <f t="shared" si="12"/>
        <v>2331</v>
      </c>
      <c r="G23" s="51">
        <f t="shared" si="0"/>
        <v>0</v>
      </c>
      <c r="H23" s="468">
        <f t="shared" si="13"/>
        <v>50130</v>
      </c>
      <c r="I23" s="338">
        <f t="shared" si="1"/>
        <v>0</v>
      </c>
      <c r="J23" s="65">
        <f t="shared" si="14"/>
        <v>0</v>
      </c>
      <c r="K23" s="468">
        <f t="shared" si="15"/>
        <v>2481</v>
      </c>
      <c r="L23" s="51">
        <f t="shared" si="16"/>
        <v>0</v>
      </c>
      <c r="M23" s="63">
        <f t="shared" si="17"/>
        <v>184975</v>
      </c>
      <c r="N23" s="338">
        <f t="shared" si="2"/>
        <v>0</v>
      </c>
      <c r="O23" s="63">
        <f t="shared" si="48"/>
        <v>1869</v>
      </c>
      <c r="P23" s="468">
        <f t="shared" si="46"/>
        <v>2237</v>
      </c>
      <c r="Q23" s="468">
        <f t="shared" si="45"/>
        <v>186907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0</v>
      </c>
      <c r="V23" s="61">
        <f t="shared" si="19"/>
        <v>0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1956</v>
      </c>
      <c r="AD23" s="44">
        <f t="shared" si="7"/>
        <v>0</v>
      </c>
      <c r="AE23" s="468">
        <f t="shared" si="25"/>
        <v>367366</v>
      </c>
      <c r="AF23" s="263">
        <f t="shared" si="26"/>
        <v>0</v>
      </c>
      <c r="AG23" s="196">
        <f t="shared" si="39"/>
        <v>0</v>
      </c>
      <c r="AH23" s="61">
        <f t="shared" si="40"/>
        <v>0</v>
      </c>
      <c r="AI23" s="271">
        <f>SUM(AH23+V23)</f>
        <v>0</v>
      </c>
      <c r="AJ23" s="271">
        <f>-tanks!AW24</f>
        <v>0</v>
      </c>
      <c r="AK23" s="271">
        <f>SUM(AJ23-AI23)</f>
        <v>0</v>
      </c>
      <c r="AL23" s="271">
        <f>S23+L23+G23</f>
        <v>0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f t="shared" si="9"/>
        <v>222</v>
      </c>
      <c r="C24" s="63">
        <f t="shared" si="10"/>
        <v>229</v>
      </c>
      <c r="D24" s="44">
        <f t="shared" si="49"/>
        <v>0</v>
      </c>
      <c r="E24" s="44">
        <f t="shared" si="11"/>
        <v>0</v>
      </c>
      <c r="F24" s="468">
        <f t="shared" si="12"/>
        <v>2331</v>
      </c>
      <c r="G24" s="51">
        <f t="shared" si="0"/>
        <v>0</v>
      </c>
      <c r="H24" s="468">
        <f t="shared" si="13"/>
        <v>50130</v>
      </c>
      <c r="I24" s="338">
        <f t="shared" si="1"/>
        <v>0</v>
      </c>
      <c r="J24" s="65">
        <f t="shared" si="14"/>
        <v>0</v>
      </c>
      <c r="K24" s="468">
        <f t="shared" si="15"/>
        <v>2481</v>
      </c>
      <c r="L24" s="51">
        <f t="shared" si="16"/>
        <v>0</v>
      </c>
      <c r="M24" s="63">
        <f t="shared" si="17"/>
        <v>184975</v>
      </c>
      <c r="N24" s="338">
        <f t="shared" si="2"/>
        <v>0</v>
      </c>
      <c r="O24" s="63">
        <f t="shared" si="48"/>
        <v>1869</v>
      </c>
      <c r="P24" s="468">
        <f t="shared" si="46"/>
        <v>2237</v>
      </c>
      <c r="Q24" s="468">
        <f t="shared" si="45"/>
        <v>186907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0</v>
      </c>
      <c r="V24" s="61">
        <f t="shared" si="19"/>
        <v>0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1956</v>
      </c>
      <c r="AD24" s="44">
        <f t="shared" si="7"/>
        <v>0</v>
      </c>
      <c r="AE24" s="468">
        <f t="shared" si="25"/>
        <v>367366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0</v>
      </c>
      <c r="AJ24" s="271">
        <f>-tanks!AW25</f>
        <v>0</v>
      </c>
      <c r="AK24" s="271">
        <f t="shared" si="28"/>
        <v>0</v>
      </c>
      <c r="AL24" s="271">
        <f t="shared" si="8"/>
        <v>0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f t="shared" si="9"/>
        <v>222</v>
      </c>
      <c r="C25" s="63">
        <f t="shared" si="10"/>
        <v>229</v>
      </c>
      <c r="D25" s="44">
        <f t="shared" si="49"/>
        <v>0</v>
      </c>
      <c r="E25" s="44">
        <f t="shared" si="11"/>
        <v>0</v>
      </c>
      <c r="F25" s="468">
        <f t="shared" si="12"/>
        <v>2331</v>
      </c>
      <c r="G25" s="51">
        <f t="shared" si="0"/>
        <v>0</v>
      </c>
      <c r="H25" s="468">
        <f t="shared" si="13"/>
        <v>50130</v>
      </c>
      <c r="I25" s="338">
        <f t="shared" si="1"/>
        <v>0</v>
      </c>
      <c r="J25" s="65">
        <f t="shared" si="14"/>
        <v>0</v>
      </c>
      <c r="K25" s="468">
        <f t="shared" si="15"/>
        <v>2481</v>
      </c>
      <c r="L25" s="51">
        <f t="shared" si="16"/>
        <v>0</v>
      </c>
      <c r="M25" s="63">
        <f t="shared" si="17"/>
        <v>184975</v>
      </c>
      <c r="N25" s="338">
        <f t="shared" si="2"/>
        <v>0</v>
      </c>
      <c r="O25" s="63">
        <f t="shared" si="48"/>
        <v>1869</v>
      </c>
      <c r="P25" s="468">
        <f t="shared" si="46"/>
        <v>2237</v>
      </c>
      <c r="Q25" s="468">
        <f t="shared" si="45"/>
        <v>186907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1956</v>
      </c>
      <c r="AD25" s="44">
        <f t="shared" si="7"/>
        <v>0</v>
      </c>
      <c r="AE25" s="468">
        <f t="shared" si="25"/>
        <v>367366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f t="shared" si="9"/>
        <v>222</v>
      </c>
      <c r="C26" s="63">
        <f t="shared" si="10"/>
        <v>229</v>
      </c>
      <c r="D26" s="44">
        <f t="shared" si="49"/>
        <v>0</v>
      </c>
      <c r="E26" s="44">
        <f t="shared" si="11"/>
        <v>0</v>
      </c>
      <c r="F26" s="468">
        <f t="shared" si="12"/>
        <v>2331</v>
      </c>
      <c r="G26" s="51">
        <f t="shared" si="0"/>
        <v>0</v>
      </c>
      <c r="H26" s="468">
        <f t="shared" si="13"/>
        <v>50130</v>
      </c>
      <c r="I26" s="338">
        <f t="shared" si="1"/>
        <v>0</v>
      </c>
      <c r="J26" s="65">
        <f t="shared" si="14"/>
        <v>0</v>
      </c>
      <c r="K26" s="468">
        <f t="shared" si="15"/>
        <v>2481</v>
      </c>
      <c r="L26" s="51">
        <f t="shared" si="16"/>
        <v>0</v>
      </c>
      <c r="M26" s="63">
        <f t="shared" si="17"/>
        <v>184975</v>
      </c>
      <c r="N26" s="338">
        <f t="shared" si="2"/>
        <v>0</v>
      </c>
      <c r="O26" s="63">
        <f t="shared" si="48"/>
        <v>1869</v>
      </c>
      <c r="P26" s="468">
        <f t="shared" si="46"/>
        <v>2237</v>
      </c>
      <c r="Q26" s="468">
        <f t="shared" si="45"/>
        <v>186907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0</v>
      </c>
      <c r="V26" s="61">
        <f t="shared" si="19"/>
        <v>0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f t="shared" si="24"/>
        <v>1956</v>
      </c>
      <c r="AD26" s="44">
        <f t="shared" si="7"/>
        <v>0</v>
      </c>
      <c r="AE26" s="468">
        <f t="shared" si="25"/>
        <v>367366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0</v>
      </c>
      <c r="AJ26" s="271">
        <f>-tanks!AW27</f>
        <v>0</v>
      </c>
      <c r="AK26" s="271">
        <f t="shared" si="28"/>
        <v>0</v>
      </c>
      <c r="AL26" s="271">
        <f t="shared" si="8"/>
        <v>0</v>
      </c>
      <c r="AM26" s="271">
        <f t="shared" si="29"/>
        <v>0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222</v>
      </c>
      <c r="C27" s="63">
        <f t="shared" si="10"/>
        <v>229</v>
      </c>
      <c r="D27" s="44">
        <f t="shared" si="49"/>
        <v>0</v>
      </c>
      <c r="E27" s="44">
        <f t="shared" si="11"/>
        <v>0</v>
      </c>
      <c r="F27" s="468">
        <f t="shared" si="12"/>
        <v>2331</v>
      </c>
      <c r="G27" s="51">
        <f t="shared" si="0"/>
        <v>0</v>
      </c>
      <c r="H27" s="468">
        <f t="shared" si="13"/>
        <v>50130</v>
      </c>
      <c r="I27" s="338">
        <f t="shared" si="1"/>
        <v>0</v>
      </c>
      <c r="J27" s="65">
        <f t="shared" si="14"/>
        <v>0</v>
      </c>
      <c r="K27" s="468">
        <f t="shared" si="15"/>
        <v>2481</v>
      </c>
      <c r="L27" s="51">
        <f t="shared" si="16"/>
        <v>0</v>
      </c>
      <c r="M27" s="63">
        <f t="shared" si="17"/>
        <v>184975</v>
      </c>
      <c r="N27" s="338">
        <f t="shared" si="2"/>
        <v>0</v>
      </c>
      <c r="O27" s="63">
        <f t="shared" si="48"/>
        <v>1869</v>
      </c>
      <c r="P27" s="468">
        <f t="shared" si="46"/>
        <v>2237</v>
      </c>
      <c r="Q27" s="468">
        <f t="shared" si="45"/>
        <v>186907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1956</v>
      </c>
      <c r="AD27" s="44">
        <f t="shared" si="7"/>
        <v>0</v>
      </c>
      <c r="AE27" s="468">
        <f t="shared" si="25"/>
        <v>367366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222</v>
      </c>
      <c r="C28" s="63">
        <f t="shared" si="10"/>
        <v>229</v>
      </c>
      <c r="D28" s="44">
        <f t="shared" si="49"/>
        <v>0</v>
      </c>
      <c r="E28" s="44">
        <f t="shared" si="11"/>
        <v>0</v>
      </c>
      <c r="F28" s="468">
        <f t="shared" si="12"/>
        <v>2331</v>
      </c>
      <c r="G28" s="51">
        <f t="shared" si="0"/>
        <v>0</v>
      </c>
      <c r="H28" s="468">
        <f t="shared" si="13"/>
        <v>50130</v>
      </c>
      <c r="I28" s="338">
        <f t="shared" si="1"/>
        <v>0</v>
      </c>
      <c r="J28" s="65">
        <f t="shared" si="14"/>
        <v>0</v>
      </c>
      <c r="K28" s="468">
        <f t="shared" si="15"/>
        <v>2481</v>
      </c>
      <c r="L28" s="51">
        <f t="shared" si="16"/>
        <v>0</v>
      </c>
      <c r="M28" s="63">
        <f t="shared" si="17"/>
        <v>184975</v>
      </c>
      <c r="N28" s="338">
        <f t="shared" si="2"/>
        <v>0</v>
      </c>
      <c r="O28" s="63">
        <f t="shared" si="48"/>
        <v>1869</v>
      </c>
      <c r="P28" s="468">
        <f t="shared" si="46"/>
        <v>2237</v>
      </c>
      <c r="Q28" s="468">
        <f t="shared" si="45"/>
        <v>186907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1956</v>
      </c>
      <c r="AD28" s="44">
        <f t="shared" si="7"/>
        <v>0</v>
      </c>
      <c r="AE28" s="468">
        <f t="shared" si="25"/>
        <v>367366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222</v>
      </c>
      <c r="C29" s="63">
        <f t="shared" si="10"/>
        <v>229</v>
      </c>
      <c r="D29" s="44">
        <f t="shared" si="49"/>
        <v>0</v>
      </c>
      <c r="E29" s="44">
        <f t="shared" si="11"/>
        <v>0</v>
      </c>
      <c r="F29" s="468">
        <f t="shared" si="12"/>
        <v>2331</v>
      </c>
      <c r="G29" s="51">
        <f t="shared" si="0"/>
        <v>0</v>
      </c>
      <c r="H29" s="468">
        <f t="shared" si="13"/>
        <v>50130</v>
      </c>
      <c r="I29" s="338">
        <f t="shared" si="1"/>
        <v>0</v>
      </c>
      <c r="J29" s="65">
        <f t="shared" si="14"/>
        <v>0</v>
      </c>
      <c r="K29" s="468">
        <f t="shared" si="15"/>
        <v>2481</v>
      </c>
      <c r="L29" s="51">
        <f t="shared" si="16"/>
        <v>0</v>
      </c>
      <c r="M29" s="63">
        <f t="shared" si="17"/>
        <v>184975</v>
      </c>
      <c r="N29" s="338">
        <f t="shared" si="2"/>
        <v>0</v>
      </c>
      <c r="O29" s="63">
        <f t="shared" si="48"/>
        <v>1869</v>
      </c>
      <c r="P29" s="468">
        <f t="shared" si="46"/>
        <v>2237</v>
      </c>
      <c r="Q29" s="468">
        <f t="shared" si="45"/>
        <v>186907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1956</v>
      </c>
      <c r="AD29" s="44">
        <f t="shared" si="7"/>
        <v>0</v>
      </c>
      <c r="AE29" s="468">
        <f t="shared" si="25"/>
        <v>367366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f t="shared" si="9"/>
        <v>222</v>
      </c>
      <c r="C30" s="63">
        <f t="shared" si="10"/>
        <v>229</v>
      </c>
      <c r="D30" s="44">
        <f>C29-C30</f>
        <v>0</v>
      </c>
      <c r="E30" s="44">
        <f>D30*8.38</f>
        <v>0</v>
      </c>
      <c r="F30" s="468">
        <f t="shared" si="12"/>
        <v>2331</v>
      </c>
      <c r="G30" s="51">
        <f>F30-F29</f>
        <v>0</v>
      </c>
      <c r="H30" s="468">
        <f t="shared" si="13"/>
        <v>50130</v>
      </c>
      <c r="I30" s="338">
        <f t="shared" si="1"/>
        <v>0</v>
      </c>
      <c r="J30" s="65">
        <f>IF(G30&gt;0,I30/G30,0)</f>
        <v>0</v>
      </c>
      <c r="K30" s="468">
        <f t="shared" si="15"/>
        <v>2481</v>
      </c>
      <c r="L30" s="51">
        <f>K30-K29</f>
        <v>0</v>
      </c>
      <c r="M30" s="63">
        <f t="shared" si="17"/>
        <v>184975</v>
      </c>
      <c r="N30" s="338">
        <f>M30-M29</f>
        <v>0</v>
      </c>
      <c r="O30" s="63">
        <f t="shared" si="48"/>
        <v>1869</v>
      </c>
      <c r="P30" s="468">
        <f t="shared" si="46"/>
        <v>2237</v>
      </c>
      <c r="Q30" s="468">
        <f t="shared" si="45"/>
        <v>186907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9"/>
        <v>0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1956</v>
      </c>
      <c r="AD30" s="237">
        <f>AC30-AC29</f>
        <v>0</v>
      </c>
      <c r="AE30" s="468">
        <f t="shared" si="25"/>
        <v>367366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0</v>
      </c>
      <c r="AJ30" s="271">
        <f>-tanks!AW31</f>
        <v>0</v>
      </c>
      <c r="AK30" s="271">
        <f t="shared" si="28"/>
        <v>0</v>
      </c>
      <c r="AL30" s="271">
        <f t="shared" si="8"/>
        <v>0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f t="shared" si="9"/>
        <v>222</v>
      </c>
      <c r="C31" s="63">
        <f t="shared" si="10"/>
        <v>229</v>
      </c>
      <c r="D31" s="44">
        <f t="shared" si="49"/>
        <v>0</v>
      </c>
      <c r="E31" s="44">
        <f t="shared" si="11"/>
        <v>0</v>
      </c>
      <c r="F31" s="468">
        <f t="shared" si="12"/>
        <v>2331</v>
      </c>
      <c r="G31" s="51">
        <f t="shared" si="0"/>
        <v>0</v>
      </c>
      <c r="H31" s="468">
        <f t="shared" si="13"/>
        <v>50130</v>
      </c>
      <c r="I31" s="338">
        <f t="shared" si="1"/>
        <v>0</v>
      </c>
      <c r="J31" s="65">
        <f t="shared" si="14"/>
        <v>0</v>
      </c>
      <c r="K31" s="468">
        <f t="shared" si="15"/>
        <v>2481</v>
      </c>
      <c r="L31" s="51">
        <f t="shared" si="16"/>
        <v>0</v>
      </c>
      <c r="M31" s="63">
        <f t="shared" si="17"/>
        <v>184975</v>
      </c>
      <c r="N31" s="338">
        <f t="shared" si="2"/>
        <v>0</v>
      </c>
      <c r="O31" s="63">
        <f t="shared" si="48"/>
        <v>1869</v>
      </c>
      <c r="P31" s="468">
        <f t="shared" si="46"/>
        <v>2237</v>
      </c>
      <c r="Q31" s="468">
        <f t="shared" si="45"/>
        <v>186907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0</v>
      </c>
      <c r="V31" s="61">
        <f t="shared" si="19"/>
        <v>0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f t="shared" si="24"/>
        <v>1956</v>
      </c>
      <c r="AD31" s="237">
        <f t="shared" si="7"/>
        <v>0</v>
      </c>
      <c r="AE31" s="468">
        <f t="shared" si="25"/>
        <v>367366</v>
      </c>
      <c r="AF31" s="263">
        <f t="shared" si="26"/>
        <v>0</v>
      </c>
      <c r="AG31" s="196">
        <f t="shared" si="39"/>
        <v>0</v>
      </c>
      <c r="AH31" s="61">
        <f t="shared" si="40"/>
        <v>0</v>
      </c>
      <c r="AI31" s="271">
        <f t="shared" si="27"/>
        <v>0</v>
      </c>
      <c r="AJ31" s="271">
        <f>-tanks!AW32</f>
        <v>0</v>
      </c>
      <c r="AK31" s="271">
        <f t="shared" si="28"/>
        <v>0</v>
      </c>
      <c r="AL31" s="271">
        <f t="shared" si="8"/>
        <v>0</v>
      </c>
      <c r="AM31" s="271">
        <f t="shared" si="29"/>
        <v>0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f t="shared" si="9"/>
        <v>222</v>
      </c>
      <c r="C32" s="63">
        <f t="shared" si="10"/>
        <v>229</v>
      </c>
      <c r="D32" s="44">
        <f t="shared" si="49"/>
        <v>0</v>
      </c>
      <c r="E32" s="44">
        <f t="shared" si="11"/>
        <v>0</v>
      </c>
      <c r="F32" s="468">
        <f t="shared" si="12"/>
        <v>2331</v>
      </c>
      <c r="G32" s="51">
        <f t="shared" si="0"/>
        <v>0</v>
      </c>
      <c r="H32" s="468">
        <f t="shared" si="13"/>
        <v>50130</v>
      </c>
      <c r="I32" s="338">
        <f t="shared" si="1"/>
        <v>0</v>
      </c>
      <c r="J32" s="65">
        <f t="shared" si="14"/>
        <v>0</v>
      </c>
      <c r="K32" s="468">
        <f t="shared" si="15"/>
        <v>2481</v>
      </c>
      <c r="L32" s="51">
        <f t="shared" si="16"/>
        <v>0</v>
      </c>
      <c r="M32" s="63">
        <f t="shared" si="17"/>
        <v>184975</v>
      </c>
      <c r="N32" s="338">
        <f t="shared" si="2"/>
        <v>0</v>
      </c>
      <c r="O32" s="63">
        <f t="shared" si="48"/>
        <v>1869</v>
      </c>
      <c r="P32" s="468">
        <v>2232</v>
      </c>
      <c r="Q32" s="468">
        <v>186541</v>
      </c>
      <c r="R32" s="337">
        <f t="shared" si="44"/>
        <v>-366</v>
      </c>
      <c r="S32" s="51">
        <f t="shared" si="5"/>
        <v>-5</v>
      </c>
      <c r="T32" s="66">
        <f t="shared" si="37"/>
        <v>0</v>
      </c>
      <c r="U32" s="344">
        <f t="shared" si="18"/>
        <v>-5</v>
      </c>
      <c r="V32" s="61">
        <f t="shared" si="19"/>
        <v>-366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1956</v>
      </c>
      <c r="AD32" s="237">
        <f t="shared" si="7"/>
        <v>0</v>
      </c>
      <c r="AE32" s="468">
        <f t="shared" si="25"/>
        <v>367366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-366</v>
      </c>
      <c r="AJ32" s="271">
        <f>-tanks!AW33</f>
        <v>-366</v>
      </c>
      <c r="AK32" s="271">
        <f t="shared" si="28"/>
        <v>0</v>
      </c>
      <c r="AL32" s="271">
        <f t="shared" si="8"/>
        <v>-5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f t="shared" si="9"/>
        <v>222</v>
      </c>
      <c r="C33" s="63">
        <f t="shared" si="10"/>
        <v>229</v>
      </c>
      <c r="D33" s="44">
        <f t="shared" ref="D33:D35" si="53">C32-C33</f>
        <v>0</v>
      </c>
      <c r="E33" s="44">
        <f t="shared" ref="E33:E35" si="54">D33*8.38</f>
        <v>0</v>
      </c>
      <c r="F33" s="468">
        <f t="shared" si="12"/>
        <v>2331</v>
      </c>
      <c r="G33" s="51">
        <f t="shared" ref="G33:G35" si="55">F33-F32</f>
        <v>0</v>
      </c>
      <c r="H33" s="468">
        <f t="shared" si="13"/>
        <v>50130</v>
      </c>
      <c r="I33" s="338">
        <f t="shared" ref="I33:I35" si="56">SUM(H33-H32)</f>
        <v>0</v>
      </c>
      <c r="J33" s="65">
        <f t="shared" ref="J33:J35" si="57">IF(G33&gt;0,I33/G33,0)</f>
        <v>0</v>
      </c>
      <c r="K33" s="468">
        <f t="shared" si="15"/>
        <v>2481</v>
      </c>
      <c r="L33" s="51">
        <f t="shared" ref="L33:L35" si="58">K33-K32</f>
        <v>0</v>
      </c>
      <c r="M33" s="63">
        <f t="shared" si="17"/>
        <v>184975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2232</v>
      </c>
      <c r="Q33" s="468">
        <f t="shared" si="45"/>
        <v>186541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0</v>
      </c>
      <c r="V33" s="61">
        <f t="shared" ref="V33:V35" si="64">R33+N33+I33:I33</f>
        <v>0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1956</v>
      </c>
      <c r="AD33" s="237">
        <f t="shared" ref="AD33:AD35" si="68">AC33-AC32</f>
        <v>0</v>
      </c>
      <c r="AE33" s="468">
        <f t="shared" si="25"/>
        <v>367366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0</v>
      </c>
      <c r="AJ33" s="271">
        <f>-tanks!AW34</f>
        <v>0</v>
      </c>
      <c r="AK33" s="271">
        <f t="shared" ref="AK33:AK35" si="73">SUM(AJ33-AI33)</f>
        <v>0</v>
      </c>
      <c r="AL33" s="271">
        <f t="shared" ref="AL33:AL35" si="74">S33+L33+G33</f>
        <v>0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f t="shared" si="9"/>
        <v>222</v>
      </c>
      <c r="C34" s="63">
        <f t="shared" si="10"/>
        <v>229</v>
      </c>
      <c r="D34" s="44">
        <f t="shared" si="53"/>
        <v>0</v>
      </c>
      <c r="E34" s="44">
        <f t="shared" si="54"/>
        <v>0</v>
      </c>
      <c r="F34" s="468">
        <f t="shared" si="12"/>
        <v>2331</v>
      </c>
      <c r="G34" s="51">
        <f t="shared" si="55"/>
        <v>0</v>
      </c>
      <c r="H34" s="468">
        <f t="shared" si="13"/>
        <v>50130</v>
      </c>
      <c r="I34" s="338">
        <f t="shared" si="56"/>
        <v>0</v>
      </c>
      <c r="J34" s="65">
        <f t="shared" si="57"/>
        <v>0</v>
      </c>
      <c r="K34" s="468">
        <f t="shared" si="15"/>
        <v>2481</v>
      </c>
      <c r="L34" s="51">
        <f t="shared" si="58"/>
        <v>0</v>
      </c>
      <c r="M34" s="63">
        <f t="shared" si="17"/>
        <v>184975</v>
      </c>
      <c r="N34" s="338">
        <f t="shared" si="59"/>
        <v>0</v>
      </c>
      <c r="O34" s="63">
        <f t="shared" si="48"/>
        <v>1869</v>
      </c>
      <c r="P34" s="468">
        <f t="shared" si="46"/>
        <v>2232</v>
      </c>
      <c r="Q34" s="468">
        <f t="shared" si="45"/>
        <v>186541</v>
      </c>
      <c r="R34" s="337">
        <f t="shared" si="60"/>
        <v>0</v>
      </c>
      <c r="S34" s="51">
        <f t="shared" si="61"/>
        <v>0</v>
      </c>
      <c r="T34" s="66">
        <f t="shared" si="62"/>
        <v>0</v>
      </c>
      <c r="U34" s="344">
        <f t="shared" si="63"/>
        <v>0</v>
      </c>
      <c r="V34" s="61">
        <f t="shared" si="64"/>
        <v>0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1956</v>
      </c>
      <c r="AD34" s="237">
        <f t="shared" si="68"/>
        <v>0</v>
      </c>
      <c r="AE34" s="468">
        <f t="shared" si="25"/>
        <v>367366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0</v>
      </c>
      <c r="AJ34" s="271">
        <f>-tanks!AW35</f>
        <v>0</v>
      </c>
      <c r="AK34" s="271">
        <f t="shared" si="73"/>
        <v>0</v>
      </c>
      <c r="AL34" s="271">
        <f t="shared" si="74"/>
        <v>0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222</v>
      </c>
      <c r="C35" s="63">
        <f t="shared" si="10"/>
        <v>229</v>
      </c>
      <c r="D35" s="44">
        <f t="shared" si="53"/>
        <v>0</v>
      </c>
      <c r="E35" s="44">
        <f t="shared" si="54"/>
        <v>0</v>
      </c>
      <c r="F35" s="468">
        <f t="shared" ref="F35" si="78">F34</f>
        <v>2331</v>
      </c>
      <c r="G35" s="51">
        <f t="shared" si="55"/>
        <v>0</v>
      </c>
      <c r="H35" s="468">
        <f t="shared" ref="H35" si="79">H34</f>
        <v>50130</v>
      </c>
      <c r="I35" s="338">
        <f t="shared" si="56"/>
        <v>0</v>
      </c>
      <c r="J35" s="65">
        <f t="shared" si="57"/>
        <v>0</v>
      </c>
      <c r="K35" s="468">
        <f t="shared" si="15"/>
        <v>2481</v>
      </c>
      <c r="L35" s="51">
        <f t="shared" si="58"/>
        <v>0</v>
      </c>
      <c r="M35" s="63">
        <f t="shared" si="17"/>
        <v>184975</v>
      </c>
      <c r="N35" s="338">
        <f t="shared" si="59"/>
        <v>0</v>
      </c>
      <c r="O35" s="63">
        <f t="shared" si="48"/>
        <v>1869</v>
      </c>
      <c r="P35" s="468">
        <f t="shared" si="46"/>
        <v>2232</v>
      </c>
      <c r="Q35" s="468">
        <f t="shared" si="45"/>
        <v>186541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1956</v>
      </c>
      <c r="AD35" s="237">
        <f t="shared" si="68"/>
        <v>0</v>
      </c>
      <c r="AE35" s="468">
        <f t="shared" si="25"/>
        <v>367366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1</v>
      </c>
      <c r="U36" s="68">
        <f>SUM(U5:U35)</f>
        <v>3</v>
      </c>
      <c r="V36" s="61">
        <f>SUM(V5:V35)</f>
        <v>295</v>
      </c>
      <c r="AE36" s="69" t="s">
        <v>23</v>
      </c>
      <c r="AG36" s="293"/>
      <c r="AH36" s="61">
        <f>SUM(AH5:AH35)</f>
        <v>198</v>
      </c>
      <c r="AL36" s="61">
        <f>SUM(AL5:AL35)</f>
        <v>3</v>
      </c>
      <c r="AM36" s="61">
        <f>SUM(AM5:AM35)</f>
        <v>2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98.333333333333329</v>
      </c>
      <c r="AH37" s="61">
        <f>AF37+AA37</f>
        <v>0</v>
      </c>
      <c r="AI37" s="69">
        <f>SUM(AI5:AI35)</f>
        <v>493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4"/>
  <sheetViews>
    <sheetView topLeftCell="T1" zoomScale="85" zoomScaleNormal="85" workbookViewId="0">
      <pane ySplit="3" topLeftCell="Y13" activePane="bottomLeft" state="frozen"/>
      <selection pane="bottomLeft" activeCell="AY13" sqref="AY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8217521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97</v>
      </c>
      <c r="AS1" s="310"/>
      <c r="AT1" s="310" t="s">
        <v>98</v>
      </c>
      <c r="AU1" s="310"/>
      <c r="AV1" s="311" t="s">
        <v>99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47" t="s">
        <v>100</v>
      </c>
      <c r="AS2" s="548"/>
      <c r="AT2" s="548"/>
      <c r="AU2" s="548"/>
      <c r="AV2" s="549"/>
      <c r="AW2" s="547" t="s">
        <v>101</v>
      </c>
      <c r="AX2" s="548"/>
      <c r="AY2" s="549"/>
      <c r="AZ2" s="547" t="s">
        <v>102</v>
      </c>
      <c r="BA2" s="548"/>
      <c r="BB2" s="549"/>
      <c r="BC2" s="312"/>
    </row>
    <row r="3" spans="1:61" s="305" customFormat="1" ht="48" customHeight="1" thickBot="1">
      <c r="A3" s="313" t="s">
        <v>103</v>
      </c>
      <c r="B3" s="314" t="s">
        <v>104</v>
      </c>
      <c r="C3" s="314" t="s">
        <v>105</v>
      </c>
      <c r="D3" s="314" t="s">
        <v>106</v>
      </c>
      <c r="E3" s="315"/>
      <c r="F3" s="316" t="s">
        <v>107</v>
      </c>
      <c r="G3" s="314" t="s">
        <v>108</v>
      </c>
      <c r="H3" s="314" t="s">
        <v>109</v>
      </c>
      <c r="I3" s="314" t="s">
        <v>110</v>
      </c>
      <c r="J3" s="315"/>
      <c r="K3" s="314" t="s">
        <v>111</v>
      </c>
      <c r="L3" s="317" t="s">
        <v>112</v>
      </c>
      <c r="M3" s="426" t="s">
        <v>113</v>
      </c>
      <c r="N3" s="427"/>
      <c r="O3" s="428" t="s">
        <v>114</v>
      </c>
      <c r="P3" s="428"/>
      <c r="Q3" s="428" t="s">
        <v>115</v>
      </c>
      <c r="R3" s="428" t="s">
        <v>116</v>
      </c>
      <c r="S3" s="428" t="s">
        <v>117</v>
      </c>
      <c r="T3" s="314" t="s">
        <v>118</v>
      </c>
      <c r="U3" s="314" t="s">
        <v>119</v>
      </c>
      <c r="V3" s="318" t="s">
        <v>120</v>
      </c>
      <c r="W3" s="319" t="s">
        <v>121</v>
      </c>
      <c r="X3" s="318" t="s">
        <v>122</v>
      </c>
      <c r="Y3" s="319" t="s">
        <v>123</v>
      </c>
      <c r="Z3" s="320" t="s">
        <v>124</v>
      </c>
      <c r="AA3" s="321" t="s">
        <v>125</v>
      </c>
      <c r="AB3" s="376" t="s">
        <v>126</v>
      </c>
      <c r="AC3" s="374" t="s">
        <v>127</v>
      </c>
      <c r="AD3" s="374"/>
      <c r="AE3" s="322" t="s">
        <v>128</v>
      </c>
      <c r="AF3" s="322" t="s">
        <v>129</v>
      </c>
      <c r="AG3" s="322" t="s">
        <v>130</v>
      </c>
      <c r="AH3" s="322" t="s">
        <v>131</v>
      </c>
      <c r="AI3" s="321" t="s">
        <v>132</v>
      </c>
      <c r="AJ3" s="321" t="s">
        <v>133</v>
      </c>
      <c r="AK3" s="322" t="s">
        <v>134</v>
      </c>
      <c r="AL3" s="322" t="s">
        <v>135</v>
      </c>
      <c r="AM3" s="323" t="s">
        <v>136</v>
      </c>
      <c r="AN3" s="544" t="s">
        <v>137</v>
      </c>
      <c r="AO3" s="545"/>
      <c r="AP3" s="546"/>
      <c r="AR3" s="324" t="s">
        <v>103</v>
      </c>
      <c r="AS3" s="325"/>
      <c r="AT3" s="324" t="s">
        <v>138</v>
      </c>
      <c r="AU3" s="325"/>
      <c r="AV3" s="326" t="s">
        <v>139</v>
      </c>
      <c r="AW3" s="327"/>
      <c r="AX3" s="325" t="s">
        <v>140</v>
      </c>
      <c r="AY3" s="328" t="s">
        <v>141</v>
      </c>
      <c r="AZ3" s="326" t="s">
        <v>139</v>
      </c>
      <c r="BA3" s="329" t="s">
        <v>140</v>
      </c>
      <c r="BB3" s="330" t="s">
        <v>139</v>
      </c>
      <c r="BC3" s="330" t="s">
        <v>142</v>
      </c>
      <c r="BD3" s="331" t="s">
        <v>140</v>
      </c>
      <c r="BE3" s="332" t="s">
        <v>143</v>
      </c>
      <c r="BF3" s="331" t="s">
        <v>144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145</v>
      </c>
      <c r="AO4" s="85" t="s">
        <v>146</v>
      </c>
      <c r="AP4" s="85" t="s">
        <v>147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[2]WATER!$A$35</f>
        <v>44895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f>[2]WATER!E35</f>
        <v>250</v>
      </c>
      <c r="F5" s="349">
        <f>[2]WATER!F35</f>
        <v>0</v>
      </c>
      <c r="G5" s="349">
        <f>[2]WATER!G35</f>
        <v>631827</v>
      </c>
      <c r="H5" s="349">
        <f>[2]WATER!H35</f>
        <v>69</v>
      </c>
      <c r="I5" s="349">
        <f>[2]WATER!I35</f>
        <v>69</v>
      </c>
      <c r="J5" s="349">
        <f>[2]WATER!J35</f>
        <v>3.6231884057971016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f>[2]WATER!T35</f>
        <v>5196</v>
      </c>
      <c r="U5" s="349">
        <f>[2]WATER!U35</f>
        <v>0</v>
      </c>
      <c r="V5" s="349">
        <f>[2]WATER!V35</f>
        <v>505</v>
      </c>
      <c r="W5" s="349">
        <f>[2]WATER!W35</f>
        <v>0</v>
      </c>
      <c r="X5" s="349">
        <f>[2]WATER!X35</f>
        <v>156326</v>
      </c>
      <c r="Y5" s="349">
        <f>[2]WATER!Y35</f>
        <v>0</v>
      </c>
      <c r="Z5" s="349">
        <f>[2]WATER!Z35</f>
        <v>99778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f>[2]WATER!AE35</f>
        <v>250.96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f>[2]WATER!$AR$35</f>
        <v>44895</v>
      </c>
      <c r="AS5" s="349">
        <f>[2]WATER!AS36</f>
        <v>0.9</v>
      </c>
      <c r="AT5" s="349">
        <f>[2]WATER!AT36</f>
        <v>170</v>
      </c>
      <c r="AU5" s="349">
        <f>[2]WATER!AU36</f>
        <v>1.1000000000000001</v>
      </c>
      <c r="AV5" s="349">
        <f>[2]WATER!AV36</f>
        <v>89</v>
      </c>
      <c r="AW5" s="349">
        <f>[2]WATER!AW36</f>
        <v>2.9</v>
      </c>
      <c r="AX5" s="349">
        <f>[2]WATER!AX36</f>
        <v>140</v>
      </c>
      <c r="AY5" s="349">
        <f>[2]WATER!AY36</f>
        <v>153</v>
      </c>
      <c r="AZ5" s="349">
        <f>[2]WATER!AZ36</f>
        <v>97.9</v>
      </c>
      <c r="BA5" s="349">
        <f>[2]WATER!BA36</f>
        <v>406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8"/>
        <v>632117</v>
      </c>
      <c r="H16" s="5">
        <f t="shared" si="9"/>
        <v>0</v>
      </c>
      <c r="I16" s="5">
        <f t="shared" si="10"/>
        <v>0</v>
      </c>
      <c r="J16" s="286">
        <f t="shared" si="0"/>
        <v>0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f t="shared" si="15"/>
        <v>505</v>
      </c>
      <c r="W16" s="276">
        <f t="shared" si="16"/>
        <v>0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f t="shared" si="22"/>
        <v>257.26</v>
      </c>
      <c r="AF16" s="80">
        <f t="shared" si="23"/>
        <v>0</v>
      </c>
      <c r="AG16" s="5">
        <f t="shared" si="24"/>
        <v>2247.41</v>
      </c>
      <c r="AH16" s="80">
        <f t="shared" si="25"/>
        <v>0</v>
      </c>
      <c r="AI16" s="80">
        <f t="shared" si="26"/>
        <v>0</v>
      </c>
      <c r="AJ16" s="278">
        <f t="shared" si="27"/>
        <v>0</v>
      </c>
      <c r="AK16" s="279">
        <f t="shared" si="37"/>
        <v>0</v>
      </c>
      <c r="AL16" s="279">
        <f t="shared" si="28"/>
        <v>0</v>
      </c>
      <c r="AM16" s="279">
        <f>'General information '!D15</f>
        <v>0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f t="shared" si="30"/>
        <v>132</v>
      </c>
      <c r="AU16" s="364">
        <f t="shared" si="44"/>
        <v>1.1000000000000001</v>
      </c>
      <c r="AV16" s="190">
        <f t="shared" si="31"/>
        <v>195</v>
      </c>
      <c r="AW16" s="5">
        <v>2.9</v>
      </c>
      <c r="AX16" s="190">
        <f t="shared" si="32"/>
        <v>135</v>
      </c>
      <c r="AY16" s="365">
        <f t="shared" si="38"/>
        <v>118.8</v>
      </c>
      <c r="AZ16" s="365">
        <f t="shared" si="39"/>
        <v>214.50000000000003</v>
      </c>
      <c r="BA16" s="365">
        <f t="shared" si="40"/>
        <v>391.5</v>
      </c>
      <c r="BB16" s="20">
        <f t="shared" si="41"/>
        <v>0</v>
      </c>
      <c r="BC16" s="20">
        <f t="shared" si="33"/>
        <v>0</v>
      </c>
      <c r="BD16" s="20">
        <f t="shared" si="33"/>
        <v>0</v>
      </c>
      <c r="BE16" s="23">
        <f t="shared" si="34"/>
        <v>0</v>
      </c>
      <c r="BF16" s="79">
        <f t="shared" si="35"/>
        <v>0</v>
      </c>
      <c r="BG16" s="79">
        <f t="shared" si="4"/>
        <v>0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632117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505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f t="shared" si="22"/>
        <v>257.26</v>
      </c>
      <c r="AF17" s="80">
        <f t="shared" si="23"/>
        <v>0</v>
      </c>
      <c r="AG17" s="5">
        <f t="shared" si="24"/>
        <v>2247.41</v>
      </c>
      <c r="AH17" s="80">
        <f t="shared" si="25"/>
        <v>0</v>
      </c>
      <c r="AI17" s="80">
        <f t="shared" si="26"/>
        <v>0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132</v>
      </c>
      <c r="AU17" s="364">
        <f t="shared" si="44"/>
        <v>1.1000000000000001</v>
      </c>
      <c r="AV17" s="190">
        <f t="shared" si="31"/>
        <v>195</v>
      </c>
      <c r="AW17" s="5">
        <v>2.9</v>
      </c>
      <c r="AX17" s="190">
        <f t="shared" si="32"/>
        <v>135</v>
      </c>
      <c r="AY17" s="365">
        <f t="shared" si="38"/>
        <v>118.8</v>
      </c>
      <c r="AZ17" s="365">
        <f t="shared" si="39"/>
        <v>214.50000000000003</v>
      </c>
      <c r="BA17" s="365">
        <f t="shared" si="40"/>
        <v>391.5</v>
      </c>
      <c r="BB17" s="20">
        <f t="shared" si="41"/>
        <v>0</v>
      </c>
      <c r="BC17" s="20">
        <f t="shared" si="33"/>
        <v>0</v>
      </c>
      <c r="BD17" s="20">
        <f t="shared" si="33"/>
        <v>0</v>
      </c>
      <c r="BE17" s="23">
        <f t="shared" si="34"/>
        <v>0</v>
      </c>
      <c r="BF17" s="79">
        <f t="shared" si="35"/>
        <v>0</v>
      </c>
      <c r="BG17" s="79">
        <f t="shared" si="4"/>
        <v>0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8"/>
        <v>632117</v>
      </c>
      <c r="H18" s="5">
        <f t="shared" si="9"/>
        <v>0</v>
      </c>
      <c r="I18" s="5">
        <f t="shared" si="10"/>
        <v>0</v>
      </c>
      <c r="J18" s="286">
        <f t="shared" si="0"/>
        <v>0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f t="shared" si="15"/>
        <v>505</v>
      </c>
      <c r="W18" s="276">
        <f t="shared" si="16"/>
        <v>0</v>
      </c>
      <c r="X18" s="5">
        <f t="shared" si="17"/>
        <v>156454</v>
      </c>
      <c r="Y18" s="276">
        <f t="shared" si="43"/>
        <v>0</v>
      </c>
      <c r="Z18" s="5">
        <f t="shared" si="18"/>
        <v>99778</v>
      </c>
      <c r="AA18" s="80">
        <f t="shared" si="19"/>
        <v>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257.26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0</v>
      </c>
      <c r="AK18" s="279">
        <f>SUM(Y18-L18)</f>
        <v>0</v>
      </c>
      <c r="AL18" s="279">
        <f t="shared" si="28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f t="shared" si="30"/>
        <v>132</v>
      </c>
      <c r="AU18" s="364">
        <f t="shared" si="44"/>
        <v>1.1000000000000001</v>
      </c>
      <c r="AV18" s="190">
        <f t="shared" si="31"/>
        <v>195</v>
      </c>
      <c r="AW18" s="5">
        <v>2.9</v>
      </c>
      <c r="AX18" s="190">
        <f t="shared" si="32"/>
        <v>135</v>
      </c>
      <c r="AY18" s="365">
        <f t="shared" si="38"/>
        <v>118.8</v>
      </c>
      <c r="AZ18" s="365">
        <f t="shared" si="39"/>
        <v>214.50000000000003</v>
      </c>
      <c r="BA18" s="365">
        <f t="shared" si="40"/>
        <v>391.5</v>
      </c>
      <c r="BB18" s="20">
        <f t="shared" si="41"/>
        <v>0</v>
      </c>
      <c r="BC18" s="20">
        <f t="shared" si="33"/>
        <v>0</v>
      </c>
      <c r="BD18" s="20">
        <f t="shared" si="33"/>
        <v>0</v>
      </c>
      <c r="BE18" s="23">
        <f t="shared" si="34"/>
        <v>0</v>
      </c>
      <c r="BF18" s="79">
        <f t="shared" si="35"/>
        <v>0</v>
      </c>
      <c r="BG18" s="79">
        <f t="shared" si="4"/>
        <v>0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632117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505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99778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257.26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0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132</v>
      </c>
      <c r="AU19" s="364">
        <f t="shared" si="44"/>
        <v>1.1000000000000001</v>
      </c>
      <c r="AV19" s="190">
        <f t="shared" si="31"/>
        <v>195</v>
      </c>
      <c r="AW19" s="5">
        <v>2.9</v>
      </c>
      <c r="AX19" s="190">
        <f t="shared" si="32"/>
        <v>135</v>
      </c>
      <c r="AY19" s="365">
        <f>AS19*AT19</f>
        <v>118.8</v>
      </c>
      <c r="AZ19" s="365">
        <f>AU19*AV19</f>
        <v>214.50000000000003</v>
      </c>
      <c r="BA19" s="365">
        <f>AW19*AX19</f>
        <v>391.5</v>
      </c>
      <c r="BB19" s="20">
        <f t="shared" si="41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5"/>
        <v>0</v>
      </c>
      <c r="BG19" s="79">
        <f t="shared" si="4"/>
        <v>0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632117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505</v>
      </c>
      <c r="W20" s="276">
        <f t="shared" si="16"/>
        <v>0</v>
      </c>
      <c r="X20" s="5">
        <f t="shared" si="17"/>
        <v>156454</v>
      </c>
      <c r="Y20" s="276">
        <f t="shared" si="43"/>
        <v>0</v>
      </c>
      <c r="Z20" s="5">
        <f t="shared" si="18"/>
        <v>99778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257.26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0</v>
      </c>
      <c r="AL20" s="279">
        <f t="shared" si="28"/>
        <v>0</v>
      </c>
      <c r="AM20" s="279">
        <f>'General information '!D19</f>
        <v>0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f t="shared" si="30"/>
        <v>132</v>
      </c>
      <c r="AU20" s="364">
        <f t="shared" si="44"/>
        <v>1.1000000000000001</v>
      </c>
      <c r="AV20" s="190">
        <f t="shared" si="31"/>
        <v>195</v>
      </c>
      <c r="AW20" s="5">
        <v>2.9</v>
      </c>
      <c r="AX20" s="190">
        <f t="shared" si="32"/>
        <v>135</v>
      </c>
      <c r="AY20" s="365">
        <f>AS20*AT20</f>
        <v>118.8</v>
      </c>
      <c r="AZ20" s="365">
        <f>AU20*AV20</f>
        <v>214.50000000000003</v>
      </c>
      <c r="BA20" s="365">
        <f>AW20*AX20</f>
        <v>391.5</v>
      </c>
      <c r="BB20" s="20">
        <f t="shared" si="41"/>
        <v>0</v>
      </c>
      <c r="BC20" s="20">
        <f t="shared" si="48"/>
        <v>0</v>
      </c>
      <c r="BD20" s="20">
        <f t="shared" si="48"/>
        <v>0</v>
      </c>
      <c r="BE20" s="23">
        <f>SUM(BB20:BD20)</f>
        <v>0</v>
      </c>
      <c r="BF20" s="79">
        <f t="shared" si="35"/>
        <v>0</v>
      </c>
      <c r="BG20" s="79">
        <f t="shared" si="4"/>
        <v>0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632117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505</v>
      </c>
      <c r="W21" s="276">
        <f t="shared" si="16"/>
        <v>0</v>
      </c>
      <c r="X21" s="5">
        <f t="shared" si="17"/>
        <v>156454</v>
      </c>
      <c r="Y21" s="276">
        <f>SUM(X21-X20)</f>
        <v>0</v>
      </c>
      <c r="Z21" s="5">
        <f t="shared" si="18"/>
        <v>99778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257.26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132</v>
      </c>
      <c r="AU21" s="364">
        <f t="shared" si="44"/>
        <v>1.1000000000000001</v>
      </c>
      <c r="AV21" s="190">
        <f t="shared" si="31"/>
        <v>195</v>
      </c>
      <c r="AW21" s="5">
        <v>2.9</v>
      </c>
      <c r="AX21" s="190">
        <f t="shared" si="32"/>
        <v>135</v>
      </c>
      <c r="AY21" s="365">
        <f>AS21*AT21</f>
        <v>118.8</v>
      </c>
      <c r="AZ21" s="365">
        <f>AU21*AV21</f>
        <v>214.50000000000003</v>
      </c>
      <c r="BA21" s="365">
        <f>AW21*AX21</f>
        <v>391.5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632117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505</v>
      </c>
      <c r="W22" s="276">
        <f t="shared" si="16"/>
        <v>0</v>
      </c>
      <c r="X22" s="5">
        <f t="shared" si="17"/>
        <v>156454</v>
      </c>
      <c r="Y22" s="276">
        <f t="shared" si="43"/>
        <v>0</v>
      </c>
      <c r="Z22" s="5">
        <f t="shared" si="18"/>
        <v>99778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257.26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132</v>
      </c>
      <c r="AU22" s="364">
        <f t="shared" si="44"/>
        <v>1.1000000000000001</v>
      </c>
      <c r="AV22" s="190">
        <f t="shared" si="31"/>
        <v>195</v>
      </c>
      <c r="AW22" s="5">
        <v>2.9</v>
      </c>
      <c r="AX22" s="190">
        <f t="shared" si="32"/>
        <v>135</v>
      </c>
      <c r="AY22" s="365">
        <f t="shared" si="38"/>
        <v>118.8</v>
      </c>
      <c r="AZ22" s="365">
        <f t="shared" si="39"/>
        <v>214.50000000000003</v>
      </c>
      <c r="BA22" s="365">
        <f t="shared" si="40"/>
        <v>391.5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8"/>
        <v>632117</v>
      </c>
      <c r="H23" s="5">
        <f t="shared" si="9"/>
        <v>0</v>
      </c>
      <c r="I23" s="5">
        <f t="shared" si="10"/>
        <v>0</v>
      </c>
      <c r="J23" s="286">
        <f t="shared" si="0"/>
        <v>0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505</v>
      </c>
      <c r="W23" s="276">
        <f t="shared" si="16"/>
        <v>0</v>
      </c>
      <c r="X23" s="5">
        <f t="shared" si="17"/>
        <v>156454</v>
      </c>
      <c r="Y23" s="276">
        <f t="shared" si="43"/>
        <v>0</v>
      </c>
      <c r="Z23" s="5">
        <f t="shared" si="18"/>
        <v>99778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257.26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f t="shared" si="49"/>
        <v>132</v>
      </c>
      <c r="AU23" s="364">
        <f t="shared" si="44"/>
        <v>1.1000000000000001</v>
      </c>
      <c r="AV23" s="190">
        <f t="shared" si="31"/>
        <v>195</v>
      </c>
      <c r="AW23" s="5">
        <v>2.9</v>
      </c>
      <c r="AX23" s="190">
        <f t="shared" si="32"/>
        <v>135</v>
      </c>
      <c r="AY23" s="365">
        <f t="shared" si="38"/>
        <v>118.8</v>
      </c>
      <c r="AZ23" s="365">
        <f t="shared" si="39"/>
        <v>214.50000000000003</v>
      </c>
      <c r="BA23" s="365">
        <f t="shared" si="40"/>
        <v>391.5</v>
      </c>
      <c r="BB23" s="20">
        <f t="shared" si="41"/>
        <v>0</v>
      </c>
      <c r="BC23" s="20">
        <f t="shared" si="50"/>
        <v>0</v>
      </c>
      <c r="BD23" s="20">
        <f t="shared" si="50"/>
        <v>0</v>
      </c>
      <c r="BE23" s="23">
        <f t="shared" si="34"/>
        <v>0</v>
      </c>
      <c r="BF23" s="79">
        <f t="shared" si="35"/>
        <v>0</v>
      </c>
      <c r="BG23" s="79">
        <f t="shared" si="4"/>
        <v>0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8"/>
        <v>632117</v>
      </c>
      <c r="H24" s="5">
        <f t="shared" si="9"/>
        <v>0</v>
      </c>
      <c r="I24" s="5">
        <f t="shared" si="10"/>
        <v>0</v>
      </c>
      <c r="J24" s="286">
        <f t="shared" si="0"/>
        <v>0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505</v>
      </c>
      <c r="W24" s="276">
        <f t="shared" si="16"/>
        <v>0</v>
      </c>
      <c r="X24" s="5">
        <f t="shared" si="17"/>
        <v>156454</v>
      </c>
      <c r="Y24" s="276">
        <f t="shared" si="43"/>
        <v>0</v>
      </c>
      <c r="Z24" s="5">
        <f t="shared" si="18"/>
        <v>99778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257.26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0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132</v>
      </c>
      <c r="AU24" s="364">
        <f t="shared" si="44"/>
        <v>1.1000000000000001</v>
      </c>
      <c r="AV24" s="190">
        <f t="shared" si="31"/>
        <v>195</v>
      </c>
      <c r="AW24" s="5">
        <v>2.9</v>
      </c>
      <c r="AX24" s="190">
        <f t="shared" si="32"/>
        <v>135</v>
      </c>
      <c r="AY24" s="365">
        <f t="shared" si="38"/>
        <v>118.8</v>
      </c>
      <c r="AZ24" s="365">
        <f t="shared" si="39"/>
        <v>214.50000000000003</v>
      </c>
      <c r="BA24" s="365">
        <f t="shared" si="40"/>
        <v>391.5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0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8"/>
        <v>632117</v>
      </c>
      <c r="H25" s="5">
        <f t="shared" si="9"/>
        <v>0</v>
      </c>
      <c r="I25" s="5">
        <f t="shared" si="10"/>
        <v>0</v>
      </c>
      <c r="J25" s="286">
        <f t="shared" si="0"/>
        <v>0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f t="shared" si="15"/>
        <v>505</v>
      </c>
      <c r="W25" s="276">
        <f t="shared" si="16"/>
        <v>0</v>
      </c>
      <c r="X25" s="5">
        <f t="shared" si="17"/>
        <v>156454</v>
      </c>
      <c r="Y25" s="276">
        <f t="shared" si="43"/>
        <v>0</v>
      </c>
      <c r="Z25" s="5">
        <f t="shared" si="18"/>
        <v>99778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257.26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 t="shared" si="28"/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f t="shared" si="49"/>
        <v>132</v>
      </c>
      <c r="AU25" s="364">
        <f t="shared" si="44"/>
        <v>1.1000000000000001</v>
      </c>
      <c r="AV25" s="190">
        <f t="shared" si="31"/>
        <v>195</v>
      </c>
      <c r="AW25" s="5">
        <v>2.9</v>
      </c>
      <c r="AX25" s="190">
        <f t="shared" si="32"/>
        <v>135</v>
      </c>
      <c r="AY25" s="365">
        <f t="shared" si="38"/>
        <v>118.8</v>
      </c>
      <c r="AZ25" s="365">
        <f t="shared" si="39"/>
        <v>214.50000000000003</v>
      </c>
      <c r="BA25" s="365">
        <f t="shared" si="40"/>
        <v>391.5</v>
      </c>
      <c r="BB25" s="20">
        <f t="shared" si="41"/>
        <v>0</v>
      </c>
      <c r="BC25" s="20">
        <f t="shared" si="50"/>
        <v>0</v>
      </c>
      <c r="BD25" s="20">
        <f t="shared" si="50"/>
        <v>0</v>
      </c>
      <c r="BE25" s="23">
        <f t="shared" si="34"/>
        <v>0</v>
      </c>
      <c r="BF25" s="79">
        <f t="shared" si="35"/>
        <v>0</v>
      </c>
      <c r="BG25" s="79">
        <f t="shared" si="4"/>
        <v>0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632117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505</v>
      </c>
      <c r="W26" s="276">
        <f t="shared" si="16"/>
        <v>0</v>
      </c>
      <c r="X26" s="5">
        <f t="shared" si="17"/>
        <v>156454</v>
      </c>
      <c r="Y26" s="276">
        <f t="shared" si="43"/>
        <v>0</v>
      </c>
      <c r="Z26" s="5">
        <f t="shared" si="18"/>
        <v>99778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257.26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132</v>
      </c>
      <c r="AU26" s="364">
        <f t="shared" si="44"/>
        <v>1.1000000000000001</v>
      </c>
      <c r="AV26" s="190">
        <f t="shared" si="31"/>
        <v>195</v>
      </c>
      <c r="AW26" s="5">
        <v>2.9</v>
      </c>
      <c r="AX26" s="190">
        <f t="shared" si="32"/>
        <v>135</v>
      </c>
      <c r="AY26" s="365">
        <f t="shared" si="38"/>
        <v>118.8</v>
      </c>
      <c r="AZ26" s="365">
        <f t="shared" si="39"/>
        <v>214.50000000000003</v>
      </c>
      <c r="BA26" s="365">
        <f t="shared" si="40"/>
        <v>391.5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8"/>
        <v>632117</v>
      </c>
      <c r="H27" s="5">
        <f t="shared" si="9"/>
        <v>0</v>
      </c>
      <c r="I27" s="5">
        <f t="shared" si="10"/>
        <v>0</v>
      </c>
      <c r="J27" s="286">
        <f t="shared" si="0"/>
        <v>0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505</v>
      </c>
      <c r="W27" s="276">
        <f t="shared" si="16"/>
        <v>0</v>
      </c>
      <c r="X27" s="5">
        <f t="shared" si="17"/>
        <v>156454</v>
      </c>
      <c r="Y27" s="276">
        <f t="shared" si="43"/>
        <v>0</v>
      </c>
      <c r="Z27" s="5">
        <f t="shared" si="18"/>
        <v>99778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f t="shared" si="22"/>
        <v>257.26</v>
      </c>
      <c r="AF27" s="80">
        <f t="shared" si="23"/>
        <v>0</v>
      </c>
      <c r="AG27" s="5">
        <f t="shared" si="24"/>
        <v>2247.41</v>
      </c>
      <c r="AH27" s="80">
        <f t="shared" si="25"/>
        <v>0</v>
      </c>
      <c r="AI27" s="80">
        <f t="shared" si="26"/>
        <v>0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0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f t="shared" si="49"/>
        <v>132</v>
      </c>
      <c r="AU27" s="364">
        <f t="shared" si="44"/>
        <v>1.1000000000000001</v>
      </c>
      <c r="AV27" s="190">
        <f t="shared" si="31"/>
        <v>195</v>
      </c>
      <c r="AW27" s="5">
        <v>2.9</v>
      </c>
      <c r="AX27" s="190">
        <f t="shared" si="32"/>
        <v>135</v>
      </c>
      <c r="AY27" s="365">
        <f t="shared" si="38"/>
        <v>118.8</v>
      </c>
      <c r="AZ27" s="365">
        <f t="shared" si="39"/>
        <v>214.50000000000003</v>
      </c>
      <c r="BA27" s="365">
        <f t="shared" si="40"/>
        <v>391.5</v>
      </c>
      <c r="BB27" s="20">
        <f t="shared" si="41"/>
        <v>0</v>
      </c>
      <c r="BC27" s="20">
        <f t="shared" si="50"/>
        <v>0</v>
      </c>
      <c r="BD27" s="20">
        <f t="shared" si="50"/>
        <v>0</v>
      </c>
      <c r="BE27" s="23">
        <f t="shared" si="34"/>
        <v>0</v>
      </c>
      <c r="BF27" s="79">
        <f t="shared" si="35"/>
        <v>0</v>
      </c>
      <c r="BG27" s="79">
        <f t="shared" si="4"/>
        <v>0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632117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505</v>
      </c>
      <c r="W28" s="276">
        <f t="shared" si="16"/>
        <v>0</v>
      </c>
      <c r="X28" s="5">
        <f t="shared" si="17"/>
        <v>156454</v>
      </c>
      <c r="Y28" s="276">
        <f t="shared" si="43"/>
        <v>0</v>
      </c>
      <c r="Z28" s="5">
        <f t="shared" si="18"/>
        <v>99778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257.26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132</v>
      </c>
      <c r="AU28" s="364">
        <f t="shared" si="44"/>
        <v>1.1000000000000001</v>
      </c>
      <c r="AV28" s="190">
        <f t="shared" si="31"/>
        <v>195</v>
      </c>
      <c r="AW28" s="5">
        <v>2.9</v>
      </c>
      <c r="AX28" s="190">
        <f t="shared" si="32"/>
        <v>135</v>
      </c>
      <c r="AY28" s="365">
        <f t="shared" si="38"/>
        <v>118.8</v>
      </c>
      <c r="AZ28" s="365">
        <f t="shared" si="39"/>
        <v>214.50000000000003</v>
      </c>
      <c r="BA28" s="365">
        <f t="shared" si="40"/>
        <v>391.5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632117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505</v>
      </c>
      <c r="W29" s="276">
        <f t="shared" si="16"/>
        <v>0</v>
      </c>
      <c r="X29" s="5">
        <f t="shared" si="17"/>
        <v>156454</v>
      </c>
      <c r="Y29" s="276">
        <f t="shared" si="43"/>
        <v>0</v>
      </c>
      <c r="Z29" s="5">
        <f t="shared" si="18"/>
        <v>99778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257.26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132</v>
      </c>
      <c r="AU29" s="364">
        <f t="shared" si="44"/>
        <v>1.1000000000000001</v>
      </c>
      <c r="AV29" s="190">
        <f t="shared" si="31"/>
        <v>195</v>
      </c>
      <c r="AW29" s="5">
        <v>2.9</v>
      </c>
      <c r="AX29" s="190">
        <f t="shared" si="32"/>
        <v>135</v>
      </c>
      <c r="AY29" s="365">
        <f t="shared" si="38"/>
        <v>118.8</v>
      </c>
      <c r="AZ29" s="365">
        <f t="shared" si="39"/>
        <v>214.50000000000003</v>
      </c>
      <c r="BA29" s="365">
        <f t="shared" si="40"/>
        <v>391.5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632117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505</v>
      </c>
      <c r="W30" s="276">
        <f t="shared" si="16"/>
        <v>0</v>
      </c>
      <c r="X30" s="5">
        <f t="shared" si="17"/>
        <v>156454</v>
      </c>
      <c r="Y30" s="276">
        <f t="shared" si="43"/>
        <v>0</v>
      </c>
      <c r="Z30" s="5">
        <f t="shared" si="18"/>
        <v>99778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257.26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132</v>
      </c>
      <c r="AU30" s="364">
        <f t="shared" si="44"/>
        <v>1.1000000000000001</v>
      </c>
      <c r="AV30" s="190">
        <f t="shared" si="31"/>
        <v>195</v>
      </c>
      <c r="AW30" s="5">
        <v>2.9</v>
      </c>
      <c r="AX30" s="190">
        <f t="shared" si="32"/>
        <v>135</v>
      </c>
      <c r="AY30" s="365">
        <f t="shared" si="38"/>
        <v>118.8</v>
      </c>
      <c r="AZ30" s="365">
        <f t="shared" si="39"/>
        <v>214.50000000000003</v>
      </c>
      <c r="BA30" s="365">
        <f t="shared" si="40"/>
        <v>391.5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8"/>
        <v>632117</v>
      </c>
      <c r="H31" s="5">
        <f t="shared" si="9"/>
        <v>0</v>
      </c>
      <c r="I31" s="5">
        <f t="shared" si="10"/>
        <v>0</v>
      </c>
      <c r="J31" s="286">
        <f t="shared" si="0"/>
        <v>0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505</v>
      </c>
      <c r="W31" s="276">
        <f t="shared" si="16"/>
        <v>0</v>
      </c>
      <c r="X31" s="5">
        <f t="shared" si="17"/>
        <v>156454</v>
      </c>
      <c r="Y31" s="276">
        <f t="shared" si="43"/>
        <v>0</v>
      </c>
      <c r="Z31" s="5">
        <f t="shared" si="18"/>
        <v>99778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257.26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f t="shared" si="49"/>
        <v>132</v>
      </c>
      <c r="AU31" s="364">
        <f t="shared" si="44"/>
        <v>1.1000000000000001</v>
      </c>
      <c r="AV31" s="190">
        <f t="shared" si="31"/>
        <v>195</v>
      </c>
      <c r="AW31" s="5">
        <v>2.9</v>
      </c>
      <c r="AX31" s="190">
        <f t="shared" si="32"/>
        <v>135</v>
      </c>
      <c r="AY31" s="365">
        <f t="shared" si="38"/>
        <v>118.8</v>
      </c>
      <c r="AZ31" s="365">
        <f>AU31*AV31</f>
        <v>214.50000000000003</v>
      </c>
      <c r="BA31" s="365">
        <f t="shared" si="40"/>
        <v>391.5</v>
      </c>
      <c r="BB31" s="20">
        <f t="shared" si="41"/>
        <v>0</v>
      </c>
      <c r="BC31" s="20">
        <f t="shared" si="50"/>
        <v>0</v>
      </c>
      <c r="BD31" s="20">
        <f t="shared" si="50"/>
        <v>0</v>
      </c>
      <c r="BE31" s="23">
        <f t="shared" si="34"/>
        <v>0</v>
      </c>
      <c r="BF31" s="79">
        <f t="shared" si="35"/>
        <v>0</v>
      </c>
      <c r="BG31" s="79">
        <f t="shared" si="4"/>
        <v>0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632117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505</v>
      </c>
      <c r="W32" s="276">
        <f t="shared" si="16"/>
        <v>0</v>
      </c>
      <c r="X32" s="5">
        <f t="shared" si="17"/>
        <v>156454</v>
      </c>
      <c r="Y32" s="276">
        <f t="shared" si="43"/>
        <v>0</v>
      </c>
      <c r="Z32" s="5">
        <f t="shared" si="18"/>
        <v>99778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257.26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f t="shared" si="49"/>
        <v>132</v>
      </c>
      <c r="AU32" s="364">
        <f t="shared" si="44"/>
        <v>1.1000000000000001</v>
      </c>
      <c r="AV32" s="190">
        <f t="shared" si="31"/>
        <v>195</v>
      </c>
      <c r="AW32" s="5">
        <v>2.9</v>
      </c>
      <c r="AX32" s="190">
        <f t="shared" si="32"/>
        <v>135</v>
      </c>
      <c r="AY32" s="365">
        <f t="shared" si="38"/>
        <v>118.8</v>
      </c>
      <c r="AZ32" s="365">
        <f t="shared" si="39"/>
        <v>214.50000000000003</v>
      </c>
      <c r="BA32" s="365">
        <f t="shared" si="40"/>
        <v>391.5</v>
      </c>
      <c r="BB32" s="20">
        <f t="shared" si="41"/>
        <v>0</v>
      </c>
      <c r="BC32" s="20">
        <f t="shared" si="50"/>
        <v>0</v>
      </c>
      <c r="BD32" s="20">
        <f t="shared" si="50"/>
        <v>0</v>
      </c>
      <c r="BE32" s="23">
        <f t="shared" si="34"/>
        <v>0</v>
      </c>
      <c r="BF32" s="79">
        <f t="shared" si="35"/>
        <v>0</v>
      </c>
      <c r="BG32" s="79">
        <f t="shared" si="4"/>
        <v>0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632117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505</v>
      </c>
      <c r="W33" s="276">
        <f t="shared" si="16"/>
        <v>0</v>
      </c>
      <c r="X33" s="5">
        <f t="shared" si="17"/>
        <v>156454</v>
      </c>
      <c r="Y33" s="276">
        <f t="shared" si="43"/>
        <v>0</v>
      </c>
      <c r="Z33" s="5">
        <f t="shared" si="18"/>
        <v>99778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257.26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132</v>
      </c>
      <c r="AU33" s="364">
        <f t="shared" si="44"/>
        <v>1.1000000000000001</v>
      </c>
      <c r="AV33" s="190">
        <f t="shared" si="31"/>
        <v>195</v>
      </c>
      <c r="AW33" s="5">
        <v>2.9</v>
      </c>
      <c r="AX33" s="190">
        <f t="shared" si="32"/>
        <v>135</v>
      </c>
      <c r="AY33" s="365">
        <f t="shared" si="38"/>
        <v>118.8</v>
      </c>
      <c r="AZ33" s="365">
        <f t="shared" si="39"/>
        <v>214.50000000000003</v>
      </c>
      <c r="BA33" s="365">
        <f t="shared" si="40"/>
        <v>391.5</v>
      </c>
      <c r="BB33" s="20">
        <f t="shared" si="41"/>
        <v>0</v>
      </c>
      <c r="BC33" s="20">
        <f t="shared" si="50"/>
        <v>0</v>
      </c>
      <c r="BD33" s="20">
        <f t="shared" si="50"/>
        <v>0</v>
      </c>
      <c r="BE33" s="23">
        <f t="shared" si="34"/>
        <v>0</v>
      </c>
      <c r="BF33" s="79">
        <f t="shared" si="35"/>
        <v>0</v>
      </c>
      <c r="BG33" s="79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632117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f t="shared" si="14"/>
        <v>5196</v>
      </c>
      <c r="U34" s="5">
        <f t="shared" ref="U34:U36" si="60">SUM(T34-T33)</f>
        <v>0</v>
      </c>
      <c r="V34" s="5">
        <f t="shared" si="15"/>
        <v>505</v>
      </c>
      <c r="W34" s="276">
        <f t="shared" ref="W34:W36" si="61">+V34-V33</f>
        <v>0</v>
      </c>
      <c r="X34" s="5">
        <f t="shared" si="17"/>
        <v>156454</v>
      </c>
      <c r="Y34" s="276">
        <f t="shared" ref="Y34:Y36" si="62">SUM(X34-X33)</f>
        <v>0</v>
      </c>
      <c r="Z34" s="5">
        <f t="shared" si="18"/>
        <v>99778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257.26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132</v>
      </c>
      <c r="AU34" s="364">
        <f t="shared" si="44"/>
        <v>1.1000000000000001</v>
      </c>
      <c r="AV34" s="190">
        <f t="shared" si="31"/>
        <v>195</v>
      </c>
      <c r="AW34" s="5">
        <v>2.9</v>
      </c>
      <c r="AX34" s="190">
        <f t="shared" si="32"/>
        <v>135</v>
      </c>
      <c r="AY34" s="365">
        <f t="shared" ref="AY34:AY36" si="72">AS34*AT34</f>
        <v>118.8</v>
      </c>
      <c r="AZ34" s="365">
        <f t="shared" ref="AZ34:AZ36" si="73">AU34*AV34</f>
        <v>214.50000000000003</v>
      </c>
      <c r="BA34" s="365">
        <f t="shared" ref="BA34:BA36" si="74">AW34*AX34</f>
        <v>391.5</v>
      </c>
      <c r="BB34" s="20">
        <f t="shared" si="41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632117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5196</v>
      </c>
      <c r="U35" s="5">
        <f t="shared" si="60"/>
        <v>0</v>
      </c>
      <c r="V35" s="5">
        <f t="shared" si="15"/>
        <v>505</v>
      </c>
      <c r="W35" s="276">
        <f t="shared" si="61"/>
        <v>0</v>
      </c>
      <c r="X35" s="5">
        <f t="shared" si="17"/>
        <v>156454</v>
      </c>
      <c r="Y35" s="276">
        <f t="shared" si="62"/>
        <v>0</v>
      </c>
      <c r="Z35" s="5">
        <f t="shared" si="18"/>
        <v>99778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257.26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f t="shared" si="81"/>
        <v>132</v>
      </c>
      <c r="AU35" s="364">
        <f t="shared" si="44"/>
        <v>1.1000000000000001</v>
      </c>
      <c r="AV35" s="190">
        <f t="shared" si="31"/>
        <v>195</v>
      </c>
      <c r="AW35" s="5">
        <v>2.9</v>
      </c>
      <c r="AX35" s="190">
        <f t="shared" si="32"/>
        <v>135</v>
      </c>
      <c r="AY35" s="365">
        <f t="shared" si="72"/>
        <v>118.8</v>
      </c>
      <c r="AZ35" s="365">
        <f t="shared" si="73"/>
        <v>214.50000000000003</v>
      </c>
      <c r="BA35" s="365">
        <f t="shared" si="74"/>
        <v>391.5</v>
      </c>
      <c r="BB35" s="20">
        <f t="shared" si="41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632117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5196</v>
      </c>
      <c r="U36" s="5">
        <f t="shared" si="60"/>
        <v>0</v>
      </c>
      <c r="V36" s="5">
        <f t="shared" si="15"/>
        <v>505</v>
      </c>
      <c r="W36" s="276">
        <f t="shared" si="61"/>
        <v>0</v>
      </c>
      <c r="X36" s="5">
        <f t="shared" si="17"/>
        <v>156454</v>
      </c>
      <c r="Y36" s="276">
        <f t="shared" si="62"/>
        <v>0</v>
      </c>
      <c r="Z36" s="5">
        <f t="shared" si="18"/>
        <v>99778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257.26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132</v>
      </c>
      <c r="AU36" s="364">
        <f t="shared" si="44"/>
        <v>1.1000000000000001</v>
      </c>
      <c r="AV36" s="190">
        <f t="shared" si="31"/>
        <v>195</v>
      </c>
      <c r="AW36" s="5">
        <v>2.9</v>
      </c>
      <c r="AX36" s="190">
        <f t="shared" si="32"/>
        <v>135</v>
      </c>
      <c r="AY36" s="365">
        <f t="shared" si="72"/>
        <v>118.8</v>
      </c>
      <c r="AZ36" s="365">
        <f t="shared" si="73"/>
        <v>214.50000000000003</v>
      </c>
      <c r="BA36" s="365">
        <f t="shared" si="74"/>
        <v>391.5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290</v>
      </c>
      <c r="I37" s="351">
        <f>SUM(I6:I36)</f>
        <v>290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0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290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290</v>
      </c>
      <c r="H39" s="1">
        <f>SUM(H38+C38)</f>
        <v>7500</v>
      </c>
      <c r="K39" s="1">
        <f>SUM(H39/G39)</f>
        <v>25.862068965517242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50"/>
  <sheetViews>
    <sheetView zoomScale="60" zoomScaleNormal="60" workbookViewId="0">
      <pane ySplit="1" topLeftCell="A2" activePane="bottomLeft" state="frozen"/>
      <selection pane="bottomLeft" activeCell="K10" sqref="K10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148</v>
      </c>
      <c r="C1" s="24" t="s">
        <v>149</v>
      </c>
      <c r="D1" s="24" t="s">
        <v>150</v>
      </c>
      <c r="E1" s="24" t="s">
        <v>151</v>
      </c>
      <c r="F1" s="24" t="s">
        <v>152</v>
      </c>
      <c r="G1" s="24"/>
      <c r="H1" s="24" t="s">
        <v>153</v>
      </c>
      <c r="I1" s="24" t="s">
        <v>154</v>
      </c>
      <c r="J1" s="348" t="s">
        <v>155</v>
      </c>
      <c r="K1" s="24" t="s">
        <v>149</v>
      </c>
      <c r="L1" s="24" t="s">
        <v>150</v>
      </c>
      <c r="M1" s="24" t="s">
        <v>151</v>
      </c>
      <c r="N1" s="24" t="s">
        <v>152</v>
      </c>
      <c r="O1" s="247"/>
      <c r="P1" s="24" t="s">
        <v>153</v>
      </c>
      <c r="Q1" s="24" t="s">
        <v>154</v>
      </c>
      <c r="R1" s="348" t="s">
        <v>156</v>
      </c>
      <c r="S1" s="24" t="s">
        <v>149</v>
      </c>
      <c r="T1" s="24" t="s">
        <v>150</v>
      </c>
      <c r="U1" s="24" t="s">
        <v>151</v>
      </c>
      <c r="V1" s="24" t="s">
        <v>152</v>
      </c>
      <c r="W1" s="24"/>
      <c r="X1" s="24" t="s">
        <v>153</v>
      </c>
      <c r="Y1" s="24" t="s">
        <v>154</v>
      </c>
      <c r="Z1" s="24" t="s">
        <v>157</v>
      </c>
      <c r="AA1" s="24" t="s">
        <v>158</v>
      </c>
      <c r="AB1" s="247" t="s">
        <v>159</v>
      </c>
      <c r="AC1" s="247" t="s">
        <v>160</v>
      </c>
      <c r="AD1" s="70" t="s">
        <v>161</v>
      </c>
      <c r="AE1" s="70"/>
      <c r="AF1" s="70"/>
      <c r="AG1" s="70"/>
      <c r="AH1" s="70"/>
      <c r="AI1" s="70" t="s">
        <v>162</v>
      </c>
      <c r="AK1" s="19" t="s">
        <v>163</v>
      </c>
    </row>
    <row r="2" spans="1:38" ht="15.75" thickBot="1">
      <c r="A2" s="4">
        <f>[2]GEN!$A$32</f>
        <v>44895</v>
      </c>
      <c r="B2" s="238">
        <f>[2]GEN!B32</f>
        <v>1505</v>
      </c>
      <c r="C2" s="238">
        <f>[2]GEN!C32</f>
        <v>14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f>[2]GEN!J32</f>
        <v>143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30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f t="shared" si="11"/>
        <v>1569</v>
      </c>
      <c r="C13" s="248">
        <f t="shared" si="12"/>
        <v>0</v>
      </c>
      <c r="D13" s="444">
        <f t="shared" si="26"/>
        <v>812771</v>
      </c>
      <c r="E13" s="248">
        <f t="shared" si="13"/>
        <v>0</v>
      </c>
      <c r="F13" s="248">
        <f t="shared" si="0"/>
        <v>0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0</v>
      </c>
      <c r="AA13" s="248">
        <f t="shared" si="21"/>
        <v>0</v>
      </c>
      <c r="AB13" s="248">
        <f t="shared" si="22"/>
        <v>500</v>
      </c>
      <c r="AC13" s="248">
        <f t="shared" si="23"/>
        <v>0</v>
      </c>
      <c r="AD13" s="71">
        <f>ELEC!Q14</f>
        <v>0</v>
      </c>
      <c r="AE13" s="71" t="e">
        <f t="shared" si="27"/>
        <v>#DIV/0!</v>
      </c>
      <c r="AF13" s="345" t="e">
        <f t="shared" si="28"/>
        <v>#DIV/0!</v>
      </c>
      <c r="AG13" s="345" t="e">
        <f t="shared" si="28"/>
        <v>#DIV/0!</v>
      </c>
      <c r="AH13" s="346" t="e">
        <f t="shared" si="24"/>
        <v>#DIV/0!</v>
      </c>
      <c r="AI13" s="71">
        <f t="shared" si="29"/>
        <v>0</v>
      </c>
      <c r="AJ13" s="250">
        <f t="shared" si="9"/>
        <v>0.25738396624472576</v>
      </c>
      <c r="AK13" s="250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44907</v>
      </c>
      <c r="B14" s="523">
        <f t="shared" si="11"/>
        <v>1569</v>
      </c>
      <c r="C14" s="248">
        <f t="shared" si="12"/>
        <v>0</v>
      </c>
      <c r="D14" s="444">
        <f t="shared" si="26"/>
        <v>812771</v>
      </c>
      <c r="E14" s="248">
        <f t="shared" si="13"/>
        <v>0</v>
      </c>
      <c r="F14" s="248">
        <f t="shared" si="0"/>
        <v>0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0</v>
      </c>
      <c r="AA14" s="248">
        <f t="shared" si="21"/>
        <v>0</v>
      </c>
      <c r="AB14" s="248">
        <f t="shared" si="22"/>
        <v>500</v>
      </c>
      <c r="AC14" s="248">
        <f t="shared" si="23"/>
        <v>0</v>
      </c>
      <c r="AD14" s="71">
        <f>ELEC!Q15</f>
        <v>0</v>
      </c>
      <c r="AE14" s="71" t="e">
        <f t="shared" si="27"/>
        <v>#DIV/0!</v>
      </c>
      <c r="AF14" s="345" t="e">
        <f t="shared" si="28"/>
        <v>#DIV/0!</v>
      </c>
      <c r="AG14" s="345" t="e">
        <f t="shared" si="28"/>
        <v>#DIV/0!</v>
      </c>
      <c r="AH14" s="346" t="e">
        <f t="shared" si="24"/>
        <v>#DIV/0!</v>
      </c>
      <c r="AI14" s="71">
        <f t="shared" si="29"/>
        <v>0</v>
      </c>
      <c r="AJ14" s="250">
        <f t="shared" si="9"/>
        <v>0.25738396624472576</v>
      </c>
      <c r="AK14" s="250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44908</v>
      </c>
      <c r="B15" s="523">
        <f t="shared" si="11"/>
        <v>1569</v>
      </c>
      <c r="C15" s="248">
        <f t="shared" si="12"/>
        <v>0</v>
      </c>
      <c r="D15" s="444">
        <f t="shared" si="26"/>
        <v>812771</v>
      </c>
      <c r="E15" s="248">
        <f t="shared" si="13"/>
        <v>0</v>
      </c>
      <c r="F15" s="248">
        <f t="shared" si="0"/>
        <v>0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0</v>
      </c>
      <c r="AA15" s="248">
        <f t="shared" si="21"/>
        <v>0</v>
      </c>
      <c r="AB15" s="248">
        <f t="shared" si="22"/>
        <v>500</v>
      </c>
      <c r="AC15" s="248">
        <f t="shared" si="23"/>
        <v>0</v>
      </c>
      <c r="AD15" s="71">
        <f>ELEC!Q16</f>
        <v>0</v>
      </c>
      <c r="AE15" s="71" t="e">
        <f t="shared" si="27"/>
        <v>#DIV/0!</v>
      </c>
      <c r="AF15" s="345" t="e">
        <f t="shared" si="28"/>
        <v>#DIV/0!</v>
      </c>
      <c r="AG15" s="345" t="e">
        <f t="shared" si="28"/>
        <v>#DIV/0!</v>
      </c>
      <c r="AH15" s="346" t="e">
        <f t="shared" si="24"/>
        <v>#DIV/0!</v>
      </c>
      <c r="AI15" s="71">
        <f t="shared" si="29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44909</v>
      </c>
      <c r="B16" s="523">
        <f t="shared" si="11"/>
        <v>1569</v>
      </c>
      <c r="C16" s="248">
        <f t="shared" si="12"/>
        <v>0</v>
      </c>
      <c r="D16" s="444">
        <f t="shared" si="26"/>
        <v>812771</v>
      </c>
      <c r="E16" s="248">
        <f t="shared" si="13"/>
        <v>0</v>
      </c>
      <c r="F16" s="248">
        <f t="shared" si="0"/>
        <v>0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0</v>
      </c>
      <c r="AA16" s="248">
        <f t="shared" si="21"/>
        <v>0</v>
      </c>
      <c r="AB16" s="248">
        <f t="shared" si="22"/>
        <v>500</v>
      </c>
      <c r="AC16" s="248">
        <f t="shared" si="23"/>
        <v>0</v>
      </c>
      <c r="AD16" s="71">
        <f>ELEC!Q17</f>
        <v>0</v>
      </c>
      <c r="AE16" s="71" t="e">
        <f t="shared" si="27"/>
        <v>#DIV/0!</v>
      </c>
      <c r="AF16" s="345" t="e">
        <f t="shared" si="28"/>
        <v>#DIV/0!</v>
      </c>
      <c r="AG16" s="345" t="e">
        <f t="shared" si="28"/>
        <v>#DIV/0!</v>
      </c>
      <c r="AH16" s="346" t="e">
        <f t="shared" si="24"/>
        <v>#DIV/0!</v>
      </c>
      <c r="AI16" s="71">
        <f t="shared" si="29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44910</v>
      </c>
      <c r="B17" s="523">
        <f t="shared" si="11"/>
        <v>1569</v>
      </c>
      <c r="C17" s="248">
        <f t="shared" si="12"/>
        <v>0</v>
      </c>
      <c r="D17" s="444">
        <f t="shared" si="26"/>
        <v>812771</v>
      </c>
      <c r="E17" s="248">
        <f t="shared" si="13"/>
        <v>0</v>
      </c>
      <c r="F17" s="248">
        <f t="shared" si="0"/>
        <v>0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0</v>
      </c>
      <c r="AA17" s="248">
        <f t="shared" si="21"/>
        <v>0</v>
      </c>
      <c r="AB17" s="248">
        <f t="shared" si="22"/>
        <v>500</v>
      </c>
      <c r="AC17" s="248">
        <f t="shared" si="23"/>
        <v>0</v>
      </c>
      <c r="AD17" s="71">
        <f>ELEC!Q18</f>
        <v>0</v>
      </c>
      <c r="AE17" s="71" t="e">
        <f t="shared" si="27"/>
        <v>#DIV/0!</v>
      </c>
      <c r="AF17" s="345" t="e">
        <f t="shared" si="28"/>
        <v>#DIV/0!</v>
      </c>
      <c r="AG17" s="345" t="e">
        <f t="shared" si="28"/>
        <v>#DIV/0!</v>
      </c>
      <c r="AH17" s="346" t="e">
        <f t="shared" si="24"/>
        <v>#DIV/0!</v>
      </c>
      <c r="AI17" s="71">
        <f t="shared" si="29"/>
        <v>0</v>
      </c>
      <c r="AJ17" s="250">
        <f t="shared" si="9"/>
        <v>0.25738396624472576</v>
      </c>
      <c r="AK17" s="250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44911</v>
      </c>
      <c r="B18" s="523">
        <f t="shared" si="11"/>
        <v>1569</v>
      </c>
      <c r="C18" s="248">
        <f t="shared" si="12"/>
        <v>0</v>
      </c>
      <c r="D18" s="444">
        <f t="shared" si="26"/>
        <v>812771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1569</v>
      </c>
      <c r="C19" s="248">
        <f t="shared" si="12"/>
        <v>0</v>
      </c>
      <c r="D19" s="444">
        <f t="shared" si="26"/>
        <v>812771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f t="shared" si="11"/>
        <v>1569</v>
      </c>
      <c r="C20" s="248">
        <f>B20-B19</f>
        <v>0</v>
      </c>
      <c r="D20" s="444">
        <f t="shared" si="26"/>
        <v>812771</v>
      </c>
      <c r="E20" s="248">
        <f t="shared" si="13"/>
        <v>0</v>
      </c>
      <c r="F20" s="248">
        <f t="shared" si="0"/>
        <v>0</v>
      </c>
      <c r="G20" s="185"/>
      <c r="H20" s="238">
        <f t="shared" si="14"/>
        <v>12231</v>
      </c>
      <c r="I20" s="248" t="str">
        <f t="shared" si="1"/>
        <v>ok</v>
      </c>
      <c r="J20" s="443">
        <f t="shared" si="15"/>
        <v>144</v>
      </c>
      <c r="K20" s="248">
        <f t="shared" si="2"/>
        <v>0</v>
      </c>
      <c r="L20" s="444">
        <f t="shared" si="30"/>
        <v>392441</v>
      </c>
      <c r="M20" s="248">
        <f t="shared" si="3"/>
        <v>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0</v>
      </c>
      <c r="AA20" s="248">
        <f t="shared" si="21"/>
        <v>0</v>
      </c>
      <c r="AB20" s="248">
        <f t="shared" si="22"/>
        <v>500</v>
      </c>
      <c r="AC20" s="248">
        <f t="shared" si="23"/>
        <v>0</v>
      </c>
      <c r="AD20" s="71">
        <f>ELEC!Q21</f>
        <v>0</v>
      </c>
      <c r="AE20" s="71" t="e">
        <f t="shared" si="27"/>
        <v>#DIV/0!</v>
      </c>
      <c r="AF20" s="345" t="e">
        <f t="shared" si="28"/>
        <v>#DIV/0!</v>
      </c>
      <c r="AG20" s="345" t="e">
        <f t="shared" si="28"/>
        <v>#DIV/0!</v>
      </c>
      <c r="AH20" s="346" t="e">
        <f t="shared" si="24"/>
        <v>#DIV/0!</v>
      </c>
      <c r="AI20" s="71">
        <f>AD20*AJ20</f>
        <v>0</v>
      </c>
      <c r="AJ20" s="250">
        <f t="shared" si="9"/>
        <v>0.25738396624472576</v>
      </c>
      <c r="AK20" s="250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44914</v>
      </c>
      <c r="B21" s="523">
        <f t="shared" si="11"/>
        <v>1569</v>
      </c>
      <c r="C21" s="248">
        <f>B21-B20</f>
        <v>0</v>
      </c>
      <c r="D21" s="444">
        <f t="shared" si="26"/>
        <v>812771</v>
      </c>
      <c r="E21" s="248">
        <f t="shared" si="13"/>
        <v>0</v>
      </c>
      <c r="F21" s="248">
        <f t="shared" si="0"/>
        <v>0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144</v>
      </c>
      <c r="K21" s="248">
        <f t="shared" si="2"/>
        <v>0</v>
      </c>
      <c r="L21" s="444">
        <f t="shared" si="30"/>
        <v>392441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0</v>
      </c>
      <c r="AA21" s="248">
        <f t="shared" si="21"/>
        <v>0</v>
      </c>
      <c r="AB21" s="248">
        <f t="shared" si="22"/>
        <v>500</v>
      </c>
      <c r="AC21" s="248">
        <f t="shared" si="23"/>
        <v>0</v>
      </c>
      <c r="AD21" s="71">
        <f>ELEC!Q22</f>
        <v>0</v>
      </c>
      <c r="AE21" s="71" t="e">
        <f t="shared" si="27"/>
        <v>#DIV/0!</v>
      </c>
      <c r="AF21" s="345" t="e">
        <f t="shared" si="28"/>
        <v>#DIV/0!</v>
      </c>
      <c r="AG21" s="345" t="e">
        <f t="shared" si="28"/>
        <v>#DIV/0!</v>
      </c>
      <c r="AH21" s="346" t="e">
        <f t="shared" si="24"/>
        <v>#DIV/0!</v>
      </c>
      <c r="AI21" s="71">
        <f t="shared" si="29"/>
        <v>0</v>
      </c>
      <c r="AJ21" s="250">
        <f t="shared" si="9"/>
        <v>0.25738396624472576</v>
      </c>
      <c r="AK21" s="250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44915</v>
      </c>
      <c r="B22" s="523">
        <f t="shared" si="11"/>
        <v>1569</v>
      </c>
      <c r="C22" s="248">
        <f t="shared" ref="C22:C26" si="34">B22-B21</f>
        <v>0</v>
      </c>
      <c r="D22" s="444">
        <f t="shared" si="26"/>
        <v>812771</v>
      </c>
      <c r="E22" s="248">
        <f t="shared" si="13"/>
        <v>0</v>
      </c>
      <c r="F22" s="248">
        <f t="shared" si="0"/>
        <v>0</v>
      </c>
      <c r="G22" s="185"/>
      <c r="H22" s="238">
        <f t="shared" si="14"/>
        <v>12231</v>
      </c>
      <c r="I22" s="248" t="str">
        <f t="shared" si="1"/>
        <v>ok</v>
      </c>
      <c r="J22" s="443">
        <f t="shared" si="15"/>
        <v>144</v>
      </c>
      <c r="K22" s="248">
        <f t="shared" si="2"/>
        <v>0</v>
      </c>
      <c r="L22" s="444">
        <f t="shared" si="30"/>
        <v>392441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0</v>
      </c>
      <c r="AA22" s="248">
        <f t="shared" si="21"/>
        <v>0</v>
      </c>
      <c r="AB22" s="248">
        <f t="shared" si="22"/>
        <v>500</v>
      </c>
      <c r="AC22" s="248">
        <f t="shared" si="23"/>
        <v>0</v>
      </c>
      <c r="AD22" s="71">
        <f>ELEC!Q23</f>
        <v>0</v>
      </c>
      <c r="AE22" s="71" t="e">
        <f t="shared" si="27"/>
        <v>#DIV/0!</v>
      </c>
      <c r="AF22" s="345" t="e">
        <f t="shared" si="28"/>
        <v>#DIV/0!</v>
      </c>
      <c r="AG22" s="345" t="e">
        <f t="shared" si="28"/>
        <v>#DIV/0!</v>
      </c>
      <c r="AH22" s="346" t="e">
        <f t="shared" si="24"/>
        <v>#DIV/0!</v>
      </c>
      <c r="AI22" s="71">
        <f t="shared" si="29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44916</v>
      </c>
      <c r="B23" s="523">
        <f t="shared" si="11"/>
        <v>1569</v>
      </c>
      <c r="C23" s="248"/>
      <c r="D23" s="444">
        <f>D22+C23*85</f>
        <v>812771</v>
      </c>
      <c r="E23" s="248">
        <f t="shared" si="13"/>
        <v>0</v>
      </c>
      <c r="F23" s="248">
        <f t="shared" si="0"/>
        <v>0</v>
      </c>
      <c r="G23" s="185"/>
      <c r="H23" s="238">
        <f t="shared" si="14"/>
        <v>12231</v>
      </c>
      <c r="I23" s="248" t="str">
        <f t="shared" si="1"/>
        <v>ok</v>
      </c>
      <c r="J23" s="443">
        <f t="shared" si="15"/>
        <v>144</v>
      </c>
      <c r="K23" s="248">
        <f t="shared" si="2"/>
        <v>0</v>
      </c>
      <c r="L23" s="444">
        <f t="shared" si="30"/>
        <v>392441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0</v>
      </c>
      <c r="AA23" s="248">
        <f t="shared" si="21"/>
        <v>0</v>
      </c>
      <c r="AB23" s="248">
        <f t="shared" si="22"/>
        <v>500</v>
      </c>
      <c r="AC23" s="248">
        <f t="shared" si="23"/>
        <v>0</v>
      </c>
      <c r="AD23" s="71">
        <f>ELEC!Q24</f>
        <v>0</v>
      </c>
      <c r="AE23" s="71" t="e">
        <f t="shared" si="27"/>
        <v>#DIV/0!</v>
      </c>
      <c r="AF23" s="345" t="e">
        <f t="shared" si="28"/>
        <v>#DIV/0!</v>
      </c>
      <c r="AG23" s="345" t="e">
        <f t="shared" si="28"/>
        <v>#DIV/0!</v>
      </c>
      <c r="AH23" s="346" t="e">
        <f t="shared" si="24"/>
        <v>#DIV/0!</v>
      </c>
      <c r="AI23" s="71">
        <f t="shared" si="29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44917</v>
      </c>
      <c r="B24" s="523">
        <f t="shared" si="11"/>
        <v>1569</v>
      </c>
      <c r="C24" s="248">
        <f t="shared" si="34"/>
        <v>0</v>
      </c>
      <c r="D24" s="444">
        <f t="shared" si="26"/>
        <v>812771</v>
      </c>
      <c r="E24" s="248">
        <f>SUM(D24-D23)</f>
        <v>0</v>
      </c>
      <c r="F24" s="248">
        <f t="shared" si="0"/>
        <v>0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144</v>
      </c>
      <c r="K24" s="248">
        <f t="shared" si="2"/>
        <v>0</v>
      </c>
      <c r="L24" s="444">
        <f t="shared" si="30"/>
        <v>392441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0</v>
      </c>
      <c r="AA24" s="248">
        <f t="shared" si="21"/>
        <v>0</v>
      </c>
      <c r="AB24" s="248">
        <f t="shared" si="22"/>
        <v>500</v>
      </c>
      <c r="AC24" s="248">
        <f t="shared" si="23"/>
        <v>0</v>
      </c>
      <c r="AD24" s="71">
        <f>ELEC!Q25</f>
        <v>0</v>
      </c>
      <c r="AE24" s="71" t="e">
        <f t="shared" si="27"/>
        <v>#DIV/0!</v>
      </c>
      <c r="AF24" s="345" t="e">
        <f t="shared" si="28"/>
        <v>#DIV/0!</v>
      </c>
      <c r="AG24" s="345" t="e">
        <f t="shared" si="28"/>
        <v>#DIV/0!</v>
      </c>
      <c r="AH24" s="346" t="e">
        <f t="shared" si="24"/>
        <v>#DIV/0!</v>
      </c>
      <c r="AI24" s="71">
        <f t="shared" si="29"/>
        <v>0</v>
      </c>
      <c r="AJ24" s="250">
        <f t="shared" si="9"/>
        <v>0.25738396624472576</v>
      </c>
      <c r="AK24" s="250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44918</v>
      </c>
      <c r="B25" s="523">
        <f t="shared" si="11"/>
        <v>1569</v>
      </c>
      <c r="C25" s="248">
        <f t="shared" si="34"/>
        <v>0</v>
      </c>
      <c r="D25" s="444">
        <f t="shared" si="26"/>
        <v>812771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144</v>
      </c>
      <c r="K25" s="248">
        <f t="shared" si="2"/>
        <v>0</v>
      </c>
      <c r="L25" s="444">
        <f t="shared" si="30"/>
        <v>392441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0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1569</v>
      </c>
      <c r="C26" s="248">
        <f t="shared" si="34"/>
        <v>0</v>
      </c>
      <c r="D26" s="444">
        <f t="shared" si="26"/>
        <v>812771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144</v>
      </c>
      <c r="K26" s="248">
        <f t="shared" si="2"/>
        <v>0</v>
      </c>
      <c r="L26" s="444">
        <f t="shared" si="30"/>
        <v>392441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1569</v>
      </c>
      <c r="C27" s="248">
        <f t="shared" ref="C27:C28" si="35">B27-B26</f>
        <v>0</v>
      </c>
      <c r="D27" s="444">
        <f t="shared" si="26"/>
        <v>812771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144</v>
      </c>
      <c r="K27" s="248">
        <f t="shared" si="2"/>
        <v>0</v>
      </c>
      <c r="L27" s="444">
        <f t="shared" si="30"/>
        <v>392441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f t="shared" si="11"/>
        <v>1569</v>
      </c>
      <c r="C28" s="248">
        <f t="shared" si="35"/>
        <v>0</v>
      </c>
      <c r="D28" s="444">
        <f t="shared" si="26"/>
        <v>812771</v>
      </c>
      <c r="E28" s="248">
        <f t="shared" si="13"/>
        <v>0</v>
      </c>
      <c r="F28" s="248">
        <f t="shared" si="0"/>
        <v>0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144</v>
      </c>
      <c r="K28" s="248">
        <f t="shared" si="2"/>
        <v>0</v>
      </c>
      <c r="L28" s="444">
        <f t="shared" si="30"/>
        <v>392441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0</v>
      </c>
      <c r="AA28" s="248">
        <f t="shared" si="21"/>
        <v>0</v>
      </c>
      <c r="AB28" s="248">
        <f t="shared" si="22"/>
        <v>500</v>
      </c>
      <c r="AC28" s="248">
        <f t="shared" si="23"/>
        <v>0</v>
      </c>
      <c r="AD28" s="71">
        <f>ELEC!Q29</f>
        <v>0</v>
      </c>
      <c r="AE28" s="71" t="e">
        <f t="shared" si="27"/>
        <v>#DIV/0!</v>
      </c>
      <c r="AF28" s="345" t="e">
        <f t="shared" si="28"/>
        <v>#DIV/0!</v>
      </c>
      <c r="AG28" s="345" t="e">
        <f t="shared" si="28"/>
        <v>#DIV/0!</v>
      </c>
      <c r="AH28" s="346" t="e">
        <f t="shared" si="24"/>
        <v>#DIV/0!</v>
      </c>
      <c r="AI28" s="71">
        <f t="shared" si="29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44922</v>
      </c>
      <c r="B29" s="523">
        <f t="shared" si="11"/>
        <v>1569</v>
      </c>
      <c r="C29" s="248">
        <f t="shared" si="12"/>
        <v>0</v>
      </c>
      <c r="D29" s="444">
        <f t="shared" si="26"/>
        <v>812771</v>
      </c>
      <c r="E29" s="248">
        <f t="shared" si="13"/>
        <v>0</v>
      </c>
      <c r="F29" s="248">
        <f t="shared" si="0"/>
        <v>0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144</v>
      </c>
      <c r="K29" s="248">
        <f t="shared" si="2"/>
        <v>0</v>
      </c>
      <c r="L29" s="444">
        <f t="shared" si="30"/>
        <v>392441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0</v>
      </c>
      <c r="AA29" s="248">
        <f t="shared" si="21"/>
        <v>0</v>
      </c>
      <c r="AB29" s="248">
        <f t="shared" si="22"/>
        <v>500</v>
      </c>
      <c r="AC29" s="248">
        <f t="shared" si="23"/>
        <v>0</v>
      </c>
      <c r="AD29" s="71">
        <f>ELEC!Q30</f>
        <v>0</v>
      </c>
      <c r="AE29" s="71" t="e">
        <f t="shared" si="27"/>
        <v>#DIV/0!</v>
      </c>
      <c r="AF29" s="345" t="e">
        <f t="shared" si="28"/>
        <v>#DIV/0!</v>
      </c>
      <c r="AG29" s="345" t="e">
        <f t="shared" si="28"/>
        <v>#DIV/0!</v>
      </c>
      <c r="AH29" s="346" t="e">
        <f t="shared" si="24"/>
        <v>#DIV/0!</v>
      </c>
      <c r="AI29" s="71">
        <f t="shared" si="29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44923</v>
      </c>
      <c r="B30" s="523">
        <f t="shared" si="11"/>
        <v>1569</v>
      </c>
      <c r="C30" s="248">
        <f t="shared" si="12"/>
        <v>0</v>
      </c>
      <c r="D30" s="444">
        <f t="shared" si="26"/>
        <v>812771</v>
      </c>
      <c r="E30" s="248">
        <f t="shared" si="13"/>
        <v>0</v>
      </c>
      <c r="F30" s="248">
        <f t="shared" si="0"/>
        <v>0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144</v>
      </c>
      <c r="K30" s="248">
        <f t="shared" si="2"/>
        <v>0</v>
      </c>
      <c r="L30" s="444">
        <f t="shared" si="30"/>
        <v>392441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0</v>
      </c>
      <c r="AA30" s="248">
        <f t="shared" si="21"/>
        <v>0</v>
      </c>
      <c r="AB30" s="248">
        <f t="shared" si="22"/>
        <v>500</v>
      </c>
      <c r="AC30" s="248">
        <f t="shared" si="23"/>
        <v>0</v>
      </c>
      <c r="AD30" s="71">
        <f>ELEC!Q31</f>
        <v>0</v>
      </c>
      <c r="AE30" s="71" t="e">
        <f t="shared" si="27"/>
        <v>#DIV/0!</v>
      </c>
      <c r="AF30" s="345" t="e">
        <f t="shared" si="28"/>
        <v>#DIV/0!</v>
      </c>
      <c r="AG30" s="345" t="e">
        <f t="shared" si="28"/>
        <v>#DIV/0!</v>
      </c>
      <c r="AH30" s="346" t="e">
        <f t="shared" si="24"/>
        <v>#DIV/0!</v>
      </c>
      <c r="AI30" s="71">
        <f t="shared" si="29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23">
        <f t="shared" si="11"/>
        <v>1569</v>
      </c>
      <c r="C31" s="248">
        <f t="shared" ref="C31:C33" si="36">B31-B30</f>
        <v>0</v>
      </c>
      <c r="D31" s="444">
        <f t="shared" si="26"/>
        <v>812771</v>
      </c>
      <c r="E31" s="248">
        <f t="shared" si="13"/>
        <v>0</v>
      </c>
      <c r="F31" s="248">
        <f t="shared" ref="F31:F33" si="37">IF(C31&gt;0,E31/C31,0)</f>
        <v>0</v>
      </c>
      <c r="G31" s="185"/>
      <c r="H31" s="238">
        <f t="shared" si="14"/>
        <v>12231</v>
      </c>
      <c r="I31" s="248" t="str">
        <f t="shared" ref="I31:I33" si="38">IF(B31-H31&lt;=0,"ok","oil change")</f>
        <v>ok</v>
      </c>
      <c r="J31" s="443">
        <f t="shared" si="15"/>
        <v>144</v>
      </c>
      <c r="K31" s="248">
        <f t="shared" si="2"/>
        <v>0</v>
      </c>
      <c r="L31" s="444">
        <f t="shared" si="30"/>
        <v>392441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9">IF(J31-P31&lt;=0,"ok","oil change")</f>
        <v>ok</v>
      </c>
      <c r="R31" s="443">
        <f t="shared" si="18"/>
        <v>13917</v>
      </c>
      <c r="S31" s="248">
        <f t="shared" ref="S31:S33" si="40">R31-R30</f>
        <v>0</v>
      </c>
      <c r="T31" s="444">
        <f t="shared" si="31"/>
        <v>418512</v>
      </c>
      <c r="U31" s="248">
        <f t="shared" ref="U31:U33" si="41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0</v>
      </c>
      <c r="AA31" s="248">
        <f t="shared" ref="AA31:AA33" si="42">U31+M31+E31</f>
        <v>0</v>
      </c>
      <c r="AB31" s="248">
        <f t="shared" ref="AB31:AB33" si="43">V31+N31+F31</f>
        <v>500</v>
      </c>
      <c r="AC31" s="248">
        <f t="shared" ref="AC31:AC33" si="44">IF(Z31&gt;0,AA31/Z31,0)</f>
        <v>0</v>
      </c>
      <c r="AD31" s="71">
        <f>ELEC!Q32</f>
        <v>0</v>
      </c>
      <c r="AE31" s="71" t="e">
        <f t="shared" ref="AE31:AE33" si="45">SUM(AD31/Z31)</f>
        <v>#DIV/0!</v>
      </c>
      <c r="AF31" s="345" t="e">
        <f t="shared" ref="AF31:AF33" si="46">SUM(AE31/1600)</f>
        <v>#DIV/0!</v>
      </c>
      <c r="AG31" s="345" t="e">
        <f t="shared" ref="AG31:AG33" si="47">SUM(AF31/1600)</f>
        <v>#DIV/0!</v>
      </c>
      <c r="AH31" s="346" t="e">
        <f t="shared" ref="AH31:AH33" si="48">SUM(AC31-AG31)</f>
        <v>#DIV/0!</v>
      </c>
      <c r="AI31" s="71">
        <f t="shared" ref="AI31:AI33" si="49">AD31*AJ31</f>
        <v>0</v>
      </c>
      <c r="AJ31" s="250">
        <f t="shared" si="9"/>
        <v>0.25738396624472576</v>
      </c>
      <c r="AK31" s="250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44925</v>
      </c>
      <c r="B32" s="523">
        <f t="shared" si="11"/>
        <v>1569</v>
      </c>
      <c r="C32" s="248">
        <f t="shared" si="36"/>
        <v>0</v>
      </c>
      <c r="D32" s="444">
        <f t="shared" si="26"/>
        <v>812771</v>
      </c>
      <c r="E32" s="248">
        <f t="shared" si="13"/>
        <v>0</v>
      </c>
      <c r="F32" s="248">
        <f t="shared" si="37"/>
        <v>0</v>
      </c>
      <c r="G32" s="185"/>
      <c r="H32" s="238">
        <f t="shared" si="14"/>
        <v>12231</v>
      </c>
      <c r="I32" s="248" t="str">
        <f t="shared" si="38"/>
        <v>ok</v>
      </c>
      <c r="J32" s="443">
        <f t="shared" si="15"/>
        <v>144</v>
      </c>
      <c r="K32" s="248">
        <f t="shared" si="2"/>
        <v>0</v>
      </c>
      <c r="L32" s="444">
        <f t="shared" si="30"/>
        <v>392441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9"/>
        <v>ok</v>
      </c>
      <c r="R32" s="443">
        <f t="shared" si="18"/>
        <v>13917</v>
      </c>
      <c r="S32" s="248">
        <f t="shared" si="40"/>
        <v>0</v>
      </c>
      <c r="T32" s="444">
        <f t="shared" si="31"/>
        <v>418512</v>
      </c>
      <c r="U32" s="248">
        <f t="shared" si="41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0</v>
      </c>
      <c r="AA32" s="248">
        <f t="shared" si="42"/>
        <v>0</v>
      </c>
      <c r="AB32" s="248">
        <f t="shared" si="43"/>
        <v>500</v>
      </c>
      <c r="AC32" s="248">
        <f t="shared" si="44"/>
        <v>0</v>
      </c>
      <c r="AD32" s="71">
        <f>ELEC!Q33</f>
        <v>0</v>
      </c>
      <c r="AE32" s="71" t="e">
        <f t="shared" si="45"/>
        <v>#DIV/0!</v>
      </c>
      <c r="AF32" s="345" t="e">
        <f t="shared" si="46"/>
        <v>#DIV/0!</v>
      </c>
      <c r="AG32" s="345" t="e">
        <f t="shared" si="47"/>
        <v>#DIV/0!</v>
      </c>
      <c r="AH32" s="346" t="e">
        <f t="shared" si="48"/>
        <v>#DIV/0!</v>
      </c>
      <c r="AI32" s="71">
        <f t="shared" si="49"/>
        <v>0</v>
      </c>
      <c r="AJ32" s="250">
        <f t="shared" si="9"/>
        <v>0.25738396624472576</v>
      </c>
      <c r="AK32" s="250" t="e">
        <f t="shared" si="50"/>
        <v>#DIV/0!</v>
      </c>
      <c r="AL32">
        <f t="shared" si="51"/>
        <v>0</v>
      </c>
    </row>
    <row r="33" spans="1:38">
      <c r="A33" s="4">
        <f>ELEC!C34</f>
        <v>44926</v>
      </c>
      <c r="B33" s="523">
        <f t="shared" si="11"/>
        <v>1569</v>
      </c>
      <c r="C33" s="248">
        <f t="shared" si="36"/>
        <v>0</v>
      </c>
      <c r="D33" s="444">
        <f t="shared" si="26"/>
        <v>812771</v>
      </c>
      <c r="E33" s="248">
        <f t="shared" si="13"/>
        <v>0</v>
      </c>
      <c r="F33" s="248">
        <f t="shared" si="37"/>
        <v>0</v>
      </c>
      <c r="G33" s="185"/>
      <c r="H33" s="238">
        <f t="shared" si="14"/>
        <v>12231</v>
      </c>
      <c r="I33" s="248" t="str">
        <f t="shared" si="38"/>
        <v>ok</v>
      </c>
      <c r="J33" s="443">
        <f t="shared" si="15"/>
        <v>144</v>
      </c>
      <c r="K33" s="248">
        <f t="shared" si="2"/>
        <v>0</v>
      </c>
      <c r="L33" s="444">
        <f t="shared" si="30"/>
        <v>392441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9"/>
        <v>ok</v>
      </c>
      <c r="R33" s="443">
        <f t="shared" si="18"/>
        <v>13917</v>
      </c>
      <c r="S33" s="248">
        <f t="shared" si="40"/>
        <v>0</v>
      </c>
      <c r="T33" s="444">
        <f t="shared" si="31"/>
        <v>418512</v>
      </c>
      <c r="U33" s="248">
        <f t="shared" si="41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2"/>
        <v>0</v>
      </c>
      <c r="AB33" s="248">
        <f t="shared" si="43"/>
        <v>500</v>
      </c>
      <c r="AC33" s="248">
        <f t="shared" si="44"/>
        <v>0</v>
      </c>
      <c r="AD33" s="71">
        <f>ELEC!Q34</f>
        <v>0</v>
      </c>
      <c r="AE33" s="71" t="e">
        <f t="shared" si="45"/>
        <v>#DIV/0!</v>
      </c>
      <c r="AF33" s="345" t="e">
        <f t="shared" si="46"/>
        <v>#DIV/0!</v>
      </c>
      <c r="AG33" s="345" t="e">
        <f t="shared" si="47"/>
        <v>#DIV/0!</v>
      </c>
      <c r="AH33" s="346" t="e">
        <f t="shared" si="48"/>
        <v>#DIV/0!</v>
      </c>
      <c r="AI33" s="71">
        <f t="shared" si="49"/>
        <v>0</v>
      </c>
      <c r="AJ33" s="250">
        <f t="shared" si="9"/>
        <v>0.25738396624472576</v>
      </c>
      <c r="AK33" s="250" t="e">
        <f t="shared" si="50"/>
        <v>#DIV/0!</v>
      </c>
      <c r="AL33">
        <f t="shared" si="51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65</v>
      </c>
      <c r="V34" s="39"/>
      <c r="X34">
        <v>341</v>
      </c>
      <c r="Z34" s="360">
        <f>SUM(Z3:Z33)</f>
        <v>65</v>
      </c>
      <c r="AF34" s="345">
        <f>SUM(AE34/1600)</f>
        <v>0</v>
      </c>
      <c r="AL34">
        <f>SUM(AL3:AL33)</f>
        <v>6</v>
      </c>
    </row>
    <row r="35" spans="1:38">
      <c r="C35" s="39">
        <f>SUM(C3:C33)</f>
        <v>64</v>
      </c>
      <c r="K35" s="39">
        <f>SUM(K3:K33)</f>
        <v>1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2">D42</f>
        <v>213</v>
      </c>
      <c r="T43">
        <v>8</v>
      </c>
    </row>
    <row r="44" spans="1:38" ht="15.75" thickBot="1">
      <c r="D44" s="443">
        <f t="shared" si="52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C3:C33 Z3:Z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46"/>
  <sheetViews>
    <sheetView zoomScale="60" zoomScaleNormal="60" workbookViewId="0">
      <pane xSplit="1" topLeftCell="AR7" activePane="topRight" state="frozen"/>
      <selection pane="topRight" activeCell="AT14" sqref="AT14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98</v>
      </c>
      <c r="C2" s="7"/>
      <c r="D2" s="7" t="s">
        <v>99</v>
      </c>
      <c r="E2" s="7"/>
      <c r="F2" s="7" t="s">
        <v>164</v>
      </c>
      <c r="G2" s="7"/>
      <c r="H2" s="7" t="s">
        <v>165</v>
      </c>
      <c r="I2" s="7"/>
      <c r="J2" s="7" t="s">
        <v>166</v>
      </c>
      <c r="K2" s="7"/>
      <c r="L2" s="7" t="s">
        <v>167</v>
      </c>
      <c r="M2" s="7"/>
      <c r="N2" s="7" t="s">
        <v>168</v>
      </c>
      <c r="O2" s="7"/>
      <c r="P2" s="7" t="s">
        <v>169</v>
      </c>
      <c r="Q2" s="7"/>
      <c r="R2" s="7" t="s">
        <v>170</v>
      </c>
      <c r="T2" s="7" t="s">
        <v>171</v>
      </c>
      <c r="V2" s="7" t="s">
        <v>172</v>
      </c>
      <c r="W2" s="7"/>
      <c r="X2" s="209"/>
      <c r="Y2" s="7"/>
      <c r="Z2" s="8" t="s">
        <v>98</v>
      </c>
      <c r="AA2" s="8"/>
      <c r="AB2" s="8" t="s">
        <v>99</v>
      </c>
      <c r="AC2" s="8"/>
      <c r="AD2" s="8" t="s">
        <v>164</v>
      </c>
      <c r="AE2" s="8"/>
      <c r="AF2" s="8" t="s">
        <v>165</v>
      </c>
      <c r="AG2" s="8"/>
      <c r="AH2" s="8" t="s">
        <v>166</v>
      </c>
      <c r="AI2" s="8"/>
      <c r="AJ2" s="8" t="s">
        <v>167</v>
      </c>
      <c r="AK2" s="8"/>
      <c r="AL2" s="8" t="s">
        <v>168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52" t="s">
        <v>173</v>
      </c>
      <c r="AS3" s="552" t="s">
        <v>174</v>
      </c>
      <c r="AT3" s="550" t="s">
        <v>175</v>
      </c>
      <c r="AU3" s="551"/>
      <c r="AV3" s="261"/>
      <c r="AW3" s="3"/>
      <c r="AX3" s="3"/>
      <c r="AY3" s="3"/>
      <c r="AZ3" s="3"/>
      <c r="BA3" s="3"/>
      <c r="BB3" s="3"/>
      <c r="BC3" s="3"/>
      <c r="BD3" s="3"/>
      <c r="BE3" s="13" t="s">
        <v>176</v>
      </c>
      <c r="BF3" s="13" t="s">
        <v>177</v>
      </c>
      <c r="BG3" s="13" t="s">
        <v>178</v>
      </c>
      <c r="BH3" s="12" t="s">
        <v>179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53"/>
      <c r="AS4" s="553"/>
      <c r="AT4" s="3" t="s">
        <v>71</v>
      </c>
      <c r="AU4" s="3" t="s">
        <v>180</v>
      </c>
      <c r="AV4" s="262"/>
      <c r="AW4" s="3" t="s">
        <v>181</v>
      </c>
      <c r="AX4" s="3" t="s">
        <v>182</v>
      </c>
      <c r="AY4" s="3"/>
      <c r="AZ4" s="93" t="s">
        <v>183</v>
      </c>
      <c r="BA4" s="93" t="s">
        <v>184</v>
      </c>
      <c r="BB4" s="93" t="s">
        <v>185</v>
      </c>
      <c r="BC4" s="3"/>
      <c r="BD4" s="3"/>
      <c r="BE4" s="13"/>
      <c r="BF4" s="13"/>
      <c r="BG4" s="13"/>
      <c r="BH4" s="11"/>
    </row>
    <row r="5" spans="1:63">
      <c r="A5" s="379">
        <f>[2]tanks!$A$35</f>
        <v>44895</v>
      </c>
      <c r="B5" s="440">
        <f>[2]tanks!B35</f>
        <v>243</v>
      </c>
      <c r="C5" s="440">
        <f>[2]tanks!C35</f>
        <v>5228.4193548387093</v>
      </c>
      <c r="D5" s="440">
        <f>[2]tanks!D35</f>
        <v>243</v>
      </c>
      <c r="E5" s="440">
        <f>[2]tanks!E35</f>
        <v>5228.4193548387093</v>
      </c>
      <c r="F5" s="440">
        <f>[2]tanks!F35</f>
        <v>243</v>
      </c>
      <c r="G5" s="440">
        <f>[2]tanks!G35</f>
        <v>5228.4193548387093</v>
      </c>
      <c r="H5" s="440">
        <f>[2]tanks!H35</f>
        <v>243</v>
      </c>
      <c r="I5" s="440">
        <f>[2]tanks!I35</f>
        <v>5228.4193548387093</v>
      </c>
      <c r="J5" s="440">
        <f>[2]tanks!J35</f>
        <v>243</v>
      </c>
      <c r="K5" s="440">
        <f>[2]tanks!K35</f>
        <v>5228.4193548387093</v>
      </c>
      <c r="L5" s="440">
        <f>[2]tanks!L35</f>
        <v>243</v>
      </c>
      <c r="M5" s="440">
        <f>[2]tanks!M35</f>
        <v>5228.4193548387093</v>
      </c>
      <c r="N5" s="440">
        <f>[2]tanks!N35</f>
        <v>243</v>
      </c>
      <c r="O5" s="440">
        <f>[2]tanks!O35</f>
        <v>5228.4193548387093</v>
      </c>
      <c r="P5" s="440">
        <f>[2]tanks!P35</f>
        <v>243</v>
      </c>
      <c r="Q5" s="440">
        <f>[2]tanks!Q35</f>
        <v>5228.4193548387093</v>
      </c>
      <c r="R5" s="440">
        <f>[2]tanks!R35</f>
        <v>243</v>
      </c>
      <c r="S5" s="440">
        <f>[2]tanks!S35</f>
        <v>5228.4193548387093</v>
      </c>
      <c r="T5" s="440">
        <f>[2]tanks!T35</f>
        <v>243</v>
      </c>
      <c r="U5" s="440">
        <f>[2]tanks!U35</f>
        <v>5228.4193548387093</v>
      </c>
      <c r="V5" s="440">
        <f>[2]tanks!V35</f>
        <v>243</v>
      </c>
      <c r="W5" s="440">
        <f>[2]tanks!W35</f>
        <v>5228.4193548387093</v>
      </c>
      <c r="X5" s="424">
        <f>[2]tanks!X35</f>
        <v>0.78387096774193554</v>
      </c>
      <c r="Y5" s="440">
        <f>[2]tanks!Y35</f>
        <v>57512.61290322581</v>
      </c>
      <c r="Z5" s="440">
        <f>[2]tanks!Z35</f>
        <v>250</v>
      </c>
      <c r="AA5" s="440">
        <f>[2]tanks!AA35</f>
        <v>2500</v>
      </c>
      <c r="AB5" s="440">
        <f>[2]tanks!AB35</f>
        <v>250</v>
      </c>
      <c r="AC5" s="440">
        <f>[2]tanks!AC35</f>
        <v>2500</v>
      </c>
      <c r="AD5" s="440">
        <f>[2]tanks!AD35</f>
        <v>250</v>
      </c>
      <c r="AE5" s="440">
        <f>[2]tanks!AE35</f>
        <v>2500</v>
      </c>
      <c r="AF5" s="440">
        <f>[2]tanks!AF35</f>
        <v>250</v>
      </c>
      <c r="AG5" s="440">
        <f>[2]tanks!AG35</f>
        <v>2500</v>
      </c>
      <c r="AH5" s="440">
        <f>[2]tanks!AH35</f>
        <v>250</v>
      </c>
      <c r="AI5" s="440">
        <f>[2]tanks!AI35</f>
        <v>2500</v>
      </c>
      <c r="AJ5" s="440">
        <f>[2]tanks!AJ35</f>
        <v>250</v>
      </c>
      <c r="AK5" s="440">
        <f>[2]tanks!AK35</f>
        <v>2500</v>
      </c>
      <c r="AL5" s="440">
        <f>[2]tanks!AL35</f>
        <v>250</v>
      </c>
      <c r="AM5" s="440">
        <f>[2]tanks!AM35</f>
        <v>2500</v>
      </c>
      <c r="AN5" s="424">
        <f>[2]tanks!AN35</f>
        <v>0.8928571428571429</v>
      </c>
      <c r="AO5" s="440">
        <f>[2]tanks!AO35</f>
        <v>17500</v>
      </c>
      <c r="AP5" s="440"/>
      <c r="AQ5" s="424">
        <f>[2]tanks!AQ35</f>
        <v>0.80684750890852763</v>
      </c>
      <c r="AR5" s="525">
        <f>[2]tanks!AR35</f>
        <v>75012.612903225818</v>
      </c>
      <c r="AS5" s="525">
        <f>[2]tanks!AS35</f>
        <v>-31.29032258062216</v>
      </c>
      <c r="AT5" s="525">
        <f>[2]tanks!AT35</f>
        <v>10765</v>
      </c>
      <c r="AU5" s="525">
        <f>[2]tanks!AU35</f>
        <v>0.95299999999999996</v>
      </c>
      <c r="AV5" s="525">
        <f>[2]tanks!AV35</f>
        <v>0.95299999999999996</v>
      </c>
      <c r="AW5" s="525">
        <f>[2]tanks!AW35</f>
        <v>-223</v>
      </c>
      <c r="AX5" s="525">
        <f>[2]tanks!AX35</f>
        <v>191.70967741937784</v>
      </c>
      <c r="AY5" s="525">
        <f>[2]tanks!AY35</f>
        <v>-31.29032258062216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-921.03225806451519</v>
      </c>
      <c r="AT6" s="303">
        <v>1</v>
      </c>
      <c r="AU6" s="475"/>
      <c r="AV6" s="432">
        <f>IF(AT6&gt;0,AU6,AV5)</f>
        <v>0</v>
      </c>
      <c r="AW6" s="251">
        <f>-SUM('B5'!AI5)</f>
        <v>-154</v>
      </c>
      <c r="AX6" s="251">
        <f t="shared" ref="AX6:AX33" si="16">-SUM(AW6-AS6)</f>
        <v>-767.03225806451519</v>
      </c>
      <c r="AY6" s="36">
        <f>SUM(AX6+AW6)</f>
        <v>-921.03225806451519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-63.919354838709602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222</v>
      </c>
      <c r="C16" s="192">
        <f t="shared" si="17"/>
        <v>4776.5806451612898</v>
      </c>
      <c r="D16">
        <f t="shared" si="18"/>
        <v>222</v>
      </c>
      <c r="E16" s="192">
        <f t="shared" si="17"/>
        <v>4776.5806451612898</v>
      </c>
      <c r="F16">
        <f t="shared" si="19"/>
        <v>222</v>
      </c>
      <c r="G16" s="192">
        <f t="shared" si="1"/>
        <v>4776.5806451612898</v>
      </c>
      <c r="H16" s="192">
        <f t="shared" si="20"/>
        <v>222</v>
      </c>
      <c r="I16" s="192">
        <f t="shared" si="2"/>
        <v>4776.5806451612898</v>
      </c>
      <c r="J16" s="192">
        <f t="shared" si="21"/>
        <v>222</v>
      </c>
      <c r="K16" s="192">
        <f t="shared" si="3"/>
        <v>4776.5806451612898</v>
      </c>
      <c r="L16" s="192">
        <f t="shared" si="22"/>
        <v>222</v>
      </c>
      <c r="M16" s="192">
        <f t="shared" si="4"/>
        <v>4776.5806451612898</v>
      </c>
      <c r="N16" s="192">
        <f t="shared" si="23"/>
        <v>222</v>
      </c>
      <c r="O16" s="192">
        <f t="shared" si="5"/>
        <v>4776.5806451612898</v>
      </c>
      <c r="P16" s="192">
        <f t="shared" si="24"/>
        <v>222</v>
      </c>
      <c r="Q16" s="192">
        <f t="shared" si="6"/>
        <v>4776.5806451612898</v>
      </c>
      <c r="R16" s="192">
        <f t="shared" si="25"/>
        <v>222</v>
      </c>
      <c r="S16" s="192">
        <f t="shared" si="7"/>
        <v>4776.5806451612898</v>
      </c>
      <c r="T16" s="192">
        <f t="shared" si="26"/>
        <v>222</v>
      </c>
      <c r="U16" s="192">
        <f t="shared" si="8"/>
        <v>4776.5806451612898</v>
      </c>
      <c r="V16" s="192">
        <f t="shared" si="27"/>
        <v>222</v>
      </c>
      <c r="W16" s="192">
        <f t="shared" si="9"/>
        <v>4776.5806451612898</v>
      </c>
      <c r="X16" s="34">
        <f t="shared" si="28"/>
        <v>0.71612903225806424</v>
      </c>
      <c r="Y16" s="35">
        <f t="shared" si="29"/>
        <v>52542.387096774175</v>
      </c>
      <c r="Z16" s="440">
        <f>'B5'!C15</f>
        <v>229</v>
      </c>
      <c r="AA16" s="192">
        <f t="shared" si="30"/>
        <v>2290</v>
      </c>
      <c r="AB16" s="192">
        <f t="shared" si="31"/>
        <v>229</v>
      </c>
      <c r="AC16" s="192">
        <f t="shared" si="30"/>
        <v>2290</v>
      </c>
      <c r="AD16" s="192">
        <f t="shared" si="32"/>
        <v>229</v>
      </c>
      <c r="AE16" s="192">
        <f t="shared" si="10"/>
        <v>2290</v>
      </c>
      <c r="AF16" s="192">
        <f t="shared" si="33"/>
        <v>229</v>
      </c>
      <c r="AG16" s="192">
        <f t="shared" si="11"/>
        <v>2290</v>
      </c>
      <c r="AH16" s="192">
        <f t="shared" si="34"/>
        <v>229</v>
      </c>
      <c r="AI16" s="192">
        <f t="shared" si="12"/>
        <v>2290</v>
      </c>
      <c r="AJ16" s="192">
        <f t="shared" si="35"/>
        <v>229</v>
      </c>
      <c r="AK16" s="192">
        <f t="shared" si="13"/>
        <v>2290</v>
      </c>
      <c r="AL16" s="192">
        <f t="shared" si="36"/>
        <v>229</v>
      </c>
      <c r="AM16" s="192">
        <f t="shared" si="14"/>
        <v>2290</v>
      </c>
      <c r="AN16" s="34">
        <f t="shared" si="15"/>
        <v>0.81785714285714284</v>
      </c>
      <c r="AO16" s="35">
        <f t="shared" si="39"/>
        <v>16030</v>
      </c>
      <c r="AQ16" s="208">
        <f t="shared" si="40"/>
        <v>0.73757542322011593</v>
      </c>
      <c r="AR16" s="37">
        <f>Y16+AO16</f>
        <v>68572.387096774182</v>
      </c>
      <c r="AS16" s="186">
        <f>SUM(AR16-AR15-AT16)</f>
        <v>0</v>
      </c>
      <c r="AT16" s="303"/>
      <c r="AU16" s="475"/>
      <c r="AV16" s="432">
        <f t="shared" ref="AV16" si="45">IF(AT16&gt;0,AU16,AV15)</f>
        <v>0</v>
      </c>
      <c r="AW16" s="251">
        <f>-SUM('B5'!AI15)</f>
        <v>0</v>
      </c>
      <c r="AX16" s="251">
        <f t="shared" si="16"/>
        <v>0</v>
      </c>
      <c r="AY16" s="36">
        <f t="shared" si="37"/>
        <v>0</v>
      </c>
      <c r="AZ16" s="96">
        <f>ELEC!A14</f>
        <v>0</v>
      </c>
      <c r="BA16" s="114">
        <f>'General information '!D15</f>
        <v>0</v>
      </c>
      <c r="BB16" s="193">
        <f>SUM('General information '!E15)</f>
        <v>0</v>
      </c>
      <c r="BC16" s="3">
        <f t="shared" si="44"/>
        <v>0</v>
      </c>
      <c r="BD16" s="98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469" t="e">
        <f>GEN!AF13</f>
        <v>#DIV/0!</v>
      </c>
    </row>
    <row r="17" spans="1:64">
      <c r="A17" s="379">
        <f>ELEC!C15</f>
        <v>44907</v>
      </c>
      <c r="B17" s="440">
        <f>'B5'!B16</f>
        <v>222</v>
      </c>
      <c r="C17" s="192">
        <f t="shared" si="17"/>
        <v>4776.5806451612898</v>
      </c>
      <c r="D17">
        <f t="shared" si="18"/>
        <v>222</v>
      </c>
      <c r="E17" s="192">
        <f t="shared" si="17"/>
        <v>4776.5806451612898</v>
      </c>
      <c r="F17">
        <f t="shared" si="19"/>
        <v>222</v>
      </c>
      <c r="G17" s="192">
        <f t="shared" si="1"/>
        <v>4776.5806451612898</v>
      </c>
      <c r="H17" s="192">
        <f t="shared" si="20"/>
        <v>222</v>
      </c>
      <c r="I17" s="192">
        <f t="shared" si="2"/>
        <v>4776.5806451612898</v>
      </c>
      <c r="J17" s="192">
        <f t="shared" si="21"/>
        <v>222</v>
      </c>
      <c r="K17" s="192">
        <f t="shared" si="3"/>
        <v>4776.5806451612898</v>
      </c>
      <c r="L17" s="192">
        <f t="shared" si="22"/>
        <v>222</v>
      </c>
      <c r="M17" s="192">
        <f t="shared" si="4"/>
        <v>4776.5806451612898</v>
      </c>
      <c r="N17" s="192">
        <f t="shared" si="23"/>
        <v>222</v>
      </c>
      <c r="O17" s="192">
        <f t="shared" si="5"/>
        <v>4776.5806451612898</v>
      </c>
      <c r="P17" s="192">
        <f t="shared" si="24"/>
        <v>222</v>
      </c>
      <c r="Q17" s="192">
        <f t="shared" si="6"/>
        <v>4776.5806451612898</v>
      </c>
      <c r="R17" s="192">
        <f t="shared" si="25"/>
        <v>222</v>
      </c>
      <c r="S17" s="192">
        <f t="shared" si="7"/>
        <v>4776.5806451612898</v>
      </c>
      <c r="T17" s="192">
        <f t="shared" si="26"/>
        <v>222</v>
      </c>
      <c r="U17" s="192">
        <f t="shared" si="8"/>
        <v>4776.5806451612898</v>
      </c>
      <c r="V17" s="192">
        <f t="shared" si="27"/>
        <v>222</v>
      </c>
      <c r="W17" s="192">
        <f t="shared" si="9"/>
        <v>4776.5806451612898</v>
      </c>
      <c r="X17" s="34">
        <f t="shared" si="28"/>
        <v>0.71612903225806424</v>
      </c>
      <c r="Y17" s="35">
        <f t="shared" si="29"/>
        <v>52542.387096774175</v>
      </c>
      <c r="Z17" s="440">
        <f>'B5'!C16</f>
        <v>229</v>
      </c>
      <c r="AA17" s="192">
        <f t="shared" si="30"/>
        <v>2290</v>
      </c>
      <c r="AB17" s="192">
        <f t="shared" si="31"/>
        <v>229</v>
      </c>
      <c r="AC17" s="192">
        <f t="shared" si="30"/>
        <v>2290</v>
      </c>
      <c r="AD17" s="192">
        <f t="shared" si="32"/>
        <v>229</v>
      </c>
      <c r="AE17" s="192">
        <f t="shared" si="10"/>
        <v>2290</v>
      </c>
      <c r="AF17" s="192">
        <f t="shared" si="33"/>
        <v>229</v>
      </c>
      <c r="AG17" s="192">
        <f t="shared" si="11"/>
        <v>2290</v>
      </c>
      <c r="AH17" s="192">
        <f t="shared" si="34"/>
        <v>229</v>
      </c>
      <c r="AI17" s="192">
        <f t="shared" si="12"/>
        <v>2290</v>
      </c>
      <c r="AJ17" s="192">
        <f t="shared" si="35"/>
        <v>229</v>
      </c>
      <c r="AK17" s="192">
        <f t="shared" si="13"/>
        <v>2290</v>
      </c>
      <c r="AL17" s="192">
        <f t="shared" si="36"/>
        <v>229</v>
      </c>
      <c r="AM17" s="192">
        <f t="shared" si="14"/>
        <v>2290</v>
      </c>
      <c r="AN17" s="34">
        <f t="shared" si="15"/>
        <v>0.81785714285714284</v>
      </c>
      <c r="AO17" s="35">
        <f>SUM(AA17+AC17+AE17+AG17+AI17+AK17+AM17)</f>
        <v>16030</v>
      </c>
      <c r="AQ17" s="208">
        <f t="shared" si="40"/>
        <v>0.73757542322011593</v>
      </c>
      <c r="AR17" s="37">
        <f t="shared" si="41"/>
        <v>68572.387096774182</v>
      </c>
      <c r="AS17" s="186">
        <f t="shared" si="42"/>
        <v>0</v>
      </c>
      <c r="AT17" s="303"/>
      <c r="AU17" s="475"/>
      <c r="AV17" s="432">
        <f>IF(AT17&gt;0,AU17,AV16)</f>
        <v>0</v>
      </c>
      <c r="AW17" s="251">
        <f>-SUM('B5'!AI16)</f>
        <v>0</v>
      </c>
      <c r="AX17" s="251">
        <f t="shared" si="16"/>
        <v>0</v>
      </c>
      <c r="AY17" s="36">
        <f t="shared" si="37"/>
        <v>0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44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469" t="e">
        <f>GEN!AF14</f>
        <v>#DIV/0!</v>
      </c>
    </row>
    <row r="18" spans="1:64">
      <c r="A18" s="379">
        <f>ELEC!C16</f>
        <v>44908</v>
      </c>
      <c r="B18" s="440">
        <f>'B5'!B17</f>
        <v>222</v>
      </c>
      <c r="C18" s="192">
        <f t="shared" si="17"/>
        <v>4776.5806451612898</v>
      </c>
      <c r="D18">
        <f t="shared" si="18"/>
        <v>222</v>
      </c>
      <c r="E18" s="192">
        <f t="shared" si="17"/>
        <v>4776.5806451612898</v>
      </c>
      <c r="F18">
        <f t="shared" si="19"/>
        <v>222</v>
      </c>
      <c r="G18" s="192">
        <f t="shared" si="1"/>
        <v>4776.5806451612898</v>
      </c>
      <c r="H18" s="192">
        <f t="shared" si="20"/>
        <v>222</v>
      </c>
      <c r="I18" s="192">
        <f t="shared" si="2"/>
        <v>4776.5806451612898</v>
      </c>
      <c r="J18" s="192">
        <f t="shared" si="21"/>
        <v>222</v>
      </c>
      <c r="K18" s="192">
        <f t="shared" si="3"/>
        <v>4776.5806451612898</v>
      </c>
      <c r="L18" s="192">
        <f t="shared" si="22"/>
        <v>222</v>
      </c>
      <c r="M18" s="192">
        <f t="shared" si="4"/>
        <v>4776.5806451612898</v>
      </c>
      <c r="N18" s="192">
        <f t="shared" si="23"/>
        <v>222</v>
      </c>
      <c r="O18" s="192">
        <f t="shared" si="5"/>
        <v>4776.5806451612898</v>
      </c>
      <c r="P18" s="192">
        <f t="shared" si="24"/>
        <v>222</v>
      </c>
      <c r="Q18" s="192">
        <f t="shared" si="6"/>
        <v>4776.5806451612898</v>
      </c>
      <c r="R18" s="192">
        <f t="shared" si="25"/>
        <v>222</v>
      </c>
      <c r="S18" s="192">
        <f t="shared" si="7"/>
        <v>4776.5806451612898</v>
      </c>
      <c r="T18" s="192">
        <f t="shared" si="26"/>
        <v>222</v>
      </c>
      <c r="U18" s="192">
        <f t="shared" si="8"/>
        <v>4776.5806451612898</v>
      </c>
      <c r="V18" s="192">
        <f t="shared" si="27"/>
        <v>222</v>
      </c>
      <c r="W18" s="192">
        <f t="shared" si="9"/>
        <v>4776.5806451612898</v>
      </c>
      <c r="X18" s="34">
        <f t="shared" si="28"/>
        <v>0.71612903225806424</v>
      </c>
      <c r="Y18" s="35">
        <f t="shared" si="29"/>
        <v>52542.387096774175</v>
      </c>
      <c r="Z18" s="440">
        <f>'B5'!C17</f>
        <v>229</v>
      </c>
      <c r="AA18" s="192">
        <f t="shared" si="30"/>
        <v>2290</v>
      </c>
      <c r="AB18" s="192">
        <f t="shared" si="31"/>
        <v>229</v>
      </c>
      <c r="AC18" s="192">
        <f t="shared" si="30"/>
        <v>2290</v>
      </c>
      <c r="AD18" s="192">
        <f t="shared" si="32"/>
        <v>229</v>
      </c>
      <c r="AE18" s="192">
        <f t="shared" si="10"/>
        <v>2290</v>
      </c>
      <c r="AF18" s="192">
        <f t="shared" si="33"/>
        <v>229</v>
      </c>
      <c r="AG18" s="192">
        <f t="shared" si="11"/>
        <v>2290</v>
      </c>
      <c r="AH18" s="192">
        <f t="shared" si="34"/>
        <v>229</v>
      </c>
      <c r="AI18" s="192">
        <f t="shared" si="12"/>
        <v>2290</v>
      </c>
      <c r="AJ18" s="192">
        <f t="shared" si="35"/>
        <v>229</v>
      </c>
      <c r="AK18" s="192">
        <f t="shared" si="13"/>
        <v>2290</v>
      </c>
      <c r="AL18" s="192">
        <f t="shared" si="36"/>
        <v>229</v>
      </c>
      <c r="AM18" s="192">
        <f t="shared" si="14"/>
        <v>2290</v>
      </c>
      <c r="AN18" s="34">
        <f t="shared" si="15"/>
        <v>0.81785714285714284</v>
      </c>
      <c r="AO18" s="35">
        <f t="shared" si="39"/>
        <v>16030</v>
      </c>
      <c r="AQ18" s="208">
        <f t="shared" si="40"/>
        <v>0.73757542322011593</v>
      </c>
      <c r="AR18" s="37">
        <f t="shared" si="41"/>
        <v>68572.387096774182</v>
      </c>
      <c r="AS18" s="186">
        <f>SUM(AR18-AR17-AT18)</f>
        <v>0</v>
      </c>
      <c r="AT18" s="303"/>
      <c r="AU18" s="475"/>
      <c r="AV18" s="432">
        <f t="shared" ref="AV18:AV36" si="47">IF(AT18&gt;0,AU18,AV17)</f>
        <v>0</v>
      </c>
      <c r="AW18" s="251">
        <f>-SUM('B5'!AI17)</f>
        <v>0</v>
      </c>
      <c r="AX18" s="251">
        <f t="shared" si="16"/>
        <v>0</v>
      </c>
      <c r="AY18" s="36">
        <f t="shared" si="37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44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469"/>
    </row>
    <row r="19" spans="1:64">
      <c r="A19" s="379">
        <f>ELEC!C17</f>
        <v>44909</v>
      </c>
      <c r="B19" s="440">
        <f>'B5'!B18</f>
        <v>222</v>
      </c>
      <c r="C19" s="192">
        <f t="shared" si="17"/>
        <v>4776.5806451612898</v>
      </c>
      <c r="D19">
        <f t="shared" si="18"/>
        <v>222</v>
      </c>
      <c r="E19" s="192">
        <f t="shared" si="17"/>
        <v>4776.5806451612898</v>
      </c>
      <c r="F19">
        <f t="shared" si="19"/>
        <v>222</v>
      </c>
      <c r="G19" s="192">
        <f t="shared" si="1"/>
        <v>4776.5806451612898</v>
      </c>
      <c r="H19" s="192">
        <f t="shared" si="20"/>
        <v>222</v>
      </c>
      <c r="I19" s="192">
        <f t="shared" si="2"/>
        <v>4776.5806451612898</v>
      </c>
      <c r="J19" s="192">
        <f t="shared" si="21"/>
        <v>222</v>
      </c>
      <c r="K19" s="192">
        <f t="shared" si="3"/>
        <v>4776.5806451612898</v>
      </c>
      <c r="L19" s="192">
        <f t="shared" si="22"/>
        <v>222</v>
      </c>
      <c r="M19" s="192">
        <f t="shared" si="4"/>
        <v>4776.5806451612898</v>
      </c>
      <c r="N19" s="192">
        <f t="shared" si="23"/>
        <v>222</v>
      </c>
      <c r="O19" s="192">
        <f t="shared" si="5"/>
        <v>4776.5806451612898</v>
      </c>
      <c r="P19" s="192">
        <f t="shared" si="24"/>
        <v>222</v>
      </c>
      <c r="Q19" s="192">
        <f t="shared" si="6"/>
        <v>4776.5806451612898</v>
      </c>
      <c r="R19" s="192">
        <f t="shared" si="25"/>
        <v>222</v>
      </c>
      <c r="S19" s="192">
        <f t="shared" si="7"/>
        <v>4776.5806451612898</v>
      </c>
      <c r="T19" s="192">
        <f t="shared" si="26"/>
        <v>222</v>
      </c>
      <c r="U19" s="192">
        <f t="shared" si="8"/>
        <v>4776.5806451612898</v>
      </c>
      <c r="V19" s="192">
        <f t="shared" si="27"/>
        <v>222</v>
      </c>
      <c r="W19" s="192">
        <f t="shared" si="9"/>
        <v>4776.5806451612898</v>
      </c>
      <c r="X19" s="34">
        <f t="shared" si="28"/>
        <v>0.71612903225806424</v>
      </c>
      <c r="Y19" s="35">
        <f t="shared" si="29"/>
        <v>52542.387096774175</v>
      </c>
      <c r="Z19" s="440">
        <f>'B5'!C18</f>
        <v>229</v>
      </c>
      <c r="AA19" s="192">
        <f t="shared" si="30"/>
        <v>2290</v>
      </c>
      <c r="AB19" s="192">
        <f t="shared" si="31"/>
        <v>229</v>
      </c>
      <c r="AC19" s="192">
        <f t="shared" si="30"/>
        <v>2290</v>
      </c>
      <c r="AD19" s="192">
        <f t="shared" si="32"/>
        <v>229</v>
      </c>
      <c r="AE19" s="192">
        <f t="shared" si="10"/>
        <v>2290</v>
      </c>
      <c r="AF19" s="192">
        <f t="shared" si="33"/>
        <v>229</v>
      </c>
      <c r="AG19" s="192">
        <f t="shared" si="11"/>
        <v>2290</v>
      </c>
      <c r="AH19" s="192">
        <f t="shared" si="34"/>
        <v>229</v>
      </c>
      <c r="AI19" s="192">
        <f t="shared" si="12"/>
        <v>2290</v>
      </c>
      <c r="AJ19" s="192">
        <f t="shared" si="35"/>
        <v>229</v>
      </c>
      <c r="AK19" s="192">
        <f t="shared" si="13"/>
        <v>2290</v>
      </c>
      <c r="AL19" s="192">
        <f t="shared" si="36"/>
        <v>229</v>
      </c>
      <c r="AM19" s="192">
        <f t="shared" si="14"/>
        <v>2290</v>
      </c>
      <c r="AN19" s="34">
        <f t="shared" si="15"/>
        <v>0.81785714285714284</v>
      </c>
      <c r="AO19" s="35">
        <f t="shared" si="39"/>
        <v>16030</v>
      </c>
      <c r="AQ19" s="208">
        <f t="shared" si="40"/>
        <v>0.73757542322011593</v>
      </c>
      <c r="AR19" s="37">
        <f t="shared" si="41"/>
        <v>68572.387096774182</v>
      </c>
      <c r="AS19" s="186">
        <f t="shared" si="42"/>
        <v>0</v>
      </c>
      <c r="AT19" s="303"/>
      <c r="AU19" s="475"/>
      <c r="AV19" s="432">
        <f t="shared" si="47"/>
        <v>0</v>
      </c>
      <c r="AW19" s="251">
        <f>-SUM('B5'!AI18)</f>
        <v>0</v>
      </c>
      <c r="AX19" s="251">
        <f t="shared" si="16"/>
        <v>0</v>
      </c>
      <c r="AY19" s="36">
        <f t="shared" si="37"/>
        <v>0</v>
      </c>
      <c r="AZ19" s="96">
        <f>ELEC!A17</f>
        <v>0</v>
      </c>
      <c r="BA19" s="114">
        <f>'General information '!D18</f>
        <v>0</v>
      </c>
      <c r="BB19" s="193">
        <f>SUM('General information '!E18)</f>
        <v>0</v>
      </c>
      <c r="BC19" s="3">
        <f t="shared" si="44"/>
        <v>0</v>
      </c>
      <c r="BD19" s="98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469"/>
    </row>
    <row r="20" spans="1:64">
      <c r="A20" s="379">
        <f>ELEC!C18</f>
        <v>44910</v>
      </c>
      <c r="B20" s="440">
        <f>'B5'!B19</f>
        <v>222</v>
      </c>
      <c r="C20" s="192">
        <f t="shared" si="17"/>
        <v>4776.5806451612898</v>
      </c>
      <c r="D20">
        <f t="shared" si="18"/>
        <v>222</v>
      </c>
      <c r="E20" s="192">
        <f t="shared" si="17"/>
        <v>4776.5806451612898</v>
      </c>
      <c r="F20">
        <f t="shared" si="19"/>
        <v>222</v>
      </c>
      <c r="G20" s="192">
        <f t="shared" si="1"/>
        <v>4776.5806451612898</v>
      </c>
      <c r="H20" s="192">
        <f t="shared" si="20"/>
        <v>222</v>
      </c>
      <c r="I20" s="192">
        <f t="shared" si="2"/>
        <v>4776.5806451612898</v>
      </c>
      <c r="J20" s="192">
        <f t="shared" si="21"/>
        <v>222</v>
      </c>
      <c r="K20" s="192">
        <f t="shared" si="3"/>
        <v>4776.5806451612898</v>
      </c>
      <c r="L20" s="192">
        <f t="shared" si="22"/>
        <v>222</v>
      </c>
      <c r="M20" s="192">
        <f t="shared" si="4"/>
        <v>4776.5806451612898</v>
      </c>
      <c r="N20" s="192">
        <f t="shared" si="23"/>
        <v>222</v>
      </c>
      <c r="O20" s="192">
        <f t="shared" si="5"/>
        <v>4776.5806451612898</v>
      </c>
      <c r="P20" s="192">
        <f t="shared" si="24"/>
        <v>222</v>
      </c>
      <c r="Q20" s="192">
        <f t="shared" si="6"/>
        <v>4776.5806451612898</v>
      </c>
      <c r="R20" s="192">
        <f t="shared" si="25"/>
        <v>222</v>
      </c>
      <c r="S20" s="192">
        <f t="shared" si="7"/>
        <v>4776.5806451612898</v>
      </c>
      <c r="T20" s="192">
        <f t="shared" si="26"/>
        <v>222</v>
      </c>
      <c r="U20" s="192">
        <f t="shared" si="8"/>
        <v>4776.5806451612898</v>
      </c>
      <c r="V20" s="192">
        <f t="shared" si="27"/>
        <v>222</v>
      </c>
      <c r="W20" s="192">
        <f t="shared" si="9"/>
        <v>4776.5806451612898</v>
      </c>
      <c r="X20" s="34">
        <f t="shared" si="28"/>
        <v>0.71612903225806424</v>
      </c>
      <c r="Y20" s="35">
        <f t="shared" si="29"/>
        <v>52542.387096774175</v>
      </c>
      <c r="Z20" s="440">
        <f>'B5'!C19</f>
        <v>229</v>
      </c>
      <c r="AA20" s="192">
        <f t="shared" si="30"/>
        <v>2290</v>
      </c>
      <c r="AB20" s="192">
        <f t="shared" si="31"/>
        <v>229</v>
      </c>
      <c r="AC20" s="192">
        <f t="shared" si="30"/>
        <v>2290</v>
      </c>
      <c r="AD20" s="192">
        <f t="shared" si="32"/>
        <v>229</v>
      </c>
      <c r="AE20" s="192">
        <f t="shared" si="10"/>
        <v>2290</v>
      </c>
      <c r="AF20" s="192">
        <f t="shared" si="33"/>
        <v>229</v>
      </c>
      <c r="AG20" s="192">
        <f t="shared" si="11"/>
        <v>2290</v>
      </c>
      <c r="AH20" s="192">
        <f t="shared" si="34"/>
        <v>229</v>
      </c>
      <c r="AI20" s="192">
        <f t="shared" si="12"/>
        <v>2290</v>
      </c>
      <c r="AJ20" s="192">
        <f t="shared" si="35"/>
        <v>229</v>
      </c>
      <c r="AK20" s="192">
        <f t="shared" si="13"/>
        <v>2290</v>
      </c>
      <c r="AL20" s="192">
        <f t="shared" si="36"/>
        <v>229</v>
      </c>
      <c r="AM20" s="192">
        <f t="shared" si="14"/>
        <v>2290</v>
      </c>
      <c r="AN20" s="34">
        <f t="shared" si="15"/>
        <v>0.81785714285714284</v>
      </c>
      <c r="AO20" s="35">
        <f t="shared" si="39"/>
        <v>16030</v>
      </c>
      <c r="AQ20" s="208">
        <f t="shared" si="40"/>
        <v>0.73757542322011593</v>
      </c>
      <c r="AR20" s="37">
        <f t="shared" si="41"/>
        <v>68572.387096774182</v>
      </c>
      <c r="AS20" s="186">
        <f t="shared" si="42"/>
        <v>0</v>
      </c>
      <c r="AT20" s="303"/>
      <c r="AU20" s="475"/>
      <c r="AV20" s="432">
        <f t="shared" si="47"/>
        <v>0</v>
      </c>
      <c r="AW20" s="251">
        <f>-SUM('B5'!AI19)</f>
        <v>0</v>
      </c>
      <c r="AX20" s="251">
        <f>-SUM(AW20-AS20)</f>
        <v>0</v>
      </c>
      <c r="AY20" s="36">
        <f t="shared" si="37"/>
        <v>0</v>
      </c>
      <c r="AZ20" s="96">
        <f>ELEC!A18</f>
        <v>0</v>
      </c>
      <c r="BA20" s="114">
        <f>'General information '!D19</f>
        <v>0</v>
      </c>
      <c r="BB20" s="193">
        <f>SUM('General information '!E19)</f>
        <v>0</v>
      </c>
      <c r="BC20" s="3">
        <f t="shared" si="44"/>
        <v>0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469" t="e">
        <f>GEN!AF17</f>
        <v>#DIV/0!</v>
      </c>
      <c r="BL20" s="192"/>
    </row>
    <row r="21" spans="1:64">
      <c r="A21" s="379">
        <f>ELEC!C19</f>
        <v>44911</v>
      </c>
      <c r="B21" s="440">
        <f>'B5'!B20</f>
        <v>222</v>
      </c>
      <c r="C21" s="192">
        <f t="shared" si="17"/>
        <v>4776.5806451612898</v>
      </c>
      <c r="D21">
        <f t="shared" si="18"/>
        <v>222</v>
      </c>
      <c r="E21" s="192">
        <f t="shared" si="17"/>
        <v>4776.5806451612898</v>
      </c>
      <c r="F21">
        <f t="shared" si="19"/>
        <v>222</v>
      </c>
      <c r="G21" s="192">
        <f t="shared" si="1"/>
        <v>4776.5806451612898</v>
      </c>
      <c r="H21" s="192">
        <f t="shared" si="20"/>
        <v>222</v>
      </c>
      <c r="I21" s="192">
        <f t="shared" si="2"/>
        <v>4776.5806451612898</v>
      </c>
      <c r="J21" s="192">
        <f t="shared" si="21"/>
        <v>222</v>
      </c>
      <c r="K21" s="192">
        <f t="shared" si="3"/>
        <v>4776.5806451612898</v>
      </c>
      <c r="L21" s="192">
        <f t="shared" si="22"/>
        <v>222</v>
      </c>
      <c r="M21" s="192">
        <f t="shared" si="4"/>
        <v>4776.5806451612898</v>
      </c>
      <c r="N21" s="192">
        <f t="shared" si="23"/>
        <v>222</v>
      </c>
      <c r="O21" s="192">
        <f t="shared" si="5"/>
        <v>4776.5806451612898</v>
      </c>
      <c r="P21" s="192">
        <f t="shared" si="24"/>
        <v>222</v>
      </c>
      <c r="Q21" s="192">
        <f t="shared" si="6"/>
        <v>4776.5806451612898</v>
      </c>
      <c r="R21" s="192">
        <f t="shared" si="25"/>
        <v>222</v>
      </c>
      <c r="S21" s="192">
        <f t="shared" si="7"/>
        <v>4776.5806451612898</v>
      </c>
      <c r="T21" s="192">
        <f t="shared" si="26"/>
        <v>222</v>
      </c>
      <c r="U21" s="192">
        <f t="shared" si="8"/>
        <v>4776.5806451612898</v>
      </c>
      <c r="V21" s="192">
        <f t="shared" si="27"/>
        <v>222</v>
      </c>
      <c r="W21" s="192">
        <f t="shared" si="9"/>
        <v>4776.5806451612898</v>
      </c>
      <c r="X21" s="34">
        <f t="shared" si="28"/>
        <v>0.71612903225806424</v>
      </c>
      <c r="Y21" s="35">
        <f t="shared" si="29"/>
        <v>52542.387096774175</v>
      </c>
      <c r="Z21" s="440">
        <f>'B5'!C20</f>
        <v>229</v>
      </c>
      <c r="AA21" s="192">
        <f t="shared" si="30"/>
        <v>2290</v>
      </c>
      <c r="AB21" s="192">
        <f t="shared" si="31"/>
        <v>229</v>
      </c>
      <c r="AC21" s="192">
        <f t="shared" si="30"/>
        <v>2290</v>
      </c>
      <c r="AD21" s="192">
        <f t="shared" si="32"/>
        <v>229</v>
      </c>
      <c r="AE21" s="192">
        <f t="shared" si="10"/>
        <v>2290</v>
      </c>
      <c r="AF21" s="192">
        <f t="shared" si="33"/>
        <v>229</v>
      </c>
      <c r="AG21" s="192">
        <f t="shared" si="11"/>
        <v>2290</v>
      </c>
      <c r="AH21" s="192">
        <f t="shared" si="34"/>
        <v>229</v>
      </c>
      <c r="AI21" s="192">
        <f t="shared" si="12"/>
        <v>2290</v>
      </c>
      <c r="AJ21" s="192">
        <f t="shared" si="35"/>
        <v>229</v>
      </c>
      <c r="AK21" s="192">
        <f t="shared" si="13"/>
        <v>2290</v>
      </c>
      <c r="AL21" s="192">
        <f t="shared" si="36"/>
        <v>229</v>
      </c>
      <c r="AM21" s="192">
        <f t="shared" si="14"/>
        <v>2290</v>
      </c>
      <c r="AN21" s="34">
        <f t="shared" si="15"/>
        <v>0.81785714285714284</v>
      </c>
      <c r="AO21" s="35">
        <f t="shared" si="39"/>
        <v>16030</v>
      </c>
      <c r="AQ21" s="208">
        <f t="shared" si="40"/>
        <v>0.73757542322011593</v>
      </c>
      <c r="AR21" s="37">
        <f t="shared" si="41"/>
        <v>68572.387096774182</v>
      </c>
      <c r="AS21" s="186">
        <f>SUM(AR21-AR20-AT21)</f>
        <v>0</v>
      </c>
      <c r="AT21" s="303"/>
      <c r="AU21" s="475"/>
      <c r="AV21" s="432">
        <f t="shared" si="47"/>
        <v>0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222</v>
      </c>
      <c r="C22" s="192">
        <f t="shared" si="17"/>
        <v>4776.5806451612898</v>
      </c>
      <c r="D22">
        <f t="shared" si="18"/>
        <v>222</v>
      </c>
      <c r="E22" s="192">
        <f t="shared" si="17"/>
        <v>4776.5806451612898</v>
      </c>
      <c r="F22">
        <f t="shared" si="19"/>
        <v>222</v>
      </c>
      <c r="G22" s="192">
        <f t="shared" si="1"/>
        <v>4776.5806451612898</v>
      </c>
      <c r="H22" s="192">
        <f t="shared" si="20"/>
        <v>222</v>
      </c>
      <c r="I22" s="192">
        <f t="shared" si="2"/>
        <v>4776.5806451612898</v>
      </c>
      <c r="J22" s="192">
        <f t="shared" si="21"/>
        <v>222</v>
      </c>
      <c r="K22" s="192">
        <f t="shared" si="3"/>
        <v>4776.5806451612898</v>
      </c>
      <c r="L22" s="192">
        <f t="shared" si="22"/>
        <v>222</v>
      </c>
      <c r="M22" s="192">
        <f t="shared" si="4"/>
        <v>4776.5806451612898</v>
      </c>
      <c r="N22" s="192">
        <f t="shared" si="23"/>
        <v>222</v>
      </c>
      <c r="O22" s="192">
        <f t="shared" si="5"/>
        <v>4776.5806451612898</v>
      </c>
      <c r="P22" s="192">
        <f t="shared" si="24"/>
        <v>222</v>
      </c>
      <c r="Q22" s="192">
        <f t="shared" si="6"/>
        <v>4776.5806451612898</v>
      </c>
      <c r="R22" s="192">
        <f t="shared" si="25"/>
        <v>222</v>
      </c>
      <c r="S22" s="192">
        <f t="shared" si="7"/>
        <v>4776.5806451612898</v>
      </c>
      <c r="T22" s="192">
        <f t="shared" si="26"/>
        <v>222</v>
      </c>
      <c r="U22" s="192">
        <f t="shared" si="8"/>
        <v>4776.5806451612898</v>
      </c>
      <c r="V22" s="192">
        <f t="shared" si="27"/>
        <v>222</v>
      </c>
      <c r="W22" s="192">
        <f t="shared" si="9"/>
        <v>4776.5806451612898</v>
      </c>
      <c r="X22" s="34">
        <f t="shared" si="28"/>
        <v>0.71612903225806424</v>
      </c>
      <c r="Y22" s="35">
        <f t="shared" si="29"/>
        <v>52542.387096774175</v>
      </c>
      <c r="Z22" s="440">
        <f>'B5'!C21</f>
        <v>229</v>
      </c>
      <c r="AA22" s="192">
        <f t="shared" si="30"/>
        <v>2290</v>
      </c>
      <c r="AB22" s="192">
        <f t="shared" si="31"/>
        <v>229</v>
      </c>
      <c r="AC22" s="192">
        <f t="shared" si="30"/>
        <v>2290</v>
      </c>
      <c r="AD22" s="192">
        <f t="shared" si="32"/>
        <v>229</v>
      </c>
      <c r="AE22" s="192">
        <f t="shared" si="10"/>
        <v>2290</v>
      </c>
      <c r="AF22" s="192">
        <f t="shared" si="33"/>
        <v>229</v>
      </c>
      <c r="AG22" s="192">
        <f t="shared" si="11"/>
        <v>2290</v>
      </c>
      <c r="AH22" s="192">
        <f t="shared" si="34"/>
        <v>229</v>
      </c>
      <c r="AI22" s="192">
        <f t="shared" si="12"/>
        <v>2290</v>
      </c>
      <c r="AJ22" s="192">
        <f t="shared" si="35"/>
        <v>229</v>
      </c>
      <c r="AK22" s="192">
        <f t="shared" si="13"/>
        <v>2290</v>
      </c>
      <c r="AL22" s="192">
        <f t="shared" si="36"/>
        <v>229</v>
      </c>
      <c r="AM22" s="192">
        <f t="shared" si="14"/>
        <v>2290</v>
      </c>
      <c r="AN22" s="34">
        <f t="shared" si="15"/>
        <v>0.81785714285714284</v>
      </c>
      <c r="AO22" s="35">
        <f t="shared" si="39"/>
        <v>16030</v>
      </c>
      <c r="AQ22" s="208">
        <f t="shared" si="40"/>
        <v>0.73757542322011593</v>
      </c>
      <c r="AR22" s="37">
        <f t="shared" si="41"/>
        <v>68572.387096774182</v>
      </c>
      <c r="AS22" s="186">
        <f t="shared" ref="AS22:AS32" si="48">SUM(AR22-AR21-AT22)</f>
        <v>0</v>
      </c>
      <c r="AT22" s="303"/>
      <c r="AU22" s="475"/>
      <c r="AV22" s="432">
        <f t="shared" si="47"/>
        <v>0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222</v>
      </c>
      <c r="C23" s="192">
        <f t="shared" si="17"/>
        <v>4776.5806451612898</v>
      </c>
      <c r="D23">
        <f t="shared" si="18"/>
        <v>222</v>
      </c>
      <c r="E23" s="192">
        <f t="shared" si="17"/>
        <v>4776.5806451612898</v>
      </c>
      <c r="F23">
        <f t="shared" si="19"/>
        <v>222</v>
      </c>
      <c r="G23" s="192">
        <f t="shared" si="1"/>
        <v>4776.5806451612898</v>
      </c>
      <c r="H23" s="192">
        <f t="shared" si="20"/>
        <v>222</v>
      </c>
      <c r="I23" s="192">
        <f t="shared" si="2"/>
        <v>4776.5806451612898</v>
      </c>
      <c r="J23" s="192">
        <f t="shared" si="21"/>
        <v>222</v>
      </c>
      <c r="K23" s="192">
        <f t="shared" si="3"/>
        <v>4776.5806451612898</v>
      </c>
      <c r="L23" s="192">
        <f t="shared" si="22"/>
        <v>222</v>
      </c>
      <c r="M23" s="192">
        <f t="shared" si="4"/>
        <v>4776.5806451612898</v>
      </c>
      <c r="N23" s="192">
        <f t="shared" si="23"/>
        <v>222</v>
      </c>
      <c r="O23" s="192">
        <f t="shared" si="5"/>
        <v>4776.5806451612898</v>
      </c>
      <c r="P23" s="192">
        <f t="shared" si="24"/>
        <v>222</v>
      </c>
      <c r="Q23" s="192">
        <f t="shared" si="6"/>
        <v>4776.5806451612898</v>
      </c>
      <c r="R23" s="192">
        <f t="shared" si="25"/>
        <v>222</v>
      </c>
      <c r="S23" s="192">
        <f t="shared" si="7"/>
        <v>4776.5806451612898</v>
      </c>
      <c r="T23" s="192">
        <f t="shared" si="26"/>
        <v>222</v>
      </c>
      <c r="U23" s="192">
        <f t="shared" si="8"/>
        <v>4776.5806451612898</v>
      </c>
      <c r="V23" s="192">
        <f t="shared" si="27"/>
        <v>222</v>
      </c>
      <c r="W23" s="192">
        <f t="shared" si="9"/>
        <v>4776.5806451612898</v>
      </c>
      <c r="X23" s="34">
        <f t="shared" si="28"/>
        <v>0.71612903225806424</v>
      </c>
      <c r="Y23" s="35">
        <f t="shared" si="29"/>
        <v>52542.387096774175</v>
      </c>
      <c r="Z23" s="440">
        <f>'B5'!C22</f>
        <v>229</v>
      </c>
      <c r="AA23" s="192">
        <f t="shared" si="30"/>
        <v>2290</v>
      </c>
      <c r="AB23" s="192">
        <f t="shared" si="31"/>
        <v>229</v>
      </c>
      <c r="AC23" s="192">
        <f t="shared" si="30"/>
        <v>2290</v>
      </c>
      <c r="AD23" s="192">
        <f t="shared" si="32"/>
        <v>229</v>
      </c>
      <c r="AE23" s="192">
        <f t="shared" si="10"/>
        <v>2290</v>
      </c>
      <c r="AF23" s="192">
        <f t="shared" si="33"/>
        <v>229</v>
      </c>
      <c r="AG23" s="192">
        <f t="shared" si="11"/>
        <v>2290</v>
      </c>
      <c r="AH23" s="192">
        <f t="shared" si="34"/>
        <v>229</v>
      </c>
      <c r="AI23" s="192">
        <f t="shared" si="12"/>
        <v>2290</v>
      </c>
      <c r="AJ23" s="192">
        <f t="shared" si="35"/>
        <v>229</v>
      </c>
      <c r="AK23" s="192">
        <f t="shared" si="13"/>
        <v>2290</v>
      </c>
      <c r="AL23" s="192">
        <f t="shared" si="36"/>
        <v>229</v>
      </c>
      <c r="AM23" s="192">
        <f t="shared" si="14"/>
        <v>2290</v>
      </c>
      <c r="AN23" s="34">
        <f t="shared" si="15"/>
        <v>0.81785714285714284</v>
      </c>
      <c r="AO23" s="35">
        <f t="shared" si="39"/>
        <v>16030</v>
      </c>
      <c r="AQ23" s="208">
        <f t="shared" si="40"/>
        <v>0.73757542322011593</v>
      </c>
      <c r="AR23" s="37">
        <f t="shared" si="41"/>
        <v>68572.387096774182</v>
      </c>
      <c r="AS23" s="186">
        <f t="shared" si="48"/>
        <v>0</v>
      </c>
      <c r="AT23" s="303"/>
      <c r="AU23" s="475"/>
      <c r="AV23" s="432">
        <f t="shared" si="47"/>
        <v>0</v>
      </c>
      <c r="AW23" s="251">
        <f>-SUM('B5'!AI22)</f>
        <v>0</v>
      </c>
      <c r="AX23" s="251">
        <f t="shared" si="16"/>
        <v>0</v>
      </c>
      <c r="AY23" s="36">
        <f t="shared" si="37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44"/>
        <v>0</v>
      </c>
      <c r="BD23" s="98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469" t="e">
        <f>GEN!AF20</f>
        <v>#DIV/0!</v>
      </c>
    </row>
    <row r="24" spans="1:64">
      <c r="A24" s="379">
        <f>ELEC!C22</f>
        <v>44914</v>
      </c>
      <c r="B24" s="440">
        <f>'B5'!B23</f>
        <v>222</v>
      </c>
      <c r="C24" s="192">
        <f t="shared" si="17"/>
        <v>4776.5806451612898</v>
      </c>
      <c r="D24">
        <f t="shared" si="18"/>
        <v>222</v>
      </c>
      <c r="E24" s="192">
        <f t="shared" si="17"/>
        <v>4776.5806451612898</v>
      </c>
      <c r="F24">
        <f t="shared" si="19"/>
        <v>222</v>
      </c>
      <c r="G24" s="192">
        <f t="shared" si="1"/>
        <v>4776.5806451612898</v>
      </c>
      <c r="H24" s="192">
        <f t="shared" si="20"/>
        <v>222</v>
      </c>
      <c r="I24" s="192">
        <f t="shared" si="2"/>
        <v>4776.5806451612898</v>
      </c>
      <c r="J24" s="192">
        <f t="shared" si="21"/>
        <v>222</v>
      </c>
      <c r="K24" s="192">
        <f t="shared" si="3"/>
        <v>4776.5806451612898</v>
      </c>
      <c r="L24" s="192">
        <f t="shared" si="22"/>
        <v>222</v>
      </c>
      <c r="M24" s="192">
        <f t="shared" si="4"/>
        <v>4776.5806451612898</v>
      </c>
      <c r="N24" s="192">
        <f t="shared" si="23"/>
        <v>222</v>
      </c>
      <c r="O24" s="192">
        <f t="shared" si="5"/>
        <v>4776.5806451612898</v>
      </c>
      <c r="P24" s="192">
        <f t="shared" si="24"/>
        <v>222</v>
      </c>
      <c r="Q24" s="192">
        <f t="shared" si="6"/>
        <v>4776.5806451612898</v>
      </c>
      <c r="R24" s="192">
        <f t="shared" si="25"/>
        <v>222</v>
      </c>
      <c r="S24" s="192">
        <f t="shared" si="7"/>
        <v>4776.5806451612898</v>
      </c>
      <c r="T24" s="192">
        <f t="shared" si="26"/>
        <v>222</v>
      </c>
      <c r="U24" s="192">
        <f t="shared" si="8"/>
        <v>4776.5806451612898</v>
      </c>
      <c r="V24" s="192">
        <f t="shared" si="27"/>
        <v>222</v>
      </c>
      <c r="W24" s="192">
        <f t="shared" si="9"/>
        <v>4776.5806451612898</v>
      </c>
      <c r="X24" s="34">
        <f t="shared" si="28"/>
        <v>0.71612903225806424</v>
      </c>
      <c r="Y24" s="35">
        <f t="shared" si="29"/>
        <v>52542.387096774175</v>
      </c>
      <c r="Z24" s="440">
        <f>'B5'!C23</f>
        <v>229</v>
      </c>
      <c r="AA24" s="192">
        <f t="shared" si="30"/>
        <v>2290</v>
      </c>
      <c r="AB24" s="192">
        <f t="shared" si="31"/>
        <v>229</v>
      </c>
      <c r="AC24" s="192">
        <f t="shared" si="30"/>
        <v>2290</v>
      </c>
      <c r="AD24" s="192">
        <f t="shared" si="32"/>
        <v>229</v>
      </c>
      <c r="AE24" s="192">
        <f t="shared" si="10"/>
        <v>2290</v>
      </c>
      <c r="AF24" s="192">
        <f t="shared" si="33"/>
        <v>229</v>
      </c>
      <c r="AG24" s="192">
        <f t="shared" si="11"/>
        <v>2290</v>
      </c>
      <c r="AH24" s="192">
        <f t="shared" si="34"/>
        <v>229</v>
      </c>
      <c r="AI24" s="192">
        <f t="shared" si="12"/>
        <v>2290</v>
      </c>
      <c r="AJ24" s="192">
        <f t="shared" si="35"/>
        <v>229</v>
      </c>
      <c r="AK24" s="192">
        <f t="shared" si="13"/>
        <v>2290</v>
      </c>
      <c r="AL24" s="192">
        <f t="shared" si="36"/>
        <v>229</v>
      </c>
      <c r="AM24" s="192">
        <f t="shared" si="14"/>
        <v>2290</v>
      </c>
      <c r="AN24" s="34">
        <f t="shared" si="15"/>
        <v>0.81785714285714284</v>
      </c>
      <c r="AO24" s="35">
        <f t="shared" si="39"/>
        <v>16030</v>
      </c>
      <c r="AQ24" s="208">
        <f t="shared" si="40"/>
        <v>0.73757542322011593</v>
      </c>
      <c r="AR24" s="37">
        <f t="shared" si="41"/>
        <v>68572.387096774182</v>
      </c>
      <c r="AS24" s="186">
        <f t="shared" si="48"/>
        <v>0</v>
      </c>
      <c r="AT24" s="303"/>
      <c r="AU24" s="475"/>
      <c r="AV24" s="432">
        <f t="shared" si="47"/>
        <v>0</v>
      </c>
      <c r="AW24" s="251">
        <f>-SUM('B5'!AI23)</f>
        <v>0</v>
      </c>
      <c r="AX24" s="251">
        <f t="shared" si="16"/>
        <v>0</v>
      </c>
      <c r="AY24" s="36">
        <f t="shared" si="37"/>
        <v>0</v>
      </c>
      <c r="AZ24" s="96">
        <f>ELEC!A22</f>
        <v>0</v>
      </c>
      <c r="BA24" s="114">
        <f>'General information '!D23</f>
        <v>0</v>
      </c>
      <c r="BB24" s="193">
        <f>SUM('General information '!E23)</f>
        <v>0</v>
      </c>
      <c r="BC24" s="3">
        <f t="shared" si="44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469" t="e">
        <f>GEN!AF21</f>
        <v>#DIV/0!</v>
      </c>
    </row>
    <row r="25" spans="1:64">
      <c r="A25" s="379">
        <f>ELEC!C23</f>
        <v>44915</v>
      </c>
      <c r="B25" s="440">
        <f>'B5'!B24</f>
        <v>222</v>
      </c>
      <c r="C25" s="192">
        <f t="shared" si="17"/>
        <v>4776.5806451612898</v>
      </c>
      <c r="D25">
        <f t="shared" si="18"/>
        <v>222</v>
      </c>
      <c r="E25" s="192">
        <f t="shared" si="17"/>
        <v>4776.5806451612898</v>
      </c>
      <c r="F25">
        <f t="shared" si="19"/>
        <v>222</v>
      </c>
      <c r="G25" s="192">
        <f t="shared" si="1"/>
        <v>4776.5806451612898</v>
      </c>
      <c r="H25" s="192">
        <f t="shared" si="20"/>
        <v>222</v>
      </c>
      <c r="I25" s="192">
        <f t="shared" si="2"/>
        <v>4776.5806451612898</v>
      </c>
      <c r="J25" s="192">
        <f t="shared" si="21"/>
        <v>222</v>
      </c>
      <c r="K25" s="192">
        <f t="shared" si="3"/>
        <v>4776.5806451612898</v>
      </c>
      <c r="L25" s="192">
        <f t="shared" si="22"/>
        <v>222</v>
      </c>
      <c r="M25" s="192">
        <f t="shared" si="4"/>
        <v>4776.5806451612898</v>
      </c>
      <c r="N25" s="192">
        <f t="shared" si="23"/>
        <v>222</v>
      </c>
      <c r="O25" s="192">
        <f t="shared" si="5"/>
        <v>4776.5806451612898</v>
      </c>
      <c r="P25" s="192">
        <f t="shared" si="24"/>
        <v>222</v>
      </c>
      <c r="Q25" s="192">
        <f t="shared" si="6"/>
        <v>4776.5806451612898</v>
      </c>
      <c r="R25" s="192">
        <f t="shared" si="25"/>
        <v>222</v>
      </c>
      <c r="S25" s="192">
        <f t="shared" si="7"/>
        <v>4776.5806451612898</v>
      </c>
      <c r="T25" s="192">
        <f t="shared" si="26"/>
        <v>222</v>
      </c>
      <c r="U25" s="192">
        <f t="shared" si="8"/>
        <v>4776.5806451612898</v>
      </c>
      <c r="V25" s="192">
        <f t="shared" si="27"/>
        <v>222</v>
      </c>
      <c r="W25" s="192">
        <f t="shared" si="9"/>
        <v>4776.5806451612898</v>
      </c>
      <c r="X25" s="34">
        <f t="shared" si="28"/>
        <v>0.71612903225806424</v>
      </c>
      <c r="Y25" s="35">
        <f t="shared" si="29"/>
        <v>52542.387096774175</v>
      </c>
      <c r="Z25" s="440">
        <f>'B5'!C24</f>
        <v>229</v>
      </c>
      <c r="AA25" s="192">
        <f t="shared" si="30"/>
        <v>2290</v>
      </c>
      <c r="AB25" s="192">
        <f t="shared" si="31"/>
        <v>229</v>
      </c>
      <c r="AC25" s="192">
        <f t="shared" si="30"/>
        <v>2290</v>
      </c>
      <c r="AD25" s="192">
        <f t="shared" si="32"/>
        <v>229</v>
      </c>
      <c r="AE25" s="192">
        <f t="shared" si="10"/>
        <v>2290</v>
      </c>
      <c r="AF25" s="192">
        <f t="shared" si="33"/>
        <v>229</v>
      </c>
      <c r="AG25" s="192">
        <f t="shared" si="11"/>
        <v>2290</v>
      </c>
      <c r="AH25" s="192">
        <f t="shared" si="34"/>
        <v>229</v>
      </c>
      <c r="AI25" s="192">
        <f t="shared" si="12"/>
        <v>2290</v>
      </c>
      <c r="AJ25" s="192">
        <f t="shared" si="35"/>
        <v>229</v>
      </c>
      <c r="AK25" s="192">
        <f t="shared" si="13"/>
        <v>2290</v>
      </c>
      <c r="AL25" s="192">
        <f t="shared" si="36"/>
        <v>229</v>
      </c>
      <c r="AM25" s="192">
        <f t="shared" si="14"/>
        <v>2290</v>
      </c>
      <c r="AN25" s="34">
        <f t="shared" si="15"/>
        <v>0.81785714285714284</v>
      </c>
      <c r="AO25" s="35">
        <f t="shared" si="39"/>
        <v>16030</v>
      </c>
      <c r="AQ25" s="208">
        <f t="shared" si="40"/>
        <v>0.73757542322011593</v>
      </c>
      <c r="AR25" s="37">
        <f t="shared" si="41"/>
        <v>68572.387096774182</v>
      </c>
      <c r="AS25" s="186">
        <f t="shared" si="48"/>
        <v>0</v>
      </c>
      <c r="AT25" s="303"/>
      <c r="AU25" s="475"/>
      <c r="AV25" s="432">
        <f t="shared" si="47"/>
        <v>0</v>
      </c>
      <c r="AW25" s="251">
        <f>-SUM('B5'!AI24)</f>
        <v>0</v>
      </c>
      <c r="AX25" s="251">
        <f t="shared" si="16"/>
        <v>0</v>
      </c>
      <c r="AY25" s="36">
        <f t="shared" si="37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44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469"/>
    </row>
    <row r="26" spans="1:64">
      <c r="A26" s="379">
        <f>ELEC!C24</f>
        <v>44916</v>
      </c>
      <c r="B26" s="440">
        <f>'B5'!B25</f>
        <v>222</v>
      </c>
      <c r="C26" s="192">
        <f t="shared" si="17"/>
        <v>4776.5806451612898</v>
      </c>
      <c r="D26">
        <f t="shared" si="18"/>
        <v>222</v>
      </c>
      <c r="E26" s="192">
        <f t="shared" si="17"/>
        <v>4776.5806451612898</v>
      </c>
      <c r="F26">
        <f t="shared" si="19"/>
        <v>222</v>
      </c>
      <c r="G26" s="192">
        <f t="shared" si="1"/>
        <v>4776.5806451612898</v>
      </c>
      <c r="H26" s="192">
        <f t="shared" si="20"/>
        <v>222</v>
      </c>
      <c r="I26" s="192">
        <f t="shared" si="2"/>
        <v>4776.5806451612898</v>
      </c>
      <c r="J26" s="192">
        <f t="shared" si="21"/>
        <v>222</v>
      </c>
      <c r="K26" s="192">
        <f t="shared" si="3"/>
        <v>4776.5806451612898</v>
      </c>
      <c r="L26" s="192">
        <f t="shared" si="22"/>
        <v>222</v>
      </c>
      <c r="M26" s="192">
        <f t="shared" si="4"/>
        <v>4776.5806451612898</v>
      </c>
      <c r="N26" s="192">
        <f t="shared" si="23"/>
        <v>222</v>
      </c>
      <c r="O26" s="192">
        <f t="shared" si="5"/>
        <v>4776.5806451612898</v>
      </c>
      <c r="P26" s="192">
        <f t="shared" si="24"/>
        <v>222</v>
      </c>
      <c r="Q26" s="192">
        <f t="shared" si="6"/>
        <v>4776.5806451612898</v>
      </c>
      <c r="R26" s="192">
        <f t="shared" si="25"/>
        <v>222</v>
      </c>
      <c r="S26" s="192">
        <f t="shared" si="7"/>
        <v>4776.5806451612898</v>
      </c>
      <c r="T26" s="192">
        <f t="shared" si="26"/>
        <v>222</v>
      </c>
      <c r="U26" s="192">
        <f t="shared" si="8"/>
        <v>4776.5806451612898</v>
      </c>
      <c r="V26" s="192">
        <f t="shared" si="27"/>
        <v>222</v>
      </c>
      <c r="W26" s="192">
        <f t="shared" si="9"/>
        <v>4776.5806451612898</v>
      </c>
      <c r="X26" s="34">
        <f t="shared" si="28"/>
        <v>0.71612903225806424</v>
      </c>
      <c r="Y26" s="35">
        <f t="shared" si="29"/>
        <v>52542.387096774175</v>
      </c>
      <c r="Z26" s="440">
        <f>'B5'!C25</f>
        <v>229</v>
      </c>
      <c r="AA26" s="192">
        <f t="shared" si="30"/>
        <v>2290</v>
      </c>
      <c r="AB26" s="192">
        <f t="shared" si="31"/>
        <v>229</v>
      </c>
      <c r="AC26" s="192">
        <f t="shared" si="30"/>
        <v>2290</v>
      </c>
      <c r="AD26" s="192">
        <f t="shared" si="32"/>
        <v>229</v>
      </c>
      <c r="AE26" s="192">
        <f t="shared" si="10"/>
        <v>2290</v>
      </c>
      <c r="AF26" s="192">
        <f t="shared" si="33"/>
        <v>229</v>
      </c>
      <c r="AG26" s="192">
        <f t="shared" si="11"/>
        <v>2290</v>
      </c>
      <c r="AH26" s="192">
        <f t="shared" si="34"/>
        <v>229</v>
      </c>
      <c r="AI26" s="192">
        <f t="shared" si="12"/>
        <v>2290</v>
      </c>
      <c r="AJ26" s="192">
        <f t="shared" si="35"/>
        <v>229</v>
      </c>
      <c r="AK26" s="192">
        <f t="shared" si="13"/>
        <v>2290</v>
      </c>
      <c r="AL26" s="192">
        <f t="shared" si="36"/>
        <v>229</v>
      </c>
      <c r="AM26" s="192">
        <f t="shared" si="14"/>
        <v>2290</v>
      </c>
      <c r="AN26" s="34">
        <f t="shared" si="15"/>
        <v>0.81785714285714284</v>
      </c>
      <c r="AO26" s="35">
        <f t="shared" si="39"/>
        <v>16030</v>
      </c>
      <c r="AQ26" s="208">
        <f t="shared" si="40"/>
        <v>0.73757542322011593</v>
      </c>
      <c r="AR26" s="37">
        <f t="shared" si="41"/>
        <v>68572.387096774182</v>
      </c>
      <c r="AS26" s="186">
        <f t="shared" si="48"/>
        <v>0</v>
      </c>
      <c r="AT26" s="303"/>
      <c r="AU26" s="475"/>
      <c r="AV26" s="432">
        <f t="shared" si="47"/>
        <v>0</v>
      </c>
      <c r="AW26" s="251">
        <f>-SUM('B5'!AI25)</f>
        <v>0</v>
      </c>
      <c r="AX26" s="251">
        <f t="shared" si="16"/>
        <v>0</v>
      </c>
      <c r="AY26" s="36">
        <f t="shared" si="37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44"/>
        <v>0</v>
      </c>
      <c r="BD26" s="98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469"/>
    </row>
    <row r="27" spans="1:64">
      <c r="A27" s="379">
        <f>ELEC!C25</f>
        <v>44917</v>
      </c>
      <c r="B27" s="440">
        <f>'B5'!B26</f>
        <v>222</v>
      </c>
      <c r="C27" s="192">
        <f t="shared" si="17"/>
        <v>4776.5806451612898</v>
      </c>
      <c r="D27">
        <f t="shared" si="18"/>
        <v>222</v>
      </c>
      <c r="E27" s="192">
        <f t="shared" si="17"/>
        <v>4776.5806451612898</v>
      </c>
      <c r="F27">
        <f t="shared" si="19"/>
        <v>222</v>
      </c>
      <c r="G27" s="192">
        <f t="shared" si="1"/>
        <v>4776.5806451612898</v>
      </c>
      <c r="H27" s="192">
        <f t="shared" si="20"/>
        <v>222</v>
      </c>
      <c r="I27" s="192">
        <f t="shared" si="2"/>
        <v>4776.5806451612898</v>
      </c>
      <c r="J27" s="192">
        <f t="shared" si="21"/>
        <v>222</v>
      </c>
      <c r="K27" s="192">
        <f t="shared" si="3"/>
        <v>4776.5806451612898</v>
      </c>
      <c r="L27" s="192">
        <f t="shared" si="22"/>
        <v>222</v>
      </c>
      <c r="M27" s="192">
        <f t="shared" si="4"/>
        <v>4776.5806451612898</v>
      </c>
      <c r="N27" s="192">
        <f t="shared" si="23"/>
        <v>222</v>
      </c>
      <c r="O27" s="192">
        <f t="shared" si="5"/>
        <v>4776.5806451612898</v>
      </c>
      <c r="P27" s="192">
        <f t="shared" si="24"/>
        <v>222</v>
      </c>
      <c r="Q27" s="192">
        <f t="shared" si="6"/>
        <v>4776.5806451612898</v>
      </c>
      <c r="R27" s="192">
        <f t="shared" si="25"/>
        <v>222</v>
      </c>
      <c r="S27" s="192">
        <f t="shared" si="7"/>
        <v>4776.5806451612898</v>
      </c>
      <c r="T27" s="192">
        <f t="shared" si="26"/>
        <v>222</v>
      </c>
      <c r="U27" s="192">
        <f t="shared" si="8"/>
        <v>4776.5806451612898</v>
      </c>
      <c r="V27" s="192">
        <f t="shared" si="27"/>
        <v>222</v>
      </c>
      <c r="W27" s="192">
        <f t="shared" si="9"/>
        <v>4776.5806451612898</v>
      </c>
      <c r="X27" s="34">
        <f t="shared" si="28"/>
        <v>0.71612903225806424</v>
      </c>
      <c r="Y27" s="35">
        <f t="shared" si="29"/>
        <v>52542.387096774175</v>
      </c>
      <c r="Z27" s="440">
        <f>'B5'!C26</f>
        <v>229</v>
      </c>
      <c r="AA27" s="192">
        <f t="shared" si="30"/>
        <v>2290</v>
      </c>
      <c r="AB27" s="192">
        <f t="shared" si="31"/>
        <v>229</v>
      </c>
      <c r="AC27" s="192">
        <f t="shared" si="30"/>
        <v>2290</v>
      </c>
      <c r="AD27" s="192">
        <f t="shared" si="32"/>
        <v>229</v>
      </c>
      <c r="AE27" s="192">
        <f t="shared" si="10"/>
        <v>2290</v>
      </c>
      <c r="AF27" s="192">
        <f t="shared" si="33"/>
        <v>229</v>
      </c>
      <c r="AG27" s="192">
        <f t="shared" si="11"/>
        <v>2290</v>
      </c>
      <c r="AH27" s="192">
        <f t="shared" si="34"/>
        <v>229</v>
      </c>
      <c r="AI27" s="192">
        <f t="shared" si="12"/>
        <v>2290</v>
      </c>
      <c r="AJ27" s="192">
        <f t="shared" si="35"/>
        <v>229</v>
      </c>
      <c r="AK27" s="192">
        <f t="shared" si="13"/>
        <v>2290</v>
      </c>
      <c r="AL27" s="192">
        <f t="shared" si="36"/>
        <v>229</v>
      </c>
      <c r="AM27" s="192">
        <f t="shared" si="14"/>
        <v>2290</v>
      </c>
      <c r="AN27" s="34">
        <f t="shared" si="15"/>
        <v>0.81785714285714284</v>
      </c>
      <c r="AO27" s="35">
        <f t="shared" si="39"/>
        <v>16030</v>
      </c>
      <c r="AQ27" s="208">
        <f t="shared" si="40"/>
        <v>0.73757542322011593</v>
      </c>
      <c r="AR27" s="37">
        <f t="shared" si="41"/>
        <v>68572.387096774182</v>
      </c>
      <c r="AS27" s="186">
        <f t="shared" si="48"/>
        <v>0</v>
      </c>
      <c r="AT27" s="303"/>
      <c r="AU27" s="475"/>
      <c r="AV27" s="432">
        <f t="shared" si="47"/>
        <v>0</v>
      </c>
      <c r="AW27" s="251">
        <f>-SUM('B5'!AI26)</f>
        <v>0</v>
      </c>
      <c r="AX27" s="251">
        <f t="shared" si="16"/>
        <v>0</v>
      </c>
      <c r="AY27" s="36">
        <f t="shared" si="37"/>
        <v>0</v>
      </c>
      <c r="AZ27" s="96">
        <f>ELEC!A25</f>
        <v>0</v>
      </c>
      <c r="BA27" s="114">
        <f>'General information '!D26</f>
        <v>0</v>
      </c>
      <c r="BB27" s="193">
        <f>SUM('General information '!E26)</f>
        <v>0</v>
      </c>
      <c r="BC27" s="3">
        <f t="shared" si="44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469" t="e">
        <f>GEN!AF24</f>
        <v>#DIV/0!</v>
      </c>
    </row>
    <row r="28" spans="1:64">
      <c r="A28" s="379">
        <f>ELEC!C26</f>
        <v>44918</v>
      </c>
      <c r="B28" s="440">
        <f>'B5'!B27</f>
        <v>222</v>
      </c>
      <c r="C28" s="192">
        <f t="shared" si="17"/>
        <v>4776.5806451612898</v>
      </c>
      <c r="D28">
        <f t="shared" si="18"/>
        <v>222</v>
      </c>
      <c r="E28" s="192">
        <f t="shared" si="17"/>
        <v>4776.5806451612898</v>
      </c>
      <c r="F28">
        <f t="shared" si="19"/>
        <v>222</v>
      </c>
      <c r="G28" s="192">
        <f t="shared" si="1"/>
        <v>4776.5806451612898</v>
      </c>
      <c r="H28" s="192">
        <f t="shared" si="20"/>
        <v>222</v>
      </c>
      <c r="I28" s="192">
        <f t="shared" si="2"/>
        <v>4776.5806451612898</v>
      </c>
      <c r="J28" s="192">
        <f t="shared" si="21"/>
        <v>222</v>
      </c>
      <c r="K28" s="192">
        <f t="shared" si="3"/>
        <v>4776.5806451612898</v>
      </c>
      <c r="L28" s="192">
        <f t="shared" si="22"/>
        <v>222</v>
      </c>
      <c r="M28" s="192">
        <f t="shared" si="4"/>
        <v>4776.5806451612898</v>
      </c>
      <c r="N28" s="192">
        <f t="shared" si="23"/>
        <v>222</v>
      </c>
      <c r="O28" s="192">
        <f t="shared" si="5"/>
        <v>4776.5806451612898</v>
      </c>
      <c r="P28" s="192">
        <f t="shared" si="24"/>
        <v>222</v>
      </c>
      <c r="Q28" s="192">
        <f t="shared" si="6"/>
        <v>4776.5806451612898</v>
      </c>
      <c r="R28" s="192">
        <f t="shared" si="25"/>
        <v>222</v>
      </c>
      <c r="S28" s="192">
        <f t="shared" si="7"/>
        <v>4776.5806451612898</v>
      </c>
      <c r="T28" s="192">
        <f t="shared" si="26"/>
        <v>222</v>
      </c>
      <c r="U28" s="192">
        <f t="shared" si="8"/>
        <v>4776.5806451612898</v>
      </c>
      <c r="V28" s="192">
        <f t="shared" si="27"/>
        <v>222</v>
      </c>
      <c r="W28" s="192">
        <f t="shared" si="9"/>
        <v>4776.5806451612898</v>
      </c>
      <c r="X28" s="34">
        <f t="shared" si="28"/>
        <v>0.71612903225806424</v>
      </c>
      <c r="Y28" s="35">
        <f t="shared" si="29"/>
        <v>52542.387096774175</v>
      </c>
      <c r="Z28" s="440">
        <f>'B5'!C27</f>
        <v>229</v>
      </c>
      <c r="AA28" s="192">
        <f t="shared" si="30"/>
        <v>2290</v>
      </c>
      <c r="AB28" s="192">
        <f t="shared" si="31"/>
        <v>229</v>
      </c>
      <c r="AC28" s="192">
        <f t="shared" si="30"/>
        <v>2290</v>
      </c>
      <c r="AD28" s="192">
        <f t="shared" si="32"/>
        <v>229</v>
      </c>
      <c r="AE28" s="192">
        <f t="shared" si="10"/>
        <v>2290</v>
      </c>
      <c r="AF28" s="192">
        <f t="shared" si="33"/>
        <v>229</v>
      </c>
      <c r="AG28" s="192">
        <f t="shared" si="11"/>
        <v>2290</v>
      </c>
      <c r="AH28" s="192">
        <f t="shared" si="34"/>
        <v>229</v>
      </c>
      <c r="AI28" s="192">
        <f t="shared" si="12"/>
        <v>2290</v>
      </c>
      <c r="AJ28" s="192">
        <f t="shared" si="35"/>
        <v>229</v>
      </c>
      <c r="AK28" s="192">
        <f t="shared" si="13"/>
        <v>2290</v>
      </c>
      <c r="AL28" s="192">
        <f t="shared" si="36"/>
        <v>229</v>
      </c>
      <c r="AM28" s="192">
        <f t="shared" si="14"/>
        <v>2290</v>
      </c>
      <c r="AN28" s="34">
        <f t="shared" si="15"/>
        <v>0.81785714285714284</v>
      </c>
      <c r="AO28" s="35">
        <f t="shared" si="39"/>
        <v>16030</v>
      </c>
      <c r="AQ28" s="208">
        <f t="shared" si="40"/>
        <v>0.73757542322011593</v>
      </c>
      <c r="AR28" s="37">
        <f t="shared" si="41"/>
        <v>68572.387096774182</v>
      </c>
      <c r="AS28" s="186">
        <f t="shared" si="48"/>
        <v>0</v>
      </c>
      <c r="AT28" s="303"/>
      <c r="AU28" s="475"/>
      <c r="AV28" s="432">
        <f t="shared" si="47"/>
        <v>0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222</v>
      </c>
      <c r="C29" s="192">
        <f t="shared" si="17"/>
        <v>4776.5806451612898</v>
      </c>
      <c r="D29">
        <f t="shared" si="18"/>
        <v>222</v>
      </c>
      <c r="E29" s="192">
        <f t="shared" si="17"/>
        <v>4776.5806451612898</v>
      </c>
      <c r="F29">
        <f t="shared" si="19"/>
        <v>222</v>
      </c>
      <c r="G29" s="192">
        <f t="shared" si="1"/>
        <v>4776.5806451612898</v>
      </c>
      <c r="H29" s="192">
        <f t="shared" si="20"/>
        <v>222</v>
      </c>
      <c r="I29" s="192">
        <f t="shared" si="2"/>
        <v>4776.5806451612898</v>
      </c>
      <c r="J29" s="192">
        <f t="shared" si="21"/>
        <v>222</v>
      </c>
      <c r="K29" s="192">
        <f t="shared" si="3"/>
        <v>4776.5806451612898</v>
      </c>
      <c r="L29" s="192">
        <f t="shared" si="22"/>
        <v>222</v>
      </c>
      <c r="M29" s="192">
        <f t="shared" si="4"/>
        <v>4776.5806451612898</v>
      </c>
      <c r="N29" s="192">
        <f t="shared" si="23"/>
        <v>222</v>
      </c>
      <c r="O29" s="192">
        <f t="shared" si="5"/>
        <v>4776.5806451612898</v>
      </c>
      <c r="P29" s="192">
        <f t="shared" si="24"/>
        <v>222</v>
      </c>
      <c r="Q29" s="192">
        <f t="shared" si="6"/>
        <v>4776.5806451612898</v>
      </c>
      <c r="R29" s="192">
        <f t="shared" si="25"/>
        <v>222</v>
      </c>
      <c r="S29" s="192">
        <f t="shared" si="7"/>
        <v>4776.5806451612898</v>
      </c>
      <c r="T29" s="192">
        <f t="shared" si="26"/>
        <v>222</v>
      </c>
      <c r="U29" s="192">
        <f t="shared" si="8"/>
        <v>4776.5806451612898</v>
      </c>
      <c r="V29" s="192">
        <f t="shared" si="27"/>
        <v>222</v>
      </c>
      <c r="W29" s="192">
        <f t="shared" si="9"/>
        <v>4776.5806451612898</v>
      </c>
      <c r="X29" s="34">
        <f t="shared" si="28"/>
        <v>0.71612903225806424</v>
      </c>
      <c r="Y29" s="35">
        <f t="shared" si="29"/>
        <v>52542.387096774175</v>
      </c>
      <c r="Z29" s="440">
        <f>'B5'!C28</f>
        <v>229</v>
      </c>
      <c r="AA29" s="192">
        <f t="shared" si="30"/>
        <v>2290</v>
      </c>
      <c r="AB29" s="192">
        <f t="shared" si="31"/>
        <v>229</v>
      </c>
      <c r="AC29" s="192">
        <f t="shared" si="30"/>
        <v>2290</v>
      </c>
      <c r="AD29" s="192">
        <f t="shared" si="32"/>
        <v>229</v>
      </c>
      <c r="AE29" s="192">
        <f t="shared" si="10"/>
        <v>2290</v>
      </c>
      <c r="AF29" s="192">
        <f t="shared" si="33"/>
        <v>229</v>
      </c>
      <c r="AG29" s="192">
        <f t="shared" si="11"/>
        <v>2290</v>
      </c>
      <c r="AH29" s="192">
        <f t="shared" si="34"/>
        <v>229</v>
      </c>
      <c r="AI29" s="192">
        <f t="shared" si="12"/>
        <v>2290</v>
      </c>
      <c r="AJ29" s="192">
        <f t="shared" si="35"/>
        <v>229</v>
      </c>
      <c r="AK29" s="192">
        <f t="shared" si="13"/>
        <v>2290</v>
      </c>
      <c r="AL29" s="192">
        <f t="shared" si="36"/>
        <v>229</v>
      </c>
      <c r="AM29" s="192">
        <f t="shared" si="14"/>
        <v>2290</v>
      </c>
      <c r="AN29" s="34">
        <f t="shared" si="15"/>
        <v>0.81785714285714284</v>
      </c>
      <c r="AO29" s="35">
        <f t="shared" si="39"/>
        <v>16030</v>
      </c>
      <c r="AQ29" s="208">
        <f t="shared" si="40"/>
        <v>0.73757542322011593</v>
      </c>
      <c r="AR29" s="37">
        <f t="shared" si="41"/>
        <v>68572.387096774182</v>
      </c>
      <c r="AS29" s="186">
        <f>SUM(AR29-AR28-AT29)</f>
        <v>0</v>
      </c>
      <c r="AT29" s="303"/>
      <c r="AU29" s="475"/>
      <c r="AV29" s="432">
        <f t="shared" si="47"/>
        <v>0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222</v>
      </c>
      <c r="C30" s="192">
        <f t="shared" si="17"/>
        <v>4776.5806451612898</v>
      </c>
      <c r="D30">
        <f>SUM(B30)</f>
        <v>222</v>
      </c>
      <c r="E30" s="192">
        <f t="shared" si="17"/>
        <v>4776.5806451612898</v>
      </c>
      <c r="F30">
        <f>SUM(D30)</f>
        <v>222</v>
      </c>
      <c r="G30" s="192">
        <f t="shared" si="1"/>
        <v>4776.5806451612898</v>
      </c>
      <c r="H30" s="192">
        <f>SUM(F30)</f>
        <v>222</v>
      </c>
      <c r="I30" s="192">
        <f t="shared" si="2"/>
        <v>4776.5806451612898</v>
      </c>
      <c r="J30" s="192">
        <f>SUM(H30)</f>
        <v>222</v>
      </c>
      <c r="K30" s="192">
        <f t="shared" si="3"/>
        <v>4776.5806451612898</v>
      </c>
      <c r="L30" s="192">
        <f>SUM(J30)</f>
        <v>222</v>
      </c>
      <c r="M30" s="192">
        <f t="shared" si="4"/>
        <v>4776.5806451612898</v>
      </c>
      <c r="N30" s="192">
        <f>SUM(L30)</f>
        <v>222</v>
      </c>
      <c r="O30" s="192">
        <f t="shared" si="5"/>
        <v>4776.5806451612898</v>
      </c>
      <c r="P30" s="192">
        <f>SUM(N30)</f>
        <v>222</v>
      </c>
      <c r="Q30" s="192">
        <f t="shared" si="6"/>
        <v>4776.5806451612898</v>
      </c>
      <c r="R30" s="192">
        <f>SUM(P30)</f>
        <v>222</v>
      </c>
      <c r="S30" s="192">
        <f t="shared" si="7"/>
        <v>4776.5806451612898</v>
      </c>
      <c r="T30" s="192">
        <f>SUM(R30)</f>
        <v>222</v>
      </c>
      <c r="U30" s="192">
        <f t="shared" si="8"/>
        <v>4776.5806451612898</v>
      </c>
      <c r="V30" s="192">
        <f>SUM(T30)</f>
        <v>222</v>
      </c>
      <c r="W30" s="192">
        <f t="shared" si="9"/>
        <v>4776.5806451612898</v>
      </c>
      <c r="X30" s="34">
        <f>SUM(Y30/73370)</f>
        <v>0.71612903225806424</v>
      </c>
      <c r="Y30" s="35">
        <f>SUM(C30+E30+G30+I30+K30+M30+O30+Q30+S30+U30+W30)</f>
        <v>52542.387096774175</v>
      </c>
      <c r="Z30" s="440">
        <f>'B5'!C29</f>
        <v>229</v>
      </c>
      <c r="AA30" s="192">
        <f t="shared" si="30"/>
        <v>2290</v>
      </c>
      <c r="AB30" s="192">
        <f>SUM(Z30)</f>
        <v>229</v>
      </c>
      <c r="AC30" s="192">
        <f t="shared" si="30"/>
        <v>2290</v>
      </c>
      <c r="AD30" s="192">
        <f>SUM(AB30)</f>
        <v>229</v>
      </c>
      <c r="AE30" s="192">
        <f t="shared" si="10"/>
        <v>2290</v>
      </c>
      <c r="AF30" s="192">
        <f>SUM(AD30)</f>
        <v>229</v>
      </c>
      <c r="AG30" s="192">
        <f t="shared" si="11"/>
        <v>2290</v>
      </c>
      <c r="AH30" s="192">
        <f>SUM(AF30)</f>
        <v>229</v>
      </c>
      <c r="AI30" s="192">
        <f t="shared" si="12"/>
        <v>2290</v>
      </c>
      <c r="AJ30" s="192">
        <f>SUM(AH30)</f>
        <v>229</v>
      </c>
      <c r="AK30" s="192">
        <f t="shared" si="13"/>
        <v>2290</v>
      </c>
      <c r="AL30" s="192">
        <f>SUM(AJ30)</f>
        <v>229</v>
      </c>
      <c r="AM30" s="192">
        <f t="shared" si="14"/>
        <v>2290</v>
      </c>
      <c r="AN30" s="34">
        <f>SUM(AO30/19600)</f>
        <v>0.81785714285714284</v>
      </c>
      <c r="AO30" s="35">
        <f>SUM(AA30+AC30+AE30+AG30+AI30+AK30+AM30)</f>
        <v>16030</v>
      </c>
      <c r="AQ30" s="208">
        <f t="shared" si="40"/>
        <v>0.73757542322011593</v>
      </c>
      <c r="AR30" s="37">
        <f t="shared" si="41"/>
        <v>68572.387096774182</v>
      </c>
      <c r="AS30" s="186">
        <f>SUM(AR30-AR29-AT30)</f>
        <v>0</v>
      </c>
      <c r="AT30" s="303"/>
      <c r="AU30" s="475"/>
      <c r="AV30" s="432">
        <f t="shared" si="47"/>
        <v>0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222</v>
      </c>
      <c r="C31" s="192">
        <f t="shared" si="17"/>
        <v>4776.5806451612898</v>
      </c>
      <c r="D31">
        <f>SUM(B31)</f>
        <v>222</v>
      </c>
      <c r="E31" s="192">
        <f t="shared" si="17"/>
        <v>4776.5806451612898</v>
      </c>
      <c r="F31">
        <f>SUM(D31)</f>
        <v>222</v>
      </c>
      <c r="G31" s="192">
        <f t="shared" si="1"/>
        <v>4776.5806451612898</v>
      </c>
      <c r="H31" s="192">
        <f>SUM(F31)</f>
        <v>222</v>
      </c>
      <c r="I31" s="192">
        <f t="shared" si="2"/>
        <v>4776.5806451612898</v>
      </c>
      <c r="J31" s="192">
        <f>SUM(H31)</f>
        <v>222</v>
      </c>
      <c r="K31" s="192">
        <f t="shared" si="3"/>
        <v>4776.5806451612898</v>
      </c>
      <c r="L31" s="192">
        <f>SUM(J31)</f>
        <v>222</v>
      </c>
      <c r="M31" s="192">
        <f t="shared" si="4"/>
        <v>4776.5806451612898</v>
      </c>
      <c r="N31" s="192">
        <f>SUM(L31)</f>
        <v>222</v>
      </c>
      <c r="O31" s="192">
        <f t="shared" si="5"/>
        <v>4776.5806451612898</v>
      </c>
      <c r="P31" s="192">
        <f>SUM(N31)</f>
        <v>222</v>
      </c>
      <c r="Q31" s="192">
        <f t="shared" si="6"/>
        <v>4776.5806451612898</v>
      </c>
      <c r="R31" s="192">
        <f>SUM(P31)</f>
        <v>222</v>
      </c>
      <c r="S31" s="192">
        <f t="shared" si="7"/>
        <v>4776.5806451612898</v>
      </c>
      <c r="T31" s="192">
        <f>SUM(R31)</f>
        <v>222</v>
      </c>
      <c r="U31" s="192">
        <f t="shared" si="8"/>
        <v>4776.5806451612898</v>
      </c>
      <c r="V31" s="192">
        <f>SUM(T31)</f>
        <v>222</v>
      </c>
      <c r="W31" s="192">
        <f t="shared" si="9"/>
        <v>4776.5806451612898</v>
      </c>
      <c r="X31" s="34">
        <f>SUM(Y31/73370)</f>
        <v>0.71612903225806424</v>
      </c>
      <c r="Y31" s="35">
        <f>SUM(C31+E31+G31+I31+K31+M31+O31+Q31+S31+U31+W31)</f>
        <v>52542.387096774175</v>
      </c>
      <c r="Z31" s="440">
        <f>'B5'!C30</f>
        <v>229</v>
      </c>
      <c r="AA31" s="192">
        <f t="shared" si="30"/>
        <v>2290</v>
      </c>
      <c r="AB31" s="192">
        <f>SUM(Z31)</f>
        <v>229</v>
      </c>
      <c r="AC31" s="192">
        <f t="shared" si="30"/>
        <v>2290</v>
      </c>
      <c r="AD31" s="192">
        <f>SUM(AB31)</f>
        <v>229</v>
      </c>
      <c r="AE31" s="192">
        <f t="shared" si="10"/>
        <v>2290</v>
      </c>
      <c r="AF31" s="192">
        <f>SUM(AD31)</f>
        <v>229</v>
      </c>
      <c r="AG31" s="192">
        <f t="shared" si="11"/>
        <v>2290</v>
      </c>
      <c r="AH31" s="192">
        <f>SUM(AF31)</f>
        <v>229</v>
      </c>
      <c r="AI31" s="192">
        <f t="shared" si="12"/>
        <v>2290</v>
      </c>
      <c r="AJ31" s="192">
        <f>SUM(AH31)</f>
        <v>229</v>
      </c>
      <c r="AK31" s="192">
        <f t="shared" si="13"/>
        <v>2290</v>
      </c>
      <c r="AL31" s="192">
        <f>SUM(AJ31)</f>
        <v>229</v>
      </c>
      <c r="AM31" s="192">
        <f t="shared" si="14"/>
        <v>2290</v>
      </c>
      <c r="AN31" s="34">
        <f>SUM(AO31/19600)</f>
        <v>0.81785714285714284</v>
      </c>
      <c r="AO31" s="35">
        <f>SUM(AA31+AC31+AE31+AG31+AI31+AK31+AM31)</f>
        <v>16030</v>
      </c>
      <c r="AQ31" s="208">
        <f t="shared" si="40"/>
        <v>0.73757542322011593</v>
      </c>
      <c r="AR31" s="37">
        <f t="shared" si="41"/>
        <v>68572.387096774182</v>
      </c>
      <c r="AS31" s="186">
        <f t="shared" si="48"/>
        <v>0</v>
      </c>
      <c r="AT31" s="303"/>
      <c r="AU31" s="475"/>
      <c r="AV31" s="432">
        <f t="shared" si="47"/>
        <v>0</v>
      </c>
      <c r="AW31" s="251">
        <f>-SUM('B5'!AI30)</f>
        <v>0</v>
      </c>
      <c r="AX31" s="251">
        <f t="shared" si="16"/>
        <v>0</v>
      </c>
      <c r="AY31" s="36">
        <f t="shared" si="37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44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469" t="e">
        <f>GEN!AF28</f>
        <v>#DIV/0!</v>
      </c>
    </row>
    <row r="32" spans="1:64">
      <c r="A32" s="379">
        <f>ELEC!C30</f>
        <v>44922</v>
      </c>
      <c r="B32" s="440">
        <f>'B5'!B31</f>
        <v>222</v>
      </c>
      <c r="C32" s="192">
        <f t="shared" si="17"/>
        <v>4776.5806451612898</v>
      </c>
      <c r="D32">
        <f>SUM(B32)</f>
        <v>222</v>
      </c>
      <c r="E32" s="192">
        <f t="shared" si="17"/>
        <v>4776.5806451612898</v>
      </c>
      <c r="F32">
        <f>SUM(D32)</f>
        <v>222</v>
      </c>
      <c r="G32" s="192">
        <f t="shared" si="1"/>
        <v>4776.5806451612898</v>
      </c>
      <c r="H32" s="192">
        <f>SUM(F32)</f>
        <v>222</v>
      </c>
      <c r="I32" s="192">
        <f t="shared" si="2"/>
        <v>4776.5806451612898</v>
      </c>
      <c r="J32" s="192">
        <f>SUM(H32)</f>
        <v>222</v>
      </c>
      <c r="K32" s="192">
        <f t="shared" si="3"/>
        <v>4776.5806451612898</v>
      </c>
      <c r="L32" s="192">
        <f>SUM(J32)</f>
        <v>222</v>
      </c>
      <c r="M32" s="192">
        <f t="shared" si="4"/>
        <v>4776.5806451612898</v>
      </c>
      <c r="N32" s="192">
        <f>SUM(L32)</f>
        <v>222</v>
      </c>
      <c r="O32" s="192">
        <f t="shared" si="5"/>
        <v>4776.5806451612898</v>
      </c>
      <c r="P32" s="192">
        <f>SUM(N32)</f>
        <v>222</v>
      </c>
      <c r="Q32" s="192">
        <f t="shared" si="6"/>
        <v>4776.5806451612898</v>
      </c>
      <c r="R32" s="192">
        <f>SUM(P32)</f>
        <v>222</v>
      </c>
      <c r="S32" s="192">
        <f t="shared" si="7"/>
        <v>4776.5806451612898</v>
      </c>
      <c r="T32" s="192">
        <f>SUM(R32)</f>
        <v>222</v>
      </c>
      <c r="U32" s="192">
        <f t="shared" si="8"/>
        <v>4776.5806451612898</v>
      </c>
      <c r="V32" s="192">
        <f>SUM(T32)</f>
        <v>222</v>
      </c>
      <c r="W32" s="192">
        <f t="shared" si="9"/>
        <v>4776.5806451612898</v>
      </c>
      <c r="X32" s="34">
        <f>SUM(Y32/73370)</f>
        <v>0.71612903225806424</v>
      </c>
      <c r="Y32" s="35">
        <f>SUM(C32+E32+G32+I32+K32+M32+O32+Q32+S32+U32+W32)</f>
        <v>52542.387096774175</v>
      </c>
      <c r="Z32" s="440">
        <f>'B5'!C31</f>
        <v>229</v>
      </c>
      <c r="AA32" s="192">
        <f t="shared" si="30"/>
        <v>2290</v>
      </c>
      <c r="AB32" s="192">
        <f>SUM(Z32)</f>
        <v>229</v>
      </c>
      <c r="AC32" s="192">
        <f t="shared" si="30"/>
        <v>2290</v>
      </c>
      <c r="AD32" s="192">
        <f>SUM(AB32)</f>
        <v>229</v>
      </c>
      <c r="AE32" s="192">
        <f t="shared" si="10"/>
        <v>2290</v>
      </c>
      <c r="AF32" s="192">
        <f>SUM(AD32)</f>
        <v>229</v>
      </c>
      <c r="AG32" s="192">
        <f t="shared" si="11"/>
        <v>2290</v>
      </c>
      <c r="AH32" s="192">
        <f>SUM(AF32)</f>
        <v>229</v>
      </c>
      <c r="AI32" s="192">
        <f t="shared" si="12"/>
        <v>2290</v>
      </c>
      <c r="AJ32" s="192">
        <f>SUM(AH32)</f>
        <v>229</v>
      </c>
      <c r="AK32" s="192">
        <f t="shared" si="13"/>
        <v>2290</v>
      </c>
      <c r="AL32" s="192">
        <f>SUM(AJ32)</f>
        <v>229</v>
      </c>
      <c r="AM32" s="192">
        <f t="shared" si="14"/>
        <v>2290</v>
      </c>
      <c r="AN32" s="34">
        <f>SUM(AO32/19600)</f>
        <v>0.81785714285714284</v>
      </c>
      <c r="AO32" s="35">
        <f>SUM(AA32+AC32+AE32+AG32+AI32+AK32+AM32)</f>
        <v>16030</v>
      </c>
      <c r="AQ32" s="208">
        <f t="shared" si="40"/>
        <v>0.73757542322011593</v>
      </c>
      <c r="AR32" s="37">
        <f t="shared" si="41"/>
        <v>68572.387096774182</v>
      </c>
      <c r="AS32" s="186">
        <f t="shared" si="48"/>
        <v>0</v>
      </c>
      <c r="AT32" s="303"/>
      <c r="AU32" s="475"/>
      <c r="AV32" s="432">
        <f t="shared" si="47"/>
        <v>0</v>
      </c>
      <c r="AW32" s="251">
        <f>-SUM('B5'!AI31)</f>
        <v>0</v>
      </c>
      <c r="AX32" s="251">
        <f t="shared" si="16"/>
        <v>0</v>
      </c>
      <c r="AY32" s="36">
        <f t="shared" si="37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469" t="e">
        <f>GEN!AF29</f>
        <v>#DIV/0!</v>
      </c>
    </row>
    <row r="33" spans="1:63">
      <c r="A33" s="379">
        <f>ELEC!C31</f>
        <v>44923</v>
      </c>
      <c r="B33" s="440">
        <f>'B5'!B32</f>
        <v>222</v>
      </c>
      <c r="C33" s="192">
        <f t="shared" si="17"/>
        <v>4776.5806451612898</v>
      </c>
      <c r="D33">
        <f>SUM(B33)</f>
        <v>222</v>
      </c>
      <c r="E33" s="192">
        <f t="shared" si="17"/>
        <v>4776.5806451612898</v>
      </c>
      <c r="F33">
        <f>SUM(D33)</f>
        <v>222</v>
      </c>
      <c r="G33" s="192">
        <f t="shared" si="1"/>
        <v>4776.5806451612898</v>
      </c>
      <c r="H33" s="192">
        <f>SUM(F33)</f>
        <v>222</v>
      </c>
      <c r="I33" s="192">
        <f t="shared" si="2"/>
        <v>4776.5806451612898</v>
      </c>
      <c r="J33" s="192">
        <f>SUM(H33)</f>
        <v>222</v>
      </c>
      <c r="K33" s="192">
        <f t="shared" si="3"/>
        <v>4776.5806451612898</v>
      </c>
      <c r="L33" s="192">
        <f>SUM(J33)</f>
        <v>222</v>
      </c>
      <c r="M33" s="192">
        <f t="shared" si="4"/>
        <v>4776.5806451612898</v>
      </c>
      <c r="N33" s="192">
        <f>SUM(L33)</f>
        <v>222</v>
      </c>
      <c r="O33" s="192">
        <f t="shared" si="5"/>
        <v>4776.5806451612898</v>
      </c>
      <c r="P33" s="192">
        <f>SUM(N33)</f>
        <v>222</v>
      </c>
      <c r="Q33" s="192">
        <f t="shared" si="6"/>
        <v>4776.5806451612898</v>
      </c>
      <c r="R33" s="192">
        <f>SUM(P33)</f>
        <v>222</v>
      </c>
      <c r="S33" s="192">
        <f t="shared" si="7"/>
        <v>4776.5806451612898</v>
      </c>
      <c r="T33" s="192">
        <f>SUM(R33)</f>
        <v>222</v>
      </c>
      <c r="U33" s="192">
        <f t="shared" si="8"/>
        <v>4776.5806451612898</v>
      </c>
      <c r="V33" s="192">
        <f>SUM(T33)</f>
        <v>222</v>
      </c>
      <c r="W33" s="192">
        <f t="shared" si="9"/>
        <v>4776.5806451612898</v>
      </c>
      <c r="X33" s="34">
        <f>SUM(Y33/73370)</f>
        <v>0.71612903225806424</v>
      </c>
      <c r="Y33" s="35">
        <f>SUM(C33+E33+G33+I33+K33+M33+O33+Q33+S33+U33+W33)</f>
        <v>52542.387096774175</v>
      </c>
      <c r="Z33" s="440">
        <f>'B5'!C32</f>
        <v>229</v>
      </c>
      <c r="AA33" s="192">
        <f t="shared" si="30"/>
        <v>2290</v>
      </c>
      <c r="AB33" s="192">
        <f>SUM(Z33)</f>
        <v>229</v>
      </c>
      <c r="AC33" s="192">
        <f t="shared" si="30"/>
        <v>2290</v>
      </c>
      <c r="AD33" s="192">
        <f>SUM(AB33)</f>
        <v>229</v>
      </c>
      <c r="AE33" s="192">
        <f t="shared" si="10"/>
        <v>2290</v>
      </c>
      <c r="AF33" s="192">
        <f>SUM(AD33)</f>
        <v>229</v>
      </c>
      <c r="AG33" s="192">
        <f t="shared" si="11"/>
        <v>2290</v>
      </c>
      <c r="AH33" s="192">
        <f>SUM(AF33)</f>
        <v>229</v>
      </c>
      <c r="AI33" s="192">
        <f t="shared" si="12"/>
        <v>2290</v>
      </c>
      <c r="AJ33" s="192">
        <f>SUM(AH33)</f>
        <v>229</v>
      </c>
      <c r="AK33" s="192">
        <f t="shared" si="13"/>
        <v>2290</v>
      </c>
      <c r="AL33" s="192">
        <f>SUM(AJ33)</f>
        <v>229</v>
      </c>
      <c r="AM33" s="192">
        <f t="shared" si="14"/>
        <v>2290</v>
      </c>
      <c r="AN33" s="34">
        <f>SUM(AO33/19600)</f>
        <v>0.81785714285714284</v>
      </c>
      <c r="AO33" s="35">
        <f>SUM(AA33+AC33+AE33+AG33+AI33+AK33+AM33)</f>
        <v>16030</v>
      </c>
      <c r="AQ33" s="208">
        <f t="shared" si="40"/>
        <v>0.73757542322011593</v>
      </c>
      <c r="AR33" s="37">
        <f t="shared" si="41"/>
        <v>68572.387096774182</v>
      </c>
      <c r="AS33" s="186">
        <f>SUM(AR33-AR32-AT33)</f>
        <v>0</v>
      </c>
      <c r="AT33" s="303"/>
      <c r="AU33" s="475"/>
      <c r="AV33" s="432">
        <f t="shared" si="47"/>
        <v>0</v>
      </c>
      <c r="AW33" s="251">
        <f>-SUM('B5'!AI32)</f>
        <v>366</v>
      </c>
      <c r="AX33" s="251">
        <f t="shared" si="16"/>
        <v>-366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-18.3</v>
      </c>
      <c r="BK33" s="469" t="e">
        <f>GEN!AF30</f>
        <v>#DIV/0!</v>
      </c>
    </row>
    <row r="34" spans="1:63">
      <c r="A34" s="379">
        <f>ELEC!C32</f>
        <v>44924</v>
      </c>
      <c r="B34" s="440">
        <f>'B5'!B33</f>
        <v>222</v>
      </c>
      <c r="C34" s="192">
        <f t="shared" ref="C34:C36" si="49">B34*$B$4</f>
        <v>4776.5806451612898</v>
      </c>
      <c r="D34">
        <f t="shared" ref="D34:D36" si="50">SUM(B34)</f>
        <v>222</v>
      </c>
      <c r="E34" s="192">
        <f t="shared" ref="E34:E36" si="51">D34*$B$4</f>
        <v>4776.5806451612898</v>
      </c>
      <c r="F34">
        <f t="shared" ref="F34:F36" si="52">SUM(D34)</f>
        <v>222</v>
      </c>
      <c r="G34" s="192">
        <f t="shared" ref="G34:G36" si="53">F34*$B$4</f>
        <v>4776.5806451612898</v>
      </c>
      <c r="H34" s="192">
        <f t="shared" ref="H34:H36" si="54">SUM(F34)</f>
        <v>222</v>
      </c>
      <c r="I34" s="192">
        <f t="shared" ref="I34:I36" si="55">H34*$B$4</f>
        <v>4776.5806451612898</v>
      </c>
      <c r="J34" s="192">
        <f t="shared" ref="J34:J36" si="56">SUM(H34)</f>
        <v>222</v>
      </c>
      <c r="K34" s="192">
        <f t="shared" ref="K34:K36" si="57">J34*$B$4</f>
        <v>4776.5806451612898</v>
      </c>
      <c r="L34" s="192">
        <f t="shared" ref="L34:L36" si="58">SUM(J34)</f>
        <v>222</v>
      </c>
      <c r="M34" s="192">
        <f t="shared" ref="M34:M36" si="59">L34*$B$4</f>
        <v>4776.5806451612898</v>
      </c>
      <c r="N34" s="192">
        <f t="shared" ref="N34:N36" si="60">SUM(L34)</f>
        <v>222</v>
      </c>
      <c r="O34" s="192">
        <f t="shared" ref="O34:O36" si="61">N34*$B$4</f>
        <v>4776.5806451612898</v>
      </c>
      <c r="P34" s="192">
        <f t="shared" ref="P34:P36" si="62">SUM(N34)</f>
        <v>222</v>
      </c>
      <c r="Q34" s="192">
        <f t="shared" ref="Q34:Q36" si="63">P34*$B$4</f>
        <v>4776.5806451612898</v>
      </c>
      <c r="R34" s="192">
        <f t="shared" ref="R34:R36" si="64">SUM(P34)</f>
        <v>222</v>
      </c>
      <c r="S34" s="192">
        <f t="shared" ref="S34:S36" si="65">R34*$B$4</f>
        <v>4776.5806451612898</v>
      </c>
      <c r="T34" s="192">
        <f t="shared" ref="T34:T36" si="66">SUM(R34)</f>
        <v>222</v>
      </c>
      <c r="U34" s="192">
        <f t="shared" ref="U34:U36" si="67">T34*$B$4</f>
        <v>4776.5806451612898</v>
      </c>
      <c r="V34" s="192">
        <f t="shared" ref="V34:V36" si="68">SUM(T34)</f>
        <v>222</v>
      </c>
      <c r="W34" s="192">
        <f t="shared" ref="W34:W36" si="69">V34*$B$4</f>
        <v>4776.5806451612898</v>
      </c>
      <c r="X34" s="34">
        <f t="shared" ref="X34:X36" si="70">SUM(Y34/73370)</f>
        <v>0.71612903225806424</v>
      </c>
      <c r="Y34" s="35">
        <f t="shared" ref="Y34:Y36" si="71">SUM(C34+E34+G34+I34+K34+M34+O34+Q34+S34+U34+W34)</f>
        <v>52542.387096774175</v>
      </c>
      <c r="Z34" s="440">
        <f>'B5'!C33</f>
        <v>229</v>
      </c>
      <c r="AA34" s="192">
        <f t="shared" ref="AA34:AA36" si="72">SUM(Z34*$Z$4)</f>
        <v>2290</v>
      </c>
      <c r="AB34" s="192">
        <f t="shared" ref="AB34:AB36" si="73">SUM(Z34)</f>
        <v>229</v>
      </c>
      <c r="AC34" s="192">
        <f t="shared" ref="AC34:AC36" si="74">SUM(AB34*$Z$4)</f>
        <v>2290</v>
      </c>
      <c r="AD34" s="192">
        <f t="shared" ref="AD34:AD36" si="75">SUM(AB34)</f>
        <v>229</v>
      </c>
      <c r="AE34" s="192">
        <f t="shared" ref="AE34:AE36" si="76">SUM(AD34*$Z$4)</f>
        <v>2290</v>
      </c>
      <c r="AF34" s="192">
        <f t="shared" ref="AF34:AF36" si="77">SUM(AD34)</f>
        <v>229</v>
      </c>
      <c r="AG34" s="192">
        <f t="shared" ref="AG34:AG36" si="78">SUM(AF34*$Z$4)</f>
        <v>2290</v>
      </c>
      <c r="AH34" s="192">
        <f t="shared" ref="AH34:AH36" si="79">SUM(AF34)</f>
        <v>229</v>
      </c>
      <c r="AI34" s="192">
        <f t="shared" ref="AI34:AI36" si="80">SUM(AH34*$Z$4)</f>
        <v>2290</v>
      </c>
      <c r="AJ34" s="192">
        <f t="shared" ref="AJ34:AJ36" si="81">SUM(AH34)</f>
        <v>229</v>
      </c>
      <c r="AK34" s="192">
        <f t="shared" ref="AK34:AK36" si="82">SUM(AJ34*$Z$4)</f>
        <v>2290</v>
      </c>
      <c r="AL34" s="192">
        <f t="shared" ref="AL34:AL36" si="83">SUM(AJ34)</f>
        <v>229</v>
      </c>
      <c r="AM34" s="192">
        <f t="shared" ref="AM34:AM36" si="84">SUM(AL34*$Z$4)</f>
        <v>2290</v>
      </c>
      <c r="AN34" s="34">
        <f t="shared" ref="AN34:AN36" si="85">SUM(AO34/19600)</f>
        <v>0.81785714285714284</v>
      </c>
      <c r="AO34" s="35">
        <f t="shared" ref="AO34:AO36" si="86">SUM(AA34+AC34+AE34+AG34+AI34+AK34+AM34)</f>
        <v>16030</v>
      </c>
      <c r="AQ34" s="208">
        <f t="shared" ref="AQ34:AQ36" si="87">SUM(AR34/92970)</f>
        <v>0.73757542322011593</v>
      </c>
      <c r="AR34" s="37">
        <f t="shared" si="41"/>
        <v>68572.387096774182</v>
      </c>
      <c r="AS34" s="186">
        <f t="shared" ref="AS34:AS36" si="88">SUM(AR34-AR33-AT34)</f>
        <v>0</v>
      </c>
      <c r="AT34" s="303"/>
      <c r="AU34" s="475"/>
      <c r="AV34" s="432">
        <f t="shared" si="47"/>
        <v>0</v>
      </c>
      <c r="AW34" s="251">
        <f>-SUM('B5'!AI33)</f>
        <v>0</v>
      </c>
      <c r="AX34" s="251">
        <f t="shared" ref="AX34:AX36" si="89">-SUM(AW34-AS34)</f>
        <v>0</v>
      </c>
      <c r="AY34" s="36">
        <f t="shared" ref="AY34:AY36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469" t="e">
        <f>GEN!AF31</f>
        <v>#DIV/0!</v>
      </c>
    </row>
    <row r="35" spans="1:63">
      <c r="A35" s="379">
        <f>ELEC!C33</f>
        <v>44925</v>
      </c>
      <c r="B35" s="440">
        <f>'B5'!B34</f>
        <v>222</v>
      </c>
      <c r="C35" s="192">
        <f t="shared" si="49"/>
        <v>4776.5806451612898</v>
      </c>
      <c r="D35">
        <f t="shared" si="50"/>
        <v>222</v>
      </c>
      <c r="E35" s="192">
        <f t="shared" si="51"/>
        <v>4776.5806451612898</v>
      </c>
      <c r="F35">
        <f t="shared" si="52"/>
        <v>222</v>
      </c>
      <c r="G35" s="192">
        <f t="shared" si="53"/>
        <v>4776.5806451612898</v>
      </c>
      <c r="H35" s="192">
        <f t="shared" si="54"/>
        <v>222</v>
      </c>
      <c r="I35" s="192">
        <f t="shared" si="55"/>
        <v>4776.5806451612898</v>
      </c>
      <c r="J35" s="192">
        <f t="shared" si="56"/>
        <v>222</v>
      </c>
      <c r="K35" s="192">
        <f t="shared" si="57"/>
        <v>4776.5806451612898</v>
      </c>
      <c r="L35" s="192">
        <f t="shared" si="58"/>
        <v>222</v>
      </c>
      <c r="M35" s="192">
        <f t="shared" si="59"/>
        <v>4776.5806451612898</v>
      </c>
      <c r="N35" s="192">
        <f t="shared" si="60"/>
        <v>222</v>
      </c>
      <c r="O35" s="192">
        <f t="shared" si="61"/>
        <v>4776.5806451612898</v>
      </c>
      <c r="P35" s="192">
        <f t="shared" si="62"/>
        <v>222</v>
      </c>
      <c r="Q35" s="192">
        <f t="shared" si="63"/>
        <v>4776.5806451612898</v>
      </c>
      <c r="R35" s="192">
        <f t="shared" si="64"/>
        <v>222</v>
      </c>
      <c r="S35" s="192">
        <f t="shared" si="65"/>
        <v>4776.5806451612898</v>
      </c>
      <c r="T35" s="192">
        <f t="shared" si="66"/>
        <v>222</v>
      </c>
      <c r="U35" s="192">
        <f t="shared" si="67"/>
        <v>4776.5806451612898</v>
      </c>
      <c r="V35" s="192">
        <f t="shared" si="68"/>
        <v>222</v>
      </c>
      <c r="W35" s="192">
        <f t="shared" si="69"/>
        <v>4776.5806451612898</v>
      </c>
      <c r="X35" s="34">
        <f t="shared" si="70"/>
        <v>0.71612903225806424</v>
      </c>
      <c r="Y35" s="35">
        <f t="shared" si="71"/>
        <v>52542.387096774175</v>
      </c>
      <c r="Z35" s="440">
        <f>'B5'!C34</f>
        <v>229</v>
      </c>
      <c r="AA35" s="192">
        <f t="shared" si="72"/>
        <v>2290</v>
      </c>
      <c r="AB35" s="192">
        <f t="shared" si="73"/>
        <v>229</v>
      </c>
      <c r="AC35" s="192">
        <f t="shared" si="74"/>
        <v>2290</v>
      </c>
      <c r="AD35" s="192">
        <f t="shared" si="75"/>
        <v>229</v>
      </c>
      <c r="AE35" s="192">
        <f t="shared" si="76"/>
        <v>2290</v>
      </c>
      <c r="AF35" s="192">
        <f t="shared" si="77"/>
        <v>229</v>
      </c>
      <c r="AG35" s="192">
        <f t="shared" si="78"/>
        <v>2290</v>
      </c>
      <c r="AH35" s="192">
        <f t="shared" si="79"/>
        <v>229</v>
      </c>
      <c r="AI35" s="192">
        <f t="shared" si="80"/>
        <v>2290</v>
      </c>
      <c r="AJ35" s="192">
        <f t="shared" si="81"/>
        <v>229</v>
      </c>
      <c r="AK35" s="192">
        <f t="shared" si="82"/>
        <v>2290</v>
      </c>
      <c r="AL35" s="192">
        <f t="shared" si="83"/>
        <v>229</v>
      </c>
      <c r="AM35" s="192">
        <f t="shared" si="84"/>
        <v>2290</v>
      </c>
      <c r="AN35" s="34">
        <f t="shared" si="85"/>
        <v>0.81785714285714284</v>
      </c>
      <c r="AO35" s="35">
        <f t="shared" si="86"/>
        <v>16030</v>
      </c>
      <c r="AQ35" s="208">
        <f t="shared" si="87"/>
        <v>0.73757542322011593</v>
      </c>
      <c r="AR35" s="37">
        <f t="shared" si="41"/>
        <v>68572.387096774182</v>
      </c>
      <c r="AS35" s="186">
        <f t="shared" si="88"/>
        <v>0</v>
      </c>
      <c r="AT35" s="303"/>
      <c r="AU35" s="475"/>
      <c r="AV35" s="432">
        <f t="shared" si="47"/>
        <v>0</v>
      </c>
      <c r="AW35" s="251">
        <f>-SUM('B5'!AI34)</f>
        <v>0</v>
      </c>
      <c r="AX35" s="251">
        <f t="shared" si="89"/>
        <v>0</v>
      </c>
      <c r="AY35" s="36">
        <f t="shared" si="90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469" t="e">
        <f>GEN!AF32</f>
        <v>#DIV/0!</v>
      </c>
    </row>
    <row r="36" spans="1:63">
      <c r="A36" s="379">
        <f>ELEC!C34</f>
        <v>44926</v>
      </c>
      <c r="B36" s="440">
        <f>'B5'!B35</f>
        <v>222</v>
      </c>
      <c r="C36" s="192">
        <f t="shared" si="49"/>
        <v>4776.5806451612898</v>
      </c>
      <c r="D36">
        <f t="shared" si="50"/>
        <v>222</v>
      </c>
      <c r="E36" s="192">
        <f t="shared" si="51"/>
        <v>4776.5806451612898</v>
      </c>
      <c r="F36">
        <f t="shared" si="52"/>
        <v>222</v>
      </c>
      <c r="G36" s="192">
        <f t="shared" si="53"/>
        <v>4776.5806451612898</v>
      </c>
      <c r="H36" s="192">
        <f t="shared" si="54"/>
        <v>222</v>
      </c>
      <c r="I36" s="192">
        <f t="shared" si="55"/>
        <v>4776.5806451612898</v>
      </c>
      <c r="J36" s="192">
        <f t="shared" si="56"/>
        <v>222</v>
      </c>
      <c r="K36" s="192">
        <f t="shared" si="57"/>
        <v>4776.5806451612898</v>
      </c>
      <c r="L36" s="192">
        <f t="shared" si="58"/>
        <v>222</v>
      </c>
      <c r="M36" s="192">
        <f t="shared" si="59"/>
        <v>4776.5806451612898</v>
      </c>
      <c r="N36" s="192">
        <f t="shared" si="60"/>
        <v>222</v>
      </c>
      <c r="O36" s="192">
        <f t="shared" si="61"/>
        <v>4776.5806451612898</v>
      </c>
      <c r="P36" s="192">
        <f t="shared" si="62"/>
        <v>222</v>
      </c>
      <c r="Q36" s="192">
        <f t="shared" si="63"/>
        <v>4776.5806451612898</v>
      </c>
      <c r="R36" s="192">
        <f t="shared" si="64"/>
        <v>222</v>
      </c>
      <c r="S36" s="192">
        <f t="shared" si="65"/>
        <v>4776.5806451612898</v>
      </c>
      <c r="T36" s="192">
        <f t="shared" si="66"/>
        <v>222</v>
      </c>
      <c r="U36" s="192">
        <f t="shared" si="67"/>
        <v>4776.5806451612898</v>
      </c>
      <c r="V36" s="192">
        <f t="shared" si="68"/>
        <v>222</v>
      </c>
      <c r="W36" s="192">
        <f t="shared" si="69"/>
        <v>4776.5806451612898</v>
      </c>
      <c r="X36" s="34">
        <f t="shared" si="70"/>
        <v>0.71612903225806424</v>
      </c>
      <c r="Y36" s="35">
        <f t="shared" si="71"/>
        <v>52542.387096774175</v>
      </c>
      <c r="Z36" s="440">
        <f>'B5'!C35</f>
        <v>229</v>
      </c>
      <c r="AA36" s="192">
        <f t="shared" si="72"/>
        <v>2290</v>
      </c>
      <c r="AB36" s="192">
        <f t="shared" si="73"/>
        <v>229</v>
      </c>
      <c r="AC36" s="192">
        <f t="shared" si="74"/>
        <v>2290</v>
      </c>
      <c r="AD36" s="192">
        <f t="shared" si="75"/>
        <v>229</v>
      </c>
      <c r="AE36" s="192">
        <f t="shared" si="76"/>
        <v>2290</v>
      </c>
      <c r="AF36" s="192">
        <f t="shared" si="77"/>
        <v>229</v>
      </c>
      <c r="AG36" s="192">
        <f t="shared" si="78"/>
        <v>2290</v>
      </c>
      <c r="AH36" s="192">
        <f t="shared" si="79"/>
        <v>229</v>
      </c>
      <c r="AI36" s="192">
        <f t="shared" si="80"/>
        <v>2290</v>
      </c>
      <c r="AJ36" s="192">
        <f t="shared" si="81"/>
        <v>229</v>
      </c>
      <c r="AK36" s="192">
        <f t="shared" si="82"/>
        <v>2290</v>
      </c>
      <c r="AL36" s="192">
        <f t="shared" si="83"/>
        <v>229</v>
      </c>
      <c r="AM36" s="192">
        <f t="shared" si="84"/>
        <v>2290</v>
      </c>
      <c r="AN36" s="34">
        <f t="shared" si="85"/>
        <v>0.81785714285714284</v>
      </c>
      <c r="AO36" s="35">
        <f t="shared" si="86"/>
        <v>16030</v>
      </c>
      <c r="AQ36" s="208">
        <f t="shared" si="87"/>
        <v>0.73757542322011593</v>
      </c>
      <c r="AR36" s="37">
        <f t="shared" si="41"/>
        <v>68572.387096774182</v>
      </c>
      <c r="AS36" s="186">
        <f t="shared" si="88"/>
        <v>0</v>
      </c>
      <c r="AT36" s="303"/>
      <c r="AU36" s="475"/>
      <c r="AV36" s="432">
        <f t="shared" si="47"/>
        <v>0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186</v>
      </c>
      <c r="AS37" s="414">
        <f>COUNT(AT6:AT36)</f>
        <v>1</v>
      </c>
      <c r="AT37" s="192">
        <f>SUM(AT6:AT36)</f>
        <v>1</v>
      </c>
      <c r="AU37">
        <f>SUM(AU6:AU36)/AS37</f>
        <v>0</v>
      </c>
      <c r="AX37" s="192">
        <f>SUM(AX6:AX36)</f>
        <v>-5948.2258064516354</v>
      </c>
      <c r="AY37" s="192">
        <f>SUM(AY6:AY36)</f>
        <v>-6441.2258064516354</v>
      </c>
    </row>
    <row r="38" spans="1:63">
      <c r="AT38" s="79">
        <f>+AT37*AU37</f>
        <v>0</v>
      </c>
    </row>
    <row r="40" spans="1:63">
      <c r="AS40" s="1">
        <f>SUM(AS6:AS36)/'EDl log'!A35</f>
        <v>-6441.2258064516354</v>
      </c>
      <c r="AT40" s="192"/>
    </row>
    <row r="41" spans="1:63">
      <c r="AX41">
        <v>43309</v>
      </c>
    </row>
    <row r="42" spans="1:63">
      <c r="AR42" s="192">
        <f>AR36-22000</f>
        <v>46572.387096774182</v>
      </c>
      <c r="AU42" s="192"/>
      <c r="AX42">
        <f>AX37/AX41</f>
        <v>-0.13734387324693795</v>
      </c>
    </row>
    <row r="43" spans="1:63">
      <c r="AR43">
        <f>AR42/5500</f>
        <v>8.4677067448680337</v>
      </c>
    </row>
    <row r="44" spans="1:63">
      <c r="AR44">
        <f>AR43*2</f>
        <v>16.935413489736067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80"/>
  <sheetViews>
    <sheetView zoomScaleNormal="100" workbookViewId="0">
      <selection activeCell="J4" sqref="J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103</v>
      </c>
      <c r="B1" s="156" t="s">
        <v>187</v>
      </c>
      <c r="C1" s="156" t="s">
        <v>188</v>
      </c>
      <c r="D1" s="156"/>
      <c r="E1" s="156"/>
      <c r="F1" s="156" t="s">
        <v>189</v>
      </c>
      <c r="G1" s="156">
        <v>320</v>
      </c>
      <c r="H1" s="156" t="s">
        <v>1</v>
      </c>
      <c r="I1" s="156">
        <v>112</v>
      </c>
      <c r="J1" s="156" t="s">
        <v>190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191</v>
      </c>
      <c r="M2" s="156" t="s">
        <v>192</v>
      </c>
      <c r="N2" s="156" t="s">
        <v>193</v>
      </c>
      <c r="O2" s="156" t="s">
        <v>194</v>
      </c>
      <c r="P2" s="156" t="s">
        <v>195</v>
      </c>
      <c r="Q2" s="156" t="s">
        <v>196</v>
      </c>
      <c r="R2" s="156" t="s">
        <v>197</v>
      </c>
      <c r="S2" s="256"/>
      <c r="T2" s="287"/>
    </row>
    <row r="3" spans="1:32" ht="20.100000000000001" customHeight="1" thickBot="1">
      <c r="A3" s="155">
        <f>'[2]EDl log'!$A$33</f>
        <v>44895</v>
      </c>
      <c r="B3" s="78">
        <f>'[2]EDl log'!B33</f>
        <v>1126764</v>
      </c>
      <c r="C3" s="78">
        <f>'[2]EDl log'!C33</f>
        <v>0</v>
      </c>
      <c r="D3" s="78">
        <f>'[2]EDl log'!D33</f>
        <v>0</v>
      </c>
      <c r="E3" s="78">
        <f>'[2]EDl log'!E33</f>
        <v>1126764</v>
      </c>
      <c r="F3" s="78">
        <f>'[2]EDl log'!F33</f>
        <v>161640</v>
      </c>
      <c r="G3" s="78">
        <f>'[2]EDl log'!G33</f>
        <v>0</v>
      </c>
      <c r="H3" s="78">
        <f>'[2]EDl log'!H33</f>
        <v>563190</v>
      </c>
      <c r="I3" s="78">
        <f>'[2]EDl log'!I33</f>
        <v>0</v>
      </c>
      <c r="J3" s="78">
        <f>'[2]EDl log'!J33</f>
        <v>401934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198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'[2]EDl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2827</v>
      </c>
      <c r="T4" s="288">
        <f>IF(S4&gt;0,R4/S4,0)</f>
        <v>5.475876850745947E-2</v>
      </c>
      <c r="U4" s="226"/>
      <c r="V4" s="157" t="s">
        <v>199</v>
      </c>
      <c r="W4" s="158">
        <f>'[2]EDl log'!$W$21</f>
        <v>44887</v>
      </c>
      <c r="X4" s="159"/>
      <c r="Y4" s="159"/>
      <c r="Z4" s="160" t="s">
        <v>200</v>
      </c>
      <c r="AA4" s="159"/>
      <c r="AB4" s="568"/>
      <c r="AC4" s="569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2"/>
      <c r="W5" s="563"/>
      <c r="X5" s="563"/>
      <c r="Y5" s="564"/>
      <c r="Z5" s="25" t="s">
        <v>201</v>
      </c>
      <c r="AA5" s="25">
        <v>5000</v>
      </c>
      <c r="AB5" s="570"/>
      <c r="AC5" s="571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65"/>
      <c r="W6" s="566"/>
      <c r="X6" s="566"/>
      <c r="Y6" s="567"/>
      <c r="Z6" s="574"/>
      <c r="AA6" s="575"/>
      <c r="AB6" s="570"/>
      <c r="AC6" s="571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0</v>
      </c>
      <c r="R7" s="255">
        <f t="shared" si="12"/>
        <v>154.80303857058792</v>
      </c>
      <c r="S7" s="257">
        <f>SUM(ELEC!N7)</f>
        <v>2978</v>
      </c>
      <c r="T7" s="288">
        <f t="shared" si="16"/>
        <v>5.1982215772527846E-2</v>
      </c>
      <c r="V7" s="557" t="s">
        <v>202</v>
      </c>
      <c r="W7" s="558"/>
      <c r="X7" s="559" t="s">
        <v>203</v>
      </c>
      <c r="Y7" s="560"/>
      <c r="Z7" s="561"/>
      <c r="AA7" s="161"/>
      <c r="AB7" s="572"/>
      <c r="AC7" s="573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0</v>
      </c>
      <c r="R8" s="255">
        <f t="shared" si="12"/>
        <v>154.80303857058792</v>
      </c>
      <c r="S8" s="257">
        <f>SUM(ELEC!N8)</f>
        <v>2462</v>
      </c>
      <c r="T8" s="288">
        <f>IF(S8&gt;0,R8/S8,0)</f>
        <v>6.2876944992115325E-2</v>
      </c>
      <c r="V8" s="224" t="s">
        <v>204</v>
      </c>
      <c r="W8" s="184" t="s">
        <v>205</v>
      </c>
      <c r="X8" s="184"/>
      <c r="Y8" s="184" t="s">
        <v>206</v>
      </c>
      <c r="Z8" s="184" t="s">
        <v>207</v>
      </c>
      <c r="AA8" s="184" t="s">
        <v>208</v>
      </c>
      <c r="AB8" s="184" t="s">
        <v>209</v>
      </c>
      <c r="AC8" s="162" t="s">
        <v>210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0</v>
      </c>
      <c r="R9" s="255">
        <f>SUM(P9:Q9)</f>
        <v>154.80303857058792</v>
      </c>
      <c r="S9" s="257">
        <f>SUM(ELEC!N9)</f>
        <v>2985</v>
      </c>
      <c r="T9" s="288">
        <f t="shared" si="16"/>
        <v>5.1860314429007674E-2</v>
      </c>
      <c r="V9" s="227">
        <f>'[2]EDl log'!V26</f>
        <v>401934</v>
      </c>
      <c r="W9" s="227">
        <f>'[2]EDl log'!W26</f>
        <v>401934</v>
      </c>
      <c r="X9" s="227" t="str">
        <f>'[6]EDl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2160</v>
      </c>
      <c r="T10" s="288">
        <f t="shared" si="16"/>
        <v>7.1668073412309213E-2</v>
      </c>
      <c r="V10" s="227">
        <f>'[2]EDl log'!V27</f>
        <v>561453</v>
      </c>
      <c r="W10" s="227">
        <f>'[2]EDl log'!W27</f>
        <v>563190</v>
      </c>
      <c r="X10" s="227" t="str">
        <f>'[6]EDl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0</v>
      </c>
      <c r="R11" s="255">
        <f t="shared" si="12"/>
        <v>154.80303857058792</v>
      </c>
      <c r="S11" s="257">
        <f>SUM(ELEC!N11)</f>
        <v>2668</v>
      </c>
      <c r="T11" s="288">
        <f t="shared" si="16"/>
        <v>5.8022128399770584E-2</v>
      </c>
      <c r="V11" s="227">
        <f>'[2]EDl log'!V28</f>
        <v>161459</v>
      </c>
      <c r="W11" s="227">
        <f>'[2]EDl log'!W28</f>
        <v>161640</v>
      </c>
      <c r="X11" s="227" t="str">
        <f>'[6]EDl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211</v>
      </c>
      <c r="W13" s="511">
        <f>'[2]EDl log'!$W$30</f>
        <v>0</v>
      </c>
      <c r="Y13" s="203" t="s">
        <v>212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0</v>
      </c>
      <c r="R14" s="255">
        <f>SUM(P14:Q14)</f>
        <v>154.80303857058792</v>
      </c>
      <c r="S14" s="257">
        <f>SUM(ELEC!N14)</f>
        <v>0</v>
      </c>
      <c r="T14" s="288">
        <f>IF(S14&gt;0,R14/S14,0)</f>
        <v>0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0</v>
      </c>
      <c r="R15" s="255">
        <f>SUM(P15:Q15)</f>
        <v>154.80303857058792</v>
      </c>
      <c r="S15" s="257">
        <f>SUM(ELEC!N15)</f>
        <v>0</v>
      </c>
      <c r="T15" s="288">
        <f>IF(S15&gt;0,R15/S15,0)</f>
        <v>0</v>
      </c>
      <c r="V15" s="202" t="s">
        <v>213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44908</v>
      </c>
      <c r="B16" s="78">
        <f t="shared" si="6"/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214</v>
      </c>
      <c r="X16" s="207"/>
      <c r="Y16" s="231"/>
      <c r="Z16" s="3" t="s">
        <v>215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44909</v>
      </c>
      <c r="B17" s="78">
        <f t="shared" si="6"/>
        <v>1126764</v>
      </c>
      <c r="C17" s="78">
        <f t="shared" si="0"/>
        <v>0</v>
      </c>
      <c r="D17" s="264">
        <f t="shared" si="13"/>
        <v>0</v>
      </c>
      <c r="E17" s="264">
        <f t="shared" si="14"/>
        <v>1126764</v>
      </c>
      <c r="F17" s="78">
        <f t="shared" si="15"/>
        <v>161640</v>
      </c>
      <c r="G17" s="152">
        <f>F17-F16</f>
        <v>0</v>
      </c>
      <c r="H17" s="78">
        <f t="shared" si="7"/>
        <v>563190</v>
      </c>
      <c r="I17" s="153">
        <f t="shared" si="2"/>
        <v>0</v>
      </c>
      <c r="J17" s="78">
        <f t="shared" si="8"/>
        <v>401934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216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f t="shared" si="6"/>
        <v>1126764</v>
      </c>
      <c r="C18" s="78">
        <f>SUM(B18-B17)</f>
        <v>0</v>
      </c>
      <c r="D18" s="264">
        <f>SUM(G18+I18+K18)</f>
        <v>0</v>
      </c>
      <c r="E18" s="264">
        <f t="shared" si="14"/>
        <v>1126764</v>
      </c>
      <c r="F18" s="78">
        <f t="shared" si="15"/>
        <v>161640</v>
      </c>
      <c r="G18" s="152">
        <f t="shared" si="1"/>
        <v>0</v>
      </c>
      <c r="H18" s="78">
        <f t="shared" si="7"/>
        <v>563190</v>
      </c>
      <c r="I18" s="153">
        <f t="shared" si="2"/>
        <v>0</v>
      </c>
      <c r="J18" s="78">
        <f t="shared" si="8"/>
        <v>401934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0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154.80303857058792</v>
      </c>
      <c r="Q18" s="255">
        <f>SUM(-tanks!AX20*tanks!$AU$37)</f>
        <v>0</v>
      </c>
      <c r="R18" s="255">
        <f t="shared" si="12"/>
        <v>154.80303857058792</v>
      </c>
      <c r="S18" s="257">
        <f>SUM(ELEC!N18)</f>
        <v>0</v>
      </c>
      <c r="T18" s="288">
        <f t="shared" si="16"/>
        <v>0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1126764</v>
      </c>
      <c r="C19" s="78">
        <f t="shared" si="0"/>
        <v>0</v>
      </c>
      <c r="D19" s="264">
        <f t="shared" si="13"/>
        <v>0</v>
      </c>
      <c r="E19" s="264">
        <f t="shared" si="14"/>
        <v>1126764</v>
      </c>
      <c r="F19" s="78">
        <f t="shared" si="15"/>
        <v>161640</v>
      </c>
      <c r="G19" s="152">
        <f t="shared" si="1"/>
        <v>0</v>
      </c>
      <c r="H19" s="78">
        <f t="shared" si="7"/>
        <v>563190</v>
      </c>
      <c r="I19" s="153">
        <f t="shared" si="2"/>
        <v>0</v>
      </c>
      <c r="J19" s="78">
        <f t="shared" si="8"/>
        <v>401934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1126764</v>
      </c>
      <c r="C20" s="78">
        <f t="shared" si="0"/>
        <v>0</v>
      </c>
      <c r="D20" s="264">
        <f t="shared" si="13"/>
        <v>0</v>
      </c>
      <c r="E20" s="264">
        <f t="shared" si="14"/>
        <v>1126764</v>
      </c>
      <c r="F20" s="78">
        <f t="shared" si="15"/>
        <v>161640</v>
      </c>
      <c r="G20" s="152">
        <f t="shared" si="1"/>
        <v>0</v>
      </c>
      <c r="H20" s="78">
        <f t="shared" si="7"/>
        <v>563190</v>
      </c>
      <c r="I20" s="153">
        <f t="shared" si="2"/>
        <v>0</v>
      </c>
      <c r="J20" s="78">
        <f t="shared" si="8"/>
        <v>401934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1126764</v>
      </c>
      <c r="C21" s="78">
        <f t="shared" si="0"/>
        <v>0</v>
      </c>
      <c r="D21" s="264">
        <f t="shared" si="13"/>
        <v>0</v>
      </c>
      <c r="E21" s="264">
        <f t="shared" si="14"/>
        <v>1126764</v>
      </c>
      <c r="F21" s="78">
        <f t="shared" si="15"/>
        <v>161640</v>
      </c>
      <c r="G21" s="152">
        <f t="shared" si="1"/>
        <v>0</v>
      </c>
      <c r="H21" s="78">
        <f t="shared" si="7"/>
        <v>563190</v>
      </c>
      <c r="I21" s="153">
        <f t="shared" si="2"/>
        <v>0</v>
      </c>
      <c r="J21" s="78">
        <f t="shared" si="8"/>
        <v>401934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0</v>
      </c>
      <c r="R21" s="255">
        <f t="shared" si="12"/>
        <v>154.80303857058792</v>
      </c>
      <c r="S21" s="257">
        <f>SUM(ELEC!N21)</f>
        <v>0</v>
      </c>
      <c r="T21" s="288">
        <f t="shared" si="16"/>
        <v>0</v>
      </c>
      <c r="V21" s="157" t="s">
        <v>199</v>
      </c>
      <c r="W21" s="158">
        <v>44917</v>
      </c>
      <c r="X21" s="159"/>
      <c r="Y21" s="159"/>
      <c r="Z21" s="160" t="s">
        <v>200</v>
      </c>
      <c r="AA21" s="159"/>
      <c r="AB21" s="568"/>
      <c r="AC21" s="569"/>
    </row>
    <row r="22" spans="1:32" ht="20.100000000000001" customHeight="1">
      <c r="A22" s="155">
        <f>ELEC!C22</f>
        <v>44914</v>
      </c>
      <c r="B22" s="78">
        <f t="shared" si="6"/>
        <v>1126764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161640</v>
      </c>
      <c r="G22" s="152">
        <f t="shared" si="1"/>
        <v>0</v>
      </c>
      <c r="H22" s="78">
        <f t="shared" si="7"/>
        <v>563190</v>
      </c>
      <c r="I22" s="153">
        <f t="shared" si="2"/>
        <v>0</v>
      </c>
      <c r="J22" s="78">
        <f t="shared" si="8"/>
        <v>401934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0</v>
      </c>
      <c r="R22" s="255">
        <f t="shared" si="12"/>
        <v>154.80303857058792</v>
      </c>
      <c r="S22" s="257">
        <f>SUM(ELEC!N22)</f>
        <v>0</v>
      </c>
      <c r="T22" s="288">
        <f t="shared" si="16"/>
        <v>0</v>
      </c>
      <c r="V22" s="562"/>
      <c r="W22" s="563"/>
      <c r="X22" s="563"/>
      <c r="Y22" s="564"/>
      <c r="Z22" s="25" t="s">
        <v>201</v>
      </c>
      <c r="AA22" s="25">
        <v>5000</v>
      </c>
      <c r="AB22" s="570"/>
      <c r="AC22" s="571"/>
    </row>
    <row r="23" spans="1:32" ht="21" customHeight="1">
      <c r="A23" s="155">
        <f>ELEC!C23</f>
        <v>44915</v>
      </c>
      <c r="B23" s="78">
        <f t="shared" si="6"/>
        <v>1126764</v>
      </c>
      <c r="C23" s="78">
        <f t="shared" si="0"/>
        <v>0</v>
      </c>
      <c r="D23" s="264">
        <f t="shared" si="13"/>
        <v>0</v>
      </c>
      <c r="E23" s="264">
        <f t="shared" si="14"/>
        <v>1126764</v>
      </c>
      <c r="F23" s="78">
        <f t="shared" si="15"/>
        <v>161640</v>
      </c>
      <c r="G23" s="152">
        <f t="shared" si="1"/>
        <v>0</v>
      </c>
      <c r="H23" s="78">
        <f t="shared" si="7"/>
        <v>563190</v>
      </c>
      <c r="I23" s="153">
        <f t="shared" si="2"/>
        <v>0</v>
      </c>
      <c r="J23" s="78">
        <f t="shared" si="8"/>
        <v>401934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65"/>
      <c r="W23" s="566"/>
      <c r="X23" s="566"/>
      <c r="Y23" s="567"/>
      <c r="Z23" s="574"/>
      <c r="AA23" s="575"/>
      <c r="AB23" s="570"/>
      <c r="AC23" s="571"/>
    </row>
    <row r="24" spans="1:32" ht="20.100000000000001" customHeight="1">
      <c r="A24" s="155">
        <f>ELEC!C24</f>
        <v>44916</v>
      </c>
      <c r="B24" s="78">
        <f t="shared" si="6"/>
        <v>1126764</v>
      </c>
      <c r="C24" s="78">
        <f t="shared" si="0"/>
        <v>0</v>
      </c>
      <c r="D24" s="264">
        <f t="shared" si="13"/>
        <v>0</v>
      </c>
      <c r="E24" s="264">
        <f t="shared" si="14"/>
        <v>1126764</v>
      </c>
      <c r="F24" s="78">
        <f t="shared" si="15"/>
        <v>161640</v>
      </c>
      <c r="G24" s="152">
        <f t="shared" si="1"/>
        <v>0</v>
      </c>
      <c r="H24" s="78">
        <f t="shared" si="7"/>
        <v>563190</v>
      </c>
      <c r="I24" s="153">
        <f t="shared" si="2"/>
        <v>0</v>
      </c>
      <c r="J24" s="78">
        <f t="shared" si="8"/>
        <v>401934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57" t="s">
        <v>202</v>
      </c>
      <c r="W24" s="558"/>
      <c r="X24" s="559" t="s">
        <v>203</v>
      </c>
      <c r="Y24" s="560"/>
      <c r="Z24" s="561"/>
      <c r="AA24" s="161"/>
      <c r="AB24" s="572"/>
      <c r="AC24" s="573"/>
    </row>
    <row r="25" spans="1:32" ht="20.100000000000001" customHeight="1">
      <c r="A25" s="155">
        <f>ELEC!C25</f>
        <v>44917</v>
      </c>
      <c r="B25" s="78">
        <f t="shared" si="6"/>
        <v>1126764</v>
      </c>
      <c r="C25" s="78">
        <f t="shared" si="0"/>
        <v>0</v>
      </c>
      <c r="D25" s="264">
        <f t="shared" si="13"/>
        <v>0</v>
      </c>
      <c r="E25" s="264">
        <f t="shared" si="14"/>
        <v>1126764</v>
      </c>
      <c r="F25" s="78">
        <f t="shared" si="15"/>
        <v>161640</v>
      </c>
      <c r="G25" s="152">
        <f t="shared" si="1"/>
        <v>0</v>
      </c>
      <c r="H25" s="78">
        <f t="shared" si="7"/>
        <v>563190</v>
      </c>
      <c r="I25" s="153">
        <f t="shared" si="2"/>
        <v>0</v>
      </c>
      <c r="J25" s="78">
        <f t="shared" si="8"/>
        <v>401934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0</v>
      </c>
      <c r="R25" s="255">
        <f t="shared" si="12"/>
        <v>154.80303857058792</v>
      </c>
      <c r="S25" s="257">
        <f>SUM(ELEC!N25)</f>
        <v>0</v>
      </c>
      <c r="T25" s="288">
        <f t="shared" si="16"/>
        <v>0</v>
      </c>
      <c r="V25" s="224" t="s">
        <v>204</v>
      </c>
      <c r="W25" s="184" t="s">
        <v>205</v>
      </c>
      <c r="X25" s="184"/>
      <c r="Y25" s="184" t="s">
        <v>206</v>
      </c>
      <c r="Z25" s="184" t="s">
        <v>207</v>
      </c>
      <c r="AA25" s="184" t="s">
        <v>208</v>
      </c>
      <c r="AB25" s="184" t="s">
        <v>209</v>
      </c>
      <c r="AC25" s="162" t="s">
        <v>210</v>
      </c>
    </row>
    <row r="26" spans="1:32" ht="20.100000000000001" customHeight="1">
      <c r="A26" s="155">
        <f>ELEC!C26</f>
        <v>44918</v>
      </c>
      <c r="B26" s="78">
        <f t="shared" si="6"/>
        <v>1126764</v>
      </c>
      <c r="C26" s="78">
        <f t="shared" si="0"/>
        <v>0</v>
      </c>
      <c r="D26" s="264">
        <f t="shared" si="13"/>
        <v>0</v>
      </c>
      <c r="E26" s="264">
        <f t="shared" si="14"/>
        <v>1126764</v>
      </c>
      <c r="F26" s="78">
        <f t="shared" si="15"/>
        <v>161640</v>
      </c>
      <c r="G26" s="152">
        <f t="shared" si="1"/>
        <v>0</v>
      </c>
      <c r="H26" s="78">
        <f t="shared" si="7"/>
        <v>563190</v>
      </c>
      <c r="I26" s="153">
        <f t="shared" si="2"/>
        <v>0</v>
      </c>
      <c r="J26" s="78">
        <f t="shared" si="8"/>
        <v>401934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401934</v>
      </c>
      <c r="X26" s="163" t="s">
        <v>190</v>
      </c>
      <c r="Y26" s="163">
        <v>80</v>
      </c>
      <c r="Z26" s="163">
        <v>1</v>
      </c>
      <c r="AA26" s="185">
        <f>(W26-V26)*Z26</f>
        <v>0</v>
      </c>
      <c r="AB26" s="185">
        <f>AA26*Y26</f>
        <v>0</v>
      </c>
      <c r="AC26" s="225">
        <f>AC9</f>
        <v>1033333</v>
      </c>
      <c r="AD26" s="424" t="e">
        <f>SUM(K36)</f>
        <v>#DIV/0!</v>
      </c>
    </row>
    <row r="27" spans="1:32" ht="20.100000000000001" customHeight="1">
      <c r="A27" s="155">
        <f>ELEC!C27</f>
        <v>44919</v>
      </c>
      <c r="B27" s="78">
        <f t="shared" si="6"/>
        <v>1126764</v>
      </c>
      <c r="C27" s="78">
        <f t="shared" si="0"/>
        <v>0</v>
      </c>
      <c r="D27" s="264">
        <f t="shared" si="13"/>
        <v>0</v>
      </c>
      <c r="E27" s="264">
        <f t="shared" si="14"/>
        <v>1126764</v>
      </c>
      <c r="F27" s="78">
        <f t="shared" si="15"/>
        <v>161640</v>
      </c>
      <c r="G27" s="152">
        <f t="shared" si="1"/>
        <v>0</v>
      </c>
      <c r="H27" s="78">
        <f t="shared" si="7"/>
        <v>563190</v>
      </c>
      <c r="I27" s="153">
        <f t="shared" si="2"/>
        <v>0</v>
      </c>
      <c r="J27" s="78">
        <f t="shared" si="8"/>
        <v>401934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563190</v>
      </c>
      <c r="X27" s="163" t="s">
        <v>217</v>
      </c>
      <c r="Y27" s="163">
        <v>112</v>
      </c>
      <c r="Z27" s="163">
        <v>1</v>
      </c>
      <c r="AA27" s="185">
        <f>(W27-V27)*Z27</f>
        <v>0</v>
      </c>
      <c r="AB27" s="185">
        <f>SUM(AA27*Y27)</f>
        <v>0</v>
      </c>
      <c r="AC27" s="225">
        <f>AC10</f>
        <v>6200000</v>
      </c>
      <c r="AD27" s="424" t="e">
        <f>SUM(I36)</f>
        <v>#DIV/0!</v>
      </c>
    </row>
    <row r="28" spans="1:32" ht="20.100000000000001" customHeight="1">
      <c r="A28" s="155">
        <f>ELEC!C28</f>
        <v>44920</v>
      </c>
      <c r="B28" s="78">
        <f t="shared" si="6"/>
        <v>1126764</v>
      </c>
      <c r="C28" s="78">
        <f t="shared" si="0"/>
        <v>0</v>
      </c>
      <c r="D28" s="264">
        <f t="shared" si="13"/>
        <v>0</v>
      </c>
      <c r="E28" s="264">
        <f t="shared" si="14"/>
        <v>1126764</v>
      </c>
      <c r="F28" s="78">
        <f t="shared" si="15"/>
        <v>161640</v>
      </c>
      <c r="G28" s="152">
        <f t="shared" si="1"/>
        <v>0</v>
      </c>
      <c r="H28" s="78">
        <f t="shared" si="7"/>
        <v>563190</v>
      </c>
      <c r="I28" s="153">
        <f t="shared" si="2"/>
        <v>0</v>
      </c>
      <c r="J28" s="78">
        <f t="shared" si="8"/>
        <v>401934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161640</v>
      </c>
      <c r="X28" s="163" t="s">
        <v>189</v>
      </c>
      <c r="Y28" s="163">
        <v>320</v>
      </c>
      <c r="Z28" s="163">
        <v>1</v>
      </c>
      <c r="AA28" s="185">
        <f>(W28-V28)*Z28</f>
        <v>0</v>
      </c>
      <c r="AB28" s="185">
        <f>SUM(AA28*Y28)</f>
        <v>0</v>
      </c>
      <c r="AC28" s="225">
        <f>AC11</f>
        <v>1000</v>
      </c>
      <c r="AD28" s="424">
        <f>SUM(G36)</f>
        <v>0</v>
      </c>
      <c r="AE28" s="39">
        <f>SUM(AB28*5%)</f>
        <v>0</v>
      </c>
      <c r="AF28" s="79">
        <f>SUM(AE28/7)*31</f>
        <v>0</v>
      </c>
    </row>
    <row r="29" spans="1:32" ht="20.100000000000001" customHeight="1">
      <c r="A29" s="155">
        <f>ELEC!C29</f>
        <v>44921</v>
      </c>
      <c r="B29" s="78">
        <f t="shared" si="6"/>
        <v>1126764</v>
      </c>
      <c r="C29" s="78">
        <f t="shared" si="0"/>
        <v>0</v>
      </c>
      <c r="D29" s="264">
        <f t="shared" si="13"/>
        <v>0</v>
      </c>
      <c r="E29" s="264">
        <f t="shared" si="14"/>
        <v>1126764</v>
      </c>
      <c r="F29" s="78">
        <f t="shared" si="15"/>
        <v>161640</v>
      </c>
      <c r="G29" s="152">
        <f t="shared" si="1"/>
        <v>0</v>
      </c>
      <c r="H29" s="78">
        <f t="shared" si="7"/>
        <v>563190</v>
      </c>
      <c r="I29" s="153">
        <f t="shared" si="2"/>
        <v>0</v>
      </c>
      <c r="J29" s="78">
        <f t="shared" si="8"/>
        <v>401934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0</v>
      </c>
      <c r="AB29" s="185">
        <f>SUM(AB26:AB28)</f>
        <v>0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1126764</v>
      </c>
      <c r="C30" s="78">
        <f t="shared" si="0"/>
        <v>0</v>
      </c>
      <c r="D30" s="264">
        <f t="shared" si="13"/>
        <v>0</v>
      </c>
      <c r="E30" s="264">
        <f t="shared" si="14"/>
        <v>1126764</v>
      </c>
      <c r="F30" s="78">
        <f t="shared" si="15"/>
        <v>161640</v>
      </c>
      <c r="G30" s="152">
        <f t="shared" si="1"/>
        <v>0</v>
      </c>
      <c r="H30" s="78">
        <f t="shared" si="7"/>
        <v>563190</v>
      </c>
      <c r="I30" s="153">
        <f t="shared" si="2"/>
        <v>0</v>
      </c>
      <c r="J30" s="78">
        <f t="shared" si="8"/>
        <v>401934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211</v>
      </c>
      <c r="W30" s="378">
        <f>'General information '!F36</f>
        <v>0</v>
      </c>
      <c r="Y30" s="203" t="s">
        <v>212</v>
      </c>
      <c r="Z30" s="3"/>
      <c r="AA30" s="185"/>
      <c r="AB30" s="185">
        <f>AB29+AC29</f>
        <v>7234333</v>
      </c>
      <c r="AC30" s="225"/>
    </row>
    <row r="31" spans="1:32" ht="20.100000000000001" customHeight="1">
      <c r="A31" s="155">
        <f>ELEC!C31</f>
        <v>44923</v>
      </c>
      <c r="B31" s="78">
        <f t="shared" si="6"/>
        <v>1126764</v>
      </c>
      <c r="C31" s="78">
        <f>SUM(B31-B30)</f>
        <v>0</v>
      </c>
      <c r="D31" s="264">
        <f t="shared" si="13"/>
        <v>0</v>
      </c>
      <c r="E31" s="264">
        <f t="shared" si="14"/>
        <v>1126764</v>
      </c>
      <c r="F31" s="78">
        <f t="shared" si="15"/>
        <v>161640</v>
      </c>
      <c r="G31" s="152">
        <f>F31-F30</f>
        <v>0</v>
      </c>
      <c r="H31" s="78">
        <f t="shared" si="7"/>
        <v>563190</v>
      </c>
      <c r="I31" s="153">
        <f>H31-H30</f>
        <v>0</v>
      </c>
      <c r="J31" s="78">
        <f t="shared" si="8"/>
        <v>401934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1126764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1126764</v>
      </c>
      <c r="F32" s="78">
        <f t="shared" si="15"/>
        <v>161640</v>
      </c>
      <c r="G32" s="152">
        <f t="shared" ref="G32:G34" si="22">F32-F31</f>
        <v>0</v>
      </c>
      <c r="H32" s="78">
        <f t="shared" si="7"/>
        <v>563190</v>
      </c>
      <c r="I32" s="153">
        <f t="shared" ref="I32:I34" si="23">H32-H31</f>
        <v>0</v>
      </c>
      <c r="J32" s="78">
        <f t="shared" si="8"/>
        <v>401934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213</v>
      </c>
      <c r="W32" s="360">
        <f>'Utility Cost '!B18</f>
        <v>65</v>
      </c>
      <c r="X32" s="207">
        <f>SUM(W32/A35)</f>
        <v>65</v>
      </c>
      <c r="Y32" s="231">
        <f>SUM(X32/1)</f>
        <v>65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1126764</v>
      </c>
      <c r="C33" s="78">
        <f t="shared" si="20"/>
        <v>0</v>
      </c>
      <c r="D33" s="264">
        <f t="shared" si="21"/>
        <v>0</v>
      </c>
      <c r="E33" s="264">
        <f t="shared" si="14"/>
        <v>1126764</v>
      </c>
      <c r="F33" s="78">
        <f t="shared" si="15"/>
        <v>161640</v>
      </c>
      <c r="G33" s="152">
        <f t="shared" si="22"/>
        <v>0</v>
      </c>
      <c r="H33" s="78">
        <f t="shared" si="7"/>
        <v>563190</v>
      </c>
      <c r="I33" s="153">
        <f t="shared" si="23"/>
        <v>0</v>
      </c>
      <c r="J33" s="78">
        <f t="shared" si="8"/>
        <v>401934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214</v>
      </c>
      <c r="W33" s="360"/>
      <c r="X33" s="207"/>
      <c r="Y33" s="231"/>
      <c r="Z33" s="3" t="s">
        <v>215</v>
      </c>
      <c r="AA33" s="501">
        <v>0.11</v>
      </c>
      <c r="AB33" s="178">
        <f>AB30*AA33</f>
        <v>795776.63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1126764</v>
      </c>
      <c r="C34" s="78">
        <f t="shared" si="20"/>
        <v>0</v>
      </c>
      <c r="D34" s="264">
        <f t="shared" si="21"/>
        <v>0</v>
      </c>
      <c r="E34" s="264">
        <f t="shared" si="14"/>
        <v>1126764</v>
      </c>
      <c r="F34" s="78">
        <f t="shared" si="15"/>
        <v>161640</v>
      </c>
      <c r="G34" s="152">
        <f t="shared" si="22"/>
        <v>0</v>
      </c>
      <c r="H34" s="78">
        <f t="shared" si="7"/>
        <v>563190</v>
      </c>
      <c r="I34" s="153">
        <f t="shared" si="23"/>
        <v>0</v>
      </c>
      <c r="J34" s="78">
        <f t="shared" si="8"/>
        <v>401934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216</v>
      </c>
      <c r="Z34" s="3"/>
      <c r="AA34" s="3"/>
      <c r="AB34" s="445">
        <f>AB30+AB33</f>
        <v>8030109.6299999999</v>
      </c>
      <c r="AC34" s="225">
        <f>SUM(AC30)</f>
        <v>0</v>
      </c>
    </row>
    <row r="35" spans="1:30" ht="15.75" thickBot="1">
      <c r="A35" s="442">
        <f>A37-COUNTIF(C4:C33,0)</f>
        <v>1</v>
      </c>
      <c r="C35" s="164">
        <f>SUM(C4:C34)/A35</f>
        <v>0</v>
      </c>
      <c r="D35" s="164"/>
      <c r="E35" s="164"/>
      <c r="F35" s="487"/>
      <c r="G35" s="487">
        <f>SUM(G4:G34)/A35</f>
        <v>0</v>
      </c>
      <c r="H35" s="164"/>
      <c r="I35" s="164">
        <f>SUM(I4:I34)/A35</f>
        <v>0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 t="e">
        <f>SUM(G36:K36)</f>
        <v>#DIV/0!</v>
      </c>
      <c r="G36" s="210">
        <f>IF(C35&gt;0,G35/C35,0)</f>
        <v>0</v>
      </c>
      <c r="H36" s="199"/>
      <c r="I36" s="210" t="e">
        <f>SUM(I35/C35)</f>
        <v>#DIV/0!</v>
      </c>
      <c r="J36" s="199"/>
      <c r="K36" s="210" t="e">
        <f>SUM(K35/C35)</f>
        <v>#DIV/0!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218</v>
      </c>
      <c r="AB36" s="464">
        <f>AB30/1507.5</f>
        <v>4798.8941956882254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4798.8941956882254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54"/>
      <c r="AC45" s="554"/>
      <c r="AD45" s="471"/>
    </row>
    <row r="46" spans="1:30">
      <c r="V46" s="554"/>
      <c r="W46" s="554"/>
      <c r="X46" s="554"/>
      <c r="Y46" s="554"/>
      <c r="Z46" s="226"/>
      <c r="AA46" s="226"/>
      <c r="AB46" s="554"/>
      <c r="AC46" s="554"/>
      <c r="AD46" s="471"/>
    </row>
    <row r="47" spans="1:30">
      <c r="V47" s="554"/>
      <c r="W47" s="554"/>
      <c r="X47" s="554"/>
      <c r="Y47" s="554"/>
      <c r="Z47" s="554"/>
      <c r="AA47" s="554"/>
      <c r="AB47" s="554"/>
      <c r="AC47" s="554"/>
      <c r="AD47" s="471"/>
    </row>
    <row r="48" spans="1:30">
      <c r="V48" s="555"/>
      <c r="W48" s="555"/>
      <c r="X48" s="556"/>
      <c r="Y48" s="556"/>
      <c r="Z48" s="556"/>
      <c r="AA48" s="1"/>
      <c r="AB48" s="554"/>
      <c r="AC48" s="554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76" t="s">
        <v>219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8"/>
    </row>
    <row r="2" spans="1:15" ht="15.75" customHeight="1" thickBot="1">
      <c r="A2" s="579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1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220</v>
      </c>
      <c r="C4" s="144" t="s">
        <v>221</v>
      </c>
      <c r="D4" s="141" t="s">
        <v>222</v>
      </c>
      <c r="E4" s="145" t="s">
        <v>223</v>
      </c>
      <c r="F4" s="423" t="s">
        <v>224</v>
      </c>
      <c r="G4" s="142" t="s">
        <v>225</v>
      </c>
      <c r="H4" s="146" t="s">
        <v>226</v>
      </c>
      <c r="I4" s="143" t="s">
        <v>227</v>
      </c>
      <c r="J4" s="144" t="s">
        <v>228</v>
      </c>
      <c r="K4" s="142" t="s">
        <v>229</v>
      </c>
      <c r="L4" s="146" t="s">
        <v>230</v>
      </c>
      <c r="M4" s="144" t="s">
        <v>231</v>
      </c>
      <c r="N4" s="148" t="s">
        <v>232</v>
      </c>
      <c r="O4" s="141" t="s">
        <v>233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13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>(C14+B14)/2</f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/>
      <c r="C15" s="36"/>
      <c r="D15" s="25"/>
      <c r="E15" s="193"/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/>
      <c r="C16" s="36"/>
      <c r="D16" s="25">
        <f t="shared" ref="D16:D21" si="5">(C16+B16)/2</f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/>
      <c r="C17" s="36"/>
      <c r="D17" s="25">
        <f t="shared" si="5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/>
      <c r="C18" s="36"/>
      <c r="D18" s="25">
        <f t="shared" si="5"/>
        <v>0</v>
      </c>
      <c r="E18" s="193"/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/>
      <c r="C19" s="36"/>
      <c r="D19" s="25">
        <f t="shared" si="5"/>
        <v>0</v>
      </c>
      <c r="E19" s="193"/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>(C20+B20)/2</f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si="5"/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/>
      <c r="C23" s="36"/>
      <c r="D23" s="25">
        <f t="shared" ref="D23:D35" si="6">(C23+B23)/2</f>
        <v>0</v>
      </c>
      <c r="E23" s="193"/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/>
      <c r="C24" s="36"/>
      <c r="D24" s="25">
        <f t="shared" si="6"/>
        <v>0</v>
      </c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/>
      <c r="C25" s="36"/>
      <c r="D25" s="25">
        <f t="shared" si="6"/>
        <v>0</v>
      </c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/>
      <c r="C26" s="36"/>
      <c r="D26" s="25">
        <f t="shared" si="6"/>
        <v>0</v>
      </c>
      <c r="E26" s="193"/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112</v>
      </c>
      <c r="F37" s="198"/>
    </row>
    <row r="40" spans="1:15">
      <c r="I40" s="350" t="s">
        <v>234</v>
      </c>
    </row>
  </sheetData>
  <mergeCells count="1">
    <mergeCell ref="A1:O2"/>
  </mergeCells>
  <hyperlinks>
    <hyperlink ref="I40" r:id="rId1" xr:uid="{00000000-0004-0000-09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103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2462</v>
      </c>
      <c r="E6" s="3">
        <f>ELEC!Q25</f>
        <v>0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5"/>
      <c r="B1" s="582" t="s">
        <v>244</v>
      </c>
      <c r="C1" s="582" t="s">
        <v>245</v>
      </c>
      <c r="D1" s="587" t="s">
        <v>246</v>
      </c>
      <c r="E1" s="587" t="s">
        <v>247</v>
      </c>
      <c r="F1" s="588" t="s">
        <v>248</v>
      </c>
      <c r="G1" s="589" t="s">
        <v>249</v>
      </c>
      <c r="H1" s="590" t="s">
        <v>250</v>
      </c>
      <c r="I1" s="591" t="s">
        <v>251</v>
      </c>
      <c r="J1" s="590" t="s">
        <v>252</v>
      </c>
      <c r="K1" s="584" t="s">
        <v>253</v>
      </c>
      <c r="L1" s="584" t="s">
        <v>254</v>
      </c>
      <c r="M1" s="584" t="s">
        <v>255</v>
      </c>
      <c r="N1" s="584" t="s">
        <v>256</v>
      </c>
    </row>
    <row r="2" spans="1:14">
      <c r="A2" s="586"/>
      <c r="B2" s="583"/>
      <c r="C2" s="583"/>
      <c r="D2" s="587"/>
      <c r="E2" s="587"/>
      <c r="F2" s="588"/>
      <c r="G2" s="589"/>
      <c r="H2" s="590"/>
      <c r="I2" s="592"/>
      <c r="J2" s="590"/>
      <c r="K2" s="584"/>
      <c r="L2" s="584"/>
      <c r="M2" s="584"/>
      <c r="N2" s="584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0</v>
      </c>
      <c r="C15" s="74">
        <f>'B5'!AH15</f>
        <v>0</v>
      </c>
      <c r="D15" s="74">
        <f>GEN!AI13</f>
        <v>0</v>
      </c>
      <c r="E15" s="223">
        <f t="shared" si="0"/>
        <v>0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0</v>
      </c>
      <c r="J15" s="77">
        <f>ELEC!R14</f>
        <v>0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0</v>
      </c>
      <c r="C16" s="74">
        <f>'B5'!AH16</f>
        <v>0</v>
      </c>
      <c r="D16" s="74">
        <f>GEN!AI14</f>
        <v>0</v>
      </c>
      <c r="E16" s="223">
        <f t="shared" si="0"/>
        <v>0</v>
      </c>
      <c r="F16" s="73">
        <f>WATER!L16</f>
        <v>0</v>
      </c>
      <c r="G16" s="76">
        <f>WATER!BG16</f>
        <v>0</v>
      </c>
      <c r="H16" s="77">
        <f>ELEC!AF15</f>
        <v>0</v>
      </c>
      <c r="I16" s="77">
        <f>ELEC!Q15</f>
        <v>0</v>
      </c>
      <c r="J16" s="77">
        <f>ELEC!R15</f>
        <v>0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0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0</v>
      </c>
      <c r="C19" s="74">
        <f>'B5'!AH19</f>
        <v>0</v>
      </c>
      <c r="D19" s="74">
        <f>GEN!AI17</f>
        <v>0</v>
      </c>
      <c r="E19" s="223">
        <f t="shared" si="0"/>
        <v>0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0</v>
      </c>
      <c r="J19" s="77">
        <f>ELEC!R18</f>
        <v>0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0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0</v>
      </c>
      <c r="C22" s="74">
        <f>'B5'!AH22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0</v>
      </c>
      <c r="C23" s="74">
        <f>'B5'!AH23</f>
        <v>0</v>
      </c>
      <c r="D23" s="74">
        <f>GEN!AI21</f>
        <v>0</v>
      </c>
      <c r="E23" s="223">
        <f t="shared" si="0"/>
        <v>0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0</v>
      </c>
      <c r="J23" s="77">
        <f>ELEC!R22</f>
        <v>0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0</v>
      </c>
      <c r="C26" s="74">
        <f>'B5'!AH26</f>
        <v>0</v>
      </c>
      <c r="D26" s="74">
        <f>GEN!AI24</f>
        <v>0</v>
      </c>
      <c r="E26" s="223">
        <f t="shared" si="0"/>
        <v>0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0</v>
      </c>
      <c r="J26" s="77">
        <f>ELEC!R25</f>
        <v>0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0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-366</v>
      </c>
      <c r="C32" s="74">
        <f>'B5'!AH32</f>
        <v>0</v>
      </c>
      <c r="D32" s="74">
        <f>GEN!AI30</f>
        <v>0</v>
      </c>
      <c r="E32" s="75">
        <f t="shared" si="0"/>
        <v>-366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54" t="s">
        <v>257</v>
      </c>
      <c r="U3" s="554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183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-5</v>
      </c>
      <c r="E33">
        <f t="shared" si="0"/>
        <v>-450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103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8" t="s">
        <v>289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</row>
    <row r="2" spans="1:28" ht="19.5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</row>
    <row r="3" spans="1:28" ht="19.5">
      <c r="A3" s="619" t="s">
        <v>290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19" t="s">
        <v>291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</row>
    <row r="6" spans="1:28" ht="15.75" thickBot="1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</row>
    <row r="7" spans="1:28" ht="15.75" thickBot="1">
      <c r="A7" s="622" t="s">
        <v>292</v>
      </c>
      <c r="B7" s="623"/>
      <c r="C7" s="624" t="s">
        <v>293</v>
      </c>
      <c r="D7" s="625"/>
      <c r="E7" s="625"/>
      <c r="F7" s="625"/>
      <c r="G7" s="625"/>
      <c r="H7" s="625"/>
      <c r="I7" s="625"/>
      <c r="J7" s="625"/>
      <c r="K7" s="626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0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0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0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0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0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0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0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0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0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0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0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0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0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0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0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0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0</v>
      </c>
      <c r="K58" s="239">
        <f>'General information '!C15</f>
        <v>0</v>
      </c>
      <c r="L58" s="115">
        <f t="shared" si="6"/>
        <v>-18.3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0</v>
      </c>
      <c r="W58" s="239">
        <f>'General information '!C15</f>
        <v>0</v>
      </c>
      <c r="X58" s="115">
        <f t="shared" si="5"/>
        <v>-18.3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0</v>
      </c>
      <c r="K61" s="239">
        <f>'General information '!C18</f>
        <v>0</v>
      </c>
      <c r="L61" s="115">
        <f t="shared" si="6"/>
        <v>-18.3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0</v>
      </c>
      <c r="W61" s="239">
        <f>'General information '!C18</f>
        <v>0</v>
      </c>
      <c r="X61" s="115">
        <f t="shared" si="5"/>
        <v>-18.3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0</v>
      </c>
      <c r="K62" s="239">
        <f>'General information '!C19</f>
        <v>0</v>
      </c>
      <c r="L62" s="115">
        <f t="shared" si="6"/>
        <v>-18.3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0</v>
      </c>
      <c r="W62" s="239">
        <f>'General information '!C19</f>
        <v>0</v>
      </c>
      <c r="X62" s="115">
        <f t="shared" si="5"/>
        <v>-18.3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0</v>
      </c>
      <c r="K65" s="239">
        <f>'General information '!C22</f>
        <v>0</v>
      </c>
      <c r="L65" s="115">
        <f t="shared" si="6"/>
        <v>-18.3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0</v>
      </c>
      <c r="W65" s="239">
        <f>'General information '!C22</f>
        <v>0</v>
      </c>
      <c r="X65" s="115">
        <f t="shared" si="5"/>
        <v>-18.3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0</v>
      </c>
      <c r="K66" s="239">
        <f>'General information '!C23</f>
        <v>0</v>
      </c>
      <c r="L66" s="115">
        <f t="shared" si="6"/>
        <v>-18.3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0</v>
      </c>
      <c r="W66" s="239">
        <f>'General information '!C23</f>
        <v>0</v>
      </c>
      <c r="X66" s="115">
        <f t="shared" si="5"/>
        <v>-18.3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0</v>
      </c>
      <c r="K69" s="239">
        <f>'General information '!C26</f>
        <v>0</v>
      </c>
      <c r="L69" s="115">
        <f t="shared" si="6"/>
        <v>-18.3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0</v>
      </c>
      <c r="W69" s="239">
        <f>'General information '!C26</f>
        <v>0</v>
      </c>
      <c r="X69" s="115">
        <f t="shared" si="5"/>
        <v>-18.3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-439.50000000000017</v>
      </c>
      <c r="K81" s="115">
        <f>SUMIF(L48:L78,"&gt;0")</f>
        <v>2.4999999999999964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-457.80000000000018</v>
      </c>
      <c r="W81" s="115">
        <f>SUMIF(X48:X78,"&gt;0")</f>
        <v>2.4999999999999964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7" t="s">
        <v>303</v>
      </c>
      <c r="O84" s="627" t="s">
        <v>304</v>
      </c>
      <c r="P84" s="130"/>
      <c r="T84" s="130"/>
      <c r="X84" s="130"/>
    </row>
    <row r="85" spans="1:24" ht="20.25" thickBot="1">
      <c r="D85" s="130"/>
      <c r="I85" s="629" t="s">
        <v>312</v>
      </c>
      <c r="J85" s="630"/>
      <c r="K85" s="630"/>
      <c r="L85" s="630"/>
      <c r="N85" s="628"/>
      <c r="O85" s="628"/>
      <c r="P85" s="130"/>
      <c r="T85" s="130"/>
      <c r="X85" s="130"/>
    </row>
    <row r="86" spans="1:24" ht="18.75" thickBot="1">
      <c r="D86" s="130"/>
      <c r="I86" s="631" t="s">
        <v>313</v>
      </c>
      <c r="J86" s="631"/>
      <c r="K86" s="631"/>
      <c r="L86" s="631"/>
      <c r="N86" s="136">
        <f>B43+F43+J43+N43+R43+V43+B81+F81+J81+N81+R81+V81</f>
        <v>-2700.7000000000007</v>
      </c>
      <c r="O86" s="136">
        <f>C43+G43+K43+O43+S43+W43+C81+G81+K81+O81+S81+W81</f>
        <v>698.1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1" activePane="topRight" state="frozen"/>
      <selection pane="topRight" activeCell="F19" sqref="F19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8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290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1</v>
      </c>
      <c r="C8" s="417">
        <f>SUM(tanks!AU37)</f>
        <v>0</v>
      </c>
      <c r="D8" s="181">
        <f>SUM(B8*C8)*D4</f>
        <v>0</v>
      </c>
      <c r="E8" s="182">
        <f>SUM(D8/D4/F4)</f>
        <v>0</v>
      </c>
      <c r="F8" s="182">
        <f>SUM(E8*F4)</f>
        <v>0</v>
      </c>
      <c r="G8" s="174">
        <f>E8*$G$4</f>
        <v>0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0</v>
      </c>
      <c r="C10" s="171"/>
      <c r="D10" s="173">
        <f>'EDl log'!AB30</f>
        <v>7234333</v>
      </c>
      <c r="E10" s="172">
        <f>SUM(D10/D4/F4)</f>
        <v>154.80303857058792</v>
      </c>
      <c r="F10" s="172">
        <f>SUM(E10*F4)</f>
        <v>4798.8941956882254</v>
      </c>
      <c r="G10" s="425">
        <f>E10*$G$4</f>
        <v>1238.4243085647033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419.31916760284594</v>
      </c>
      <c r="F12" s="170">
        <f>SUM(F6:F10)</f>
        <v>12998.894195688226</v>
      </c>
      <c r="G12" s="169">
        <f>SUM(G6:G10)</f>
        <v>9438.4243085647031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2.4999999999999964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-70690.475691435291</v>
      </c>
      <c r="I14" s="362">
        <f>SUM(G12-I12)</f>
        <v>-41805.495411865406</v>
      </c>
    </row>
    <row r="15" spans="1:11">
      <c r="A15" s="382" t="s">
        <v>336</v>
      </c>
      <c r="B15" s="93">
        <f>'Degree Days 2022'!J81</f>
        <v>-439.50000000000017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112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211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65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-137.66666666666666</v>
      </c>
    </row>
    <row r="19" spans="1:6">
      <c r="A19" s="434" t="s">
        <v>339</v>
      </c>
      <c r="B19" s="436">
        <f>GEN!AL34</f>
        <v>6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10.833333333333334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103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6ECFC0-BA1A-439B-A492-D97EDCB3E312}"/>
</file>

<file path=customXml/itemProps2.xml><?xml version="1.0" encoding="utf-8"?>
<ds:datastoreItem xmlns:ds="http://schemas.openxmlformats.org/officeDocument/2006/customXml" ds:itemID="{164A1211-60D8-4124-8B70-61D774B73CB5}"/>
</file>

<file path=customXml/itemProps3.xml><?xml version="1.0" encoding="utf-8"?>
<ds:datastoreItem xmlns:ds="http://schemas.openxmlformats.org/officeDocument/2006/customXml" ds:itemID="{0681EA65-C721-4189-A818-9E5C2E92F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2022-12-09T08:12:23Z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</Properties>
</file>