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.george\Documents\Old docs\HEP (EEG)\2022\10. Oct\"/>
    </mc:Choice>
  </mc:AlternateContent>
  <bookViews>
    <workbookView xWindow="-60" yWindow="-60" windowWidth="15480" windowHeight="11640" tabRatio="612"/>
  </bookViews>
  <sheets>
    <sheet name="TOTAL" sheetId="5" r:id="rId1"/>
    <sheet name="Submetering " sheetId="4" r:id="rId2"/>
    <sheet name="13 - Electrical Readings" sheetId="1" r:id="rId3"/>
    <sheet name="9 - Water Readings" sheetId="3" r:id="rId4"/>
    <sheet name="LPG" sheetId="6" r:id="rId5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8" i="5" l="1"/>
  <c r="K29" i="5"/>
  <c r="K30" i="5"/>
  <c r="K31" i="5"/>
  <c r="K32" i="5"/>
  <c r="J28" i="5"/>
  <c r="J29" i="5"/>
  <c r="J30" i="5"/>
  <c r="J31" i="5"/>
  <c r="J32" i="5"/>
  <c r="I29" i="5"/>
  <c r="I30" i="5"/>
  <c r="I31" i="5"/>
  <c r="I32" i="5"/>
  <c r="D50" i="1" l="1"/>
  <c r="E50" i="1"/>
  <c r="F50" i="1"/>
  <c r="G50" i="1"/>
  <c r="C50" i="1"/>
  <c r="J50" i="1"/>
  <c r="K50" i="1"/>
  <c r="L50" i="1"/>
  <c r="M50" i="1"/>
  <c r="N50" i="1"/>
  <c r="O50" i="1"/>
  <c r="P50" i="1"/>
  <c r="I50" i="1"/>
  <c r="E48" i="6"/>
  <c r="D46" i="6"/>
  <c r="C46" i="6"/>
  <c r="E46" i="1"/>
  <c r="F46" i="1"/>
  <c r="G46" i="1"/>
  <c r="D46" i="1"/>
  <c r="C46" i="1"/>
  <c r="J46" i="1"/>
  <c r="K46" i="1"/>
  <c r="L46" i="1"/>
  <c r="M46" i="1"/>
  <c r="N46" i="1"/>
  <c r="O46" i="1"/>
  <c r="P46" i="1"/>
  <c r="I46" i="1"/>
  <c r="H46" i="3"/>
  <c r="I46" i="3"/>
  <c r="J46" i="3"/>
  <c r="K46" i="3"/>
  <c r="L46" i="3"/>
  <c r="G46" i="3"/>
  <c r="D46" i="3"/>
  <c r="E46" i="3"/>
  <c r="F46" i="3"/>
  <c r="C46" i="3"/>
  <c r="D44" i="6"/>
  <c r="C44" i="6"/>
  <c r="H44" i="3"/>
  <c r="I44" i="3"/>
  <c r="J44" i="3"/>
  <c r="K44" i="3"/>
  <c r="L44" i="3"/>
  <c r="G44" i="3"/>
  <c r="D28" i="3"/>
  <c r="E28" i="3"/>
  <c r="D30" i="3"/>
  <c r="E30" i="3"/>
  <c r="D32" i="3"/>
  <c r="E32" i="3"/>
  <c r="D34" i="3"/>
  <c r="E34" i="3"/>
  <c r="E36" i="3"/>
  <c r="D36" i="3"/>
  <c r="D38" i="3"/>
  <c r="E38" i="3"/>
  <c r="D40" i="3"/>
  <c r="E40" i="3"/>
  <c r="D42" i="3"/>
  <c r="E42" i="3"/>
  <c r="D44" i="3"/>
  <c r="E44" i="3"/>
  <c r="C44" i="3"/>
  <c r="C42" i="3"/>
  <c r="C40" i="3"/>
  <c r="C38" i="3"/>
  <c r="C36" i="3"/>
  <c r="C34" i="3"/>
  <c r="C32" i="3"/>
  <c r="J44" i="1"/>
  <c r="K44" i="1"/>
  <c r="Q44" i="1" s="1"/>
  <c r="L44" i="1"/>
  <c r="M44" i="1"/>
  <c r="N44" i="1"/>
  <c r="O44" i="1"/>
  <c r="P44" i="1"/>
  <c r="I44" i="1"/>
  <c r="D44" i="1"/>
  <c r="E44" i="1"/>
  <c r="F44" i="1"/>
  <c r="G44" i="1"/>
  <c r="C44" i="1"/>
  <c r="D42" i="6"/>
  <c r="C42" i="6"/>
  <c r="L42" i="3"/>
  <c r="K42" i="3"/>
  <c r="J42" i="3"/>
  <c r="I42" i="3"/>
  <c r="H42" i="3"/>
  <c r="G42" i="3"/>
  <c r="P42" i="1"/>
  <c r="O42" i="1"/>
  <c r="N42" i="1"/>
  <c r="M42" i="1"/>
  <c r="L42" i="1"/>
  <c r="K42" i="1"/>
  <c r="J42" i="1"/>
  <c r="I42" i="1"/>
  <c r="G42" i="1"/>
  <c r="F42" i="1"/>
  <c r="E42" i="1"/>
  <c r="D42" i="1"/>
  <c r="C42" i="1"/>
  <c r="D40" i="1"/>
  <c r="E40" i="1"/>
  <c r="F40" i="1"/>
  <c r="G40" i="1"/>
  <c r="C40" i="1"/>
  <c r="D40" i="6"/>
  <c r="C40" i="6"/>
  <c r="H40" i="3"/>
  <c r="I40" i="3"/>
  <c r="J40" i="3"/>
  <c r="K40" i="3"/>
  <c r="L40" i="3"/>
  <c r="G40" i="3"/>
  <c r="F40" i="3"/>
  <c r="J40" i="1"/>
  <c r="K40" i="1"/>
  <c r="L40" i="1"/>
  <c r="M40" i="1"/>
  <c r="N40" i="1"/>
  <c r="O40" i="1"/>
  <c r="P40" i="1"/>
  <c r="I40" i="1"/>
  <c r="D38" i="6"/>
  <c r="C38" i="6"/>
  <c r="J38" i="1"/>
  <c r="K38" i="1"/>
  <c r="L38" i="1"/>
  <c r="M38" i="1"/>
  <c r="N38" i="1"/>
  <c r="O38" i="1"/>
  <c r="P38" i="1"/>
  <c r="I38" i="1"/>
  <c r="H38" i="3"/>
  <c r="I38" i="3"/>
  <c r="J38" i="3"/>
  <c r="K38" i="3"/>
  <c r="L38" i="3"/>
  <c r="G38" i="3"/>
  <c r="D38" i="1"/>
  <c r="E38" i="1"/>
  <c r="F38" i="1"/>
  <c r="G38" i="1"/>
  <c r="C38" i="1"/>
  <c r="D36" i="6"/>
  <c r="C36" i="6"/>
  <c r="D34" i="6"/>
  <c r="C34" i="6"/>
  <c r="H36" i="3"/>
  <c r="I36" i="3"/>
  <c r="J36" i="3"/>
  <c r="K36" i="3"/>
  <c r="L36" i="3"/>
  <c r="G36" i="3"/>
  <c r="H34" i="3"/>
  <c r="I34" i="3"/>
  <c r="J34" i="3"/>
  <c r="K34" i="3"/>
  <c r="L34" i="3"/>
  <c r="G34" i="3"/>
  <c r="F36" i="3"/>
  <c r="F34" i="3"/>
  <c r="N34" i="3" s="1"/>
  <c r="J36" i="1"/>
  <c r="K36" i="1"/>
  <c r="L36" i="1"/>
  <c r="M36" i="1"/>
  <c r="N36" i="1"/>
  <c r="O36" i="1"/>
  <c r="P36" i="1"/>
  <c r="I36" i="1"/>
  <c r="J34" i="1"/>
  <c r="K34" i="1"/>
  <c r="L34" i="1"/>
  <c r="M34" i="1"/>
  <c r="N34" i="1"/>
  <c r="O34" i="1"/>
  <c r="P34" i="1"/>
  <c r="I34" i="1"/>
  <c r="D36" i="1"/>
  <c r="E36" i="1"/>
  <c r="F36" i="1"/>
  <c r="G36" i="1"/>
  <c r="C36" i="1"/>
  <c r="D34" i="1"/>
  <c r="E34" i="1"/>
  <c r="F34" i="1"/>
  <c r="G34" i="1"/>
  <c r="C34" i="1"/>
  <c r="D32" i="6"/>
  <c r="C32" i="6"/>
  <c r="H32" i="3"/>
  <c r="I32" i="3"/>
  <c r="J32" i="3"/>
  <c r="K32" i="3"/>
  <c r="L32" i="3"/>
  <c r="G32" i="3"/>
  <c r="J32" i="1"/>
  <c r="K32" i="1"/>
  <c r="L32" i="1"/>
  <c r="M32" i="1"/>
  <c r="N32" i="1"/>
  <c r="O32" i="1"/>
  <c r="P32" i="1"/>
  <c r="I32" i="1"/>
  <c r="D32" i="1"/>
  <c r="E32" i="1"/>
  <c r="F32" i="1"/>
  <c r="G32" i="1"/>
  <c r="C32" i="1"/>
  <c r="D30" i="6"/>
  <c r="C30" i="6"/>
  <c r="H30" i="3"/>
  <c r="I30" i="3"/>
  <c r="J30" i="3"/>
  <c r="K30" i="3"/>
  <c r="L30" i="3"/>
  <c r="G30" i="3"/>
  <c r="C30" i="3"/>
  <c r="J30" i="1"/>
  <c r="K30" i="1"/>
  <c r="L30" i="1"/>
  <c r="M30" i="1"/>
  <c r="N30" i="1"/>
  <c r="O30" i="1"/>
  <c r="P30" i="1"/>
  <c r="I30" i="1"/>
  <c r="D30" i="1"/>
  <c r="E30" i="1"/>
  <c r="F30" i="1"/>
  <c r="G30" i="1"/>
  <c r="C30" i="1"/>
  <c r="D28" i="6"/>
  <c r="C28" i="6"/>
  <c r="H28" i="3"/>
  <c r="I28" i="3"/>
  <c r="J28" i="3"/>
  <c r="K28" i="3"/>
  <c r="L28" i="3"/>
  <c r="G28" i="3"/>
  <c r="C28" i="3"/>
  <c r="J28" i="1"/>
  <c r="K28" i="1"/>
  <c r="L28" i="1"/>
  <c r="M28" i="1"/>
  <c r="N28" i="1"/>
  <c r="O28" i="1"/>
  <c r="P28" i="1"/>
  <c r="I28" i="1"/>
  <c r="D28" i="1"/>
  <c r="E28" i="1"/>
  <c r="F28" i="1"/>
  <c r="G28" i="1"/>
  <c r="C28" i="1"/>
  <c r="D26" i="6"/>
  <c r="C26" i="6"/>
  <c r="E26" i="6" s="1"/>
  <c r="L26" i="3"/>
  <c r="K26" i="3"/>
  <c r="J26" i="3"/>
  <c r="I26" i="3"/>
  <c r="H26" i="3"/>
  <c r="G26" i="3"/>
  <c r="E26" i="3"/>
  <c r="D26" i="3"/>
  <c r="C26" i="3"/>
  <c r="J26" i="1"/>
  <c r="K26" i="1"/>
  <c r="L26" i="1"/>
  <c r="M26" i="1"/>
  <c r="N26" i="1"/>
  <c r="O26" i="1"/>
  <c r="P26" i="1"/>
  <c r="D26" i="1"/>
  <c r="E26" i="1"/>
  <c r="F26" i="1"/>
  <c r="G26" i="1"/>
  <c r="I26" i="1"/>
  <c r="C26" i="1"/>
  <c r="H24" i="3"/>
  <c r="I24" i="3"/>
  <c r="J24" i="3"/>
  <c r="K24" i="3"/>
  <c r="L24" i="3"/>
  <c r="G24" i="3"/>
  <c r="D24" i="3"/>
  <c r="E24" i="3"/>
  <c r="C24" i="3"/>
  <c r="D24" i="6"/>
  <c r="C24" i="6"/>
  <c r="J24" i="1"/>
  <c r="K24" i="1"/>
  <c r="L24" i="1"/>
  <c r="M24" i="1"/>
  <c r="N24" i="1"/>
  <c r="O24" i="1"/>
  <c r="P24" i="1"/>
  <c r="I24" i="1"/>
  <c r="D24" i="1"/>
  <c r="E24" i="1"/>
  <c r="F24" i="1"/>
  <c r="G24" i="1"/>
  <c r="C24" i="1"/>
  <c r="D22" i="6"/>
  <c r="C22" i="6"/>
  <c r="H22" i="3"/>
  <c r="I22" i="3"/>
  <c r="J22" i="3"/>
  <c r="K22" i="3"/>
  <c r="L22" i="3"/>
  <c r="G22" i="3"/>
  <c r="D22" i="3"/>
  <c r="E22" i="3"/>
  <c r="C22" i="3"/>
  <c r="J22" i="1"/>
  <c r="K22" i="1"/>
  <c r="L22" i="1"/>
  <c r="M22" i="1"/>
  <c r="N22" i="1"/>
  <c r="O22" i="1"/>
  <c r="P22" i="1"/>
  <c r="I22" i="1"/>
  <c r="F22" i="1"/>
  <c r="G22" i="1"/>
  <c r="D22" i="1"/>
  <c r="E22" i="1"/>
  <c r="C22" i="1"/>
  <c r="C20" i="6"/>
  <c r="D20" i="6"/>
  <c r="D20" i="1"/>
  <c r="E20" i="1"/>
  <c r="F20" i="1"/>
  <c r="G20" i="1"/>
  <c r="C20" i="1"/>
  <c r="J20" i="1"/>
  <c r="K20" i="1"/>
  <c r="L20" i="1"/>
  <c r="M20" i="1"/>
  <c r="N20" i="1"/>
  <c r="O20" i="1"/>
  <c r="P20" i="1"/>
  <c r="I20" i="1"/>
  <c r="H20" i="3"/>
  <c r="I20" i="3"/>
  <c r="J20" i="3"/>
  <c r="K20" i="3"/>
  <c r="L20" i="3"/>
  <c r="G20" i="3"/>
  <c r="D20" i="3"/>
  <c r="E20" i="3"/>
  <c r="C20" i="3"/>
  <c r="D18" i="6"/>
  <c r="D16" i="6"/>
  <c r="C18" i="6"/>
  <c r="C16" i="6"/>
  <c r="H18" i="3"/>
  <c r="I18" i="3"/>
  <c r="J18" i="3"/>
  <c r="K18" i="3"/>
  <c r="L18" i="3"/>
  <c r="G18" i="3"/>
  <c r="H16" i="3"/>
  <c r="I16" i="3"/>
  <c r="J16" i="3"/>
  <c r="K16" i="3"/>
  <c r="L16" i="3"/>
  <c r="G16" i="3"/>
  <c r="D18" i="3"/>
  <c r="E18" i="3"/>
  <c r="C18" i="3"/>
  <c r="D16" i="3"/>
  <c r="E16" i="3"/>
  <c r="C16" i="3"/>
  <c r="J18" i="1"/>
  <c r="K18" i="1"/>
  <c r="L18" i="1"/>
  <c r="M18" i="1"/>
  <c r="N18" i="1"/>
  <c r="O18" i="1"/>
  <c r="P18" i="1"/>
  <c r="I18" i="1"/>
  <c r="P16" i="1"/>
  <c r="J16" i="1"/>
  <c r="K16" i="1"/>
  <c r="L16" i="1"/>
  <c r="M16" i="1"/>
  <c r="N16" i="1"/>
  <c r="O16" i="1"/>
  <c r="I16" i="1"/>
  <c r="D18" i="1"/>
  <c r="E18" i="1"/>
  <c r="F18" i="1"/>
  <c r="G18" i="1"/>
  <c r="C18" i="1"/>
  <c r="D16" i="1"/>
  <c r="E16" i="1"/>
  <c r="F16" i="1"/>
  <c r="G16" i="1"/>
  <c r="C16" i="1"/>
  <c r="J14" i="1"/>
  <c r="K14" i="1"/>
  <c r="L14" i="1"/>
  <c r="M14" i="1"/>
  <c r="N14" i="1"/>
  <c r="O14" i="1"/>
  <c r="P14" i="1"/>
  <c r="I14" i="1"/>
  <c r="H14" i="3"/>
  <c r="I14" i="3"/>
  <c r="J14" i="3"/>
  <c r="K14" i="3"/>
  <c r="L14" i="3"/>
  <c r="G14" i="3"/>
  <c r="E14" i="3"/>
  <c r="D14" i="3"/>
  <c r="C14" i="3"/>
  <c r="D14" i="1"/>
  <c r="E14" i="1"/>
  <c r="F14" i="1"/>
  <c r="G14" i="1"/>
  <c r="C14" i="1"/>
  <c r="D14" i="6"/>
  <c r="C14" i="6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D12" i="6"/>
  <c r="C12" i="6"/>
  <c r="D10" i="6"/>
  <c r="C10" i="6"/>
  <c r="L12" i="3"/>
  <c r="K12" i="3"/>
  <c r="J12" i="3"/>
  <c r="I12" i="3"/>
  <c r="H12" i="3"/>
  <c r="G12" i="3"/>
  <c r="E12" i="3"/>
  <c r="D12" i="3"/>
  <c r="C12" i="3"/>
  <c r="H10" i="3"/>
  <c r="I10" i="3"/>
  <c r="J10" i="3"/>
  <c r="K10" i="3"/>
  <c r="L10" i="3"/>
  <c r="G10" i="3"/>
  <c r="D10" i="3"/>
  <c r="E10" i="3"/>
  <c r="C10" i="3"/>
  <c r="P12" i="1"/>
  <c r="O12" i="1"/>
  <c r="N12" i="1"/>
  <c r="M12" i="1"/>
  <c r="L12" i="1"/>
  <c r="K12" i="1"/>
  <c r="J12" i="1"/>
  <c r="I12" i="1"/>
  <c r="G12" i="1"/>
  <c r="F12" i="1"/>
  <c r="E12" i="1"/>
  <c r="D12" i="1"/>
  <c r="C12" i="1"/>
  <c r="H12" i="1"/>
  <c r="H10" i="1"/>
  <c r="H8" i="1"/>
  <c r="J10" i="1"/>
  <c r="K10" i="1"/>
  <c r="L10" i="1"/>
  <c r="M10" i="1"/>
  <c r="N10" i="1"/>
  <c r="O10" i="1"/>
  <c r="P10" i="1"/>
  <c r="I10" i="1"/>
  <c r="D10" i="1"/>
  <c r="E10" i="1"/>
  <c r="F10" i="1"/>
  <c r="G10" i="1"/>
  <c r="C10" i="1"/>
  <c r="E68" i="6"/>
  <c r="F68" i="3"/>
  <c r="M68" i="3"/>
  <c r="N68" i="3"/>
  <c r="H68" i="1"/>
  <c r="Q68" i="1"/>
  <c r="R68" i="1"/>
  <c r="E30" i="4"/>
  <c r="E31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B32" i="5"/>
  <c r="E32" i="5"/>
  <c r="G32" i="5"/>
  <c r="E66" i="6"/>
  <c r="M66" i="3"/>
  <c r="F66" i="3"/>
  <c r="N66" i="3" s="1"/>
  <c r="Q66" i="1"/>
  <c r="H66" i="1"/>
  <c r="R66" i="1" s="1"/>
  <c r="Q64" i="1"/>
  <c r="E64" i="6"/>
  <c r="M64" i="3"/>
  <c r="F64" i="3"/>
  <c r="N64" i="3" s="1"/>
  <c r="H64" i="1"/>
  <c r="R64" i="1" s="1"/>
  <c r="E62" i="6"/>
  <c r="M62" i="3"/>
  <c r="Q62" i="1"/>
  <c r="H62" i="1"/>
  <c r="R62" i="1" s="1"/>
  <c r="E60" i="6"/>
  <c r="H60" i="1"/>
  <c r="M60" i="3"/>
  <c r="Q60" i="1"/>
  <c r="R60" i="1" s="1"/>
  <c r="E58" i="6"/>
  <c r="E56" i="6"/>
  <c r="E54" i="6"/>
  <c r="E52" i="6"/>
  <c r="E50" i="6"/>
  <c r="E46" i="6"/>
  <c r="E44" i="6"/>
  <c r="E42" i="6"/>
  <c r="Q40" i="1"/>
  <c r="Y18" i="4"/>
  <c r="E40" i="6"/>
  <c r="E38" i="6"/>
  <c r="F38" i="3"/>
  <c r="E36" i="6"/>
  <c r="E34" i="6"/>
  <c r="E32" i="6"/>
  <c r="H30" i="1"/>
  <c r="E30" i="6"/>
  <c r="E28" i="6"/>
  <c r="E24" i="6"/>
  <c r="H24" i="1"/>
  <c r="E22" i="6"/>
  <c r="X9" i="4"/>
  <c r="E20" i="6"/>
  <c r="E18" i="6"/>
  <c r="W8" i="4"/>
  <c r="G8" i="4"/>
  <c r="V5" i="4"/>
  <c r="E16" i="6"/>
  <c r="E14" i="6"/>
  <c r="E12" i="6"/>
  <c r="E10" i="6"/>
  <c r="M3" i="4"/>
  <c r="O3" i="4"/>
  <c r="E8" i="6"/>
  <c r="V3" i="4"/>
  <c r="W3" i="4"/>
  <c r="U3" i="4"/>
  <c r="F8" i="3"/>
  <c r="M8" i="3"/>
  <c r="P31" i="4"/>
  <c r="O30" i="4"/>
  <c r="G30" i="4"/>
  <c r="T27" i="4"/>
  <c r="Y13" i="4"/>
  <c r="G3" i="4"/>
  <c r="Q8" i="1"/>
  <c r="Y30" i="4"/>
  <c r="M30" i="4"/>
  <c r="I30" i="4"/>
  <c r="Z30" i="4"/>
  <c r="V30" i="4"/>
  <c r="S30" i="4"/>
  <c r="R30" i="4"/>
  <c r="X10" i="4"/>
  <c r="AC30" i="4"/>
  <c r="AB30" i="4"/>
  <c r="AA30" i="4"/>
  <c r="X30" i="4"/>
  <c r="W30" i="4"/>
  <c r="U30" i="4"/>
  <c r="T30" i="4"/>
  <c r="Q30" i="4"/>
  <c r="P30" i="4"/>
  <c r="N30" i="4"/>
  <c r="L30" i="4"/>
  <c r="K30" i="4"/>
  <c r="J30" i="4"/>
  <c r="H30" i="4"/>
  <c r="F30" i="4"/>
  <c r="O28" i="4"/>
  <c r="K28" i="4"/>
  <c r="G28" i="4"/>
  <c r="L13" i="4"/>
  <c r="M18" i="4"/>
  <c r="S18" i="4"/>
  <c r="F31" i="4"/>
  <c r="G31" i="4"/>
  <c r="H31" i="4"/>
  <c r="I31" i="4"/>
  <c r="J31" i="4"/>
  <c r="K31" i="4"/>
  <c r="L31" i="4"/>
  <c r="M31" i="4"/>
  <c r="N31" i="4"/>
  <c r="O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A3" i="4"/>
  <c r="I3" i="5" s="1"/>
  <c r="AB3" i="4"/>
  <c r="AC3" i="4"/>
  <c r="K3" i="5"/>
  <c r="AA4" i="4"/>
  <c r="I4" i="5"/>
  <c r="AB4" i="4"/>
  <c r="J4" i="5" s="1"/>
  <c r="AC4" i="4"/>
  <c r="K4" i="5"/>
  <c r="AA5" i="4"/>
  <c r="AB5" i="4"/>
  <c r="J5" i="5"/>
  <c r="AC5" i="4"/>
  <c r="K5" i="5"/>
  <c r="AA6" i="4"/>
  <c r="I6" i="5" s="1"/>
  <c r="AB6" i="4"/>
  <c r="J6" i="5" s="1"/>
  <c r="AC6" i="4"/>
  <c r="AA7" i="4"/>
  <c r="I7" i="5"/>
  <c r="AB7" i="4"/>
  <c r="J7" i="5" s="1"/>
  <c r="AC7" i="4"/>
  <c r="K7" i="5" s="1"/>
  <c r="AA8" i="4"/>
  <c r="AB8" i="4"/>
  <c r="J8" i="5"/>
  <c r="AC8" i="4"/>
  <c r="K8" i="5"/>
  <c r="AA9" i="4"/>
  <c r="I9" i="5"/>
  <c r="AB9" i="4"/>
  <c r="J9" i="5" s="1"/>
  <c r="AC9" i="4"/>
  <c r="K9" i="5"/>
  <c r="AA10" i="4"/>
  <c r="I10" i="5"/>
  <c r="AB10" i="4"/>
  <c r="AC10" i="4"/>
  <c r="AA11" i="4"/>
  <c r="I11" i="5" s="1"/>
  <c r="AB11" i="4"/>
  <c r="J11" i="5"/>
  <c r="AC11" i="4"/>
  <c r="K11" i="5"/>
  <c r="AA12" i="4"/>
  <c r="AB12" i="4"/>
  <c r="J12" i="5" s="1"/>
  <c r="AC12" i="4"/>
  <c r="K12" i="5" s="1"/>
  <c r="AA13" i="4"/>
  <c r="I13" i="5"/>
  <c r="AB13" i="4"/>
  <c r="J13" i="5"/>
  <c r="AC13" i="4"/>
  <c r="K13" i="5"/>
  <c r="AA14" i="4"/>
  <c r="I14" i="5"/>
  <c r="AB14" i="4"/>
  <c r="J14" i="5"/>
  <c r="AC14" i="4"/>
  <c r="K14" i="5"/>
  <c r="AA15" i="4"/>
  <c r="I15" i="5"/>
  <c r="AB15" i="4"/>
  <c r="J15" i="5" s="1"/>
  <c r="AC15" i="4"/>
  <c r="K15" i="5" s="1"/>
  <c r="AA16" i="4"/>
  <c r="I16" i="5"/>
  <c r="AB16" i="4"/>
  <c r="J16" i="5"/>
  <c r="AC16" i="4"/>
  <c r="K16" i="5"/>
  <c r="AA17" i="4"/>
  <c r="I17" i="5" s="1"/>
  <c r="AB17" i="4"/>
  <c r="J17" i="5"/>
  <c r="AC17" i="4"/>
  <c r="K17" i="5"/>
  <c r="AA18" i="4"/>
  <c r="I18" i="5" s="1"/>
  <c r="AB18" i="4"/>
  <c r="J18" i="5"/>
  <c r="AC18" i="4"/>
  <c r="K18" i="5"/>
  <c r="AA19" i="4"/>
  <c r="I19" i="5"/>
  <c r="AB19" i="4"/>
  <c r="J19" i="5"/>
  <c r="AC19" i="4"/>
  <c r="K19" i="5"/>
  <c r="AA20" i="4"/>
  <c r="I20" i="5" s="1"/>
  <c r="AB20" i="4"/>
  <c r="AC20" i="4"/>
  <c r="K20" i="5"/>
  <c r="AA21" i="4"/>
  <c r="I21" i="5"/>
  <c r="AB21" i="4"/>
  <c r="J21" i="5" s="1"/>
  <c r="AC21" i="4"/>
  <c r="K21" i="5"/>
  <c r="AA22" i="4"/>
  <c r="AB22" i="4"/>
  <c r="J22" i="5"/>
  <c r="AC22" i="4"/>
  <c r="K22" i="5"/>
  <c r="AA23" i="4"/>
  <c r="I23" i="5"/>
  <c r="AB23" i="4"/>
  <c r="J23" i="5"/>
  <c r="AC23" i="4"/>
  <c r="K23" i="5"/>
  <c r="AA24" i="4"/>
  <c r="I24" i="5"/>
  <c r="AB24" i="4"/>
  <c r="J24" i="5"/>
  <c r="AC24" i="4"/>
  <c r="K24" i="5"/>
  <c r="AA25" i="4"/>
  <c r="I25" i="5"/>
  <c r="AB25" i="4"/>
  <c r="J25" i="5"/>
  <c r="AC25" i="4"/>
  <c r="K25" i="5"/>
  <c r="AA26" i="4"/>
  <c r="I26" i="5"/>
  <c r="AB26" i="4"/>
  <c r="J26" i="5"/>
  <c r="AC26" i="4"/>
  <c r="AA27" i="4"/>
  <c r="I27" i="5"/>
  <c r="AB27" i="4"/>
  <c r="J27" i="5"/>
  <c r="AC27" i="4"/>
  <c r="K27" i="5"/>
  <c r="AA28" i="4"/>
  <c r="I28" i="5"/>
  <c r="AB28" i="4"/>
  <c r="AC28" i="4"/>
  <c r="AA29" i="4"/>
  <c r="AB29" i="4"/>
  <c r="AC29" i="4"/>
  <c r="AC2" i="4"/>
  <c r="K2" i="5" s="1"/>
  <c r="AB2" i="4"/>
  <c r="J2" i="5"/>
  <c r="AA2" i="4"/>
  <c r="I2" i="5"/>
  <c r="R29" i="4"/>
  <c r="W26" i="4"/>
  <c r="K23" i="4"/>
  <c r="U22" i="4"/>
  <c r="P19" i="4"/>
  <c r="I18" i="4"/>
  <c r="N17" i="4"/>
  <c r="Y16" i="4"/>
  <c r="T15" i="4"/>
  <c r="J11" i="4"/>
  <c r="P8" i="4"/>
  <c r="L8" i="4"/>
  <c r="L6" i="4"/>
  <c r="P4" i="4"/>
  <c r="E13" i="4"/>
  <c r="G12" i="4"/>
  <c r="E11" i="4"/>
  <c r="G10" i="4"/>
  <c r="E7" i="4"/>
  <c r="E5" i="4"/>
  <c r="Y12" i="4"/>
  <c r="W10" i="4"/>
  <c r="Y8" i="4"/>
  <c r="U8" i="4"/>
  <c r="X7" i="4"/>
  <c r="Y4" i="4"/>
  <c r="U4" i="4"/>
  <c r="N12" i="4"/>
  <c r="K11" i="4"/>
  <c r="N9" i="4"/>
  <c r="I8" i="4"/>
  <c r="I33" i="4" s="1"/>
  <c r="Z7" i="4"/>
  <c r="T6" i="4"/>
  <c r="Y5" i="4"/>
  <c r="Z4" i="4"/>
  <c r="K3" i="4"/>
  <c r="R25" i="4"/>
  <c r="V24" i="4"/>
  <c r="W23" i="4"/>
  <c r="X18" i="4"/>
  <c r="O16" i="4"/>
  <c r="H16" i="4"/>
  <c r="F15" i="4"/>
  <c r="S13" i="4"/>
  <c r="O11" i="4"/>
  <c r="O8" i="4"/>
  <c r="N8" i="4"/>
  <c r="M7" i="4"/>
  <c r="K7" i="4"/>
  <c r="J6" i="4"/>
  <c r="J8" i="4"/>
  <c r="H8" i="4"/>
  <c r="G6" i="4"/>
  <c r="Z12" i="4"/>
  <c r="Y24" i="4"/>
  <c r="X8" i="4"/>
  <c r="X11" i="4"/>
  <c r="V6" i="4"/>
  <c r="U6" i="4"/>
  <c r="U29" i="4"/>
  <c r="R22" i="4"/>
  <c r="S5" i="4"/>
  <c r="R5" i="4"/>
  <c r="L5" i="4"/>
  <c r="F5" i="4"/>
  <c r="I5" i="4"/>
  <c r="L3" i="4"/>
  <c r="V4" i="4"/>
  <c r="R4" i="4"/>
  <c r="R3" i="4"/>
  <c r="E29" i="4"/>
  <c r="Q18" i="4"/>
  <c r="Q17" i="4"/>
  <c r="M17" i="4"/>
  <c r="O15" i="4"/>
  <c r="H12" i="4"/>
  <c r="W27" i="4"/>
  <c r="M16" i="4"/>
  <c r="K12" i="4"/>
  <c r="P6" i="4"/>
  <c r="G13" i="4"/>
  <c r="Q9" i="4"/>
  <c r="H29" i="4"/>
  <c r="G29" i="4"/>
  <c r="P18" i="4"/>
  <c r="Z18" i="4"/>
  <c r="X13" i="4"/>
  <c r="H15" i="4"/>
  <c r="M15" i="4"/>
  <c r="F17" i="4"/>
  <c r="O17" i="4"/>
  <c r="F18" i="4"/>
  <c r="H18" i="4"/>
  <c r="K18" i="4"/>
  <c r="F19" i="4"/>
  <c r="H19" i="4"/>
  <c r="E14" i="4"/>
  <c r="K13" i="4"/>
  <c r="Y9" i="4"/>
  <c r="J12" i="4"/>
  <c r="F9" i="4"/>
  <c r="E9" i="4"/>
  <c r="G7" i="4"/>
  <c r="Y29" i="4"/>
  <c r="W28" i="4"/>
  <c r="H25" i="4"/>
  <c r="F24" i="4"/>
  <c r="Y26" i="4"/>
  <c r="U26" i="4"/>
  <c r="U24" i="4"/>
  <c r="Y22" i="4"/>
  <c r="O14" i="4"/>
  <c r="O13" i="4"/>
  <c r="O9" i="4"/>
  <c r="O7" i="4"/>
  <c r="F14" i="4"/>
  <c r="F13" i="4"/>
  <c r="G9" i="4"/>
  <c r="P5" i="4"/>
  <c r="P33" i="4" s="1"/>
  <c r="J3" i="5"/>
  <c r="J10" i="5"/>
  <c r="J20" i="5"/>
  <c r="K6" i="5"/>
  <c r="K10" i="5"/>
  <c r="K26" i="5"/>
  <c r="I5" i="5"/>
  <c r="I8" i="5"/>
  <c r="I12" i="5"/>
  <c r="I22" i="5"/>
  <c r="Q27" i="4"/>
  <c r="M27" i="4"/>
  <c r="I27" i="4"/>
  <c r="F27" i="4"/>
  <c r="E27" i="4"/>
  <c r="P24" i="4"/>
  <c r="L24" i="4"/>
  <c r="E2" i="4"/>
  <c r="R21" i="4"/>
  <c r="S21" i="4"/>
  <c r="T21" i="4"/>
  <c r="U21" i="4"/>
  <c r="V21" i="4"/>
  <c r="W21" i="4"/>
  <c r="X21" i="4"/>
  <c r="Y21" i="4"/>
  <c r="Z21" i="4"/>
  <c r="S22" i="4"/>
  <c r="T22" i="4"/>
  <c r="V22" i="4"/>
  <c r="W22" i="4"/>
  <c r="X22" i="4"/>
  <c r="Z22" i="4"/>
  <c r="R23" i="4"/>
  <c r="S23" i="4"/>
  <c r="T23" i="4"/>
  <c r="U23" i="4"/>
  <c r="V23" i="4"/>
  <c r="X23" i="4"/>
  <c r="Y23" i="4"/>
  <c r="Z23" i="4"/>
  <c r="R24" i="4"/>
  <c r="S24" i="4"/>
  <c r="T24" i="4"/>
  <c r="W24" i="4"/>
  <c r="X24" i="4"/>
  <c r="Z24" i="4"/>
  <c r="S25" i="4"/>
  <c r="T25" i="4"/>
  <c r="U25" i="4"/>
  <c r="V25" i="4"/>
  <c r="W25" i="4"/>
  <c r="X25" i="4"/>
  <c r="Y25" i="4"/>
  <c r="Z25" i="4"/>
  <c r="R26" i="4"/>
  <c r="S26" i="4"/>
  <c r="V26" i="4"/>
  <c r="X26" i="4"/>
  <c r="R27" i="4"/>
  <c r="S27" i="4"/>
  <c r="U27" i="4"/>
  <c r="V27" i="4"/>
  <c r="X27" i="4"/>
  <c r="Y27" i="4"/>
  <c r="Z27" i="4"/>
  <c r="R28" i="4"/>
  <c r="S28" i="4"/>
  <c r="T28" i="4"/>
  <c r="U28" i="4"/>
  <c r="V28" i="4"/>
  <c r="X28" i="4"/>
  <c r="Y28" i="4"/>
  <c r="Z28" i="4"/>
  <c r="S29" i="4"/>
  <c r="T29" i="4"/>
  <c r="V29" i="4"/>
  <c r="W29" i="4"/>
  <c r="X29" i="4"/>
  <c r="Z29" i="4"/>
  <c r="Z2" i="4"/>
  <c r="Y2" i="4"/>
  <c r="Y33" i="4" s="1"/>
  <c r="X2" i="4"/>
  <c r="W2" i="4"/>
  <c r="V2" i="4"/>
  <c r="U2" i="4"/>
  <c r="T2" i="4"/>
  <c r="S2" i="4"/>
  <c r="R2" i="4"/>
  <c r="E21" i="4"/>
  <c r="E22" i="4"/>
  <c r="E23" i="4"/>
  <c r="E25" i="4"/>
  <c r="E26" i="4"/>
  <c r="E28" i="4"/>
  <c r="F2" i="4"/>
  <c r="F33" i="4" s="1"/>
  <c r="G2" i="4"/>
  <c r="H2" i="4"/>
  <c r="I2" i="4"/>
  <c r="J2" i="4"/>
  <c r="K2" i="4"/>
  <c r="L2" i="4"/>
  <c r="M2" i="4"/>
  <c r="N2" i="4"/>
  <c r="O2" i="4"/>
  <c r="P2" i="4"/>
  <c r="Q2" i="4"/>
  <c r="F21" i="4"/>
  <c r="G21" i="4"/>
  <c r="H21" i="4"/>
  <c r="I21" i="4"/>
  <c r="J21" i="4"/>
  <c r="K21" i="4"/>
  <c r="L21" i="4"/>
  <c r="M21" i="4"/>
  <c r="N21" i="4"/>
  <c r="O21" i="4"/>
  <c r="P21" i="4"/>
  <c r="Q21" i="4"/>
  <c r="G22" i="4"/>
  <c r="H22" i="4"/>
  <c r="I22" i="4"/>
  <c r="J22" i="4"/>
  <c r="K22" i="4"/>
  <c r="L22" i="4"/>
  <c r="M22" i="4"/>
  <c r="N22" i="4"/>
  <c r="O22" i="4"/>
  <c r="P22" i="4"/>
  <c r="Q22" i="4"/>
  <c r="F23" i="4"/>
  <c r="G23" i="4"/>
  <c r="H23" i="4"/>
  <c r="I23" i="4"/>
  <c r="J23" i="4"/>
  <c r="L23" i="4"/>
  <c r="M23" i="4"/>
  <c r="N23" i="4"/>
  <c r="O23" i="4"/>
  <c r="P23" i="4"/>
  <c r="Q23" i="4"/>
  <c r="G24" i="4"/>
  <c r="H24" i="4"/>
  <c r="I24" i="4"/>
  <c r="J24" i="4"/>
  <c r="K24" i="4"/>
  <c r="M24" i="4"/>
  <c r="N24" i="4"/>
  <c r="O24" i="4"/>
  <c r="Q24" i="4"/>
  <c r="F25" i="4"/>
  <c r="G25" i="4"/>
  <c r="I25" i="4"/>
  <c r="J25" i="4"/>
  <c r="K25" i="4"/>
  <c r="L25" i="4"/>
  <c r="M25" i="4"/>
  <c r="N25" i="4"/>
  <c r="O25" i="4"/>
  <c r="P25" i="4"/>
  <c r="Q25" i="4"/>
  <c r="F26" i="4"/>
  <c r="G26" i="4"/>
  <c r="H26" i="4"/>
  <c r="I26" i="4"/>
  <c r="J26" i="4"/>
  <c r="K26" i="4"/>
  <c r="L26" i="4"/>
  <c r="M26" i="4"/>
  <c r="N26" i="4"/>
  <c r="O26" i="4"/>
  <c r="P26" i="4"/>
  <c r="Q26" i="4"/>
  <c r="G27" i="4"/>
  <c r="H27" i="4"/>
  <c r="J27" i="4"/>
  <c r="K27" i="4"/>
  <c r="L27" i="4"/>
  <c r="N27" i="4"/>
  <c r="O27" i="4"/>
  <c r="P27" i="4"/>
  <c r="F28" i="4"/>
  <c r="H28" i="4"/>
  <c r="I28" i="4"/>
  <c r="J28" i="4"/>
  <c r="L28" i="4"/>
  <c r="M28" i="4"/>
  <c r="N28" i="4"/>
  <c r="P28" i="4"/>
  <c r="Q28" i="4"/>
  <c r="I29" i="4"/>
  <c r="K29" i="4"/>
  <c r="L29" i="4"/>
  <c r="M29" i="4"/>
  <c r="O29" i="4"/>
  <c r="P29" i="4"/>
  <c r="Q29" i="4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Z20" i="4"/>
  <c r="Y20" i="4"/>
  <c r="X20" i="4"/>
  <c r="W20" i="4"/>
  <c r="V20" i="4"/>
  <c r="U20" i="4"/>
  <c r="T20" i="4"/>
  <c r="S20" i="4"/>
  <c r="Q20" i="4"/>
  <c r="P20" i="4"/>
  <c r="N20" i="4"/>
  <c r="M20" i="4"/>
  <c r="L20" i="4"/>
  <c r="K20" i="4"/>
  <c r="J20" i="4"/>
  <c r="I20" i="4"/>
  <c r="H20" i="4"/>
  <c r="G20" i="4"/>
  <c r="F20" i="4"/>
  <c r="E20" i="4"/>
  <c r="Z19" i="4"/>
  <c r="Y19" i="4"/>
  <c r="X19" i="4"/>
  <c r="W19" i="4"/>
  <c r="V19" i="4"/>
  <c r="U19" i="4"/>
  <c r="T19" i="4"/>
  <c r="R19" i="4"/>
  <c r="O19" i="4"/>
  <c r="N19" i="4"/>
  <c r="M19" i="4"/>
  <c r="L19" i="4"/>
  <c r="K19" i="4"/>
  <c r="I19" i="4"/>
  <c r="G19" i="4"/>
  <c r="W18" i="4"/>
  <c r="V18" i="4"/>
  <c r="U18" i="4"/>
  <c r="R18" i="4"/>
  <c r="N18" i="4"/>
  <c r="L18" i="4"/>
  <c r="G18" i="4"/>
  <c r="E18" i="4"/>
  <c r="U5" i="4"/>
  <c r="X5" i="4"/>
  <c r="W6" i="4"/>
  <c r="X6" i="4"/>
  <c r="Y6" i="4"/>
  <c r="U7" i="4"/>
  <c r="W7" i="4"/>
  <c r="Y7" i="4"/>
  <c r="Z8" i="4"/>
  <c r="V9" i="4"/>
  <c r="W9" i="4"/>
  <c r="V10" i="4"/>
  <c r="Z10" i="4"/>
  <c r="U11" i="4"/>
  <c r="V11" i="4"/>
  <c r="Y11" i="4"/>
  <c r="Z11" i="4"/>
  <c r="U12" i="4"/>
  <c r="X12" i="4"/>
  <c r="U13" i="4"/>
  <c r="W13" i="4"/>
  <c r="U14" i="4"/>
  <c r="V14" i="4"/>
  <c r="W14" i="4"/>
  <c r="X14" i="4"/>
  <c r="Y14" i="4"/>
  <c r="Z14" i="4"/>
  <c r="U15" i="4"/>
  <c r="V15" i="4"/>
  <c r="W15" i="4"/>
  <c r="X15" i="4"/>
  <c r="Y15" i="4"/>
  <c r="Z15" i="4"/>
  <c r="U16" i="4"/>
  <c r="V16" i="4"/>
  <c r="W16" i="4"/>
  <c r="X16" i="4"/>
  <c r="Z16" i="4"/>
  <c r="W17" i="4"/>
  <c r="X17" i="4"/>
  <c r="Y17" i="4"/>
  <c r="Z17" i="4"/>
  <c r="Z3" i="4"/>
  <c r="X3" i="4"/>
  <c r="Y3" i="4"/>
  <c r="X4" i="4"/>
  <c r="W4" i="4"/>
  <c r="T5" i="4"/>
  <c r="R6" i="4"/>
  <c r="S6" i="4"/>
  <c r="R8" i="4"/>
  <c r="S9" i="4"/>
  <c r="T9" i="4"/>
  <c r="S10" i="4"/>
  <c r="S11" i="4"/>
  <c r="R14" i="4"/>
  <c r="S14" i="4"/>
  <c r="S15" i="4"/>
  <c r="S16" i="4"/>
  <c r="T16" i="4"/>
  <c r="S17" i="4"/>
  <c r="T17" i="4"/>
  <c r="T4" i="4"/>
  <c r="S4" i="4"/>
  <c r="S3" i="4"/>
  <c r="J5" i="4"/>
  <c r="M5" i="4"/>
  <c r="M33" i="4" s="1"/>
  <c r="N5" i="4"/>
  <c r="O5" i="4"/>
  <c r="Q5" i="4"/>
  <c r="K6" i="4"/>
  <c r="M6" i="4"/>
  <c r="N6" i="4"/>
  <c r="O6" i="4"/>
  <c r="Q6" i="4"/>
  <c r="J7" i="4"/>
  <c r="L7" i="4"/>
  <c r="N7" i="4"/>
  <c r="P7" i="4"/>
  <c r="M8" i="4"/>
  <c r="Q8" i="4"/>
  <c r="J9" i="4"/>
  <c r="M9" i="4"/>
  <c r="P9" i="4"/>
  <c r="J10" i="4"/>
  <c r="M10" i="4"/>
  <c r="N10" i="4"/>
  <c r="O10" i="4"/>
  <c r="P10" i="4"/>
  <c r="Q10" i="4"/>
  <c r="L11" i="4"/>
  <c r="M11" i="4"/>
  <c r="N11" i="4"/>
  <c r="P11" i="4"/>
  <c r="Q11" i="4"/>
  <c r="L12" i="4"/>
  <c r="M12" i="4"/>
  <c r="O12" i="4"/>
  <c r="P12" i="4"/>
  <c r="Q12" i="4"/>
  <c r="M13" i="4"/>
  <c r="N13" i="4"/>
  <c r="P13" i="4"/>
  <c r="Q13" i="4"/>
  <c r="J14" i="4"/>
  <c r="L14" i="4"/>
  <c r="M14" i="4"/>
  <c r="N14" i="4"/>
  <c r="P14" i="4"/>
  <c r="Q14" i="4"/>
  <c r="J15" i="4"/>
  <c r="L15" i="4"/>
  <c r="N15" i="4"/>
  <c r="P15" i="4"/>
  <c r="J16" i="4"/>
  <c r="L16" i="4"/>
  <c r="N16" i="4"/>
  <c r="P16" i="4"/>
  <c r="J17" i="4"/>
  <c r="L17" i="4"/>
  <c r="P17" i="4"/>
  <c r="Q4" i="4"/>
  <c r="O4" i="4"/>
  <c r="N4" i="4"/>
  <c r="M4" i="4"/>
  <c r="K4" i="4"/>
  <c r="J4" i="4"/>
  <c r="Q3" i="4"/>
  <c r="N3" i="4"/>
  <c r="J3" i="4"/>
  <c r="J33" i="4" s="1"/>
  <c r="G5" i="4"/>
  <c r="H5" i="4"/>
  <c r="E6" i="4"/>
  <c r="F6" i="4"/>
  <c r="I6" i="4"/>
  <c r="F7" i="4"/>
  <c r="F8" i="4"/>
  <c r="H9" i="4"/>
  <c r="G11" i="4"/>
  <c r="H11" i="4"/>
  <c r="E12" i="4"/>
  <c r="F12" i="4"/>
  <c r="I12" i="4"/>
  <c r="H13" i="4"/>
  <c r="H14" i="4"/>
  <c r="I14" i="4"/>
  <c r="E15" i="4"/>
  <c r="G15" i="4"/>
  <c r="I15" i="4"/>
  <c r="E16" i="4"/>
  <c r="F16" i="4"/>
  <c r="G16" i="4"/>
  <c r="I16" i="4"/>
  <c r="E17" i="4"/>
  <c r="H17" i="4"/>
  <c r="I17" i="4"/>
  <c r="G4" i="4"/>
  <c r="G33" i="4" s="1"/>
  <c r="H4" i="4"/>
  <c r="F3" i="4"/>
  <c r="H3" i="4"/>
  <c r="I3" i="4"/>
  <c r="E4" i="4"/>
  <c r="E33" i="4" s="1"/>
  <c r="E3" i="4"/>
  <c r="K5" i="4"/>
  <c r="K33" i="4" s="1"/>
  <c r="G17" i="4"/>
  <c r="E24" i="4"/>
  <c r="R10" i="4"/>
  <c r="R20" i="4"/>
  <c r="R13" i="4"/>
  <c r="E19" i="4"/>
  <c r="K10" i="4"/>
  <c r="R16" i="4"/>
  <c r="R11" i="4"/>
  <c r="W5" i="4"/>
  <c r="R17" i="4"/>
  <c r="R7" i="4"/>
  <c r="V7" i="4"/>
  <c r="T7" i="4"/>
  <c r="F10" i="4"/>
  <c r="R12" i="4"/>
  <c r="G14" i="4"/>
  <c r="K8" i="4"/>
  <c r="K9" i="4"/>
  <c r="K14" i="4"/>
  <c r="F11" i="4"/>
  <c r="T3" i="4"/>
  <c r="F4" i="4"/>
  <c r="L4" i="4"/>
  <c r="E10" i="4"/>
  <c r="H6" i="4"/>
  <c r="U10" i="4"/>
  <c r="H10" i="4"/>
  <c r="E8" i="4"/>
  <c r="U9" i="4"/>
  <c r="K16" i="4"/>
  <c r="U17" i="4"/>
  <c r="K15" i="4"/>
  <c r="J18" i="4"/>
  <c r="J13" i="4"/>
  <c r="S19" i="4"/>
  <c r="O18" i="4"/>
  <c r="J19" i="4"/>
  <c r="Z26" i="4"/>
  <c r="S12" i="4"/>
  <c r="W11" i="4"/>
  <c r="Q16" i="4"/>
  <c r="R9" i="4"/>
  <c r="T14" i="4"/>
  <c r="V17" i="4"/>
  <c r="L10" i="4"/>
  <c r="K17" i="4"/>
  <c r="V8" i="4"/>
  <c r="S8" i="4"/>
  <c r="R15" i="4"/>
  <c r="O20" i="4"/>
  <c r="F22" i="4"/>
  <c r="Q15" i="4"/>
  <c r="Q19" i="4"/>
  <c r="T10" i="4"/>
  <c r="Q7" i="4"/>
  <c r="H7" i="4"/>
  <c r="H33" i="4" s="1"/>
  <c r="S7" i="4"/>
  <c r="Z6" i="4"/>
  <c r="Z33" i="4" s="1"/>
  <c r="Y10" i="4"/>
  <c r="I11" i="4"/>
  <c r="L9" i="4"/>
  <c r="L33" i="4" s="1"/>
  <c r="T26" i="4"/>
  <c r="T8" i="4"/>
  <c r="I7" i="4"/>
  <c r="I9" i="4"/>
  <c r="I13" i="4"/>
  <c r="Z13" i="4"/>
  <c r="Z9" i="4"/>
  <c r="Z5" i="4"/>
  <c r="T11" i="4"/>
  <c r="T18" i="4"/>
  <c r="P3" i="4"/>
  <c r="F29" i="4"/>
  <c r="J29" i="4"/>
  <c r="N29" i="4"/>
  <c r="I10" i="4"/>
  <c r="I4" i="4"/>
  <c r="E2" i="5"/>
  <c r="T12" i="4"/>
  <c r="V13" i="4"/>
  <c r="V12" i="4"/>
  <c r="W12" i="4"/>
  <c r="T13" i="4"/>
  <c r="E30" i="5"/>
  <c r="E29" i="5"/>
  <c r="G30" i="5"/>
  <c r="E31" i="5"/>
  <c r="E28" i="5"/>
  <c r="G31" i="5"/>
  <c r="R8" i="1"/>
  <c r="M10" i="3"/>
  <c r="F10" i="3"/>
  <c r="M12" i="3"/>
  <c r="Q12" i="1"/>
  <c r="Q10" i="1"/>
  <c r="R10" i="1"/>
  <c r="E3" i="5"/>
  <c r="H14" i="1"/>
  <c r="H16" i="1"/>
  <c r="M16" i="3"/>
  <c r="F14" i="3"/>
  <c r="F16" i="3"/>
  <c r="G6" i="5" s="1"/>
  <c r="M20" i="3"/>
  <c r="M18" i="3"/>
  <c r="F18" i="3"/>
  <c r="G7" i="5" s="1"/>
  <c r="N18" i="3"/>
  <c r="M14" i="3"/>
  <c r="N14" i="3"/>
  <c r="N16" i="3"/>
  <c r="Q20" i="1"/>
  <c r="H20" i="1"/>
  <c r="R20" i="1" s="1"/>
  <c r="Q18" i="1"/>
  <c r="H18" i="1"/>
  <c r="R18" i="1" s="1"/>
  <c r="E7" i="5"/>
  <c r="Q16" i="1"/>
  <c r="R16" i="1"/>
  <c r="Q14" i="1"/>
  <c r="R14" i="1"/>
  <c r="E8" i="5"/>
  <c r="E6" i="5"/>
  <c r="E5" i="5"/>
  <c r="F22" i="3"/>
  <c r="M22" i="3"/>
  <c r="Q22" i="1"/>
  <c r="H22" i="1"/>
  <c r="N22" i="3"/>
  <c r="R22" i="1"/>
  <c r="E9" i="5"/>
  <c r="Q24" i="1"/>
  <c r="R24" i="1"/>
  <c r="M24" i="3"/>
  <c r="E10" i="5"/>
  <c r="M26" i="3"/>
  <c r="Q26" i="1"/>
  <c r="M28" i="3"/>
  <c r="H28" i="1"/>
  <c r="M30" i="3"/>
  <c r="Q30" i="1"/>
  <c r="R30" i="1"/>
  <c r="Q28" i="1"/>
  <c r="R28" i="1"/>
  <c r="E12" i="5"/>
  <c r="E13" i="5"/>
  <c r="Q32" i="1"/>
  <c r="H32" i="1"/>
  <c r="M32" i="3"/>
  <c r="F32" i="3"/>
  <c r="G14" i="5"/>
  <c r="E14" i="5"/>
  <c r="R32" i="1"/>
  <c r="N32" i="3"/>
  <c r="M34" i="3"/>
  <c r="Q34" i="1"/>
  <c r="H34" i="1"/>
  <c r="E15" i="5"/>
  <c r="G15" i="5"/>
  <c r="R34" i="1"/>
  <c r="Q36" i="1"/>
  <c r="H36" i="1"/>
  <c r="E16" i="5"/>
  <c r="R33" i="4"/>
  <c r="M36" i="3"/>
  <c r="N36" i="3" s="1"/>
  <c r="R36" i="1"/>
  <c r="G16" i="5"/>
  <c r="M38" i="3"/>
  <c r="N38" i="3" s="1"/>
  <c r="Q38" i="1"/>
  <c r="H40" i="1"/>
  <c r="M40" i="3"/>
  <c r="T33" i="4"/>
  <c r="R40" i="1"/>
  <c r="E18" i="5"/>
  <c r="N8" i="3"/>
  <c r="G2" i="5"/>
  <c r="N40" i="3"/>
  <c r="G17" i="5"/>
  <c r="U33" i="4"/>
  <c r="G18" i="5"/>
  <c r="M42" i="3"/>
  <c r="W33" i="4"/>
  <c r="S33" i="4"/>
  <c r="Q42" i="1"/>
  <c r="H44" i="1"/>
  <c r="X33" i="4"/>
  <c r="F44" i="3"/>
  <c r="AA33" i="4" l="1"/>
  <c r="AB33" i="4"/>
  <c r="I33" i="5"/>
  <c r="AC33" i="4"/>
  <c r="K33" i="5" s="1"/>
  <c r="J33" i="5"/>
  <c r="N33" i="4"/>
  <c r="O33" i="4"/>
  <c r="Q33" i="4"/>
  <c r="F42" i="3"/>
  <c r="H42" i="1"/>
  <c r="F12" i="3"/>
  <c r="F26" i="3"/>
  <c r="N26" i="3" s="1"/>
  <c r="H26" i="1"/>
  <c r="N12" i="3"/>
  <c r="F60" i="3"/>
  <c r="F62" i="3"/>
  <c r="G29" i="5" s="1"/>
  <c r="N62" i="3"/>
  <c r="G9" i="5"/>
  <c r="G5" i="5"/>
  <c r="G4" i="5"/>
  <c r="N10" i="3"/>
  <c r="G3" i="5"/>
  <c r="G11" i="5"/>
  <c r="F58" i="3"/>
  <c r="M58" i="3"/>
  <c r="N58" i="3" s="1"/>
  <c r="F56" i="3"/>
  <c r="M56" i="3"/>
  <c r="N56" i="3" s="1"/>
  <c r="F54" i="3"/>
  <c r="M54" i="3"/>
  <c r="N54" i="3" s="1"/>
  <c r="F52" i="3"/>
  <c r="M52" i="3"/>
  <c r="N52" i="3" s="1"/>
  <c r="M50" i="3"/>
  <c r="N50" i="3" s="1"/>
  <c r="M48" i="3"/>
  <c r="N48" i="3" s="1"/>
  <c r="H58" i="1"/>
  <c r="Q58" i="1"/>
  <c r="R58" i="1" s="1"/>
  <c r="H56" i="1"/>
  <c r="Q56" i="1"/>
  <c r="R56" i="1" s="1"/>
  <c r="H54" i="1"/>
  <c r="Q54" i="1"/>
  <c r="R54" i="1" s="1"/>
  <c r="H52" i="1"/>
  <c r="Q52" i="1"/>
  <c r="R52" i="1" s="1"/>
  <c r="H50" i="1"/>
  <c r="Q50" i="1"/>
  <c r="R50" i="1" s="1"/>
  <c r="H48" i="1"/>
  <c r="Q48" i="1"/>
  <c r="M46" i="3"/>
  <c r="N46" i="3" s="1"/>
  <c r="H46" i="1"/>
  <c r="Q46" i="1"/>
  <c r="R46" i="1" s="1"/>
  <c r="V33" i="4"/>
  <c r="F20" i="3"/>
  <c r="G8" i="5" s="1"/>
  <c r="F24" i="3"/>
  <c r="G10" i="5" s="1"/>
  <c r="F28" i="3"/>
  <c r="F30" i="3"/>
  <c r="H38" i="1"/>
  <c r="M44" i="3"/>
  <c r="R48" i="1" l="1"/>
  <c r="N42" i="3"/>
  <c r="G19" i="5"/>
  <c r="E19" i="5"/>
  <c r="R42" i="1"/>
  <c r="E11" i="5"/>
  <c r="R26" i="1"/>
  <c r="G28" i="5"/>
  <c r="N60" i="3"/>
  <c r="G27" i="5"/>
  <c r="G26" i="5"/>
  <c r="G25" i="5"/>
  <c r="G24" i="5"/>
  <c r="G23" i="5"/>
  <c r="G22" i="5"/>
  <c r="E27" i="5"/>
  <c r="E26" i="5"/>
  <c r="E25" i="5"/>
  <c r="E24" i="5"/>
  <c r="E23" i="5"/>
  <c r="E22" i="5"/>
  <c r="G21" i="5"/>
  <c r="E21" i="5"/>
  <c r="E20" i="5"/>
  <c r="R44" i="1"/>
  <c r="G20" i="5"/>
  <c r="N44" i="3"/>
  <c r="R38" i="1"/>
  <c r="E17" i="5"/>
  <c r="G13" i="5"/>
  <c r="N30" i="3"/>
  <c r="G12" i="5"/>
  <c r="N28" i="3"/>
  <c r="N24" i="3"/>
  <c r="N20" i="3"/>
  <c r="G33" i="5"/>
  <c r="E4" i="5"/>
  <c r="R12" i="1"/>
  <c r="E33" i="5" l="1"/>
</calcChain>
</file>

<file path=xl/comments1.xml><?xml version="1.0" encoding="utf-8"?>
<comments xmlns="http://schemas.openxmlformats.org/spreadsheetml/2006/main">
  <authors>
    <author>Central Plant</author>
    <author>Agusto Mabulay Abalajen</author>
  </authors>
  <commentList>
    <comment ref="E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K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9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1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1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3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1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5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1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7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1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19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1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1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2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3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2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5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2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7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2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29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2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1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3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3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3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5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3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7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3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39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3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1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4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3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4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E45" authorId="1" shapeId="0">
      <text>
        <r>
          <rPr>
            <sz val="11"/>
            <color theme="1"/>
            <rFont val="Calibri"/>
            <family val="2"/>
            <scheme val="minor"/>
          </rPr>
          <t xml:space="preserve">Agusto Mabulay Abalajen:
Meter not working
</t>
        </r>
      </text>
    </comment>
    <comment ref="K4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</commentList>
</comments>
</file>

<file path=xl/comments2.xml><?xml version="1.0" encoding="utf-8"?>
<comments xmlns="http://schemas.openxmlformats.org/spreadsheetml/2006/main">
  <authors>
    <author>Central Plant</author>
  </authors>
  <commentList>
    <comment ref="D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1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1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1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1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1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2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2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2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2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2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3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3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3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37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39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41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43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  <comment ref="D45" authorId="0" shapeId="0">
      <text>
        <r>
          <rPr>
            <b/>
            <sz val="9"/>
            <color indexed="81"/>
            <rFont val="Tahoma"/>
            <charset val="1"/>
          </rPr>
          <t>Central Plant:</t>
        </r>
        <r>
          <rPr>
            <sz val="9"/>
            <color indexed="81"/>
            <rFont val="Tahoma"/>
            <charset val="1"/>
          </rPr>
          <t xml:space="preserve">
Meter is not working
</t>
        </r>
      </text>
    </comment>
  </commentList>
</comments>
</file>

<file path=xl/sharedStrings.xml><?xml version="1.0" encoding="utf-8"?>
<sst xmlns="http://schemas.openxmlformats.org/spreadsheetml/2006/main" count="254" uniqueCount="71">
  <si>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</si>
  <si>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</si>
  <si>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</si>
  <si>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</si>
  <si>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</si>
  <si>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</si>
  <si>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</si>
  <si>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</si>
  <si>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</si>
  <si>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</si>
  <si>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 xml:space="preserve">Cooling Degree Day </t>
  </si>
  <si>
    <t>Doha</t>
  </si>
  <si>
    <t>CP Chillers 157691 (KWh)</t>
  </si>
  <si>
    <t>CP Chillers 157692 (KWh)</t>
  </si>
  <si>
    <t>CP Chillers 157693 (KWh)</t>
  </si>
  <si>
    <t>CP Chillers 157694 (KWh)</t>
  </si>
  <si>
    <t>CP Chillers 167609 (KWh)</t>
  </si>
  <si>
    <t>Town House 166443 (KWh)</t>
  </si>
  <si>
    <t>Hotel 157687 (KWh)</t>
  </si>
  <si>
    <t>Hotel 157688 (KWh)</t>
  </si>
  <si>
    <t>Hotel 157689 (KWh)</t>
  </si>
  <si>
    <t>Hotel 157690 (KWh)</t>
  </si>
  <si>
    <t xml:space="preserve">SPA (KWh) </t>
  </si>
  <si>
    <t>Marina (KWh)</t>
  </si>
  <si>
    <t>Nobu (KWh)</t>
  </si>
  <si>
    <t>CP F/F (m3)</t>
  </si>
  <si>
    <t>CP Chillers (m3)</t>
  </si>
  <si>
    <t>CP Parking (m3)</t>
  </si>
  <si>
    <t>Town House (m3)</t>
  </si>
  <si>
    <t>Spa B (m3)</t>
  </si>
  <si>
    <t>Spa A (m3)</t>
  </si>
  <si>
    <t>CW Hotel A (m3)</t>
  </si>
  <si>
    <t>CCW Hotel B (m3)</t>
  </si>
  <si>
    <t xml:space="preserve">Marina (m3) </t>
  </si>
  <si>
    <t>Central Plant Engineering</t>
  </si>
  <si>
    <t>Daily Electrical Meter Readings</t>
  </si>
  <si>
    <t>Month: OCTOBER  2022</t>
  </si>
  <si>
    <t>Date</t>
  </si>
  <si>
    <t>CP          Chillers</t>
  </si>
  <si>
    <t>CP Total kWh</t>
  </si>
  <si>
    <t>Town              House</t>
  </si>
  <si>
    <t>Hotel</t>
  </si>
  <si>
    <t>Spa</t>
  </si>
  <si>
    <t>Marina</t>
  </si>
  <si>
    <t>Nobu</t>
  </si>
  <si>
    <t>Hotel Total kWh</t>
  </si>
  <si>
    <t>Grand Total          kWh</t>
  </si>
  <si>
    <t> </t>
  </si>
  <si>
    <t>Consumption</t>
  </si>
  <si>
    <t>Daily Water Meter Readings</t>
  </si>
  <si>
    <t>Month: OCTOBER 2022</t>
  </si>
  <si>
    <t>CP F/F</t>
  </si>
  <si>
    <t>CP     Chillers</t>
  </si>
  <si>
    <t>CP     Parking</t>
  </si>
  <si>
    <r>
      <t>CP Total M</t>
    </r>
    <r>
      <rPr>
        <vertAlign val="superscript"/>
        <sz val="12"/>
        <color indexed="8"/>
        <rFont val="Calibri"/>
        <family val="2"/>
      </rPr>
      <t>3</t>
    </r>
  </si>
  <si>
    <t>Town     House</t>
  </si>
  <si>
    <t>Spa B</t>
  </si>
  <si>
    <t>Spa A</t>
  </si>
  <si>
    <t>CW        Hotel A</t>
  </si>
  <si>
    <t>CCW        Hotel B</t>
  </si>
  <si>
    <r>
      <t>Hotel Total M</t>
    </r>
    <r>
      <rPr>
        <vertAlign val="superscript"/>
        <sz val="12"/>
        <color indexed="8"/>
        <rFont val="Calibri"/>
        <family val="2"/>
      </rPr>
      <t>3</t>
    </r>
  </si>
  <si>
    <r>
      <t>Grand Total M</t>
    </r>
    <r>
      <rPr>
        <b/>
        <vertAlign val="superscript"/>
        <sz val="12"/>
        <color indexed="8"/>
        <rFont val="Calibri"/>
        <family val="2"/>
      </rPr>
      <t>3</t>
    </r>
  </si>
  <si>
    <t>Following Meter is not working</t>
  </si>
  <si>
    <t>CP Parking</t>
  </si>
  <si>
    <t>CCW Hotel B</t>
  </si>
  <si>
    <t>Daily LPG Meter Readings</t>
  </si>
  <si>
    <t>COMMON LPG READING/M3</t>
  </si>
  <si>
    <t>NOBU/M3</t>
  </si>
  <si>
    <t xml:space="preserve">LPG Total </t>
  </si>
  <si>
    <t>HOTEL+NOBU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</si>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</sst>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vertAlign val="superscript"/>
      <sz val="12"/>
      <color indexed="8"/>
      <name val="Calibri"/>
      <family val="2"/>
    </font>
    <font>
      <b/>
      <vertAlign val="superscript"/>
      <sz val="12"/>
      <color indexed="8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000000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9E1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0" xfId="0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6" fillId="3" borderId="1" xfId="0" applyFont="1" applyFill="1" applyBorder="1" applyAlignment="1">
      <alignment horizontal="right"/>
    </xf>
    <xf numFmtId="0" fontId="6" fillId="3" borderId="4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8" fillId="5" borderId="5" xfId="0" applyFont="1" applyFill="1" applyBorder="1" applyAlignment="1">
      <alignment horizontal="center" wrapText="1"/>
    </xf>
    <xf numFmtId="0" fontId="0" fillId="5" borderId="1" xfId="0" applyFill="1" applyBorder="1" applyAlignment="1">
      <alignment horizontal="right"/>
    </xf>
    <xf numFmtId="0" fontId="6" fillId="3" borderId="4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right"/>
    </xf>
    <xf numFmtId="0" fontId="7" fillId="4" borderId="6" xfId="0" applyFont="1" applyFill="1" applyBorder="1" applyAlignment="1">
      <alignment horizontal="center"/>
    </xf>
    <xf numFmtId="0" fontId="7" fillId="6" borderId="4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center"/>
    </xf>
    <xf numFmtId="0" fontId="0" fillId="0" borderId="7" xfId="0" applyBorder="1" applyAlignment="1">
      <alignment horizontal="right"/>
    </xf>
    <xf numFmtId="0" fontId="6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5" xfId="0" applyFont="1" applyBorder="1" applyAlignment="1">
      <alignment horizontal="center"/>
    </xf>
    <xf numFmtId="1" fontId="0" fillId="0" borderId="0" xfId="0" applyNumberFormat="1"/>
    <xf numFmtId="2" fontId="0" fillId="0" borderId="0" xfId="0" applyNumberFormat="1"/>
    <xf numFmtId="1" fontId="0" fillId="2" borderId="0" xfId="0" quotePrefix="1" applyNumberFormat="1" applyFill="1"/>
    <xf numFmtId="0" fontId="0" fillId="2" borderId="0" xfId="0" quotePrefix="1" applyFill="1"/>
    <xf numFmtId="0" fontId="5" fillId="0" borderId="0" xfId="0" applyFont="1"/>
    <xf numFmtId="0" fontId="5" fillId="7" borderId="2" xfId="0" applyFont="1" applyFill="1" applyBorder="1" applyAlignment="1">
      <alignment horizontal="center" vertical="center" wrapText="1"/>
    </xf>
    <xf numFmtId="1" fontId="5" fillId="7" borderId="8" xfId="0" applyNumberFormat="1" applyFont="1" applyFill="1" applyBorder="1" applyAlignment="1">
      <alignment horizontal="center" wrapText="1"/>
    </xf>
    <xf numFmtId="0" fontId="5" fillId="7" borderId="8" xfId="0" applyFont="1" applyFill="1" applyBorder="1" applyAlignment="1">
      <alignment horizontal="center" wrapText="1"/>
    </xf>
    <xf numFmtId="0" fontId="5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1" fontId="5" fillId="7" borderId="1" xfId="0" applyNumberFormat="1" applyFont="1" applyFill="1" applyBorder="1" applyAlignment="1">
      <alignment horizontal="center" wrapText="1"/>
    </xf>
    <xf numFmtId="0" fontId="5" fillId="0" borderId="1" xfId="0" applyFont="1" applyBorder="1"/>
    <xf numFmtId="1" fontId="5" fillId="0" borderId="1" xfId="0" applyNumberFormat="1" applyFont="1" applyBorder="1" applyAlignment="1">
      <alignment wrapText="1"/>
    </xf>
    <xf numFmtId="0" fontId="5" fillId="0" borderId="1" xfId="0" applyFont="1" applyBorder="1" applyAlignment="1">
      <alignment wrapText="1"/>
    </xf>
    <xf numFmtId="2" fontId="5" fillId="0" borderId="1" xfId="0" applyNumberFormat="1" applyFont="1" applyBorder="1" applyAlignment="1">
      <alignment wrapText="1"/>
    </xf>
    <xf numFmtId="0" fontId="0" fillId="7" borderId="1" xfId="0" applyFill="1" applyBorder="1" applyAlignment="1">
      <alignment horizontal="right"/>
    </xf>
    <xf numFmtId="0" fontId="0" fillId="7" borderId="1" xfId="0" applyFill="1" applyBorder="1"/>
    <xf numFmtId="0" fontId="0" fillId="0" borderId="1" xfId="0" applyBorder="1"/>
    <xf numFmtId="0" fontId="0" fillId="0" borderId="1" xfId="0" applyBorder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7" borderId="7" xfId="0" applyFill="1" applyBorder="1" applyAlignment="1">
      <alignment horizontal="right"/>
    </xf>
    <xf numFmtId="0" fontId="0" fillId="7" borderId="7" xfId="0" applyFill="1" applyBorder="1"/>
    <xf numFmtId="0" fontId="0" fillId="5" borderId="1" xfId="0" applyFill="1" applyBorder="1" applyAlignment="1">
      <alignment vertical="center"/>
    </xf>
    <xf numFmtId="0" fontId="0" fillId="5" borderId="1" xfId="0" applyFill="1" applyBorder="1" applyAlignment="1">
      <alignment horizontal="right" vertical="center"/>
    </xf>
    <xf numFmtId="0" fontId="7" fillId="6" borderId="6" xfId="0" applyFont="1" applyFill="1" applyBorder="1" applyAlignment="1">
      <alignment horizontal="right"/>
    </xf>
    <xf numFmtId="0" fontId="6" fillId="2" borderId="4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7" xfId="0" applyBorder="1"/>
    <xf numFmtId="0" fontId="6" fillId="0" borderId="0" xfId="0" applyFont="1" applyAlignment="1">
      <alignment horizontal="right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11" fillId="0" borderId="1" xfId="0" applyFont="1" applyBorder="1"/>
    <xf numFmtId="0" fontId="11" fillId="0" borderId="22" xfId="0" applyFont="1" applyBorder="1"/>
    <xf numFmtId="0" fontId="12" fillId="11" borderId="22" xfId="0" applyFont="1" applyFill="1" applyBorder="1"/>
    <xf numFmtId="0" fontId="11" fillId="0" borderId="0" xfId="0" applyFont="1"/>
    <xf numFmtId="0" fontId="11" fillId="12" borderId="22" xfId="0" applyFont="1" applyFill="1" applyBorder="1"/>
    <xf numFmtId="0" fontId="12" fillId="13" borderId="22" xfId="0" applyFont="1" applyFill="1" applyBorder="1"/>
    <xf numFmtId="0" fontId="11" fillId="0" borderId="23" xfId="0" applyFont="1" applyBorder="1"/>
    <xf numFmtId="0" fontId="11" fillId="12" borderId="23" xfId="0" applyFont="1" applyFill="1" applyBorder="1"/>
    <xf numFmtId="0" fontId="11" fillId="12" borderId="7" xfId="0" applyFont="1" applyFill="1" applyBorder="1"/>
    <xf numFmtId="0" fontId="0" fillId="14" borderId="1" xfId="0" applyFill="1" applyBorder="1" applyAlignment="1">
      <alignment horizontal="center" vertical="center"/>
    </xf>
    <xf numFmtId="0" fontId="11" fillId="0" borderId="7" xfId="0" applyFont="1" applyBorder="1"/>
    <xf numFmtId="0" fontId="11" fillId="15" borderId="1" xfId="0" applyFont="1" applyFill="1" applyBorder="1"/>
    <xf numFmtId="0" fontId="11" fillId="15" borderId="22" xfId="0" applyFont="1" applyFill="1" applyBorder="1"/>
    <xf numFmtId="0" fontId="12" fillId="11" borderId="24" xfId="0" applyFont="1" applyFill="1" applyBorder="1"/>
    <xf numFmtId="0" fontId="11" fillId="15" borderId="24" xfId="0" applyFont="1" applyFill="1" applyBorder="1"/>
    <xf numFmtId="0" fontId="11" fillId="0" borderId="16" xfId="0" applyFont="1" applyBorder="1"/>
    <xf numFmtId="0" fontId="11" fillId="0" borderId="24" xfId="0" applyFont="1" applyBorder="1"/>
    <xf numFmtId="0" fontId="11" fillId="12" borderId="24" xfId="0" applyFont="1" applyFill="1" applyBorder="1"/>
    <xf numFmtId="0" fontId="11" fillId="15" borderId="16" xfId="0" applyFont="1" applyFill="1" applyBorder="1"/>
    <xf numFmtId="0" fontId="11" fillId="16" borderId="24" xfId="0" applyFont="1" applyFill="1" applyBorder="1"/>
    <xf numFmtId="0" fontId="0" fillId="0" borderId="25" xfId="0" applyBorder="1" applyAlignment="1">
      <alignment horizontal="right" vertical="center"/>
    </xf>
    <xf numFmtId="0" fontId="0" fillId="0" borderId="25" xfId="0" applyBorder="1" applyAlignment="1">
      <alignment horizontal="right"/>
    </xf>
    <xf numFmtId="0" fontId="11" fillId="15" borderId="25" xfId="0" applyFont="1" applyFill="1" applyBorder="1"/>
    <xf numFmtId="0" fontId="0" fillId="0" borderId="26" xfId="0" applyBorder="1" applyAlignment="1">
      <alignment horizontal="right"/>
    </xf>
    <xf numFmtId="0" fontId="11" fillId="15" borderId="18" xfId="0" applyFont="1" applyFill="1" applyBorder="1"/>
    <xf numFmtId="0" fontId="0" fillId="0" borderId="22" xfId="0" applyBorder="1" applyAlignment="1">
      <alignment horizontal="right"/>
    </xf>
    <xf numFmtId="0" fontId="11" fillId="15" borderId="27" xfId="0" applyFont="1" applyFill="1" applyBorder="1"/>
    <xf numFmtId="0" fontId="0" fillId="0" borderId="16" xfId="0" applyBorder="1" applyAlignment="1">
      <alignment horizontal="right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3" borderId="13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7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6" fillId="2" borderId="17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7" fillId="6" borderId="19" xfId="0" applyFont="1" applyFill="1" applyBorder="1" applyAlignment="1">
      <alignment horizontal="center" vertical="center" wrapText="1"/>
    </xf>
    <xf numFmtId="0" fontId="7" fillId="6" borderId="20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0" borderId="2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3</xdr:col>
      <xdr:colOff>304800</xdr:colOff>
      <xdr:row>2</xdr:row>
      <xdr:rowOff>257175</xdr:rowOff>
    </xdr:to>
    <xdr:pic>
      <xdr:nvPicPr>
        <xdr:cNvPr id="18165" name="Picture 1" descr="C:\Users\hannah.villanueva\Desktop\DOH_White_BOX.jpg">
          <a:extLst>
            <a:ext uri="{FF2B5EF4-FFF2-40B4-BE49-F238E27FC236}">
              <a16:creationId xmlns="" xmlns:a16="http://schemas.microsoft.com/office/drawing/2014/main" id="{262326D8-D27B-AC3E-79EF-7B1CBD29D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95250" y="0"/>
          <a:ext cx="162877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3</xdr:col>
      <xdr:colOff>47625</xdr:colOff>
      <xdr:row>3</xdr:row>
      <xdr:rowOff>123825</xdr:rowOff>
    </xdr:to>
    <xdr:pic>
      <xdr:nvPicPr>
        <xdr:cNvPr id="19431" name="Picture 1" descr="C:\Users\hannah.villanueva\Desktop\DOH_White_BOX.jpg">
          <a:extLst>
            <a:ext uri="{FF2B5EF4-FFF2-40B4-BE49-F238E27FC236}">
              <a16:creationId xmlns="" xmlns:a16="http://schemas.microsoft.com/office/drawing/2014/main" id="{09CA49C3-9DE3-5E65-6028-8DAE31CE3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43827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104775</xdr:rowOff>
    </xdr:from>
    <xdr:to>
      <xdr:col>2</xdr:col>
      <xdr:colOff>419100</xdr:colOff>
      <xdr:row>3</xdr:row>
      <xdr:rowOff>47625</xdr:rowOff>
    </xdr:to>
    <xdr:pic>
      <xdr:nvPicPr>
        <xdr:cNvPr id="20037" name="Picture 1" descr="C:\Users\hannah.villanueva\Desktop\DOH_White_BOX.jpg">
          <a:extLst>
            <a:ext uri="{FF2B5EF4-FFF2-40B4-BE49-F238E27FC236}">
              <a16:creationId xmlns="" xmlns:a16="http://schemas.microsoft.com/office/drawing/2014/main" id="{8BC6D055-824B-38DF-A410-88DE11959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157" t="11765" r="8791" b="10925"/>
        <a:stretch>
          <a:fillRect/>
        </a:stretch>
      </xdr:blipFill>
      <xdr:spPr bwMode="auto">
        <a:xfrm>
          <a:off x="85725" y="104775"/>
          <a:ext cx="12763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3"/>
  <sheetViews>
    <sheetView tabSelected="1" zoomScale="85" zoomScaleNormal="85" workbookViewId="0">
      <selection activeCell="P28" sqref="P28"/>
    </sheetView>
  </sheetViews>
  <sheetFormatPr defaultColWidth="13.42578125" defaultRowHeight="15" x14ac:dyDescent="0.25"/>
  <cols>
    <col min="1" max="3" width="11.5703125" customWidth="1"/>
    <col min="4" max="4" width="13.42578125" customWidth="1"/>
    <col min="5" max="5" width="12.5703125" style="24" customWidth="1"/>
    <col min="6" max="6" width="12.5703125" customWidth="1"/>
    <col min="7" max="7" width="11.5703125" customWidth="1"/>
    <col min="8" max="8" width="11.5703125" style="25" customWidth="1"/>
    <col min="9" max="245" width="11.5703125" customWidth="1"/>
    <col min="246" max="246" width="13.42578125" customWidth="1"/>
    <col min="247" max="248" width="12.5703125" customWidth="1"/>
    <col min="249" max="254" width="11.5703125" customWidth="1"/>
  </cols>
  <sheetData>
    <row r="1" spans="1:11" s="28" customFormat="1" ht="60" x14ac:dyDescent="0.25">
      <c r="A1" s="42" t="s">
        <v>0</v>
      </c>
      <c r="B1" s="42" t="s">
        <v>1</v>
      </c>
      <c r="C1" s="42" t="s">
        <v>2</v>
      </c>
      <c r="D1" s="42" t="s">
        <v>3</v>
      </c>
      <c r="E1" s="43" t="s">
        <v>4</v>
      </c>
      <c r="F1" s="44" t="s">
        <v>5</v>
      </c>
      <c r="G1" s="44" t="s">
        <v>6</v>
      </c>
      <c r="H1" s="45" t="s">
        <v>7</v>
      </c>
      <c r="I1" s="44" t="s">
        <v>8</v>
      </c>
      <c r="J1" s="44" t="s">
        <v>9</v>
      </c>
      <c r="K1" s="44" t="s">
        <v>10</v>
      </c>
    </row>
    <row r="2" spans="1:11" x14ac:dyDescent="0.25">
      <c r="A2" t="s">
        <v>11</v>
      </c>
      <c r="B2">
        <v>1</v>
      </c>
      <c r="C2">
        <v>10</v>
      </c>
      <c r="D2">
        <v>2022</v>
      </c>
      <c r="E2" s="26">
        <f>0.75*INDEX('13 - Electrical Readings'!$H$8:$H$997,1+(2*(ROWS(A$1:A1)-1)))+INDEX('13 - Electrical Readings'!$Q$8:$Q$997,1+(2*(ROWS(A$1:A1)-1)))</f>
        <v>75315</v>
      </c>
      <c r="F2">
        <v>4.1000000000000002E-2</v>
      </c>
      <c r="G2" s="27">
        <f>0.75*INDEX('9 - Water Readings'!$F$8:$F$994,1+(2*(ROWS(A$1:A1)-1)))+INDEX('9 - Water Readings'!$M$8:$M$994,1+(2*(ROWS(A$1:A1)-1)))</f>
        <v>464</v>
      </c>
      <c r="H2" s="25">
        <v>1.5571912601017661</v>
      </c>
      <c r="I2" s="25">
        <f>'Submetering '!AA2</f>
        <v>92</v>
      </c>
      <c r="J2">
        <f>'Submetering '!AB2</f>
        <v>252</v>
      </c>
      <c r="K2">
        <f>'Submetering '!AC2</f>
        <v>11.5</v>
      </c>
    </row>
    <row r="3" spans="1:11" x14ac:dyDescent="0.25">
      <c r="A3" t="s">
        <v>11</v>
      </c>
      <c r="B3">
        <f>B2+1</f>
        <v>2</v>
      </c>
      <c r="C3">
        <v>10</v>
      </c>
      <c r="D3">
        <v>2022</v>
      </c>
      <c r="E3" s="26">
        <f>0.75*INDEX('13 - Electrical Readings'!$H$8:$H$997,1+(2*(ROWS(A$1:A2)-1)))+INDEX('13 - Electrical Readings'!$Q$8:$Q$997,1+(2*(ROWS(A$1:A2)-1)))</f>
        <v>70035</v>
      </c>
      <c r="F3">
        <v>4.1000000000000002E-2</v>
      </c>
      <c r="G3" s="27">
        <f>0.75*INDEX('9 - Water Readings'!$F$8:$F$994,1+(2*(ROWS(A$1:A2)-1)))+INDEX('9 - Water Readings'!$M$8:$M$994,1+(2*(ROWS(A$1:A2)-1)))</f>
        <v>430.75</v>
      </c>
      <c r="H3" s="25">
        <v>1.5571912601017661</v>
      </c>
      <c r="I3" s="25">
        <f>'Submetering '!AA3</f>
        <v>95</v>
      </c>
      <c r="J3">
        <f>'Submetering '!AB3</f>
        <v>242</v>
      </c>
      <c r="K3">
        <f>'Submetering '!AC3</f>
        <v>12.4</v>
      </c>
    </row>
    <row r="4" spans="1:11" x14ac:dyDescent="0.25">
      <c r="A4" t="s">
        <v>11</v>
      </c>
      <c r="B4">
        <f t="shared" ref="B4:B30" si="0">B3+1</f>
        <v>3</v>
      </c>
      <c r="C4">
        <v>10</v>
      </c>
      <c r="D4">
        <v>2022</v>
      </c>
      <c r="E4" s="26">
        <f>0.75*INDEX('13 - Electrical Readings'!$H$8:$H$997,1+(2*(ROWS(A$1:A3)-1)))+INDEX('13 - Electrical Readings'!$Q$8:$Q$997,1+(2*(ROWS(A$1:A3)-1)))</f>
        <v>76063.75</v>
      </c>
      <c r="F4">
        <v>4.1000000000000002E-2</v>
      </c>
      <c r="G4" s="27">
        <f>0.75*INDEX('9 - Water Readings'!$F$8:$F$994,1+(2*(ROWS(A$1:A3)-1)))+INDEX('9 - Water Readings'!$M$8:$M$994,1+(2*(ROWS(A$1:A3)-1)))</f>
        <v>466</v>
      </c>
      <c r="H4" s="25">
        <v>1.5571912601017661</v>
      </c>
      <c r="I4" s="25">
        <f>'Submetering '!AA4</f>
        <v>109</v>
      </c>
      <c r="J4">
        <f>'Submetering '!AB4</f>
        <v>282</v>
      </c>
      <c r="K4">
        <f>'Submetering '!AC4</f>
        <v>10.8</v>
      </c>
    </row>
    <row r="5" spans="1:11" x14ac:dyDescent="0.25">
      <c r="A5" t="s">
        <v>11</v>
      </c>
      <c r="B5">
        <f t="shared" si="0"/>
        <v>4</v>
      </c>
      <c r="C5">
        <v>10</v>
      </c>
      <c r="D5">
        <v>2022</v>
      </c>
      <c r="E5" s="26">
        <f>0.75*INDEX('13 - Electrical Readings'!$H$8:$H$997,1+(2*(ROWS(A$1:A4)-1)))+INDEX('13 - Electrical Readings'!$Q$8:$Q$997,1+(2*(ROWS(A$1:A4)-1)))</f>
        <v>82243.75</v>
      </c>
      <c r="F5">
        <v>4.1000000000000002E-2</v>
      </c>
      <c r="G5" s="27">
        <f>0.75*INDEX('9 - Water Readings'!$F$8:$F$994,1+(2*(ROWS(A$1:A4)-1)))+INDEX('9 - Water Readings'!$M$8:$M$994,1+(2*(ROWS(A$1:A4)-1)))</f>
        <v>443.75</v>
      </c>
      <c r="H5" s="25">
        <v>1.5571912601017661</v>
      </c>
      <c r="I5" s="25">
        <f>'Submetering '!AA5</f>
        <v>113</v>
      </c>
      <c r="J5">
        <f>'Submetering '!AB5</f>
        <v>334</v>
      </c>
      <c r="K5">
        <f>'Submetering '!AC5</f>
        <v>11.2</v>
      </c>
    </row>
    <row r="6" spans="1:11" x14ac:dyDescent="0.25">
      <c r="A6" t="s">
        <v>11</v>
      </c>
      <c r="B6">
        <f t="shared" si="0"/>
        <v>5</v>
      </c>
      <c r="C6">
        <v>10</v>
      </c>
      <c r="D6">
        <v>2022</v>
      </c>
      <c r="E6" s="26">
        <f>0.75*INDEX('13 - Electrical Readings'!$H$8:$H$997,1+(2*(ROWS(A$1:A5)-1)))+INDEX('13 - Electrical Readings'!$Q$8:$Q$997,1+(2*(ROWS(A$1:A5)-1)))</f>
        <v>78918</v>
      </c>
      <c r="F6">
        <v>4.1000000000000002E-2</v>
      </c>
      <c r="G6" s="27">
        <f>0.75*INDEX('9 - Water Readings'!$F$8:$F$994,1+(2*(ROWS(A$1:A5)-1)))+INDEX('9 - Water Readings'!$M$8:$M$994,1+(2*(ROWS(A$1:A5)-1)))</f>
        <v>466</v>
      </c>
      <c r="H6" s="25">
        <v>1.5571912601017661</v>
      </c>
      <c r="I6" s="25">
        <f>'Submetering '!AA6</f>
        <v>122</v>
      </c>
      <c r="J6">
        <f>'Submetering '!AB6</f>
        <v>386</v>
      </c>
      <c r="K6">
        <f>'Submetering '!AC6</f>
        <v>12.4</v>
      </c>
    </row>
    <row r="7" spans="1:11" x14ac:dyDescent="0.25">
      <c r="A7" t="s">
        <v>11</v>
      </c>
      <c r="B7">
        <f t="shared" si="0"/>
        <v>6</v>
      </c>
      <c r="C7">
        <v>10</v>
      </c>
      <c r="D7">
        <v>2022</v>
      </c>
      <c r="E7" s="26">
        <f>0.75*INDEX('13 - Electrical Readings'!$H$8:$H$997,1+(2*(ROWS(A$1:A6)-1)))+INDEX('13 - Electrical Readings'!$Q$8:$Q$997,1+(2*(ROWS(A$1:A6)-1)))</f>
        <v>76477.25</v>
      </c>
      <c r="F7">
        <v>4.1000000000000002E-2</v>
      </c>
      <c r="G7" s="27">
        <f>0.75*INDEX('9 - Water Readings'!$F$8:$F$994,1+(2*(ROWS(A$1:A6)-1)))+INDEX('9 - Water Readings'!$M$8:$M$994,1+(2*(ROWS(A$1:A6)-1)))</f>
        <v>505</v>
      </c>
      <c r="H7" s="25">
        <v>1.5571912601017661</v>
      </c>
      <c r="I7" s="25">
        <f>'Submetering '!AA7</f>
        <v>168</v>
      </c>
      <c r="J7">
        <f>'Submetering '!AB7</f>
        <v>578</v>
      </c>
      <c r="K7">
        <f>'Submetering '!AC7</f>
        <v>13.3</v>
      </c>
    </row>
    <row r="8" spans="1:11" x14ac:dyDescent="0.25">
      <c r="A8" t="s">
        <v>11</v>
      </c>
      <c r="B8">
        <f t="shared" si="0"/>
        <v>7</v>
      </c>
      <c r="C8">
        <v>10</v>
      </c>
      <c r="D8">
        <v>2022</v>
      </c>
      <c r="E8" s="26">
        <f>0.75*INDEX('13 - Electrical Readings'!$H$8:$H$997,1+(2*(ROWS(A$1:A7)-1)))+INDEX('13 - Electrical Readings'!$Q$8:$Q$997,1+(2*(ROWS(A$1:A7)-1)))</f>
        <v>80745.75</v>
      </c>
      <c r="F8">
        <v>4.1000000000000002E-2</v>
      </c>
      <c r="G8" s="27">
        <f>0.75*INDEX('9 - Water Readings'!$F$8:$F$994,1+(2*(ROWS(A$1:A7)-1)))+INDEX('9 - Water Readings'!$M$8:$M$994,1+(2*(ROWS(A$1:A7)-1)))</f>
        <v>520</v>
      </c>
      <c r="H8" s="25">
        <v>1.5571912601017661</v>
      </c>
      <c r="I8" s="25">
        <f>'Submetering '!AA8</f>
        <v>143</v>
      </c>
      <c r="J8">
        <f>'Submetering '!AB8</f>
        <v>560</v>
      </c>
      <c r="K8">
        <f>'Submetering '!AC8</f>
        <v>11.2</v>
      </c>
    </row>
    <row r="9" spans="1:11" x14ac:dyDescent="0.25">
      <c r="A9" t="s">
        <v>11</v>
      </c>
      <c r="B9">
        <f t="shared" si="0"/>
        <v>8</v>
      </c>
      <c r="C9">
        <v>10</v>
      </c>
      <c r="D9">
        <v>2022</v>
      </c>
      <c r="E9" s="26">
        <f>0.75*INDEX('13 - Electrical Readings'!$H$8:$H$997,1+(2*(ROWS(A$1:A8)-1)))+INDEX('13 - Electrical Readings'!$Q$8:$Q$997,1+(2*(ROWS(A$1:A8)-1)))</f>
        <v>83272.75</v>
      </c>
      <c r="F9">
        <v>4.1000000000000002E-2</v>
      </c>
      <c r="G9" s="27">
        <f>0.75*INDEX('9 - Water Readings'!$F$8:$F$994,1+(2*(ROWS(A$1:A8)-1)))+INDEX('9 - Water Readings'!$M$8:$M$994,1+(2*(ROWS(A$1:A8)-1)))</f>
        <v>480</v>
      </c>
      <c r="H9" s="25">
        <v>1.5571912601017661</v>
      </c>
      <c r="I9" s="25">
        <f>'Submetering '!AA9</f>
        <v>73</v>
      </c>
      <c r="J9">
        <f>'Submetering '!AB9</f>
        <v>254</v>
      </c>
      <c r="K9">
        <f>'Submetering '!AC9</f>
        <v>11.1</v>
      </c>
    </row>
    <row r="10" spans="1:11" x14ac:dyDescent="0.25">
      <c r="A10" t="s">
        <v>11</v>
      </c>
      <c r="B10">
        <f t="shared" si="0"/>
        <v>9</v>
      </c>
      <c r="C10">
        <v>10</v>
      </c>
      <c r="D10">
        <v>2022</v>
      </c>
      <c r="E10" s="26">
        <f>0.75*INDEX('13 - Electrical Readings'!$H$8:$H$997,1+(2*(ROWS(A$1:A9)-1)))+INDEX('13 - Electrical Readings'!$Q$8:$Q$997,1+(2*(ROWS(A$1:A9)-1)))</f>
        <v>73506.25</v>
      </c>
      <c r="F10">
        <v>4.1000000000000002E-2</v>
      </c>
      <c r="G10" s="27">
        <f>0.75*INDEX('9 - Water Readings'!$F$8:$F$994,1+(2*(ROWS(A$1:A9)-1)))+INDEX('9 - Water Readings'!$M$8:$M$994,1+(2*(ROWS(A$1:A9)-1)))</f>
        <v>407</v>
      </c>
      <c r="H10" s="25">
        <v>1.5571912601017661</v>
      </c>
      <c r="I10" s="25">
        <f>'Submetering '!AA10</f>
        <v>83</v>
      </c>
      <c r="J10">
        <f>'Submetering '!AB10</f>
        <v>260</v>
      </c>
      <c r="K10">
        <f>'Submetering '!AC10</f>
        <v>11.2</v>
      </c>
    </row>
    <row r="11" spans="1:11" x14ac:dyDescent="0.25">
      <c r="A11" t="s">
        <v>11</v>
      </c>
      <c r="B11">
        <f t="shared" si="0"/>
        <v>10</v>
      </c>
      <c r="C11">
        <v>10</v>
      </c>
      <c r="D11">
        <v>2022</v>
      </c>
      <c r="E11" s="26">
        <f>0.75*INDEX('13 - Electrical Readings'!$H$8:$H$997,1+(2*(ROWS(A$1:A10)-1)))+INDEX('13 - Electrical Readings'!$Q$8:$Q$997,1+(2*(ROWS(A$1:A10)-1)))</f>
        <v>70312.25</v>
      </c>
      <c r="F11">
        <v>4.1000000000000002E-2</v>
      </c>
      <c r="G11" s="27">
        <f>0.75*INDEX('9 - Water Readings'!$F$8:$F$994,1+(2*(ROWS(A$1:A10)-1)))+INDEX('9 - Water Readings'!$M$8:$M$994,1+(2*(ROWS(A$1:A10)-1)))</f>
        <v>443</v>
      </c>
      <c r="H11" s="25">
        <v>1.5571912601017661</v>
      </c>
      <c r="I11" s="25">
        <f>'Submetering '!AA11</f>
        <v>77</v>
      </c>
      <c r="J11">
        <f>'Submetering '!AB11</f>
        <v>226</v>
      </c>
      <c r="K11">
        <f>'Submetering '!AC11</f>
        <v>11.2</v>
      </c>
    </row>
    <row r="12" spans="1:11" x14ac:dyDescent="0.25">
      <c r="A12" t="s">
        <v>11</v>
      </c>
      <c r="B12">
        <f t="shared" si="0"/>
        <v>11</v>
      </c>
      <c r="C12">
        <v>10</v>
      </c>
      <c r="D12">
        <v>2022</v>
      </c>
      <c r="E12" s="26">
        <f>0.75*INDEX('13 - Electrical Readings'!$H$8:$H$997,1+(2*(ROWS(A$1:A11)-1)))+INDEX('13 - Electrical Readings'!$Q$8:$Q$997,1+(2*(ROWS(A$1:A11)-1)))</f>
        <v>64106.5</v>
      </c>
      <c r="F12">
        <v>4.1000000000000002E-2</v>
      </c>
      <c r="G12" s="27">
        <f>0.75*INDEX('9 - Water Readings'!$F$8:$F$994,1+(2*(ROWS(A$1:A11)-1)))+INDEX('9 - Water Readings'!$M$8:$M$994,1+(2*(ROWS(A$1:A11)-1)))</f>
        <v>411</v>
      </c>
      <c r="H12" s="25">
        <v>1.5571912601017661</v>
      </c>
      <c r="I12" s="25">
        <f>'Submetering '!AA12</f>
        <v>68</v>
      </c>
      <c r="J12">
        <f>'Submetering '!AB12</f>
        <v>220</v>
      </c>
      <c r="K12">
        <f>'Submetering '!AC12</f>
        <v>12.1</v>
      </c>
    </row>
    <row r="13" spans="1:11" x14ac:dyDescent="0.25">
      <c r="A13" t="s">
        <v>11</v>
      </c>
      <c r="B13">
        <f t="shared" si="0"/>
        <v>12</v>
      </c>
      <c r="C13">
        <v>10</v>
      </c>
      <c r="D13">
        <v>2022</v>
      </c>
      <c r="E13" s="26">
        <f>0.75*INDEX('13 - Electrical Readings'!$H$8:$H$997,1+(2*(ROWS(A$1:A12)-1)))+INDEX('13 - Electrical Readings'!$Q$8:$Q$997,1+(2*(ROWS(A$1:A12)-1)))</f>
        <v>65374.75</v>
      </c>
      <c r="F13">
        <v>4.1000000000000002E-2</v>
      </c>
      <c r="G13" s="27">
        <f>0.75*INDEX('9 - Water Readings'!$F$8:$F$994,1+(2*(ROWS(A$1:A12)-1)))+INDEX('9 - Water Readings'!$M$8:$M$994,1+(2*(ROWS(A$1:A12)-1)))</f>
        <v>437</v>
      </c>
      <c r="H13" s="25">
        <v>1.5571912601017661</v>
      </c>
      <c r="I13" s="25">
        <f>'Submetering '!AA13</f>
        <v>78</v>
      </c>
      <c r="J13">
        <f>'Submetering '!AB13</f>
        <v>304</v>
      </c>
      <c r="K13">
        <f>'Submetering '!AC13</f>
        <v>11.4</v>
      </c>
    </row>
    <row r="14" spans="1:11" x14ac:dyDescent="0.25">
      <c r="A14" t="s">
        <v>11</v>
      </c>
      <c r="B14">
        <f t="shared" si="0"/>
        <v>13</v>
      </c>
      <c r="C14">
        <v>10</v>
      </c>
      <c r="D14">
        <v>2022</v>
      </c>
      <c r="E14" s="26">
        <f>0.75*INDEX('13 - Electrical Readings'!$H$8:$H$997,1+(2*(ROWS(A$1:A13)-1)))+INDEX('13 - Electrical Readings'!$Q$8:$Q$997,1+(2*(ROWS(A$1:A13)-1)))</f>
        <v>71871</v>
      </c>
      <c r="F14">
        <v>4.1000000000000002E-2</v>
      </c>
      <c r="G14" s="27">
        <f>0.75*INDEX('9 - Water Readings'!$F$8:$F$994,1+(2*(ROWS(A$1:A13)-1)))+INDEX('9 - Water Readings'!$M$8:$M$994,1+(2*(ROWS(A$1:A13)-1)))</f>
        <v>459</v>
      </c>
      <c r="H14" s="25">
        <v>1.5571912601017661</v>
      </c>
      <c r="I14" s="25">
        <f>'Submetering '!AA14</f>
        <v>132</v>
      </c>
      <c r="J14">
        <f>'Submetering '!AB14</f>
        <v>532</v>
      </c>
      <c r="K14">
        <f>'Submetering '!AC14</f>
        <v>10.5</v>
      </c>
    </row>
    <row r="15" spans="1:11" x14ac:dyDescent="0.25">
      <c r="A15" t="s">
        <v>11</v>
      </c>
      <c r="B15">
        <f t="shared" si="0"/>
        <v>14</v>
      </c>
      <c r="C15">
        <v>10</v>
      </c>
      <c r="D15">
        <v>2022</v>
      </c>
      <c r="E15" s="26">
        <f>0.75*INDEX('13 - Electrical Readings'!$H$8:$H$997,1+(2*(ROWS(A$1:A14)-1)))+INDEX('13 - Electrical Readings'!$Q$8:$Q$997,1+(2*(ROWS(A$1:A14)-1)))</f>
        <v>71654.75</v>
      </c>
      <c r="F15">
        <v>4.1000000000000002E-2</v>
      </c>
      <c r="G15" s="27">
        <f>0.75*INDEX('9 - Water Readings'!$F$8:$F$994,1+(2*(ROWS(A$1:A14)-1)))+INDEX('9 - Water Readings'!$M$8:$M$994,1+(2*(ROWS(A$1:A14)-1)))</f>
        <v>456</v>
      </c>
      <c r="H15" s="25">
        <v>1.5571912601017661</v>
      </c>
      <c r="I15" s="25">
        <f>'Submetering '!AA15</f>
        <v>151</v>
      </c>
      <c r="J15">
        <f>'Submetering '!AB15</f>
        <v>578</v>
      </c>
      <c r="K15">
        <f>'Submetering '!AC15</f>
        <v>10.3</v>
      </c>
    </row>
    <row r="16" spans="1:11" x14ac:dyDescent="0.25">
      <c r="A16" t="s">
        <v>11</v>
      </c>
      <c r="B16">
        <f t="shared" si="0"/>
        <v>15</v>
      </c>
      <c r="C16">
        <v>10</v>
      </c>
      <c r="D16">
        <v>2022</v>
      </c>
      <c r="E16" s="26">
        <f>0.75*INDEX('13 - Electrical Readings'!$H$8:$H$997,1+(2*(ROWS(A$1:A15)-1)))+INDEX('13 - Electrical Readings'!$Q$8:$Q$997,1+(2*(ROWS(A$1:A15)-1)))</f>
        <v>69542.75</v>
      </c>
      <c r="F16">
        <v>4.1000000000000002E-2</v>
      </c>
      <c r="G16" s="27">
        <f>0.75*INDEX('9 - Water Readings'!$F$8:$F$994,1+(2*(ROWS(A$1:A15)-1)))+INDEX('9 - Water Readings'!$M$8:$M$994,1+(2*(ROWS(A$1:A15)-1)))</f>
        <v>449</v>
      </c>
      <c r="H16" s="25">
        <v>1.5571912601017661</v>
      </c>
      <c r="I16" s="25">
        <f>'Submetering '!AA16</f>
        <v>87</v>
      </c>
      <c r="J16">
        <f>'Submetering '!AB16</f>
        <v>292</v>
      </c>
      <c r="K16">
        <f>'Submetering '!AC16</f>
        <v>10.5</v>
      </c>
    </row>
    <row r="17" spans="1:11" x14ac:dyDescent="0.25">
      <c r="A17" t="s">
        <v>11</v>
      </c>
      <c r="B17">
        <f t="shared" si="0"/>
        <v>16</v>
      </c>
      <c r="C17">
        <v>10</v>
      </c>
      <c r="D17">
        <v>2022</v>
      </c>
      <c r="E17" s="26">
        <f>0.75*INDEX('13 - Electrical Readings'!$H$8:$H$997,1+(2*(ROWS(A$1:A16)-1)))+INDEX('13 - Electrical Readings'!$Q$8:$Q$997,1+(2*(ROWS(A$1:A16)-1)))</f>
        <v>67465</v>
      </c>
      <c r="F17">
        <v>4.1000000000000002E-2</v>
      </c>
      <c r="G17" s="27">
        <f>0.75*INDEX('9 - Water Readings'!$F$8:$F$994,1+(2*(ROWS(A$1:A16)-1)))+INDEX('9 - Water Readings'!$M$8:$M$994,1+(2*(ROWS(A$1:A16)-1)))</f>
        <v>441</v>
      </c>
      <c r="H17" s="25">
        <v>1.5571912601017661</v>
      </c>
      <c r="I17" s="25">
        <f>'Submetering '!AA17</f>
        <v>93</v>
      </c>
      <c r="J17">
        <f>'Submetering '!AB17</f>
        <v>292</v>
      </c>
      <c r="K17">
        <f>'Submetering '!AC17</f>
        <v>11.3</v>
      </c>
    </row>
    <row r="18" spans="1:11" x14ac:dyDescent="0.25">
      <c r="A18" t="s">
        <v>11</v>
      </c>
      <c r="B18">
        <f t="shared" si="0"/>
        <v>17</v>
      </c>
      <c r="C18">
        <v>10</v>
      </c>
      <c r="D18">
        <v>2022</v>
      </c>
      <c r="E18" s="26">
        <f>0.75*INDEX('13 - Electrical Readings'!$H$8:$H$997,1+(2*(ROWS(A$1:A17)-1)))+INDEX('13 - Electrical Readings'!$Q$8:$Q$997,1+(2*(ROWS(A$1:A17)-1)))</f>
        <v>69205.25</v>
      </c>
      <c r="F18">
        <v>4.1000000000000002E-2</v>
      </c>
      <c r="G18" s="27">
        <f>0.75*INDEX('9 - Water Readings'!$F$8:$F$994,1+(2*(ROWS(A$1:A17)-1)))+INDEX('9 - Water Readings'!$M$8:$M$994,1+(2*(ROWS(A$1:A17)-1)))</f>
        <v>453</v>
      </c>
      <c r="H18" s="25">
        <v>1.5571912601017661</v>
      </c>
      <c r="I18" s="25">
        <f>'Submetering '!AA18</f>
        <v>141</v>
      </c>
      <c r="J18">
        <f>'Submetering '!AB18</f>
        <v>354</v>
      </c>
      <c r="K18">
        <f>'Submetering '!AC18</f>
        <v>10.9</v>
      </c>
    </row>
    <row r="19" spans="1:11" x14ac:dyDescent="0.25">
      <c r="A19" t="s">
        <v>11</v>
      </c>
      <c r="B19">
        <f t="shared" si="0"/>
        <v>18</v>
      </c>
      <c r="C19">
        <v>10</v>
      </c>
      <c r="D19">
        <v>2022</v>
      </c>
      <c r="E19" s="26">
        <f>0.75*INDEX('13 - Electrical Readings'!$H$8:$H$997,1+(2*(ROWS(A$1:A18)-1)))+INDEX('13 - Electrical Readings'!$Q$8:$Q$997,1+(2*(ROWS(A$1:A18)-1)))</f>
        <v>66625.25</v>
      </c>
      <c r="F19">
        <v>4.1000000000000002E-2</v>
      </c>
      <c r="G19" s="27">
        <f>0.75*INDEX('9 - Water Readings'!$F$8:$F$994,1+(2*(ROWS(A$1:A18)-1)))+INDEX('9 - Water Readings'!$M$8:$M$994,1+(2*(ROWS(A$1:A18)-1)))</f>
        <v>416</v>
      </c>
      <c r="H19" s="25">
        <v>1.5571912601017661</v>
      </c>
      <c r="I19" s="25">
        <f>'Submetering '!AA19</f>
        <v>150</v>
      </c>
      <c r="J19">
        <f>'Submetering '!AB19</f>
        <v>382</v>
      </c>
      <c r="K19">
        <f>'Submetering '!AC19</f>
        <v>11.1</v>
      </c>
    </row>
    <row r="20" spans="1:11" x14ac:dyDescent="0.25">
      <c r="A20" t="s">
        <v>11</v>
      </c>
      <c r="B20">
        <f t="shared" si="0"/>
        <v>19</v>
      </c>
      <c r="C20">
        <v>10</v>
      </c>
      <c r="D20">
        <v>2022</v>
      </c>
      <c r="E20" s="26">
        <f>0.75*INDEX('13 - Electrical Readings'!$H$8:$H$997,1+(2*(ROWS(A$1:A19)-1)))+INDEX('13 - Electrical Readings'!$Q$8:$Q$997,1+(2*(ROWS(A$1:A19)-1)))</f>
        <v>66856.5</v>
      </c>
      <c r="F20">
        <v>4.1000000000000002E-2</v>
      </c>
      <c r="G20" s="27">
        <f>0.75*INDEX('9 - Water Readings'!$F$8:$F$994,1+(2*(ROWS(A$1:A19)-1)))+INDEX('9 - Water Readings'!$M$8:$M$994,1+(2*(ROWS(A$1:A19)-1)))</f>
        <v>449</v>
      </c>
      <c r="H20" s="25">
        <v>1.5571912601017661</v>
      </c>
      <c r="I20" s="25">
        <f>'Submetering '!AA20</f>
        <v>110</v>
      </c>
      <c r="J20">
        <f>'Submetering '!AB20</f>
        <v>298</v>
      </c>
      <c r="K20">
        <f>'Submetering '!AC20</f>
        <v>10.5</v>
      </c>
    </row>
    <row r="21" spans="1:11" x14ac:dyDescent="0.25">
      <c r="A21" t="s">
        <v>11</v>
      </c>
      <c r="B21">
        <f t="shared" si="0"/>
        <v>20</v>
      </c>
      <c r="C21">
        <v>10</v>
      </c>
      <c r="D21">
        <v>2022</v>
      </c>
      <c r="E21" s="26">
        <f>0.75*INDEX('13 - Electrical Readings'!$H$8:$H$997,1+(2*(ROWS(A$1:A20)-1)))+INDEX('13 - Electrical Readings'!$Q$8:$Q$997,1+(2*(ROWS(A$1:A20)-1)))</f>
        <v>70276.25</v>
      </c>
      <c r="F21">
        <v>4.1000000000000002E-2</v>
      </c>
      <c r="G21" s="27">
        <f>0.75*INDEX('9 - Water Readings'!$F$8:$F$994,1+(2*(ROWS(A$1:A20)-1)))+INDEX('9 - Water Readings'!$M$8:$M$994,1+(2*(ROWS(A$1:A20)-1)))</f>
        <v>479.25</v>
      </c>
      <c r="H21" s="25">
        <v>1.5571912601017661</v>
      </c>
      <c r="I21" s="25">
        <f>'Submetering '!AA21</f>
        <v>135</v>
      </c>
      <c r="J21">
        <f>'Submetering '!AB21</f>
        <v>460</v>
      </c>
      <c r="K21">
        <f>'Submetering '!AC21</f>
        <v>10.1</v>
      </c>
    </row>
    <row r="22" spans="1:11" x14ac:dyDescent="0.25">
      <c r="A22" t="s">
        <v>11</v>
      </c>
      <c r="B22">
        <f t="shared" si="0"/>
        <v>21</v>
      </c>
      <c r="C22">
        <v>10</v>
      </c>
      <c r="D22">
        <v>2022</v>
      </c>
      <c r="E22" s="26">
        <f>0.75*INDEX('13 - Electrical Readings'!$H$8:$H$997,1+(2*(ROWS(A$1:A21)-1)))+INDEX('13 - Electrical Readings'!$Q$8:$Q$997,1+(2*(ROWS(A$1:A21)-1)))</f>
        <v>0</v>
      </c>
      <c r="F22">
        <v>4.1000000000000002E-2</v>
      </c>
      <c r="G22" s="27">
        <f>0.75*INDEX('9 - Water Readings'!$F$8:$F$994,1+(2*(ROWS(A$1:A21)-1)))+INDEX('9 - Water Readings'!$M$8:$M$994,1+(2*(ROWS(A$1:A21)-1)))</f>
        <v>0</v>
      </c>
      <c r="H22" s="25">
        <v>1.5571912601017661</v>
      </c>
      <c r="I22" s="25">
        <f>'Submetering '!AA22</f>
        <v>0</v>
      </c>
      <c r="J22">
        <f>'Submetering '!AB22</f>
        <v>0</v>
      </c>
      <c r="K22">
        <f>'Submetering '!AC22</f>
        <v>0</v>
      </c>
    </row>
    <row r="23" spans="1:11" x14ac:dyDescent="0.25">
      <c r="A23" t="s">
        <v>11</v>
      </c>
      <c r="B23">
        <f t="shared" si="0"/>
        <v>22</v>
      </c>
      <c r="C23">
        <v>10</v>
      </c>
      <c r="D23">
        <v>2022</v>
      </c>
      <c r="E23" s="26">
        <f>0.75*INDEX('13 - Electrical Readings'!$H$8:$H$997,1+(2*(ROWS(A$1:A22)-1)))+INDEX('13 - Electrical Readings'!$Q$8:$Q$997,1+(2*(ROWS(A$1:A22)-1)))</f>
        <v>0</v>
      </c>
      <c r="F23">
        <v>4.1000000000000002E-2</v>
      </c>
      <c r="G23" s="27">
        <f>0.75*INDEX('9 - Water Readings'!$F$8:$F$994,1+(2*(ROWS(A$1:A22)-1)))+INDEX('9 - Water Readings'!$M$8:$M$994,1+(2*(ROWS(A$1:A22)-1)))</f>
        <v>0</v>
      </c>
      <c r="H23" s="25">
        <v>1.5571912601017661</v>
      </c>
      <c r="I23" s="25">
        <f>'Submetering '!AA23</f>
        <v>0</v>
      </c>
      <c r="J23">
        <f>'Submetering '!AB23</f>
        <v>0</v>
      </c>
      <c r="K23">
        <f>'Submetering '!AC23</f>
        <v>0</v>
      </c>
    </row>
    <row r="24" spans="1:11" x14ac:dyDescent="0.25">
      <c r="A24" t="s">
        <v>11</v>
      </c>
      <c r="B24">
        <f t="shared" si="0"/>
        <v>23</v>
      </c>
      <c r="C24">
        <v>10</v>
      </c>
      <c r="D24">
        <v>2022</v>
      </c>
      <c r="E24" s="26">
        <f>0.75*INDEX('13 - Electrical Readings'!$H$8:$H$997,1+(2*(ROWS(A$1:A23)-1)))+INDEX('13 - Electrical Readings'!$Q$8:$Q$997,1+(2*(ROWS(A$1:A23)-1)))</f>
        <v>0</v>
      </c>
      <c r="F24">
        <v>4.1000000000000002E-2</v>
      </c>
      <c r="G24" s="27">
        <f>0.75*INDEX('9 - Water Readings'!$F$8:$F$994,1+(2*(ROWS(A$1:A23)-1)))+INDEX('9 - Water Readings'!$M$8:$M$994,1+(2*(ROWS(A$1:A23)-1)))</f>
        <v>0</v>
      </c>
      <c r="H24" s="25">
        <v>1.5571912601017661</v>
      </c>
      <c r="I24" s="25">
        <f>'Submetering '!AA24</f>
        <v>0</v>
      </c>
      <c r="J24">
        <f>'Submetering '!AB24</f>
        <v>0</v>
      </c>
      <c r="K24">
        <f>'Submetering '!AC24</f>
        <v>0</v>
      </c>
    </row>
    <row r="25" spans="1:11" x14ac:dyDescent="0.25">
      <c r="A25" t="s">
        <v>11</v>
      </c>
      <c r="B25">
        <f t="shared" si="0"/>
        <v>24</v>
      </c>
      <c r="C25">
        <v>10</v>
      </c>
      <c r="D25">
        <v>2022</v>
      </c>
      <c r="E25" s="26">
        <f>0.75*INDEX('13 - Electrical Readings'!$H$8:$H$997,1+(2*(ROWS(A$1:A24)-1)))+INDEX('13 - Electrical Readings'!$Q$8:$Q$997,1+(2*(ROWS(A$1:A24)-1)))</f>
        <v>0</v>
      </c>
      <c r="F25">
        <v>4.1000000000000002E-2</v>
      </c>
      <c r="G25" s="27">
        <f>0.75*INDEX('9 - Water Readings'!$F$8:$F$994,1+(2*(ROWS(A$1:A24)-1)))+INDEX('9 - Water Readings'!$M$8:$M$994,1+(2*(ROWS(A$1:A24)-1)))</f>
        <v>0</v>
      </c>
      <c r="H25" s="25">
        <v>1.5571912601017661</v>
      </c>
      <c r="I25" s="25">
        <f>'Submetering '!AA25</f>
        <v>0</v>
      </c>
      <c r="J25">
        <f>'Submetering '!AB25</f>
        <v>0</v>
      </c>
      <c r="K25">
        <f>'Submetering '!AC25</f>
        <v>0</v>
      </c>
    </row>
    <row r="26" spans="1:11" x14ac:dyDescent="0.25">
      <c r="A26" t="s">
        <v>11</v>
      </c>
      <c r="B26">
        <f>B25+1</f>
        <v>25</v>
      </c>
      <c r="C26">
        <v>10</v>
      </c>
      <c r="D26">
        <v>2022</v>
      </c>
      <c r="E26" s="26">
        <f>0.75*INDEX('13 - Electrical Readings'!$H$8:$H$997,1+(2*(ROWS(A$1:A25)-1)))+INDEX('13 - Electrical Readings'!$Q$8:$Q$997,1+(2*(ROWS(A$1:A25)-1)))</f>
        <v>0</v>
      </c>
      <c r="F26">
        <v>4.1000000000000002E-2</v>
      </c>
      <c r="G26" s="27">
        <f>0.75*INDEX('9 - Water Readings'!$F$8:$F$994,1+(2*(ROWS(A$1:A25)-1)))+INDEX('9 - Water Readings'!$M$8:$M$994,1+(2*(ROWS(A$1:A25)-1)))</f>
        <v>0</v>
      </c>
      <c r="H26" s="25">
        <v>1.5571912601017661</v>
      </c>
      <c r="I26" s="25">
        <f>'Submetering '!AA26</f>
        <v>0</v>
      </c>
      <c r="J26">
        <f>'Submetering '!AB26</f>
        <v>0</v>
      </c>
      <c r="K26">
        <f>'Submetering '!AC26</f>
        <v>0</v>
      </c>
    </row>
    <row r="27" spans="1:11" x14ac:dyDescent="0.25">
      <c r="A27" t="s">
        <v>11</v>
      </c>
      <c r="B27">
        <f t="shared" si="0"/>
        <v>26</v>
      </c>
      <c r="C27">
        <v>10</v>
      </c>
      <c r="D27">
        <v>2022</v>
      </c>
      <c r="E27" s="26">
        <f>0.75*INDEX('13 - Electrical Readings'!$H$8:$H$997,1+(2*(ROWS(A$1:A26)-1)))+INDEX('13 - Electrical Readings'!$Q$8:$Q$997,1+(2*(ROWS(A$1:A26)-1)))</f>
        <v>0</v>
      </c>
      <c r="F27">
        <v>4.1000000000000002E-2</v>
      </c>
      <c r="G27" s="27">
        <f>0.75*INDEX('9 - Water Readings'!$F$8:$F$994,1+(2*(ROWS(A$1:A26)-1)))+INDEX('9 - Water Readings'!$M$8:$M$994,1+(2*(ROWS(A$1:A26)-1)))</f>
        <v>0</v>
      </c>
      <c r="H27" s="25">
        <v>1.5571912601017661</v>
      </c>
      <c r="I27" s="25">
        <f>'Submetering '!AA27</f>
        <v>0</v>
      </c>
      <c r="J27">
        <f>'Submetering '!AB27</f>
        <v>0</v>
      </c>
      <c r="K27">
        <f>'Submetering '!AC27</f>
        <v>0</v>
      </c>
    </row>
    <row r="28" spans="1:11" x14ac:dyDescent="0.25">
      <c r="A28" t="s">
        <v>11</v>
      </c>
      <c r="B28">
        <f t="shared" si="0"/>
        <v>27</v>
      </c>
      <c r="C28">
        <v>10</v>
      </c>
      <c r="D28">
        <v>2022</v>
      </c>
      <c r="E28" s="26">
        <f>0.75*INDEX('13 - Electrical Readings'!$H$8:$H$997,1+(2*(ROWS(A$1:A27)-1)))+INDEX('13 - Electrical Readings'!$Q$8:$Q$997,1+(2*(ROWS(A$1:A27)-1)))</f>
        <v>0</v>
      </c>
      <c r="F28">
        <v>4.1000000000000002E-2</v>
      </c>
      <c r="G28" s="27">
        <f>0.75*INDEX('9 - Water Readings'!$F$8:$F$994,1+(2*(ROWS(A$1:A27)-1)))+INDEX('9 - Water Readings'!$M$8:$M$994,1+(2*(ROWS(A$1:A27)-1)))</f>
        <v>0</v>
      </c>
      <c r="H28" s="25">
        <v>1.5571912601017661</v>
      </c>
      <c r="I28" s="25">
        <f>'Submetering '!AA28</f>
        <v>0</v>
      </c>
      <c r="J28">
        <f>'Submetering '!AB28</f>
        <v>0</v>
      </c>
      <c r="K28">
        <f>'Submetering '!AC28</f>
        <v>0</v>
      </c>
    </row>
    <row r="29" spans="1:11" x14ac:dyDescent="0.25">
      <c r="A29" t="s">
        <v>11</v>
      </c>
      <c r="B29">
        <f t="shared" si="0"/>
        <v>28</v>
      </c>
      <c r="C29">
        <v>10</v>
      </c>
      <c r="D29">
        <v>2022</v>
      </c>
      <c r="E29" s="26">
        <f>0.75*INDEX('13 - Electrical Readings'!$H$8:$H$997,1+(2*(ROWS(A$1:A28)-1)))+INDEX('13 - Electrical Readings'!$Q$8:$Q$997,1+(2*(ROWS(A$1:A28)-1)))</f>
        <v>0</v>
      </c>
      <c r="F29">
        <v>4.1000000000000002E-2</v>
      </c>
      <c r="G29" s="27">
        <f>0.75*INDEX('9 - Water Readings'!$F$8:$F$994,1+(2*(ROWS(A$1:A28)-1)))+INDEX('9 - Water Readings'!$M$8:$M$994,1+(2*(ROWS(A$1:A28)-1)))</f>
        <v>0</v>
      </c>
      <c r="H29" s="25">
        <v>1.5571912601017661</v>
      </c>
      <c r="I29" s="25">
        <f>'Submetering '!AA29</f>
        <v>0</v>
      </c>
      <c r="J29">
        <f>'Submetering '!AB29</f>
        <v>0</v>
      </c>
      <c r="K29">
        <f>'Submetering '!AC29</f>
        <v>0</v>
      </c>
    </row>
    <row r="30" spans="1:11" x14ac:dyDescent="0.25">
      <c r="A30" t="s">
        <v>11</v>
      </c>
      <c r="B30">
        <f t="shared" si="0"/>
        <v>29</v>
      </c>
      <c r="C30">
        <v>10</v>
      </c>
      <c r="D30">
        <v>2022</v>
      </c>
      <c r="E30" s="26">
        <f>0.75*INDEX('13 - Electrical Readings'!$H$8:$H$997,1+(2*(ROWS(A$1:A29)-1)))+INDEX('13 - Electrical Readings'!$Q$8:$Q$997,1+(2*(ROWS(A$1:A29)-1)))</f>
        <v>0</v>
      </c>
      <c r="F30">
        <v>4.1000000000000002E-2</v>
      </c>
      <c r="G30" s="27">
        <f>0.75*INDEX('9 - Water Readings'!$F$8:$F$994,1+(2*(ROWS(A$1:A29)-1)))+INDEX('9 - Water Readings'!$M$8:$M$994,1+(2*(ROWS(A$1:A29)-1)))</f>
        <v>0</v>
      </c>
      <c r="H30" s="25">
        <v>1.5571912601017661</v>
      </c>
      <c r="I30" s="25">
        <f>'Submetering '!AA30</f>
        <v>0</v>
      </c>
      <c r="J30">
        <f>'Submetering '!AB30</f>
        <v>0</v>
      </c>
      <c r="K30">
        <f>'Submetering '!AC30</f>
        <v>0</v>
      </c>
    </row>
    <row r="31" spans="1:11" x14ac:dyDescent="0.25">
      <c r="A31" t="s">
        <v>11</v>
      </c>
      <c r="B31">
        <f>B30+1</f>
        <v>30</v>
      </c>
      <c r="C31">
        <v>10</v>
      </c>
      <c r="D31">
        <v>2022</v>
      </c>
      <c r="E31" s="26">
        <f>0.75*INDEX('13 - Electrical Readings'!$H$8:$H$997,1+(2*(ROWS(A$1:A30)-1)))+INDEX('13 - Electrical Readings'!$Q$8:$Q$997,1+(2*(ROWS(A$1:A30)-1)))</f>
        <v>0</v>
      </c>
      <c r="F31">
        <v>4.1000000000000002E-2</v>
      </c>
      <c r="G31" s="27">
        <f>0.75*INDEX('9 - Water Readings'!$F$8:$F$994,1+(2*(ROWS(A$1:A30)-1)))+INDEX('9 - Water Readings'!$M$8:$M$994,1+(2*(ROWS(A$1:A30)-1)))</f>
        <v>0</v>
      </c>
      <c r="H31" s="25">
        <v>1.5571912601017661</v>
      </c>
      <c r="I31" s="25">
        <f>'Submetering '!AA31</f>
        <v>0</v>
      </c>
      <c r="J31">
        <f>'Submetering '!AB31</f>
        <v>0</v>
      </c>
      <c r="K31">
        <f>'Submetering '!AC31</f>
        <v>0</v>
      </c>
    </row>
    <row r="32" spans="1:11" x14ac:dyDescent="0.25">
      <c r="A32" t="s">
        <v>11</v>
      </c>
      <c r="B32">
        <f>B31+1</f>
        <v>31</v>
      </c>
      <c r="C32">
        <v>10</v>
      </c>
      <c r="D32">
        <v>2022</v>
      </c>
      <c r="E32" s="26">
        <f>0.75*INDEX('13 - Electrical Readings'!$H$8:$H$997,1+(2*(ROWS(A$1:A31)-1)))+INDEX('13 - Electrical Readings'!$Q$8:$Q$997,1+(2*(ROWS(A$1:A31)-1)))</f>
        <v>0</v>
      </c>
      <c r="F32">
        <v>4.1000000000000002E-2</v>
      </c>
      <c r="G32" s="27">
        <f>0.75*INDEX('9 - Water Readings'!$F$8:$F$994,1+(2*(ROWS(A$1:A31)-1)))+INDEX('9 - Water Readings'!$M$8:$M$994,1+(2*(ROWS(A$1:A31)-1)))</f>
        <v>0</v>
      </c>
      <c r="H32" s="25">
        <v>1.5571912601017661</v>
      </c>
      <c r="I32" s="25">
        <f>'Submetering '!AA32</f>
        <v>0</v>
      </c>
      <c r="J32">
        <f>'Submetering '!AB32</f>
        <v>0</v>
      </c>
      <c r="K32">
        <f>'Submetering '!AC32</f>
        <v>0</v>
      </c>
    </row>
    <row r="33" spans="5:11" x14ac:dyDescent="0.25">
      <c r="E33" s="24">
        <f>SUM(E2:E31)</f>
        <v>1449867.75</v>
      </c>
      <c r="G33" s="24">
        <f>SUM(G2:G31)</f>
        <v>9075.75</v>
      </c>
      <c r="I33" s="24">
        <f>SUM(I2:I31)</f>
        <v>2220</v>
      </c>
      <c r="J33" s="24">
        <f>SUM(J2:J31)</f>
        <v>7086</v>
      </c>
      <c r="K33" s="24">
        <f>SUM(K2:K31)</f>
        <v>225.00000000000003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36"/>
  <sheetViews>
    <sheetView zoomScale="70" zoomScaleNormal="70" workbookViewId="0">
      <selection activeCell="S41" sqref="S41"/>
    </sheetView>
  </sheetViews>
  <sheetFormatPr defaultColWidth="11.5703125" defaultRowHeight="15" x14ac:dyDescent="0.25"/>
  <cols>
    <col min="1" max="3" width="11.5703125" style="36" customWidth="1"/>
    <col min="4" max="4" width="13.42578125" style="33" customWidth="1"/>
    <col min="5" max="6" width="12.5703125" style="34" customWidth="1"/>
    <col min="7" max="14" width="12.5703125" style="33" customWidth="1"/>
    <col min="15" max="15" width="14" style="34" bestFit="1" customWidth="1"/>
    <col min="16" max="26" width="11.5703125" style="34" customWidth="1"/>
    <col min="27" max="16384" width="11.5703125" style="33"/>
  </cols>
  <sheetData>
    <row r="1" spans="1:29" s="32" customFormat="1" ht="45.75" thickTop="1" x14ac:dyDescent="0.25">
      <c r="A1" s="39" t="s">
        <v>0</v>
      </c>
      <c r="B1" s="39" t="s">
        <v>1</v>
      </c>
      <c r="C1" s="39" t="s">
        <v>2</v>
      </c>
      <c r="D1" s="40" t="s">
        <v>3</v>
      </c>
      <c r="E1" s="41" t="s">
        <v>12</v>
      </c>
      <c r="F1" s="41" t="s">
        <v>13</v>
      </c>
      <c r="G1" s="41" t="s">
        <v>14</v>
      </c>
      <c r="H1" s="41" t="s">
        <v>15</v>
      </c>
      <c r="I1" s="41" t="s">
        <v>16</v>
      </c>
      <c r="J1" s="41" t="s">
        <v>17</v>
      </c>
      <c r="K1" s="29" t="s">
        <v>18</v>
      </c>
      <c r="L1" s="29" t="s">
        <v>19</v>
      </c>
      <c r="M1" s="29" t="s">
        <v>20</v>
      </c>
      <c r="N1" s="29" t="s">
        <v>21</v>
      </c>
      <c r="O1" s="30" t="s">
        <v>22</v>
      </c>
      <c r="P1" s="30" t="s">
        <v>23</v>
      </c>
      <c r="Q1" s="30" t="s">
        <v>24</v>
      </c>
      <c r="R1" s="30" t="s">
        <v>25</v>
      </c>
      <c r="S1" s="30" t="s">
        <v>26</v>
      </c>
      <c r="T1" s="30" t="s">
        <v>27</v>
      </c>
      <c r="U1" s="30" t="s">
        <v>28</v>
      </c>
      <c r="V1" s="30" t="s">
        <v>29</v>
      </c>
      <c r="W1" s="30" t="s">
        <v>30</v>
      </c>
      <c r="X1" s="30" t="s">
        <v>31</v>
      </c>
      <c r="Y1" s="30" t="s">
        <v>32</v>
      </c>
      <c r="Z1" s="30" t="s">
        <v>33</v>
      </c>
      <c r="AA1" s="31" t="s">
        <v>8</v>
      </c>
      <c r="AB1" s="31" t="s">
        <v>9</v>
      </c>
      <c r="AC1" s="31" t="s">
        <v>10</v>
      </c>
    </row>
    <row r="2" spans="1:29" x14ac:dyDescent="0.25">
      <c r="A2" s="36" t="s">
        <v>11</v>
      </c>
      <c r="B2" s="36">
        <v>1</v>
      </c>
      <c r="C2" s="36">
        <v>10</v>
      </c>
      <c r="D2" s="33">
        <v>2022</v>
      </c>
      <c r="E2" s="34">
        <f>INDEX('13 - Electrical Readings'!$C$8:$C$963,1+(2*(ROWS(A$1:A1)-1)))</f>
        <v>19591</v>
      </c>
      <c r="F2" s="34">
        <f>INDEX('13 - Electrical Readings'!$D$6:$D$963,1+(2*(ROWS(A$1:A2)-1)))</f>
        <v>13738</v>
      </c>
      <c r="G2" s="33">
        <f>INDEX('13 - Electrical Readings'!$E$6:$E$963,1+(2*(ROWS(A$1:A2)-1)))</f>
        <v>4680</v>
      </c>
      <c r="H2" s="33">
        <f>INDEX('13 - Electrical Readings'!$F$6:$F$963,1+(2*(ROWS(A$1:A2)-1)))</f>
        <v>4997</v>
      </c>
      <c r="I2" s="34">
        <f>INDEX('13 - Electrical Readings'!$G$6:$G$963,1+(2*(ROWS(A$1:A2)-1)))</f>
        <v>14</v>
      </c>
      <c r="J2" s="33">
        <f>INDEX('13 - Electrical Readings'!$I$6:$I$963,1+(2*(ROWS(A$1:A2)-1)))</f>
        <v>2464</v>
      </c>
      <c r="K2" s="33">
        <f>INDEX('13 - Electrical Readings'!$J$6:$J$963,1+(2*(ROWS(B$1:B2)-1)))</f>
        <v>9481</v>
      </c>
      <c r="L2" s="33">
        <f>INDEX('13 - Electrical Readings'!$K$6:$K$963,1+(2*(ROWS(C$1:C2)-1)))</f>
        <v>3109</v>
      </c>
      <c r="M2" s="33">
        <f>INDEX('13 - Electrical Readings'!$L$6:$L$963,1+(2*(ROWS(D$1:D2)-1)))</f>
        <v>4307</v>
      </c>
      <c r="N2" s="33">
        <f>INDEX('13 - Electrical Readings'!$M$6:$M$963,1+(2*(ROWS(E$1:E2)-1)))</f>
        <v>8738</v>
      </c>
      <c r="O2" s="34">
        <f>INDEX('13 - Electrical Readings'!$N$6:$N$963,1+(2*(ROWS(E$1:E2)-1)))</f>
        <v>8576</v>
      </c>
      <c r="P2" s="34">
        <f>INDEX('13 - Electrical Readings'!$O$6:$O$963,1+(2*(ROWS(E$1:E2)-1)))</f>
        <v>3435</v>
      </c>
      <c r="Q2" s="34">
        <f>INDEX('13 - Electrical Readings'!$P$6:$P$963,1+(2*(ROWS(E$1:E2)-1)))</f>
        <v>2940</v>
      </c>
      <c r="R2" s="34">
        <f>INDEX('9 - Water Readings'!$C$8:$C$964,1+(2*(ROWS(A$1:A1)-1)))</f>
        <v>0</v>
      </c>
      <c r="S2" s="34">
        <f>INDEX('9 - Water Readings'!$D$8:$D$963,1+(2*(ROWS(A$1:A1)-1)))</f>
        <v>0</v>
      </c>
      <c r="T2" s="34">
        <f>INDEX('9 - Water Readings'!$E$8:$E$964,1+(2*(ROWS(A$1:A1)-1)))</f>
        <v>0</v>
      </c>
      <c r="U2" s="34">
        <f>INDEX('9 - Water Readings'!$G$8:$G$963,1+(2*(ROWS(A$1:A1)-1)))</f>
        <v>111</v>
      </c>
      <c r="V2" s="34">
        <f>INDEX('9 - Water Readings'!$H$8:$H$964,1+(2*(ROWS(A$1:A1)-1)))</f>
        <v>17</v>
      </c>
      <c r="W2" s="34">
        <f>INDEX('9 - Water Readings'!$I$8:$I$964,1+(2*(ROWS(A$1:A1)-1)))</f>
        <v>56</v>
      </c>
      <c r="X2" s="34">
        <f>INDEX('9 - Water Readings'!$J$8:$J$964,1+(2*(ROWS(A$1:A1)-1)))</f>
        <v>220</v>
      </c>
      <c r="Y2" s="34">
        <f>INDEX('9 - Water Readings'!$K$8:$K$964,1+(2*(ROWS(A$1:A1)-1)))</f>
        <v>0</v>
      </c>
      <c r="Z2" s="34">
        <f>INDEX('9 - Water Readings'!$L$8:$L$964,1+(2*(ROWS(A$1:A1)-1)))</f>
        <v>60</v>
      </c>
      <c r="AA2" s="35">
        <f>'9 - Water Readings'!Q7</f>
        <v>92</v>
      </c>
      <c r="AB2" s="33">
        <f>'9 - Water Readings'!R7</f>
        <v>252</v>
      </c>
      <c r="AC2">
        <f>'9 - Water Readings'!S7</f>
        <v>11.5</v>
      </c>
    </row>
    <row r="3" spans="1:29" x14ac:dyDescent="0.25">
      <c r="A3" s="36" t="s">
        <v>11</v>
      </c>
      <c r="B3" s="36">
        <f>B2+1</f>
        <v>2</v>
      </c>
      <c r="C3" s="36">
        <v>10</v>
      </c>
      <c r="D3" s="33">
        <v>2022</v>
      </c>
      <c r="E3" s="34">
        <f>INDEX('13 - Electrical Readings'!$C$8:$C$963,1+(2*(ROWS(A$1:A2)-1)))</f>
        <v>18123</v>
      </c>
      <c r="F3" s="34">
        <f>INDEX('13 - Electrical Readings'!$D$6:$D$963,1+(2*(ROWS(A$1:A3)-1)))</f>
        <v>2466</v>
      </c>
      <c r="G3" s="33">
        <f>INDEX('13 - Electrical Readings'!$E$6:$E$963,1+(2*(ROWS(A$1:A3)-1)))</f>
        <v>4676</v>
      </c>
      <c r="H3" s="33">
        <f>INDEX('13 - Electrical Readings'!$F$6:$F$963,1+(2*(ROWS(A$1:A3)-1)))</f>
        <v>14718</v>
      </c>
      <c r="I3" s="34">
        <f>INDEX('13 - Electrical Readings'!$G$6:$G$963,1+(2*(ROWS(A$1:A3)-1)))</f>
        <v>13</v>
      </c>
      <c r="J3" s="33">
        <f>INDEX('13 - Electrical Readings'!$I$6:$I$963,1+(2*(ROWS(A$1:A3)-1)))</f>
        <v>2423</v>
      </c>
      <c r="K3" s="33">
        <f>INDEX('13 - Electrical Readings'!$J$6:$J$963,1+(2*(ROWS(B$1:B3)-1)))</f>
        <v>8398</v>
      </c>
      <c r="L3" s="33">
        <f>INDEX('13 - Electrical Readings'!$K$6:$K$963,1+(2*(ROWS(C$1:C3)-1)))</f>
        <v>3084</v>
      </c>
      <c r="M3" s="33">
        <f>INDEX('13 - Electrical Readings'!$L$6:$L$963,1+(2*(ROWS(D$1:D3)-1)))</f>
        <v>4112</v>
      </c>
      <c r="N3" s="33">
        <f>INDEX('13 - Electrical Readings'!$M$6:$M$963,1+(2*(ROWS(E$1:E3)-1)))</f>
        <v>8753</v>
      </c>
      <c r="O3" s="34">
        <f>INDEX('13 - Electrical Readings'!$N$6:$N$963,1+(2*(ROWS(E$1:E3)-1)))</f>
        <v>7652</v>
      </c>
      <c r="P3" s="34">
        <f>INDEX('13 - Electrical Readings'!$O$6:$O$963,1+(2*(ROWS(E$1:E3)-1)))</f>
        <v>3266</v>
      </c>
      <c r="Q3" s="34">
        <f>INDEX('13 - Electrical Readings'!$P$6:$P$963,1+(2*(ROWS(E$1:E3)-1)))</f>
        <v>2350</v>
      </c>
      <c r="R3" s="34">
        <f>INDEX('9 - Water Readings'!$C$8:$C$964,1+(2*(ROWS(A$1:A2)-1)))</f>
        <v>5</v>
      </c>
      <c r="S3" s="34">
        <f>INDEX('9 - Water Readings'!$D$8:$D$963,1+(2*(ROWS(A$1:A2)-1)))</f>
        <v>0</v>
      </c>
      <c r="T3" s="34">
        <f>INDEX('9 - Water Readings'!$E$8:$E$964,1+(2*(ROWS(A$1:A2)-1)))</f>
        <v>0</v>
      </c>
      <c r="U3" s="34">
        <f>INDEX('9 - Water Readings'!$G$8:$G$963,1+(2*(ROWS(A$1:A2)-1)))</f>
        <v>108</v>
      </c>
      <c r="V3" s="34">
        <f>INDEX('9 - Water Readings'!$H$8:$H$964,1+(2*(ROWS(A$1:A2)-1)))</f>
        <v>8</v>
      </c>
      <c r="W3" s="34">
        <f>INDEX('9 - Water Readings'!$I$8:$I$964,1+(2*(ROWS(A$1:A2)-1)))</f>
        <v>32</v>
      </c>
      <c r="X3" s="34">
        <f>INDEX('9 - Water Readings'!$J$8:$J$964,1+(2*(ROWS(A$1:A2)-1)))</f>
        <v>227</v>
      </c>
      <c r="Y3" s="34">
        <f>INDEX('9 - Water Readings'!$K$8:$K$964,1+(2*(ROWS(A$1:A2)-1)))</f>
        <v>0</v>
      </c>
      <c r="Z3" s="34">
        <f>INDEX('9 - Water Readings'!$L$8:$L$964,1+(2*(ROWS(A$1:A2)-1)))</f>
        <v>52</v>
      </c>
      <c r="AA3" s="35">
        <f>'9 - Water Readings'!Q8</f>
        <v>95</v>
      </c>
      <c r="AB3" s="33">
        <f>'9 - Water Readings'!R8</f>
        <v>242</v>
      </c>
      <c r="AC3">
        <f>'9 - Water Readings'!S8</f>
        <v>12.4</v>
      </c>
    </row>
    <row r="4" spans="1:29" x14ac:dyDescent="0.25">
      <c r="A4" s="36" t="s">
        <v>11</v>
      </c>
      <c r="B4" s="36">
        <f t="shared" ref="B4:B29" si="0">B3+1</f>
        <v>3</v>
      </c>
      <c r="C4" s="36">
        <v>10</v>
      </c>
      <c r="D4" s="33">
        <v>2022</v>
      </c>
      <c r="E4" s="34">
        <f>INDEX('13 - Electrical Readings'!$C$8:$C$963,1+(2*(ROWS(A$1:A3)-1)))</f>
        <v>19981</v>
      </c>
      <c r="F4" s="34">
        <f>INDEX('13 - Electrical Readings'!$D$6:$D$963,1+(2*(ROWS(A$1:A4)-1)))</f>
        <v>686</v>
      </c>
      <c r="G4" s="33">
        <f>INDEX('13 - Electrical Readings'!$E$6:$E$963,1+(2*(ROWS(A$1:A4)-1)))</f>
        <v>4767</v>
      </c>
      <c r="H4" s="33">
        <f>INDEX('13 - Electrical Readings'!$F$6:$F$963,1+(2*(ROWS(A$1:A4)-1)))</f>
        <v>18194</v>
      </c>
      <c r="I4" s="34">
        <f>INDEX('13 - Electrical Readings'!$G$6:$G$963,1+(2*(ROWS(A$1:A4)-1)))</f>
        <v>21</v>
      </c>
      <c r="J4" s="33">
        <f>INDEX('13 - Electrical Readings'!$I$6:$I$963,1+(2*(ROWS(A$1:A4)-1)))</f>
        <v>2486</v>
      </c>
      <c r="K4" s="33">
        <f>INDEX('13 - Electrical Readings'!$J$6:$J$963,1+(2*(ROWS(B$1:B4)-1)))</f>
        <v>9059</v>
      </c>
      <c r="L4" s="33">
        <f>INDEX('13 - Electrical Readings'!$K$6:$K$963,1+(2*(ROWS(C$1:C4)-1)))</f>
        <v>3527</v>
      </c>
      <c r="M4" s="33">
        <f>INDEX('13 - Electrical Readings'!$L$6:$L$963,1+(2*(ROWS(D$1:D4)-1)))</f>
        <v>4581</v>
      </c>
      <c r="N4" s="33">
        <f>INDEX('13 - Electrical Readings'!$M$6:$M$963,1+(2*(ROWS(E$1:E4)-1)))</f>
        <v>9411</v>
      </c>
      <c r="O4" s="34">
        <f>INDEX('13 - Electrical Readings'!$N$6:$N$963,1+(2*(ROWS(E$1:E4)-1)))</f>
        <v>8297</v>
      </c>
      <c r="P4" s="34">
        <f>INDEX('13 - Electrical Readings'!$O$6:$O$963,1+(2*(ROWS(E$1:E4)-1)))</f>
        <v>3256</v>
      </c>
      <c r="Q4" s="34">
        <f>INDEX('13 - Electrical Readings'!$P$6:$P$963,1+(2*(ROWS(E$1:E4)-1)))</f>
        <v>2710</v>
      </c>
      <c r="R4" s="34">
        <f>INDEX('9 - Water Readings'!$C$8:$C$964,1+(2*(ROWS(A$1:A3)-1)))</f>
        <v>0</v>
      </c>
      <c r="S4" s="34">
        <f>INDEX('9 - Water Readings'!$D$8:$D$963,1+(2*(ROWS(A$1:A3)-1)))</f>
        <v>0</v>
      </c>
      <c r="T4" s="34">
        <f>INDEX('9 - Water Readings'!$E$8:$E$964,1+(2*(ROWS(A$1:A3)-1)))</f>
        <v>0</v>
      </c>
      <c r="U4" s="34">
        <f>INDEX('9 - Water Readings'!$G$8:$G$963,1+(2*(ROWS(A$1:A3)-1)))</f>
        <v>111</v>
      </c>
      <c r="V4" s="34">
        <f>INDEX('9 - Water Readings'!$H$8:$H$964,1+(2*(ROWS(A$1:A3)-1)))</f>
        <v>21</v>
      </c>
      <c r="W4" s="34">
        <f>INDEX('9 - Water Readings'!$I$8:$I$964,1+(2*(ROWS(A$1:A3)-1)))</f>
        <v>46</v>
      </c>
      <c r="X4" s="34">
        <f>INDEX('9 - Water Readings'!$J$8:$J$964,1+(2*(ROWS(A$1:A3)-1)))</f>
        <v>232</v>
      </c>
      <c r="Y4" s="34">
        <f>INDEX('9 - Water Readings'!$K$8:$K$964,1+(2*(ROWS(A$1:A3)-1)))</f>
        <v>0</v>
      </c>
      <c r="Z4" s="34">
        <f>INDEX('9 - Water Readings'!$L$8:$L$964,1+(2*(ROWS(A$1:A3)-1)))</f>
        <v>56</v>
      </c>
      <c r="AA4" s="35">
        <f>'9 - Water Readings'!Q9</f>
        <v>109</v>
      </c>
      <c r="AB4" s="33">
        <f>'9 - Water Readings'!R9</f>
        <v>282</v>
      </c>
      <c r="AC4">
        <f>'9 - Water Readings'!S9</f>
        <v>10.8</v>
      </c>
    </row>
    <row r="5" spans="1:29" x14ac:dyDescent="0.25">
      <c r="A5" s="36" t="s">
        <v>11</v>
      </c>
      <c r="B5" s="36">
        <f t="shared" si="0"/>
        <v>4</v>
      </c>
      <c r="C5" s="36">
        <v>10</v>
      </c>
      <c r="D5" s="33">
        <v>2022</v>
      </c>
      <c r="E5" s="34">
        <f>INDEX('13 - Electrical Readings'!$C$8:$C$963,1+(2*(ROWS(A$1:A4)-1)))</f>
        <v>20429</v>
      </c>
      <c r="F5" s="34">
        <f>INDEX('13 - Electrical Readings'!$D$6:$D$963,1+(2*(ROWS(A$1:A5)-1)))</f>
        <v>725</v>
      </c>
      <c r="G5" s="33">
        <f>INDEX('13 - Electrical Readings'!$E$6:$E$963,1+(2*(ROWS(A$1:A5)-1)))</f>
        <v>5445</v>
      </c>
      <c r="H5" s="33">
        <f>INDEX('13 - Electrical Readings'!$F$6:$F$963,1+(2*(ROWS(A$1:A5)-1)))</f>
        <v>18346</v>
      </c>
      <c r="I5" s="34">
        <f>INDEX('13 - Electrical Readings'!$G$6:$G$963,1+(2*(ROWS(A$1:A5)-1)))</f>
        <v>6376</v>
      </c>
      <c r="J5" s="33">
        <f>INDEX('13 - Electrical Readings'!$I$6:$I$963,1+(2*(ROWS(A$1:A5)-1)))</f>
        <v>2471</v>
      </c>
      <c r="K5" s="33">
        <f>INDEX('13 - Electrical Readings'!$J$6:$J$963,1+(2*(ROWS(B$1:B5)-1)))</f>
        <v>9329</v>
      </c>
      <c r="L5" s="33">
        <f>INDEX('13 - Electrical Readings'!$K$6:$K$963,1+(2*(ROWS(C$1:C5)-1)))</f>
        <v>3274</v>
      </c>
      <c r="M5" s="33">
        <f>INDEX('13 - Electrical Readings'!$L$6:$L$963,1+(2*(ROWS(D$1:D5)-1)))</f>
        <v>4457</v>
      </c>
      <c r="N5" s="33">
        <f>INDEX('13 - Electrical Readings'!$M$6:$M$963,1+(2*(ROWS(E$1:E5)-1)))</f>
        <v>9309</v>
      </c>
      <c r="O5" s="34">
        <f>INDEX('13 - Electrical Readings'!$N$6:$N$963,1+(2*(ROWS(E$1:E5)-1)))</f>
        <v>8385</v>
      </c>
      <c r="P5" s="34">
        <f>INDEX('13 - Electrical Readings'!$O$6:$O$963,1+(2*(ROWS(E$1:E5)-1)))</f>
        <v>3508</v>
      </c>
      <c r="Q5" s="34">
        <f>INDEX('13 - Electrical Readings'!$P$6:$P$963,1+(2*(ROWS(E$1:E5)-1)))</f>
        <v>3020</v>
      </c>
      <c r="R5" s="34">
        <f>INDEX('9 - Water Readings'!$C$8:$C$964,1+(2*(ROWS(A$1:A4)-1)))</f>
        <v>0</v>
      </c>
      <c r="S5" s="34">
        <f>INDEX('9 - Water Readings'!$D$8:$D$963,1+(2*(ROWS(A$1:A4)-1)))</f>
        <v>1</v>
      </c>
      <c r="T5" s="34">
        <f>INDEX('9 - Water Readings'!$E$8:$E$964,1+(2*(ROWS(A$1:A4)-1)))</f>
        <v>0</v>
      </c>
      <c r="U5" s="34">
        <f>INDEX('9 - Water Readings'!$G$8:$G$963,1+(2*(ROWS(A$1:A4)-1)))</f>
        <v>108</v>
      </c>
      <c r="V5" s="34">
        <f>INDEX('9 - Water Readings'!$H$8:$H$964,1+(2*(ROWS(A$1:A4)-1)))</f>
        <v>17</v>
      </c>
      <c r="W5" s="34">
        <f>INDEX('9 - Water Readings'!$I$8:$I$964,1+(2*(ROWS(A$1:A4)-1)))</f>
        <v>52</v>
      </c>
      <c r="X5" s="34">
        <f>INDEX('9 - Water Readings'!$J$8:$J$964,1+(2*(ROWS(A$1:A4)-1)))</f>
        <v>217</v>
      </c>
      <c r="Y5" s="34">
        <f>INDEX('9 - Water Readings'!$K$8:$K$964,1+(2*(ROWS(A$1:A4)-1)))</f>
        <v>0</v>
      </c>
      <c r="Z5" s="34">
        <f>INDEX('9 - Water Readings'!$L$8:$L$964,1+(2*(ROWS(A$1:A4)-1)))</f>
        <v>49</v>
      </c>
      <c r="AA5" s="35">
        <f>'9 - Water Readings'!Q10</f>
        <v>113</v>
      </c>
      <c r="AB5" s="33">
        <f>'9 - Water Readings'!R10</f>
        <v>334</v>
      </c>
      <c r="AC5">
        <f>'9 - Water Readings'!S10</f>
        <v>11.2</v>
      </c>
    </row>
    <row r="6" spans="1:29" x14ac:dyDescent="0.25">
      <c r="A6" s="36" t="s">
        <v>11</v>
      </c>
      <c r="B6" s="36">
        <f t="shared" si="0"/>
        <v>5</v>
      </c>
      <c r="C6" s="36">
        <v>10</v>
      </c>
      <c r="D6" s="33">
        <v>2022</v>
      </c>
      <c r="E6" s="34">
        <f>INDEX('13 - Electrical Readings'!$C$8:$C$963,1+(2*(ROWS(A$1:A5)-1)))</f>
        <v>19214</v>
      </c>
      <c r="F6" s="34">
        <f>INDEX('13 - Electrical Readings'!$D$6:$D$963,1+(2*(ROWS(A$1:A6)-1)))</f>
        <v>792</v>
      </c>
      <c r="G6" s="33">
        <f>INDEX('13 - Electrical Readings'!$E$6:$E$963,1+(2*(ROWS(A$1:A6)-1)))</f>
        <v>5249</v>
      </c>
      <c r="H6" s="33">
        <f>INDEX('13 - Electrical Readings'!$F$6:$F$963,1+(2*(ROWS(A$1:A6)-1)))</f>
        <v>17538</v>
      </c>
      <c r="I6" s="34">
        <f>INDEX('13 - Electrical Readings'!$G$6:$G$963,1+(2*(ROWS(A$1:A6)-1)))</f>
        <v>4303</v>
      </c>
      <c r="J6" s="33">
        <f>INDEX('13 - Electrical Readings'!$I$6:$I$963,1+(2*(ROWS(A$1:A6)-1)))</f>
        <v>2550</v>
      </c>
      <c r="K6" s="33">
        <f>INDEX('13 - Electrical Readings'!$J$6:$J$963,1+(2*(ROWS(B$1:B6)-1)))</f>
        <v>9257</v>
      </c>
      <c r="L6" s="33">
        <f>INDEX('13 - Electrical Readings'!$K$6:$K$963,1+(2*(ROWS(C$1:C6)-1)))</f>
        <v>3298</v>
      </c>
      <c r="M6" s="33">
        <f>INDEX('13 - Electrical Readings'!$L$6:$L$963,1+(2*(ROWS(D$1:D6)-1)))</f>
        <v>4451</v>
      </c>
      <c r="N6" s="33">
        <f>INDEX('13 - Electrical Readings'!$M$6:$M$963,1+(2*(ROWS(E$1:E6)-1)))</f>
        <v>9224</v>
      </c>
      <c r="O6" s="34">
        <f>INDEX('13 - Electrical Readings'!$N$6:$N$963,1+(2*(ROWS(E$1:E6)-1)))</f>
        <v>8563</v>
      </c>
      <c r="P6" s="34">
        <f>INDEX('13 - Electrical Readings'!$O$6:$O$963,1+(2*(ROWS(E$1:E6)-1)))</f>
        <v>3373</v>
      </c>
      <c r="Q6" s="34">
        <f>INDEX('13 - Electrical Readings'!$P$6:$P$963,1+(2*(ROWS(E$1:E6)-1)))</f>
        <v>2880</v>
      </c>
      <c r="R6" s="34">
        <f>INDEX('9 - Water Readings'!$C$8:$C$964,1+(2*(ROWS(A$1:A5)-1)))</f>
        <v>0</v>
      </c>
      <c r="S6" s="34">
        <f>INDEX('9 - Water Readings'!$D$8:$D$963,1+(2*(ROWS(A$1:A5)-1)))</f>
        <v>0</v>
      </c>
      <c r="T6" s="34">
        <f>INDEX('9 - Water Readings'!$E$8:$E$964,1+(2*(ROWS(A$1:A5)-1)))</f>
        <v>0</v>
      </c>
      <c r="U6" s="34">
        <f>INDEX('9 - Water Readings'!$G$8:$G$963,1+(2*(ROWS(A$1:A5)-1)))</f>
        <v>109</v>
      </c>
      <c r="V6" s="34">
        <f>INDEX('9 - Water Readings'!$H$8:$H$964,1+(2*(ROWS(A$1:A5)-1)))</f>
        <v>17</v>
      </c>
      <c r="W6" s="34">
        <f>INDEX('9 - Water Readings'!$I$8:$I$964,1+(2*(ROWS(A$1:A5)-1)))</f>
        <v>51</v>
      </c>
      <c r="X6" s="34">
        <f>INDEX('9 - Water Readings'!$J$8:$J$964,1+(2*(ROWS(A$1:A5)-1)))</f>
        <v>232</v>
      </c>
      <c r="Y6" s="34">
        <f>INDEX('9 - Water Readings'!$K$8:$K$964,1+(2*(ROWS(A$1:A5)-1)))</f>
        <v>0</v>
      </c>
      <c r="Z6" s="34">
        <f>INDEX('9 - Water Readings'!$L$8:$L$964,1+(2*(ROWS(A$1:A5)-1)))</f>
        <v>57</v>
      </c>
      <c r="AA6" s="35">
        <f>'9 - Water Readings'!Q11</f>
        <v>122</v>
      </c>
      <c r="AB6" s="33">
        <f>'9 - Water Readings'!R11</f>
        <v>386</v>
      </c>
      <c r="AC6">
        <f>'9 - Water Readings'!S11</f>
        <v>12.4</v>
      </c>
    </row>
    <row r="7" spans="1:29" x14ac:dyDescent="0.25">
      <c r="A7" s="36" t="s">
        <v>11</v>
      </c>
      <c r="B7" s="36">
        <f t="shared" si="0"/>
        <v>6</v>
      </c>
      <c r="C7" s="36">
        <v>10</v>
      </c>
      <c r="D7" s="33">
        <v>2022</v>
      </c>
      <c r="E7" s="34">
        <f>INDEX('13 - Electrical Readings'!$C$8:$C$963,1+(2*(ROWS(A$1:A6)-1)))</f>
        <v>19550</v>
      </c>
      <c r="F7" s="34">
        <f>INDEX('13 - Electrical Readings'!$D$6:$D$963,1+(2*(ROWS(A$1:A7)-1)))</f>
        <v>796</v>
      </c>
      <c r="G7" s="33">
        <f>INDEX('13 - Electrical Readings'!$E$6:$E$963,1+(2*(ROWS(A$1:A7)-1)))</f>
        <v>4644</v>
      </c>
      <c r="H7" s="33">
        <f>INDEX('13 - Electrical Readings'!$F$6:$F$963,1+(2*(ROWS(A$1:A7)-1)))</f>
        <v>17204</v>
      </c>
      <c r="I7" s="34">
        <f>INDEX('13 - Electrical Readings'!$G$6:$G$963,1+(2*(ROWS(A$1:A7)-1)))</f>
        <v>13</v>
      </c>
      <c r="J7" s="33">
        <f>INDEX('13 - Electrical Readings'!$I$6:$I$963,1+(2*(ROWS(A$1:A7)-1)))</f>
        <v>2322</v>
      </c>
      <c r="K7" s="33">
        <f>INDEX('13 - Electrical Readings'!$J$6:$J$963,1+(2*(ROWS(B$1:B7)-1)))</f>
        <v>9523</v>
      </c>
      <c r="L7" s="33">
        <f>INDEX('13 - Electrical Readings'!$K$6:$K$963,1+(2*(ROWS(C$1:C7)-1)))</f>
        <v>3647</v>
      </c>
      <c r="M7" s="33">
        <f>INDEX('13 - Electrical Readings'!$L$6:$L$963,1+(2*(ROWS(D$1:D7)-1)))</f>
        <v>4507</v>
      </c>
      <c r="N7" s="33">
        <f>INDEX('13 - Electrical Readings'!$M$6:$M$963,1+(2*(ROWS(E$1:E7)-1)))</f>
        <v>9179</v>
      </c>
      <c r="O7" s="34">
        <f>INDEX('13 - Electrical Readings'!$N$6:$N$963,1+(2*(ROWS(E$1:E7)-1)))</f>
        <v>9246</v>
      </c>
      <c r="P7" s="34">
        <f>INDEX('13 - Electrical Readings'!$O$6:$O$963,1+(2*(ROWS(E$1:E7)-1)))</f>
        <v>3468</v>
      </c>
      <c r="Q7" s="34">
        <f>INDEX('13 - Electrical Readings'!$P$6:$P$963,1+(2*(ROWS(E$1:E7)-1)))</f>
        <v>2930</v>
      </c>
      <c r="R7" s="34">
        <f>INDEX('9 - Water Readings'!$C$8:$C$964,1+(2*(ROWS(A$1:A6)-1)))</f>
        <v>0</v>
      </c>
      <c r="S7" s="34">
        <f>INDEX('9 - Water Readings'!$D$8:$D$963,1+(2*(ROWS(A$1:A6)-1)))</f>
        <v>0</v>
      </c>
      <c r="T7" s="34">
        <f>INDEX('9 - Water Readings'!$E$8:$E$964,1+(2*(ROWS(A$1:A6)-1)))</f>
        <v>0</v>
      </c>
      <c r="U7" s="34">
        <f>INDEX('9 - Water Readings'!$G$8:$G$963,1+(2*(ROWS(A$1:A6)-1)))</f>
        <v>112</v>
      </c>
      <c r="V7" s="34">
        <f>INDEX('9 - Water Readings'!$H$8:$H$964,1+(2*(ROWS(A$1:A6)-1)))</f>
        <v>18</v>
      </c>
      <c r="W7" s="34">
        <f>INDEX('9 - Water Readings'!$I$8:$I$964,1+(2*(ROWS(A$1:A6)-1)))</f>
        <v>54</v>
      </c>
      <c r="X7" s="34">
        <f>INDEX('9 - Water Readings'!$J$8:$J$964,1+(2*(ROWS(A$1:A6)-1)))</f>
        <v>261</v>
      </c>
      <c r="Y7" s="34">
        <f>INDEX('9 - Water Readings'!$K$8:$K$964,1+(2*(ROWS(A$1:A6)-1)))</f>
        <v>0</v>
      </c>
      <c r="Z7" s="34">
        <f>INDEX('9 - Water Readings'!$L$8:$L$964,1+(2*(ROWS(A$1:A6)-1)))</f>
        <v>60</v>
      </c>
      <c r="AA7" s="35">
        <f>'9 - Water Readings'!Q12</f>
        <v>168</v>
      </c>
      <c r="AB7" s="33">
        <f>'9 - Water Readings'!R12</f>
        <v>578</v>
      </c>
      <c r="AC7">
        <f>'9 - Water Readings'!S12</f>
        <v>13.3</v>
      </c>
    </row>
    <row r="8" spans="1:29" x14ac:dyDescent="0.25">
      <c r="A8" s="36" t="s">
        <v>11</v>
      </c>
      <c r="B8" s="36">
        <f t="shared" si="0"/>
        <v>7</v>
      </c>
      <c r="C8" s="36">
        <v>10</v>
      </c>
      <c r="D8" s="33">
        <v>2022</v>
      </c>
      <c r="E8" s="34">
        <f>INDEX('13 - Electrical Readings'!$C$8:$C$963,1+(2*(ROWS(A$1:A7)-1)))</f>
        <v>19975</v>
      </c>
      <c r="F8" s="34">
        <f>INDEX('13 - Electrical Readings'!$D$6:$D$963,1+(2*(ROWS(A$1:A8)-1)))</f>
        <v>809</v>
      </c>
      <c r="G8" s="33">
        <f>INDEX('13 - Electrical Readings'!$E$6:$E$963,1+(2*(ROWS(A$1:A8)-1)))</f>
        <v>5180</v>
      </c>
      <c r="H8" s="33">
        <f>INDEX('13 - Electrical Readings'!$F$6:$F$963,1+(2*(ROWS(A$1:A8)-1)))</f>
        <v>18609</v>
      </c>
      <c r="I8" s="34">
        <f>INDEX('13 - Electrical Readings'!$G$6:$G$963,1+(2*(ROWS(A$1:A8)-1)))</f>
        <v>3688</v>
      </c>
      <c r="J8" s="33">
        <f>INDEX('13 - Electrical Readings'!$I$6:$I$963,1+(2*(ROWS(A$1:A8)-1)))</f>
        <v>2223</v>
      </c>
      <c r="K8" s="33">
        <f>INDEX('13 - Electrical Readings'!$J$6:$J$963,1+(2*(ROWS(B$1:B8)-1)))</f>
        <v>9521</v>
      </c>
      <c r="L8" s="33">
        <f>INDEX('13 - Electrical Readings'!$K$6:$K$963,1+(2*(ROWS(C$1:C8)-1)))</f>
        <v>3574</v>
      </c>
      <c r="M8" s="33">
        <f>INDEX('13 - Electrical Readings'!$L$6:$L$963,1+(2*(ROWS(D$1:D8)-1)))</f>
        <v>4397</v>
      </c>
      <c r="N8" s="33">
        <f>INDEX('13 - Electrical Readings'!$M$6:$M$963,1+(2*(ROWS(E$1:E8)-1)))</f>
        <v>9177</v>
      </c>
      <c r="O8" s="34">
        <f>INDEX('13 - Electrical Readings'!$N$6:$N$963,1+(2*(ROWS(E$1:E8)-1)))</f>
        <v>9099</v>
      </c>
      <c r="P8" s="34">
        <f>INDEX('13 - Electrical Readings'!$O$6:$O$963,1+(2*(ROWS(E$1:E8)-1)))</f>
        <v>3399</v>
      </c>
      <c r="Q8" s="34">
        <f>INDEX('13 - Electrical Readings'!$P$6:$P$963,1+(2*(ROWS(E$1:E8)-1)))</f>
        <v>3160</v>
      </c>
      <c r="R8" s="34">
        <f>INDEX('9 - Water Readings'!$C$8:$C$964,1+(2*(ROWS(A$1:A7)-1)))</f>
        <v>0</v>
      </c>
      <c r="S8" s="34">
        <f>INDEX('9 - Water Readings'!$D$8:$D$963,1+(2*(ROWS(A$1:A7)-1)))</f>
        <v>0</v>
      </c>
      <c r="T8" s="34">
        <f>INDEX('9 - Water Readings'!$E$8:$E$964,1+(2*(ROWS(A$1:A7)-1)))</f>
        <v>0</v>
      </c>
      <c r="U8" s="34">
        <f>INDEX('9 - Water Readings'!$G$8:$G$963,1+(2*(ROWS(A$1:A7)-1)))</f>
        <v>119</v>
      </c>
      <c r="V8" s="34">
        <f>INDEX('9 - Water Readings'!$H$8:$H$964,1+(2*(ROWS(A$1:A7)-1)))</f>
        <v>18</v>
      </c>
      <c r="W8" s="34">
        <f>INDEX('9 - Water Readings'!$I$8:$I$964,1+(2*(ROWS(A$1:A7)-1)))</f>
        <v>61</v>
      </c>
      <c r="X8" s="34">
        <f>INDEX('9 - Water Readings'!$J$8:$J$964,1+(2*(ROWS(A$1:A7)-1)))</f>
        <v>265</v>
      </c>
      <c r="Y8" s="34">
        <f>INDEX('9 - Water Readings'!$K$8:$K$964,1+(2*(ROWS(A$1:A7)-1)))</f>
        <v>0</v>
      </c>
      <c r="Z8" s="34">
        <f>INDEX('9 - Water Readings'!$L$8:$L$964,1+(2*(ROWS(A$1:A7)-1)))</f>
        <v>57</v>
      </c>
      <c r="AA8" s="35">
        <f>'9 - Water Readings'!Q13</f>
        <v>143</v>
      </c>
      <c r="AB8" s="33">
        <f>'9 - Water Readings'!R13</f>
        <v>560</v>
      </c>
      <c r="AC8">
        <f>'9 - Water Readings'!S13</f>
        <v>11.2</v>
      </c>
    </row>
    <row r="9" spans="1:29" x14ac:dyDescent="0.25">
      <c r="A9" s="36" t="s">
        <v>11</v>
      </c>
      <c r="B9" s="36">
        <f t="shared" si="0"/>
        <v>8</v>
      </c>
      <c r="C9" s="36">
        <v>10</v>
      </c>
      <c r="D9" s="33">
        <v>2022</v>
      </c>
      <c r="E9" s="34">
        <f>INDEX('13 - Electrical Readings'!$C$8:$C$963,1+(2*(ROWS(A$1:A8)-1)))</f>
        <v>19921</v>
      </c>
      <c r="F9" s="34">
        <f>INDEX('13 - Electrical Readings'!$D$6:$D$963,1+(2*(ROWS(A$1:A9)-1)))</f>
        <v>794</v>
      </c>
      <c r="G9" s="33">
        <f>INDEX('13 - Electrical Readings'!$E$6:$E$963,1+(2*(ROWS(A$1:A9)-1)))</f>
        <v>5498</v>
      </c>
      <c r="H9" s="33">
        <f>INDEX('13 - Electrical Readings'!$F$6:$F$963,1+(2*(ROWS(A$1:A9)-1)))</f>
        <v>17945</v>
      </c>
      <c r="I9" s="34">
        <f>INDEX('13 - Electrical Readings'!$G$6:$G$963,1+(2*(ROWS(A$1:A9)-1)))</f>
        <v>6619</v>
      </c>
      <c r="J9" s="33">
        <f>INDEX('13 - Electrical Readings'!$I$6:$I$963,1+(2*(ROWS(A$1:A9)-1)))</f>
        <v>2320</v>
      </c>
      <c r="K9" s="33">
        <f>INDEX('13 - Electrical Readings'!$J$6:$J$963,1+(2*(ROWS(B$1:B9)-1)))</f>
        <v>9591</v>
      </c>
      <c r="L9" s="33">
        <f>INDEX('13 - Electrical Readings'!$K$6:$K$963,1+(2*(ROWS(C$1:C9)-1)))</f>
        <v>3378</v>
      </c>
      <c r="M9" s="33">
        <f>INDEX('13 - Electrical Readings'!$L$6:$L$963,1+(2*(ROWS(D$1:D9)-1)))</f>
        <v>4555</v>
      </c>
      <c r="N9" s="33">
        <f>INDEX('13 - Electrical Readings'!$M$6:$M$963,1+(2*(ROWS(E$1:E9)-1)))</f>
        <v>9372</v>
      </c>
      <c r="O9" s="34">
        <f>INDEX('13 - Electrical Readings'!$N$6:$N$963,1+(2*(ROWS(E$1:E9)-1)))</f>
        <v>9265</v>
      </c>
      <c r="P9" s="34">
        <f>INDEX('13 - Electrical Readings'!$O$6:$O$963,1+(2*(ROWS(E$1:E9)-1)))</f>
        <v>3599</v>
      </c>
      <c r="Q9" s="34">
        <f>INDEX('13 - Electrical Readings'!$P$6:$P$963,1+(2*(ROWS(E$1:E9)-1)))</f>
        <v>3110</v>
      </c>
      <c r="R9" s="34">
        <f>INDEX('9 - Water Readings'!$C$8:$C$964,1+(2*(ROWS(A$1:A8)-1)))</f>
        <v>0</v>
      </c>
      <c r="S9" s="34">
        <f>INDEX('9 - Water Readings'!$D$8:$D$963,1+(2*(ROWS(A$1:A8)-1)))</f>
        <v>0</v>
      </c>
      <c r="T9" s="34">
        <f>INDEX('9 - Water Readings'!$E$8:$E$964,1+(2*(ROWS(A$1:A8)-1)))</f>
        <v>0</v>
      </c>
      <c r="U9" s="34">
        <f>INDEX('9 - Water Readings'!$G$8:$G$963,1+(2*(ROWS(A$1:A8)-1)))</f>
        <v>116</v>
      </c>
      <c r="V9" s="34">
        <f>INDEX('9 - Water Readings'!$H$8:$H$964,1+(2*(ROWS(A$1:A8)-1)))</f>
        <v>17</v>
      </c>
      <c r="W9" s="34">
        <f>INDEX('9 - Water Readings'!$I$8:$I$964,1+(2*(ROWS(A$1:A8)-1)))</f>
        <v>51</v>
      </c>
      <c r="X9" s="34">
        <f>INDEX('9 - Water Readings'!$J$8:$J$964,1+(2*(ROWS(A$1:A8)-1)))</f>
        <v>254</v>
      </c>
      <c r="Y9" s="34">
        <f>INDEX('9 - Water Readings'!$K$8:$K$964,1+(2*(ROWS(A$1:A8)-1)))</f>
        <v>0</v>
      </c>
      <c r="Z9" s="34">
        <f>INDEX('9 - Water Readings'!$L$8:$L$964,1+(2*(ROWS(A$1:A8)-1)))</f>
        <v>42</v>
      </c>
      <c r="AA9" s="35">
        <f>'9 - Water Readings'!Q14</f>
        <v>73</v>
      </c>
      <c r="AB9" s="33">
        <f>'9 - Water Readings'!R14</f>
        <v>254</v>
      </c>
      <c r="AC9">
        <f>'9 - Water Readings'!S14</f>
        <v>11.1</v>
      </c>
    </row>
    <row r="10" spans="1:29" x14ac:dyDescent="0.25">
      <c r="A10" s="36" t="s">
        <v>11</v>
      </c>
      <c r="B10" s="36">
        <f t="shared" si="0"/>
        <v>9</v>
      </c>
      <c r="C10" s="36">
        <v>10</v>
      </c>
      <c r="D10" s="33">
        <v>2022</v>
      </c>
      <c r="E10" s="34">
        <f>INDEX('13 - Electrical Readings'!$C$8:$C$963,1+(2*(ROWS(A$1:A9)-1)))</f>
        <v>4628</v>
      </c>
      <c r="F10" s="34">
        <f>INDEX('13 - Electrical Readings'!$D$6:$D$963,1+(2*(ROWS(A$1:A10)-1)))</f>
        <v>4768</v>
      </c>
      <c r="G10" s="33">
        <f>INDEX('13 - Electrical Readings'!$E$6:$E$963,1+(2*(ROWS(A$1:A10)-1)))</f>
        <v>14920</v>
      </c>
      <c r="H10" s="33">
        <f>INDEX('13 - Electrical Readings'!$F$6:$F$963,1+(2*(ROWS(A$1:A10)-1)))</f>
        <v>17410</v>
      </c>
      <c r="I10" s="34">
        <f>INDEX('13 - Electrical Readings'!$G$6:$G$963,1+(2*(ROWS(A$1:A10)-1)))</f>
        <v>13</v>
      </c>
      <c r="J10" s="33">
        <f>INDEX('13 - Electrical Readings'!$I$6:$I$963,1+(2*(ROWS(A$1:A10)-1)))</f>
        <v>2131</v>
      </c>
      <c r="K10" s="33">
        <f>INDEX('13 - Electrical Readings'!$J$6:$J$963,1+(2*(ROWS(B$1:B10)-1)))</f>
        <v>9204</v>
      </c>
      <c r="L10" s="33">
        <f>INDEX('13 - Electrical Readings'!$K$6:$K$963,1+(2*(ROWS(C$1:C10)-1)))</f>
        <v>3427</v>
      </c>
      <c r="M10" s="33">
        <f>INDEX('13 - Electrical Readings'!$L$6:$L$963,1+(2*(ROWS(D$1:D10)-1)))</f>
        <v>4282</v>
      </c>
      <c r="N10" s="33">
        <f>INDEX('13 - Electrical Readings'!$M$6:$M$963,1+(2*(ROWS(E$1:E10)-1)))</f>
        <v>8890</v>
      </c>
      <c r="O10" s="34">
        <f>INDEX('13 - Electrical Readings'!$N$6:$N$963,1+(2*(ROWS(E$1:E10)-1)))</f>
        <v>8721</v>
      </c>
      <c r="P10" s="34">
        <f>INDEX('13 - Electrical Readings'!$O$6:$O$963,1+(2*(ROWS(E$1:E10)-1)))</f>
        <v>3217</v>
      </c>
      <c r="Q10" s="34">
        <f>INDEX('13 - Electrical Readings'!$P$6:$P$963,1+(2*(ROWS(E$1:E10)-1)))</f>
        <v>2330</v>
      </c>
      <c r="R10" s="34">
        <f>INDEX('9 - Water Readings'!$C$8:$C$964,1+(2*(ROWS(A$1:A9)-1)))</f>
        <v>0</v>
      </c>
      <c r="S10" s="34">
        <f>INDEX('9 - Water Readings'!$D$8:$D$963,1+(2*(ROWS(A$1:A9)-1)))</f>
        <v>0</v>
      </c>
      <c r="T10" s="34">
        <f>INDEX('9 - Water Readings'!$E$8:$E$964,1+(2*(ROWS(A$1:A9)-1)))</f>
        <v>0</v>
      </c>
      <c r="U10" s="34">
        <f>INDEX('9 - Water Readings'!$G$8:$G$963,1+(2*(ROWS(A$1:A9)-1)))</f>
        <v>102</v>
      </c>
      <c r="V10" s="34">
        <f>INDEX('9 - Water Readings'!$H$8:$H$964,1+(2*(ROWS(A$1:A9)-1)))</f>
        <v>15</v>
      </c>
      <c r="W10" s="34">
        <f>INDEX('9 - Water Readings'!$I$8:$I$964,1+(2*(ROWS(A$1:A9)-1)))</f>
        <v>33</v>
      </c>
      <c r="X10" s="34">
        <f>INDEX('9 - Water Readings'!$J$8:$J$964,1+(2*(ROWS(A$1:A9)-1)))</f>
        <v>239</v>
      </c>
      <c r="Y10" s="34">
        <f>INDEX('9 - Water Readings'!$K$8:$K$964,1+(2*(ROWS(A$1:A9)-1)))</f>
        <v>0</v>
      </c>
      <c r="Z10" s="34">
        <f>INDEX('9 - Water Readings'!$L$8:$L$964,1+(2*(ROWS(A$1:A9)-1)))</f>
        <v>18</v>
      </c>
      <c r="AA10" s="35">
        <f>'9 - Water Readings'!Q15</f>
        <v>83</v>
      </c>
      <c r="AB10" s="33">
        <f>'9 - Water Readings'!R15</f>
        <v>260</v>
      </c>
      <c r="AC10">
        <f>'9 - Water Readings'!S15</f>
        <v>11.2</v>
      </c>
    </row>
    <row r="11" spans="1:29" x14ac:dyDescent="0.25">
      <c r="A11" s="36" t="s">
        <v>11</v>
      </c>
      <c r="B11" s="36">
        <f t="shared" si="0"/>
        <v>10</v>
      </c>
      <c r="C11" s="36">
        <v>10</v>
      </c>
      <c r="D11" s="33">
        <v>2022</v>
      </c>
      <c r="E11" s="34">
        <f>INDEX('13 - Electrical Readings'!$C$8:$C$963,1+(2*(ROWS(A$1:A10)-1)))</f>
        <v>3</v>
      </c>
      <c r="F11" s="34">
        <f>INDEX('13 - Electrical Readings'!$D$6:$D$963,1+(2*(ROWS(A$1:A11)-1)))</f>
        <v>6119</v>
      </c>
      <c r="G11" s="33">
        <f>INDEX('13 - Electrical Readings'!$E$6:$E$963,1+(2*(ROWS(A$1:A11)-1)))</f>
        <v>16801</v>
      </c>
      <c r="H11" s="33">
        <f>INDEX('13 - Electrical Readings'!$F$6:$F$963,1+(2*(ROWS(A$1:A11)-1)))</f>
        <v>12742</v>
      </c>
      <c r="I11" s="34">
        <f>INDEX('13 - Electrical Readings'!$G$6:$G$963,1+(2*(ROWS(A$1:A11)-1)))</f>
        <v>14</v>
      </c>
      <c r="J11" s="33">
        <f>INDEX('13 - Electrical Readings'!$I$6:$I$963,1+(2*(ROWS(A$1:A11)-1)))</f>
        <v>2261</v>
      </c>
      <c r="K11" s="33">
        <f>INDEX('13 - Electrical Readings'!$J$6:$J$963,1+(2*(ROWS(B$1:B11)-1)))</f>
        <v>9372</v>
      </c>
      <c r="L11" s="33">
        <f>INDEX('13 - Electrical Readings'!$K$6:$K$963,1+(2*(ROWS(C$1:C11)-1)))</f>
        <v>3436</v>
      </c>
      <c r="M11" s="33">
        <f>INDEX('13 - Electrical Readings'!$L$6:$L$963,1+(2*(ROWS(D$1:D11)-1)))</f>
        <v>4372</v>
      </c>
      <c r="N11" s="33">
        <f>INDEX('13 - Electrical Readings'!$M$6:$M$963,1+(2*(ROWS(E$1:E11)-1)))</f>
        <v>8932</v>
      </c>
      <c r="O11" s="34">
        <f>INDEX('13 - Electrical Readings'!$N$6:$N$963,1+(2*(ROWS(E$1:E11)-1)))</f>
        <v>9027</v>
      </c>
      <c r="P11" s="34">
        <f>INDEX('13 - Electrical Readings'!$O$6:$O$963,1+(2*(ROWS(E$1:E11)-1)))</f>
        <v>3323</v>
      </c>
      <c r="Q11" s="34">
        <f>INDEX('13 - Electrical Readings'!$P$6:$P$963,1+(2*(ROWS(E$1:E11)-1)))</f>
        <v>2830</v>
      </c>
      <c r="R11" s="34">
        <f>INDEX('9 - Water Readings'!$C$8:$C$964,1+(2*(ROWS(A$1:A10)-1)))</f>
        <v>0</v>
      </c>
      <c r="S11" s="34">
        <f>INDEX('9 - Water Readings'!$D$8:$D$963,1+(2*(ROWS(A$1:A10)-1)))</f>
        <v>0</v>
      </c>
      <c r="T11" s="34">
        <f>INDEX('9 - Water Readings'!$E$8:$E$964,1+(2*(ROWS(A$1:A10)-1)))</f>
        <v>0</v>
      </c>
      <c r="U11" s="34">
        <f>INDEX('9 - Water Readings'!$G$8:$G$963,1+(2*(ROWS(A$1:A10)-1)))</f>
        <v>120</v>
      </c>
      <c r="V11" s="34">
        <f>INDEX('9 - Water Readings'!$H$8:$H$964,1+(2*(ROWS(A$1:A10)-1)))</f>
        <v>16</v>
      </c>
      <c r="W11" s="34">
        <f>INDEX('9 - Water Readings'!$I$8:$I$964,1+(2*(ROWS(A$1:A10)-1)))</f>
        <v>47</v>
      </c>
      <c r="X11" s="34">
        <f>INDEX('9 - Water Readings'!$J$8:$J$964,1+(2*(ROWS(A$1:A10)-1)))</f>
        <v>218</v>
      </c>
      <c r="Y11" s="34">
        <f>INDEX('9 - Water Readings'!$K$8:$K$964,1+(2*(ROWS(A$1:A10)-1)))</f>
        <v>0</v>
      </c>
      <c r="Z11" s="34">
        <f>INDEX('9 - Water Readings'!$L$8:$L$964,1+(2*(ROWS(A$1:A10)-1)))</f>
        <v>42</v>
      </c>
      <c r="AA11" s="35">
        <f>'9 - Water Readings'!Q16</f>
        <v>77</v>
      </c>
      <c r="AB11" s="33">
        <f>'9 - Water Readings'!R16</f>
        <v>226</v>
      </c>
      <c r="AC11">
        <f>'9 - Water Readings'!S16</f>
        <v>11.2</v>
      </c>
    </row>
    <row r="12" spans="1:29" x14ac:dyDescent="0.25">
      <c r="A12" s="36" t="s">
        <v>11</v>
      </c>
      <c r="B12" s="36">
        <f t="shared" si="0"/>
        <v>11</v>
      </c>
      <c r="C12" s="36">
        <v>10</v>
      </c>
      <c r="D12" s="33">
        <v>2022</v>
      </c>
      <c r="E12" s="34">
        <f>INDEX('13 - Electrical Readings'!$C$8:$C$963,1+(2*(ROWS(A$1:A11)-1)))</f>
        <v>3</v>
      </c>
      <c r="F12" s="34">
        <f>INDEX('13 - Electrical Readings'!$D$6:$D$963,1+(2*(ROWS(A$1:A12)-1)))</f>
        <v>12768</v>
      </c>
      <c r="G12" s="33">
        <f>INDEX('13 - Electrical Readings'!$E$6:$E$963,1+(2*(ROWS(A$1:A12)-1)))</f>
        <v>12087</v>
      </c>
      <c r="H12" s="33">
        <f>INDEX('13 - Electrical Readings'!$F$6:$F$963,1+(2*(ROWS(A$1:A12)-1)))</f>
        <v>4494</v>
      </c>
      <c r="I12" s="34">
        <f>INDEX('13 - Electrical Readings'!$G$6:$G$963,1+(2*(ROWS(A$1:A12)-1)))</f>
        <v>18</v>
      </c>
      <c r="J12" s="33">
        <f>INDEX('13 - Electrical Readings'!$I$6:$I$963,1+(2*(ROWS(A$1:A12)-1)))</f>
        <v>2164</v>
      </c>
      <c r="K12" s="33">
        <f>INDEX('13 - Electrical Readings'!$J$6:$J$963,1+(2*(ROWS(B$1:B12)-1)))</f>
        <v>9421</v>
      </c>
      <c r="L12" s="33">
        <f>INDEX('13 - Electrical Readings'!$K$6:$K$963,1+(2*(ROWS(C$1:C12)-1)))</f>
        <v>3087</v>
      </c>
      <c r="M12" s="33">
        <f>INDEX('13 - Electrical Readings'!$L$6:$L$963,1+(2*(ROWS(D$1:D12)-1)))</f>
        <v>4352</v>
      </c>
      <c r="N12" s="33">
        <f>INDEX('13 - Electrical Readings'!$M$6:$M$963,1+(2*(ROWS(E$1:E12)-1)))</f>
        <v>8037</v>
      </c>
      <c r="O12" s="34">
        <f>INDEX('13 - Electrical Readings'!$N$6:$N$963,1+(2*(ROWS(E$1:E12)-1)))</f>
        <v>8893</v>
      </c>
      <c r="P12" s="34">
        <f>INDEX('13 - Electrical Readings'!$O$6:$O$963,1+(2*(ROWS(E$1:E12)-1)))</f>
        <v>3215</v>
      </c>
      <c r="Q12" s="34">
        <f>INDEX('13 - Electrical Readings'!$P$6:$P$963,1+(2*(ROWS(E$1:E12)-1)))</f>
        <v>2910</v>
      </c>
      <c r="R12" s="34">
        <f>INDEX('9 - Water Readings'!$C$8:$C$964,1+(2*(ROWS(A$1:A11)-1)))</f>
        <v>0</v>
      </c>
      <c r="S12" s="34">
        <f>INDEX('9 - Water Readings'!$D$8:$D$963,1+(2*(ROWS(A$1:A11)-1)))</f>
        <v>0</v>
      </c>
      <c r="T12" s="34">
        <f>INDEX('9 - Water Readings'!$E$8:$E$964,1+(2*(ROWS(A$1:A11)-1)))</f>
        <v>0</v>
      </c>
      <c r="U12" s="34">
        <f>INDEX('9 - Water Readings'!$G$8:$G$963,1+(2*(ROWS(A$1:A11)-1)))</f>
        <v>108</v>
      </c>
      <c r="V12" s="34">
        <f>INDEX('9 - Water Readings'!$H$8:$H$964,1+(2*(ROWS(A$1:A11)-1)))</f>
        <v>14</v>
      </c>
      <c r="W12" s="34">
        <f>INDEX('9 - Water Readings'!$I$8:$I$964,1+(2*(ROWS(A$1:A11)-1)))</f>
        <v>50</v>
      </c>
      <c r="X12" s="34">
        <f>INDEX('9 - Water Readings'!$J$8:$J$964,1+(2*(ROWS(A$1:A11)-1)))</f>
        <v>205</v>
      </c>
      <c r="Y12" s="34">
        <f>INDEX('9 - Water Readings'!$K$8:$K$964,1+(2*(ROWS(A$1:A11)-1)))</f>
        <v>0</v>
      </c>
      <c r="Z12" s="34">
        <f>INDEX('9 - Water Readings'!$L$8:$L$964,1+(2*(ROWS(A$1:A11)-1)))</f>
        <v>34</v>
      </c>
      <c r="AA12" s="35">
        <f>'9 - Water Readings'!Q17</f>
        <v>68</v>
      </c>
      <c r="AB12" s="33">
        <f>'9 - Water Readings'!R17</f>
        <v>220</v>
      </c>
      <c r="AC12">
        <f>'9 - Water Readings'!S17</f>
        <v>12.1</v>
      </c>
    </row>
    <row r="13" spans="1:29" x14ac:dyDescent="0.25">
      <c r="A13" s="36" t="s">
        <v>11</v>
      </c>
      <c r="B13" s="36">
        <f t="shared" si="0"/>
        <v>12</v>
      </c>
      <c r="C13" s="36">
        <v>10</v>
      </c>
      <c r="D13" s="33">
        <v>2022</v>
      </c>
      <c r="E13" s="34">
        <f>INDEX('13 - Electrical Readings'!$C$8:$C$963,1+(2*(ROWS(A$1:A12)-1)))</f>
        <v>10</v>
      </c>
      <c r="F13" s="34">
        <f>INDEX('13 - Electrical Readings'!$D$6:$D$963,1+(2*(ROWS(A$1:A13)-1)))</f>
        <v>9583</v>
      </c>
      <c r="G13" s="33">
        <f>INDEX('13 - Electrical Readings'!$E$6:$E$963,1+(2*(ROWS(A$1:A13)-1)))</f>
        <v>16245</v>
      </c>
      <c r="H13" s="33">
        <f>INDEX('13 - Electrical Readings'!$F$6:$F$963,1+(2*(ROWS(A$1:A13)-1)))</f>
        <v>4300</v>
      </c>
      <c r="I13" s="34">
        <f>INDEX('13 - Electrical Readings'!$G$6:$G$963,1+(2*(ROWS(A$1:A13)-1)))</f>
        <v>15</v>
      </c>
      <c r="J13" s="33">
        <f>INDEX('13 - Electrical Readings'!$I$6:$I$963,1+(2*(ROWS(A$1:A13)-1)))</f>
        <v>2228</v>
      </c>
      <c r="K13" s="33">
        <f>INDEX('13 - Electrical Readings'!$J$6:$J$963,1+(2*(ROWS(B$1:B13)-1)))</f>
        <v>9478</v>
      </c>
      <c r="L13" s="33">
        <f>INDEX('13 - Electrical Readings'!$K$6:$K$963,1+(2*(ROWS(C$1:C13)-1)))</f>
        <v>3122</v>
      </c>
      <c r="M13" s="33">
        <f>INDEX('13 - Electrical Readings'!$L$6:$L$963,1+(2*(ROWS(D$1:D13)-1)))</f>
        <v>4373</v>
      </c>
      <c r="N13" s="33">
        <f>INDEX('13 - Electrical Readings'!$M$6:$M$963,1+(2*(ROWS(E$1:E13)-1)))</f>
        <v>8477</v>
      </c>
      <c r="O13" s="34">
        <f>INDEX('13 - Electrical Readings'!$N$6:$N$963,1+(2*(ROWS(E$1:E13)-1)))</f>
        <v>8905</v>
      </c>
      <c r="P13" s="34">
        <f>INDEX('13 - Electrical Readings'!$O$6:$O$963,1+(2*(ROWS(E$1:E13)-1)))</f>
        <v>3217</v>
      </c>
      <c r="Q13" s="34">
        <f>INDEX('13 - Electrical Readings'!$P$6:$P$963,1+(2*(ROWS(E$1:E13)-1)))</f>
        <v>2960</v>
      </c>
      <c r="R13" s="34">
        <f>INDEX('9 - Water Readings'!$C$8:$C$964,1+(2*(ROWS(A$1:A12)-1)))</f>
        <v>0</v>
      </c>
      <c r="S13" s="34">
        <f>INDEX('9 - Water Readings'!$D$8:$D$963,1+(2*(ROWS(A$1:A12)-1)))</f>
        <v>0</v>
      </c>
      <c r="T13" s="34">
        <f>INDEX('9 - Water Readings'!$E$8:$E$964,1+(2*(ROWS(A$1:A12)-1)))</f>
        <v>0</v>
      </c>
      <c r="U13" s="34">
        <f>INDEX('9 - Water Readings'!$G$8:$G$963,1+(2*(ROWS(A$1:A12)-1)))</f>
        <v>113</v>
      </c>
      <c r="V13" s="34">
        <f>INDEX('9 - Water Readings'!$H$8:$H$964,1+(2*(ROWS(A$1:A12)-1)))</f>
        <v>18</v>
      </c>
      <c r="W13" s="34">
        <f>INDEX('9 - Water Readings'!$I$8:$I$964,1+(2*(ROWS(A$1:A12)-1)))</f>
        <v>64</v>
      </c>
      <c r="X13" s="34">
        <f>INDEX('9 - Water Readings'!$J$8:$J$964,1+(2*(ROWS(A$1:A12)-1)))</f>
        <v>214</v>
      </c>
      <c r="Y13" s="34">
        <f>INDEX('9 - Water Readings'!$K$8:$K$964,1+(2*(ROWS(A$1:A12)-1)))</f>
        <v>0</v>
      </c>
      <c r="Z13" s="34">
        <f>INDEX('9 - Water Readings'!$L$8:$L$964,1+(2*(ROWS(A$1:A12)-1)))</f>
        <v>28</v>
      </c>
      <c r="AA13" s="35">
        <f>'9 - Water Readings'!Q18</f>
        <v>78</v>
      </c>
      <c r="AB13" s="33">
        <f>'9 - Water Readings'!R18</f>
        <v>304</v>
      </c>
      <c r="AC13">
        <f>'9 - Water Readings'!S18</f>
        <v>11.4</v>
      </c>
    </row>
    <row r="14" spans="1:29" x14ac:dyDescent="0.25">
      <c r="A14" s="36" t="s">
        <v>11</v>
      </c>
      <c r="B14" s="36">
        <f t="shared" si="0"/>
        <v>13</v>
      </c>
      <c r="C14" s="36">
        <v>10</v>
      </c>
      <c r="D14" s="33">
        <v>2022</v>
      </c>
      <c r="E14" s="34">
        <f>INDEX('13 - Electrical Readings'!$C$8:$C$963,1+(2*(ROWS(A$1:A13)-1)))</f>
        <v>4</v>
      </c>
      <c r="F14" s="34">
        <f>INDEX('13 - Electrical Readings'!$D$6:$D$963,1+(2*(ROWS(A$1:A14)-1)))</f>
        <v>14122</v>
      </c>
      <c r="G14" s="33">
        <f>INDEX('13 - Electrical Readings'!$E$6:$E$963,1+(2*(ROWS(A$1:A14)-1)))</f>
        <v>17329</v>
      </c>
      <c r="H14" s="33">
        <f>INDEX('13 - Electrical Readings'!$F$6:$F$963,1+(2*(ROWS(A$1:A14)-1)))</f>
        <v>4746</v>
      </c>
      <c r="I14" s="34">
        <f>INDEX('13 - Electrical Readings'!$G$6:$G$963,1+(2*(ROWS(A$1:A14)-1)))</f>
        <v>19</v>
      </c>
      <c r="J14" s="33">
        <f>INDEX('13 - Electrical Readings'!$I$6:$I$963,1+(2*(ROWS(A$1:A14)-1)))</f>
        <v>2218</v>
      </c>
      <c r="K14" s="33">
        <f>INDEX('13 - Electrical Readings'!$J$6:$J$963,1+(2*(ROWS(B$1:B14)-1)))</f>
        <v>9603</v>
      </c>
      <c r="L14" s="33">
        <f>INDEX('13 - Electrical Readings'!$K$6:$K$963,1+(2*(ROWS(C$1:C14)-1)))</f>
        <v>3497</v>
      </c>
      <c r="M14" s="33">
        <f>INDEX('13 - Electrical Readings'!$L$6:$L$963,1+(2*(ROWS(D$1:D14)-1)))</f>
        <v>4511</v>
      </c>
      <c r="N14" s="33">
        <f>INDEX('13 - Electrical Readings'!$M$6:$M$963,1+(2*(ROWS(E$1:E14)-1)))</f>
        <v>9081</v>
      </c>
      <c r="O14" s="34">
        <f>INDEX('13 - Electrical Readings'!$N$6:$N$963,1+(2*(ROWS(E$1:E14)-1)))</f>
        <v>9436</v>
      </c>
      <c r="P14" s="34">
        <f>INDEX('13 - Electrical Readings'!$O$6:$O$963,1+(2*(ROWS(E$1:E14)-1)))</f>
        <v>3300</v>
      </c>
      <c r="Q14" s="34">
        <f>INDEX('13 - Electrical Readings'!$P$6:$P$963,1+(2*(ROWS(E$1:E14)-1)))</f>
        <v>3060</v>
      </c>
      <c r="R14" s="34">
        <f>INDEX('9 - Water Readings'!$C$8:$C$964,1+(2*(ROWS(A$1:A13)-1)))</f>
        <v>0</v>
      </c>
      <c r="S14" s="34">
        <f>INDEX('9 - Water Readings'!$D$8:$D$963,1+(2*(ROWS(A$1:A13)-1)))</f>
        <v>0</v>
      </c>
      <c r="T14" s="34">
        <f>INDEX('9 - Water Readings'!$E$8:$E$964,1+(2*(ROWS(A$1:A13)-1)))</f>
        <v>0</v>
      </c>
      <c r="U14" s="34">
        <f>INDEX('9 - Water Readings'!$G$8:$G$963,1+(2*(ROWS(A$1:A13)-1)))</f>
        <v>112</v>
      </c>
      <c r="V14" s="34">
        <f>INDEX('9 - Water Readings'!$H$8:$H$964,1+(2*(ROWS(A$1:A13)-1)))</f>
        <v>15</v>
      </c>
      <c r="W14" s="34">
        <f>INDEX('9 - Water Readings'!$I$8:$I$964,1+(2*(ROWS(A$1:A13)-1)))</f>
        <v>58</v>
      </c>
      <c r="X14" s="34">
        <f>INDEX('9 - Water Readings'!$J$8:$J$964,1+(2*(ROWS(A$1:A13)-1)))</f>
        <v>234</v>
      </c>
      <c r="Y14" s="34">
        <f>INDEX('9 - Water Readings'!$K$8:$K$964,1+(2*(ROWS(A$1:A13)-1)))</f>
        <v>0</v>
      </c>
      <c r="Z14" s="34">
        <f>INDEX('9 - Water Readings'!$L$8:$L$964,1+(2*(ROWS(A$1:A13)-1)))</f>
        <v>40</v>
      </c>
      <c r="AA14" s="35">
        <f>'9 - Water Readings'!Q19</f>
        <v>132</v>
      </c>
      <c r="AB14" s="33">
        <f>'9 - Water Readings'!R19</f>
        <v>532</v>
      </c>
      <c r="AC14">
        <f>'9 - Water Readings'!S19</f>
        <v>10.5</v>
      </c>
    </row>
    <row r="15" spans="1:29" x14ac:dyDescent="0.25">
      <c r="A15" s="36" t="s">
        <v>11</v>
      </c>
      <c r="B15" s="36">
        <f t="shared" si="0"/>
        <v>14</v>
      </c>
      <c r="C15" s="36">
        <v>10</v>
      </c>
      <c r="D15" s="33">
        <v>2022</v>
      </c>
      <c r="E15" s="34">
        <f>INDEX('13 - Electrical Readings'!$C$8:$C$963,1+(2*(ROWS(A$1:A14)-1)))</f>
        <v>3</v>
      </c>
      <c r="F15" s="34">
        <f>INDEX('13 - Electrical Readings'!$D$6:$D$963,1+(2*(ROWS(A$1:A15)-1)))</f>
        <v>14063</v>
      </c>
      <c r="G15" s="33">
        <f>INDEX('13 - Electrical Readings'!$E$6:$E$963,1+(2*(ROWS(A$1:A15)-1)))</f>
        <v>17361</v>
      </c>
      <c r="H15" s="33">
        <f>INDEX('13 - Electrical Readings'!$F$6:$F$963,1+(2*(ROWS(A$1:A15)-1)))</f>
        <v>4988</v>
      </c>
      <c r="I15" s="34">
        <f>INDEX('13 - Electrical Readings'!$G$6:$G$963,1+(2*(ROWS(A$1:A15)-1)))</f>
        <v>22</v>
      </c>
      <c r="J15" s="33">
        <f>INDEX('13 - Electrical Readings'!$I$6:$I$963,1+(2*(ROWS(A$1:A15)-1)))</f>
        <v>2208</v>
      </c>
      <c r="K15" s="33">
        <f>INDEX('13 - Electrical Readings'!$J$6:$J$963,1+(2*(ROWS(B$1:B15)-1)))</f>
        <v>9642</v>
      </c>
      <c r="L15" s="33">
        <f>INDEX('13 - Electrical Readings'!$K$6:$K$963,1+(2*(ROWS(C$1:C15)-1)))</f>
        <v>3507</v>
      </c>
      <c r="M15" s="33">
        <f>INDEX('13 - Electrical Readings'!$L$6:$L$963,1+(2*(ROWS(D$1:D15)-1)))</f>
        <v>4396</v>
      </c>
      <c r="N15" s="33">
        <f>INDEX('13 - Electrical Readings'!$M$6:$M$963,1+(2*(ROWS(E$1:E15)-1)))</f>
        <v>8764</v>
      </c>
      <c r="O15" s="34">
        <f>INDEX('13 - Electrical Readings'!$N$6:$N$963,1+(2*(ROWS(E$1:E15)-1)))</f>
        <v>9319</v>
      </c>
      <c r="P15" s="34">
        <f>INDEX('13 - Electrical Readings'!$O$6:$O$963,1+(2*(ROWS(E$1:E15)-1)))</f>
        <v>3261</v>
      </c>
      <c r="Q15" s="34">
        <f>INDEX('13 - Electrical Readings'!$P$6:$P$963,1+(2*(ROWS(E$1:E15)-1)))</f>
        <v>3230</v>
      </c>
      <c r="R15" s="34">
        <f>INDEX('9 - Water Readings'!$C$8:$C$964,1+(2*(ROWS(A$1:A14)-1)))</f>
        <v>0</v>
      </c>
      <c r="S15" s="34">
        <f>INDEX('9 - Water Readings'!$D$8:$D$963,1+(2*(ROWS(A$1:A14)-1)))</f>
        <v>0</v>
      </c>
      <c r="T15" s="34">
        <f>INDEX('9 - Water Readings'!$E$8:$E$964,1+(2*(ROWS(A$1:A14)-1)))</f>
        <v>0</v>
      </c>
      <c r="U15" s="34">
        <f>INDEX('9 - Water Readings'!$G$8:$G$963,1+(2*(ROWS(A$1:A14)-1)))</f>
        <v>107</v>
      </c>
      <c r="V15" s="34">
        <f>INDEX('9 - Water Readings'!$H$8:$H$964,1+(2*(ROWS(A$1:A14)-1)))</f>
        <v>16</v>
      </c>
      <c r="W15" s="34">
        <f>INDEX('9 - Water Readings'!$I$8:$I$964,1+(2*(ROWS(A$1:A14)-1)))</f>
        <v>65</v>
      </c>
      <c r="X15" s="34">
        <f>INDEX('9 - Water Readings'!$J$8:$J$964,1+(2*(ROWS(A$1:A14)-1)))</f>
        <v>242</v>
      </c>
      <c r="Y15" s="34">
        <f>INDEX('9 - Water Readings'!$K$8:$K$964,1+(2*(ROWS(A$1:A14)-1)))</f>
        <v>0</v>
      </c>
      <c r="Z15" s="34">
        <f>INDEX('9 - Water Readings'!$L$8:$L$964,1+(2*(ROWS(A$1:A14)-1)))</f>
        <v>26</v>
      </c>
      <c r="AA15" s="35">
        <f>'9 - Water Readings'!Q20</f>
        <v>151</v>
      </c>
      <c r="AB15" s="33">
        <f>'9 - Water Readings'!R20</f>
        <v>578</v>
      </c>
      <c r="AC15">
        <f>'9 - Water Readings'!S20</f>
        <v>10.3</v>
      </c>
    </row>
    <row r="16" spans="1:29" x14ac:dyDescent="0.25">
      <c r="A16" s="36" t="s">
        <v>11</v>
      </c>
      <c r="B16" s="36">
        <f t="shared" si="0"/>
        <v>15</v>
      </c>
      <c r="C16" s="36">
        <v>10</v>
      </c>
      <c r="D16" s="33">
        <v>2022</v>
      </c>
      <c r="E16" s="34">
        <f>INDEX('13 - Electrical Readings'!$C$8:$C$963,1+(2*(ROWS(A$1:A15)-1)))</f>
        <v>9</v>
      </c>
      <c r="F16" s="34">
        <f>INDEX('13 - Electrical Readings'!$D$6:$D$963,1+(2*(ROWS(A$1:A16)-1)))</f>
        <v>13307</v>
      </c>
      <c r="G16" s="33">
        <f>INDEX('13 - Electrical Readings'!$E$6:$E$963,1+(2*(ROWS(A$1:A16)-1)))</f>
        <v>16670</v>
      </c>
      <c r="H16" s="33">
        <f>INDEX('13 - Electrical Readings'!$F$6:$F$963,1+(2*(ROWS(A$1:A16)-1)))</f>
        <v>4963</v>
      </c>
      <c r="I16" s="34">
        <f>INDEX('13 - Electrical Readings'!$G$6:$G$963,1+(2*(ROWS(A$1:A16)-1)))</f>
        <v>16</v>
      </c>
      <c r="J16" s="33">
        <f>INDEX('13 - Electrical Readings'!$I$6:$I$963,1+(2*(ROWS(A$1:A16)-1)))</f>
        <v>2196</v>
      </c>
      <c r="K16" s="33">
        <f>INDEX('13 - Electrical Readings'!$J$6:$J$963,1+(2*(ROWS(B$1:B16)-1)))</f>
        <v>9221</v>
      </c>
      <c r="L16" s="33">
        <f>INDEX('13 - Electrical Readings'!$K$6:$K$963,1+(2*(ROWS(C$1:C16)-1)))</f>
        <v>3263</v>
      </c>
      <c r="M16" s="33">
        <f>INDEX('13 - Electrical Readings'!$L$6:$L$963,1+(2*(ROWS(D$1:D16)-1)))</f>
        <v>4276</v>
      </c>
      <c r="N16" s="33">
        <f>INDEX('13 - Electrical Readings'!$M$6:$M$963,1+(2*(ROWS(E$1:E16)-1)))</f>
        <v>8748</v>
      </c>
      <c r="O16" s="34">
        <f>INDEX('13 - Electrical Readings'!$N$6:$N$963,1+(2*(ROWS(E$1:E16)-1)))</f>
        <v>9243</v>
      </c>
      <c r="P16" s="34">
        <f>INDEX('13 - Electrical Readings'!$O$6:$O$963,1+(2*(ROWS(E$1:E16)-1)))</f>
        <v>3232</v>
      </c>
      <c r="Q16" s="34">
        <f>INDEX('13 - Electrical Readings'!$P$6:$P$963,1+(2*(ROWS(E$1:E16)-1)))</f>
        <v>3140</v>
      </c>
      <c r="R16" s="34">
        <f>INDEX('9 - Water Readings'!$C$8:$C$964,1+(2*(ROWS(A$1:A15)-1)))</f>
        <v>0</v>
      </c>
      <c r="S16" s="34">
        <f>INDEX('9 - Water Readings'!$D$8:$D$963,1+(2*(ROWS(A$1:A15)-1)))</f>
        <v>0</v>
      </c>
      <c r="T16" s="34">
        <f>INDEX('9 - Water Readings'!$E$8:$E$964,1+(2*(ROWS(A$1:A15)-1)))</f>
        <v>0</v>
      </c>
      <c r="U16" s="34">
        <f>INDEX('9 - Water Readings'!$G$8:$G$963,1+(2*(ROWS(A$1:A15)-1)))</f>
        <v>109</v>
      </c>
      <c r="V16" s="34">
        <f>INDEX('9 - Water Readings'!$H$8:$H$964,1+(2*(ROWS(A$1:A15)-1)))</f>
        <v>16</v>
      </c>
      <c r="W16" s="34">
        <f>INDEX('9 - Water Readings'!$I$8:$I$964,1+(2*(ROWS(A$1:A15)-1)))</f>
        <v>54</v>
      </c>
      <c r="X16" s="34">
        <f>INDEX('9 - Water Readings'!$J$8:$J$964,1+(2*(ROWS(A$1:A15)-1)))</f>
        <v>239</v>
      </c>
      <c r="Y16" s="34">
        <f>INDEX('9 - Water Readings'!$K$8:$K$964,1+(2*(ROWS(A$1:A15)-1)))</f>
        <v>0</v>
      </c>
      <c r="Z16" s="34">
        <f>INDEX('9 - Water Readings'!$L$8:$L$964,1+(2*(ROWS(A$1:A15)-1)))</f>
        <v>31</v>
      </c>
      <c r="AA16" s="35">
        <f>'9 - Water Readings'!Q21</f>
        <v>87</v>
      </c>
      <c r="AB16" s="33">
        <f>'9 - Water Readings'!R21</f>
        <v>292</v>
      </c>
      <c r="AC16">
        <f>'9 - Water Readings'!S21</f>
        <v>10.5</v>
      </c>
    </row>
    <row r="17" spans="1:29" x14ac:dyDescent="0.25">
      <c r="A17" s="36" t="s">
        <v>11</v>
      </c>
      <c r="B17" s="36">
        <f t="shared" si="0"/>
        <v>16</v>
      </c>
      <c r="C17" s="36">
        <v>10</v>
      </c>
      <c r="D17" s="33">
        <v>2022</v>
      </c>
      <c r="E17" s="34">
        <f>INDEX('13 - Electrical Readings'!$C$8:$C$963,1+(2*(ROWS(A$1:A16)-1)))</f>
        <v>6</v>
      </c>
      <c r="F17" s="34">
        <f>INDEX('13 - Electrical Readings'!$D$6:$D$963,1+(2*(ROWS(A$1:A17)-1)))</f>
        <v>12091</v>
      </c>
      <c r="G17" s="33">
        <f>INDEX('13 - Electrical Readings'!$E$6:$E$963,1+(2*(ROWS(A$1:A17)-1)))</f>
        <v>15283</v>
      </c>
      <c r="H17" s="33">
        <f>INDEX('13 - Electrical Readings'!$F$6:$F$963,1+(2*(ROWS(A$1:A17)-1)))</f>
        <v>4909</v>
      </c>
      <c r="I17" s="34">
        <f>INDEX('13 - Electrical Readings'!$G$6:$G$963,1+(2*(ROWS(A$1:A17)-1)))</f>
        <v>15</v>
      </c>
      <c r="J17" s="33">
        <f>INDEX('13 - Electrical Readings'!$I$6:$I$963,1+(2*(ROWS(A$1:A17)-1)))</f>
        <v>2077</v>
      </c>
      <c r="K17" s="33">
        <f>INDEX('13 - Electrical Readings'!$J$6:$J$963,1+(2*(ROWS(B$1:B17)-1)))</f>
        <v>9747</v>
      </c>
      <c r="L17" s="33">
        <f>INDEX('13 - Electrical Readings'!$K$6:$K$963,1+(2*(ROWS(C$1:C17)-1)))</f>
        <v>3180</v>
      </c>
      <c r="M17" s="33">
        <f>INDEX('13 - Electrical Readings'!$L$6:$L$963,1+(2*(ROWS(D$1:D17)-1)))</f>
        <v>4403</v>
      </c>
      <c r="N17" s="33">
        <f>INDEX('13 - Electrical Readings'!$M$6:$M$963,1+(2*(ROWS(E$1:E17)-1)))</f>
        <v>8852</v>
      </c>
      <c r="O17" s="34">
        <f>INDEX('13 - Electrical Readings'!$N$6:$N$963,1+(2*(ROWS(E$1:E17)-1)))</f>
        <v>9436</v>
      </c>
      <c r="P17" s="34">
        <f>INDEX('13 - Electrical Readings'!$O$6:$O$963,1+(2*(ROWS(E$1:E17)-1)))</f>
        <v>3242</v>
      </c>
      <c r="Q17" s="34">
        <f>INDEX('13 - Electrical Readings'!$P$6:$P$963,1+(2*(ROWS(E$1:E17)-1)))</f>
        <v>2300</v>
      </c>
      <c r="R17" s="34">
        <f>INDEX('9 - Water Readings'!$C$8:$C$964,1+(2*(ROWS(A$1:A16)-1)))</f>
        <v>0</v>
      </c>
      <c r="S17" s="34">
        <f>INDEX('9 - Water Readings'!$D$8:$D$963,1+(2*(ROWS(A$1:A16)-1)))</f>
        <v>0</v>
      </c>
      <c r="T17" s="34">
        <f>INDEX('9 - Water Readings'!$E$8:$E$964,1+(2*(ROWS(A$1:A16)-1)))</f>
        <v>0</v>
      </c>
      <c r="U17" s="34">
        <f>INDEX('9 - Water Readings'!$G$8:$G$963,1+(2*(ROWS(A$1:A16)-1)))</f>
        <v>111</v>
      </c>
      <c r="V17" s="34">
        <f>INDEX('9 - Water Readings'!$H$8:$H$964,1+(2*(ROWS(A$1:A16)-1)))</f>
        <v>12</v>
      </c>
      <c r="W17" s="34">
        <f>INDEX('9 - Water Readings'!$I$8:$I$964,1+(2*(ROWS(A$1:A16)-1)))</f>
        <v>35</v>
      </c>
      <c r="X17" s="34">
        <f>INDEX('9 - Water Readings'!$J$8:$J$964,1+(2*(ROWS(A$1:A16)-1)))</f>
        <v>259</v>
      </c>
      <c r="Y17" s="34">
        <f>INDEX('9 - Water Readings'!$K$8:$K$964,1+(2*(ROWS(A$1:A16)-1)))</f>
        <v>0</v>
      </c>
      <c r="Z17" s="34">
        <f>INDEX('9 - Water Readings'!$L$8:$L$964,1+(2*(ROWS(A$1:A16)-1)))</f>
        <v>24</v>
      </c>
      <c r="AA17" s="35">
        <f>'9 - Water Readings'!Q22</f>
        <v>93</v>
      </c>
      <c r="AB17" s="33">
        <f>'9 - Water Readings'!R22</f>
        <v>292</v>
      </c>
      <c r="AC17">
        <f>'9 - Water Readings'!S22</f>
        <v>11.3</v>
      </c>
    </row>
    <row r="18" spans="1:29" x14ac:dyDescent="0.25">
      <c r="A18" s="36" t="s">
        <v>11</v>
      </c>
      <c r="B18" s="36">
        <f t="shared" si="0"/>
        <v>17</v>
      </c>
      <c r="C18" s="36">
        <v>10</v>
      </c>
      <c r="D18" s="33">
        <v>2022</v>
      </c>
      <c r="E18" s="34">
        <f>INDEX('13 - Electrical Readings'!$C$8:$C$963,1+(2*(ROWS(A$1:A17)-1)))</f>
        <v>4</v>
      </c>
      <c r="F18" s="34">
        <f>INDEX('13 - Electrical Readings'!$D$6:$D$963,1+(2*(ROWS(A$1:A18)-1)))</f>
        <v>12643</v>
      </c>
      <c r="G18" s="33">
        <f>INDEX('13 - Electrical Readings'!$E$6:$E$963,1+(2*(ROWS(A$1:A18)-1)))</f>
        <v>15759</v>
      </c>
      <c r="H18" s="33">
        <f>INDEX('13 - Electrical Readings'!$F$6:$F$963,1+(2*(ROWS(A$1:A18)-1)))</f>
        <v>4979</v>
      </c>
      <c r="I18" s="34">
        <f>INDEX('13 - Electrical Readings'!$G$6:$G$963,1+(2*(ROWS(A$1:A18)-1)))</f>
        <v>14</v>
      </c>
      <c r="J18" s="33">
        <f>INDEX('13 - Electrical Readings'!$I$6:$I$963,1+(2*(ROWS(A$1:A18)-1)))</f>
        <v>2282</v>
      </c>
      <c r="K18" s="33">
        <f>INDEX('13 - Electrical Readings'!$J$6:$J$963,1+(2*(ROWS(B$1:B18)-1)))</f>
        <v>9868</v>
      </c>
      <c r="L18" s="33">
        <f>INDEX('13 - Electrical Readings'!$K$6:$K$963,1+(2*(ROWS(C$1:C18)-1)))</f>
        <v>3075</v>
      </c>
      <c r="M18" s="33">
        <f>INDEX('13 - Electrical Readings'!$L$6:$L$963,1+(2*(ROWS(D$1:D18)-1)))</f>
        <v>4612</v>
      </c>
      <c r="N18" s="33">
        <f>INDEX('13 - Electrical Readings'!$M$6:$M$963,1+(2*(ROWS(E$1:E18)-1)))</f>
        <v>8706</v>
      </c>
      <c r="O18" s="34">
        <f>INDEX('13 - Electrical Readings'!$N$6:$N$963,1+(2*(ROWS(E$1:E18)-1)))</f>
        <v>9452</v>
      </c>
      <c r="P18" s="34">
        <f>INDEX('13 - Electrical Readings'!$O$6:$O$963,1+(2*(ROWS(E$1:E18)-1)))</f>
        <v>3321</v>
      </c>
      <c r="Q18" s="34">
        <f>INDEX('13 - Electrical Readings'!$P$6:$P$963,1+(2*(ROWS(E$1:E18)-1)))</f>
        <v>2840</v>
      </c>
      <c r="R18" s="34">
        <f>INDEX('9 - Water Readings'!$C$8:$C$964,1+(2*(ROWS(A$1:A17)-1)))</f>
        <v>0</v>
      </c>
      <c r="S18" s="34">
        <f>INDEX('9 - Water Readings'!$D$8:$D$963,1+(2*(ROWS(A$1:A17)-1)))</f>
        <v>0</v>
      </c>
      <c r="T18" s="34">
        <f>INDEX('9 - Water Readings'!$E$8:$E$964,1+(2*(ROWS(A$1:A17)-1)))</f>
        <v>0</v>
      </c>
      <c r="U18" s="34">
        <f>INDEX('9 - Water Readings'!$G$8:$G$963,1+(2*(ROWS(A$1:A17)-1)))</f>
        <v>129</v>
      </c>
      <c r="V18" s="34">
        <f>INDEX('9 - Water Readings'!$H$8:$H$964,1+(2*(ROWS(A$1:A17)-1)))</f>
        <v>15</v>
      </c>
      <c r="W18" s="34">
        <f>INDEX('9 - Water Readings'!$I$8:$I$964,1+(2*(ROWS(A$1:A17)-1)))</f>
        <v>52</v>
      </c>
      <c r="X18" s="34">
        <f>INDEX('9 - Water Readings'!$J$8:$J$964,1+(2*(ROWS(A$1:A17)-1)))</f>
        <v>228</v>
      </c>
      <c r="Y18" s="34">
        <f>INDEX('9 - Water Readings'!$K$8:$K$964,1+(2*(ROWS(A$1:A17)-1)))</f>
        <v>0</v>
      </c>
      <c r="Z18" s="34">
        <f>INDEX('9 - Water Readings'!$L$8:$L$964,1+(2*(ROWS(A$1:A17)-1)))</f>
        <v>29</v>
      </c>
      <c r="AA18" s="35">
        <f>'9 - Water Readings'!Q23</f>
        <v>141</v>
      </c>
      <c r="AB18" s="33">
        <f>'9 - Water Readings'!R23</f>
        <v>354</v>
      </c>
      <c r="AC18">
        <f>'9 - Water Readings'!S23</f>
        <v>10.9</v>
      </c>
    </row>
    <row r="19" spans="1:29" x14ac:dyDescent="0.25">
      <c r="A19" s="36" t="s">
        <v>11</v>
      </c>
      <c r="B19" s="36">
        <f t="shared" si="0"/>
        <v>18</v>
      </c>
      <c r="C19" s="36">
        <v>10</v>
      </c>
      <c r="D19" s="33">
        <v>2022</v>
      </c>
      <c r="E19" s="34">
        <f>INDEX('13 - Electrical Readings'!$C$8:$C$963,1+(2*(ROWS(A$1:A18)-1)))</f>
        <v>5</v>
      </c>
      <c r="F19" s="34">
        <f>INDEX('13 - Electrical Readings'!$D$6:$D$963,1+(2*(ROWS(A$1:A19)-1)))</f>
        <v>12782</v>
      </c>
      <c r="G19" s="33">
        <f>INDEX('13 - Electrical Readings'!$E$6:$E$963,1+(2*(ROWS(A$1:A19)-1)))</f>
        <v>14416</v>
      </c>
      <c r="H19" s="33">
        <f>INDEX('13 - Electrical Readings'!$F$6:$F$963,1+(2*(ROWS(A$1:A19)-1)))</f>
        <v>4998</v>
      </c>
      <c r="I19" s="34">
        <f>INDEX('13 - Electrical Readings'!$G$6:$G$963,1+(2*(ROWS(A$1:A19)-1)))</f>
        <v>18</v>
      </c>
      <c r="J19" s="33">
        <f>INDEX('13 - Electrical Readings'!$I$6:$I$963,1+(2*(ROWS(A$1:A19)-1)))</f>
        <v>2130</v>
      </c>
      <c r="K19" s="33">
        <f>INDEX('13 - Electrical Readings'!$J$6:$J$963,1+(2*(ROWS(B$1:B19)-1)))</f>
        <v>9563</v>
      </c>
      <c r="L19" s="33">
        <f>INDEX('13 - Electrical Readings'!$K$6:$K$963,1+(2*(ROWS(C$1:C19)-1)))</f>
        <v>3065</v>
      </c>
      <c r="M19" s="33">
        <f>INDEX('13 - Electrical Readings'!$L$6:$L$963,1+(2*(ROWS(D$1:D19)-1)))</f>
        <v>4298</v>
      </c>
      <c r="N19" s="33">
        <f>INDEX('13 - Electrical Readings'!$M$6:$M$963,1+(2*(ROWS(E$1:E19)-1)))</f>
        <v>8269</v>
      </c>
      <c r="O19" s="34">
        <f>INDEX('13 - Electrical Readings'!$N$6:$N$963,1+(2*(ROWS(E$1:E19)-1)))</f>
        <v>9078</v>
      </c>
      <c r="P19" s="34">
        <f>INDEX('13 - Electrical Readings'!$O$6:$O$963,1+(2*(ROWS(E$1:E19)-1)))</f>
        <v>3188</v>
      </c>
      <c r="Q19" s="34">
        <f>INDEX('13 - Electrical Readings'!$P$6:$P$963,1+(2*(ROWS(E$1:E19)-1)))</f>
        <v>2870</v>
      </c>
      <c r="R19" s="34">
        <f>INDEX('9 - Water Readings'!$C$8:$C$964,1+(2*(ROWS(A$1:A18)-1)))</f>
        <v>0</v>
      </c>
      <c r="S19" s="34">
        <f>INDEX('9 - Water Readings'!$D$8:$D$963,1+(2*(ROWS(A$1:A18)-1)))</f>
        <v>0</v>
      </c>
      <c r="T19" s="34">
        <f>INDEX('9 - Water Readings'!$E$8:$E$964,1+(2*(ROWS(A$1:A18)-1)))</f>
        <v>0</v>
      </c>
      <c r="U19" s="34">
        <f>INDEX('9 - Water Readings'!$G$8:$G$963,1+(2*(ROWS(A$1:A18)-1)))</f>
        <v>114</v>
      </c>
      <c r="V19" s="34">
        <f>INDEX('9 - Water Readings'!$H$8:$H$964,1+(2*(ROWS(A$1:A18)-1)))</f>
        <v>14</v>
      </c>
      <c r="W19" s="34">
        <f>INDEX('9 - Water Readings'!$I$8:$I$964,1+(2*(ROWS(A$1:A18)-1)))</f>
        <v>52</v>
      </c>
      <c r="X19" s="34">
        <f>INDEX('9 - Water Readings'!$J$8:$J$964,1+(2*(ROWS(A$1:A18)-1)))</f>
        <v>215</v>
      </c>
      <c r="Y19" s="34">
        <f>INDEX('9 - Water Readings'!$K$8:$K$964,1+(2*(ROWS(A$1:A18)-1)))</f>
        <v>0</v>
      </c>
      <c r="Z19" s="34">
        <f>INDEX('9 - Water Readings'!$L$8:$L$964,1+(2*(ROWS(A$1:A18)-1)))</f>
        <v>21</v>
      </c>
      <c r="AA19" s="35">
        <f>'9 - Water Readings'!Q24</f>
        <v>150</v>
      </c>
      <c r="AB19" s="33">
        <f>'9 - Water Readings'!R24</f>
        <v>382</v>
      </c>
      <c r="AC19">
        <f>'9 - Water Readings'!S24</f>
        <v>11.1</v>
      </c>
    </row>
    <row r="20" spans="1:29" x14ac:dyDescent="0.25">
      <c r="A20" s="36" t="s">
        <v>11</v>
      </c>
      <c r="B20" s="36">
        <f t="shared" si="0"/>
        <v>19</v>
      </c>
      <c r="C20" s="36">
        <v>10</v>
      </c>
      <c r="D20" s="33">
        <v>2022</v>
      </c>
      <c r="E20" s="34">
        <f>INDEX('13 - Electrical Readings'!$C$8:$C$963,1+(2*(ROWS(A$1:A19)-1)))</f>
        <v>9</v>
      </c>
      <c r="F20" s="34">
        <f>INDEX('13 - Electrical Readings'!$D$6:$D$963,1+(2*(ROWS(A$1:A20)-1)))</f>
        <v>12846</v>
      </c>
      <c r="G20" s="33">
        <f>INDEX('13 - Electrical Readings'!$E$6:$E$963,1+(2*(ROWS(A$1:A20)-1)))</f>
        <v>14004</v>
      </c>
      <c r="H20" s="33">
        <f>INDEX('13 - Electrical Readings'!$F$6:$F$963,1+(2*(ROWS(A$1:A20)-1)))</f>
        <v>4454</v>
      </c>
      <c r="I20" s="34">
        <f>INDEX('13 - Electrical Readings'!$G$6:$G$963,1+(2*(ROWS(A$1:A20)-1)))</f>
        <v>17</v>
      </c>
      <c r="J20" s="33">
        <f>INDEX('13 - Electrical Readings'!$I$6:$I$963,1+(2*(ROWS(A$1:A20)-1)))</f>
        <v>2270</v>
      </c>
      <c r="K20" s="33">
        <f>INDEX('13 - Electrical Readings'!$J$6:$J$963,1+(2*(ROWS(B$1:B20)-1)))</f>
        <v>9836</v>
      </c>
      <c r="L20" s="33">
        <f>INDEX('13 - Electrical Readings'!$K$6:$K$963,1+(2*(ROWS(C$1:C20)-1)))</f>
        <v>3186</v>
      </c>
      <c r="M20" s="33">
        <f>INDEX('13 - Electrical Readings'!$L$6:$L$963,1+(2*(ROWS(D$1:D20)-1)))</f>
        <v>4182</v>
      </c>
      <c r="N20" s="33">
        <f>INDEX('13 - Electrical Readings'!$M$6:$M$963,1+(2*(ROWS(E$1:E20)-1)))</f>
        <v>8465</v>
      </c>
      <c r="O20" s="34">
        <f>INDEX('13 - Electrical Readings'!$N$6:$N$963,1+(2*(ROWS(E$1:E20)-1)))</f>
        <v>9254</v>
      </c>
      <c r="P20" s="34">
        <f>INDEX('13 - Electrical Readings'!$O$6:$O$963,1+(2*(ROWS(E$1:E20)-1)))</f>
        <v>3246</v>
      </c>
      <c r="Q20" s="34">
        <f>INDEX('13 - Electrical Readings'!$P$6:$P$963,1+(2*(ROWS(E$1:E20)-1)))</f>
        <v>2920</v>
      </c>
      <c r="R20" s="34">
        <f>INDEX('9 - Water Readings'!$C$8:$C$964,1+(2*(ROWS(A$1:A19)-1)))</f>
        <v>0</v>
      </c>
      <c r="S20" s="34">
        <f>INDEX('9 - Water Readings'!$D$8:$D$963,1+(2*(ROWS(A$1:A19)-1)))</f>
        <v>0</v>
      </c>
      <c r="T20" s="34">
        <f>INDEX('9 - Water Readings'!$E$8:$E$964,1+(2*(ROWS(A$1:A19)-1)))</f>
        <v>0</v>
      </c>
      <c r="U20" s="34">
        <f>INDEX('9 - Water Readings'!$G$8:$G$963,1+(2*(ROWS(A$1:A19)-1)))</f>
        <v>124</v>
      </c>
      <c r="V20" s="34">
        <f>INDEX('9 - Water Readings'!$H$8:$H$964,1+(2*(ROWS(A$1:A19)-1)))</f>
        <v>13</v>
      </c>
      <c r="W20" s="34">
        <f>INDEX('9 - Water Readings'!$I$8:$I$964,1+(2*(ROWS(A$1:A19)-1)))</f>
        <v>54</v>
      </c>
      <c r="X20" s="34">
        <f>INDEX('9 - Water Readings'!$J$8:$J$964,1+(2*(ROWS(A$1:A19)-1)))</f>
        <v>229</v>
      </c>
      <c r="Y20" s="34">
        <f>INDEX('9 - Water Readings'!$K$8:$K$964,1+(2*(ROWS(A$1:A19)-1)))</f>
        <v>0</v>
      </c>
      <c r="Z20" s="34">
        <f>INDEX('9 - Water Readings'!$L$8:$L$964,1+(2*(ROWS(A$1:A19)-1)))</f>
        <v>29</v>
      </c>
      <c r="AA20" s="35">
        <f>'9 - Water Readings'!Q25</f>
        <v>110</v>
      </c>
      <c r="AB20" s="33">
        <f>'9 - Water Readings'!R25</f>
        <v>298</v>
      </c>
      <c r="AC20">
        <f>'9 - Water Readings'!S25</f>
        <v>10.5</v>
      </c>
    </row>
    <row r="21" spans="1:29" x14ac:dyDescent="0.25">
      <c r="A21" s="36" t="s">
        <v>11</v>
      </c>
      <c r="B21" s="36">
        <f t="shared" si="0"/>
        <v>20</v>
      </c>
      <c r="C21" s="36">
        <v>10</v>
      </c>
      <c r="D21" s="33">
        <v>2022</v>
      </c>
      <c r="E21" s="34">
        <f>INDEX('13 - Electrical Readings'!$C$8:$C$963,1+(2*(ROWS(A$1:A20)-1)))</f>
        <v>2</v>
      </c>
      <c r="F21" s="34">
        <f>INDEX('13 - Electrical Readings'!$D$6:$D$963,1+(2*(ROWS(A$1:A21)-1)))</f>
        <v>12996</v>
      </c>
      <c r="G21" s="33">
        <f>INDEX('13 - Electrical Readings'!$E$6:$E$963,1+(2*(ROWS(A$1:A21)-1)))</f>
        <v>16160</v>
      </c>
      <c r="H21" s="33">
        <f>INDEX('13 - Electrical Readings'!$F$6:$F$963,1+(2*(ROWS(A$1:A21)-1)))</f>
        <v>4947</v>
      </c>
      <c r="I21" s="34">
        <f>INDEX('13 - Electrical Readings'!$G$6:$G$963,1+(2*(ROWS(A$1:A21)-1)))</f>
        <v>14</v>
      </c>
      <c r="J21" s="33">
        <f>INDEX('13 - Electrical Readings'!$I$6:$I$963,1+(2*(ROWS(A$1:A21)-1)))</f>
        <v>2236</v>
      </c>
      <c r="K21" s="33">
        <f>INDEX('13 - Electrical Readings'!$J$6:$J$963,1+(2*(ROWS(B$1:B21)-1)))</f>
        <v>9930</v>
      </c>
      <c r="L21" s="33">
        <f>INDEX('13 - Electrical Readings'!$K$6:$K$963,1+(2*(ROWS(C$1:C21)-1)))</f>
        <v>3204</v>
      </c>
      <c r="M21" s="33">
        <f>INDEX('13 - Electrical Readings'!$L$6:$L$963,1+(2*(ROWS(D$1:D21)-1)))</f>
        <v>4323</v>
      </c>
      <c r="N21" s="33">
        <f>INDEX('13 - Electrical Readings'!$M$6:$M$963,1+(2*(ROWS(E$1:E21)-1)))</f>
        <v>9119</v>
      </c>
      <c r="O21" s="34">
        <f>INDEX('13 - Electrical Readings'!$N$6:$N$963,1+(2*(ROWS(E$1:E21)-1)))</f>
        <v>9533</v>
      </c>
      <c r="P21" s="34">
        <f>INDEX('13 - Electrical Readings'!$O$6:$O$963,1+(2*(ROWS(E$1:E21)-1)))</f>
        <v>3452</v>
      </c>
      <c r="Q21" s="34">
        <f>INDEX('13 - Electrical Readings'!$P$6:$P$963,1+(2*(ROWS(E$1:E21)-1)))</f>
        <v>2890</v>
      </c>
      <c r="R21" s="34">
        <f>INDEX('9 - Water Readings'!$C$8:$C$964,1+(2*(ROWS(A$1:A20)-1)))</f>
        <v>0</v>
      </c>
      <c r="S21" s="34">
        <f>INDEX('9 - Water Readings'!$D$8:$D$963,1+(2*(ROWS(A$1:A20)-1)))</f>
        <v>3</v>
      </c>
      <c r="T21" s="34">
        <f>INDEX('9 - Water Readings'!$E$8:$E$964,1+(2*(ROWS(A$1:A20)-1)))</f>
        <v>0</v>
      </c>
      <c r="U21" s="34">
        <f>INDEX('9 - Water Readings'!$G$8:$G$963,1+(2*(ROWS(A$1:A20)-1)))</f>
        <v>112</v>
      </c>
      <c r="V21" s="34">
        <f>INDEX('9 - Water Readings'!$H$8:$H$964,1+(2*(ROWS(A$1:A20)-1)))</f>
        <v>19</v>
      </c>
      <c r="W21" s="34">
        <f>INDEX('9 - Water Readings'!$I$8:$I$964,1+(2*(ROWS(A$1:A20)-1)))</f>
        <v>59</v>
      </c>
      <c r="X21" s="34">
        <f>INDEX('9 - Water Readings'!$J$8:$J$964,1+(2*(ROWS(A$1:A20)-1)))</f>
        <v>239</v>
      </c>
      <c r="Y21" s="34">
        <f>INDEX('9 - Water Readings'!$K$8:$K$964,1+(2*(ROWS(A$1:A20)-1)))</f>
        <v>0</v>
      </c>
      <c r="Z21" s="34">
        <f>INDEX('9 - Water Readings'!$L$8:$L$964,1+(2*(ROWS(A$1:A20)-1)))</f>
        <v>48</v>
      </c>
      <c r="AA21" s="35">
        <f>'9 - Water Readings'!Q26</f>
        <v>135</v>
      </c>
      <c r="AB21" s="33">
        <f>'9 - Water Readings'!R26</f>
        <v>460</v>
      </c>
      <c r="AC21">
        <f>'9 - Water Readings'!S26</f>
        <v>10.1</v>
      </c>
    </row>
    <row r="22" spans="1:29" x14ac:dyDescent="0.25">
      <c r="A22" s="36" t="s">
        <v>11</v>
      </c>
      <c r="B22" s="36">
        <f t="shared" si="0"/>
        <v>21</v>
      </c>
      <c r="C22" s="36">
        <v>10</v>
      </c>
      <c r="D22" s="33">
        <v>2022</v>
      </c>
      <c r="E22" s="34">
        <f>INDEX('13 - Electrical Readings'!$C$8:$C$963,1+(2*(ROWS(A$1:A21)-1)))</f>
        <v>0</v>
      </c>
      <c r="F22" s="34">
        <f>INDEX('13 - Electrical Readings'!$D$6:$D$963,1+(2*(ROWS(A$1:A22)-1)))</f>
        <v>0</v>
      </c>
      <c r="G22" s="33">
        <f>INDEX('13 - Electrical Readings'!$E$6:$E$963,1+(2*(ROWS(A$1:A22)-1)))</f>
        <v>0</v>
      </c>
      <c r="H22" s="33">
        <f>INDEX('13 - Electrical Readings'!$F$6:$F$963,1+(2*(ROWS(A$1:A22)-1)))</f>
        <v>0</v>
      </c>
      <c r="I22" s="34">
        <f>INDEX('13 - Electrical Readings'!$G$6:$G$963,1+(2*(ROWS(A$1:A22)-1)))</f>
        <v>0</v>
      </c>
      <c r="J22" s="33">
        <f>INDEX('13 - Electrical Readings'!$I$6:$I$963,1+(2*(ROWS(A$1:A22)-1)))</f>
        <v>0</v>
      </c>
      <c r="K22" s="33">
        <f>INDEX('13 - Electrical Readings'!$J$6:$J$963,1+(2*(ROWS(B$1:B22)-1)))</f>
        <v>0</v>
      </c>
      <c r="L22" s="33">
        <f>INDEX('13 - Electrical Readings'!$K$6:$K$963,1+(2*(ROWS(C$1:C22)-1)))</f>
        <v>0</v>
      </c>
      <c r="M22" s="33">
        <f>INDEX('13 - Electrical Readings'!$L$6:$L$963,1+(2*(ROWS(D$1:D22)-1)))</f>
        <v>0</v>
      </c>
      <c r="N22" s="33">
        <f>INDEX('13 - Electrical Readings'!$M$6:$M$963,1+(2*(ROWS(E$1:E22)-1)))</f>
        <v>0</v>
      </c>
      <c r="O22" s="34">
        <f>INDEX('13 - Electrical Readings'!$N$6:$N$963,1+(2*(ROWS(E$1:E22)-1)))</f>
        <v>0</v>
      </c>
      <c r="P22" s="34">
        <f>INDEX('13 - Electrical Readings'!$O$6:$O$963,1+(2*(ROWS(E$1:E22)-1)))</f>
        <v>0</v>
      </c>
      <c r="Q22" s="34">
        <f>INDEX('13 - Electrical Readings'!$P$6:$P$963,1+(2*(ROWS(E$1:E22)-1)))</f>
        <v>0</v>
      </c>
      <c r="R22" s="34">
        <f>INDEX('9 - Water Readings'!$C$8:$C$964,1+(2*(ROWS(A$1:A21)-1)))</f>
        <v>0</v>
      </c>
      <c r="S22" s="34">
        <f>INDEX('9 - Water Readings'!$D$8:$D$963,1+(2*(ROWS(A$1:A21)-1)))</f>
        <v>0</v>
      </c>
      <c r="T22" s="34">
        <f>INDEX('9 - Water Readings'!$E$8:$E$964,1+(2*(ROWS(A$1:A21)-1)))</f>
        <v>0</v>
      </c>
      <c r="U22" s="34">
        <f>INDEX('9 - Water Readings'!$G$8:$G$963,1+(2*(ROWS(A$1:A21)-1)))</f>
        <v>0</v>
      </c>
      <c r="V22" s="34">
        <f>INDEX('9 - Water Readings'!$H$8:$H$964,1+(2*(ROWS(A$1:A21)-1)))</f>
        <v>0</v>
      </c>
      <c r="W22" s="34">
        <f>INDEX('9 - Water Readings'!$I$8:$I$964,1+(2*(ROWS(A$1:A21)-1)))</f>
        <v>0</v>
      </c>
      <c r="X22" s="34">
        <f>INDEX('9 - Water Readings'!$J$8:$J$964,1+(2*(ROWS(A$1:A21)-1)))</f>
        <v>0</v>
      </c>
      <c r="Y22" s="34">
        <f>INDEX('9 - Water Readings'!$K$8:$K$964,1+(2*(ROWS(A$1:A21)-1)))</f>
        <v>0</v>
      </c>
      <c r="Z22" s="34">
        <f>INDEX('9 - Water Readings'!$L$8:$L$964,1+(2*(ROWS(A$1:A21)-1)))</f>
        <v>0</v>
      </c>
      <c r="AA22" s="35">
        <f>'9 - Water Readings'!Q27</f>
        <v>0</v>
      </c>
      <c r="AB22" s="33">
        <f>'9 - Water Readings'!R27</f>
        <v>0</v>
      </c>
      <c r="AC22">
        <f>'9 - Water Readings'!S27</f>
        <v>0</v>
      </c>
    </row>
    <row r="23" spans="1:29" x14ac:dyDescent="0.25">
      <c r="A23" s="36" t="s">
        <v>11</v>
      </c>
      <c r="B23" s="36">
        <f t="shared" si="0"/>
        <v>22</v>
      </c>
      <c r="C23" s="36">
        <v>10</v>
      </c>
      <c r="D23" s="33">
        <v>2022</v>
      </c>
      <c r="E23" s="34">
        <f>INDEX('13 - Electrical Readings'!$C$8:$C$963,1+(2*(ROWS(A$1:A22)-1)))</f>
        <v>0</v>
      </c>
      <c r="F23" s="34">
        <f>INDEX('13 - Electrical Readings'!$D$6:$D$963,1+(2*(ROWS(A$1:A23)-1)))</f>
        <v>0</v>
      </c>
      <c r="G23" s="33">
        <f>INDEX('13 - Electrical Readings'!$E$6:$E$963,1+(2*(ROWS(A$1:A23)-1)))</f>
        <v>0</v>
      </c>
      <c r="H23" s="33">
        <f>INDEX('13 - Electrical Readings'!$F$6:$F$963,1+(2*(ROWS(A$1:A23)-1)))</f>
        <v>0</v>
      </c>
      <c r="I23" s="34">
        <f>INDEX('13 - Electrical Readings'!$G$6:$G$963,1+(2*(ROWS(A$1:A23)-1)))</f>
        <v>0</v>
      </c>
      <c r="J23" s="33">
        <f>INDEX('13 - Electrical Readings'!$I$6:$I$963,1+(2*(ROWS(A$1:A23)-1)))</f>
        <v>0</v>
      </c>
      <c r="K23" s="33">
        <f>INDEX('13 - Electrical Readings'!$J$6:$J$963,1+(2*(ROWS(B$1:B23)-1)))</f>
        <v>0</v>
      </c>
      <c r="L23" s="33">
        <f>INDEX('13 - Electrical Readings'!$K$6:$K$963,1+(2*(ROWS(C$1:C23)-1)))</f>
        <v>0</v>
      </c>
      <c r="M23" s="33">
        <f>INDEX('13 - Electrical Readings'!$L$6:$L$963,1+(2*(ROWS(D$1:D23)-1)))</f>
        <v>0</v>
      </c>
      <c r="N23" s="33">
        <f>INDEX('13 - Electrical Readings'!$M$6:$M$963,1+(2*(ROWS(E$1:E23)-1)))</f>
        <v>0</v>
      </c>
      <c r="O23" s="34">
        <f>INDEX('13 - Electrical Readings'!$N$6:$N$963,1+(2*(ROWS(E$1:E23)-1)))</f>
        <v>0</v>
      </c>
      <c r="P23" s="34">
        <f>INDEX('13 - Electrical Readings'!$O$6:$O$963,1+(2*(ROWS(E$1:E23)-1)))</f>
        <v>0</v>
      </c>
      <c r="Q23" s="34">
        <f>INDEX('13 - Electrical Readings'!$P$6:$P$963,1+(2*(ROWS(E$1:E23)-1)))</f>
        <v>0</v>
      </c>
      <c r="R23" s="34">
        <f>INDEX('9 - Water Readings'!$C$8:$C$964,1+(2*(ROWS(A$1:A22)-1)))</f>
        <v>0</v>
      </c>
      <c r="S23" s="34">
        <f>INDEX('9 - Water Readings'!$D$8:$D$963,1+(2*(ROWS(A$1:A22)-1)))</f>
        <v>0</v>
      </c>
      <c r="T23" s="34">
        <f>INDEX('9 - Water Readings'!$E$8:$E$964,1+(2*(ROWS(A$1:A22)-1)))</f>
        <v>0</v>
      </c>
      <c r="U23" s="34">
        <f>INDEX('9 - Water Readings'!$G$8:$G$963,1+(2*(ROWS(A$1:A22)-1)))</f>
        <v>0</v>
      </c>
      <c r="V23" s="34">
        <f>INDEX('9 - Water Readings'!$H$8:$H$964,1+(2*(ROWS(A$1:A22)-1)))</f>
        <v>0</v>
      </c>
      <c r="W23" s="34">
        <f>INDEX('9 - Water Readings'!$I$8:$I$964,1+(2*(ROWS(A$1:A22)-1)))</f>
        <v>0</v>
      </c>
      <c r="X23" s="34">
        <f>INDEX('9 - Water Readings'!$J$8:$J$964,1+(2*(ROWS(A$1:A22)-1)))</f>
        <v>0</v>
      </c>
      <c r="Y23" s="34">
        <f>INDEX('9 - Water Readings'!$K$8:$K$964,1+(2*(ROWS(A$1:A22)-1)))</f>
        <v>0</v>
      </c>
      <c r="Z23" s="34">
        <f>INDEX('9 - Water Readings'!$L$8:$L$964,1+(2*(ROWS(A$1:A22)-1)))</f>
        <v>0</v>
      </c>
      <c r="AA23" s="35">
        <f>'9 - Water Readings'!Q28</f>
        <v>0</v>
      </c>
      <c r="AB23" s="33">
        <f>'9 - Water Readings'!R28</f>
        <v>0</v>
      </c>
      <c r="AC23">
        <f>'9 - Water Readings'!S28</f>
        <v>0</v>
      </c>
    </row>
    <row r="24" spans="1:29" x14ac:dyDescent="0.25">
      <c r="A24" s="36" t="s">
        <v>11</v>
      </c>
      <c r="B24" s="36">
        <f t="shared" si="0"/>
        <v>23</v>
      </c>
      <c r="C24" s="36">
        <v>10</v>
      </c>
      <c r="D24" s="33">
        <v>2022</v>
      </c>
      <c r="E24" s="34">
        <f>INDEX('13 - Electrical Readings'!$C$8:$C$963,1+(2*(ROWS(A$1:A23)-1)))</f>
        <v>0</v>
      </c>
      <c r="F24" s="34">
        <f>INDEX('13 - Electrical Readings'!$D$6:$D$963,1+(2*(ROWS(A$1:A24)-1)))</f>
        <v>0</v>
      </c>
      <c r="G24" s="33">
        <f>INDEX('13 - Electrical Readings'!$E$6:$E$963,1+(2*(ROWS(A$1:A24)-1)))</f>
        <v>0</v>
      </c>
      <c r="H24" s="33">
        <f>INDEX('13 - Electrical Readings'!$F$6:$F$963,1+(2*(ROWS(A$1:A24)-1)))</f>
        <v>0</v>
      </c>
      <c r="I24" s="34">
        <f>INDEX('13 - Electrical Readings'!$G$6:$G$963,1+(2*(ROWS(A$1:A24)-1)))</f>
        <v>0</v>
      </c>
      <c r="J24" s="33">
        <f>INDEX('13 - Electrical Readings'!$I$6:$I$963,1+(2*(ROWS(A$1:A24)-1)))</f>
        <v>0</v>
      </c>
      <c r="K24" s="33">
        <f>INDEX('13 - Electrical Readings'!$J$6:$J$963,1+(2*(ROWS(B$1:B24)-1)))</f>
        <v>0</v>
      </c>
      <c r="L24" s="33">
        <f>INDEX('13 - Electrical Readings'!$K$6:$K$963,1+(2*(ROWS(C$1:C24)-1)))</f>
        <v>0</v>
      </c>
      <c r="M24" s="33">
        <f>INDEX('13 - Electrical Readings'!$L$6:$L$963,1+(2*(ROWS(D$1:D24)-1)))</f>
        <v>0</v>
      </c>
      <c r="N24" s="33">
        <f>INDEX('13 - Electrical Readings'!$M$6:$M$963,1+(2*(ROWS(E$1:E24)-1)))</f>
        <v>0</v>
      </c>
      <c r="O24" s="34">
        <f>INDEX('13 - Electrical Readings'!$N$6:$N$963,1+(2*(ROWS(E$1:E24)-1)))</f>
        <v>0</v>
      </c>
      <c r="P24" s="34">
        <f>INDEX('13 - Electrical Readings'!$O$6:$O$963,1+(2*(ROWS(E$1:E24)-1)))</f>
        <v>0</v>
      </c>
      <c r="Q24" s="34">
        <f>INDEX('13 - Electrical Readings'!$P$6:$P$963,1+(2*(ROWS(E$1:E24)-1)))</f>
        <v>0</v>
      </c>
      <c r="R24" s="34">
        <f>INDEX('9 - Water Readings'!$C$8:$C$964,1+(2*(ROWS(A$1:A23)-1)))</f>
        <v>0</v>
      </c>
      <c r="S24" s="34">
        <f>INDEX('9 - Water Readings'!$D$8:$D$963,1+(2*(ROWS(A$1:A23)-1)))</f>
        <v>0</v>
      </c>
      <c r="T24" s="34">
        <f>INDEX('9 - Water Readings'!$E$8:$E$964,1+(2*(ROWS(A$1:A23)-1)))</f>
        <v>0</v>
      </c>
      <c r="U24" s="34">
        <f>INDEX('9 - Water Readings'!$G$8:$G$963,1+(2*(ROWS(A$1:A23)-1)))</f>
        <v>0</v>
      </c>
      <c r="V24" s="34">
        <f>INDEX('9 - Water Readings'!$H$8:$H$964,1+(2*(ROWS(A$1:A23)-1)))</f>
        <v>0</v>
      </c>
      <c r="W24" s="34">
        <f>INDEX('9 - Water Readings'!$I$8:$I$964,1+(2*(ROWS(A$1:A23)-1)))</f>
        <v>0</v>
      </c>
      <c r="X24" s="34">
        <f>INDEX('9 - Water Readings'!$J$8:$J$964,1+(2*(ROWS(A$1:A23)-1)))</f>
        <v>0</v>
      </c>
      <c r="Y24" s="34">
        <f>INDEX('9 - Water Readings'!$K$8:$K$964,1+(2*(ROWS(A$1:A23)-1)))</f>
        <v>0</v>
      </c>
      <c r="Z24" s="34">
        <f>INDEX('9 - Water Readings'!$L$8:$L$964,1+(2*(ROWS(A$1:A23)-1)))</f>
        <v>0</v>
      </c>
      <c r="AA24" s="35">
        <f>'9 - Water Readings'!Q29</f>
        <v>0</v>
      </c>
      <c r="AB24" s="33">
        <f>'9 - Water Readings'!R29</f>
        <v>0</v>
      </c>
      <c r="AC24">
        <f>'9 - Water Readings'!S29</f>
        <v>0</v>
      </c>
    </row>
    <row r="25" spans="1:29" x14ac:dyDescent="0.25">
      <c r="A25" s="36" t="s">
        <v>11</v>
      </c>
      <c r="B25" s="36">
        <f t="shared" si="0"/>
        <v>24</v>
      </c>
      <c r="C25" s="36">
        <v>10</v>
      </c>
      <c r="D25" s="33">
        <v>2022</v>
      </c>
      <c r="E25" s="34">
        <f>INDEX('13 - Electrical Readings'!$C$8:$C$963,1+(2*(ROWS(A$1:A24)-1)))</f>
        <v>0</v>
      </c>
      <c r="F25" s="34">
        <f>INDEX('13 - Electrical Readings'!$D$6:$D$963,1+(2*(ROWS(A$1:A25)-1)))</f>
        <v>0</v>
      </c>
      <c r="G25" s="33">
        <f>INDEX('13 - Electrical Readings'!$E$6:$E$963,1+(2*(ROWS(A$1:A25)-1)))</f>
        <v>0</v>
      </c>
      <c r="H25" s="33">
        <f>INDEX('13 - Electrical Readings'!$F$6:$F$963,1+(2*(ROWS(A$1:A25)-1)))</f>
        <v>0</v>
      </c>
      <c r="I25" s="34">
        <f>INDEX('13 - Electrical Readings'!$G$6:$G$963,1+(2*(ROWS(A$1:A25)-1)))</f>
        <v>0</v>
      </c>
      <c r="J25" s="33">
        <f>INDEX('13 - Electrical Readings'!$I$6:$I$963,1+(2*(ROWS(A$1:A25)-1)))</f>
        <v>0</v>
      </c>
      <c r="K25" s="33">
        <f>INDEX('13 - Electrical Readings'!$J$6:$J$963,1+(2*(ROWS(B$1:B25)-1)))</f>
        <v>0</v>
      </c>
      <c r="L25" s="33">
        <f>INDEX('13 - Electrical Readings'!$K$6:$K$963,1+(2*(ROWS(C$1:C25)-1)))</f>
        <v>0</v>
      </c>
      <c r="M25" s="33">
        <f>INDEX('13 - Electrical Readings'!$L$6:$L$963,1+(2*(ROWS(D$1:D25)-1)))</f>
        <v>0</v>
      </c>
      <c r="N25" s="33">
        <f>INDEX('13 - Electrical Readings'!$M$6:$M$963,1+(2*(ROWS(E$1:E25)-1)))</f>
        <v>0</v>
      </c>
      <c r="O25" s="34">
        <f>INDEX('13 - Electrical Readings'!$N$6:$N$963,1+(2*(ROWS(E$1:E25)-1)))</f>
        <v>0</v>
      </c>
      <c r="P25" s="34">
        <f>INDEX('13 - Electrical Readings'!$O$6:$O$963,1+(2*(ROWS(E$1:E25)-1)))</f>
        <v>0</v>
      </c>
      <c r="Q25" s="34">
        <f>INDEX('13 - Electrical Readings'!$P$6:$P$963,1+(2*(ROWS(E$1:E25)-1)))</f>
        <v>0</v>
      </c>
      <c r="R25" s="34">
        <f>INDEX('9 - Water Readings'!$C$8:$C$964,1+(2*(ROWS(A$1:A24)-1)))</f>
        <v>0</v>
      </c>
      <c r="S25" s="34">
        <f>INDEX('9 - Water Readings'!$D$8:$D$963,1+(2*(ROWS(A$1:A24)-1)))</f>
        <v>0</v>
      </c>
      <c r="T25" s="34">
        <f>INDEX('9 - Water Readings'!$E$8:$E$964,1+(2*(ROWS(A$1:A24)-1)))</f>
        <v>0</v>
      </c>
      <c r="U25" s="34">
        <f>INDEX('9 - Water Readings'!$G$8:$G$963,1+(2*(ROWS(A$1:A24)-1)))</f>
        <v>0</v>
      </c>
      <c r="V25" s="34">
        <f>INDEX('9 - Water Readings'!$H$8:$H$964,1+(2*(ROWS(A$1:A24)-1)))</f>
        <v>0</v>
      </c>
      <c r="W25" s="34">
        <f>INDEX('9 - Water Readings'!$I$8:$I$964,1+(2*(ROWS(A$1:A24)-1)))</f>
        <v>0</v>
      </c>
      <c r="X25" s="34">
        <f>INDEX('9 - Water Readings'!$J$8:$J$964,1+(2*(ROWS(A$1:A24)-1)))</f>
        <v>0</v>
      </c>
      <c r="Y25" s="34">
        <f>INDEX('9 - Water Readings'!$K$8:$K$964,1+(2*(ROWS(A$1:A24)-1)))</f>
        <v>0</v>
      </c>
      <c r="Z25" s="34">
        <f>INDEX('9 - Water Readings'!$L$8:$L$964,1+(2*(ROWS(A$1:A24)-1)))</f>
        <v>0</v>
      </c>
      <c r="AA25" s="35">
        <f>'9 - Water Readings'!Q30</f>
        <v>0</v>
      </c>
      <c r="AB25" s="33">
        <f>'9 - Water Readings'!R30</f>
        <v>0</v>
      </c>
      <c r="AC25">
        <f>'9 - Water Readings'!S30</f>
        <v>0</v>
      </c>
    </row>
    <row r="26" spans="1:29" x14ac:dyDescent="0.25">
      <c r="A26" s="36" t="s">
        <v>11</v>
      </c>
      <c r="B26" s="36">
        <f>B25+1</f>
        <v>25</v>
      </c>
      <c r="C26" s="36">
        <v>10</v>
      </c>
      <c r="D26" s="33">
        <v>2022</v>
      </c>
      <c r="E26" s="34">
        <f>INDEX('13 - Electrical Readings'!$C$8:$C$963,1+(2*(ROWS(A$1:A25)-1)))</f>
        <v>0</v>
      </c>
      <c r="F26" s="34">
        <f>INDEX('13 - Electrical Readings'!$D$6:$D$963,1+(2*(ROWS(A$1:A26)-1)))</f>
        <v>0</v>
      </c>
      <c r="G26" s="33">
        <f>INDEX('13 - Electrical Readings'!$E$6:$E$963,1+(2*(ROWS(A$1:A26)-1)))</f>
        <v>0</v>
      </c>
      <c r="H26" s="33">
        <f>INDEX('13 - Electrical Readings'!$F$6:$F$963,1+(2*(ROWS(A$1:A26)-1)))</f>
        <v>0</v>
      </c>
      <c r="I26" s="34">
        <f>INDEX('13 - Electrical Readings'!$G$6:$G$963,1+(2*(ROWS(A$1:A26)-1)))</f>
        <v>0</v>
      </c>
      <c r="J26" s="33">
        <f>INDEX('13 - Electrical Readings'!$I$6:$I$963,1+(2*(ROWS(A$1:A26)-1)))</f>
        <v>0</v>
      </c>
      <c r="K26" s="33">
        <f>INDEX('13 - Electrical Readings'!$J$6:$J$963,1+(2*(ROWS(B$1:B26)-1)))</f>
        <v>0</v>
      </c>
      <c r="L26" s="33">
        <f>INDEX('13 - Electrical Readings'!$K$6:$K$963,1+(2*(ROWS(C$1:C26)-1)))</f>
        <v>0</v>
      </c>
      <c r="M26" s="33">
        <f>INDEX('13 - Electrical Readings'!$L$6:$L$963,1+(2*(ROWS(D$1:D26)-1)))</f>
        <v>0</v>
      </c>
      <c r="N26" s="33">
        <f>INDEX('13 - Electrical Readings'!$M$6:$M$963,1+(2*(ROWS(E$1:E26)-1)))</f>
        <v>0</v>
      </c>
      <c r="O26" s="34">
        <f>INDEX('13 - Electrical Readings'!$N$6:$N$963,1+(2*(ROWS(E$1:E26)-1)))</f>
        <v>0</v>
      </c>
      <c r="P26" s="34">
        <f>INDEX('13 - Electrical Readings'!$O$6:$O$963,1+(2*(ROWS(E$1:E26)-1)))</f>
        <v>0</v>
      </c>
      <c r="Q26" s="34">
        <f>INDEX('13 - Electrical Readings'!$P$6:$P$963,1+(2*(ROWS(E$1:E26)-1)))</f>
        <v>0</v>
      </c>
      <c r="R26" s="34">
        <f>INDEX('9 - Water Readings'!$C$8:$C$964,1+(2*(ROWS(A$1:A25)-1)))</f>
        <v>0</v>
      </c>
      <c r="S26" s="34">
        <f>INDEX('9 - Water Readings'!$D$8:$D$963,1+(2*(ROWS(A$1:A25)-1)))</f>
        <v>0</v>
      </c>
      <c r="T26" s="34">
        <f>INDEX('9 - Water Readings'!$E$8:$E$964,1+(2*(ROWS(A$1:A25)-1)))</f>
        <v>0</v>
      </c>
      <c r="U26" s="34">
        <f>INDEX('9 - Water Readings'!$G$8:$G$963,1+(2*(ROWS(A$1:A25)-1)))</f>
        <v>0</v>
      </c>
      <c r="V26" s="34">
        <f>INDEX('9 - Water Readings'!$H$8:$H$964,1+(2*(ROWS(A$1:A25)-1)))</f>
        <v>0</v>
      </c>
      <c r="W26" s="34">
        <f>INDEX('9 - Water Readings'!$I$8:$I$964,1+(2*(ROWS(A$1:A25)-1)))</f>
        <v>0</v>
      </c>
      <c r="X26" s="34">
        <f>INDEX('9 - Water Readings'!$J$8:$J$964,1+(2*(ROWS(A$1:A25)-1)))</f>
        <v>0</v>
      </c>
      <c r="Y26" s="34">
        <f>INDEX('9 - Water Readings'!$K$8:$K$964,1+(2*(ROWS(A$1:A25)-1)))</f>
        <v>0</v>
      </c>
      <c r="Z26" s="34">
        <f>INDEX('9 - Water Readings'!$L$8:$L$964,1+(2*(ROWS(A$1:A25)-1)))</f>
        <v>0</v>
      </c>
      <c r="AA26" s="35">
        <f>'9 - Water Readings'!Q31</f>
        <v>0</v>
      </c>
      <c r="AB26" s="33">
        <f>'9 - Water Readings'!R31</f>
        <v>0</v>
      </c>
      <c r="AC26">
        <f>'9 - Water Readings'!S31</f>
        <v>0</v>
      </c>
    </row>
    <row r="27" spans="1:29" x14ac:dyDescent="0.25">
      <c r="A27" s="36" t="s">
        <v>11</v>
      </c>
      <c r="B27" s="36">
        <f t="shared" si="0"/>
        <v>26</v>
      </c>
      <c r="C27" s="36">
        <v>10</v>
      </c>
      <c r="D27" s="33">
        <v>2022</v>
      </c>
      <c r="E27" s="34">
        <f>INDEX('13 - Electrical Readings'!$C$8:$C$963,1+(2*(ROWS(A$1:A26)-1)))</f>
        <v>0</v>
      </c>
      <c r="F27" s="34">
        <f>INDEX('13 - Electrical Readings'!$D$6:$D$963,1+(2*(ROWS(A$1:A27)-1)))</f>
        <v>0</v>
      </c>
      <c r="G27" s="33">
        <f>INDEX('13 - Electrical Readings'!$E$6:$E$963,1+(2*(ROWS(A$1:A27)-1)))</f>
        <v>0</v>
      </c>
      <c r="H27" s="33">
        <f>INDEX('13 - Electrical Readings'!$F$6:$F$963,1+(2*(ROWS(A$1:A27)-1)))</f>
        <v>0</v>
      </c>
      <c r="I27" s="34">
        <f>INDEX('13 - Electrical Readings'!$G$6:$G$963,1+(2*(ROWS(A$1:A27)-1)))</f>
        <v>0</v>
      </c>
      <c r="J27" s="33">
        <f>INDEX('13 - Electrical Readings'!$I$6:$I$963,1+(2*(ROWS(A$1:A27)-1)))</f>
        <v>0</v>
      </c>
      <c r="K27" s="33">
        <f>INDEX('13 - Electrical Readings'!$J$6:$J$963,1+(2*(ROWS(B$1:B27)-1)))</f>
        <v>0</v>
      </c>
      <c r="L27" s="33">
        <f>INDEX('13 - Electrical Readings'!$K$6:$K$963,1+(2*(ROWS(C$1:C27)-1)))</f>
        <v>0</v>
      </c>
      <c r="M27" s="33">
        <f>INDEX('13 - Electrical Readings'!$L$6:$L$963,1+(2*(ROWS(D$1:D27)-1)))</f>
        <v>0</v>
      </c>
      <c r="N27" s="33">
        <f>INDEX('13 - Electrical Readings'!$M$6:$M$963,1+(2*(ROWS(E$1:E27)-1)))</f>
        <v>0</v>
      </c>
      <c r="O27" s="34">
        <f>INDEX('13 - Electrical Readings'!$N$6:$N$963,1+(2*(ROWS(E$1:E27)-1)))</f>
        <v>0</v>
      </c>
      <c r="P27" s="34">
        <f>INDEX('13 - Electrical Readings'!$O$6:$O$963,1+(2*(ROWS(E$1:E27)-1)))</f>
        <v>0</v>
      </c>
      <c r="Q27" s="34">
        <f>INDEX('13 - Electrical Readings'!$P$6:$P$963,1+(2*(ROWS(E$1:E27)-1)))</f>
        <v>0</v>
      </c>
      <c r="R27" s="34">
        <f>INDEX('9 - Water Readings'!$C$8:$C$964,1+(2*(ROWS(A$1:A26)-1)))</f>
        <v>0</v>
      </c>
      <c r="S27" s="34">
        <f>INDEX('9 - Water Readings'!$D$8:$D$963,1+(2*(ROWS(A$1:A26)-1)))</f>
        <v>0</v>
      </c>
      <c r="T27" s="34">
        <f>INDEX('9 - Water Readings'!$E$8:$E$964,1+(2*(ROWS(A$1:A26)-1)))</f>
        <v>0</v>
      </c>
      <c r="U27" s="34">
        <f>INDEX('9 - Water Readings'!$G$8:$G$963,1+(2*(ROWS(A$1:A26)-1)))</f>
        <v>0</v>
      </c>
      <c r="V27" s="34">
        <f>INDEX('9 - Water Readings'!$H$8:$H$964,1+(2*(ROWS(A$1:A26)-1)))</f>
        <v>0</v>
      </c>
      <c r="W27" s="34">
        <f>INDEX('9 - Water Readings'!$I$8:$I$964,1+(2*(ROWS(A$1:A26)-1)))</f>
        <v>0</v>
      </c>
      <c r="X27" s="34">
        <f>INDEX('9 - Water Readings'!$J$8:$J$964,1+(2*(ROWS(A$1:A26)-1)))</f>
        <v>0</v>
      </c>
      <c r="Y27" s="34">
        <f>INDEX('9 - Water Readings'!$K$8:$K$964,1+(2*(ROWS(A$1:A26)-1)))</f>
        <v>0</v>
      </c>
      <c r="Z27" s="34">
        <f>INDEX('9 - Water Readings'!$L$8:$L$964,1+(2*(ROWS(A$1:A26)-1)))</f>
        <v>0</v>
      </c>
      <c r="AA27" s="35">
        <f>'9 - Water Readings'!Q32</f>
        <v>0</v>
      </c>
      <c r="AB27" s="33">
        <f>'9 - Water Readings'!R32</f>
        <v>0</v>
      </c>
      <c r="AC27">
        <f>'9 - Water Readings'!S32</f>
        <v>0</v>
      </c>
    </row>
    <row r="28" spans="1:29" x14ac:dyDescent="0.25">
      <c r="A28" s="36" t="s">
        <v>11</v>
      </c>
      <c r="B28" s="36">
        <f t="shared" si="0"/>
        <v>27</v>
      </c>
      <c r="C28" s="36">
        <v>10</v>
      </c>
      <c r="D28" s="33">
        <v>2022</v>
      </c>
      <c r="E28" s="34">
        <f>INDEX('13 - Electrical Readings'!$C$8:$C$963,1+(2*(ROWS(A$1:A27)-1)))</f>
        <v>0</v>
      </c>
      <c r="F28" s="34">
        <f>INDEX('13 - Electrical Readings'!$D$6:$D$963,1+(2*(ROWS(A$1:A28)-1)))</f>
        <v>0</v>
      </c>
      <c r="G28" s="33">
        <f>INDEX('13 - Electrical Readings'!$E$6:$E$963,1+(2*(ROWS(A$1:A28)-1)))</f>
        <v>0</v>
      </c>
      <c r="H28" s="33">
        <f>INDEX('13 - Electrical Readings'!$F$6:$F$963,1+(2*(ROWS(A$1:A28)-1)))</f>
        <v>0</v>
      </c>
      <c r="I28" s="34">
        <f>INDEX('13 - Electrical Readings'!$G$6:$G$963,1+(2*(ROWS(A$1:A28)-1)))</f>
        <v>0</v>
      </c>
      <c r="J28" s="33">
        <f>INDEX('13 - Electrical Readings'!$I$6:$I$963,1+(2*(ROWS(A$1:A28)-1)))</f>
        <v>0</v>
      </c>
      <c r="K28" s="33">
        <f>INDEX('13 - Electrical Readings'!$J$6:$J$963,1+(2*(ROWS(B$1:B28)-1)))</f>
        <v>0</v>
      </c>
      <c r="L28" s="33">
        <f>INDEX('13 - Electrical Readings'!$K$6:$K$963,1+(2*(ROWS(C$1:C28)-1)))</f>
        <v>0</v>
      </c>
      <c r="M28" s="33">
        <f>INDEX('13 - Electrical Readings'!$L$6:$L$963,1+(2*(ROWS(D$1:D28)-1)))</f>
        <v>0</v>
      </c>
      <c r="N28" s="33">
        <f>INDEX('13 - Electrical Readings'!$M$6:$M$963,1+(2*(ROWS(E$1:E28)-1)))</f>
        <v>0</v>
      </c>
      <c r="O28" s="34">
        <f>INDEX('13 - Electrical Readings'!$N$6:$N$963,1+(2*(ROWS(E$1:E28)-1)))</f>
        <v>0</v>
      </c>
      <c r="P28" s="34">
        <f>INDEX('13 - Electrical Readings'!$O$6:$O$963,1+(2*(ROWS(E$1:E28)-1)))</f>
        <v>0</v>
      </c>
      <c r="Q28" s="34">
        <f>INDEX('13 - Electrical Readings'!$P$6:$P$963,1+(2*(ROWS(E$1:E28)-1)))</f>
        <v>0</v>
      </c>
      <c r="R28" s="34">
        <f>INDEX('9 - Water Readings'!$C$8:$C$964,1+(2*(ROWS(A$1:A27)-1)))</f>
        <v>0</v>
      </c>
      <c r="S28" s="34">
        <f>INDEX('9 - Water Readings'!$D$8:$D$963,1+(2*(ROWS(A$1:A27)-1)))</f>
        <v>0</v>
      </c>
      <c r="T28" s="34">
        <f>INDEX('9 - Water Readings'!$E$8:$E$964,1+(2*(ROWS(A$1:A27)-1)))</f>
        <v>0</v>
      </c>
      <c r="U28" s="34">
        <f>INDEX('9 - Water Readings'!$G$8:$G$963,1+(2*(ROWS(A$1:A27)-1)))</f>
        <v>0</v>
      </c>
      <c r="V28" s="34">
        <f>INDEX('9 - Water Readings'!$H$8:$H$964,1+(2*(ROWS(A$1:A27)-1)))</f>
        <v>0</v>
      </c>
      <c r="W28" s="34">
        <f>INDEX('9 - Water Readings'!$I$8:$I$964,1+(2*(ROWS(A$1:A27)-1)))</f>
        <v>0</v>
      </c>
      <c r="X28" s="34">
        <f>INDEX('9 - Water Readings'!$J$8:$J$964,1+(2*(ROWS(A$1:A27)-1)))</f>
        <v>0</v>
      </c>
      <c r="Y28" s="34">
        <f>INDEX('9 - Water Readings'!$K$8:$K$964,1+(2*(ROWS(A$1:A27)-1)))</f>
        <v>0</v>
      </c>
      <c r="Z28" s="34">
        <f>INDEX('9 - Water Readings'!$L$8:$L$964,1+(2*(ROWS(A$1:A27)-1)))</f>
        <v>0</v>
      </c>
      <c r="AA28" s="35">
        <f>'9 - Water Readings'!Q33</f>
        <v>0</v>
      </c>
      <c r="AB28" s="33">
        <f>'9 - Water Readings'!R33</f>
        <v>0</v>
      </c>
      <c r="AC28">
        <f>'9 - Water Readings'!S33</f>
        <v>0</v>
      </c>
    </row>
    <row r="29" spans="1:29" x14ac:dyDescent="0.25">
      <c r="A29" s="36" t="s">
        <v>11</v>
      </c>
      <c r="B29" s="36">
        <f t="shared" si="0"/>
        <v>28</v>
      </c>
      <c r="C29" s="36">
        <v>10</v>
      </c>
      <c r="D29" s="33">
        <v>2022</v>
      </c>
      <c r="E29" s="34">
        <f>INDEX('13 - Electrical Readings'!$C$8:$C$963,1+(2*(ROWS(A$1:A28)-1)))</f>
        <v>0</v>
      </c>
      <c r="F29" s="34">
        <f>INDEX('13 - Electrical Readings'!$D$6:$D$963,1+(2*(ROWS(A$1:A29)-1)))</f>
        <v>0</v>
      </c>
      <c r="G29" s="33">
        <f>INDEX('13 - Electrical Readings'!$E$6:$E$963,1+(2*(ROWS(A$1:A29)-1)))</f>
        <v>0</v>
      </c>
      <c r="H29" s="33">
        <f>INDEX('13 - Electrical Readings'!$F$6:$F$963,1+(2*(ROWS(A$1:A29)-1)))</f>
        <v>0</v>
      </c>
      <c r="I29" s="34">
        <f>INDEX('13 - Electrical Readings'!$G$6:$G$963,1+(2*(ROWS(A$1:A29)-1)))</f>
        <v>0</v>
      </c>
      <c r="J29" s="33">
        <f>INDEX('13 - Electrical Readings'!$I$6:$I$963,1+(2*(ROWS(A$1:A29)-1)))</f>
        <v>0</v>
      </c>
      <c r="K29" s="33">
        <f>INDEX('13 - Electrical Readings'!$J$6:$J$963,1+(2*(ROWS(B$1:B29)-1)))</f>
        <v>0</v>
      </c>
      <c r="L29" s="33">
        <f>INDEX('13 - Electrical Readings'!$K$6:$K$963,1+(2*(ROWS(C$1:C29)-1)))</f>
        <v>0</v>
      </c>
      <c r="M29" s="33">
        <f>INDEX('13 - Electrical Readings'!$L$6:$L$963,1+(2*(ROWS(D$1:D29)-1)))</f>
        <v>0</v>
      </c>
      <c r="N29" s="33">
        <f>INDEX('13 - Electrical Readings'!$M$6:$M$963,1+(2*(ROWS(E$1:E29)-1)))</f>
        <v>0</v>
      </c>
      <c r="O29" s="34">
        <f>INDEX('13 - Electrical Readings'!$N$6:$N$963,1+(2*(ROWS(E$1:E29)-1)))</f>
        <v>0</v>
      </c>
      <c r="P29" s="34">
        <f>INDEX('13 - Electrical Readings'!$O$6:$O$963,1+(2*(ROWS(E$1:E29)-1)))</f>
        <v>0</v>
      </c>
      <c r="Q29" s="34">
        <f>INDEX('13 - Electrical Readings'!$P$6:$P$963,1+(2*(ROWS(E$1:E29)-1)))</f>
        <v>0</v>
      </c>
      <c r="R29" s="34">
        <f>INDEX('9 - Water Readings'!$C$8:$C$964,1+(2*(ROWS(A$1:A28)-1)))</f>
        <v>0</v>
      </c>
      <c r="S29" s="34">
        <f>INDEX('9 - Water Readings'!$D$8:$D$963,1+(2*(ROWS(A$1:A28)-1)))</f>
        <v>0</v>
      </c>
      <c r="T29" s="34">
        <f>INDEX('9 - Water Readings'!$E$8:$E$964,1+(2*(ROWS(A$1:A28)-1)))</f>
        <v>0</v>
      </c>
      <c r="U29" s="34">
        <f>INDEX('9 - Water Readings'!$G$8:$G$963,1+(2*(ROWS(A$1:A28)-1)))</f>
        <v>0</v>
      </c>
      <c r="V29" s="34">
        <f>INDEX('9 - Water Readings'!$H$8:$H$964,1+(2*(ROWS(A$1:A28)-1)))</f>
        <v>0</v>
      </c>
      <c r="W29" s="34">
        <f>INDEX('9 - Water Readings'!$I$8:$I$964,1+(2*(ROWS(A$1:A28)-1)))</f>
        <v>0</v>
      </c>
      <c r="X29" s="34">
        <f>INDEX('9 - Water Readings'!$J$8:$J$964,1+(2*(ROWS(A$1:A28)-1)))</f>
        <v>0</v>
      </c>
      <c r="Y29" s="34">
        <f>INDEX('9 - Water Readings'!$K$8:$K$964,1+(2*(ROWS(A$1:A28)-1)))</f>
        <v>0</v>
      </c>
      <c r="Z29" s="34">
        <f>INDEX('9 - Water Readings'!$L$8:$L$964,1+(2*(ROWS(A$1:A28)-1)))</f>
        <v>0</v>
      </c>
      <c r="AA29" s="35">
        <f>'9 - Water Readings'!Q34</f>
        <v>0</v>
      </c>
      <c r="AB29" s="33">
        <f>'9 - Water Readings'!R34</f>
        <v>0</v>
      </c>
      <c r="AC29">
        <f>'9 - Water Readings'!S34</f>
        <v>0</v>
      </c>
    </row>
    <row r="30" spans="1:29" x14ac:dyDescent="0.25">
      <c r="A30" s="36" t="s">
        <v>11</v>
      </c>
      <c r="B30" s="36">
        <v>29</v>
      </c>
      <c r="C30" s="36">
        <v>10</v>
      </c>
      <c r="D30" s="33">
        <v>2022</v>
      </c>
      <c r="E30" s="34">
        <f>INDEX('13 - Electrical Readings'!$C$8:$C$963,1+(2*(ROWS(A$1:A29)-1)))</f>
        <v>0</v>
      </c>
      <c r="F30" s="34">
        <f>INDEX('13 - Electrical Readings'!$D$6:$D$963,1+(2*(ROWS(A$1:A30)-1)))</f>
        <v>0</v>
      </c>
      <c r="G30" s="33">
        <f>INDEX('13 - Electrical Readings'!$E$6:$E$963,1+(2*(ROWS(A$1:A30)-1)))</f>
        <v>0</v>
      </c>
      <c r="H30" s="33">
        <f>INDEX('13 - Electrical Readings'!$F$6:$F$963,1+(2*(ROWS(A$1:A30)-1)))</f>
        <v>0</v>
      </c>
      <c r="I30" s="34">
        <f>INDEX('13 - Electrical Readings'!$G$6:$G$963,1+(2*(ROWS(A$1:A30)-1)))</f>
        <v>0</v>
      </c>
      <c r="J30" s="33">
        <f>INDEX('13 - Electrical Readings'!$I$6:$I$963,1+(2*(ROWS(A$1:A30)-1)))</f>
        <v>0</v>
      </c>
      <c r="K30" s="33">
        <f>INDEX('13 - Electrical Readings'!$J$6:$J$963,1+(2*(ROWS(B$1:B30)-1)))</f>
        <v>0</v>
      </c>
      <c r="L30" s="33">
        <f>INDEX('13 - Electrical Readings'!$K$6:$K$963,1+(2*(ROWS(C$1:C30)-1)))</f>
        <v>0</v>
      </c>
      <c r="M30" s="33">
        <f>INDEX('13 - Electrical Readings'!$L$6:$L$963,1+(2*(ROWS(D$1:D30)-1)))</f>
        <v>0</v>
      </c>
      <c r="N30" s="33">
        <f>INDEX('13 - Electrical Readings'!$M$6:$M$963,1+(2*(ROWS(E$1:E30)-1)))</f>
        <v>0</v>
      </c>
      <c r="O30" s="34">
        <f>INDEX('13 - Electrical Readings'!$N$6:$N$963,1+(2*(ROWS(E$1:E30)-1)))</f>
        <v>0</v>
      </c>
      <c r="P30" s="34">
        <f>INDEX('13 - Electrical Readings'!$O$6:$O$963,1+(2*(ROWS(E$1:E30)-1)))</f>
        <v>0</v>
      </c>
      <c r="Q30" s="34">
        <f>INDEX('13 - Electrical Readings'!$P$6:$P$963,1+(2*(ROWS(E$1:E30)-1)))</f>
        <v>0</v>
      </c>
      <c r="R30" s="34">
        <f>INDEX('9 - Water Readings'!$C$8:$C$964,1+(2*(ROWS(A$1:A28)-1)))</f>
        <v>0</v>
      </c>
      <c r="S30" s="34">
        <f>INDEX('9 - Water Readings'!$D$8:$D$963,1+(2*(ROWS(A$1:A28)-1)))</f>
        <v>0</v>
      </c>
      <c r="T30" s="34">
        <f>INDEX('9 - Water Readings'!$E$8:$E$964,1+(2*(ROWS(A$1:A28)-1)))</f>
        <v>0</v>
      </c>
      <c r="U30" s="34">
        <f>INDEX('9 - Water Readings'!$G$8:$G$963,1+(2*(ROWS(A$1:A28)-1)))</f>
        <v>0</v>
      </c>
      <c r="V30" s="34">
        <f>INDEX('9 - Water Readings'!$H$8:$H$964,1+(2*(ROWS(A$1:A28)-1)))</f>
        <v>0</v>
      </c>
      <c r="W30" s="34">
        <f>INDEX('9 - Water Readings'!$I$8:$I$964,1+(2*(ROWS(A$1:A28)-1)))</f>
        <v>0</v>
      </c>
      <c r="X30" s="34">
        <f>INDEX('9 - Water Readings'!$J$8:$J$964,1+(2*(ROWS(A$1:A28)-1)))</f>
        <v>0</v>
      </c>
      <c r="Y30" s="34">
        <f>INDEX('9 - Water Readings'!$K$8:$K$964,1+(2*(ROWS(A$1:A28)-1)))</f>
        <v>0</v>
      </c>
      <c r="Z30" s="34">
        <f>INDEX('9 - Water Readings'!$L$8:$L$964,1+(2*(ROWS(A$1:A28)-1)))</f>
        <v>0</v>
      </c>
      <c r="AA30" s="35">
        <f>'9 - Water Readings'!Q34</f>
        <v>0</v>
      </c>
      <c r="AB30" s="33">
        <f>'9 - Water Readings'!R34</f>
        <v>0</v>
      </c>
      <c r="AC30">
        <f>'9 - Water Readings'!S34</f>
        <v>0</v>
      </c>
    </row>
    <row r="31" spans="1:29" x14ac:dyDescent="0.25">
      <c r="A31" s="36" t="s">
        <v>11</v>
      </c>
      <c r="B31" s="36">
        <v>30</v>
      </c>
      <c r="C31" s="36">
        <v>10</v>
      </c>
      <c r="D31" s="33">
        <v>2022</v>
      </c>
      <c r="E31" s="34">
        <f>INDEX('13 - Electrical Readings'!$C$8:$C$963,1+(2*(ROWS(A$1:A30)-1)))</f>
        <v>0</v>
      </c>
      <c r="F31" s="34">
        <f>INDEX('13 - Electrical Readings'!$D$6:$D$963,1+(2*(ROWS(A$1:A31)-1)))</f>
        <v>0</v>
      </c>
      <c r="G31" s="33">
        <f>INDEX('13 - Electrical Readings'!$E$6:$E$963,1+(2*(ROWS(A$1:A31)-1)))</f>
        <v>0</v>
      </c>
      <c r="H31" s="33">
        <f>INDEX('13 - Electrical Readings'!$F$6:$F$963,1+(2*(ROWS(A$1:A31)-1)))</f>
        <v>0</v>
      </c>
      <c r="I31" s="34">
        <f>INDEX('13 - Electrical Readings'!$G$6:$G$963,1+(2*(ROWS(A$1:A31)-1)))</f>
        <v>0</v>
      </c>
      <c r="J31" s="33">
        <f>INDEX('13 - Electrical Readings'!$I$6:$I$963,1+(2*(ROWS(A$1:A31)-1)))</f>
        <v>0</v>
      </c>
      <c r="K31" s="33">
        <f>INDEX('13 - Electrical Readings'!$J$6:$J$963,1+(2*(ROWS(B$1:B31)-1)))</f>
        <v>0</v>
      </c>
      <c r="L31" s="33">
        <f>INDEX('13 - Electrical Readings'!$K$6:$K$963,1+(2*(ROWS(C$1:C31)-1)))</f>
        <v>0</v>
      </c>
      <c r="M31" s="33">
        <f>INDEX('13 - Electrical Readings'!$L$6:$L$963,1+(2*(ROWS(D$1:D31)-1)))</f>
        <v>0</v>
      </c>
      <c r="N31" s="33">
        <f>INDEX('13 - Electrical Readings'!$M$6:$M$963,1+(2*(ROWS(E$1:E31)-1)))</f>
        <v>0</v>
      </c>
      <c r="O31" s="34">
        <f>INDEX('13 - Electrical Readings'!$N$6:$N$963,1+(2*(ROWS(E$1:E31)-1)))</f>
        <v>0</v>
      </c>
      <c r="P31" s="34">
        <f>INDEX('13 - Electrical Readings'!$O$6:$O$963,1+(2*(ROWS(E$1:E31)-1)))</f>
        <v>0</v>
      </c>
      <c r="Q31" s="34">
        <f>INDEX('13 - Electrical Readings'!$P$6:$P$963,1+(2*(ROWS(E$1:E31)-1)))</f>
        <v>0</v>
      </c>
      <c r="R31" s="34">
        <f>INDEX('9 - Water Readings'!$C$8:$C$964,1+(2*(ROWS(A$1:A29)-1)))</f>
        <v>0</v>
      </c>
      <c r="S31" s="34">
        <f>INDEX('9 - Water Readings'!$D$8:$D$963,1+(2*(ROWS(A$1:A29)-1)))</f>
        <v>0</v>
      </c>
      <c r="T31" s="34">
        <f>INDEX('9 - Water Readings'!$E$8:$E$964,1+(2*(ROWS(A$1:A29)-1)))</f>
        <v>0</v>
      </c>
      <c r="U31" s="34">
        <f>INDEX('9 - Water Readings'!$G$8:$G$963,1+(2*(ROWS(A$1:A29)-1)))</f>
        <v>0</v>
      </c>
      <c r="V31" s="34">
        <f>INDEX('9 - Water Readings'!$H$8:$H$964,1+(2*(ROWS(A$1:A29)-1)))</f>
        <v>0</v>
      </c>
      <c r="W31" s="34">
        <f>INDEX('9 - Water Readings'!$I$8:$I$964,1+(2*(ROWS(A$1:A29)-1)))</f>
        <v>0</v>
      </c>
      <c r="X31" s="34">
        <f>INDEX('9 - Water Readings'!$J$8:$J$964,1+(2*(ROWS(A$1:A29)-1)))</f>
        <v>0</v>
      </c>
      <c r="Y31" s="34">
        <f>INDEX('9 - Water Readings'!$K$8:$K$964,1+(2*(ROWS(A$1:A29)-1)))</f>
        <v>0</v>
      </c>
      <c r="Z31" s="34">
        <f>INDEX('9 - Water Readings'!$L$8:$L$964,1+(2*(ROWS(A$1:A29)-1)))</f>
        <v>0</v>
      </c>
      <c r="AA31" s="35">
        <f>'9 - Water Readings'!Q35</f>
        <v>0</v>
      </c>
      <c r="AB31" s="33">
        <f>'9 - Water Readings'!R35</f>
        <v>0</v>
      </c>
      <c r="AC31">
        <f>'9 - Water Readings'!S35</f>
        <v>0</v>
      </c>
    </row>
    <row r="32" spans="1:29" x14ac:dyDescent="0.25">
      <c r="A32" s="36" t="s">
        <v>11</v>
      </c>
      <c r="B32" s="36">
        <v>31</v>
      </c>
      <c r="C32" s="36">
        <v>10</v>
      </c>
      <c r="D32" s="33">
        <v>2022</v>
      </c>
      <c r="E32" s="34">
        <f>INDEX('13 - Electrical Readings'!$C$8:$C$963,1+(2*(ROWS(A$1:A31)-1)))</f>
        <v>0</v>
      </c>
      <c r="F32" s="34">
        <f>INDEX('13 - Electrical Readings'!$D$6:$D$963,1+(2*(ROWS(A$1:A32)-1)))</f>
        <v>0</v>
      </c>
      <c r="G32" s="33">
        <f>INDEX('13 - Electrical Readings'!$E$6:$E$963,1+(2*(ROWS(A$1:A32)-1)))</f>
        <v>0</v>
      </c>
      <c r="H32" s="33">
        <f>INDEX('13 - Electrical Readings'!$F$6:$F$963,1+(2*(ROWS(A$1:A32)-1)))</f>
        <v>0</v>
      </c>
      <c r="I32" s="34">
        <f>INDEX('13 - Electrical Readings'!$G$6:$G$963,1+(2*(ROWS(A$1:A32)-1)))</f>
        <v>0</v>
      </c>
      <c r="J32" s="33">
        <f>INDEX('13 - Electrical Readings'!$I$6:$I$963,1+(2*(ROWS(A$1:A32)-1)))</f>
        <v>0</v>
      </c>
      <c r="K32" s="33">
        <f>INDEX('13 - Electrical Readings'!$J$6:$J$963,1+(2*(ROWS(B$1:B32)-1)))</f>
        <v>0</v>
      </c>
      <c r="L32" s="33">
        <f>INDEX('13 - Electrical Readings'!$K$6:$K$963,1+(2*(ROWS(C$1:C32)-1)))</f>
        <v>0</v>
      </c>
      <c r="M32" s="33">
        <f>INDEX('13 - Electrical Readings'!$L$6:$L$963,1+(2*(ROWS(D$1:D32)-1)))</f>
        <v>0</v>
      </c>
      <c r="N32" s="33">
        <f>INDEX('13 - Electrical Readings'!$M$6:$M$963,1+(2*(ROWS(E$1:E32)-1)))</f>
        <v>0</v>
      </c>
      <c r="O32" s="34">
        <f>INDEX('13 - Electrical Readings'!$N$6:$N$963,1+(2*(ROWS(E$1:E32)-1)))</f>
        <v>0</v>
      </c>
      <c r="P32" s="34">
        <f>INDEX('13 - Electrical Readings'!$O$6:$O$963,1+(2*(ROWS(E$1:E32)-1)))</f>
        <v>0</v>
      </c>
      <c r="Q32" s="34">
        <f>INDEX('13 - Electrical Readings'!$P$6:$P$963,1+(2*(ROWS(E$1:E32)-1)))</f>
        <v>0</v>
      </c>
      <c r="R32" s="34">
        <f>INDEX('9 - Water Readings'!$C$8:$C$964,1+(2*(ROWS(A$1:A30)-1)))</f>
        <v>0</v>
      </c>
      <c r="S32" s="34">
        <f>INDEX('9 - Water Readings'!$D$8:$D$963,1+(2*(ROWS(A$1:A30)-1)))</f>
        <v>0</v>
      </c>
      <c r="T32" s="34">
        <f>INDEX('9 - Water Readings'!$E$8:$E$964,1+(2*(ROWS(A$1:A30)-1)))</f>
        <v>0</v>
      </c>
      <c r="U32" s="34">
        <f>INDEX('9 - Water Readings'!$G$8:$G$963,1+(2*(ROWS(A$1:A30)-1)))</f>
        <v>0</v>
      </c>
      <c r="V32" s="34">
        <f>INDEX('9 - Water Readings'!$H$8:$H$964,1+(2*(ROWS(A$1:A30)-1)))</f>
        <v>0</v>
      </c>
      <c r="W32" s="34">
        <f>INDEX('9 - Water Readings'!$I$8:$I$964,1+(2*(ROWS(A$1:A30)-1)))</f>
        <v>0</v>
      </c>
      <c r="X32" s="34">
        <f>INDEX('9 - Water Readings'!$J$8:$J$964,1+(2*(ROWS(A$1:A30)-1)))</f>
        <v>0</v>
      </c>
      <c r="Y32" s="34">
        <f>INDEX('9 - Water Readings'!$K$8:$K$964,1+(2*(ROWS(A$1:A30)-1)))</f>
        <v>0</v>
      </c>
      <c r="Z32" s="34">
        <f>INDEX('9 - Water Readings'!$L$8:$L$964,1+(2*(ROWS(A$1:A30)-1)))</f>
        <v>0</v>
      </c>
      <c r="AA32" s="35">
        <f>'9 - Water Readings'!Q36</f>
        <v>0</v>
      </c>
      <c r="AB32" s="33">
        <f>'9 - Water Readings'!R36</f>
        <v>0</v>
      </c>
      <c r="AC32">
        <f>'9 - Water Readings'!S36</f>
        <v>0</v>
      </c>
    </row>
    <row r="33" spans="5:29" x14ac:dyDescent="0.25">
      <c r="E33" s="34">
        <f>SUM(E2:E29)</f>
        <v>161470</v>
      </c>
      <c r="F33" s="34">
        <f t="shared" ref="F33:AC33" si="1">SUM(F2:F29)</f>
        <v>158894</v>
      </c>
      <c r="G33" s="33">
        <f t="shared" si="1"/>
        <v>227174</v>
      </c>
      <c r="H33" s="33">
        <f t="shared" si="1"/>
        <v>205481</v>
      </c>
      <c r="I33" s="34">
        <f t="shared" si="1"/>
        <v>21242</v>
      </c>
      <c r="J33" s="33">
        <f t="shared" si="1"/>
        <v>45660</v>
      </c>
      <c r="K33" s="33">
        <f t="shared" si="1"/>
        <v>189044</v>
      </c>
      <c r="L33" s="33">
        <f t="shared" si="1"/>
        <v>65940</v>
      </c>
      <c r="M33" s="33">
        <f t="shared" si="1"/>
        <v>87747</v>
      </c>
      <c r="N33" s="33">
        <f t="shared" si="1"/>
        <v>177503</v>
      </c>
      <c r="O33" s="34">
        <f t="shared" si="1"/>
        <v>179380</v>
      </c>
      <c r="P33" s="34">
        <f t="shared" si="1"/>
        <v>66518</v>
      </c>
      <c r="Q33" s="34">
        <f t="shared" si="1"/>
        <v>57380</v>
      </c>
      <c r="R33" s="34">
        <f t="shared" si="1"/>
        <v>5</v>
      </c>
      <c r="S33" s="34">
        <f t="shared" si="1"/>
        <v>4</v>
      </c>
      <c r="T33" s="34">
        <f t="shared" si="1"/>
        <v>0</v>
      </c>
      <c r="U33" s="34">
        <f t="shared" si="1"/>
        <v>2255</v>
      </c>
      <c r="V33" s="34">
        <f t="shared" si="1"/>
        <v>316</v>
      </c>
      <c r="W33" s="34">
        <f t="shared" si="1"/>
        <v>1026</v>
      </c>
      <c r="X33" s="34">
        <f t="shared" si="1"/>
        <v>4669</v>
      </c>
      <c r="Y33" s="34">
        <f t="shared" si="1"/>
        <v>0</v>
      </c>
      <c r="Z33" s="34">
        <f t="shared" si="1"/>
        <v>803</v>
      </c>
      <c r="AA33" s="34">
        <f t="shared" si="1"/>
        <v>2220</v>
      </c>
      <c r="AB33" s="34">
        <f t="shared" si="1"/>
        <v>7086</v>
      </c>
      <c r="AC33" s="34">
        <f t="shared" si="1"/>
        <v>225.00000000000003</v>
      </c>
    </row>
    <row r="34" spans="5:29" x14ac:dyDescent="0.25">
      <c r="I34" s="34"/>
      <c r="AA34" s="35"/>
      <c r="AC34"/>
    </row>
    <row r="35" spans="5:29" x14ac:dyDescent="0.25">
      <c r="I35" s="34"/>
      <c r="AA35" s="35"/>
      <c r="AC35"/>
    </row>
    <row r="36" spans="5:29" x14ac:dyDescent="0.25">
      <c r="I36" s="34"/>
      <c r="AA36" s="35"/>
      <c r="AC3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B1:R72"/>
  <sheetViews>
    <sheetView zoomScaleNormal="100" zoomScaleSheetLayoutView="100" workbookViewId="0">
      <pane ySplit="6" topLeftCell="A7" activePane="bottomLeft" state="frozen"/>
      <selection activeCell="E54" sqref="E54"/>
      <selection pane="bottomLeft" activeCell="W17" sqref="W17"/>
    </sheetView>
  </sheetViews>
  <sheetFormatPr defaultRowHeight="15" x14ac:dyDescent="0.25"/>
  <cols>
    <col min="1" max="1" width="1" style="1" customWidth="1"/>
    <col min="2" max="2" width="10.5703125" style="1" customWidth="1"/>
    <col min="3" max="4" width="9.7109375" style="1" customWidth="1"/>
    <col min="5" max="5" width="10.28515625" style="1" customWidth="1"/>
    <col min="6" max="7" width="9.7109375" style="1" customWidth="1"/>
    <col min="8" max="8" width="13.5703125" style="1" bestFit="1" customWidth="1"/>
    <col min="9" max="9" width="9.7109375" style="1" customWidth="1"/>
    <col min="10" max="10" width="10.7109375" style="1" customWidth="1"/>
    <col min="11" max="16" width="9.7109375" style="1" customWidth="1"/>
    <col min="17" max="17" width="16.140625" style="1" bestFit="1" customWidth="1"/>
    <col min="18" max="18" width="17.140625" style="1" customWidth="1"/>
    <col min="19" max="16384" width="9.140625" style="1"/>
  </cols>
  <sheetData>
    <row r="1" spans="2:18" ht="12" customHeight="1" x14ac:dyDescent="0.25"/>
    <row r="2" spans="2:18" ht="19.5" customHeight="1" x14ac:dyDescent="0.25">
      <c r="F2" s="98" t="s">
        <v>34</v>
      </c>
      <c r="G2" s="98"/>
      <c r="H2" s="98"/>
      <c r="I2" s="98"/>
      <c r="J2" s="98"/>
      <c r="K2" s="98"/>
      <c r="L2" s="98"/>
      <c r="M2" s="98"/>
    </row>
    <row r="3" spans="2:18" ht="21" customHeight="1" x14ac:dyDescent="0.3">
      <c r="F3" s="99" t="s">
        <v>35</v>
      </c>
      <c r="G3" s="99"/>
      <c r="H3" s="99"/>
      <c r="I3" s="99"/>
      <c r="J3" s="99"/>
      <c r="K3" s="99"/>
      <c r="L3" s="99"/>
      <c r="M3" s="99"/>
      <c r="N3" s="95" t="s">
        <v>36</v>
      </c>
      <c r="O3" s="95"/>
      <c r="P3" s="95"/>
    </row>
    <row r="4" spans="2:18" ht="15" customHeight="1" thickBot="1" x14ac:dyDescent="0.3">
      <c r="N4" s="95"/>
      <c r="O4" s="95"/>
      <c r="P4" s="95"/>
    </row>
    <row r="5" spans="2:18" ht="30.75" thickTop="1" x14ac:dyDescent="0.25">
      <c r="B5" s="96" t="s">
        <v>37</v>
      </c>
      <c r="C5" s="5" t="s">
        <v>38</v>
      </c>
      <c r="D5" s="5" t="s">
        <v>38</v>
      </c>
      <c r="E5" s="5" t="s">
        <v>38</v>
      </c>
      <c r="F5" s="5" t="s">
        <v>38</v>
      </c>
      <c r="G5" s="5" t="s">
        <v>38</v>
      </c>
      <c r="H5" s="102" t="s">
        <v>39</v>
      </c>
      <c r="I5" s="5" t="s">
        <v>40</v>
      </c>
      <c r="J5" s="5" t="s">
        <v>41</v>
      </c>
      <c r="K5" s="5" t="s">
        <v>41</v>
      </c>
      <c r="L5" s="5" t="s">
        <v>41</v>
      </c>
      <c r="M5" s="5" t="s">
        <v>41</v>
      </c>
      <c r="N5" s="5" t="s">
        <v>42</v>
      </c>
      <c r="O5" s="5" t="s">
        <v>43</v>
      </c>
      <c r="P5" s="5" t="s">
        <v>44</v>
      </c>
      <c r="Q5" s="100" t="s">
        <v>45</v>
      </c>
      <c r="R5" s="93" t="s">
        <v>46</v>
      </c>
    </row>
    <row r="6" spans="2:18" x14ac:dyDescent="0.25">
      <c r="B6" s="97"/>
      <c r="C6" s="2">
        <v>157691</v>
      </c>
      <c r="D6" s="2">
        <v>157692</v>
      </c>
      <c r="E6" s="2">
        <v>157693</v>
      </c>
      <c r="F6" s="2">
        <v>157694</v>
      </c>
      <c r="G6" s="2">
        <v>167609</v>
      </c>
      <c r="H6" s="103"/>
      <c r="I6" s="2">
        <v>166443</v>
      </c>
      <c r="J6" s="2">
        <v>157687</v>
      </c>
      <c r="K6" s="2">
        <v>157688</v>
      </c>
      <c r="L6" s="2">
        <v>157689</v>
      </c>
      <c r="M6" s="2">
        <v>157690</v>
      </c>
      <c r="N6" s="2">
        <v>174390</v>
      </c>
      <c r="O6" s="2">
        <v>173992</v>
      </c>
      <c r="P6" s="2">
        <v>1180004</v>
      </c>
      <c r="Q6" s="101"/>
      <c r="R6" s="94"/>
    </row>
    <row r="7" spans="2:18" ht="17.25" customHeight="1" x14ac:dyDescent="0.25">
      <c r="B7" s="23">
        <v>1</v>
      </c>
      <c r="C7" s="68">
        <v>22136693</v>
      </c>
      <c r="D7" s="75">
        <v>15856127</v>
      </c>
      <c r="E7" s="71">
        <v>28460944</v>
      </c>
      <c r="F7" s="71">
        <v>28321966</v>
      </c>
      <c r="G7" s="71">
        <v>17238156</v>
      </c>
      <c r="H7" s="67" t="s">
        <v>47</v>
      </c>
      <c r="I7" s="66">
        <v>6317869</v>
      </c>
      <c r="J7" s="66">
        <v>27620502</v>
      </c>
      <c r="K7" s="66">
        <v>9179922</v>
      </c>
      <c r="L7" s="66">
        <v>13658335</v>
      </c>
      <c r="M7" s="66">
        <v>20694150</v>
      </c>
      <c r="N7" s="66">
        <v>26317352</v>
      </c>
      <c r="O7" s="66">
        <v>8565395</v>
      </c>
      <c r="P7" s="66">
        <v>7695290</v>
      </c>
      <c r="Q7" s="9"/>
      <c r="R7" s="10"/>
    </row>
    <row r="8" spans="2:18" ht="17.25" customHeight="1" x14ac:dyDescent="0.25">
      <c r="B8" s="11" t="s">
        <v>48</v>
      </c>
      <c r="C8" s="76">
        <v>19591</v>
      </c>
      <c r="D8" s="77">
        <v>13738</v>
      </c>
      <c r="E8" s="77">
        <v>4680</v>
      </c>
      <c r="F8" s="77">
        <v>4997</v>
      </c>
      <c r="G8" s="77">
        <v>14</v>
      </c>
      <c r="H8" s="8">
        <f>G8+F8+E8+D8+C8</f>
        <v>43020</v>
      </c>
      <c r="I8" s="79">
        <v>2464</v>
      </c>
      <c r="J8" s="79">
        <v>9481</v>
      </c>
      <c r="K8" s="79">
        <v>3109</v>
      </c>
      <c r="L8" s="79">
        <v>4307</v>
      </c>
      <c r="M8" s="79">
        <v>8738</v>
      </c>
      <c r="N8" s="79">
        <v>8576</v>
      </c>
      <c r="O8" s="79">
        <v>3435</v>
      </c>
      <c r="P8" s="79">
        <v>2940</v>
      </c>
      <c r="Q8" s="13">
        <f>P8+O8+N8+M8+L8+K8+J8+I8</f>
        <v>43050</v>
      </c>
      <c r="R8" s="14">
        <f>Q8+H8</f>
        <v>86070</v>
      </c>
    </row>
    <row r="9" spans="2:18" ht="17.25" customHeight="1" x14ac:dyDescent="0.25">
      <c r="B9" s="23">
        <v>2</v>
      </c>
      <c r="C9" s="80">
        <v>22154816</v>
      </c>
      <c r="D9" s="81">
        <v>15858593</v>
      </c>
      <c r="E9" s="81">
        <v>28465620</v>
      </c>
      <c r="F9" s="81">
        <v>28336684</v>
      </c>
      <c r="G9" s="81">
        <v>17238169</v>
      </c>
      <c r="H9" s="78" t="s">
        <v>47</v>
      </c>
      <c r="I9" s="81">
        <v>6320292</v>
      </c>
      <c r="J9" s="81">
        <v>27628900</v>
      </c>
      <c r="K9" s="81">
        <v>9183006</v>
      </c>
      <c r="L9" s="82">
        <v>13662447</v>
      </c>
      <c r="M9" s="81">
        <v>20702903</v>
      </c>
      <c r="N9" s="81">
        <v>26325004</v>
      </c>
      <c r="O9" s="81">
        <v>8568661</v>
      </c>
      <c r="P9" s="81">
        <v>7697640</v>
      </c>
      <c r="Q9" s="9"/>
      <c r="R9" s="15"/>
    </row>
    <row r="10" spans="2:18" ht="17.25" customHeight="1" x14ac:dyDescent="0.25">
      <c r="B10" s="11" t="s">
        <v>48</v>
      </c>
      <c r="C10" s="83">
        <f>C9-C7</f>
        <v>18123</v>
      </c>
      <c r="D10" s="83">
        <f t="shared" ref="D10:G10" si="0">D9-D7</f>
        <v>2466</v>
      </c>
      <c r="E10" s="83">
        <f t="shared" si="0"/>
        <v>4676</v>
      </c>
      <c r="F10" s="83">
        <f t="shared" si="0"/>
        <v>14718</v>
      </c>
      <c r="G10" s="83">
        <f t="shared" si="0"/>
        <v>13</v>
      </c>
      <c r="H10" s="8">
        <f>G10+F10+E10+D10+C10</f>
        <v>39996</v>
      </c>
      <c r="I10" s="79">
        <f>I9-I7</f>
        <v>2423</v>
      </c>
      <c r="J10" s="79">
        <f t="shared" ref="J10:P10" si="1">J9-J7</f>
        <v>8398</v>
      </c>
      <c r="K10" s="79">
        <f t="shared" si="1"/>
        <v>3084</v>
      </c>
      <c r="L10" s="79">
        <f t="shared" si="1"/>
        <v>4112</v>
      </c>
      <c r="M10" s="79">
        <f t="shared" si="1"/>
        <v>8753</v>
      </c>
      <c r="N10" s="79">
        <f t="shared" si="1"/>
        <v>7652</v>
      </c>
      <c r="O10" s="79">
        <f t="shared" si="1"/>
        <v>3266</v>
      </c>
      <c r="P10" s="79">
        <f t="shared" si="1"/>
        <v>2350</v>
      </c>
      <c r="Q10" s="13">
        <f>P10+O10+N10+M10+L10+K10+J10+I10</f>
        <v>40038</v>
      </c>
      <c r="R10" s="14">
        <f>Q10+H10</f>
        <v>80034</v>
      </c>
    </row>
    <row r="11" spans="2:18" ht="17.25" customHeight="1" x14ac:dyDescent="0.25">
      <c r="B11" s="23">
        <v>3</v>
      </c>
      <c r="C11" s="80">
        <v>22174797</v>
      </c>
      <c r="D11" s="81">
        <v>15859279</v>
      </c>
      <c r="E11" s="81">
        <v>28470387</v>
      </c>
      <c r="F11" s="81">
        <v>28354878</v>
      </c>
      <c r="G11" s="81">
        <v>17238190</v>
      </c>
      <c r="H11" s="78" t="s">
        <v>47</v>
      </c>
      <c r="I11" s="81">
        <v>6322778</v>
      </c>
      <c r="J11" s="84">
        <v>27637959</v>
      </c>
      <c r="K11" s="81">
        <v>9186533</v>
      </c>
      <c r="L11" s="81">
        <v>13667028</v>
      </c>
      <c r="M11" s="81">
        <v>20712314</v>
      </c>
      <c r="N11" s="81">
        <v>26333301</v>
      </c>
      <c r="O11" s="81">
        <v>8571917</v>
      </c>
      <c r="P11" s="81">
        <v>7700350</v>
      </c>
      <c r="Q11" s="9"/>
      <c r="R11" s="10"/>
    </row>
    <row r="12" spans="2:18" ht="17.25" customHeight="1" x14ac:dyDescent="0.25">
      <c r="B12" s="11" t="s">
        <v>48</v>
      </c>
      <c r="C12" s="83">
        <f>C11-C9</f>
        <v>19981</v>
      </c>
      <c r="D12" s="83">
        <f t="shared" ref="D12" si="2">D11-D9</f>
        <v>686</v>
      </c>
      <c r="E12" s="83">
        <f t="shared" ref="E12" si="3">E11-E9</f>
        <v>4767</v>
      </c>
      <c r="F12" s="83">
        <f t="shared" ref="F12" si="4">F11-F9</f>
        <v>18194</v>
      </c>
      <c r="G12" s="83">
        <f t="shared" ref="G12" si="5">G11-G9</f>
        <v>21</v>
      </c>
      <c r="H12" s="8">
        <f>G12+F12+E12+D12+C12</f>
        <v>43649</v>
      </c>
      <c r="I12" s="79">
        <f>I11-I9</f>
        <v>2486</v>
      </c>
      <c r="J12" s="79">
        <f t="shared" ref="J12" si="6">J11-J9</f>
        <v>9059</v>
      </c>
      <c r="K12" s="79">
        <f t="shared" ref="K12" si="7">K11-K9</f>
        <v>3527</v>
      </c>
      <c r="L12" s="79">
        <f t="shared" ref="L12" si="8">L11-L9</f>
        <v>4581</v>
      </c>
      <c r="M12" s="79">
        <f t="shared" ref="M12" si="9">M11-M9</f>
        <v>9411</v>
      </c>
      <c r="N12" s="79">
        <f t="shared" ref="N12" si="10">N11-N9</f>
        <v>8297</v>
      </c>
      <c r="O12" s="79">
        <f t="shared" ref="O12" si="11">O11-O9</f>
        <v>3256</v>
      </c>
      <c r="P12" s="79">
        <f t="shared" ref="P12" si="12">P11-P9</f>
        <v>2710</v>
      </c>
      <c r="Q12" s="13">
        <f>P12+O12+N12+M12+L12+K12+J12+I12</f>
        <v>43327</v>
      </c>
      <c r="R12" s="14">
        <f>Q12+H12</f>
        <v>86976</v>
      </c>
    </row>
    <row r="13" spans="2:18" ht="17.25" customHeight="1" x14ac:dyDescent="0.25">
      <c r="B13" s="23">
        <v>4</v>
      </c>
      <c r="C13" s="7">
        <v>22195226</v>
      </c>
      <c r="D13" s="7">
        <v>15860004</v>
      </c>
      <c r="E13" s="7">
        <v>28475832</v>
      </c>
      <c r="F13" s="7">
        <v>28373224</v>
      </c>
      <c r="G13" s="7">
        <v>17244566</v>
      </c>
      <c r="H13" s="8"/>
      <c r="I13" s="7">
        <v>6325249</v>
      </c>
      <c r="J13" s="46">
        <v>27647288</v>
      </c>
      <c r="K13" s="7">
        <v>9189807</v>
      </c>
      <c r="L13" s="7">
        <v>13671485</v>
      </c>
      <c r="M13" s="7">
        <v>20721623</v>
      </c>
      <c r="N13" s="7">
        <v>26341686</v>
      </c>
      <c r="O13" s="7">
        <v>8575425</v>
      </c>
      <c r="P13" s="7">
        <v>7703370</v>
      </c>
      <c r="Q13" s="9"/>
      <c r="R13" s="10"/>
    </row>
    <row r="14" spans="2:18" ht="17.25" customHeight="1" x14ac:dyDescent="0.25">
      <c r="B14" s="11" t="s">
        <v>48</v>
      </c>
      <c r="C14" s="83">
        <f>C13-C11</f>
        <v>20429</v>
      </c>
      <c r="D14" s="91">
        <f t="shared" ref="D14:G14" si="13">D13-D11</f>
        <v>725</v>
      </c>
      <c r="E14" s="91">
        <f t="shared" si="13"/>
        <v>5445</v>
      </c>
      <c r="F14" s="91">
        <f t="shared" si="13"/>
        <v>18346</v>
      </c>
      <c r="G14" s="83">
        <f t="shared" si="13"/>
        <v>6376</v>
      </c>
      <c r="H14" s="8">
        <f>G14+F14+E14+D14+C14</f>
        <v>51321</v>
      </c>
      <c r="I14" s="79">
        <f>I13-I11</f>
        <v>2471</v>
      </c>
      <c r="J14" s="79">
        <f t="shared" ref="J14:P14" si="14">J13-J11</f>
        <v>9329</v>
      </c>
      <c r="K14" s="79">
        <f t="shared" si="14"/>
        <v>3274</v>
      </c>
      <c r="L14" s="79">
        <f t="shared" si="14"/>
        <v>4457</v>
      </c>
      <c r="M14" s="79">
        <f t="shared" si="14"/>
        <v>9309</v>
      </c>
      <c r="N14" s="79">
        <f t="shared" si="14"/>
        <v>8385</v>
      </c>
      <c r="O14" s="79">
        <f t="shared" si="14"/>
        <v>3508</v>
      </c>
      <c r="P14" s="79">
        <f t="shared" si="14"/>
        <v>3020</v>
      </c>
      <c r="Q14" s="13">
        <f>P14+O14+N14+M14+L14+K14+J14+I14</f>
        <v>43753</v>
      </c>
      <c r="R14" s="14">
        <f>Q14+H14</f>
        <v>95074</v>
      </c>
    </row>
    <row r="15" spans="2:18" ht="17.25" customHeight="1" x14ac:dyDescent="0.25">
      <c r="B15" s="23">
        <v>5</v>
      </c>
      <c r="C15" s="88">
        <v>22214440</v>
      </c>
      <c r="D15" s="85">
        <v>15860796</v>
      </c>
      <c r="E15" s="86">
        <v>28481081</v>
      </c>
      <c r="F15" s="86">
        <v>28390762</v>
      </c>
      <c r="G15" s="90">
        <v>17248869</v>
      </c>
      <c r="H15" s="8"/>
      <c r="I15" s="7">
        <v>6327799</v>
      </c>
      <c r="J15" s="7">
        <v>27656545</v>
      </c>
      <c r="K15" s="7">
        <v>9193105</v>
      </c>
      <c r="L15" s="7">
        <v>13675936</v>
      </c>
      <c r="M15" s="46">
        <v>20730847</v>
      </c>
      <c r="N15" s="7">
        <v>26350249</v>
      </c>
      <c r="O15" s="7">
        <v>8578798</v>
      </c>
      <c r="P15" s="7">
        <v>7706250</v>
      </c>
      <c r="Q15" s="9"/>
      <c r="R15" s="10"/>
    </row>
    <row r="16" spans="2:18" ht="17.25" customHeight="1" x14ac:dyDescent="0.25">
      <c r="B16" s="11" t="s">
        <v>48</v>
      </c>
      <c r="C16" s="89">
        <f>C15-C13</f>
        <v>19214</v>
      </c>
      <c r="D16" s="87">
        <f t="shared" ref="D16:G16" si="15">D15-D13</f>
        <v>792</v>
      </c>
      <c r="E16" s="87">
        <f t="shared" si="15"/>
        <v>5249</v>
      </c>
      <c r="F16" s="87">
        <f t="shared" si="15"/>
        <v>17538</v>
      </c>
      <c r="G16" s="79">
        <f t="shared" si="15"/>
        <v>4303</v>
      </c>
      <c r="H16" s="8">
        <f>G16+F16+E16+D16+C16</f>
        <v>47096</v>
      </c>
      <c r="I16" s="79">
        <f>I15-I13</f>
        <v>2550</v>
      </c>
      <c r="J16" s="79">
        <f t="shared" ref="J16:P16" si="16">J15-J13</f>
        <v>9257</v>
      </c>
      <c r="K16" s="79">
        <f t="shared" si="16"/>
        <v>3298</v>
      </c>
      <c r="L16" s="79">
        <f t="shared" si="16"/>
        <v>4451</v>
      </c>
      <c r="M16" s="79">
        <f t="shared" si="16"/>
        <v>9224</v>
      </c>
      <c r="N16" s="79">
        <f t="shared" si="16"/>
        <v>8563</v>
      </c>
      <c r="O16" s="79">
        <f t="shared" si="16"/>
        <v>3373</v>
      </c>
      <c r="P16" s="79">
        <f t="shared" si="16"/>
        <v>2880</v>
      </c>
      <c r="Q16" s="13">
        <f>P16+O16+N16+M16+L16+K16+J16+I16</f>
        <v>43596</v>
      </c>
      <c r="R16" s="14">
        <f>Q16+H16</f>
        <v>90692</v>
      </c>
    </row>
    <row r="17" spans="2:18" ht="17.25" customHeight="1" x14ac:dyDescent="0.25">
      <c r="B17" s="23">
        <v>6</v>
      </c>
      <c r="C17" s="88">
        <v>22233990</v>
      </c>
      <c r="D17" s="85">
        <v>15861592</v>
      </c>
      <c r="E17" s="86">
        <v>28485725</v>
      </c>
      <c r="F17" s="86">
        <v>28407966</v>
      </c>
      <c r="G17" s="90">
        <v>17248882</v>
      </c>
      <c r="H17" s="8"/>
      <c r="I17" s="7">
        <v>6330121</v>
      </c>
      <c r="J17" s="7">
        <v>27666068</v>
      </c>
      <c r="K17" s="7">
        <v>9196752</v>
      </c>
      <c r="L17" s="7">
        <v>13680443</v>
      </c>
      <c r="M17" s="46">
        <v>20740026</v>
      </c>
      <c r="N17" s="7">
        <v>26359495</v>
      </c>
      <c r="O17" s="7">
        <v>8582266</v>
      </c>
      <c r="P17" s="7">
        <v>7709180</v>
      </c>
      <c r="Q17" s="9"/>
      <c r="R17" s="10"/>
    </row>
    <row r="18" spans="2:18" ht="17.25" customHeight="1" x14ac:dyDescent="0.25">
      <c r="B18" s="11" t="s">
        <v>48</v>
      </c>
      <c r="C18" s="89">
        <f>C17-C15</f>
        <v>19550</v>
      </c>
      <c r="D18" s="87">
        <f t="shared" ref="D18:G18" si="17">D17-D15</f>
        <v>796</v>
      </c>
      <c r="E18" s="87">
        <f t="shared" si="17"/>
        <v>4644</v>
      </c>
      <c r="F18" s="87">
        <f t="shared" si="17"/>
        <v>17204</v>
      </c>
      <c r="G18" s="79">
        <f t="shared" si="17"/>
        <v>13</v>
      </c>
      <c r="H18" s="8">
        <f>G18+F18+E18+D18+C18</f>
        <v>42207</v>
      </c>
      <c r="I18" s="79">
        <f>I17-I15</f>
        <v>2322</v>
      </c>
      <c r="J18" s="79">
        <f t="shared" ref="J18:P18" si="18">J17-J15</f>
        <v>9523</v>
      </c>
      <c r="K18" s="79">
        <f t="shared" si="18"/>
        <v>3647</v>
      </c>
      <c r="L18" s="79">
        <f t="shared" si="18"/>
        <v>4507</v>
      </c>
      <c r="M18" s="79">
        <f t="shared" si="18"/>
        <v>9179</v>
      </c>
      <c r="N18" s="79">
        <f t="shared" si="18"/>
        <v>9246</v>
      </c>
      <c r="O18" s="79">
        <f t="shared" si="18"/>
        <v>3468</v>
      </c>
      <c r="P18" s="79">
        <f t="shared" si="18"/>
        <v>2930</v>
      </c>
      <c r="Q18" s="13">
        <f>P18+O18+N18+M18+L18+K18+J18+I18</f>
        <v>44822</v>
      </c>
      <c r="R18" s="14">
        <f>Q18+H18</f>
        <v>87029</v>
      </c>
    </row>
    <row r="19" spans="2:18" ht="17.25" customHeight="1" x14ac:dyDescent="0.25">
      <c r="B19" s="23">
        <v>7</v>
      </c>
      <c r="C19" s="88">
        <v>22253965</v>
      </c>
      <c r="D19" s="85">
        <v>15862401</v>
      </c>
      <c r="E19" s="86">
        <v>28490905</v>
      </c>
      <c r="F19" s="86">
        <v>28426575</v>
      </c>
      <c r="G19" s="90">
        <v>17252570</v>
      </c>
      <c r="H19" s="8"/>
      <c r="I19" s="7">
        <v>6332344</v>
      </c>
      <c r="J19" s="7">
        <v>27675589</v>
      </c>
      <c r="K19" s="7">
        <v>9200326</v>
      </c>
      <c r="L19" s="7">
        <v>13684840</v>
      </c>
      <c r="M19" s="7">
        <v>20749203</v>
      </c>
      <c r="N19" s="7">
        <v>26368594</v>
      </c>
      <c r="O19" s="7">
        <v>8585665</v>
      </c>
      <c r="P19" s="7">
        <v>7712340</v>
      </c>
      <c r="Q19" s="9"/>
      <c r="R19" s="10"/>
    </row>
    <row r="20" spans="2:18" ht="17.25" customHeight="1" x14ac:dyDescent="0.25">
      <c r="B20" s="11" t="s">
        <v>48</v>
      </c>
      <c r="C20" s="89">
        <f>C19-C17</f>
        <v>19975</v>
      </c>
      <c r="D20" s="87">
        <f t="shared" ref="D20:G20" si="19">D19-D17</f>
        <v>809</v>
      </c>
      <c r="E20" s="87">
        <f t="shared" si="19"/>
        <v>5180</v>
      </c>
      <c r="F20" s="87">
        <f t="shared" si="19"/>
        <v>18609</v>
      </c>
      <c r="G20" s="79">
        <f t="shared" si="19"/>
        <v>3688</v>
      </c>
      <c r="H20" s="8">
        <f>G20+F20+E20+D20+C20</f>
        <v>48261</v>
      </c>
      <c r="I20" s="79">
        <f>I19-I17</f>
        <v>2223</v>
      </c>
      <c r="J20" s="79">
        <f t="shared" ref="J20:P20" si="20">J19-J17</f>
        <v>9521</v>
      </c>
      <c r="K20" s="79">
        <f t="shared" si="20"/>
        <v>3574</v>
      </c>
      <c r="L20" s="79">
        <f t="shared" si="20"/>
        <v>4397</v>
      </c>
      <c r="M20" s="79">
        <f t="shared" si="20"/>
        <v>9177</v>
      </c>
      <c r="N20" s="79">
        <f t="shared" si="20"/>
        <v>9099</v>
      </c>
      <c r="O20" s="79">
        <f t="shared" si="20"/>
        <v>3399</v>
      </c>
      <c r="P20" s="79">
        <f t="shared" si="20"/>
        <v>3160</v>
      </c>
      <c r="Q20" s="13">
        <f>P20+O20+N20+M20+L20+K20+J20+I20</f>
        <v>44550</v>
      </c>
      <c r="R20" s="14">
        <f>Q20+H20</f>
        <v>92811</v>
      </c>
    </row>
    <row r="21" spans="2:18" ht="17.25" customHeight="1" x14ac:dyDescent="0.25">
      <c r="B21" s="23">
        <v>8</v>
      </c>
      <c r="C21" s="88">
        <v>22273886</v>
      </c>
      <c r="D21" s="86">
        <v>15863195</v>
      </c>
      <c r="E21" s="86">
        <v>28496403</v>
      </c>
      <c r="F21" s="86">
        <v>28444520</v>
      </c>
      <c r="G21" s="90">
        <v>17259189</v>
      </c>
      <c r="H21" s="8"/>
      <c r="I21" s="7">
        <v>6334664</v>
      </c>
      <c r="J21" s="7">
        <v>27685180</v>
      </c>
      <c r="K21" s="7">
        <v>9203704</v>
      </c>
      <c r="L21" s="7">
        <v>13689395</v>
      </c>
      <c r="M21" s="7">
        <v>20758575</v>
      </c>
      <c r="N21" s="7">
        <v>26377859</v>
      </c>
      <c r="O21" s="7">
        <v>8589264</v>
      </c>
      <c r="P21" s="7">
        <v>7715450</v>
      </c>
      <c r="Q21" s="9"/>
      <c r="R21" s="10"/>
    </row>
    <row r="22" spans="2:18" ht="17.25" customHeight="1" x14ac:dyDescent="0.25">
      <c r="B22" s="11" t="s">
        <v>48</v>
      </c>
      <c r="C22" s="89">
        <f>C21-C19</f>
        <v>19921</v>
      </c>
      <c r="D22" s="87">
        <f t="shared" ref="D22:E22" si="21">D21-D19</f>
        <v>794</v>
      </c>
      <c r="E22" s="87">
        <f t="shared" si="21"/>
        <v>5498</v>
      </c>
      <c r="F22" s="87">
        <f>F21-F19</f>
        <v>17945</v>
      </c>
      <c r="G22" s="79">
        <f t="shared" ref="G22" si="22">G21-G19</f>
        <v>6619</v>
      </c>
      <c r="H22" s="8">
        <f>G22+F22+E22+D22+C22</f>
        <v>50777</v>
      </c>
      <c r="I22" s="79">
        <f>I21-I19</f>
        <v>2320</v>
      </c>
      <c r="J22" s="79">
        <f t="shared" ref="J22:P22" si="23">J21-J19</f>
        <v>9591</v>
      </c>
      <c r="K22" s="79">
        <f t="shared" si="23"/>
        <v>3378</v>
      </c>
      <c r="L22" s="79">
        <f t="shared" si="23"/>
        <v>4555</v>
      </c>
      <c r="M22" s="79">
        <f t="shared" si="23"/>
        <v>9372</v>
      </c>
      <c r="N22" s="79">
        <f t="shared" si="23"/>
        <v>9265</v>
      </c>
      <c r="O22" s="79">
        <f t="shared" si="23"/>
        <v>3599</v>
      </c>
      <c r="P22" s="79">
        <f t="shared" si="23"/>
        <v>3110</v>
      </c>
      <c r="Q22" s="13">
        <f>P22+O22+N22+M22+L22+K22+J22+I22</f>
        <v>45190</v>
      </c>
      <c r="R22" s="14">
        <f>Q22+H22</f>
        <v>95967</v>
      </c>
    </row>
    <row r="23" spans="2:18" ht="17.25" customHeight="1" x14ac:dyDescent="0.25">
      <c r="B23" s="23">
        <v>9</v>
      </c>
      <c r="C23" s="7">
        <v>22278514</v>
      </c>
      <c r="D23" s="92">
        <v>15867963</v>
      </c>
      <c r="E23" s="92">
        <v>28511323</v>
      </c>
      <c r="F23" s="92">
        <v>28461930</v>
      </c>
      <c r="G23" s="7">
        <v>17259202</v>
      </c>
      <c r="H23" s="8"/>
      <c r="I23" s="7">
        <v>6336795</v>
      </c>
      <c r="J23" s="7">
        <v>27694384</v>
      </c>
      <c r="K23" s="7">
        <v>9207131</v>
      </c>
      <c r="L23" s="7">
        <v>13693677</v>
      </c>
      <c r="M23" s="7">
        <v>20767465</v>
      </c>
      <c r="N23" s="7">
        <v>26386580</v>
      </c>
      <c r="O23" s="7">
        <v>8592481</v>
      </c>
      <c r="P23" s="7">
        <v>7717780</v>
      </c>
      <c r="Q23" s="9"/>
      <c r="R23" s="10"/>
    </row>
    <row r="24" spans="2:18" ht="17.25" customHeight="1" x14ac:dyDescent="0.25">
      <c r="B24" s="11" t="s">
        <v>48</v>
      </c>
      <c r="C24" s="83">
        <f>C23-C21</f>
        <v>4628</v>
      </c>
      <c r="D24" s="83">
        <f t="shared" ref="D24:G24" si="24">D23-D21</f>
        <v>4768</v>
      </c>
      <c r="E24" s="83">
        <f t="shared" si="24"/>
        <v>14920</v>
      </c>
      <c r="F24" s="83">
        <f t="shared" si="24"/>
        <v>17410</v>
      </c>
      <c r="G24" s="83">
        <f t="shared" si="24"/>
        <v>13</v>
      </c>
      <c r="H24" s="8">
        <f>G24+F24+E24+D24+C24</f>
        <v>41739</v>
      </c>
      <c r="I24" s="79">
        <f>I23-I21</f>
        <v>2131</v>
      </c>
      <c r="J24" s="79">
        <f t="shared" ref="J24:P24" si="25">J23-J21</f>
        <v>9204</v>
      </c>
      <c r="K24" s="79">
        <f t="shared" si="25"/>
        <v>3427</v>
      </c>
      <c r="L24" s="79">
        <f t="shared" si="25"/>
        <v>4282</v>
      </c>
      <c r="M24" s="79">
        <f t="shared" si="25"/>
        <v>8890</v>
      </c>
      <c r="N24" s="79">
        <f t="shared" si="25"/>
        <v>8721</v>
      </c>
      <c r="O24" s="79">
        <f t="shared" si="25"/>
        <v>3217</v>
      </c>
      <c r="P24" s="79">
        <f t="shared" si="25"/>
        <v>2330</v>
      </c>
      <c r="Q24" s="13">
        <f>P24+O24+N24+M24+L24+K24+J24+I24</f>
        <v>42202</v>
      </c>
      <c r="R24" s="14">
        <f>Q24+H24</f>
        <v>83941</v>
      </c>
    </row>
    <row r="25" spans="2:18" ht="17.25" customHeight="1" x14ac:dyDescent="0.25">
      <c r="B25" s="23">
        <v>10</v>
      </c>
      <c r="C25" s="7">
        <v>22278517</v>
      </c>
      <c r="D25" s="7">
        <v>15874082</v>
      </c>
      <c r="E25" s="7">
        <v>28528124</v>
      </c>
      <c r="F25" s="7">
        <v>28474672</v>
      </c>
      <c r="G25" s="7">
        <v>17259216</v>
      </c>
      <c r="H25" s="8"/>
      <c r="I25" s="7">
        <v>6339056</v>
      </c>
      <c r="J25" s="7">
        <v>27703756</v>
      </c>
      <c r="K25" s="7">
        <v>9210567</v>
      </c>
      <c r="L25" s="7">
        <v>13698049</v>
      </c>
      <c r="M25" s="7">
        <v>20776397</v>
      </c>
      <c r="N25" s="7">
        <v>26395607</v>
      </c>
      <c r="O25" s="7">
        <v>8595804</v>
      </c>
      <c r="P25" s="7">
        <v>7720610</v>
      </c>
      <c r="Q25" s="9"/>
      <c r="R25" s="10"/>
    </row>
    <row r="26" spans="2:18" ht="17.25" customHeight="1" x14ac:dyDescent="0.25">
      <c r="B26" s="11" t="s">
        <v>48</v>
      </c>
      <c r="C26" s="83">
        <f>C25-C23</f>
        <v>3</v>
      </c>
      <c r="D26" s="83">
        <f t="shared" ref="D26:G26" si="26">D25-D23</f>
        <v>6119</v>
      </c>
      <c r="E26" s="83">
        <f t="shared" si="26"/>
        <v>16801</v>
      </c>
      <c r="F26" s="83">
        <f t="shared" si="26"/>
        <v>12742</v>
      </c>
      <c r="G26" s="83">
        <f t="shared" si="26"/>
        <v>14</v>
      </c>
      <c r="H26" s="8">
        <f>G26+F26+E26+D26+C26</f>
        <v>35679</v>
      </c>
      <c r="I26" s="79">
        <f>I25-I23</f>
        <v>2261</v>
      </c>
      <c r="J26" s="79">
        <f t="shared" ref="J26:P26" si="27">J25-J23</f>
        <v>9372</v>
      </c>
      <c r="K26" s="79">
        <f t="shared" si="27"/>
        <v>3436</v>
      </c>
      <c r="L26" s="79">
        <f t="shared" si="27"/>
        <v>4372</v>
      </c>
      <c r="M26" s="79">
        <f t="shared" si="27"/>
        <v>8932</v>
      </c>
      <c r="N26" s="79">
        <f t="shared" si="27"/>
        <v>9027</v>
      </c>
      <c r="O26" s="79">
        <f t="shared" si="27"/>
        <v>3323</v>
      </c>
      <c r="P26" s="79">
        <f t="shared" si="27"/>
        <v>2830</v>
      </c>
      <c r="Q26" s="13">
        <f>P26+O26+N26+M26+L26+K26+J26+I26</f>
        <v>43553</v>
      </c>
      <c r="R26" s="14">
        <f>Q26+H26</f>
        <v>79232</v>
      </c>
    </row>
    <row r="27" spans="2:18" ht="17.25" customHeight="1" x14ac:dyDescent="0.25">
      <c r="B27" s="23">
        <v>11</v>
      </c>
      <c r="C27" s="7">
        <v>22278520</v>
      </c>
      <c r="D27" s="7">
        <v>15886850</v>
      </c>
      <c r="E27" s="7">
        <v>28540211</v>
      </c>
      <c r="F27" s="7">
        <v>28479166</v>
      </c>
      <c r="G27" s="7">
        <v>17259234</v>
      </c>
      <c r="H27" s="8"/>
      <c r="I27" s="7">
        <v>6341220</v>
      </c>
      <c r="J27" s="7">
        <v>27713177</v>
      </c>
      <c r="K27" s="7">
        <v>9213654</v>
      </c>
      <c r="L27" s="7">
        <v>13702401</v>
      </c>
      <c r="M27" s="46">
        <v>20784434</v>
      </c>
      <c r="N27" s="7">
        <v>26404500</v>
      </c>
      <c r="O27" s="7">
        <v>8599019</v>
      </c>
      <c r="P27" s="7">
        <v>7723520</v>
      </c>
      <c r="Q27" s="9"/>
      <c r="R27" s="10"/>
    </row>
    <row r="28" spans="2:18" ht="17.25" customHeight="1" x14ac:dyDescent="0.25">
      <c r="B28" s="11" t="s">
        <v>48</v>
      </c>
      <c r="C28" s="83">
        <f>C27-C25</f>
        <v>3</v>
      </c>
      <c r="D28" s="83">
        <f t="shared" ref="D28:G28" si="28">D27-D25</f>
        <v>12768</v>
      </c>
      <c r="E28" s="83">
        <f t="shared" si="28"/>
        <v>12087</v>
      </c>
      <c r="F28" s="83">
        <f t="shared" si="28"/>
        <v>4494</v>
      </c>
      <c r="G28" s="83">
        <f t="shared" si="28"/>
        <v>18</v>
      </c>
      <c r="H28" s="8">
        <f>G28+F28+E28+D28+C28</f>
        <v>29370</v>
      </c>
      <c r="I28" s="79">
        <f>I27-I25</f>
        <v>2164</v>
      </c>
      <c r="J28" s="79">
        <f t="shared" ref="J28:P28" si="29">J27-J25</f>
        <v>9421</v>
      </c>
      <c r="K28" s="79">
        <f t="shared" si="29"/>
        <v>3087</v>
      </c>
      <c r="L28" s="79">
        <f t="shared" si="29"/>
        <v>4352</v>
      </c>
      <c r="M28" s="79">
        <f t="shared" si="29"/>
        <v>8037</v>
      </c>
      <c r="N28" s="79">
        <f t="shared" si="29"/>
        <v>8893</v>
      </c>
      <c r="O28" s="79">
        <f t="shared" si="29"/>
        <v>3215</v>
      </c>
      <c r="P28" s="79">
        <f t="shared" si="29"/>
        <v>2910</v>
      </c>
      <c r="Q28" s="13">
        <f>P28+O28+N28+M28+L28+K28+J28+I28</f>
        <v>42079</v>
      </c>
      <c r="R28" s="14">
        <f>Q28+H28</f>
        <v>71449</v>
      </c>
    </row>
    <row r="29" spans="2:18" ht="17.25" customHeight="1" x14ac:dyDescent="0.25">
      <c r="B29" s="23">
        <v>12</v>
      </c>
      <c r="C29" s="7">
        <v>22278530</v>
      </c>
      <c r="D29" s="7">
        <v>15896433</v>
      </c>
      <c r="E29" s="7">
        <v>28556456</v>
      </c>
      <c r="F29" s="7">
        <v>28483466</v>
      </c>
      <c r="G29" s="7">
        <v>17259249</v>
      </c>
      <c r="H29" s="8"/>
      <c r="I29" s="7">
        <v>6343448</v>
      </c>
      <c r="J29" s="7">
        <v>27722655</v>
      </c>
      <c r="K29" s="7">
        <v>9216776</v>
      </c>
      <c r="L29" s="7">
        <v>13706774</v>
      </c>
      <c r="M29" s="7">
        <v>20792911</v>
      </c>
      <c r="N29" s="7">
        <v>26413405</v>
      </c>
      <c r="O29" s="7">
        <v>8602236</v>
      </c>
      <c r="P29" s="7">
        <v>7726480</v>
      </c>
      <c r="Q29" s="9"/>
      <c r="R29" s="10"/>
    </row>
    <row r="30" spans="2:18" ht="17.25" customHeight="1" x14ac:dyDescent="0.25">
      <c r="B30" s="11" t="s">
        <v>48</v>
      </c>
      <c r="C30" s="83">
        <f>C29-C27</f>
        <v>10</v>
      </c>
      <c r="D30" s="83">
        <f t="shared" ref="D30:G30" si="30">D29-D27</f>
        <v>9583</v>
      </c>
      <c r="E30" s="83">
        <f t="shared" si="30"/>
        <v>16245</v>
      </c>
      <c r="F30" s="83">
        <f t="shared" si="30"/>
        <v>4300</v>
      </c>
      <c r="G30" s="83">
        <f t="shared" si="30"/>
        <v>15</v>
      </c>
      <c r="H30" s="8">
        <f>G30+F30+E30+D30+C30</f>
        <v>30153</v>
      </c>
      <c r="I30" s="79">
        <f>I29-I27</f>
        <v>2228</v>
      </c>
      <c r="J30" s="79">
        <f t="shared" ref="J30:P30" si="31">J29-J27</f>
        <v>9478</v>
      </c>
      <c r="K30" s="79">
        <f t="shared" si="31"/>
        <v>3122</v>
      </c>
      <c r="L30" s="79">
        <f t="shared" si="31"/>
        <v>4373</v>
      </c>
      <c r="M30" s="79">
        <f t="shared" si="31"/>
        <v>8477</v>
      </c>
      <c r="N30" s="79">
        <f t="shared" si="31"/>
        <v>8905</v>
      </c>
      <c r="O30" s="79">
        <f t="shared" si="31"/>
        <v>3217</v>
      </c>
      <c r="P30" s="79">
        <f t="shared" si="31"/>
        <v>2960</v>
      </c>
      <c r="Q30" s="13">
        <f>P30+O30+N30+M30+L30+K30+J30+I30</f>
        <v>42760</v>
      </c>
      <c r="R30" s="14">
        <f>Q30+H30</f>
        <v>72913</v>
      </c>
    </row>
    <row r="31" spans="2:18" ht="17.25" customHeight="1" x14ac:dyDescent="0.25">
      <c r="B31" s="23">
        <v>13</v>
      </c>
      <c r="C31" s="7">
        <v>22278534</v>
      </c>
      <c r="D31" s="7">
        <v>15910555</v>
      </c>
      <c r="E31" s="7">
        <v>28573785</v>
      </c>
      <c r="F31" s="7">
        <v>28488212</v>
      </c>
      <c r="G31" s="7">
        <v>17259268</v>
      </c>
      <c r="H31" s="8"/>
      <c r="I31" s="7">
        <v>6345666</v>
      </c>
      <c r="J31" s="7">
        <v>27732258</v>
      </c>
      <c r="K31" s="7">
        <v>9220273</v>
      </c>
      <c r="L31" s="7">
        <v>13711285</v>
      </c>
      <c r="M31" s="7">
        <v>20801992</v>
      </c>
      <c r="N31" s="7">
        <v>26422841</v>
      </c>
      <c r="O31" s="7">
        <v>8605536</v>
      </c>
      <c r="P31" s="7">
        <v>7729540</v>
      </c>
      <c r="Q31" s="9"/>
      <c r="R31" s="10"/>
    </row>
    <row r="32" spans="2:18" ht="17.25" customHeight="1" x14ac:dyDescent="0.25">
      <c r="B32" s="11" t="s">
        <v>48</v>
      </c>
      <c r="C32" s="83">
        <f>C31-C29</f>
        <v>4</v>
      </c>
      <c r="D32" s="83">
        <f t="shared" ref="D32:G32" si="32">D31-D29</f>
        <v>14122</v>
      </c>
      <c r="E32" s="83">
        <f t="shared" si="32"/>
        <v>17329</v>
      </c>
      <c r="F32" s="83">
        <f t="shared" si="32"/>
        <v>4746</v>
      </c>
      <c r="G32" s="83">
        <f t="shared" si="32"/>
        <v>19</v>
      </c>
      <c r="H32" s="8">
        <f>G32+F32+E32+D32+C32</f>
        <v>36220</v>
      </c>
      <c r="I32" s="79">
        <f>I31-I29</f>
        <v>2218</v>
      </c>
      <c r="J32" s="79">
        <f t="shared" ref="J32:P32" si="33">J31-J29</f>
        <v>9603</v>
      </c>
      <c r="K32" s="79">
        <f t="shared" si="33"/>
        <v>3497</v>
      </c>
      <c r="L32" s="79">
        <f t="shared" si="33"/>
        <v>4511</v>
      </c>
      <c r="M32" s="79">
        <f t="shared" si="33"/>
        <v>9081</v>
      </c>
      <c r="N32" s="79">
        <f t="shared" si="33"/>
        <v>9436</v>
      </c>
      <c r="O32" s="79">
        <f t="shared" si="33"/>
        <v>3300</v>
      </c>
      <c r="P32" s="79">
        <f t="shared" si="33"/>
        <v>3060</v>
      </c>
      <c r="Q32" s="13">
        <f>P32+O32+N32+M32+L32+K32+J32+I32</f>
        <v>44706</v>
      </c>
      <c r="R32" s="14">
        <f>Q32+H32</f>
        <v>80926</v>
      </c>
    </row>
    <row r="33" spans="2:18" ht="17.25" customHeight="1" x14ac:dyDescent="0.25">
      <c r="B33" s="23">
        <v>14</v>
      </c>
      <c r="C33" s="7">
        <v>22278537</v>
      </c>
      <c r="D33" s="7">
        <v>15924618</v>
      </c>
      <c r="E33" s="7">
        <v>28591146</v>
      </c>
      <c r="F33" s="7">
        <v>28493200</v>
      </c>
      <c r="G33" s="7">
        <v>17259290</v>
      </c>
      <c r="H33" s="8"/>
      <c r="I33" s="7">
        <v>6347874</v>
      </c>
      <c r="J33" s="7">
        <v>27741900</v>
      </c>
      <c r="K33" s="7">
        <v>9223780</v>
      </c>
      <c r="L33" s="7">
        <v>13715681</v>
      </c>
      <c r="M33" s="7">
        <v>20810756</v>
      </c>
      <c r="N33" s="7">
        <v>26432160</v>
      </c>
      <c r="O33" s="7">
        <v>8608797</v>
      </c>
      <c r="P33" s="7">
        <v>7732770</v>
      </c>
      <c r="Q33" s="9"/>
      <c r="R33" s="10"/>
    </row>
    <row r="34" spans="2:18" ht="17.25" customHeight="1" x14ac:dyDescent="0.25">
      <c r="B34" s="11" t="s">
        <v>48</v>
      </c>
      <c r="C34" s="83">
        <f>C33-C31</f>
        <v>3</v>
      </c>
      <c r="D34" s="83">
        <f t="shared" ref="D34:G34" si="34">D33-D31</f>
        <v>14063</v>
      </c>
      <c r="E34" s="83">
        <f t="shared" si="34"/>
        <v>17361</v>
      </c>
      <c r="F34" s="83">
        <f t="shared" si="34"/>
        <v>4988</v>
      </c>
      <c r="G34" s="83">
        <f t="shared" si="34"/>
        <v>22</v>
      </c>
      <c r="H34" s="8">
        <f>G34+F34+E34+D34+C34</f>
        <v>36437</v>
      </c>
      <c r="I34" s="79">
        <f>I33-I31</f>
        <v>2208</v>
      </c>
      <c r="J34" s="79">
        <f t="shared" ref="J34:P34" si="35">J33-J31</f>
        <v>9642</v>
      </c>
      <c r="K34" s="79">
        <f t="shared" si="35"/>
        <v>3507</v>
      </c>
      <c r="L34" s="79">
        <f t="shared" si="35"/>
        <v>4396</v>
      </c>
      <c r="M34" s="79">
        <f t="shared" si="35"/>
        <v>8764</v>
      </c>
      <c r="N34" s="79">
        <f t="shared" si="35"/>
        <v>9319</v>
      </c>
      <c r="O34" s="79">
        <f t="shared" si="35"/>
        <v>3261</v>
      </c>
      <c r="P34" s="79">
        <f t="shared" si="35"/>
        <v>3230</v>
      </c>
      <c r="Q34" s="13">
        <f>P34+O34+N34+M34+L34+K34+J34+I34</f>
        <v>44327</v>
      </c>
      <c r="R34" s="14">
        <f>Q34+H34</f>
        <v>80764</v>
      </c>
    </row>
    <row r="35" spans="2:18" ht="17.25" customHeight="1" x14ac:dyDescent="0.25">
      <c r="B35" s="23">
        <v>15</v>
      </c>
      <c r="C35" s="7">
        <v>22278546</v>
      </c>
      <c r="D35" s="7">
        <v>15937925</v>
      </c>
      <c r="E35" s="7">
        <v>28607816</v>
      </c>
      <c r="F35" s="7">
        <v>28498163</v>
      </c>
      <c r="G35" s="7">
        <v>17259306</v>
      </c>
      <c r="H35" s="8"/>
      <c r="I35" s="7">
        <v>6350070</v>
      </c>
      <c r="J35" s="7">
        <v>27751121</v>
      </c>
      <c r="K35" s="7">
        <v>9227043</v>
      </c>
      <c r="L35" s="7">
        <v>13719957</v>
      </c>
      <c r="M35" s="7">
        <v>20819504</v>
      </c>
      <c r="N35" s="7">
        <v>26441403</v>
      </c>
      <c r="O35" s="7">
        <v>8612029</v>
      </c>
      <c r="P35" s="7">
        <v>7735910</v>
      </c>
      <c r="Q35" s="9"/>
      <c r="R35" s="10"/>
    </row>
    <row r="36" spans="2:18" ht="17.25" customHeight="1" x14ac:dyDescent="0.25">
      <c r="B36" s="11" t="s">
        <v>48</v>
      </c>
      <c r="C36" s="83">
        <f>C35-C33</f>
        <v>9</v>
      </c>
      <c r="D36" s="83">
        <f t="shared" ref="D36:G36" si="36">D35-D33</f>
        <v>13307</v>
      </c>
      <c r="E36" s="83">
        <f t="shared" si="36"/>
        <v>16670</v>
      </c>
      <c r="F36" s="83">
        <f t="shared" si="36"/>
        <v>4963</v>
      </c>
      <c r="G36" s="83">
        <f t="shared" si="36"/>
        <v>16</v>
      </c>
      <c r="H36" s="8">
        <f>G36+F36+E36+D36+C36</f>
        <v>34965</v>
      </c>
      <c r="I36" s="79">
        <f>I35-I33</f>
        <v>2196</v>
      </c>
      <c r="J36" s="79">
        <f t="shared" ref="J36:P36" si="37">J35-J33</f>
        <v>9221</v>
      </c>
      <c r="K36" s="79">
        <f t="shared" si="37"/>
        <v>3263</v>
      </c>
      <c r="L36" s="79">
        <f t="shared" si="37"/>
        <v>4276</v>
      </c>
      <c r="M36" s="79">
        <f t="shared" si="37"/>
        <v>8748</v>
      </c>
      <c r="N36" s="79">
        <f t="shared" si="37"/>
        <v>9243</v>
      </c>
      <c r="O36" s="79">
        <f t="shared" si="37"/>
        <v>3232</v>
      </c>
      <c r="P36" s="79">
        <f t="shared" si="37"/>
        <v>3140</v>
      </c>
      <c r="Q36" s="13">
        <f>P36+O36+N36+M36+L36+K36+J36+I36</f>
        <v>43319</v>
      </c>
      <c r="R36" s="14">
        <f>Q36+H36</f>
        <v>78284</v>
      </c>
    </row>
    <row r="37" spans="2:18" ht="17.25" customHeight="1" x14ac:dyDescent="0.25">
      <c r="B37" s="23">
        <v>16</v>
      </c>
      <c r="C37" s="7">
        <v>22278552</v>
      </c>
      <c r="D37" s="7">
        <v>15950016</v>
      </c>
      <c r="E37" s="7">
        <v>28623099</v>
      </c>
      <c r="F37" s="7">
        <v>28503072</v>
      </c>
      <c r="G37" s="7">
        <v>17259321</v>
      </c>
      <c r="H37" s="8"/>
      <c r="I37" s="7">
        <v>6352147</v>
      </c>
      <c r="J37" s="7">
        <v>27760868</v>
      </c>
      <c r="K37" s="7">
        <v>9230223</v>
      </c>
      <c r="L37" s="7">
        <v>13724360</v>
      </c>
      <c r="M37" s="7">
        <v>20828356</v>
      </c>
      <c r="N37" s="7">
        <v>26450839</v>
      </c>
      <c r="O37" s="7">
        <v>8615271</v>
      </c>
      <c r="P37" s="7">
        <v>7738210</v>
      </c>
      <c r="Q37" s="9"/>
      <c r="R37" s="10"/>
    </row>
    <row r="38" spans="2:18" ht="17.25" customHeight="1" x14ac:dyDescent="0.25">
      <c r="B38" s="11" t="s">
        <v>48</v>
      </c>
      <c r="C38" s="83">
        <f>C37-C35</f>
        <v>6</v>
      </c>
      <c r="D38" s="83">
        <f t="shared" ref="D38:G38" si="38">D37-D35</f>
        <v>12091</v>
      </c>
      <c r="E38" s="83">
        <f t="shared" si="38"/>
        <v>15283</v>
      </c>
      <c r="F38" s="83">
        <f t="shared" si="38"/>
        <v>4909</v>
      </c>
      <c r="G38" s="83">
        <f t="shared" si="38"/>
        <v>15</v>
      </c>
      <c r="H38" s="8">
        <f>G38+F38+E38+D38+C38</f>
        <v>32304</v>
      </c>
      <c r="I38" s="79">
        <f>I37-I35</f>
        <v>2077</v>
      </c>
      <c r="J38" s="79">
        <f t="shared" ref="J38:P38" si="39">J37-J35</f>
        <v>9747</v>
      </c>
      <c r="K38" s="79">
        <f t="shared" si="39"/>
        <v>3180</v>
      </c>
      <c r="L38" s="79">
        <f t="shared" si="39"/>
        <v>4403</v>
      </c>
      <c r="M38" s="79">
        <f t="shared" si="39"/>
        <v>8852</v>
      </c>
      <c r="N38" s="79">
        <f t="shared" si="39"/>
        <v>9436</v>
      </c>
      <c r="O38" s="79">
        <f t="shared" si="39"/>
        <v>3242</v>
      </c>
      <c r="P38" s="79">
        <f t="shared" si="39"/>
        <v>2300</v>
      </c>
      <c r="Q38" s="13">
        <f>P38+O38+N38+M38+L38+K38+J38+I38</f>
        <v>43237</v>
      </c>
      <c r="R38" s="14">
        <f>Q38+H38</f>
        <v>75541</v>
      </c>
    </row>
    <row r="39" spans="2:18" ht="17.25" customHeight="1" x14ac:dyDescent="0.25">
      <c r="B39" s="23">
        <v>17</v>
      </c>
      <c r="C39" s="7">
        <v>22278556</v>
      </c>
      <c r="D39" s="7">
        <v>15962659</v>
      </c>
      <c r="E39" s="7">
        <v>28638858</v>
      </c>
      <c r="F39" s="7">
        <v>28508051</v>
      </c>
      <c r="G39" s="7">
        <v>17259335</v>
      </c>
      <c r="H39" s="8"/>
      <c r="I39" s="7">
        <v>6354429</v>
      </c>
      <c r="J39" s="7">
        <v>27770736</v>
      </c>
      <c r="K39" s="7">
        <v>9233298</v>
      </c>
      <c r="L39" s="7">
        <v>13728972</v>
      </c>
      <c r="M39" s="7">
        <v>20837062</v>
      </c>
      <c r="N39" s="7">
        <v>26460291</v>
      </c>
      <c r="O39" s="7">
        <v>8618592</v>
      </c>
      <c r="P39" s="7">
        <v>7741050</v>
      </c>
      <c r="Q39" s="9"/>
      <c r="R39" s="10"/>
    </row>
    <row r="40" spans="2:18" ht="17.25" customHeight="1" x14ac:dyDescent="0.25">
      <c r="B40" s="11" t="s">
        <v>48</v>
      </c>
      <c r="C40" s="83">
        <f>C39-C37</f>
        <v>4</v>
      </c>
      <c r="D40" s="83">
        <f t="shared" ref="D40:G42" si="40">D39-D37</f>
        <v>12643</v>
      </c>
      <c r="E40" s="83">
        <f t="shared" si="40"/>
        <v>15759</v>
      </c>
      <c r="F40" s="83">
        <f t="shared" si="40"/>
        <v>4979</v>
      </c>
      <c r="G40" s="83">
        <f t="shared" si="40"/>
        <v>14</v>
      </c>
      <c r="H40" s="8">
        <f>G40+F40+E40+D40+C40</f>
        <v>33399</v>
      </c>
      <c r="I40" s="79">
        <f>I39-I37</f>
        <v>2282</v>
      </c>
      <c r="J40" s="79">
        <f t="shared" ref="J40:P42" si="41">J39-J37</f>
        <v>9868</v>
      </c>
      <c r="K40" s="79">
        <f t="shared" si="41"/>
        <v>3075</v>
      </c>
      <c r="L40" s="79">
        <f t="shared" si="41"/>
        <v>4612</v>
      </c>
      <c r="M40" s="79">
        <f t="shared" si="41"/>
        <v>8706</v>
      </c>
      <c r="N40" s="79">
        <f t="shared" si="41"/>
        <v>9452</v>
      </c>
      <c r="O40" s="79">
        <f t="shared" si="41"/>
        <v>3321</v>
      </c>
      <c r="P40" s="79">
        <f t="shared" si="41"/>
        <v>2840</v>
      </c>
      <c r="Q40" s="13">
        <f>P40+O40+N40+M40+L40+K40+J40+I40</f>
        <v>44156</v>
      </c>
      <c r="R40" s="14">
        <f>Q40+H40</f>
        <v>77555</v>
      </c>
    </row>
    <row r="41" spans="2:18" ht="17.25" customHeight="1" x14ac:dyDescent="0.25">
      <c r="B41" s="23">
        <v>18</v>
      </c>
      <c r="C41" s="7">
        <v>22278561</v>
      </c>
      <c r="D41" s="7">
        <v>15975441</v>
      </c>
      <c r="E41" s="7">
        <v>28653274</v>
      </c>
      <c r="F41" s="7">
        <v>28513049</v>
      </c>
      <c r="G41" s="7">
        <v>17259353</v>
      </c>
      <c r="H41" s="8"/>
      <c r="I41" s="7">
        <v>6356559</v>
      </c>
      <c r="J41" s="7">
        <v>27780299</v>
      </c>
      <c r="K41" s="7">
        <v>9236363</v>
      </c>
      <c r="L41" s="7">
        <v>13733270</v>
      </c>
      <c r="M41" s="7">
        <v>20845331</v>
      </c>
      <c r="N41" s="7">
        <v>26469369</v>
      </c>
      <c r="O41" s="7">
        <v>8621780</v>
      </c>
      <c r="P41" s="7">
        <v>7743920</v>
      </c>
      <c r="Q41" s="9"/>
      <c r="R41" s="10"/>
    </row>
    <row r="42" spans="2:18" ht="17.25" customHeight="1" x14ac:dyDescent="0.25">
      <c r="B42" s="11" t="s">
        <v>48</v>
      </c>
      <c r="C42" s="83">
        <f>C41-C39</f>
        <v>5</v>
      </c>
      <c r="D42" s="83">
        <f t="shared" si="40"/>
        <v>12782</v>
      </c>
      <c r="E42" s="83">
        <f t="shared" si="40"/>
        <v>14416</v>
      </c>
      <c r="F42" s="83">
        <f t="shared" si="40"/>
        <v>4998</v>
      </c>
      <c r="G42" s="83">
        <f t="shared" si="40"/>
        <v>18</v>
      </c>
      <c r="H42" s="8">
        <f>G42+F42+E42+D42+C42</f>
        <v>32219</v>
      </c>
      <c r="I42" s="79">
        <f>I41-I39</f>
        <v>2130</v>
      </c>
      <c r="J42" s="79">
        <f t="shared" si="41"/>
        <v>9563</v>
      </c>
      <c r="K42" s="79">
        <f t="shared" si="41"/>
        <v>3065</v>
      </c>
      <c r="L42" s="79">
        <f t="shared" si="41"/>
        <v>4298</v>
      </c>
      <c r="M42" s="79">
        <f t="shared" si="41"/>
        <v>8269</v>
      </c>
      <c r="N42" s="79">
        <f t="shared" si="41"/>
        <v>9078</v>
      </c>
      <c r="O42" s="79">
        <f t="shared" si="41"/>
        <v>3188</v>
      </c>
      <c r="P42" s="79">
        <f t="shared" si="41"/>
        <v>2870</v>
      </c>
      <c r="Q42" s="13">
        <f>P42+O42+N42+M42+L42+K42+J42+I42</f>
        <v>42461</v>
      </c>
      <c r="R42" s="14">
        <f>Q42+H42</f>
        <v>74680</v>
      </c>
    </row>
    <row r="43" spans="2:18" ht="17.25" customHeight="1" x14ac:dyDescent="0.25">
      <c r="B43" s="23">
        <v>19</v>
      </c>
      <c r="C43" s="65">
        <v>22278570</v>
      </c>
      <c r="D43" s="66">
        <v>15988287</v>
      </c>
      <c r="E43" s="66">
        <v>28667278</v>
      </c>
      <c r="F43" s="66">
        <v>28517503</v>
      </c>
      <c r="G43" s="66">
        <v>17259370</v>
      </c>
      <c r="H43" s="67" t="s">
        <v>47</v>
      </c>
      <c r="I43" s="66">
        <v>6358829</v>
      </c>
      <c r="J43" s="66">
        <v>27790135</v>
      </c>
      <c r="K43" s="66">
        <v>9239549</v>
      </c>
      <c r="L43" s="66">
        <v>13737452</v>
      </c>
      <c r="M43" s="66">
        <v>20853796</v>
      </c>
      <c r="N43" s="66">
        <v>26478623</v>
      </c>
      <c r="O43" s="66">
        <v>8625026</v>
      </c>
      <c r="P43" s="66">
        <v>7746840</v>
      </c>
      <c r="Q43" s="9"/>
      <c r="R43" s="10"/>
    </row>
    <row r="44" spans="2:18" ht="17.25" customHeight="1" x14ac:dyDescent="0.25">
      <c r="B44" s="11" t="s">
        <v>48</v>
      </c>
      <c r="C44" s="83">
        <f>C43-C41</f>
        <v>9</v>
      </c>
      <c r="D44" s="83">
        <f t="shared" ref="D44:G44" si="42">D43-D41</f>
        <v>12846</v>
      </c>
      <c r="E44" s="83">
        <f t="shared" si="42"/>
        <v>14004</v>
      </c>
      <c r="F44" s="83">
        <f t="shared" si="42"/>
        <v>4454</v>
      </c>
      <c r="G44" s="83">
        <f t="shared" si="42"/>
        <v>17</v>
      </c>
      <c r="H44" s="8">
        <f>G44+F44+E44+D44+C44</f>
        <v>31330</v>
      </c>
      <c r="I44" s="79">
        <f>I43-I41</f>
        <v>2270</v>
      </c>
      <c r="J44" s="79">
        <f t="shared" ref="J44:P44" si="43">J43-J41</f>
        <v>9836</v>
      </c>
      <c r="K44" s="79">
        <f t="shared" si="43"/>
        <v>3186</v>
      </c>
      <c r="L44" s="79">
        <f t="shared" si="43"/>
        <v>4182</v>
      </c>
      <c r="M44" s="79">
        <f t="shared" si="43"/>
        <v>8465</v>
      </c>
      <c r="N44" s="79">
        <f t="shared" si="43"/>
        <v>9254</v>
      </c>
      <c r="O44" s="79">
        <f t="shared" si="43"/>
        <v>3246</v>
      </c>
      <c r="P44" s="79">
        <f t="shared" si="43"/>
        <v>2920</v>
      </c>
      <c r="Q44" s="13">
        <f>P44+O44+N44+M44+L44+K44+J44+I44</f>
        <v>43359</v>
      </c>
      <c r="R44" s="14">
        <f>Q44+H44</f>
        <v>74689</v>
      </c>
    </row>
    <row r="45" spans="2:18" ht="17.25" customHeight="1" x14ac:dyDescent="0.25">
      <c r="B45" s="23">
        <v>20</v>
      </c>
      <c r="C45" s="68">
        <v>22278572</v>
      </c>
      <c r="D45" s="65">
        <v>16001283</v>
      </c>
      <c r="E45" s="66">
        <v>28683438</v>
      </c>
      <c r="F45" s="66">
        <v>28522450</v>
      </c>
      <c r="G45" s="66">
        <v>17259384</v>
      </c>
      <c r="H45" s="67" t="s">
        <v>47</v>
      </c>
      <c r="I45" s="66">
        <v>6361065</v>
      </c>
      <c r="J45" s="66">
        <v>27800065</v>
      </c>
      <c r="K45" s="66">
        <v>9242753</v>
      </c>
      <c r="L45" s="66">
        <v>13741775</v>
      </c>
      <c r="M45" s="66">
        <v>20862915</v>
      </c>
      <c r="N45" s="66">
        <v>26488156</v>
      </c>
      <c r="O45" s="66">
        <v>8628478</v>
      </c>
      <c r="P45" s="66">
        <v>7749730</v>
      </c>
      <c r="Q45" s="9"/>
      <c r="R45" s="10"/>
    </row>
    <row r="46" spans="2:18" ht="17.25" customHeight="1" x14ac:dyDescent="0.25">
      <c r="B46" s="11" t="s">
        <v>48</v>
      </c>
      <c r="C46" s="83">
        <f>C45-C43</f>
        <v>2</v>
      </c>
      <c r="D46" s="83">
        <f>D45-D43</f>
        <v>12996</v>
      </c>
      <c r="E46" s="83">
        <f t="shared" ref="E46:G46" si="44">E45-E43</f>
        <v>16160</v>
      </c>
      <c r="F46" s="83">
        <f t="shared" si="44"/>
        <v>4947</v>
      </c>
      <c r="G46" s="83">
        <f t="shared" si="44"/>
        <v>14</v>
      </c>
      <c r="H46" s="8">
        <f>G46+F46+E46+D46+C46</f>
        <v>34119</v>
      </c>
      <c r="I46" s="79">
        <f>I45-I43</f>
        <v>2236</v>
      </c>
      <c r="J46" s="79">
        <f t="shared" ref="J46:P46" si="45">J45-J43</f>
        <v>9930</v>
      </c>
      <c r="K46" s="79">
        <f t="shared" si="45"/>
        <v>3204</v>
      </c>
      <c r="L46" s="79">
        <f t="shared" si="45"/>
        <v>4323</v>
      </c>
      <c r="M46" s="79">
        <f t="shared" si="45"/>
        <v>9119</v>
      </c>
      <c r="N46" s="79">
        <f t="shared" si="45"/>
        <v>9533</v>
      </c>
      <c r="O46" s="79">
        <f t="shared" si="45"/>
        <v>3452</v>
      </c>
      <c r="P46" s="79">
        <f t="shared" si="45"/>
        <v>2890</v>
      </c>
      <c r="Q46" s="13">
        <f>P46+O46+N46+M46+L46+K46+J46+I46</f>
        <v>44687</v>
      </c>
      <c r="R46" s="14">
        <f>Q46+H46</f>
        <v>78806</v>
      </c>
    </row>
    <row r="47" spans="2:18" ht="17.25" customHeight="1" x14ac:dyDescent="0.25">
      <c r="B47" s="23">
        <v>21</v>
      </c>
      <c r="C47" s="7"/>
      <c r="D47" s="7"/>
      <c r="E47" s="7"/>
      <c r="F47" s="7"/>
      <c r="G47" s="7"/>
      <c r="H47" s="8"/>
      <c r="I47" s="7"/>
      <c r="J47" s="7"/>
      <c r="K47" s="7"/>
      <c r="L47" s="7"/>
      <c r="M47" s="7"/>
      <c r="N47" s="7"/>
      <c r="O47" s="7"/>
      <c r="P47" s="7"/>
      <c r="Q47" s="9"/>
      <c r="R47" s="10"/>
    </row>
    <row r="48" spans="2:18" ht="17.25" customHeight="1" x14ac:dyDescent="0.25">
      <c r="B48" s="11" t="s">
        <v>48</v>
      </c>
      <c r="C48" s="83"/>
      <c r="D48" s="83"/>
      <c r="E48" s="83"/>
      <c r="F48" s="83"/>
      <c r="G48" s="83"/>
      <c r="H48" s="8">
        <f>G48+F48+E48+D48+C48</f>
        <v>0</v>
      </c>
      <c r="I48" s="79"/>
      <c r="J48" s="79"/>
      <c r="K48" s="79"/>
      <c r="L48" s="79"/>
      <c r="M48" s="79"/>
      <c r="N48" s="79"/>
      <c r="O48" s="79"/>
      <c r="P48" s="79"/>
      <c r="Q48" s="13">
        <f>P48+O48+N48+M48+L48+K48+J48+I48</f>
        <v>0</v>
      </c>
      <c r="R48" s="14">
        <f>Q48+H48</f>
        <v>0</v>
      </c>
    </row>
    <row r="49" spans="2:18" ht="17.25" customHeight="1" x14ac:dyDescent="0.25">
      <c r="B49" s="23">
        <v>22</v>
      </c>
      <c r="C49" s="7"/>
      <c r="D49" s="7"/>
      <c r="E49" s="7"/>
      <c r="F49" s="7"/>
      <c r="G49" s="7"/>
      <c r="H49" s="8"/>
      <c r="I49" s="7"/>
      <c r="J49" s="7"/>
      <c r="K49" s="7"/>
      <c r="L49" s="7"/>
      <c r="M49" s="7"/>
      <c r="N49" s="7"/>
      <c r="O49" s="7"/>
      <c r="P49" s="7"/>
      <c r="Q49" s="9"/>
      <c r="R49" s="10"/>
    </row>
    <row r="50" spans="2:18" ht="17.25" customHeight="1" x14ac:dyDescent="0.25">
      <c r="B50" s="11" t="s">
        <v>48</v>
      </c>
      <c r="C50" s="83">
        <f>C49-C47</f>
        <v>0</v>
      </c>
      <c r="D50" s="83">
        <f t="shared" ref="D50:G50" si="46">D49-D47</f>
        <v>0</v>
      </c>
      <c r="E50" s="83">
        <f t="shared" si="46"/>
        <v>0</v>
      </c>
      <c r="F50" s="83">
        <f t="shared" si="46"/>
        <v>0</v>
      </c>
      <c r="G50" s="83">
        <f t="shared" si="46"/>
        <v>0</v>
      </c>
      <c r="H50" s="8">
        <f>G50+F50+E50+D50+C50</f>
        <v>0</v>
      </c>
      <c r="I50" s="79">
        <f>I49-I47</f>
        <v>0</v>
      </c>
      <c r="J50" s="79">
        <f t="shared" ref="J50:P50" si="47">J49-J47</f>
        <v>0</v>
      </c>
      <c r="K50" s="79">
        <f t="shared" si="47"/>
        <v>0</v>
      </c>
      <c r="L50" s="79">
        <f t="shared" si="47"/>
        <v>0</v>
      </c>
      <c r="M50" s="79">
        <f t="shared" si="47"/>
        <v>0</v>
      </c>
      <c r="N50" s="79">
        <f t="shared" si="47"/>
        <v>0</v>
      </c>
      <c r="O50" s="79">
        <f t="shared" si="47"/>
        <v>0</v>
      </c>
      <c r="P50" s="79">
        <f t="shared" si="47"/>
        <v>0</v>
      </c>
      <c r="Q50" s="13">
        <f>P50+O50+N50+M50+L50+K50+J50+I50</f>
        <v>0</v>
      </c>
      <c r="R50" s="14">
        <f>Q50+H50</f>
        <v>0</v>
      </c>
    </row>
    <row r="51" spans="2:18" ht="17.25" customHeight="1" x14ac:dyDescent="0.25">
      <c r="B51" s="23">
        <v>23</v>
      </c>
      <c r="C51" s="7"/>
      <c r="D51" s="7"/>
      <c r="E51" s="7"/>
      <c r="F51" s="7"/>
      <c r="G51" s="7"/>
      <c r="H51" s="8"/>
      <c r="I51" s="7"/>
      <c r="J51" s="7"/>
      <c r="K51" s="7"/>
      <c r="L51" s="7"/>
      <c r="M51" s="7"/>
      <c r="N51" s="7"/>
      <c r="O51" s="7"/>
      <c r="P51" s="7"/>
      <c r="Q51" s="9"/>
      <c r="R51" s="10"/>
    </row>
    <row r="52" spans="2:18" ht="17.25" customHeight="1" x14ac:dyDescent="0.25">
      <c r="B52" s="11" t="s">
        <v>48</v>
      </c>
      <c r="C52" s="54"/>
      <c r="D52" s="54"/>
      <c r="E52" s="54"/>
      <c r="F52" s="54"/>
      <c r="G52" s="54"/>
      <c r="H52" s="8">
        <f>G52+F52+E52+D52+C52</f>
        <v>0</v>
      </c>
      <c r="I52" s="54"/>
      <c r="J52" s="54"/>
      <c r="K52" s="54"/>
      <c r="L52" s="54"/>
      <c r="M52" s="54"/>
      <c r="N52" s="54"/>
      <c r="O52" s="54"/>
      <c r="P52" s="54"/>
      <c r="Q52" s="13">
        <f>P52+O52+N52+M52+L52+K52+J52+I52</f>
        <v>0</v>
      </c>
      <c r="R52" s="14">
        <f>Q52+H52</f>
        <v>0</v>
      </c>
    </row>
    <row r="53" spans="2:18" ht="17.25" customHeight="1" x14ac:dyDescent="0.25">
      <c r="B53" s="23">
        <v>24</v>
      </c>
      <c r="C53" s="7"/>
      <c r="D53" s="46"/>
      <c r="E53" s="46"/>
      <c r="F53" s="46"/>
      <c r="G53" s="46"/>
      <c r="H53" s="8"/>
      <c r="I53" s="7"/>
      <c r="J53" s="7"/>
      <c r="K53" s="7"/>
      <c r="L53" s="7"/>
      <c r="M53" s="7"/>
      <c r="N53" s="7"/>
      <c r="O53" s="7"/>
      <c r="P53" s="7"/>
      <c r="Q53" s="9"/>
      <c r="R53" s="10"/>
    </row>
    <row r="54" spans="2:18" ht="17.25" customHeight="1" x14ac:dyDescent="0.25">
      <c r="B54" s="11" t="s">
        <v>48</v>
      </c>
      <c r="C54" s="54"/>
      <c r="D54" s="54"/>
      <c r="E54" s="54"/>
      <c r="F54" s="54"/>
      <c r="G54" s="54"/>
      <c r="H54" s="8">
        <f>G54+F54+E54+D54+C54</f>
        <v>0</v>
      </c>
      <c r="I54" s="54"/>
      <c r="J54" s="54"/>
      <c r="K54" s="54"/>
      <c r="L54" s="54"/>
      <c r="M54" s="54"/>
      <c r="N54" s="54"/>
      <c r="O54" s="54"/>
      <c r="P54" s="54"/>
      <c r="Q54" s="13">
        <f>P54+O54+N54+M54+L54+K54+J54+I54</f>
        <v>0</v>
      </c>
      <c r="R54" s="14">
        <f>Q54+H54</f>
        <v>0</v>
      </c>
    </row>
    <row r="55" spans="2:18" ht="17.25" customHeight="1" x14ac:dyDescent="0.25">
      <c r="B55" s="23">
        <v>25</v>
      </c>
      <c r="C55" s="7"/>
      <c r="D55" s="7"/>
      <c r="F55" s="7"/>
      <c r="G55" s="7"/>
      <c r="H55" s="8"/>
      <c r="I55" s="7"/>
      <c r="J55" s="7"/>
      <c r="K55" s="7"/>
      <c r="L55" s="7"/>
      <c r="M55" s="7"/>
      <c r="N55" s="7"/>
      <c r="O55" s="7"/>
      <c r="P55" s="7"/>
      <c r="Q55" s="9"/>
      <c r="R55" s="10"/>
    </row>
    <row r="56" spans="2:18" ht="17.25" customHeight="1" x14ac:dyDescent="0.25">
      <c r="B56" s="11" t="s">
        <v>48</v>
      </c>
      <c r="C56" s="54"/>
      <c r="D56" s="54"/>
      <c r="E56" s="54"/>
      <c r="F56" s="54"/>
      <c r="G56" s="54"/>
      <c r="H56" s="8">
        <f>G56+F56+E56+D56+C56</f>
        <v>0</v>
      </c>
      <c r="I56" s="54"/>
      <c r="J56" s="54"/>
      <c r="K56" s="54"/>
      <c r="L56" s="54"/>
      <c r="M56" s="54"/>
      <c r="N56" s="54"/>
      <c r="O56" s="54"/>
      <c r="P56" s="54"/>
      <c r="Q56" s="13">
        <f>P56+O56+N56+M56+L56+K56+J56+I56</f>
        <v>0</v>
      </c>
      <c r="R56" s="14">
        <f>Q56+H56</f>
        <v>0</v>
      </c>
    </row>
    <row r="57" spans="2:18" ht="17.25" customHeight="1" x14ac:dyDescent="0.25">
      <c r="B57" s="23">
        <v>26</v>
      </c>
      <c r="C57" s="7"/>
      <c r="D57" s="7"/>
      <c r="E57" s="7"/>
      <c r="F57" s="7"/>
      <c r="G57" s="7"/>
      <c r="H57" s="8"/>
      <c r="I57" s="7"/>
      <c r="J57" s="7"/>
      <c r="K57" s="7"/>
      <c r="L57" s="7"/>
      <c r="M57" s="7"/>
      <c r="N57" s="7"/>
      <c r="O57" s="7"/>
      <c r="P57" s="7"/>
      <c r="Q57" s="9"/>
      <c r="R57" s="10"/>
    </row>
    <row r="58" spans="2:18" ht="17.25" customHeight="1" x14ac:dyDescent="0.25">
      <c r="B58" s="11" t="s">
        <v>48</v>
      </c>
      <c r="C58" s="54"/>
      <c r="D58" s="54"/>
      <c r="E58" s="54"/>
      <c r="F58" s="54"/>
      <c r="G58" s="54"/>
      <c r="H58" s="8">
        <f>G58+F58+E58+D58+C58</f>
        <v>0</v>
      </c>
      <c r="I58" s="54"/>
      <c r="J58" s="54"/>
      <c r="K58" s="54"/>
      <c r="L58" s="54"/>
      <c r="M58" s="54"/>
      <c r="N58" s="54"/>
      <c r="O58" s="54"/>
      <c r="P58" s="54"/>
      <c r="Q58" s="13">
        <f>P58+O58+N58+M58+L58+K58+J58+I58</f>
        <v>0</v>
      </c>
      <c r="R58" s="14">
        <f>Q58+H58</f>
        <v>0</v>
      </c>
    </row>
    <row r="59" spans="2:18" ht="17.25" customHeight="1" x14ac:dyDescent="0.25">
      <c r="B59" s="23">
        <v>27</v>
      </c>
      <c r="C59" s="54"/>
      <c r="D59" s="54"/>
      <c r="E59" s="54"/>
      <c r="F59" s="54"/>
      <c r="G59" s="54"/>
      <c r="H59" s="8"/>
      <c r="I59" s="12"/>
      <c r="J59" s="12"/>
      <c r="K59" s="12"/>
      <c r="L59" s="12"/>
      <c r="M59" s="12"/>
      <c r="N59" s="12"/>
      <c r="O59" s="12"/>
      <c r="P59" s="12"/>
      <c r="Q59" s="9"/>
      <c r="R59" s="10"/>
    </row>
    <row r="60" spans="2:18" ht="17.25" customHeight="1" x14ac:dyDescent="0.25">
      <c r="B60" s="11" t="s">
        <v>48</v>
      </c>
      <c r="C60" s="54"/>
      <c r="D60" s="54"/>
      <c r="E60" s="54"/>
      <c r="F60" s="54"/>
      <c r="G60" s="54"/>
      <c r="H60" s="8">
        <f>G60+F60+E60+D60+C60</f>
        <v>0</v>
      </c>
      <c r="I60" s="54"/>
      <c r="J60" s="54"/>
      <c r="K60" s="54"/>
      <c r="L60" s="54"/>
      <c r="M60" s="54"/>
      <c r="N60" s="54"/>
      <c r="O60" s="54"/>
      <c r="P60" s="54"/>
      <c r="Q60" s="13">
        <f>P60+O60+N60+M60+L60+K60+J60+I60</f>
        <v>0</v>
      </c>
      <c r="R60" s="14">
        <f>Q60+H60</f>
        <v>0</v>
      </c>
    </row>
    <row r="61" spans="2:18" ht="17.25" customHeight="1" x14ac:dyDescent="0.25">
      <c r="B61" s="23">
        <v>28</v>
      </c>
      <c r="C61" s="7"/>
      <c r="D61" s="7"/>
      <c r="E61" s="7"/>
      <c r="F61" s="7"/>
      <c r="G61" s="7"/>
      <c r="H61" s="8"/>
      <c r="I61" s="7"/>
      <c r="J61" s="7"/>
      <c r="K61" s="7"/>
      <c r="L61" s="46"/>
      <c r="M61" s="7"/>
      <c r="N61" s="7"/>
      <c r="O61" s="7"/>
      <c r="P61" s="7"/>
      <c r="Q61" s="9"/>
      <c r="R61" s="10"/>
    </row>
    <row r="62" spans="2:18" ht="17.25" customHeight="1" x14ac:dyDescent="0.25">
      <c r="B62" s="11" t="s">
        <v>48</v>
      </c>
      <c r="C62" s="54"/>
      <c r="D62" s="54"/>
      <c r="E62" s="54"/>
      <c r="F62" s="54"/>
      <c r="G62" s="54"/>
      <c r="H62" s="8">
        <f>G62+F62+E62+D62+C62</f>
        <v>0</v>
      </c>
      <c r="I62" s="54"/>
      <c r="J62" s="54"/>
      <c r="K62" s="54"/>
      <c r="L62" s="54"/>
      <c r="M62" s="54"/>
      <c r="N62" s="54"/>
      <c r="O62" s="54"/>
      <c r="P62" s="54"/>
      <c r="Q62" s="13">
        <f>P62+O62+N62+M62+L62+K62+J62+I62</f>
        <v>0</v>
      </c>
      <c r="R62" s="14">
        <f>Q62+H62</f>
        <v>0</v>
      </c>
    </row>
    <row r="63" spans="2:18" ht="17.25" customHeight="1" x14ac:dyDescent="0.25">
      <c r="B63" s="23">
        <v>29</v>
      </c>
      <c r="C63" s="7"/>
      <c r="D63" s="7"/>
      <c r="E63" s="7"/>
      <c r="F63" s="7"/>
      <c r="G63" s="7"/>
      <c r="H63" s="8"/>
      <c r="I63" s="7"/>
      <c r="J63" s="7"/>
      <c r="K63" s="7"/>
      <c r="L63" s="46"/>
      <c r="M63" s="7"/>
      <c r="N63" s="7"/>
      <c r="O63" s="7"/>
      <c r="P63" s="7"/>
      <c r="Q63" s="9"/>
      <c r="R63" s="10"/>
    </row>
    <row r="64" spans="2:18" ht="17.25" customHeight="1" x14ac:dyDescent="0.25">
      <c r="B64" s="11" t="s">
        <v>48</v>
      </c>
      <c r="C64" s="54"/>
      <c r="D64" s="54"/>
      <c r="E64" s="54"/>
      <c r="F64" s="54"/>
      <c r="G64" s="54"/>
      <c r="H64" s="8">
        <f>G64+F64+E64+D64+C64</f>
        <v>0</v>
      </c>
      <c r="I64" s="54"/>
      <c r="J64" s="54"/>
      <c r="K64" s="54"/>
      <c r="L64" s="54"/>
      <c r="M64" s="54"/>
      <c r="N64" s="54"/>
      <c r="O64" s="54"/>
      <c r="P64" s="54"/>
      <c r="Q64" s="13">
        <f>P64+O64+N64+M64+L64+K64+J64+I64</f>
        <v>0</v>
      </c>
      <c r="R64" s="14">
        <f>Q64+H64</f>
        <v>0</v>
      </c>
    </row>
    <row r="65" spans="2:18" ht="17.25" customHeight="1" x14ac:dyDescent="0.25">
      <c r="B65" s="23">
        <v>30</v>
      </c>
      <c r="C65" s="7"/>
      <c r="D65" s="7"/>
      <c r="E65" s="7"/>
      <c r="F65" s="7"/>
      <c r="G65" s="7"/>
      <c r="H65" s="8"/>
      <c r="I65" s="7"/>
      <c r="J65" s="7"/>
      <c r="K65" s="7"/>
      <c r="L65" s="46"/>
      <c r="M65" s="7"/>
      <c r="N65" s="7"/>
      <c r="O65" s="7"/>
      <c r="P65" s="7"/>
      <c r="Q65" s="9"/>
      <c r="R65" s="10"/>
    </row>
    <row r="66" spans="2:18" ht="17.25" customHeight="1" x14ac:dyDescent="0.25">
      <c r="B66" s="11" t="s">
        <v>48</v>
      </c>
      <c r="C66" s="54"/>
      <c r="D66" s="54"/>
      <c r="E66" s="54"/>
      <c r="F66" s="54"/>
      <c r="G66" s="54"/>
      <c r="H66" s="8">
        <f>G66+F66+E66+D66+C66</f>
        <v>0</v>
      </c>
      <c r="I66" s="54"/>
      <c r="J66" s="54"/>
      <c r="K66" s="54"/>
      <c r="L66" s="54"/>
      <c r="M66" s="54"/>
      <c r="N66" s="54"/>
      <c r="O66" s="54"/>
      <c r="P66" s="54"/>
      <c r="Q66" s="13">
        <f>P66+O66+N66+M66+L66+K66+J66+I66</f>
        <v>0</v>
      </c>
      <c r="R66" s="14">
        <f>Q66+H66</f>
        <v>0</v>
      </c>
    </row>
    <row r="67" spans="2:18" ht="15.75" x14ac:dyDescent="0.25">
      <c r="B67" s="23">
        <v>31</v>
      </c>
      <c r="C67" s="7"/>
      <c r="D67" s="7"/>
      <c r="E67" s="7"/>
      <c r="F67" s="7"/>
      <c r="G67" s="7"/>
      <c r="H67" s="8"/>
      <c r="I67" s="7"/>
      <c r="J67" s="7"/>
      <c r="K67" s="7"/>
      <c r="L67" s="46"/>
      <c r="M67" s="7"/>
      <c r="N67" s="7"/>
      <c r="O67" s="7"/>
      <c r="P67" s="7"/>
      <c r="Q67" s="9"/>
      <c r="R67" s="10"/>
    </row>
    <row r="68" spans="2:18" ht="15.75" x14ac:dyDescent="0.25">
      <c r="B68" s="11" t="s">
        <v>48</v>
      </c>
      <c r="C68" s="54"/>
      <c r="D68" s="54"/>
      <c r="E68" s="54"/>
      <c r="F68" s="54"/>
      <c r="G68" s="54"/>
      <c r="H68" s="8">
        <f>G68+F68+E68+D68+C68</f>
        <v>0</v>
      </c>
      <c r="I68" s="54"/>
      <c r="J68" s="54"/>
      <c r="K68" s="54"/>
      <c r="L68" s="54"/>
      <c r="M68" s="54"/>
      <c r="N68" s="54"/>
      <c r="O68" s="54"/>
      <c r="P68" s="54"/>
      <c r="Q68" s="13">
        <f>P68+O68+N68+M68+L68+K68+J68+I68</f>
        <v>0</v>
      </c>
      <c r="R68" s="14">
        <f>Q68+H68</f>
        <v>0</v>
      </c>
    </row>
    <row r="69" spans="2:18" x14ac:dyDescent="0.25">
      <c r="D69" s="57"/>
      <c r="E69" s="57"/>
      <c r="F69" s="57"/>
      <c r="G69" s="57"/>
    </row>
    <row r="71" spans="2:18" x14ac:dyDescent="0.25">
      <c r="C71" s="50"/>
      <c r="D71" s="50"/>
      <c r="E71" s="50"/>
      <c r="F71" s="50"/>
      <c r="G71" s="50"/>
    </row>
    <row r="72" spans="2:18" x14ac:dyDescent="0.25">
      <c r="C72" s="57"/>
      <c r="D72" s="57"/>
      <c r="E72" s="57"/>
      <c r="F72" s="57"/>
      <c r="G72" s="57"/>
    </row>
  </sheetData>
  <mergeCells count="7">
    <mergeCell ref="R5:R6"/>
    <mergeCell ref="N3:P4"/>
    <mergeCell ref="B5:B6"/>
    <mergeCell ref="F2:M2"/>
    <mergeCell ref="F3:M3"/>
    <mergeCell ref="Q5:Q6"/>
    <mergeCell ref="H5:H6"/>
  </mergeCells>
  <printOptions horizontalCentered="1"/>
  <pageMargins left="0.2" right="0.2" top="0.25" bottom="0.25" header="0.05" footer="0.05"/>
  <pageSetup paperSize="9" scale="77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F0"/>
  </sheetPr>
  <dimension ref="B1:U68"/>
  <sheetViews>
    <sheetView zoomScale="80" zoomScaleNormal="80" zoomScaleSheetLayoutView="100" workbookViewId="0">
      <pane ySplit="6" topLeftCell="A7" activePane="bottomLeft" state="frozen"/>
      <selection activeCell="M15" activeCellId="2" sqref="N15 M19 M15"/>
      <selection pane="bottomLeft" activeCell="U35" sqref="U35"/>
    </sheetView>
  </sheetViews>
  <sheetFormatPr defaultRowHeight="15" x14ac:dyDescent="0.25"/>
  <cols>
    <col min="1" max="1" width="1" style="1" customWidth="1"/>
    <col min="2" max="5" width="10.5703125" style="1" customWidth="1"/>
    <col min="6" max="6" width="14.28515625" style="1" customWidth="1"/>
    <col min="7" max="12" width="10.5703125" style="1" customWidth="1"/>
    <col min="13" max="13" width="15.42578125" style="1" customWidth="1"/>
    <col min="14" max="14" width="16.140625" style="1" bestFit="1" customWidth="1"/>
    <col min="15" max="15" width="9.140625" style="1"/>
    <col min="16" max="16" width="12.42578125" style="1" customWidth="1"/>
    <col min="17" max="17" width="13.85546875" style="1" customWidth="1"/>
    <col min="18" max="19" width="9.140625" style="1"/>
    <col min="20" max="20" width="18.140625" style="1" customWidth="1"/>
    <col min="21" max="21" width="12.42578125" style="1" customWidth="1"/>
    <col min="22" max="16384" width="9.140625" style="1"/>
  </cols>
  <sheetData>
    <row r="1" spans="2:21" ht="12" customHeight="1" x14ac:dyDescent="0.25"/>
    <row r="2" spans="2:21" ht="19.5" customHeight="1" x14ac:dyDescent="0.25">
      <c r="F2" s="98" t="s">
        <v>34</v>
      </c>
      <c r="G2" s="98"/>
      <c r="H2" s="98"/>
      <c r="I2" s="98"/>
      <c r="J2" s="98"/>
      <c r="K2" s="21"/>
      <c r="L2" s="21"/>
    </row>
    <row r="3" spans="2:21" ht="21" customHeight="1" x14ac:dyDescent="0.25">
      <c r="F3" s="111" t="s">
        <v>49</v>
      </c>
      <c r="G3" s="111"/>
      <c r="H3" s="111"/>
      <c r="I3" s="111"/>
      <c r="J3" s="111"/>
      <c r="K3" s="22"/>
      <c r="L3" s="22"/>
      <c r="M3" s="95" t="s">
        <v>50</v>
      </c>
      <c r="N3" s="95"/>
    </row>
    <row r="4" spans="2:21" ht="15" customHeight="1" thickBot="1" x14ac:dyDescent="0.3"/>
    <row r="5" spans="2:21" ht="30.75" customHeight="1" thickTop="1" x14ac:dyDescent="0.25">
      <c r="B5" s="105" t="s">
        <v>37</v>
      </c>
      <c r="C5" s="4" t="s">
        <v>51</v>
      </c>
      <c r="D5" s="4" t="s">
        <v>52</v>
      </c>
      <c r="E5" s="4" t="s">
        <v>53</v>
      </c>
      <c r="F5" s="107" t="s">
        <v>54</v>
      </c>
      <c r="G5" s="4" t="s">
        <v>55</v>
      </c>
      <c r="H5" s="4" t="s">
        <v>56</v>
      </c>
      <c r="I5" s="4" t="s">
        <v>57</v>
      </c>
      <c r="J5" s="4" t="s">
        <v>58</v>
      </c>
      <c r="K5" s="4" t="s">
        <v>59</v>
      </c>
      <c r="L5" s="4" t="s">
        <v>43</v>
      </c>
      <c r="M5" s="112" t="s">
        <v>60</v>
      </c>
      <c r="N5" s="114" t="s">
        <v>61</v>
      </c>
      <c r="O5" s="6"/>
      <c r="P5" s="109" t="s">
        <v>1</v>
      </c>
      <c r="Q5" s="109" t="s">
        <v>8</v>
      </c>
      <c r="R5" s="109" t="s">
        <v>9</v>
      </c>
      <c r="S5" s="109" t="s">
        <v>10</v>
      </c>
    </row>
    <row r="6" spans="2:21" ht="15.75" customHeight="1" x14ac:dyDescent="0.25">
      <c r="B6" s="106"/>
      <c r="C6" s="3">
        <v>130465</v>
      </c>
      <c r="D6" s="3">
        <v>130460</v>
      </c>
      <c r="E6" s="3">
        <v>130461</v>
      </c>
      <c r="F6" s="108"/>
      <c r="G6" s="3">
        <v>130464</v>
      </c>
      <c r="H6" s="3">
        <v>130456</v>
      </c>
      <c r="I6" s="3">
        <v>130457</v>
      </c>
      <c r="J6" s="3">
        <v>130458</v>
      </c>
      <c r="K6" s="3">
        <v>130459</v>
      </c>
      <c r="L6" s="3">
        <v>130466</v>
      </c>
      <c r="M6" s="113"/>
      <c r="N6" s="115"/>
      <c r="O6" s="6"/>
      <c r="P6" s="110"/>
      <c r="Q6" s="110"/>
      <c r="R6" s="110"/>
      <c r="S6" s="110"/>
      <c r="T6" s="104" t="s">
        <v>62</v>
      </c>
      <c r="U6" s="104"/>
    </row>
    <row r="7" spans="2:21" ht="17.25" customHeight="1" x14ac:dyDescent="0.25">
      <c r="B7" s="23">
        <v>1</v>
      </c>
      <c r="C7" s="49">
        <v>8325</v>
      </c>
      <c r="D7" s="49">
        <v>509</v>
      </c>
      <c r="E7" s="46">
        <v>46762</v>
      </c>
      <c r="F7" s="18"/>
      <c r="G7" s="52">
        <v>285572</v>
      </c>
      <c r="H7" s="51">
        <v>166682</v>
      </c>
      <c r="I7" s="20">
        <v>179306</v>
      </c>
      <c r="J7" s="51">
        <v>875517</v>
      </c>
      <c r="K7" s="57">
        <v>639998</v>
      </c>
      <c r="L7" s="52">
        <v>3181</v>
      </c>
      <c r="M7" s="19"/>
      <c r="N7" s="16"/>
      <c r="P7" s="58">
        <v>1</v>
      </c>
      <c r="Q7" s="59">
        <v>92</v>
      </c>
      <c r="R7" s="7">
        <v>252</v>
      </c>
      <c r="S7" s="7">
        <v>11.5</v>
      </c>
      <c r="T7" s="63">
        <v>130461</v>
      </c>
      <c r="U7" s="63" t="s">
        <v>63</v>
      </c>
    </row>
    <row r="8" spans="2:21" ht="17.25" customHeight="1" x14ac:dyDescent="0.25">
      <c r="B8" s="11" t="s">
        <v>48</v>
      </c>
      <c r="C8" s="12">
        <v>0</v>
      </c>
      <c r="D8" s="12">
        <v>0</v>
      </c>
      <c r="E8" s="12">
        <v>0</v>
      </c>
      <c r="F8" s="18">
        <f>E8+D8+C8</f>
        <v>0</v>
      </c>
      <c r="G8" s="54">
        <v>111</v>
      </c>
      <c r="H8" s="54">
        <v>17</v>
      </c>
      <c r="I8" s="54">
        <v>56</v>
      </c>
      <c r="J8" s="54">
        <v>220</v>
      </c>
      <c r="K8" s="54">
        <v>0</v>
      </c>
      <c r="L8" s="54">
        <v>60</v>
      </c>
      <c r="M8" s="19">
        <f>L8+K8+J8+I8+H8+G8</f>
        <v>464</v>
      </c>
      <c r="N8" s="55">
        <f>M8+F8</f>
        <v>464</v>
      </c>
      <c r="P8" s="58">
        <v>2</v>
      </c>
      <c r="Q8" s="59">
        <v>95</v>
      </c>
      <c r="R8" s="7">
        <v>242</v>
      </c>
      <c r="S8" s="7">
        <v>12.4</v>
      </c>
      <c r="T8" s="63">
        <v>130459</v>
      </c>
      <c r="U8" s="74" t="s">
        <v>64</v>
      </c>
    </row>
    <row r="9" spans="2:21" ht="17.25" customHeight="1" x14ac:dyDescent="0.25">
      <c r="B9" s="23">
        <v>2</v>
      </c>
      <c r="C9" s="49">
        <v>8330</v>
      </c>
      <c r="D9" s="49">
        <v>509</v>
      </c>
      <c r="E9" s="46">
        <v>46762</v>
      </c>
      <c r="F9" s="18"/>
      <c r="G9" s="7">
        <v>285680</v>
      </c>
      <c r="H9" s="7">
        <v>166690</v>
      </c>
      <c r="I9" s="20">
        <v>179338</v>
      </c>
      <c r="J9" s="51">
        <v>875744</v>
      </c>
      <c r="K9" s="57">
        <v>639998</v>
      </c>
      <c r="L9" s="52">
        <v>3233</v>
      </c>
      <c r="M9" s="19"/>
      <c r="N9" s="17"/>
      <c r="P9" s="58">
        <v>3</v>
      </c>
      <c r="Q9" s="59">
        <v>109</v>
      </c>
      <c r="R9" s="7">
        <v>282</v>
      </c>
      <c r="S9" s="7">
        <v>10.8</v>
      </c>
    </row>
    <row r="10" spans="2:21" ht="17.25" customHeight="1" x14ac:dyDescent="0.25">
      <c r="B10" s="11" t="s">
        <v>48</v>
      </c>
      <c r="C10" s="12">
        <f>C9-C7</f>
        <v>5</v>
      </c>
      <c r="D10" s="12">
        <f t="shared" ref="D10:E10" si="0">D9-D7</f>
        <v>0</v>
      </c>
      <c r="E10" s="12">
        <f t="shared" si="0"/>
        <v>0</v>
      </c>
      <c r="F10" s="18">
        <f>E10+D10+C10</f>
        <v>5</v>
      </c>
      <c r="G10" s="12">
        <f>G9-G7</f>
        <v>108</v>
      </c>
      <c r="H10" s="12">
        <f t="shared" ref="H10:L10" si="1">H9-H7</f>
        <v>8</v>
      </c>
      <c r="I10" s="12">
        <f t="shared" si="1"/>
        <v>32</v>
      </c>
      <c r="J10" s="12">
        <f t="shared" si="1"/>
        <v>227</v>
      </c>
      <c r="K10" s="12">
        <f t="shared" si="1"/>
        <v>0</v>
      </c>
      <c r="L10" s="12">
        <f t="shared" si="1"/>
        <v>52</v>
      </c>
      <c r="M10" s="19">
        <f>L10+K10+J10+I10+H10+G10</f>
        <v>427</v>
      </c>
      <c r="N10" s="55">
        <f>M10+F10</f>
        <v>432</v>
      </c>
      <c r="P10" s="58">
        <v>4</v>
      </c>
      <c r="Q10" s="59">
        <v>113</v>
      </c>
      <c r="R10" s="7">
        <v>334</v>
      </c>
      <c r="S10" s="7">
        <v>11.2</v>
      </c>
    </row>
    <row r="11" spans="2:21" ht="17.25" customHeight="1" x14ac:dyDescent="0.25">
      <c r="B11" s="23">
        <v>3</v>
      </c>
      <c r="C11" s="49">
        <v>8330</v>
      </c>
      <c r="D11" s="49">
        <v>509</v>
      </c>
      <c r="E11" s="46">
        <v>46762</v>
      </c>
      <c r="F11" s="18"/>
      <c r="G11" s="47">
        <v>285791</v>
      </c>
      <c r="H11" s="46">
        <v>166711</v>
      </c>
      <c r="I11" s="20">
        <v>179384</v>
      </c>
      <c r="J11" s="51">
        <v>875976</v>
      </c>
      <c r="K11" s="57">
        <v>639998</v>
      </c>
      <c r="L11" s="52">
        <v>3289</v>
      </c>
      <c r="M11" s="19"/>
      <c r="N11" s="17"/>
      <c r="P11" s="58">
        <v>5</v>
      </c>
      <c r="Q11" s="59">
        <v>122</v>
      </c>
      <c r="R11" s="7">
        <v>386</v>
      </c>
      <c r="S11" s="7">
        <v>12.4</v>
      </c>
    </row>
    <row r="12" spans="2:21" ht="17.25" customHeight="1" x14ac:dyDescent="0.25">
      <c r="B12" s="11" t="s">
        <v>48</v>
      </c>
      <c r="C12" s="12">
        <f>C11-C9</f>
        <v>0</v>
      </c>
      <c r="D12" s="12">
        <f t="shared" ref="D12" si="2">D11-D9</f>
        <v>0</v>
      </c>
      <c r="E12" s="12">
        <f t="shared" ref="E12" si="3">E11-E9</f>
        <v>0</v>
      </c>
      <c r="F12" s="18">
        <f>E12+D12+C12</f>
        <v>0</v>
      </c>
      <c r="G12" s="12">
        <f>G11-G9</f>
        <v>111</v>
      </c>
      <c r="H12" s="12">
        <f t="shared" ref="H12" si="4">H11-H9</f>
        <v>21</v>
      </c>
      <c r="I12" s="12">
        <f t="shared" ref="I12" si="5">I11-I9</f>
        <v>46</v>
      </c>
      <c r="J12" s="12">
        <f t="shared" ref="J12" si="6">J11-J9</f>
        <v>232</v>
      </c>
      <c r="K12" s="12">
        <f t="shared" ref="K12" si="7">K11-K9</f>
        <v>0</v>
      </c>
      <c r="L12" s="12">
        <f t="shared" ref="L12" si="8">L11-L9</f>
        <v>56</v>
      </c>
      <c r="M12" s="19">
        <f>L12+K12+J12+I12+H12+G12</f>
        <v>466</v>
      </c>
      <c r="N12" s="55">
        <f>M12+F12</f>
        <v>466</v>
      </c>
      <c r="P12" s="58">
        <v>6</v>
      </c>
      <c r="Q12" s="59">
        <v>168</v>
      </c>
      <c r="R12" s="7">
        <v>578</v>
      </c>
      <c r="S12" s="7">
        <v>13.3</v>
      </c>
    </row>
    <row r="13" spans="2:21" ht="17.25" customHeight="1" x14ac:dyDescent="0.25">
      <c r="B13" s="64">
        <v>4</v>
      </c>
      <c r="C13" s="49">
        <v>8330</v>
      </c>
      <c r="D13" s="49">
        <v>510</v>
      </c>
      <c r="E13" s="46">
        <v>46762</v>
      </c>
      <c r="F13" s="18"/>
      <c r="G13" s="7">
        <v>285899</v>
      </c>
      <c r="H13" s="46">
        <v>166728</v>
      </c>
      <c r="I13" s="20">
        <v>179436</v>
      </c>
      <c r="J13" s="51">
        <v>876193</v>
      </c>
      <c r="K13" s="57">
        <v>639998</v>
      </c>
      <c r="L13" s="52">
        <v>3338</v>
      </c>
      <c r="M13" s="19"/>
      <c r="N13" s="17"/>
      <c r="P13" s="58">
        <v>7</v>
      </c>
      <c r="Q13" s="59">
        <v>143</v>
      </c>
      <c r="R13" s="7">
        <v>560</v>
      </c>
      <c r="S13" s="7">
        <v>11.2</v>
      </c>
    </row>
    <row r="14" spans="2:21" ht="17.25" customHeight="1" x14ac:dyDescent="0.25">
      <c r="B14" s="11" t="s">
        <v>48</v>
      </c>
      <c r="C14" s="12">
        <f>C13-C11</f>
        <v>0</v>
      </c>
      <c r="D14" s="12">
        <f>D13-D11</f>
        <v>1</v>
      </c>
      <c r="E14" s="12">
        <f>E13-E11</f>
        <v>0</v>
      </c>
      <c r="F14" s="18">
        <f>E14+D14+C14</f>
        <v>1</v>
      </c>
      <c r="G14" s="12">
        <f>G13-G11</f>
        <v>108</v>
      </c>
      <c r="H14" s="12">
        <f t="shared" ref="H14:L14" si="9">H13-H11</f>
        <v>17</v>
      </c>
      <c r="I14" s="12">
        <f t="shared" si="9"/>
        <v>52</v>
      </c>
      <c r="J14" s="12">
        <f t="shared" si="9"/>
        <v>217</v>
      </c>
      <c r="K14" s="12">
        <f t="shared" si="9"/>
        <v>0</v>
      </c>
      <c r="L14" s="12">
        <f t="shared" si="9"/>
        <v>49</v>
      </c>
      <c r="M14" s="19">
        <f>L14+K14+J14+I14+H14+G14</f>
        <v>443</v>
      </c>
      <c r="N14" s="55">
        <f>M14+F14</f>
        <v>444</v>
      </c>
      <c r="P14" s="58">
        <v>8</v>
      </c>
      <c r="Q14" s="59">
        <v>73</v>
      </c>
      <c r="R14" s="7">
        <v>254</v>
      </c>
      <c r="S14" s="7">
        <v>11.1</v>
      </c>
    </row>
    <row r="15" spans="2:21" ht="17.25" customHeight="1" x14ac:dyDescent="0.25">
      <c r="B15" s="23">
        <v>5</v>
      </c>
      <c r="C15" s="49">
        <v>8330</v>
      </c>
      <c r="D15" s="49">
        <v>510</v>
      </c>
      <c r="E15" s="46">
        <v>46762</v>
      </c>
      <c r="F15" s="18"/>
      <c r="G15" s="20">
        <v>286008</v>
      </c>
      <c r="H15" s="46">
        <v>166745</v>
      </c>
      <c r="I15" s="20">
        <v>179487</v>
      </c>
      <c r="J15" s="20">
        <v>876425</v>
      </c>
      <c r="K15" s="57">
        <v>639998</v>
      </c>
      <c r="L15" s="52">
        <v>3395</v>
      </c>
      <c r="M15" s="19"/>
      <c r="N15" s="17"/>
      <c r="P15" s="58">
        <v>9</v>
      </c>
      <c r="Q15" s="59">
        <v>83</v>
      </c>
      <c r="R15" s="7">
        <v>260</v>
      </c>
      <c r="S15" s="7">
        <v>11.2</v>
      </c>
    </row>
    <row r="16" spans="2:21" ht="17.25" customHeight="1" x14ac:dyDescent="0.25">
      <c r="B16" s="11" t="s">
        <v>48</v>
      </c>
      <c r="C16" s="12">
        <f>C15-C13</f>
        <v>0</v>
      </c>
      <c r="D16" s="12">
        <f t="shared" ref="D16:E16" si="10">D15-D13</f>
        <v>0</v>
      </c>
      <c r="E16" s="12">
        <f t="shared" si="10"/>
        <v>0</v>
      </c>
      <c r="F16" s="18">
        <f>E16+D16+C16</f>
        <v>0</v>
      </c>
      <c r="G16" s="12">
        <f>G15-G13</f>
        <v>109</v>
      </c>
      <c r="H16" s="12">
        <f t="shared" ref="H16:L16" si="11">H15-H13</f>
        <v>17</v>
      </c>
      <c r="I16" s="12">
        <f t="shared" si="11"/>
        <v>51</v>
      </c>
      <c r="J16" s="12">
        <f t="shared" si="11"/>
        <v>232</v>
      </c>
      <c r="K16" s="12">
        <f t="shared" si="11"/>
        <v>0</v>
      </c>
      <c r="L16" s="12">
        <f t="shared" si="11"/>
        <v>57</v>
      </c>
      <c r="M16" s="19">
        <f>L16+K16+J16+I16+H16+G16</f>
        <v>466</v>
      </c>
      <c r="N16" s="55">
        <f>M16+F16</f>
        <v>466</v>
      </c>
      <c r="P16" s="58">
        <v>10</v>
      </c>
      <c r="Q16" s="59">
        <v>77</v>
      </c>
      <c r="R16" s="7">
        <v>226</v>
      </c>
      <c r="S16" s="7">
        <v>11.2</v>
      </c>
    </row>
    <row r="17" spans="2:19" ht="17.25" customHeight="1" x14ac:dyDescent="0.25">
      <c r="B17" s="23">
        <v>6</v>
      </c>
      <c r="C17" s="49">
        <v>8330</v>
      </c>
      <c r="D17" s="49">
        <v>510</v>
      </c>
      <c r="E17" s="46">
        <v>46762</v>
      </c>
      <c r="F17" s="18"/>
      <c r="G17" s="48">
        <v>286120</v>
      </c>
      <c r="H17" s="48">
        <v>166763</v>
      </c>
      <c r="I17" s="20">
        <v>179541</v>
      </c>
      <c r="J17" s="48">
        <v>876686</v>
      </c>
      <c r="K17" s="57">
        <v>639998</v>
      </c>
      <c r="L17" s="52">
        <v>3455</v>
      </c>
      <c r="M17" s="19"/>
      <c r="N17" s="17"/>
      <c r="P17" s="58">
        <v>11</v>
      </c>
      <c r="Q17" s="59">
        <v>68</v>
      </c>
      <c r="R17" s="7">
        <v>220</v>
      </c>
      <c r="S17" s="7">
        <v>12.1</v>
      </c>
    </row>
    <row r="18" spans="2:19" ht="17.25" customHeight="1" x14ac:dyDescent="0.25">
      <c r="B18" s="11" t="s">
        <v>48</v>
      </c>
      <c r="C18" s="12">
        <f>C17-C15</f>
        <v>0</v>
      </c>
      <c r="D18" s="12">
        <f t="shared" ref="D18:E18" si="12">D17-D15</f>
        <v>0</v>
      </c>
      <c r="E18" s="12">
        <f t="shared" si="12"/>
        <v>0</v>
      </c>
      <c r="F18" s="18">
        <f>E18+D18+C18</f>
        <v>0</v>
      </c>
      <c r="G18" s="12">
        <f>G17-G15</f>
        <v>112</v>
      </c>
      <c r="H18" s="12">
        <f t="shared" ref="H18:L18" si="13">H17-H15</f>
        <v>18</v>
      </c>
      <c r="I18" s="12">
        <f t="shared" si="13"/>
        <v>54</v>
      </c>
      <c r="J18" s="12">
        <f t="shared" si="13"/>
        <v>261</v>
      </c>
      <c r="K18" s="12">
        <f t="shared" si="13"/>
        <v>0</v>
      </c>
      <c r="L18" s="12">
        <f t="shared" si="13"/>
        <v>60</v>
      </c>
      <c r="M18" s="19">
        <f>L18+K18+J18+I18+H18+G18</f>
        <v>505</v>
      </c>
      <c r="N18" s="55">
        <f>M18+F18</f>
        <v>505</v>
      </c>
      <c r="P18" s="58">
        <v>12</v>
      </c>
      <c r="Q18" s="59">
        <v>78</v>
      </c>
      <c r="R18" s="7">
        <v>304</v>
      </c>
      <c r="S18" s="7">
        <v>11.4</v>
      </c>
    </row>
    <row r="19" spans="2:19" ht="17.25" customHeight="1" x14ac:dyDescent="0.25">
      <c r="B19" s="23">
        <v>7</v>
      </c>
      <c r="C19" s="49">
        <v>8330</v>
      </c>
      <c r="D19" s="49">
        <v>510</v>
      </c>
      <c r="E19" s="46">
        <v>46762</v>
      </c>
      <c r="F19" s="18"/>
      <c r="G19" s="47">
        <v>286239</v>
      </c>
      <c r="H19" s="46">
        <v>166781</v>
      </c>
      <c r="I19" s="20">
        <v>179602</v>
      </c>
      <c r="J19" s="51">
        <v>876951</v>
      </c>
      <c r="K19" s="57">
        <v>639998</v>
      </c>
      <c r="L19" s="52">
        <v>3512</v>
      </c>
      <c r="M19" s="19"/>
      <c r="N19" s="17"/>
      <c r="P19" s="58">
        <v>13</v>
      </c>
      <c r="Q19" s="59">
        <v>132</v>
      </c>
      <c r="R19" s="7">
        <v>532</v>
      </c>
      <c r="S19" s="7">
        <v>10.5</v>
      </c>
    </row>
    <row r="20" spans="2:19" ht="17.25" customHeight="1" x14ac:dyDescent="0.25">
      <c r="B20" s="11" t="s">
        <v>48</v>
      </c>
      <c r="C20" s="12">
        <f>C19-C17</f>
        <v>0</v>
      </c>
      <c r="D20" s="12">
        <f t="shared" ref="D20:E20" si="14">D19-D17</f>
        <v>0</v>
      </c>
      <c r="E20" s="12">
        <f t="shared" si="14"/>
        <v>0</v>
      </c>
      <c r="F20" s="18">
        <f>E20+D20+C20</f>
        <v>0</v>
      </c>
      <c r="G20" s="12">
        <f>G19-G17</f>
        <v>119</v>
      </c>
      <c r="H20" s="12">
        <f t="shared" ref="H20:L20" si="15">H19-H17</f>
        <v>18</v>
      </c>
      <c r="I20" s="12">
        <f t="shared" si="15"/>
        <v>61</v>
      </c>
      <c r="J20" s="12">
        <f t="shared" si="15"/>
        <v>265</v>
      </c>
      <c r="K20" s="12">
        <f t="shared" si="15"/>
        <v>0</v>
      </c>
      <c r="L20" s="12">
        <f t="shared" si="15"/>
        <v>57</v>
      </c>
      <c r="M20" s="19">
        <f>L20+K20+J20+I20+H20+G20</f>
        <v>520</v>
      </c>
      <c r="N20" s="55">
        <f>M20+F20</f>
        <v>520</v>
      </c>
      <c r="P20" s="58">
        <v>14</v>
      </c>
      <c r="Q20" s="59">
        <v>151</v>
      </c>
      <c r="R20" s="7">
        <v>578</v>
      </c>
      <c r="S20" s="7">
        <v>10.3</v>
      </c>
    </row>
    <row r="21" spans="2:19" ht="17.25" customHeight="1" x14ac:dyDescent="0.25">
      <c r="B21" s="23">
        <v>8</v>
      </c>
      <c r="C21" s="49">
        <v>8330</v>
      </c>
      <c r="D21" s="49">
        <v>510</v>
      </c>
      <c r="E21" s="46">
        <v>46762</v>
      </c>
      <c r="F21" s="18"/>
      <c r="G21" s="47">
        <v>286355</v>
      </c>
      <c r="H21" s="46">
        <v>166798</v>
      </c>
      <c r="I21" s="20">
        <v>179653</v>
      </c>
      <c r="J21" s="51">
        <v>877205</v>
      </c>
      <c r="K21" s="57">
        <v>639998</v>
      </c>
      <c r="L21" s="52">
        <v>3554</v>
      </c>
      <c r="M21" s="19"/>
      <c r="N21" s="17"/>
      <c r="P21" s="58">
        <v>15</v>
      </c>
      <c r="Q21" s="59">
        <v>87</v>
      </c>
      <c r="R21" s="7">
        <v>292</v>
      </c>
      <c r="S21" s="7">
        <v>10.5</v>
      </c>
    </row>
    <row r="22" spans="2:19" ht="17.25" customHeight="1" x14ac:dyDescent="0.25">
      <c r="B22" s="11" t="s">
        <v>48</v>
      </c>
      <c r="C22" s="12">
        <f>C21-C19</f>
        <v>0</v>
      </c>
      <c r="D22" s="12">
        <f t="shared" ref="D22:E22" si="16">D21-D19</f>
        <v>0</v>
      </c>
      <c r="E22" s="12">
        <f t="shared" si="16"/>
        <v>0</v>
      </c>
      <c r="F22" s="18">
        <f>E22+D22+C22</f>
        <v>0</v>
      </c>
      <c r="G22" s="12">
        <f>G21-G19</f>
        <v>116</v>
      </c>
      <c r="H22" s="12">
        <f t="shared" ref="H22:L22" si="17">H21-H19</f>
        <v>17</v>
      </c>
      <c r="I22" s="12">
        <f t="shared" si="17"/>
        <v>51</v>
      </c>
      <c r="J22" s="12">
        <f t="shared" si="17"/>
        <v>254</v>
      </c>
      <c r="K22" s="12">
        <f t="shared" si="17"/>
        <v>0</v>
      </c>
      <c r="L22" s="12">
        <f t="shared" si="17"/>
        <v>42</v>
      </c>
      <c r="M22" s="19">
        <f>L22+K22+J22+I22+H22+G22</f>
        <v>480</v>
      </c>
      <c r="N22" s="55">
        <f>M22+F22</f>
        <v>480</v>
      </c>
      <c r="P22" s="58">
        <v>16</v>
      </c>
      <c r="Q22" s="59">
        <v>93</v>
      </c>
      <c r="R22" s="7">
        <v>292</v>
      </c>
      <c r="S22" s="7">
        <v>11.3</v>
      </c>
    </row>
    <row r="23" spans="2:19" ht="17.25" customHeight="1" x14ac:dyDescent="0.25">
      <c r="B23" s="23">
        <v>9</v>
      </c>
      <c r="C23" s="49">
        <v>8330</v>
      </c>
      <c r="D23" s="49">
        <v>510</v>
      </c>
      <c r="E23" s="46">
        <v>46762</v>
      </c>
      <c r="F23" s="18"/>
      <c r="G23" s="20">
        <v>286457</v>
      </c>
      <c r="H23" s="20">
        <v>166813</v>
      </c>
      <c r="I23" s="20">
        <v>179686</v>
      </c>
      <c r="J23" s="51">
        <v>877444</v>
      </c>
      <c r="K23" s="57">
        <v>639998</v>
      </c>
      <c r="L23" s="52">
        <v>3572</v>
      </c>
      <c r="M23" s="19"/>
      <c r="N23" s="17"/>
      <c r="P23" s="58">
        <v>17</v>
      </c>
      <c r="Q23" s="59">
        <v>141</v>
      </c>
      <c r="R23" s="7">
        <v>354</v>
      </c>
      <c r="S23" s="7">
        <v>10.9</v>
      </c>
    </row>
    <row r="24" spans="2:19" ht="17.25" customHeight="1" x14ac:dyDescent="0.25">
      <c r="B24" s="11" t="s">
        <v>48</v>
      </c>
      <c r="C24" s="12">
        <f>C23-C21</f>
        <v>0</v>
      </c>
      <c r="D24" s="12">
        <f t="shared" ref="D24:E26" si="18">D23-D21</f>
        <v>0</v>
      </c>
      <c r="E24" s="12">
        <f t="shared" si="18"/>
        <v>0</v>
      </c>
      <c r="F24" s="18">
        <f>E24+D24+C24</f>
        <v>0</v>
      </c>
      <c r="G24" s="12">
        <f>G23-G21</f>
        <v>102</v>
      </c>
      <c r="H24" s="12">
        <f t="shared" ref="H24:L26" si="19">H23-H21</f>
        <v>15</v>
      </c>
      <c r="I24" s="12">
        <f t="shared" si="19"/>
        <v>33</v>
      </c>
      <c r="J24" s="12">
        <f t="shared" si="19"/>
        <v>239</v>
      </c>
      <c r="K24" s="12">
        <f t="shared" si="19"/>
        <v>0</v>
      </c>
      <c r="L24" s="12">
        <f t="shared" si="19"/>
        <v>18</v>
      </c>
      <c r="M24" s="19">
        <f>L24+K24+J24+I24+H24+G24</f>
        <v>407</v>
      </c>
      <c r="N24" s="55">
        <f>M24+F24</f>
        <v>407</v>
      </c>
      <c r="P24" s="58">
        <v>18</v>
      </c>
      <c r="Q24" s="59">
        <v>150</v>
      </c>
      <c r="R24" s="7">
        <v>382</v>
      </c>
      <c r="S24" s="7">
        <v>11.1</v>
      </c>
    </row>
    <row r="25" spans="2:19" ht="17.25" customHeight="1" x14ac:dyDescent="0.25">
      <c r="B25" s="23">
        <v>10</v>
      </c>
      <c r="C25" s="49">
        <v>8330</v>
      </c>
      <c r="D25" s="49">
        <v>510</v>
      </c>
      <c r="E25" s="46">
        <v>46762</v>
      </c>
      <c r="F25" s="18"/>
      <c r="G25" s="7">
        <v>286577</v>
      </c>
      <c r="H25" s="7">
        <v>166829</v>
      </c>
      <c r="I25" s="20">
        <v>179733</v>
      </c>
      <c r="J25" s="51">
        <v>877662</v>
      </c>
      <c r="K25" s="57">
        <v>639998</v>
      </c>
      <c r="L25" s="52">
        <v>3614</v>
      </c>
      <c r="M25" s="19"/>
      <c r="N25" s="17"/>
      <c r="P25" s="58">
        <v>19</v>
      </c>
      <c r="Q25" s="59">
        <v>110</v>
      </c>
      <c r="R25" s="7">
        <v>298</v>
      </c>
      <c r="S25" s="7">
        <v>10.5</v>
      </c>
    </row>
    <row r="26" spans="2:19" ht="17.25" customHeight="1" x14ac:dyDescent="0.25">
      <c r="B26" s="11" t="s">
        <v>48</v>
      </c>
      <c r="C26" s="12">
        <f>C25-C23</f>
        <v>0</v>
      </c>
      <c r="D26" s="12">
        <f t="shared" si="18"/>
        <v>0</v>
      </c>
      <c r="E26" s="12">
        <f t="shared" si="18"/>
        <v>0</v>
      </c>
      <c r="F26" s="18">
        <f>E26+D26+C26</f>
        <v>0</v>
      </c>
      <c r="G26" s="12">
        <f>G25-G23</f>
        <v>120</v>
      </c>
      <c r="H26" s="12">
        <f t="shared" si="19"/>
        <v>16</v>
      </c>
      <c r="I26" s="12">
        <f t="shared" si="19"/>
        <v>47</v>
      </c>
      <c r="J26" s="12">
        <f t="shared" si="19"/>
        <v>218</v>
      </c>
      <c r="K26" s="12">
        <f t="shared" si="19"/>
        <v>0</v>
      </c>
      <c r="L26" s="12">
        <f t="shared" si="19"/>
        <v>42</v>
      </c>
      <c r="M26" s="19">
        <f>L26+K26+J26+I26+H26+G26</f>
        <v>443</v>
      </c>
      <c r="N26" s="55">
        <f>M26+F26</f>
        <v>443</v>
      </c>
      <c r="P26" s="58">
        <v>20</v>
      </c>
      <c r="Q26" s="59">
        <v>135</v>
      </c>
      <c r="R26" s="7">
        <v>460</v>
      </c>
      <c r="S26" s="7">
        <v>10.1</v>
      </c>
    </row>
    <row r="27" spans="2:19" ht="17.25" customHeight="1" x14ac:dyDescent="0.25">
      <c r="B27" s="23">
        <v>11</v>
      </c>
      <c r="C27" s="49">
        <v>8330</v>
      </c>
      <c r="D27" s="49">
        <v>510</v>
      </c>
      <c r="E27" s="46">
        <v>46762</v>
      </c>
      <c r="F27" s="18"/>
      <c r="G27" s="20">
        <v>286685</v>
      </c>
      <c r="H27" s="20">
        <v>166843</v>
      </c>
      <c r="I27" s="20">
        <v>179783</v>
      </c>
      <c r="J27" s="51">
        <v>877867</v>
      </c>
      <c r="K27" s="57">
        <v>639998</v>
      </c>
      <c r="L27" s="52">
        <v>3648</v>
      </c>
      <c r="M27" s="19"/>
      <c r="N27" s="17"/>
      <c r="P27" s="58">
        <v>21</v>
      </c>
      <c r="Q27" s="59"/>
      <c r="R27" s="7"/>
      <c r="S27" s="7"/>
    </row>
    <row r="28" spans="2:19" ht="17.25" customHeight="1" x14ac:dyDescent="0.25">
      <c r="B28" s="11" t="s">
        <v>48</v>
      </c>
      <c r="C28" s="12">
        <f>C27-C25</f>
        <v>0</v>
      </c>
      <c r="D28" s="12">
        <f t="shared" ref="D28:E28" si="20">D27-D25</f>
        <v>0</v>
      </c>
      <c r="E28" s="12">
        <f t="shared" si="20"/>
        <v>0</v>
      </c>
      <c r="F28" s="18">
        <f>E28+D28+C28</f>
        <v>0</v>
      </c>
      <c r="G28" s="12">
        <f>G27-G25</f>
        <v>108</v>
      </c>
      <c r="H28" s="12">
        <f t="shared" ref="H28:L28" si="21">H27-H25</f>
        <v>14</v>
      </c>
      <c r="I28" s="12">
        <f t="shared" si="21"/>
        <v>50</v>
      </c>
      <c r="J28" s="12">
        <f t="shared" si="21"/>
        <v>205</v>
      </c>
      <c r="K28" s="12">
        <f t="shared" si="21"/>
        <v>0</v>
      </c>
      <c r="L28" s="12">
        <f t="shared" si="21"/>
        <v>34</v>
      </c>
      <c r="M28" s="19">
        <f>L28+K28+J28+I28+H28+G28</f>
        <v>411</v>
      </c>
      <c r="N28" s="55">
        <f>M28+F28</f>
        <v>411</v>
      </c>
      <c r="P28" s="58">
        <v>22</v>
      </c>
      <c r="Q28" s="59"/>
      <c r="R28" s="7"/>
      <c r="S28" s="7"/>
    </row>
    <row r="29" spans="2:19" ht="17.25" customHeight="1" x14ac:dyDescent="0.25">
      <c r="B29" s="23">
        <v>12</v>
      </c>
      <c r="C29" s="49">
        <v>8330</v>
      </c>
      <c r="D29" s="49">
        <v>510</v>
      </c>
      <c r="E29" s="46">
        <v>46762</v>
      </c>
      <c r="F29" s="18"/>
      <c r="G29" s="7">
        <v>286798</v>
      </c>
      <c r="H29" s="7">
        <v>166861</v>
      </c>
      <c r="I29" s="20">
        <v>179847</v>
      </c>
      <c r="J29" s="51">
        <v>878081</v>
      </c>
      <c r="K29" s="57">
        <v>639998</v>
      </c>
      <c r="L29" s="52">
        <v>3676</v>
      </c>
      <c r="M29" s="19"/>
      <c r="N29" s="17"/>
      <c r="P29" s="58">
        <v>23</v>
      </c>
      <c r="Q29" s="59"/>
      <c r="R29" s="7"/>
      <c r="S29" s="7"/>
    </row>
    <row r="30" spans="2:19" ht="17.25" customHeight="1" x14ac:dyDescent="0.25">
      <c r="B30" s="11" t="s">
        <v>48</v>
      </c>
      <c r="C30" s="12">
        <f>C29-C27</f>
        <v>0</v>
      </c>
      <c r="D30" s="12">
        <f t="shared" ref="D30:E30" si="22">D29-D27</f>
        <v>0</v>
      </c>
      <c r="E30" s="12">
        <f t="shared" si="22"/>
        <v>0</v>
      </c>
      <c r="F30" s="18">
        <f>E30+D30+C30</f>
        <v>0</v>
      </c>
      <c r="G30" s="12">
        <f>G29-G27</f>
        <v>113</v>
      </c>
      <c r="H30" s="12">
        <f t="shared" ref="H30:L30" si="23">H29-H27</f>
        <v>18</v>
      </c>
      <c r="I30" s="12">
        <f t="shared" si="23"/>
        <v>64</v>
      </c>
      <c r="J30" s="12">
        <f t="shared" si="23"/>
        <v>214</v>
      </c>
      <c r="K30" s="12">
        <f t="shared" si="23"/>
        <v>0</v>
      </c>
      <c r="L30" s="12">
        <f t="shared" si="23"/>
        <v>28</v>
      </c>
      <c r="M30" s="19">
        <f>L30+K30+J30+I30+H30+G30</f>
        <v>437</v>
      </c>
      <c r="N30" s="55">
        <f>M30+F30</f>
        <v>437</v>
      </c>
      <c r="P30" s="58">
        <v>24</v>
      </c>
      <c r="Q30" s="59"/>
      <c r="R30" s="7"/>
      <c r="S30" s="7"/>
    </row>
    <row r="31" spans="2:19" ht="17.25" customHeight="1" x14ac:dyDescent="0.25">
      <c r="B31" s="23">
        <v>13</v>
      </c>
      <c r="C31" s="49">
        <v>8330</v>
      </c>
      <c r="D31" s="49">
        <v>510</v>
      </c>
      <c r="E31" s="46">
        <v>46762</v>
      </c>
      <c r="F31" s="18"/>
      <c r="G31" s="20">
        <v>286910</v>
      </c>
      <c r="H31" s="20">
        <v>166876</v>
      </c>
      <c r="I31" s="20">
        <v>179905</v>
      </c>
      <c r="J31" s="51">
        <v>878315</v>
      </c>
      <c r="K31" s="57">
        <v>639998</v>
      </c>
      <c r="L31" s="52">
        <v>3716</v>
      </c>
      <c r="M31" s="19"/>
      <c r="N31" s="17"/>
      <c r="P31" s="58">
        <v>25</v>
      </c>
      <c r="Q31" s="59"/>
      <c r="R31" s="7"/>
      <c r="S31" s="7"/>
    </row>
    <row r="32" spans="2:19" ht="17.25" customHeight="1" x14ac:dyDescent="0.25">
      <c r="B32" s="11" t="s">
        <v>48</v>
      </c>
      <c r="C32" s="12">
        <f>C31-C29</f>
        <v>0</v>
      </c>
      <c r="D32" s="12">
        <f t="shared" ref="D32:E32" si="24">D31-D29</f>
        <v>0</v>
      </c>
      <c r="E32" s="12">
        <f t="shared" si="24"/>
        <v>0</v>
      </c>
      <c r="F32" s="18">
        <f>E32+D32+C34</f>
        <v>0</v>
      </c>
      <c r="G32" s="12">
        <f>G31-G29</f>
        <v>112</v>
      </c>
      <c r="H32" s="12">
        <f t="shared" ref="H32:L32" si="25">H31-H29</f>
        <v>15</v>
      </c>
      <c r="I32" s="12">
        <f t="shared" si="25"/>
        <v>58</v>
      </c>
      <c r="J32" s="12">
        <f t="shared" si="25"/>
        <v>234</v>
      </c>
      <c r="K32" s="12">
        <f>K31-K29</f>
        <v>0</v>
      </c>
      <c r="L32" s="12">
        <f t="shared" si="25"/>
        <v>40</v>
      </c>
      <c r="M32" s="19">
        <f>L32+K32+J32+I32+H32+G32</f>
        <v>459</v>
      </c>
      <c r="N32" s="55">
        <f>M32+F32</f>
        <v>459</v>
      </c>
      <c r="P32" s="58">
        <v>26</v>
      </c>
      <c r="Q32" s="59"/>
      <c r="R32" s="7"/>
      <c r="S32" s="7"/>
    </row>
    <row r="33" spans="2:19" ht="17.25" customHeight="1" x14ac:dyDescent="0.25">
      <c r="B33" s="23">
        <v>14</v>
      </c>
      <c r="C33" s="49">
        <v>8330</v>
      </c>
      <c r="D33" s="49">
        <v>510</v>
      </c>
      <c r="E33" s="46">
        <v>46762</v>
      </c>
      <c r="F33" s="18"/>
      <c r="G33" s="7">
        <v>287017</v>
      </c>
      <c r="H33" s="7">
        <v>166892</v>
      </c>
      <c r="I33" s="20">
        <v>179970</v>
      </c>
      <c r="J33" s="49">
        <v>878557</v>
      </c>
      <c r="K33" s="57">
        <v>639998</v>
      </c>
      <c r="L33" s="52">
        <v>3742</v>
      </c>
      <c r="M33" s="19"/>
      <c r="N33" s="17"/>
      <c r="P33" s="58">
        <v>27</v>
      </c>
      <c r="Q33" s="59"/>
      <c r="R33" s="7"/>
      <c r="S33" s="7"/>
    </row>
    <row r="34" spans="2:19" ht="17.25" customHeight="1" x14ac:dyDescent="0.25">
      <c r="B34" s="11" t="s">
        <v>48</v>
      </c>
      <c r="C34" s="12">
        <f>C33-C31</f>
        <v>0</v>
      </c>
      <c r="D34" s="12">
        <f t="shared" ref="D34:E34" si="26">D33-D31</f>
        <v>0</v>
      </c>
      <c r="E34" s="12">
        <f t="shared" si="26"/>
        <v>0</v>
      </c>
      <c r="F34" s="18">
        <f>E34+D34+C36</f>
        <v>0</v>
      </c>
      <c r="G34" s="12">
        <f>G33-G31</f>
        <v>107</v>
      </c>
      <c r="H34" s="12">
        <f t="shared" ref="H34:L34" si="27">H33-H31</f>
        <v>16</v>
      </c>
      <c r="I34" s="12">
        <f t="shared" si="27"/>
        <v>65</v>
      </c>
      <c r="J34" s="12">
        <f t="shared" si="27"/>
        <v>242</v>
      </c>
      <c r="K34" s="12">
        <f t="shared" si="27"/>
        <v>0</v>
      </c>
      <c r="L34" s="12">
        <f t="shared" si="27"/>
        <v>26</v>
      </c>
      <c r="M34" s="19">
        <f>L34+K34+J34+I34+H34+G34</f>
        <v>456</v>
      </c>
      <c r="N34" s="55">
        <f>M34+F34</f>
        <v>456</v>
      </c>
      <c r="P34" s="58">
        <v>28</v>
      </c>
      <c r="Q34" s="59"/>
      <c r="R34" s="7"/>
      <c r="S34" s="7"/>
    </row>
    <row r="35" spans="2:19" ht="17.25" customHeight="1" x14ac:dyDescent="0.25">
      <c r="B35" s="23">
        <v>15</v>
      </c>
      <c r="C35" s="49">
        <v>8330</v>
      </c>
      <c r="D35" s="49">
        <v>510</v>
      </c>
      <c r="E35" s="46">
        <v>46762</v>
      </c>
      <c r="F35" s="18"/>
      <c r="G35" s="20">
        <v>287126</v>
      </c>
      <c r="H35" s="20">
        <v>166908</v>
      </c>
      <c r="I35" s="20">
        <v>180024</v>
      </c>
      <c r="J35" s="49">
        <v>878796</v>
      </c>
      <c r="K35" s="57">
        <v>639998</v>
      </c>
      <c r="L35" s="52">
        <v>3773</v>
      </c>
      <c r="M35" s="19"/>
      <c r="N35" s="17"/>
      <c r="P35" s="58">
        <v>29</v>
      </c>
      <c r="Q35" s="59"/>
      <c r="R35" s="7"/>
      <c r="S35" s="7"/>
    </row>
    <row r="36" spans="2:19" ht="17.25" customHeight="1" x14ac:dyDescent="0.25">
      <c r="B36" s="11" t="s">
        <v>48</v>
      </c>
      <c r="C36" s="12">
        <f>C35-C33</f>
        <v>0</v>
      </c>
      <c r="D36" s="12">
        <f>D35-D33</f>
        <v>0</v>
      </c>
      <c r="E36" s="12">
        <f>E35-E33</f>
        <v>0</v>
      </c>
      <c r="F36" s="18">
        <f>E36+D36+C36</f>
        <v>0</v>
      </c>
      <c r="G36" s="12">
        <f>G35-G33</f>
        <v>109</v>
      </c>
      <c r="H36" s="12">
        <f t="shared" ref="H36:L36" si="28">H35-H33</f>
        <v>16</v>
      </c>
      <c r="I36" s="12">
        <f t="shared" si="28"/>
        <v>54</v>
      </c>
      <c r="J36" s="12">
        <f t="shared" si="28"/>
        <v>239</v>
      </c>
      <c r="K36" s="12">
        <f t="shared" si="28"/>
        <v>0</v>
      </c>
      <c r="L36" s="12">
        <f t="shared" si="28"/>
        <v>31</v>
      </c>
      <c r="M36" s="19">
        <f>L36+K36+J36+I36+H36+G36</f>
        <v>449</v>
      </c>
      <c r="N36" s="55">
        <f>M36+F36</f>
        <v>449</v>
      </c>
      <c r="P36" s="58">
        <v>30</v>
      </c>
      <c r="Q36" s="59"/>
      <c r="R36" s="7"/>
      <c r="S36" s="7"/>
    </row>
    <row r="37" spans="2:19" ht="17.25" customHeight="1" x14ac:dyDescent="0.25">
      <c r="B37" s="23">
        <v>16</v>
      </c>
      <c r="C37" s="49">
        <v>8330</v>
      </c>
      <c r="D37" s="49">
        <v>510</v>
      </c>
      <c r="E37" s="46">
        <v>46762</v>
      </c>
      <c r="F37" s="18"/>
      <c r="G37" s="7">
        <v>287237</v>
      </c>
      <c r="H37" s="7">
        <v>166920</v>
      </c>
      <c r="I37" s="20">
        <v>180059</v>
      </c>
      <c r="J37" s="51">
        <v>879055</v>
      </c>
      <c r="K37" s="57">
        <v>639998</v>
      </c>
      <c r="L37" s="52">
        <v>3797</v>
      </c>
      <c r="M37" s="19"/>
      <c r="N37" s="17"/>
      <c r="P37" s="58">
        <v>31</v>
      </c>
      <c r="Q37" s="59"/>
      <c r="R37" s="7"/>
      <c r="S37" s="7"/>
    </row>
    <row r="38" spans="2:19" ht="17.25" customHeight="1" x14ac:dyDescent="0.25">
      <c r="B38" s="11" t="s">
        <v>48</v>
      </c>
      <c r="C38" s="12">
        <f>C37-C35</f>
        <v>0</v>
      </c>
      <c r="D38" s="12">
        <f t="shared" ref="D38:E38" si="29">D37-D35</f>
        <v>0</v>
      </c>
      <c r="E38" s="12">
        <f t="shared" si="29"/>
        <v>0</v>
      </c>
      <c r="F38" s="18">
        <f>E38+D38+C38</f>
        <v>0</v>
      </c>
      <c r="G38" s="12">
        <f>G37-G35</f>
        <v>111</v>
      </c>
      <c r="H38" s="12">
        <f t="shared" ref="H38:L38" si="30">H37-H35</f>
        <v>12</v>
      </c>
      <c r="I38" s="12">
        <f t="shared" si="30"/>
        <v>35</v>
      </c>
      <c r="J38" s="12">
        <f t="shared" si="30"/>
        <v>259</v>
      </c>
      <c r="K38" s="12">
        <f t="shared" si="30"/>
        <v>0</v>
      </c>
      <c r="L38" s="12">
        <f t="shared" si="30"/>
        <v>24</v>
      </c>
      <c r="M38" s="19">
        <f>L38+K38+J38+I38+H38+G38</f>
        <v>441</v>
      </c>
      <c r="N38" s="55">
        <f>M38+F38</f>
        <v>441</v>
      </c>
      <c r="P38" s="36"/>
      <c r="Q38" s="60"/>
      <c r="R38" s="57"/>
      <c r="S38" s="57"/>
    </row>
    <row r="39" spans="2:19" ht="17.25" customHeight="1" x14ac:dyDescent="0.25">
      <c r="B39" s="23">
        <v>17</v>
      </c>
      <c r="C39" s="49">
        <v>8330</v>
      </c>
      <c r="D39" s="49">
        <v>510</v>
      </c>
      <c r="E39" s="46">
        <v>46762</v>
      </c>
      <c r="F39" s="18"/>
      <c r="G39" s="20">
        <v>287366</v>
      </c>
      <c r="H39" s="20">
        <v>166935</v>
      </c>
      <c r="I39" s="20">
        <v>180111</v>
      </c>
      <c r="J39" s="51">
        <v>879283</v>
      </c>
      <c r="K39" s="57">
        <v>639998</v>
      </c>
      <c r="L39" s="52">
        <v>3826</v>
      </c>
      <c r="M39" s="19"/>
      <c r="N39" s="17"/>
    </row>
    <row r="40" spans="2:19" ht="17.25" customHeight="1" x14ac:dyDescent="0.25">
      <c r="B40" s="11" t="s">
        <v>48</v>
      </c>
      <c r="C40" s="12">
        <f>C39-C37</f>
        <v>0</v>
      </c>
      <c r="D40" s="12">
        <f t="shared" ref="D40:E40" si="31">D39-D37</f>
        <v>0</v>
      </c>
      <c r="E40" s="12">
        <f t="shared" si="31"/>
        <v>0</v>
      </c>
      <c r="F40" s="18">
        <f>E40+D40+C40</f>
        <v>0</v>
      </c>
      <c r="G40" s="12">
        <f>G39-G37</f>
        <v>129</v>
      </c>
      <c r="H40" s="12">
        <f t="shared" ref="H40:L42" si="32">H39-H37</f>
        <v>15</v>
      </c>
      <c r="I40" s="12">
        <f t="shared" si="32"/>
        <v>52</v>
      </c>
      <c r="J40" s="12">
        <f t="shared" si="32"/>
        <v>228</v>
      </c>
      <c r="K40" s="12">
        <f t="shared" si="32"/>
        <v>0</v>
      </c>
      <c r="L40" s="12">
        <f t="shared" si="32"/>
        <v>29</v>
      </c>
      <c r="M40" s="19">
        <f>L40+K40+J40+I40+H40+G40</f>
        <v>453</v>
      </c>
      <c r="N40" s="55">
        <f>M40+F40</f>
        <v>453</v>
      </c>
      <c r="P40" s="36"/>
      <c r="Q40" s="60"/>
      <c r="R40" s="57"/>
      <c r="S40" s="57"/>
    </row>
    <row r="41" spans="2:19" ht="17.25" customHeight="1" x14ac:dyDescent="0.25">
      <c r="B41" s="23">
        <v>18</v>
      </c>
      <c r="C41" s="49">
        <v>8330</v>
      </c>
      <c r="D41" s="49">
        <v>510</v>
      </c>
      <c r="E41" s="46">
        <v>46762</v>
      </c>
      <c r="F41" s="18"/>
      <c r="G41" s="7">
        <v>287480</v>
      </c>
      <c r="H41" s="7">
        <v>166949</v>
      </c>
      <c r="I41" s="20">
        <v>180163</v>
      </c>
      <c r="J41" s="51">
        <v>879498</v>
      </c>
      <c r="K41" s="57">
        <v>639998</v>
      </c>
      <c r="L41" s="52">
        <v>3847</v>
      </c>
      <c r="M41" s="19"/>
      <c r="N41" s="17"/>
    </row>
    <row r="42" spans="2:19" ht="17.25" customHeight="1" x14ac:dyDescent="0.25">
      <c r="B42" s="11" t="s">
        <v>48</v>
      </c>
      <c r="C42" s="12">
        <f>C41-C39</f>
        <v>0</v>
      </c>
      <c r="D42" s="12">
        <f t="shared" ref="D42:E42" si="33">D41-D39</f>
        <v>0</v>
      </c>
      <c r="E42" s="12">
        <f t="shared" si="33"/>
        <v>0</v>
      </c>
      <c r="F42" s="18">
        <f>E42+D42+C42</f>
        <v>0</v>
      </c>
      <c r="G42" s="12">
        <f>G41-G39</f>
        <v>114</v>
      </c>
      <c r="H42" s="12">
        <f t="shared" si="32"/>
        <v>14</v>
      </c>
      <c r="I42" s="12">
        <f t="shared" si="32"/>
        <v>52</v>
      </c>
      <c r="J42" s="12">
        <f t="shared" si="32"/>
        <v>215</v>
      </c>
      <c r="K42" s="12">
        <f t="shared" si="32"/>
        <v>0</v>
      </c>
      <c r="L42" s="12">
        <f t="shared" si="32"/>
        <v>21</v>
      </c>
      <c r="M42" s="19">
        <f>L42+K42+J42+I42+H42+G42</f>
        <v>416</v>
      </c>
      <c r="N42" s="55">
        <f>M42+F42</f>
        <v>416</v>
      </c>
      <c r="P42" s="36"/>
      <c r="Q42" s="60"/>
      <c r="R42" s="57"/>
      <c r="S42" s="57"/>
    </row>
    <row r="43" spans="2:19" ht="17.25" customHeight="1" x14ac:dyDescent="0.25">
      <c r="B43" s="23">
        <v>19</v>
      </c>
      <c r="C43" s="49">
        <v>8330</v>
      </c>
      <c r="D43" s="49">
        <v>510</v>
      </c>
      <c r="E43" s="46">
        <v>46762</v>
      </c>
      <c r="F43" s="70" t="s">
        <v>47</v>
      </c>
      <c r="G43" s="71">
        <v>287604</v>
      </c>
      <c r="H43" s="71">
        <v>166962</v>
      </c>
      <c r="I43" s="71">
        <v>180217</v>
      </c>
      <c r="J43" s="72">
        <v>879727</v>
      </c>
      <c r="K43" s="57">
        <v>639998</v>
      </c>
      <c r="L43" s="73">
        <v>3876</v>
      </c>
      <c r="M43" s="19"/>
      <c r="N43" s="17"/>
    </row>
    <row r="44" spans="2:19" ht="17.25" customHeight="1" x14ac:dyDescent="0.25">
      <c r="B44" s="11" t="s">
        <v>48</v>
      </c>
      <c r="C44" s="12">
        <f>C43-C41</f>
        <v>0</v>
      </c>
      <c r="D44" s="12">
        <f t="shared" ref="D44:E44" si="34">D43-D41</f>
        <v>0</v>
      </c>
      <c r="E44" s="12">
        <f t="shared" si="34"/>
        <v>0</v>
      </c>
      <c r="F44" s="18">
        <f>E44+D44+C44</f>
        <v>0</v>
      </c>
      <c r="G44" s="12">
        <f>G43-G41</f>
        <v>124</v>
      </c>
      <c r="H44" s="12">
        <f t="shared" ref="H44:L44" si="35">H43-H41</f>
        <v>13</v>
      </c>
      <c r="I44" s="12">
        <f t="shared" si="35"/>
        <v>54</v>
      </c>
      <c r="J44" s="12">
        <f t="shared" si="35"/>
        <v>229</v>
      </c>
      <c r="K44" s="12">
        <f t="shared" si="35"/>
        <v>0</v>
      </c>
      <c r="L44" s="12">
        <f t="shared" si="35"/>
        <v>29</v>
      </c>
      <c r="M44" s="19">
        <f>L44+K44+J44+I44+H44+G44</f>
        <v>449</v>
      </c>
      <c r="N44" s="55">
        <f>M44+F44</f>
        <v>449</v>
      </c>
      <c r="P44" s="36"/>
      <c r="Q44" s="60"/>
      <c r="R44" s="57"/>
      <c r="S44" s="57"/>
    </row>
    <row r="45" spans="2:19" ht="17.25" customHeight="1" x14ac:dyDescent="0.25">
      <c r="B45" s="23">
        <v>20</v>
      </c>
      <c r="C45" s="49">
        <v>8330</v>
      </c>
      <c r="D45" s="66">
        <v>513</v>
      </c>
      <c r="E45" s="46">
        <v>46762</v>
      </c>
      <c r="F45" s="70" t="s">
        <v>47</v>
      </c>
      <c r="G45" s="66">
        <v>287716</v>
      </c>
      <c r="H45" s="66">
        <v>166981</v>
      </c>
      <c r="I45" s="71">
        <v>180276</v>
      </c>
      <c r="J45" s="72">
        <v>879966</v>
      </c>
      <c r="K45" s="57">
        <v>639998</v>
      </c>
      <c r="L45" s="73">
        <v>3924</v>
      </c>
      <c r="M45" s="19"/>
      <c r="N45" s="17"/>
    </row>
    <row r="46" spans="2:19" ht="17.25" customHeight="1" x14ac:dyDescent="0.25">
      <c r="B46" s="11" t="s">
        <v>48</v>
      </c>
      <c r="C46" s="12">
        <f>C45-C43</f>
        <v>0</v>
      </c>
      <c r="D46" s="12">
        <f t="shared" ref="D46:E46" si="36">D45-D43</f>
        <v>3</v>
      </c>
      <c r="E46" s="12">
        <f t="shared" si="36"/>
        <v>0</v>
      </c>
      <c r="F46" s="18">
        <f>E46+D46+C46</f>
        <v>3</v>
      </c>
      <c r="G46" s="12">
        <f>G45-G43</f>
        <v>112</v>
      </c>
      <c r="H46" s="12">
        <f t="shared" ref="H46:L46" si="37">H45-H43</f>
        <v>19</v>
      </c>
      <c r="I46" s="12">
        <f t="shared" si="37"/>
        <v>59</v>
      </c>
      <c r="J46" s="12">
        <f t="shared" si="37"/>
        <v>239</v>
      </c>
      <c r="K46" s="12">
        <f t="shared" si="37"/>
        <v>0</v>
      </c>
      <c r="L46" s="12">
        <f t="shared" si="37"/>
        <v>48</v>
      </c>
      <c r="M46" s="19">
        <f>L46+K46+J46+I46+H46+G46</f>
        <v>477</v>
      </c>
      <c r="N46" s="55">
        <f>M46+F46</f>
        <v>480</v>
      </c>
      <c r="P46" s="36"/>
      <c r="Q46" s="60"/>
      <c r="R46" s="57"/>
      <c r="S46" s="57"/>
    </row>
    <row r="47" spans="2:19" ht="17.25" customHeight="1" x14ac:dyDescent="0.25">
      <c r="B47" s="23">
        <v>21</v>
      </c>
      <c r="C47" s="49"/>
      <c r="D47" s="66"/>
      <c r="E47" s="46"/>
      <c r="F47" s="18"/>
      <c r="G47" s="20"/>
      <c r="H47" s="7"/>
      <c r="I47" s="71"/>
      <c r="J47" s="51"/>
      <c r="K47" s="57"/>
      <c r="L47" s="52"/>
      <c r="M47" s="19"/>
      <c r="N47" s="17"/>
    </row>
    <row r="48" spans="2:19" ht="17.25" customHeight="1" x14ac:dyDescent="0.25">
      <c r="B48" s="11" t="s">
        <v>48</v>
      </c>
      <c r="C48" s="12"/>
      <c r="D48" s="12"/>
      <c r="E48" s="12"/>
      <c r="F48" s="18"/>
      <c r="G48" s="12"/>
      <c r="H48" s="12"/>
      <c r="I48" s="12"/>
      <c r="J48" s="12"/>
      <c r="K48" s="12"/>
      <c r="L48" s="12"/>
      <c r="M48" s="19">
        <f>L48+K48+J48+I48+H48+G48</f>
        <v>0</v>
      </c>
      <c r="N48" s="55">
        <f>M48+F48</f>
        <v>0</v>
      </c>
      <c r="P48" s="36"/>
      <c r="Q48" s="60"/>
      <c r="R48" s="57"/>
      <c r="S48" s="57"/>
    </row>
    <row r="49" spans="2:19" ht="17.25" customHeight="1" x14ac:dyDescent="0.25">
      <c r="B49" s="23">
        <v>22</v>
      </c>
      <c r="C49" s="49"/>
      <c r="D49" s="49"/>
      <c r="E49" s="46"/>
      <c r="F49" s="18"/>
      <c r="G49" s="20"/>
      <c r="H49" s="20"/>
      <c r="I49" s="71"/>
      <c r="J49" s="51"/>
      <c r="K49" s="57"/>
      <c r="L49" s="52"/>
      <c r="M49" s="19"/>
      <c r="N49" s="17"/>
    </row>
    <row r="50" spans="2:19" ht="17.25" customHeight="1" x14ac:dyDescent="0.25">
      <c r="B50" s="11" t="s">
        <v>48</v>
      </c>
      <c r="C50" s="12"/>
      <c r="D50" s="12"/>
      <c r="E50" s="12"/>
      <c r="F50" s="18"/>
      <c r="G50" s="12"/>
      <c r="H50" s="12"/>
      <c r="I50" s="12"/>
      <c r="J50" s="12"/>
      <c r="K50" s="12"/>
      <c r="L50" s="12"/>
      <c r="M50" s="19">
        <f>L50+K50+J50+I50+H50+G50</f>
        <v>0</v>
      </c>
      <c r="N50" s="55">
        <f>M50+F50</f>
        <v>0</v>
      </c>
      <c r="P50" s="36"/>
      <c r="Q50" s="60"/>
      <c r="R50" s="57"/>
      <c r="S50" s="57"/>
    </row>
    <row r="51" spans="2:19" ht="17.25" customHeight="1" x14ac:dyDescent="0.25">
      <c r="B51" s="23">
        <v>23</v>
      </c>
      <c r="C51" s="49"/>
      <c r="D51" s="49"/>
      <c r="E51" s="69"/>
      <c r="F51" s="18"/>
      <c r="G51" s="20"/>
      <c r="H51" s="20"/>
      <c r="I51" s="71"/>
      <c r="J51" s="51"/>
      <c r="K51" s="68"/>
      <c r="L51" s="61"/>
      <c r="M51" s="19"/>
      <c r="N51" s="17"/>
    </row>
    <row r="52" spans="2:19" ht="17.25" customHeight="1" x14ac:dyDescent="0.25">
      <c r="B52" s="11" t="s">
        <v>48</v>
      </c>
      <c r="C52" s="12"/>
      <c r="D52" s="12"/>
      <c r="E52" s="12"/>
      <c r="F52" s="18">
        <f>E52+D52+C52</f>
        <v>0</v>
      </c>
      <c r="G52" s="12"/>
      <c r="H52" s="12"/>
      <c r="I52" s="12"/>
      <c r="J52" s="12"/>
      <c r="K52" s="12"/>
      <c r="L52" s="12"/>
      <c r="M52" s="19">
        <f>L52+K52+J52+I52+H52+G52</f>
        <v>0</v>
      </c>
      <c r="N52" s="55">
        <f>M52+F52</f>
        <v>0</v>
      </c>
    </row>
    <row r="53" spans="2:19" ht="17.25" customHeight="1" x14ac:dyDescent="0.25">
      <c r="B53" s="23">
        <v>24</v>
      </c>
      <c r="C53" s="49"/>
      <c r="D53" s="49"/>
      <c r="E53" s="69"/>
      <c r="F53" s="18"/>
      <c r="G53" s="7"/>
      <c r="H53" s="7"/>
      <c r="I53" s="20"/>
      <c r="J53" s="51"/>
      <c r="K53" s="68"/>
      <c r="L53" s="52"/>
      <c r="M53" s="19"/>
      <c r="N53" s="17"/>
    </row>
    <row r="54" spans="2:19" ht="17.25" customHeight="1" x14ac:dyDescent="0.25">
      <c r="B54" s="11" t="s">
        <v>48</v>
      </c>
      <c r="C54" s="12"/>
      <c r="D54" s="12"/>
      <c r="E54" s="12"/>
      <c r="F54" s="18">
        <f>E54+D54+C54</f>
        <v>0</v>
      </c>
      <c r="G54" s="12"/>
      <c r="H54" s="12"/>
      <c r="I54" s="12"/>
      <c r="J54" s="12"/>
      <c r="K54" s="12"/>
      <c r="L54" s="12"/>
      <c r="M54" s="19">
        <f>L54+K54+J54+I54+H54+G54</f>
        <v>0</v>
      </c>
      <c r="N54" s="55">
        <f>M54+F54</f>
        <v>0</v>
      </c>
    </row>
    <row r="55" spans="2:19" ht="17.25" customHeight="1" x14ac:dyDescent="0.25">
      <c r="B55" s="23">
        <v>25</v>
      </c>
      <c r="C55" s="49"/>
      <c r="D55" s="49"/>
      <c r="E55" s="69"/>
      <c r="F55" s="18"/>
      <c r="G55" s="20"/>
      <c r="H55" s="20"/>
      <c r="I55" s="20"/>
      <c r="J55" s="51"/>
      <c r="K55" s="68"/>
      <c r="L55" s="52"/>
      <c r="M55" s="19"/>
      <c r="N55" s="17"/>
    </row>
    <row r="56" spans="2:19" ht="17.25" customHeight="1" x14ac:dyDescent="0.25">
      <c r="B56" s="11" t="s">
        <v>48</v>
      </c>
      <c r="C56" s="12"/>
      <c r="D56" s="12"/>
      <c r="E56" s="12"/>
      <c r="F56" s="18">
        <f>E56+D56+C56</f>
        <v>0</v>
      </c>
      <c r="G56" s="12"/>
      <c r="H56" s="12"/>
      <c r="I56" s="12"/>
      <c r="J56" s="12"/>
      <c r="K56" s="12"/>
      <c r="L56" s="12"/>
      <c r="M56" s="19">
        <f>L56+K56+J56+I56+H56+G56</f>
        <v>0</v>
      </c>
      <c r="N56" s="55">
        <f>M56+F56</f>
        <v>0</v>
      </c>
    </row>
    <row r="57" spans="2:19" ht="17.25" customHeight="1" x14ac:dyDescent="0.25">
      <c r="B57" s="23">
        <v>26</v>
      </c>
      <c r="C57" s="49"/>
      <c r="D57" s="49"/>
      <c r="E57" s="69"/>
      <c r="F57" s="18"/>
      <c r="G57" s="20"/>
      <c r="H57" s="20"/>
      <c r="I57" s="20"/>
      <c r="J57" s="51"/>
      <c r="K57" s="68"/>
      <c r="L57" s="52"/>
      <c r="M57" s="19"/>
      <c r="N57" s="17"/>
    </row>
    <row r="58" spans="2:19" ht="17.25" customHeight="1" x14ac:dyDescent="0.25">
      <c r="B58" s="11" t="s">
        <v>48</v>
      </c>
      <c r="C58" s="12"/>
      <c r="D58" s="12"/>
      <c r="E58" s="12"/>
      <c r="F58" s="18">
        <f>E58+D58+C58</f>
        <v>0</v>
      </c>
      <c r="G58" s="12"/>
      <c r="H58" s="12"/>
      <c r="I58" s="12"/>
      <c r="J58" s="12"/>
      <c r="K58" s="12"/>
      <c r="L58" s="12"/>
      <c r="M58" s="19">
        <f>L58+K58+J58+I58+H58+G58</f>
        <v>0</v>
      </c>
      <c r="N58" s="55">
        <f>M58+F58</f>
        <v>0</v>
      </c>
    </row>
    <row r="59" spans="2:19" ht="17.25" customHeight="1" x14ac:dyDescent="0.25">
      <c r="B59" s="23">
        <v>27</v>
      </c>
      <c r="C59" s="49"/>
      <c r="D59" s="49"/>
      <c r="E59" s="69"/>
      <c r="F59" s="18"/>
      <c r="G59" s="20"/>
      <c r="H59" s="20"/>
      <c r="I59" s="20"/>
      <c r="J59" s="51"/>
      <c r="K59" s="68"/>
      <c r="L59" s="52"/>
      <c r="M59" s="19"/>
      <c r="N59" s="17"/>
    </row>
    <row r="60" spans="2:19" ht="17.25" customHeight="1" x14ac:dyDescent="0.25">
      <c r="B60" s="11" t="s">
        <v>48</v>
      </c>
      <c r="C60" s="12"/>
      <c r="D60" s="12"/>
      <c r="E60" s="12"/>
      <c r="F60" s="18">
        <f>E60+D60+C60</f>
        <v>0</v>
      </c>
      <c r="G60" s="12"/>
      <c r="H60" s="12"/>
      <c r="I60" s="12"/>
      <c r="J60" s="12"/>
      <c r="K60" s="12"/>
      <c r="L60" s="12"/>
      <c r="M60" s="19">
        <f>L60+K60+J60+I60+H60+G60</f>
        <v>0</v>
      </c>
      <c r="N60" s="55">
        <f>M60+F60</f>
        <v>0</v>
      </c>
    </row>
    <row r="61" spans="2:19" ht="17.25" customHeight="1" x14ac:dyDescent="0.25">
      <c r="B61" s="23">
        <v>28</v>
      </c>
      <c r="C61" s="49"/>
      <c r="D61" s="49"/>
      <c r="E61" s="69"/>
      <c r="F61" s="18"/>
      <c r="G61" s="7"/>
      <c r="H61" s="7"/>
      <c r="I61" s="20"/>
      <c r="J61" s="51"/>
      <c r="K61" s="68"/>
      <c r="L61" s="52"/>
      <c r="M61" s="19"/>
      <c r="N61" s="17"/>
    </row>
    <row r="62" spans="2:19" ht="17.25" customHeight="1" x14ac:dyDescent="0.25">
      <c r="B62" s="11" t="s">
        <v>48</v>
      </c>
      <c r="C62" s="12"/>
      <c r="D62" s="12"/>
      <c r="E62" s="12"/>
      <c r="F62" s="18">
        <f>E62+D62+C62</f>
        <v>0</v>
      </c>
      <c r="G62" s="12"/>
      <c r="H62" s="12"/>
      <c r="I62" s="12"/>
      <c r="J62" s="12"/>
      <c r="K62" s="12"/>
      <c r="L62" s="12"/>
      <c r="M62" s="19">
        <f>L62+K62+J62+I62+H62+G62</f>
        <v>0</v>
      </c>
      <c r="N62" s="55">
        <f>M62+F62</f>
        <v>0</v>
      </c>
    </row>
    <row r="63" spans="2:19" ht="17.25" customHeight="1" x14ac:dyDescent="0.25">
      <c r="B63" s="23">
        <v>29</v>
      </c>
      <c r="C63" s="49"/>
      <c r="D63" s="49"/>
      <c r="E63" s="69"/>
      <c r="F63" s="18"/>
      <c r="G63" s="7"/>
      <c r="H63" s="7"/>
      <c r="I63" s="20"/>
      <c r="J63" s="51"/>
      <c r="K63" s="68"/>
      <c r="L63" s="52"/>
      <c r="M63" s="19"/>
      <c r="N63" s="17"/>
    </row>
    <row r="64" spans="2:19" ht="17.25" customHeight="1" x14ac:dyDescent="0.25">
      <c r="B64" s="11" t="s">
        <v>48</v>
      </c>
      <c r="C64" s="12"/>
      <c r="D64" s="12"/>
      <c r="E64" s="12"/>
      <c r="F64" s="18">
        <f>E64+D64+C64</f>
        <v>0</v>
      </c>
      <c r="G64" s="12"/>
      <c r="H64" s="12"/>
      <c r="I64" s="12"/>
      <c r="J64" s="12"/>
      <c r="K64" s="12"/>
      <c r="L64" s="12"/>
      <c r="M64" s="19">
        <f>L64+K64+J64+I64+H64+G64</f>
        <v>0</v>
      </c>
      <c r="N64" s="55">
        <f>M64+F64</f>
        <v>0</v>
      </c>
    </row>
    <row r="65" spans="2:14" ht="17.25" customHeight="1" x14ac:dyDescent="0.25">
      <c r="B65" s="23">
        <v>30</v>
      </c>
      <c r="C65" s="49"/>
      <c r="D65" s="49"/>
      <c r="E65" s="69"/>
      <c r="F65" s="18"/>
      <c r="G65" s="7"/>
      <c r="H65" s="7"/>
      <c r="I65" s="20"/>
      <c r="J65" s="51"/>
      <c r="K65" s="68"/>
      <c r="L65" s="52"/>
      <c r="M65" s="19"/>
      <c r="N65" s="17"/>
    </row>
    <row r="66" spans="2:14" ht="17.25" customHeight="1" x14ac:dyDescent="0.25">
      <c r="B66" s="11" t="s">
        <v>48</v>
      </c>
      <c r="C66" s="12"/>
      <c r="D66" s="12"/>
      <c r="E66" s="12"/>
      <c r="F66" s="18">
        <f>E66+D66+C66</f>
        <v>0</v>
      </c>
      <c r="G66" s="12"/>
      <c r="H66" s="12"/>
      <c r="I66" s="12"/>
      <c r="J66" s="12"/>
      <c r="K66" s="12"/>
      <c r="L66" s="12"/>
      <c r="M66" s="19">
        <f>L66+K66+J66+I66+H66+G66</f>
        <v>0</v>
      </c>
      <c r="N66" s="55">
        <f>M66+F66</f>
        <v>0</v>
      </c>
    </row>
    <row r="67" spans="2:14" ht="15.75" x14ac:dyDescent="0.25">
      <c r="B67" s="23">
        <v>31</v>
      </c>
      <c r="C67" s="49"/>
      <c r="D67" s="49"/>
      <c r="E67" s="69"/>
      <c r="F67" s="18"/>
      <c r="G67" s="7"/>
      <c r="H67" s="7"/>
      <c r="I67" s="20"/>
      <c r="J67" s="51"/>
      <c r="K67" s="68"/>
      <c r="L67" s="52"/>
      <c r="M67" s="19"/>
      <c r="N67" s="17"/>
    </row>
    <row r="68" spans="2:14" ht="15.75" x14ac:dyDescent="0.25">
      <c r="B68" s="11" t="s">
        <v>48</v>
      </c>
      <c r="C68" s="12"/>
      <c r="D68" s="12"/>
      <c r="E68" s="12"/>
      <c r="F68" s="18">
        <f>E68+D68+C68</f>
        <v>0</v>
      </c>
      <c r="G68" s="12"/>
      <c r="H68" s="12"/>
      <c r="I68" s="12"/>
      <c r="J68" s="12"/>
      <c r="K68" s="12"/>
      <c r="L68" s="12"/>
      <c r="M68" s="19">
        <f>L68+K68+J68+I68+H68+G68</f>
        <v>0</v>
      </c>
      <c r="N68" s="55">
        <f>M68+F68</f>
        <v>0</v>
      </c>
    </row>
  </sheetData>
  <mergeCells count="12">
    <mergeCell ref="F2:J2"/>
    <mergeCell ref="F3:J3"/>
    <mergeCell ref="M5:M6"/>
    <mergeCell ref="N5:N6"/>
    <mergeCell ref="M3:N3"/>
    <mergeCell ref="T6:U6"/>
    <mergeCell ref="B5:B6"/>
    <mergeCell ref="F5:F6"/>
    <mergeCell ref="P5:P6"/>
    <mergeCell ref="Q5:Q6"/>
    <mergeCell ref="R5:R6"/>
    <mergeCell ref="S5:S6"/>
  </mergeCells>
  <printOptions horizontalCentered="1"/>
  <pageMargins left="0.2" right="0.2" top="0.25" bottom="0.25" header="0.05" footer="0.05"/>
  <pageSetup paperSize="9" scale="82" orientation="landscape" r:id="rId1"/>
  <rowBreaks count="1" manualBreakCount="1">
    <brk id="40" max="16383" man="1"/>
  </rowBreaks>
  <colBreaks count="1" manualBreakCount="1">
    <brk id="14" max="1048575" man="1"/>
  </colBreak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H70"/>
  <sheetViews>
    <sheetView zoomScaleNormal="100" workbookViewId="0">
      <pane ySplit="6" topLeftCell="A7" activePane="bottomLeft" state="frozen"/>
      <selection pane="bottomLeft" activeCell="N27" sqref="N27"/>
    </sheetView>
  </sheetViews>
  <sheetFormatPr defaultRowHeight="15" x14ac:dyDescent="0.25"/>
  <cols>
    <col min="1" max="1" width="1" style="1" customWidth="1"/>
    <col min="2" max="2" width="13.140625" style="1" customWidth="1"/>
    <col min="3" max="5" width="14.140625" style="1" customWidth="1"/>
    <col min="6" max="16384" width="9.140625" style="1"/>
  </cols>
  <sheetData>
    <row r="1" spans="2:8" ht="12" customHeight="1" x14ac:dyDescent="0.25"/>
    <row r="2" spans="2:8" ht="19.5" customHeight="1" x14ac:dyDescent="0.25">
      <c r="D2" s="37" t="s">
        <v>34</v>
      </c>
    </row>
    <row r="3" spans="2:8" ht="21" customHeight="1" x14ac:dyDescent="0.25">
      <c r="D3" s="38" t="s">
        <v>65</v>
      </c>
      <c r="F3" s="95"/>
      <c r="G3" s="95"/>
      <c r="H3" s="95"/>
    </row>
    <row r="4" spans="2:8" ht="15" customHeight="1" thickBot="1" x14ac:dyDescent="0.3">
      <c r="D4" s="118" t="s">
        <v>50</v>
      </c>
      <c r="E4" s="118"/>
      <c r="F4" s="95"/>
      <c r="G4" s="95"/>
      <c r="H4" s="95"/>
    </row>
    <row r="5" spans="2:8" ht="30.75" customHeight="1" thickTop="1" x14ac:dyDescent="0.25">
      <c r="B5" s="105" t="s">
        <v>37</v>
      </c>
      <c r="C5" s="4" t="s">
        <v>66</v>
      </c>
      <c r="D5" s="4" t="s">
        <v>67</v>
      </c>
      <c r="E5" s="116" t="s">
        <v>68</v>
      </c>
    </row>
    <row r="6" spans="2:8" ht="15.75" customHeight="1" x14ac:dyDescent="0.25">
      <c r="B6" s="106"/>
      <c r="C6" s="3" t="s">
        <v>69</v>
      </c>
      <c r="D6" s="3"/>
      <c r="E6" s="117"/>
    </row>
    <row r="7" spans="2:8" ht="17.25" customHeight="1" x14ac:dyDescent="0.25">
      <c r="B7" s="23">
        <v>1</v>
      </c>
      <c r="C7" s="49">
        <v>290424</v>
      </c>
      <c r="D7" s="50">
        <v>54220</v>
      </c>
      <c r="E7" s="56"/>
      <c r="H7" s="1" t="s">
        <v>70</v>
      </c>
    </row>
    <row r="8" spans="2:8" ht="17.25" customHeight="1" x14ac:dyDescent="0.25">
      <c r="B8" s="11" t="s">
        <v>48</v>
      </c>
      <c r="C8" s="53">
        <v>234</v>
      </c>
      <c r="D8" s="53">
        <v>0</v>
      </c>
      <c r="E8" s="56">
        <f>C8</f>
        <v>234</v>
      </c>
    </row>
    <row r="9" spans="2:8" ht="17.25" customHeight="1" x14ac:dyDescent="0.25">
      <c r="B9" s="23">
        <v>2</v>
      </c>
      <c r="C9" s="48">
        <v>290638</v>
      </c>
      <c r="D9" s="50">
        <v>54220</v>
      </c>
      <c r="E9" s="56"/>
    </row>
    <row r="10" spans="2:8" ht="17.25" customHeight="1" x14ac:dyDescent="0.25">
      <c r="B10" s="11" t="s">
        <v>48</v>
      </c>
      <c r="C10" s="53">
        <f>C9-C7</f>
        <v>214</v>
      </c>
      <c r="D10" s="53">
        <f>D9-D7</f>
        <v>0</v>
      </c>
      <c r="E10" s="56">
        <f>C10</f>
        <v>214</v>
      </c>
      <c r="G10"/>
      <c r="H10" s="57"/>
    </row>
    <row r="11" spans="2:8" ht="17.25" customHeight="1" x14ac:dyDescent="0.25">
      <c r="B11" s="23">
        <v>3</v>
      </c>
      <c r="C11" s="47">
        <v>290857</v>
      </c>
      <c r="D11" s="50">
        <v>54220</v>
      </c>
      <c r="E11" s="56"/>
    </row>
    <row r="12" spans="2:8" ht="17.25" customHeight="1" x14ac:dyDescent="0.25">
      <c r="B12" s="11" t="s">
        <v>48</v>
      </c>
      <c r="C12" s="53">
        <f>C11-C9</f>
        <v>219</v>
      </c>
      <c r="D12" s="53">
        <f>D11-D9</f>
        <v>0</v>
      </c>
      <c r="E12" s="56">
        <f>C12</f>
        <v>219</v>
      </c>
    </row>
    <row r="13" spans="2:8" ht="17.25" customHeight="1" x14ac:dyDescent="0.25">
      <c r="B13" s="23">
        <v>4</v>
      </c>
      <c r="C13" s="48">
        <v>291083</v>
      </c>
      <c r="D13" s="50">
        <v>54220</v>
      </c>
      <c r="E13" s="56"/>
    </row>
    <row r="14" spans="2:8" ht="17.25" customHeight="1" x14ac:dyDescent="0.25">
      <c r="B14" s="11" t="s">
        <v>48</v>
      </c>
      <c r="C14" s="53">
        <f>C13-C11</f>
        <v>226</v>
      </c>
      <c r="D14" s="53">
        <f>D13-D11</f>
        <v>0</v>
      </c>
      <c r="E14" s="56">
        <f>C14</f>
        <v>226</v>
      </c>
    </row>
    <row r="15" spans="2:8" ht="17.25" customHeight="1" x14ac:dyDescent="0.25">
      <c r="B15" s="23">
        <v>5</v>
      </c>
      <c r="C15" s="48">
        <v>291310</v>
      </c>
      <c r="D15" s="50">
        <v>54220</v>
      </c>
      <c r="E15" s="56"/>
    </row>
    <row r="16" spans="2:8" ht="17.25" customHeight="1" x14ac:dyDescent="0.25">
      <c r="B16" s="11" t="s">
        <v>48</v>
      </c>
      <c r="C16" s="53">
        <f>C15-C13</f>
        <v>227</v>
      </c>
      <c r="D16" s="53">
        <f>D15-D13</f>
        <v>0</v>
      </c>
      <c r="E16" s="56">
        <f>C16</f>
        <v>227</v>
      </c>
    </row>
    <row r="17" spans="2:5" ht="17.25" customHeight="1" x14ac:dyDescent="0.25">
      <c r="B17" s="23">
        <v>6</v>
      </c>
      <c r="C17" s="48">
        <v>291550</v>
      </c>
      <c r="D17" s="50">
        <v>54220</v>
      </c>
      <c r="E17" s="56"/>
    </row>
    <row r="18" spans="2:5" ht="17.25" customHeight="1" x14ac:dyDescent="0.25">
      <c r="B18" s="11" t="s">
        <v>48</v>
      </c>
      <c r="C18" s="53">
        <f>C17-C15</f>
        <v>240</v>
      </c>
      <c r="D18" s="53">
        <f>D17-D15</f>
        <v>0</v>
      </c>
      <c r="E18" s="56">
        <f>C18</f>
        <v>240</v>
      </c>
    </row>
    <row r="19" spans="2:5" ht="17.25" customHeight="1" x14ac:dyDescent="0.25">
      <c r="B19" s="23">
        <v>7</v>
      </c>
      <c r="C19" s="48">
        <v>291798</v>
      </c>
      <c r="D19" s="50">
        <v>54220</v>
      </c>
      <c r="E19" s="56"/>
    </row>
    <row r="20" spans="2:5" ht="17.25" customHeight="1" x14ac:dyDescent="0.25">
      <c r="B20" s="11" t="s">
        <v>48</v>
      </c>
      <c r="C20" s="53">
        <f>C19-C17</f>
        <v>248</v>
      </c>
      <c r="D20" s="53">
        <f>D19-D17</f>
        <v>0</v>
      </c>
      <c r="E20" s="56">
        <f>C20</f>
        <v>248</v>
      </c>
    </row>
    <row r="21" spans="2:5" ht="17.25" customHeight="1" x14ac:dyDescent="0.25">
      <c r="B21" s="23">
        <v>8</v>
      </c>
      <c r="C21" s="48">
        <v>292046</v>
      </c>
      <c r="D21" s="50">
        <v>54220</v>
      </c>
      <c r="E21" s="56"/>
    </row>
    <row r="22" spans="2:5" ht="17.25" customHeight="1" x14ac:dyDescent="0.25">
      <c r="B22" s="11" t="s">
        <v>48</v>
      </c>
      <c r="C22" s="53">
        <f>C21-C19</f>
        <v>248</v>
      </c>
      <c r="D22" s="53">
        <f>D21-D19</f>
        <v>0</v>
      </c>
      <c r="E22" s="56">
        <f>C22</f>
        <v>248</v>
      </c>
    </row>
    <row r="23" spans="2:5" ht="17.25" customHeight="1" x14ac:dyDescent="0.25">
      <c r="B23" s="23">
        <v>9</v>
      </c>
      <c r="C23" s="47">
        <v>292257</v>
      </c>
      <c r="D23" s="50">
        <v>54220</v>
      </c>
      <c r="E23" s="56"/>
    </row>
    <row r="24" spans="2:5" ht="17.25" customHeight="1" x14ac:dyDescent="0.25">
      <c r="B24" s="11" t="s">
        <v>48</v>
      </c>
      <c r="C24" s="53">
        <f>C23-C21</f>
        <v>211</v>
      </c>
      <c r="D24" s="53">
        <f>D23-D21</f>
        <v>0</v>
      </c>
      <c r="E24" s="56">
        <f>C24</f>
        <v>211</v>
      </c>
    </row>
    <row r="25" spans="2:5" ht="17.25" customHeight="1" x14ac:dyDescent="0.25">
      <c r="B25" s="23">
        <v>10</v>
      </c>
      <c r="C25" s="47">
        <v>292481</v>
      </c>
      <c r="D25" s="50">
        <v>54220</v>
      </c>
      <c r="E25" s="56"/>
    </row>
    <row r="26" spans="2:5" ht="17.25" customHeight="1" x14ac:dyDescent="0.25">
      <c r="B26" s="11" t="s">
        <v>48</v>
      </c>
      <c r="C26" s="53">
        <f>C25-C23</f>
        <v>224</v>
      </c>
      <c r="D26" s="53">
        <f>D25-D23</f>
        <v>0</v>
      </c>
      <c r="E26" s="56">
        <f>C26</f>
        <v>224</v>
      </c>
    </row>
    <row r="27" spans="2:5" ht="17.25" customHeight="1" x14ac:dyDescent="0.25">
      <c r="B27" s="23">
        <v>11</v>
      </c>
      <c r="C27" s="47">
        <v>292707</v>
      </c>
      <c r="D27" s="50">
        <v>54220</v>
      </c>
      <c r="E27" s="56"/>
    </row>
    <row r="28" spans="2:5" ht="17.25" customHeight="1" x14ac:dyDescent="0.25">
      <c r="B28" s="11" t="s">
        <v>48</v>
      </c>
      <c r="C28" s="53">
        <f>C27-C25</f>
        <v>226</v>
      </c>
      <c r="D28" s="53">
        <f>D27-D25</f>
        <v>0</v>
      </c>
      <c r="E28" s="56">
        <f>C28</f>
        <v>226</v>
      </c>
    </row>
    <row r="29" spans="2:5" ht="17.25" customHeight="1" x14ac:dyDescent="0.25">
      <c r="B29" s="23">
        <v>12</v>
      </c>
      <c r="C29" s="47">
        <v>292933</v>
      </c>
      <c r="D29" s="50">
        <v>54220</v>
      </c>
      <c r="E29" s="56"/>
    </row>
    <row r="30" spans="2:5" ht="17.25" customHeight="1" x14ac:dyDescent="0.25">
      <c r="B30" s="11" t="s">
        <v>48</v>
      </c>
      <c r="C30" s="53">
        <f>C29-C27</f>
        <v>226</v>
      </c>
      <c r="D30" s="53">
        <f>D29-D27</f>
        <v>0</v>
      </c>
      <c r="E30" s="56">
        <f>C30</f>
        <v>226</v>
      </c>
    </row>
    <row r="31" spans="2:5" ht="17.25" customHeight="1" x14ac:dyDescent="0.25">
      <c r="B31" s="23">
        <v>13</v>
      </c>
      <c r="C31" s="47">
        <v>293173</v>
      </c>
      <c r="D31" s="50">
        <v>54220</v>
      </c>
      <c r="E31" s="56"/>
    </row>
    <row r="32" spans="2:5" ht="17.25" customHeight="1" x14ac:dyDescent="0.25">
      <c r="B32" s="11" t="s">
        <v>48</v>
      </c>
      <c r="C32" s="53">
        <f>C31-C29</f>
        <v>240</v>
      </c>
      <c r="D32" s="53">
        <f>D31-D29</f>
        <v>0</v>
      </c>
      <c r="E32" s="56">
        <f>C32</f>
        <v>240</v>
      </c>
    </row>
    <row r="33" spans="2:5" ht="17.25" customHeight="1" x14ac:dyDescent="0.25">
      <c r="B33" s="23">
        <v>14</v>
      </c>
      <c r="C33" s="48">
        <v>293434</v>
      </c>
      <c r="D33" s="50">
        <v>54220</v>
      </c>
      <c r="E33" s="56"/>
    </row>
    <row r="34" spans="2:5" ht="17.25" customHeight="1" x14ac:dyDescent="0.25">
      <c r="B34" s="11" t="s">
        <v>48</v>
      </c>
      <c r="C34" s="53">
        <f>C33-C31</f>
        <v>261</v>
      </c>
      <c r="D34" s="53">
        <f>D33-D31</f>
        <v>0</v>
      </c>
      <c r="E34" s="56">
        <f>C34</f>
        <v>261</v>
      </c>
    </row>
    <row r="35" spans="2:5" ht="17.25" customHeight="1" x14ac:dyDescent="0.25">
      <c r="B35" s="23">
        <v>15</v>
      </c>
      <c r="C35" s="48">
        <v>293686</v>
      </c>
      <c r="D35" s="50">
        <v>54220</v>
      </c>
      <c r="E35" s="56"/>
    </row>
    <row r="36" spans="2:5" ht="17.25" customHeight="1" x14ac:dyDescent="0.25">
      <c r="B36" s="11" t="s">
        <v>48</v>
      </c>
      <c r="C36" s="53">
        <f>C35-C33</f>
        <v>252</v>
      </c>
      <c r="D36" s="53">
        <f>D35-D33</f>
        <v>0</v>
      </c>
      <c r="E36" s="56">
        <f>C36</f>
        <v>252</v>
      </c>
    </row>
    <row r="37" spans="2:5" ht="17.25" customHeight="1" x14ac:dyDescent="0.25">
      <c r="B37" s="23">
        <v>16</v>
      </c>
      <c r="C37" s="48">
        <v>293912</v>
      </c>
      <c r="D37" s="50">
        <v>54220</v>
      </c>
      <c r="E37" s="56"/>
    </row>
    <row r="38" spans="2:5" ht="17.25" customHeight="1" x14ac:dyDescent="0.25">
      <c r="B38" s="11" t="s">
        <v>48</v>
      </c>
      <c r="C38" s="53">
        <f>C37-C35</f>
        <v>226</v>
      </c>
      <c r="D38" s="53">
        <f>D37-D35</f>
        <v>0</v>
      </c>
      <c r="E38" s="56">
        <f>C38</f>
        <v>226</v>
      </c>
    </row>
    <row r="39" spans="2:5" ht="17.25" customHeight="1" x14ac:dyDescent="0.25">
      <c r="B39" s="23">
        <v>17</v>
      </c>
      <c r="C39" s="48">
        <v>294169</v>
      </c>
      <c r="D39" s="50">
        <v>54220</v>
      </c>
      <c r="E39" s="56"/>
    </row>
    <row r="40" spans="2:5" ht="17.25" customHeight="1" x14ac:dyDescent="0.25">
      <c r="B40" s="11" t="s">
        <v>48</v>
      </c>
      <c r="C40" s="53">
        <f>C39-C37</f>
        <v>257</v>
      </c>
      <c r="D40" s="53">
        <f>D39-D37</f>
        <v>0</v>
      </c>
      <c r="E40" s="56">
        <f>C40</f>
        <v>257</v>
      </c>
    </row>
    <row r="41" spans="2:5" ht="17.25" customHeight="1" x14ac:dyDescent="0.25">
      <c r="B41" s="23">
        <v>18</v>
      </c>
      <c r="C41" s="48">
        <v>294420</v>
      </c>
      <c r="D41" s="50">
        <v>54220</v>
      </c>
      <c r="E41" s="56"/>
    </row>
    <row r="42" spans="2:5" ht="17.25" customHeight="1" x14ac:dyDescent="0.25">
      <c r="B42" s="11" t="s">
        <v>48</v>
      </c>
      <c r="C42" s="53">
        <f>C41-C39</f>
        <v>251</v>
      </c>
      <c r="D42" s="53">
        <f>D41-D39</f>
        <v>0</v>
      </c>
      <c r="E42" s="56">
        <f>C42</f>
        <v>251</v>
      </c>
    </row>
    <row r="43" spans="2:5" ht="17.25" customHeight="1" x14ac:dyDescent="0.25">
      <c r="B43" s="23">
        <v>19</v>
      </c>
      <c r="C43" s="48">
        <v>294683</v>
      </c>
      <c r="D43" s="50">
        <v>54220</v>
      </c>
      <c r="E43" s="56"/>
    </row>
    <row r="44" spans="2:5" ht="17.25" customHeight="1" x14ac:dyDescent="0.25">
      <c r="B44" s="11" t="s">
        <v>48</v>
      </c>
      <c r="C44" s="53">
        <f>C43-C41</f>
        <v>263</v>
      </c>
      <c r="D44" s="53">
        <f>D43-D41</f>
        <v>0</v>
      </c>
      <c r="E44" s="56">
        <f>C44</f>
        <v>263</v>
      </c>
    </row>
    <row r="45" spans="2:5" ht="17.25" customHeight="1" x14ac:dyDescent="0.25">
      <c r="B45" s="23">
        <v>20</v>
      </c>
      <c r="C45" s="48">
        <v>294943</v>
      </c>
      <c r="D45" s="50">
        <v>54220</v>
      </c>
      <c r="E45" s="56"/>
    </row>
    <row r="46" spans="2:5" ht="17.25" customHeight="1" x14ac:dyDescent="0.25">
      <c r="B46" s="11" t="s">
        <v>48</v>
      </c>
      <c r="C46" s="53">
        <f>C45-C43</f>
        <v>260</v>
      </c>
      <c r="D46" s="53">
        <f>D45-D43</f>
        <v>0</v>
      </c>
      <c r="E46" s="56">
        <f>C46</f>
        <v>260</v>
      </c>
    </row>
    <row r="47" spans="2:5" ht="17.25" customHeight="1" x14ac:dyDescent="0.25">
      <c r="B47" s="23">
        <v>21</v>
      </c>
      <c r="C47" s="48"/>
      <c r="D47" s="50"/>
      <c r="E47" s="56"/>
    </row>
    <row r="48" spans="2:5" ht="17.25" customHeight="1" x14ac:dyDescent="0.2">
      <c r="B48" s="11" t="s">
        <v>48</v>
      </c>
      <c r="C48" s="53"/>
      <c r="D48" s="53"/>
      <c r="E48" s="53">
        <f t="shared" ref="D48:E48" si="0">E47-E45</f>
        <v>0</v>
      </c>
    </row>
    <row r="49" spans="2:5" ht="17.25" customHeight="1" x14ac:dyDescent="0.25">
      <c r="B49" s="23">
        <v>22</v>
      </c>
      <c r="C49" s="48"/>
      <c r="D49" s="50"/>
      <c r="E49" s="56"/>
    </row>
    <row r="50" spans="2:5" ht="17.25" customHeight="1" x14ac:dyDescent="0.25">
      <c r="B50" s="11" t="s">
        <v>48</v>
      </c>
      <c r="C50" s="53"/>
      <c r="D50" s="53"/>
      <c r="E50" s="56">
        <f>C50</f>
        <v>0</v>
      </c>
    </row>
    <row r="51" spans="2:5" ht="17.25" customHeight="1" x14ac:dyDescent="0.25">
      <c r="B51" s="23">
        <v>23</v>
      </c>
      <c r="C51" s="48"/>
      <c r="D51" s="50"/>
      <c r="E51" s="56"/>
    </row>
    <row r="52" spans="2:5" ht="17.25" customHeight="1" x14ac:dyDescent="0.25">
      <c r="B52" s="11" t="s">
        <v>48</v>
      </c>
      <c r="C52" s="53"/>
      <c r="D52" s="53"/>
      <c r="E52" s="56">
        <f>C52</f>
        <v>0</v>
      </c>
    </row>
    <row r="53" spans="2:5" ht="17.25" customHeight="1" x14ac:dyDescent="0.25">
      <c r="B53" s="23">
        <v>24</v>
      </c>
      <c r="C53" s="48"/>
      <c r="D53" s="50"/>
      <c r="E53" s="56"/>
    </row>
    <row r="54" spans="2:5" ht="17.25" customHeight="1" x14ac:dyDescent="0.25">
      <c r="B54" s="11" t="s">
        <v>48</v>
      </c>
      <c r="C54" s="53"/>
      <c r="D54" s="53"/>
      <c r="E54" s="56">
        <f>C54</f>
        <v>0</v>
      </c>
    </row>
    <row r="55" spans="2:5" ht="17.25" customHeight="1" x14ac:dyDescent="0.25">
      <c r="B55" s="23">
        <v>25</v>
      </c>
      <c r="C55" s="48"/>
      <c r="D55" s="50"/>
      <c r="E55" s="56"/>
    </row>
    <row r="56" spans="2:5" ht="17.25" customHeight="1" x14ac:dyDescent="0.25">
      <c r="B56" s="11" t="s">
        <v>48</v>
      </c>
      <c r="C56" s="53"/>
      <c r="D56" s="53"/>
      <c r="E56" s="56">
        <f>C56</f>
        <v>0</v>
      </c>
    </row>
    <row r="57" spans="2:5" ht="17.25" customHeight="1" x14ac:dyDescent="0.25">
      <c r="B57" s="23">
        <v>26</v>
      </c>
      <c r="C57" s="48"/>
      <c r="D57" s="50"/>
      <c r="E57" s="56"/>
    </row>
    <row r="58" spans="2:5" ht="17.25" customHeight="1" x14ac:dyDescent="0.25">
      <c r="B58" s="11" t="s">
        <v>48</v>
      </c>
      <c r="C58" s="53"/>
      <c r="D58" s="53"/>
      <c r="E58" s="56">
        <f>C58</f>
        <v>0</v>
      </c>
    </row>
    <row r="59" spans="2:5" ht="17.25" customHeight="1" x14ac:dyDescent="0.25">
      <c r="B59" s="23">
        <v>27</v>
      </c>
      <c r="C59" s="48"/>
      <c r="D59" s="50"/>
      <c r="E59" s="56"/>
    </row>
    <row r="60" spans="2:5" ht="17.25" customHeight="1" x14ac:dyDescent="0.25">
      <c r="B60" s="11" t="s">
        <v>48</v>
      </c>
      <c r="C60" s="53"/>
      <c r="D60" s="53"/>
      <c r="E60" s="56">
        <f>C60</f>
        <v>0</v>
      </c>
    </row>
    <row r="61" spans="2:5" ht="17.25" customHeight="1" x14ac:dyDescent="0.25">
      <c r="B61" s="23">
        <v>28</v>
      </c>
      <c r="C61" s="48"/>
      <c r="D61" s="50"/>
      <c r="E61" s="56"/>
    </row>
    <row r="62" spans="2:5" ht="17.25" customHeight="1" x14ac:dyDescent="0.25">
      <c r="B62" s="11" t="s">
        <v>48</v>
      </c>
      <c r="C62" s="53"/>
      <c r="D62" s="53"/>
      <c r="E62" s="56">
        <f>C62</f>
        <v>0</v>
      </c>
    </row>
    <row r="63" spans="2:5" ht="17.25" customHeight="1" x14ac:dyDescent="0.25">
      <c r="B63" s="23">
        <v>29</v>
      </c>
      <c r="C63" s="48"/>
      <c r="D63" s="50"/>
      <c r="E63" s="56"/>
    </row>
    <row r="64" spans="2:5" ht="17.25" customHeight="1" x14ac:dyDescent="0.25">
      <c r="B64" s="11" t="s">
        <v>48</v>
      </c>
      <c r="C64" s="53"/>
      <c r="D64" s="53"/>
      <c r="E64" s="56">
        <f>C64</f>
        <v>0</v>
      </c>
    </row>
    <row r="65" spans="2:5" ht="17.25" customHeight="1" x14ac:dyDescent="0.25">
      <c r="B65" s="23">
        <v>30</v>
      </c>
      <c r="C65" s="48"/>
      <c r="D65" s="50"/>
      <c r="E65" s="56"/>
    </row>
    <row r="66" spans="2:5" ht="17.25" customHeight="1" x14ac:dyDescent="0.25">
      <c r="B66" s="11" t="s">
        <v>48</v>
      </c>
      <c r="C66" s="53"/>
      <c r="D66" s="53"/>
      <c r="E66" s="56">
        <f>C66</f>
        <v>0</v>
      </c>
    </row>
    <row r="67" spans="2:5" ht="15.75" x14ac:dyDescent="0.25">
      <c r="B67" s="23">
        <v>31</v>
      </c>
      <c r="C67" s="48"/>
      <c r="D67" s="50"/>
      <c r="E67" s="56"/>
    </row>
    <row r="68" spans="2:5" ht="15.75" x14ac:dyDescent="0.25">
      <c r="B68" s="11" t="s">
        <v>48</v>
      </c>
      <c r="C68" s="53"/>
      <c r="D68" s="53"/>
      <c r="E68" s="56">
        <f>C68</f>
        <v>0</v>
      </c>
    </row>
    <row r="70" spans="2:5" ht="15.75" x14ac:dyDescent="0.25">
      <c r="C70"/>
      <c r="D70" s="50"/>
      <c r="E70" s="62"/>
    </row>
  </sheetData>
  <mergeCells count="4">
    <mergeCell ref="B5:B6"/>
    <mergeCell ref="E5:E6"/>
    <mergeCell ref="F3:H4"/>
    <mergeCell ref="D4:E4"/>
  </mergeCells>
  <printOptions horizontalCentered="1"/>
  <pageMargins left="0.2" right="0.2" top="0.25" bottom="0.25" header="0.05" footer="0.05"/>
  <pageSetup paperSize="9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FD7FD746B9FF4496486F15BE3F1FAE" ma:contentTypeVersion="14" ma:contentTypeDescription="Create a new document." ma:contentTypeScope="" ma:versionID="66814842742d5f4c0e7627bf300cda49">
  <xsd:schema xmlns:xsd="http://www.w3.org/2001/XMLSchema" xmlns:xs="http://www.w3.org/2001/XMLSchema" xmlns:p="http://schemas.microsoft.com/office/2006/metadata/properties" xmlns:ns2="4a585a97-453b-43f7-adce-c4bafe4f3563" xmlns:ns3="85f80d94-36c6-4cfa-b190-3af03c89e98e" targetNamespace="http://schemas.microsoft.com/office/2006/metadata/properties" ma:root="true" ma:fieldsID="de775bd876a02f03f6c2cbb5bfa092ca" ns2:_="" ns3:_="">
    <xsd:import namespace="4a585a97-453b-43f7-adce-c4bafe4f3563"/>
    <xsd:import namespace="85f80d94-36c6-4cfa-b190-3af03c89e98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585a97-453b-43f7-adce-c4bafe4f35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f80d94-36c6-4cfa-b190-3af03c89e98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8632d14c-bf58-40c7-bbf3-21260975f9c2}" ma:internalName="TaxCatchAll" ma:showField="CatchAllData" ma:web="85f80d94-36c6-4cfa-b190-3af03c89e98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EA72F3-606C-413D-8C0B-F10D2B761CE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AB38FD4-93DA-432A-A273-05FAC50E54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a585a97-453b-43f7-adce-c4bafe4f3563"/>
    <ds:schemaRef ds:uri="85f80d94-36c6-4cfa-b190-3af03c89e9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</vt:lpstr>
      <vt:lpstr>Submetering </vt:lpstr>
      <vt:lpstr>13 - Electrical Readings</vt:lpstr>
      <vt:lpstr>9 - Water Readings</vt:lpstr>
      <vt:lpstr>LPG</vt:lpstr>
    </vt:vector>
  </TitlesOfParts>
  <Manager/>
  <Company>Hewlett-Packard Company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</dc:creator>
  <cp:keywords/>
  <dc:description/>
  <cp:lastModifiedBy>John George</cp:lastModifiedBy>
  <cp:revision/>
  <dcterms:created xsi:type="dcterms:W3CDTF">2017-05-16T16:59:37Z</dcterms:created>
  <dcterms:modified xsi:type="dcterms:W3CDTF">2022-10-23T08:03:49Z</dcterms:modified>
  <cp:category/>
  <cp:contentStatus/>
</cp:coreProperties>
</file>