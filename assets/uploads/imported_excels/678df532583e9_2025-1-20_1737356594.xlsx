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8616154-F4A2-44DC-8CFB-2235FD92AC96}" xr6:coauthVersionLast="47" xr6:coauthVersionMax="47" xr10:uidLastSave="{00000000-0000-0000-0000-000000000000}"/>
  <bookViews>
    <workbookView xWindow="8170" yWindow="43" windowWidth="20530" windowHeight="10793" tabRatio="338" activeTab="1" xr2:uid="{00000000-000D-0000-FFFF-FFFF00000000}"/>
  </bookViews>
  <sheets>
    <sheet name="Total" sheetId="3" r:id="rId1"/>
    <sheet name="Jan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2" l="1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32" i="3" l="1"/>
  <c r="U31" i="2"/>
  <c r="U30" i="2"/>
  <c r="C32" i="2"/>
  <c r="C31" i="2"/>
  <c r="AB31" i="2"/>
  <c r="Y31" i="2"/>
  <c r="W31" i="2"/>
  <c r="K31" i="2"/>
  <c r="G31" i="2"/>
  <c r="E31" i="2"/>
  <c r="H31" i="2" l="1"/>
  <c r="I31" i="2" s="1"/>
  <c r="Y13" i="2"/>
  <c r="Y12" i="2"/>
  <c r="O32" i="3"/>
  <c r="P32" i="3"/>
  <c r="M32" i="3"/>
  <c r="K32" i="3"/>
  <c r="I32" i="3"/>
  <c r="G32" i="3"/>
  <c r="E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2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<sst xmlns="http://schemas.openxmlformats.org/spreadsheetml/2006/main" count="77" uniqueCount="40">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</sst>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F32" sqref="F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3"/>
    <col min="4" max="4" width="13.5" style="5" customWidth="1"/>
    <col min="5" max="5" width="12.5" style="97" customWidth="1"/>
    <col min="6" max="6" width="13.75" style="112" customWidth="1"/>
    <col min="7" max="7" width="8.875" style="98"/>
    <col min="8" max="8" width="8.875" style="115"/>
    <col min="9" max="10" width="8.875" style="104"/>
    <col min="11" max="11" width="8.875" style="99"/>
    <col min="12" max="12" width="8.875" style="118"/>
    <col min="13" max="13" width="12.375" style="109" bestFit="1" customWidth="1"/>
    <col min="14" max="14" width="12.375" style="121" bestFit="1" customWidth="1"/>
    <col min="15" max="15" width="8.875" style="105"/>
    <col min="16" max="16" width="11.5" style="105" customWidth="1"/>
    <col min="17" max="16384" width="8.875" style="5"/>
  </cols>
  <sheetData>
    <row r="1" spans="1:16" ht="57.75" thickBot="1" x14ac:dyDescent="0.25">
      <c r="A1" s="90" t="s">
        <v>24</v>
      </c>
      <c r="B1" s="90" t="s">
        <v>25</v>
      </c>
      <c r="C1" s="122" t="s">
        <v>26</v>
      </c>
      <c r="D1" s="90" t="s">
        <v>27</v>
      </c>
      <c r="E1" s="91" t="s">
        <v>28</v>
      </c>
      <c r="F1" s="110" t="s">
        <v>29</v>
      </c>
      <c r="G1" s="92" t="s">
        <v>30</v>
      </c>
      <c r="H1" s="113" t="s">
        <v>31</v>
      </c>
      <c r="I1" s="93" t="s">
        <v>32</v>
      </c>
      <c r="J1" s="93" t="s">
        <v>33</v>
      </c>
      <c r="K1" s="106" t="s">
        <v>38</v>
      </c>
      <c r="L1" s="116" t="s">
        <v>39</v>
      </c>
      <c r="M1" s="94" t="s">
        <v>34</v>
      </c>
      <c r="N1" s="119" t="s">
        <v>35</v>
      </c>
      <c r="O1" s="95" t="s">
        <v>0</v>
      </c>
      <c r="P1" s="95" t="s">
        <v>36</v>
      </c>
    </row>
    <row r="2" spans="1:16" ht="15" thickTop="1" x14ac:dyDescent="0.25">
      <c r="A2" s="96" t="s">
        <v>37</v>
      </c>
      <c r="B2" s="5">
        <v>1</v>
      </c>
      <c r="C2" s="123">
        <v>1</v>
      </c>
      <c r="D2" s="4">
        <v>2024</v>
      </c>
      <c r="E2" s="97">
        <f>IF('January 2025'!C2&lt;0,"0",'January 2025'!C2)+(IF('January 2025'!E2&lt;0,"0",'January 2025'!E2)-(IF('January 2025'!G2&lt;0,"0",'January 2025'!G2)))</f>
        <v>5289</v>
      </c>
      <c r="F2" s="111">
        <f>('January 2025'!C2*0.27)/('January 2025'!C2+'January 2025'!E2)</f>
        <v>0.25943278502552469</v>
      </c>
      <c r="G2" s="98">
        <f>'January 2025'!U2</f>
        <v>110</v>
      </c>
      <c r="H2" s="114">
        <v>0.62</v>
      </c>
      <c r="I2" s="99">
        <f>'January 2025'!W2</f>
        <v>151</v>
      </c>
      <c r="J2" s="100">
        <v>2.42</v>
      </c>
      <c r="K2" s="107">
        <f>'January 2025'!AB2*5.04</f>
        <v>0</v>
      </c>
      <c r="L2" s="117">
        <v>0.11509999999999999</v>
      </c>
      <c r="M2" s="108">
        <f>'January 2025'!M2</f>
        <v>0</v>
      </c>
      <c r="N2" s="120">
        <v>0.88</v>
      </c>
      <c r="O2" s="101">
        <f>'January 2025'!AC2</f>
        <v>160</v>
      </c>
      <c r="P2" s="101">
        <f>'January 2025'!AD2</f>
        <v>336</v>
      </c>
    </row>
    <row r="3" spans="1:16" ht="14.3" x14ac:dyDescent="0.25">
      <c r="A3" s="96" t="s">
        <v>37</v>
      </c>
      <c r="B3" s="5">
        <f>B2+1</f>
        <v>2</v>
      </c>
      <c r="C3" s="123">
        <v>1</v>
      </c>
      <c r="D3" s="4">
        <v>2024</v>
      </c>
      <c r="E3" s="97">
        <f>IF('January 2025'!C3&lt;0,"0",'January 2025'!C3)+(IF('January 2025'!E3&lt;0,"0",'January 2025'!E3)-(IF('January 2025'!G3&lt;0,"0",'January 2025'!G3)))</f>
        <v>4779</v>
      </c>
      <c r="F3" s="111">
        <f>('January 2025'!C3*0.27)/('January 2025'!C3+'January 2025'!E3)</f>
        <v>0.23045197740112996</v>
      </c>
      <c r="G3" s="98">
        <f>'January 2025'!U3</f>
        <v>25</v>
      </c>
      <c r="H3" s="114">
        <v>0.62</v>
      </c>
      <c r="I3" s="99">
        <f>'January 2025'!W3</f>
        <v>82</v>
      </c>
      <c r="J3" s="100">
        <v>2.42</v>
      </c>
      <c r="K3" s="107">
        <f>'January 2025'!AB3*5.04</f>
        <v>0</v>
      </c>
      <c r="L3" s="117">
        <v>0.11509999999999999</v>
      </c>
      <c r="M3" s="108">
        <f>'January 2025'!M3</f>
        <v>0</v>
      </c>
      <c r="N3" s="120">
        <v>0.88</v>
      </c>
      <c r="O3" s="101">
        <f>'January 2025'!AC3</f>
        <v>121</v>
      </c>
      <c r="P3" s="101">
        <f>'January 2025'!AD3</f>
        <v>244</v>
      </c>
    </row>
    <row r="4" spans="1:16" ht="14.3" x14ac:dyDescent="0.25">
      <c r="A4" s="96" t="s">
        <v>37</v>
      </c>
      <c r="B4" s="5">
        <f t="shared" ref="B4:B31" si="0">B3+1</f>
        <v>3</v>
      </c>
      <c r="C4" s="123">
        <v>1</v>
      </c>
      <c r="D4" s="4">
        <v>2024</v>
      </c>
      <c r="E4" s="97">
        <f>IF('January 2025'!C4&lt;0,"0",'January 2025'!C4)+(IF('January 2025'!E4&lt;0,"0",'January 2025'!E4)-(IF('January 2025'!G4&lt;0,"0",'January 2025'!G4)))</f>
        <v>4768</v>
      </c>
      <c r="F4" s="111">
        <f>('January 2025'!C4*0.27)/('January 2025'!C4+'January 2025'!E4)</f>
        <v>0.23132340604026846</v>
      </c>
      <c r="G4" s="98">
        <f>'January 2025'!U4</f>
        <v>125</v>
      </c>
      <c r="H4" s="114">
        <v>0.62</v>
      </c>
      <c r="I4" s="99">
        <f>'January 2025'!W4</f>
        <v>88</v>
      </c>
      <c r="J4" s="100">
        <v>2.42</v>
      </c>
      <c r="K4" s="107">
        <f>'January 2025'!AB4*5.04</f>
        <v>0</v>
      </c>
      <c r="L4" s="117">
        <v>0.11509999999999999</v>
      </c>
      <c r="M4" s="108">
        <f>'January 2025'!M4</f>
        <v>8000</v>
      </c>
      <c r="N4" s="120">
        <v>0.88</v>
      </c>
      <c r="O4" s="101">
        <f>'January 2025'!AC4</f>
        <v>107</v>
      </c>
      <c r="P4" s="101">
        <f>'January 2025'!AD4</f>
        <v>211</v>
      </c>
    </row>
    <row r="5" spans="1:16" ht="14.3" x14ac:dyDescent="0.25">
      <c r="A5" s="96" t="s">
        <v>37</v>
      </c>
      <c r="B5" s="5">
        <f t="shared" si="0"/>
        <v>4</v>
      </c>
      <c r="C5" s="123">
        <v>1</v>
      </c>
      <c r="D5" s="4">
        <v>2024</v>
      </c>
      <c r="E5" s="97">
        <f>IF('January 2025'!C5&lt;0,"0",'January 2025'!C5)+(IF('January 2025'!E5&lt;0,"0",'January 2025'!E5)-(IF('January 2025'!G5&lt;0,"0",'January 2025'!G5)))</f>
        <v>4935</v>
      </c>
      <c r="F5" s="111">
        <f>('January 2025'!C5*0.27)/('January 2025'!C5+'January 2025'!E5)</f>
        <v>0.24806079027355624</v>
      </c>
      <c r="G5" s="98">
        <f>'January 2025'!U5</f>
        <v>50</v>
      </c>
      <c r="H5" s="114">
        <v>0.62</v>
      </c>
      <c r="I5" s="99">
        <f>'January 2025'!W5</f>
        <v>85</v>
      </c>
      <c r="J5" s="100">
        <v>2.42</v>
      </c>
      <c r="K5" s="107">
        <f>'January 2025'!AB5*5.04</f>
        <v>0</v>
      </c>
      <c r="L5" s="117">
        <v>0.11509999999999999</v>
      </c>
      <c r="M5" s="108">
        <f>'January 2025'!M5</f>
        <v>0</v>
      </c>
      <c r="N5" s="120">
        <v>0.88</v>
      </c>
      <c r="O5" s="101">
        <f>'January 2025'!AC5</f>
        <v>84</v>
      </c>
      <c r="P5" s="101">
        <f>'January 2025'!AD5</f>
        <v>166</v>
      </c>
    </row>
    <row r="6" spans="1:16" ht="14.3" x14ac:dyDescent="0.25">
      <c r="A6" s="96" t="s">
        <v>37</v>
      </c>
      <c r="B6" s="5">
        <f t="shared" si="0"/>
        <v>5</v>
      </c>
      <c r="C6" s="123">
        <v>1</v>
      </c>
      <c r="D6" s="4">
        <v>2024</v>
      </c>
      <c r="E6" s="97">
        <f>IF('January 2025'!C6&lt;0,"0",'January 2025'!C6)+(IF('January 2025'!E6&lt;0,"0",'January 2025'!E6)-(IF('January 2025'!G6&lt;0,"0",'January 2025'!G6)))</f>
        <v>4005</v>
      </c>
      <c r="F6" s="111">
        <f>('January 2025'!C6*0.27)/('January 2025'!C6+'January 2025'!E6)</f>
        <v>0.25968539325842693</v>
      </c>
      <c r="G6" s="98">
        <f>'January 2025'!U6</f>
        <v>75</v>
      </c>
      <c r="H6" s="114">
        <v>0.62</v>
      </c>
      <c r="I6" s="99">
        <f>'January 2025'!W6</f>
        <v>53</v>
      </c>
      <c r="J6" s="100">
        <v>2.42</v>
      </c>
      <c r="K6" s="107">
        <f>'January 2025'!AB6*5.04</f>
        <v>0</v>
      </c>
      <c r="L6" s="117">
        <v>0.11509999999999999</v>
      </c>
      <c r="M6" s="108">
        <f>'January 2025'!M6</f>
        <v>0</v>
      </c>
      <c r="N6" s="120">
        <v>0.88</v>
      </c>
      <c r="O6" s="101">
        <f>'January 2025'!AC6</f>
        <v>73</v>
      </c>
      <c r="P6" s="101">
        <f>'January 2025'!AD6</f>
        <v>140</v>
      </c>
    </row>
    <row r="7" spans="1:16" ht="14.3" x14ac:dyDescent="0.25">
      <c r="A7" s="96" t="s">
        <v>37</v>
      </c>
      <c r="B7" s="5">
        <f t="shared" si="0"/>
        <v>6</v>
      </c>
      <c r="C7" s="123">
        <v>1</v>
      </c>
      <c r="D7" s="4">
        <v>2024</v>
      </c>
      <c r="E7" s="97">
        <f>IF('January 2025'!C7&lt;0,"0",'January 2025'!C7)+(IF('January 2025'!E7&lt;0,"0",'January 2025'!E7)-(IF('January 2025'!G7&lt;0,"0",'January 2025'!G7)))</f>
        <v>4066</v>
      </c>
      <c r="F7" s="111">
        <f>('January 2025'!C7*0.27)/('January 2025'!C7+'January 2025'!E7)</f>
        <v>0.2241146089522873</v>
      </c>
      <c r="G7" s="98">
        <f>'January 2025'!U7</f>
        <v>25</v>
      </c>
      <c r="H7" s="114">
        <v>0.62</v>
      </c>
      <c r="I7" s="99">
        <f>'January 2025'!W7</f>
        <v>78</v>
      </c>
      <c r="J7" s="100">
        <v>2.42</v>
      </c>
      <c r="K7" s="107">
        <f>'January 2025'!AB7*5.04</f>
        <v>0</v>
      </c>
      <c r="L7" s="117">
        <v>0.11509999999999999</v>
      </c>
      <c r="M7" s="108">
        <f>'January 2025'!M7</f>
        <v>0</v>
      </c>
      <c r="N7" s="120">
        <v>0.88</v>
      </c>
      <c r="O7" s="101">
        <f>'January 2025'!AC7</f>
        <v>67</v>
      </c>
      <c r="P7" s="101">
        <f>'January 2025'!AD7</f>
        <v>112</v>
      </c>
    </row>
    <row r="8" spans="1:16" ht="14.3" x14ac:dyDescent="0.25">
      <c r="A8" s="96" t="s">
        <v>37</v>
      </c>
      <c r="B8" s="5">
        <f t="shared" si="0"/>
        <v>7</v>
      </c>
      <c r="C8" s="123">
        <v>1</v>
      </c>
      <c r="D8" s="4">
        <v>2024</v>
      </c>
      <c r="E8" s="97">
        <f>IF('January 2025'!C8&lt;0,"0",'January 2025'!C8)+(IF('January 2025'!E8&lt;0,"0",'January 2025'!E8)-(IF('January 2025'!G8&lt;0,"0",'January 2025'!G8)))</f>
        <v>3390</v>
      </c>
      <c r="F8" s="111">
        <f>('January 2025'!C8*0.27)/('January 2025'!C8+'January 2025'!E8)</f>
        <v>0.23901769911504428</v>
      </c>
      <c r="G8" s="98">
        <f>'January 2025'!U8</f>
        <v>125</v>
      </c>
      <c r="H8" s="114">
        <v>0.62</v>
      </c>
      <c r="I8" s="99">
        <f>'January 2025'!W8</f>
        <v>41</v>
      </c>
      <c r="J8" s="100">
        <v>2.42</v>
      </c>
      <c r="K8" s="107">
        <f>'January 2025'!AB8*5.04</f>
        <v>3830.4</v>
      </c>
      <c r="L8" s="117">
        <v>0.11509999999999999</v>
      </c>
      <c r="M8" s="108">
        <f>'January 2025'!M8</f>
        <v>0</v>
      </c>
      <c r="N8" s="120">
        <v>0.88</v>
      </c>
      <c r="O8" s="101">
        <f>'January 2025'!AC8</f>
        <v>55</v>
      </c>
      <c r="P8" s="101">
        <f>'January 2025'!AD8</f>
        <v>93</v>
      </c>
    </row>
    <row r="9" spans="1:16" ht="14.3" x14ac:dyDescent="0.25">
      <c r="A9" s="96" t="s">
        <v>37</v>
      </c>
      <c r="B9" s="5">
        <f t="shared" si="0"/>
        <v>8</v>
      </c>
      <c r="C9" s="123">
        <v>1</v>
      </c>
      <c r="D9" s="4">
        <v>2024</v>
      </c>
      <c r="E9" s="97">
        <f>IF('January 2025'!C9&lt;0,"0",'January 2025'!C9)+(IF('January 2025'!E9&lt;0,"0",'January 2025'!E9)-(IF('January 2025'!G9&lt;0,"0",'January 2025'!G9)))</f>
        <v>4393</v>
      </c>
      <c r="F9" s="111">
        <f>('January 2025'!C9*0.27)/('January 2025'!C9+'January 2025'!E9)</f>
        <v>0.21388572729342137</v>
      </c>
      <c r="G9" s="98">
        <f>'January 2025'!U9</f>
        <v>0</v>
      </c>
      <c r="H9" s="114">
        <v>0.62</v>
      </c>
      <c r="I9" s="99">
        <f>'January 2025'!W9</f>
        <v>68</v>
      </c>
      <c r="J9" s="100">
        <v>2.42</v>
      </c>
      <c r="K9" s="107">
        <f>'January 2025'!AB9*5.04</f>
        <v>6300</v>
      </c>
      <c r="L9" s="117">
        <v>0.11509999999999999</v>
      </c>
      <c r="M9" s="108">
        <f>'January 2025'!M9</f>
        <v>0</v>
      </c>
      <c r="N9" s="120">
        <v>0.88</v>
      </c>
      <c r="O9" s="101">
        <f>'January 2025'!AC9</f>
        <v>74</v>
      </c>
      <c r="P9" s="101">
        <f>'January 2025'!AD9</f>
        <v>122</v>
      </c>
    </row>
    <row r="10" spans="1:16" ht="14.3" x14ac:dyDescent="0.25">
      <c r="A10" s="96" t="s">
        <v>37</v>
      </c>
      <c r="B10" s="5">
        <f t="shared" si="0"/>
        <v>9</v>
      </c>
      <c r="C10" s="123">
        <v>1</v>
      </c>
      <c r="D10" s="4">
        <v>2024</v>
      </c>
      <c r="E10" s="97">
        <f>IF('January 2025'!C10&lt;0,"0",'January 2025'!C10)+(IF('January 2025'!E10&lt;0,"0",'January 2025'!E10)-(IF('January 2025'!G10&lt;0,"0",'January 2025'!G10)))</f>
        <v>4352</v>
      </c>
      <c r="F10" s="111">
        <f>('January 2025'!C10*0.27)/('January 2025'!C10+'January 2025'!E10)</f>
        <v>0.22706801470588237</v>
      </c>
      <c r="G10" s="98">
        <f>'January 2025'!U10</f>
        <v>0</v>
      </c>
      <c r="H10" s="114">
        <v>0.62</v>
      </c>
      <c r="I10" s="99">
        <f>'January 2025'!W10</f>
        <v>56</v>
      </c>
      <c r="J10" s="100">
        <v>2.42</v>
      </c>
      <c r="K10" s="107">
        <f>'January 2025'!AB10*5.04</f>
        <v>5191.2</v>
      </c>
      <c r="L10" s="117">
        <v>0.11509999999999999</v>
      </c>
      <c r="M10" s="108">
        <f>'January 2025'!M10</f>
        <v>0</v>
      </c>
      <c r="N10" s="120">
        <v>0.88</v>
      </c>
      <c r="O10" s="101">
        <f>'January 2025'!AC10</f>
        <v>66</v>
      </c>
      <c r="P10" s="101">
        <f>'January 2025'!AD10</f>
        <v>115</v>
      </c>
    </row>
    <row r="11" spans="1:16" ht="14.3" x14ac:dyDescent="0.25">
      <c r="A11" s="96" t="s">
        <v>37</v>
      </c>
      <c r="B11" s="5">
        <f t="shared" si="0"/>
        <v>10</v>
      </c>
      <c r="C11" s="123">
        <v>1</v>
      </c>
      <c r="D11" s="4">
        <v>2024</v>
      </c>
      <c r="E11" s="97">
        <f>IF('January 2025'!C11&lt;0,"0",'January 2025'!C11)+(IF('January 2025'!E11&lt;0,"0",'January 2025'!E11)-(IF('January 2025'!G11&lt;0,"0",'January 2025'!G11)))</f>
        <v>4613</v>
      </c>
      <c r="F11" s="111">
        <f>('January 2025'!C11*0.27)/('January 2025'!C11+'January 2025'!E11)</f>
        <v>0.23019943637546067</v>
      </c>
      <c r="G11" s="98">
        <f>'January 2025'!U11</f>
        <v>100</v>
      </c>
      <c r="H11" s="114">
        <v>0.62</v>
      </c>
      <c r="I11" s="99">
        <f>'January 2025'!W11</f>
        <v>69</v>
      </c>
      <c r="J11" s="100">
        <v>2.42</v>
      </c>
      <c r="K11" s="107">
        <f>'January 2025'!AB11*5.04</f>
        <v>6350.4</v>
      </c>
      <c r="L11" s="117">
        <v>0.11509999999999999</v>
      </c>
      <c r="M11" s="108">
        <f>'January 2025'!M11</f>
        <v>0</v>
      </c>
      <c r="N11" s="120">
        <v>0.88</v>
      </c>
      <c r="O11" s="101">
        <f>'January 2025'!AC11</f>
        <v>116</v>
      </c>
      <c r="P11" s="101">
        <f>'January 2025'!AD11</f>
        <v>203</v>
      </c>
    </row>
    <row r="12" spans="1:16" ht="14.3" x14ac:dyDescent="0.25">
      <c r="A12" s="96" t="s">
        <v>37</v>
      </c>
      <c r="B12" s="5">
        <f t="shared" si="0"/>
        <v>11</v>
      </c>
      <c r="C12" s="123">
        <v>1</v>
      </c>
      <c r="D12" s="4">
        <v>2024</v>
      </c>
      <c r="E12" s="97">
        <f>IF('January 2025'!C12&lt;0,"0",'January 2025'!C12)+(IF('January 2025'!E12&lt;0,"0",'January 2025'!E12)-(IF('January 2025'!G12&lt;0,"0",'January 2025'!G12)))</f>
        <v>4387</v>
      </c>
      <c r="F12" s="111">
        <f>('January 2025'!C12*0.27)/('January 2025'!C12+'January 2025'!E12)</f>
        <v>0.22827216776840667</v>
      </c>
      <c r="G12" s="98">
        <f>'January 2025'!U12</f>
        <v>125</v>
      </c>
      <c r="H12" s="114">
        <v>0.62</v>
      </c>
      <c r="I12" s="99">
        <f>'January 2025'!W12</f>
        <v>77</v>
      </c>
      <c r="J12" s="100">
        <v>2.42</v>
      </c>
      <c r="K12" s="107">
        <f>'January 2025'!AB12*5.04</f>
        <v>6098.4</v>
      </c>
      <c r="L12" s="117">
        <v>0.11509999999999999</v>
      </c>
      <c r="M12" s="108">
        <f>'January 2025'!M12</f>
        <v>0</v>
      </c>
      <c r="N12" s="120">
        <v>0.88</v>
      </c>
      <c r="O12" s="101">
        <f>'January 2025'!AC12</f>
        <v>93</v>
      </c>
      <c r="P12" s="101">
        <f>'January 2025'!AD12</f>
        <v>170</v>
      </c>
    </row>
    <row r="13" spans="1:16" ht="14.3" x14ac:dyDescent="0.25">
      <c r="A13" s="96" t="s">
        <v>37</v>
      </c>
      <c r="B13" s="5">
        <f t="shared" si="0"/>
        <v>12</v>
      </c>
      <c r="C13" s="123">
        <v>1</v>
      </c>
      <c r="D13" s="4">
        <v>2024</v>
      </c>
      <c r="E13" s="97">
        <f>IF('January 2025'!C13&lt;0,"0",'January 2025'!C13)+(IF('January 2025'!E13&lt;0,"0",'January 2025'!E13)-(IF('January 2025'!G13&lt;0,"0",'January 2025'!G13)))</f>
        <v>4075</v>
      </c>
      <c r="F13" s="111">
        <f>('January 2025'!C13*0.27)/('January 2025'!C13+'January 2025'!E13)</f>
        <v>0.23673865030674848</v>
      </c>
      <c r="G13" s="98">
        <f>'January 2025'!U13</f>
        <v>0</v>
      </c>
      <c r="H13" s="114">
        <v>0.62</v>
      </c>
      <c r="I13" s="99">
        <f>'January 2025'!W13</f>
        <v>72</v>
      </c>
      <c r="J13" s="100">
        <v>2.42</v>
      </c>
      <c r="K13" s="107">
        <f>'January 2025'!AB13*5.04</f>
        <v>5720.4</v>
      </c>
      <c r="L13" s="117">
        <v>0.11509999999999999</v>
      </c>
      <c r="M13" s="108">
        <f>'January 2025'!M13</f>
        <v>0</v>
      </c>
      <c r="N13" s="120">
        <v>0.88</v>
      </c>
      <c r="O13" s="101">
        <f>'January 2025'!AC13</f>
        <v>72</v>
      </c>
      <c r="P13" s="101">
        <f>'January 2025'!AD13</f>
        <v>120</v>
      </c>
    </row>
    <row r="14" spans="1:16" ht="14.3" x14ac:dyDescent="0.25">
      <c r="A14" s="96" t="s">
        <v>37</v>
      </c>
      <c r="B14" s="5">
        <f t="shared" si="0"/>
        <v>13</v>
      </c>
      <c r="C14" s="123">
        <v>1</v>
      </c>
      <c r="D14" s="4">
        <v>2024</v>
      </c>
      <c r="E14" s="97">
        <f>IF('January 2025'!C14&lt;0,"0",'January 2025'!C14)+(IF('January 2025'!E14&lt;0,"0",'January 2025'!E14)-(IF('January 2025'!G14&lt;0,"0",'January 2025'!G14)))</f>
        <v>4272</v>
      </c>
      <c r="F14" s="111">
        <f>('January 2025'!C14*0.27)/('January 2025'!C14+'January 2025'!E14)</f>
        <v>0.22341994382022473</v>
      </c>
      <c r="G14" s="98">
        <f>'January 2025'!U14</f>
        <v>177</v>
      </c>
      <c r="H14" s="114">
        <v>0.62</v>
      </c>
      <c r="I14" s="99">
        <f>'January 2025'!W14</f>
        <v>60</v>
      </c>
      <c r="J14" s="100">
        <v>2.42</v>
      </c>
      <c r="K14" s="107">
        <f>'January 2025'!AB14*5.04</f>
        <v>6123.6</v>
      </c>
      <c r="L14" s="117">
        <v>0.11509999999999999</v>
      </c>
      <c r="M14" s="108">
        <f>'January 2025'!M14</f>
        <v>0</v>
      </c>
      <c r="N14" s="120">
        <v>0.88</v>
      </c>
      <c r="O14" s="101">
        <f>'January 2025'!AC14</f>
        <v>77</v>
      </c>
      <c r="P14" s="101">
        <f>'January 2025'!AD14</f>
        <v>120</v>
      </c>
    </row>
    <row r="15" spans="1:16" ht="14.3" x14ac:dyDescent="0.25">
      <c r="A15" s="96" t="s">
        <v>37</v>
      </c>
      <c r="B15" s="5">
        <f t="shared" si="0"/>
        <v>14</v>
      </c>
      <c r="C15" s="123">
        <v>1</v>
      </c>
      <c r="D15" s="4">
        <v>2024</v>
      </c>
      <c r="E15" s="97">
        <f>IF('January 2025'!C15&lt;0,"0",'January 2025'!C15)+(IF('January 2025'!E15&lt;0,"0",'January 2025'!E15)-(IF('January 2025'!G15&lt;0,"0",'January 2025'!G15)))</f>
        <v>3862</v>
      </c>
      <c r="F15" s="111">
        <f>('January 2025'!C15*0.27)/('January 2025'!C15+'January 2025'!E15)</f>
        <v>0.21924391506991198</v>
      </c>
      <c r="G15" s="98">
        <f>'January 2025'!U15</f>
        <v>25</v>
      </c>
      <c r="H15" s="114">
        <v>0.62</v>
      </c>
      <c r="I15" s="99">
        <f>'January 2025'!W15</f>
        <v>54</v>
      </c>
      <c r="J15" s="100">
        <v>2.42</v>
      </c>
      <c r="K15" s="107">
        <f>'January 2025'!AB15*5.04</f>
        <v>5392.8</v>
      </c>
      <c r="L15" s="117">
        <v>0.11509999999999999</v>
      </c>
      <c r="M15" s="108">
        <f>'January 2025'!M15</f>
        <v>0</v>
      </c>
      <c r="N15" s="120">
        <v>0.88</v>
      </c>
      <c r="O15" s="101">
        <f>'January 2025'!AC15</f>
        <v>64</v>
      </c>
      <c r="P15" s="101">
        <f>'January 2025'!AD15</f>
        <v>101</v>
      </c>
    </row>
    <row r="16" spans="1:16" ht="14.3" x14ac:dyDescent="0.25">
      <c r="A16" s="96" t="s">
        <v>37</v>
      </c>
      <c r="B16" s="5">
        <f t="shared" si="0"/>
        <v>15</v>
      </c>
      <c r="C16" s="123">
        <v>1</v>
      </c>
      <c r="D16" s="4">
        <v>2024</v>
      </c>
      <c r="E16" s="97">
        <f>IF('January 2025'!C16&lt;0,"0",'January 2025'!C16)+(IF('January 2025'!E16&lt;0,"0",'January 2025'!E16)-(IF('January 2025'!G16&lt;0,"0",'January 2025'!G16)))</f>
        <v>4403</v>
      </c>
      <c r="F16" s="111">
        <f>('January 2025'!C16*0.27)/('January 2025'!C16+'January 2025'!E16)</f>
        <v>0.2260322507381331</v>
      </c>
      <c r="G16" s="98">
        <f>'January 2025'!U16</f>
        <v>100</v>
      </c>
      <c r="H16" s="114">
        <v>0.62</v>
      </c>
      <c r="I16" s="99">
        <f>'January 2025'!W16</f>
        <v>59</v>
      </c>
      <c r="J16" s="100">
        <v>2.42</v>
      </c>
      <c r="K16" s="107">
        <f>'January 2025'!AB16*5.04</f>
        <v>5241.6000000000004</v>
      </c>
      <c r="L16" s="117">
        <v>0.11509999999999999</v>
      </c>
      <c r="M16" s="108">
        <f>'January 2025'!M16</f>
        <v>0</v>
      </c>
      <c r="N16" s="120">
        <v>0.88</v>
      </c>
      <c r="O16" s="101">
        <f>'January 2025'!AC16</f>
        <v>62</v>
      </c>
      <c r="P16" s="101">
        <f>'January 2025'!AD16</f>
        <v>97</v>
      </c>
    </row>
    <row r="17" spans="1:16" ht="14.3" x14ac:dyDescent="0.25">
      <c r="A17" s="96" t="s">
        <v>37</v>
      </c>
      <c r="B17" s="5">
        <f t="shared" si="0"/>
        <v>16</v>
      </c>
      <c r="C17" s="123">
        <v>1</v>
      </c>
      <c r="D17" s="4">
        <v>2024</v>
      </c>
      <c r="E17" s="97">
        <f>IF('January 2025'!C17&lt;0,"0",'January 2025'!C17)+(IF('January 2025'!E17&lt;0,"0",'January 2025'!E17)-(IF('January 2025'!G17&lt;0,"0",'January 2025'!G17)))</f>
        <v>4543</v>
      </c>
      <c r="F17" s="111">
        <f>('January 2025'!C17*0.27)/('January 2025'!C17+'January 2025'!E17)</f>
        <v>0.22530706581554041</v>
      </c>
      <c r="G17" s="98">
        <f>'January 2025'!U17</f>
        <v>100</v>
      </c>
      <c r="H17" s="114">
        <v>0.62</v>
      </c>
      <c r="I17" s="99">
        <f>'January 2025'!W17</f>
        <v>72</v>
      </c>
      <c r="J17" s="100">
        <v>2.42</v>
      </c>
      <c r="K17" s="107">
        <f>'January 2025'!AB17*5.04</f>
        <v>5796</v>
      </c>
      <c r="L17" s="117">
        <v>0.11509999999999999</v>
      </c>
      <c r="M17" s="108">
        <f>'January 2025'!M17</f>
        <v>0</v>
      </c>
      <c r="N17" s="120">
        <v>0.88</v>
      </c>
      <c r="O17" s="101">
        <f>'January 2025'!AC17</f>
        <v>88</v>
      </c>
      <c r="P17" s="101">
        <f>'January 2025'!AD17</f>
        <v>139</v>
      </c>
    </row>
    <row r="18" spans="1:16" ht="14.3" x14ac:dyDescent="0.25">
      <c r="A18" s="96" t="s">
        <v>37</v>
      </c>
      <c r="B18" s="5">
        <f t="shared" si="0"/>
        <v>17</v>
      </c>
      <c r="C18" s="123">
        <v>1</v>
      </c>
      <c r="D18" s="4">
        <v>2024</v>
      </c>
      <c r="E18" s="97">
        <f>IF('January 2025'!C18&lt;0,"0",'January 2025'!C18)+(IF('January 2025'!E18&lt;0,"0",'January 2025'!E18)-(IF('January 2025'!G18&lt;0,"0",'January 2025'!G18)))</f>
        <v>4822</v>
      </c>
      <c r="F18" s="111">
        <f>('January 2025'!C18*0.27)/('January 2025'!C18+'January 2025'!E18)</f>
        <v>0.22710908336789717</v>
      </c>
      <c r="G18" s="98">
        <f>'January 2025'!U18</f>
        <v>50</v>
      </c>
      <c r="H18" s="114">
        <v>0.62</v>
      </c>
      <c r="I18" s="99">
        <f>'January 2025'!W18</f>
        <v>71</v>
      </c>
      <c r="J18" s="100">
        <v>2.42</v>
      </c>
      <c r="K18" s="107">
        <f>'January 2025'!AB18*5.04</f>
        <v>6652.8</v>
      </c>
      <c r="L18" s="117">
        <v>0.11509999999999999</v>
      </c>
      <c r="M18" s="108">
        <f>'January 2025'!M18</f>
        <v>0</v>
      </c>
      <c r="N18" s="120">
        <v>0.88</v>
      </c>
      <c r="O18" s="101">
        <f>'January 2025'!AC18</f>
        <v>104</v>
      </c>
      <c r="P18" s="101">
        <f>'January 2025'!AD18</f>
        <v>173</v>
      </c>
    </row>
    <row r="19" spans="1:16" ht="14.3" x14ac:dyDescent="0.25">
      <c r="A19" s="96" t="s">
        <v>37</v>
      </c>
      <c r="B19" s="5">
        <f t="shared" si="0"/>
        <v>18</v>
      </c>
      <c r="C19" s="123">
        <v>1</v>
      </c>
      <c r="D19" s="4">
        <v>2024</v>
      </c>
      <c r="E19" s="97">
        <f>IF('January 2025'!C19&lt;0,"0",'January 2025'!C19)+(IF('January 2025'!E19&lt;0,"0",'January 2025'!E19)-(IF('January 2025'!G19&lt;0,"0",'January 2025'!G19)))</f>
        <v>5068</v>
      </c>
      <c r="F19" s="111">
        <f>('January 2025'!C19*0.27)/('January 2025'!C19+'January 2025'!E19)</f>
        <v>0.22764601420678771</v>
      </c>
      <c r="G19" s="98">
        <f>'January 2025'!U19</f>
        <v>105</v>
      </c>
      <c r="H19" s="114">
        <v>0.62</v>
      </c>
      <c r="I19" s="99">
        <f>'January 2025'!W19</f>
        <v>91</v>
      </c>
      <c r="J19" s="100">
        <v>2.42</v>
      </c>
      <c r="K19" s="107">
        <f>'January 2025'!AB19*5.04</f>
        <v>7711.2</v>
      </c>
      <c r="L19" s="117">
        <v>0.11509999999999999</v>
      </c>
      <c r="M19" s="108">
        <f>'January 2025'!M19</f>
        <v>0</v>
      </c>
      <c r="N19" s="120">
        <v>0.88</v>
      </c>
      <c r="O19" s="101">
        <f>'January 2025'!AC19</f>
        <v>114</v>
      </c>
      <c r="P19" s="101">
        <f>'January 2025'!AD19</f>
        <v>205</v>
      </c>
    </row>
    <row r="20" spans="1:16" ht="14.3" x14ac:dyDescent="0.25">
      <c r="A20" s="96" t="s">
        <v>37</v>
      </c>
      <c r="B20" s="5">
        <f t="shared" si="0"/>
        <v>19</v>
      </c>
      <c r="C20" s="123">
        <v>1</v>
      </c>
      <c r="D20" s="4">
        <v>2024</v>
      </c>
      <c r="E20" s="97">
        <f>IF('January 2025'!C20&lt;0,"0",'January 2025'!C20)+(IF('January 2025'!E20&lt;0,"0",'January 2025'!E20)-(IF('January 2025'!G20&lt;0,"0",'January 2025'!G20)))</f>
        <v>4563</v>
      </c>
      <c r="F20" s="111">
        <f>('January 2025'!C20*0.27)/('January 2025'!C20+'January 2025'!E20)</f>
        <v>0.25142011834319528</v>
      </c>
      <c r="G20" s="98">
        <f>'January 2025'!U20</f>
        <v>25</v>
      </c>
      <c r="H20" s="114">
        <v>0.62</v>
      </c>
      <c r="I20" s="99">
        <f>'January 2025'!W20</f>
        <v>75</v>
      </c>
      <c r="J20" s="100">
        <v>2.42</v>
      </c>
      <c r="K20" s="107">
        <f>'January 2025'!AB20*5.04</f>
        <v>6602.4</v>
      </c>
      <c r="L20" s="117">
        <v>0.11509999999999999</v>
      </c>
      <c r="M20" s="108">
        <f>'January 2025'!M20</f>
        <v>0</v>
      </c>
      <c r="N20" s="120">
        <v>0.88</v>
      </c>
      <c r="O20" s="101">
        <f>'January 2025'!AC20</f>
        <v>70</v>
      </c>
      <c r="P20" s="101">
        <f>'January 2025'!AD20</f>
        <v>115</v>
      </c>
    </row>
    <row r="21" spans="1:16" ht="14.3" x14ac:dyDescent="0.25">
      <c r="A21" s="96" t="s">
        <v>37</v>
      </c>
      <c r="B21" s="5">
        <f t="shared" si="0"/>
        <v>20</v>
      </c>
      <c r="C21" s="123">
        <v>1</v>
      </c>
      <c r="D21" s="4">
        <v>2024</v>
      </c>
      <c r="E21" s="97">
        <f>IF('January 2025'!C21&lt;0,"0",'January 2025'!C21)+(IF('January 2025'!E21&lt;0,"0",'January 2025'!E21)-(IF('January 2025'!G21&lt;0,"0",'January 2025'!G21)))</f>
        <v>0</v>
      </c>
      <c r="F21" s="111" t="e">
        <f>('January 2025'!C21*0.27)/('January 2025'!C21+'January 2025'!E21)</f>
        <v>#DIV/0!</v>
      </c>
      <c r="G21" s="98" t="str">
        <f>'January 2025'!U21</f>
        <v>0</v>
      </c>
      <c r="H21" s="114">
        <v>0.62</v>
      </c>
      <c r="I21" s="99" t="str">
        <f>'January 2025'!W21</f>
        <v>0</v>
      </c>
      <c r="J21" s="100">
        <v>2.42</v>
      </c>
      <c r="K21" s="107">
        <f>'January 2025'!AB21*5.04</f>
        <v>0</v>
      </c>
      <c r="L21" s="117">
        <v>0.11509999999999999</v>
      </c>
      <c r="M21" s="108">
        <f>'January 2025'!M21</f>
        <v>0</v>
      </c>
      <c r="N21" s="120">
        <v>0.88</v>
      </c>
      <c r="O21" s="101">
        <f>'January 2025'!AC21</f>
        <v>0</v>
      </c>
      <c r="P21" s="101">
        <f>'January 2025'!AD21</f>
        <v>0</v>
      </c>
    </row>
    <row r="22" spans="1:16" ht="14.3" x14ac:dyDescent="0.25">
      <c r="A22" s="96" t="s">
        <v>37</v>
      </c>
      <c r="B22" s="5">
        <f t="shared" si="0"/>
        <v>21</v>
      </c>
      <c r="C22" s="123">
        <v>1</v>
      </c>
      <c r="D22" s="4">
        <v>2024</v>
      </c>
      <c r="E22" s="97">
        <f>IF('January 2025'!C22&lt;0,"0",'January 2025'!C22)+(IF('January 2025'!E22&lt;0,"0",'January 2025'!E22)-(IF('January 2025'!G22&lt;0,"0",'January 2025'!G22)))</f>
        <v>0</v>
      </c>
      <c r="F22" s="111" t="e">
        <f>('January 2025'!C22*0.27)/('January 2025'!C22+'January 2025'!E22)</f>
        <v>#DIV/0!</v>
      </c>
      <c r="G22" s="98" t="str">
        <f>'January 2025'!U22</f>
        <v>0</v>
      </c>
      <c r="H22" s="114">
        <v>0.62</v>
      </c>
      <c r="I22" s="99">
        <f>'January 2025'!W22</f>
        <v>0</v>
      </c>
      <c r="J22" s="100">
        <v>2.42</v>
      </c>
      <c r="K22" s="107">
        <f>'January 2025'!AB22*5.04</f>
        <v>0</v>
      </c>
      <c r="L22" s="117">
        <v>0.11509999999999999</v>
      </c>
      <c r="M22" s="108">
        <f>'January 2025'!M22</f>
        <v>0</v>
      </c>
      <c r="N22" s="120">
        <v>0.88</v>
      </c>
      <c r="O22" s="101">
        <f>'January 2025'!AC22</f>
        <v>0</v>
      </c>
      <c r="P22" s="101">
        <f>'January 2025'!AD22</f>
        <v>0</v>
      </c>
    </row>
    <row r="23" spans="1:16" ht="14.3" x14ac:dyDescent="0.25">
      <c r="A23" s="96" t="s">
        <v>37</v>
      </c>
      <c r="B23" s="5">
        <f t="shared" si="0"/>
        <v>22</v>
      </c>
      <c r="C23" s="123">
        <v>1</v>
      </c>
      <c r="D23" s="4">
        <v>2024</v>
      </c>
      <c r="E23" s="97">
        <f>IF('January 2025'!C23&lt;0,"0",'January 2025'!C23)+(IF('January 2025'!E23&lt;0,"0",'January 2025'!E23)-(IF('January 2025'!G23&lt;0,"0",'January 2025'!G23)))</f>
        <v>0</v>
      </c>
      <c r="F23" s="111" t="e">
        <f>('January 2025'!C23*0.27)/('January 2025'!C23+'January 2025'!E23)</f>
        <v>#DIV/0!</v>
      </c>
      <c r="G23" s="98" t="str">
        <f>'January 2025'!U23</f>
        <v>0</v>
      </c>
      <c r="H23" s="114">
        <v>0.62</v>
      </c>
      <c r="I23" s="99">
        <f>'January 2025'!W23</f>
        <v>0</v>
      </c>
      <c r="J23" s="100">
        <v>2.42</v>
      </c>
      <c r="K23" s="107">
        <f>'January 2025'!AB23*5.04</f>
        <v>0</v>
      </c>
      <c r="L23" s="117">
        <v>0.11509999999999999</v>
      </c>
      <c r="M23" s="108">
        <f>'January 2025'!M23</f>
        <v>0</v>
      </c>
      <c r="N23" s="120">
        <v>0.88</v>
      </c>
      <c r="O23" s="101">
        <f>'January 2025'!AC23</f>
        <v>0</v>
      </c>
      <c r="P23" s="101">
        <f>'January 2025'!AD23</f>
        <v>0</v>
      </c>
    </row>
    <row r="24" spans="1:16" ht="14.3" x14ac:dyDescent="0.25">
      <c r="A24" s="96" t="s">
        <v>37</v>
      </c>
      <c r="B24" s="5">
        <f t="shared" si="0"/>
        <v>23</v>
      </c>
      <c r="C24" s="123">
        <v>1</v>
      </c>
      <c r="D24" s="4">
        <v>2024</v>
      </c>
      <c r="E24" s="97">
        <f>IF('January 2025'!C24&lt;0,"0",'January 2025'!C24)+(IF('January 2025'!E24&lt;0,"0",'January 2025'!E24)-(IF('January 2025'!G24&lt;0,"0",'January 2025'!G24)))</f>
        <v>0</v>
      </c>
      <c r="F24" s="111" t="e">
        <f>('January 2025'!C24*0.27)/('January 2025'!C24+'January 2025'!E24)</f>
        <v>#DIV/0!</v>
      </c>
      <c r="G24" s="98" t="str">
        <f>'January 2025'!U24</f>
        <v>0</v>
      </c>
      <c r="H24" s="114">
        <v>0.62</v>
      </c>
      <c r="I24" s="99">
        <f>'January 2025'!W24</f>
        <v>0</v>
      </c>
      <c r="J24" s="100">
        <v>2.42</v>
      </c>
      <c r="K24" s="107">
        <f>'January 2025'!AB24*5.04</f>
        <v>0</v>
      </c>
      <c r="L24" s="117">
        <v>0.11509999999999999</v>
      </c>
      <c r="M24" s="108">
        <f>'January 2025'!M24</f>
        <v>0</v>
      </c>
      <c r="N24" s="120">
        <v>0.88</v>
      </c>
      <c r="O24" s="101">
        <f>'January 2025'!AC24</f>
        <v>0</v>
      </c>
      <c r="P24" s="101">
        <f>'January 2025'!AD24</f>
        <v>0</v>
      </c>
    </row>
    <row r="25" spans="1:16" ht="14.3" x14ac:dyDescent="0.25">
      <c r="A25" s="96" t="s">
        <v>37</v>
      </c>
      <c r="B25" s="5">
        <f t="shared" si="0"/>
        <v>24</v>
      </c>
      <c r="C25" s="123">
        <v>1</v>
      </c>
      <c r="D25" s="4">
        <v>2024</v>
      </c>
      <c r="E25" s="97">
        <f>IF('January 2025'!C25&lt;0,"0",'January 2025'!C25)+(IF('January 2025'!E25&lt;0,"0",'January 2025'!E25)-(IF('January 2025'!G25&lt;0,"0",'January 2025'!G25)))</f>
        <v>0</v>
      </c>
      <c r="F25" s="111" t="e">
        <f>('January 2025'!C25*0.27)/('January 2025'!C25+'January 2025'!E25)</f>
        <v>#DIV/0!</v>
      </c>
      <c r="G25" s="98" t="str">
        <f>'January 2025'!U25</f>
        <v>0</v>
      </c>
      <c r="H25" s="114">
        <v>0.62</v>
      </c>
      <c r="I25" s="99">
        <f>'January 2025'!W25</f>
        <v>0</v>
      </c>
      <c r="J25" s="100">
        <v>2.42</v>
      </c>
      <c r="K25" s="107">
        <f>'January 2025'!AB25*5.04</f>
        <v>0</v>
      </c>
      <c r="L25" s="117">
        <v>0.11509999999999999</v>
      </c>
      <c r="M25" s="108">
        <f>'January 2025'!M25</f>
        <v>0</v>
      </c>
      <c r="N25" s="120">
        <v>0.88</v>
      </c>
      <c r="O25" s="101">
        <f>'January 2025'!AC25</f>
        <v>0</v>
      </c>
      <c r="P25" s="101">
        <f>'January 2025'!AD25</f>
        <v>0</v>
      </c>
    </row>
    <row r="26" spans="1:16" ht="14.3" x14ac:dyDescent="0.25">
      <c r="A26" s="96" t="s">
        <v>37</v>
      </c>
      <c r="B26" s="5">
        <f>B25+1</f>
        <v>25</v>
      </c>
      <c r="C26" s="123">
        <v>1</v>
      </c>
      <c r="D26" s="4">
        <v>2024</v>
      </c>
      <c r="E26" s="97">
        <f>IF('January 2025'!C26&lt;0,"0",'January 2025'!C26)+(IF('January 2025'!E26&lt;0,"0",'January 2025'!E26)-(IF('January 2025'!G26&lt;0,"0",'January 2025'!G26)))</f>
        <v>0</v>
      </c>
      <c r="F26" s="111" t="e">
        <f>('January 2025'!C26*0.27)/('January 2025'!C26+'January 2025'!E26)</f>
        <v>#DIV/0!</v>
      </c>
      <c r="G26" s="98" t="str">
        <f>'January 2025'!U26</f>
        <v>0</v>
      </c>
      <c r="H26" s="114">
        <v>0.62</v>
      </c>
      <c r="I26" s="99">
        <f>'January 2025'!W26</f>
        <v>0</v>
      </c>
      <c r="J26" s="100">
        <v>2.42</v>
      </c>
      <c r="K26" s="107">
        <f>'January 2025'!AB26*5.04</f>
        <v>0</v>
      </c>
      <c r="L26" s="117">
        <v>0.11509999999999999</v>
      </c>
      <c r="M26" s="108">
        <f>'January 2025'!M26</f>
        <v>0</v>
      </c>
      <c r="N26" s="120">
        <v>0.88</v>
      </c>
      <c r="O26" s="101">
        <f>'January 2025'!AC26</f>
        <v>0</v>
      </c>
      <c r="P26" s="101">
        <f>'January 2025'!AD26</f>
        <v>0</v>
      </c>
    </row>
    <row r="27" spans="1:16" ht="14.3" x14ac:dyDescent="0.25">
      <c r="A27" s="96" t="s">
        <v>37</v>
      </c>
      <c r="B27" s="5">
        <f t="shared" si="0"/>
        <v>26</v>
      </c>
      <c r="C27" s="123">
        <v>1</v>
      </c>
      <c r="D27" s="4">
        <v>2024</v>
      </c>
      <c r="E27" s="97">
        <f>IF('January 2025'!C27&lt;0,"0",'January 2025'!C27)+(IF('January 2025'!E27&lt;0,"0",'January 2025'!E27)-(IF('January 2025'!G27&lt;0,"0",'January 2025'!G27)))</f>
        <v>0</v>
      </c>
      <c r="F27" s="111" t="e">
        <f>('January 2025'!C27*0.27)/('January 2025'!C27+'January 2025'!E27)</f>
        <v>#DIV/0!</v>
      </c>
      <c r="G27" s="98" t="str">
        <f>'January 2025'!U27</f>
        <v>0</v>
      </c>
      <c r="H27" s="114">
        <v>0.62</v>
      </c>
      <c r="I27" s="99">
        <f>'January 2025'!W27</f>
        <v>0</v>
      </c>
      <c r="J27" s="100">
        <v>2.42</v>
      </c>
      <c r="K27" s="107">
        <f>'January 2025'!AB27*5.04</f>
        <v>0</v>
      </c>
      <c r="L27" s="117">
        <v>0.11509999999999999</v>
      </c>
      <c r="M27" s="108">
        <f>'January 2025'!M27</f>
        <v>0</v>
      </c>
      <c r="N27" s="120">
        <v>0.88</v>
      </c>
      <c r="O27" s="101">
        <f>'January 2025'!AC27</f>
        <v>0</v>
      </c>
      <c r="P27" s="101">
        <f>'January 2025'!AD27</f>
        <v>0</v>
      </c>
    </row>
    <row r="28" spans="1:16" ht="14.3" x14ac:dyDescent="0.25">
      <c r="A28" s="96" t="s">
        <v>37</v>
      </c>
      <c r="B28" s="5">
        <f t="shared" si="0"/>
        <v>27</v>
      </c>
      <c r="C28" s="123">
        <v>1</v>
      </c>
      <c r="D28" s="4">
        <v>2024</v>
      </c>
      <c r="E28" s="97">
        <f>IF('January 2025'!C28&lt;0,"0",'January 2025'!C28)+(IF('January 2025'!E28&lt;0,"0",'January 2025'!E28)-(IF('January 2025'!G28&lt;0,"0",'January 2025'!G28)))</f>
        <v>0</v>
      </c>
      <c r="F28" s="111" t="e">
        <f>('January 2025'!C28*0.27)/('January 2025'!C28+'January 2025'!E28)</f>
        <v>#DIV/0!</v>
      </c>
      <c r="G28" s="98" t="str">
        <f>'January 2025'!U28</f>
        <v>0</v>
      </c>
      <c r="H28" s="114">
        <v>0.62</v>
      </c>
      <c r="I28" s="99">
        <f>'January 2025'!W28</f>
        <v>0</v>
      </c>
      <c r="J28" s="100">
        <v>2.42</v>
      </c>
      <c r="K28" s="107">
        <f>'January 2025'!AB28*5.04</f>
        <v>0</v>
      </c>
      <c r="L28" s="117">
        <v>0.11509999999999999</v>
      </c>
      <c r="M28" s="108">
        <f>'January 2025'!M28</f>
        <v>0</v>
      </c>
      <c r="N28" s="120">
        <v>0.88</v>
      </c>
      <c r="O28" s="101">
        <f>'January 2025'!AC28</f>
        <v>0</v>
      </c>
      <c r="P28" s="101">
        <f>'January 2025'!AD28</f>
        <v>0</v>
      </c>
    </row>
    <row r="29" spans="1:16" ht="14.3" x14ac:dyDescent="0.25">
      <c r="A29" s="96" t="s">
        <v>37</v>
      </c>
      <c r="B29" s="5">
        <f t="shared" si="0"/>
        <v>28</v>
      </c>
      <c r="C29" s="123">
        <v>1</v>
      </c>
      <c r="D29" s="4">
        <v>2024</v>
      </c>
      <c r="E29" s="97">
        <f>IF('January 2025'!C29&lt;0,"0",'January 2025'!C29)+(IF('January 2025'!E29&lt;0,"0",'January 2025'!E29)-(IF('January 2025'!G29&lt;0,"0",'January 2025'!G29)))</f>
        <v>0</v>
      </c>
      <c r="F29" s="111" t="e">
        <f>('January 2025'!C29*0.27)/('January 2025'!C29+'January 2025'!E29)</f>
        <v>#DIV/0!</v>
      </c>
      <c r="G29" s="98" t="str">
        <f>'January 2025'!U29</f>
        <v>0</v>
      </c>
      <c r="H29" s="114">
        <v>0.62</v>
      </c>
      <c r="I29" s="99">
        <f>'January 2025'!W29</f>
        <v>0</v>
      </c>
      <c r="J29" s="100">
        <v>2.42</v>
      </c>
      <c r="K29" s="107">
        <f>'January 2025'!AB29*5.04</f>
        <v>0</v>
      </c>
      <c r="L29" s="117">
        <v>0.11509999999999999</v>
      </c>
      <c r="M29" s="108">
        <f>'January 2025'!M29</f>
        <v>0</v>
      </c>
      <c r="N29" s="120">
        <v>0.88</v>
      </c>
      <c r="O29" s="101">
        <f>'January 2025'!AC29</f>
        <v>0</v>
      </c>
      <c r="P29" s="101">
        <f>'January 2025'!AD29</f>
        <v>0</v>
      </c>
    </row>
    <row r="30" spans="1:16" ht="14.3" x14ac:dyDescent="0.25">
      <c r="A30" s="96" t="s">
        <v>37</v>
      </c>
      <c r="B30" s="5">
        <f t="shared" si="0"/>
        <v>29</v>
      </c>
      <c r="C30" s="123">
        <v>1</v>
      </c>
      <c r="D30" s="4">
        <v>2024</v>
      </c>
      <c r="E30" s="97">
        <f>IF('January 2025'!C30&lt;0,"0",'January 2025'!C30)+(IF('January 2025'!E30&lt;0,"0",'January 2025'!E30)-(IF('January 2025'!G30&lt;0,"0",'January 2025'!G30)))</f>
        <v>0</v>
      </c>
      <c r="F30" s="111" t="e">
        <f>('January 2025'!C30*0.27)/('January 2025'!C30+'January 2025'!E30)</f>
        <v>#DIV/0!</v>
      </c>
      <c r="G30" s="98" t="str">
        <f>'January 2025'!U30</f>
        <v>0</v>
      </c>
      <c r="H30" s="114">
        <v>0.62</v>
      </c>
      <c r="I30" s="99">
        <f>'January 2025'!W30</f>
        <v>0</v>
      </c>
      <c r="J30" s="100">
        <v>2.42</v>
      </c>
      <c r="K30" s="107">
        <f>'January 2025'!AB30*5.04</f>
        <v>0</v>
      </c>
      <c r="L30" s="117">
        <v>0.11509999999999999</v>
      </c>
      <c r="M30" s="108">
        <f>'January 2025'!M30</f>
        <v>0</v>
      </c>
      <c r="N30" s="120">
        <v>0.88</v>
      </c>
      <c r="O30" s="101">
        <f>'January 2025'!AC30</f>
        <v>0</v>
      </c>
      <c r="P30" s="101">
        <f>'January 2025'!AD30</f>
        <v>0</v>
      </c>
    </row>
    <row r="31" spans="1:16" ht="14.3" x14ac:dyDescent="0.25">
      <c r="A31" s="96" t="s">
        <v>37</v>
      </c>
      <c r="B31" s="5">
        <f t="shared" si="0"/>
        <v>30</v>
      </c>
      <c r="C31" s="123">
        <v>1</v>
      </c>
      <c r="D31" s="4">
        <v>2024</v>
      </c>
      <c r="E31" s="97">
        <f>IF('January 2025'!C32&lt;0,"0",'January 2025'!C32)+(IF('January 2025'!E32&lt;0,"0",'January 2025'!E32)-(IF('January 2025'!G32&lt;0,"0",'January 2025'!G32)))</f>
        <v>0</v>
      </c>
      <c r="F31" s="111" t="e">
        <f>('January 2025'!C32*0.27)/('January 2025'!C32+'January 2025'!E32)</f>
        <v>#DIV/0!</v>
      </c>
      <c r="G31" s="98" t="str">
        <f>'January 2025'!U32</f>
        <v>0</v>
      </c>
      <c r="H31" s="114">
        <v>0.62</v>
      </c>
      <c r="I31" s="99">
        <f>'January 2025'!W32</f>
        <v>0</v>
      </c>
      <c r="J31" s="100">
        <v>2.42</v>
      </c>
      <c r="K31" s="107">
        <f>'January 2025'!AB32*5.04</f>
        <v>0</v>
      </c>
      <c r="L31" s="117">
        <v>0.11509999999999999</v>
      </c>
      <c r="M31" s="108">
        <f>'January 2025'!M32</f>
        <v>0</v>
      </c>
      <c r="N31" s="120">
        <v>0.88</v>
      </c>
      <c r="O31" s="101">
        <f>'January 2025'!AC32</f>
        <v>0</v>
      </c>
      <c r="P31" s="101">
        <f>'January 2025'!AD32</f>
        <v>0</v>
      </c>
    </row>
    <row r="32" spans="1:16" ht="14.3" x14ac:dyDescent="0.25">
      <c r="A32" s="96" t="s">
        <v>37</v>
      </c>
      <c r="B32" s="5">
        <v>31</v>
      </c>
      <c r="C32" s="123">
        <v>1</v>
      </c>
      <c r="D32" s="4">
        <v>2024</v>
      </c>
      <c r="E32" s="97">
        <f>IF('January 2025'!C33&lt;0,"0",'January 2025'!C33)+(IF('January 2025'!E33&lt;0,"0",'January 2025'!E33)-(IF('January 2025'!G33&lt;0,"0",'January 2025'!G33)))</f>
        <v>0</v>
      </c>
      <c r="F32" s="111" t="e">
        <f>('January 2025'!C33*0.27)/('January 2025'!C33+'January 2025'!E33)</f>
        <v>#DIV/0!</v>
      </c>
      <c r="G32" s="98">
        <f>'January 2025'!U33</f>
        <v>0</v>
      </c>
      <c r="H32" s="114">
        <v>0.62</v>
      </c>
      <c r="I32" s="99">
        <f>'January 2025'!W33</f>
        <v>0</v>
      </c>
      <c r="J32" s="100">
        <v>2.42</v>
      </c>
      <c r="K32" s="107">
        <f>'January 2025'!AB33*5.04</f>
        <v>0</v>
      </c>
      <c r="L32" s="117">
        <v>0.11509999999999999</v>
      </c>
      <c r="M32" s="108">
        <f>'January 2025'!M33</f>
        <v>0</v>
      </c>
      <c r="N32" s="120">
        <v>0.88</v>
      </c>
      <c r="O32" s="101">
        <f>'January 2025'!AC33</f>
        <v>174</v>
      </c>
      <c r="P32" s="101">
        <f>'January 2025'!AD33</f>
        <v>370</v>
      </c>
    </row>
    <row r="33" spans="4:16" x14ac:dyDescent="0.2">
      <c r="D33" s="102"/>
      <c r="F33" s="111"/>
      <c r="I33" s="100"/>
      <c r="J33" s="100"/>
      <c r="K33" s="107"/>
      <c r="L33" s="117"/>
      <c r="O33" s="103"/>
      <c r="P33" s="103"/>
    </row>
    <row r="34" spans="4:16" x14ac:dyDescent="0.2">
      <c r="D34" s="102"/>
      <c r="F34" s="111"/>
      <c r="I34" s="100"/>
      <c r="J34" s="100"/>
      <c r="K34" s="107"/>
      <c r="L34" s="117"/>
      <c r="O34" s="103"/>
      <c r="P34" s="103"/>
    </row>
    <row r="35" spans="4:16" x14ac:dyDescent="0.2">
      <c r="D35" s="102"/>
      <c r="F35" s="111"/>
      <c r="I35" s="100"/>
      <c r="J35" s="100"/>
      <c r="K35" s="107"/>
      <c r="L35" s="117"/>
      <c r="O35" s="103"/>
      <c r="P35" s="103"/>
    </row>
    <row r="36" spans="4:16" x14ac:dyDescent="0.2">
      <c r="D36" s="102"/>
      <c r="F36" s="111"/>
      <c r="I36" s="100"/>
      <c r="J36" s="100"/>
      <c r="K36" s="107"/>
      <c r="L36" s="117"/>
      <c r="O36" s="103"/>
      <c r="P36" s="103"/>
    </row>
    <row r="37" spans="4:16" x14ac:dyDescent="0.2">
      <c r="D37" s="102"/>
      <c r="F37" s="111"/>
      <c r="I37" s="100"/>
      <c r="J37" s="100"/>
      <c r="K37" s="107"/>
      <c r="L37" s="117"/>
      <c r="O37" s="103"/>
      <c r="P37" s="103"/>
    </row>
    <row r="38" spans="4:16" x14ac:dyDescent="0.2">
      <c r="D38" s="102"/>
      <c r="F38" s="111"/>
      <c r="I38" s="100"/>
      <c r="J38" s="100"/>
      <c r="K38" s="107"/>
      <c r="L38" s="117"/>
      <c r="O38" s="103"/>
      <c r="P38" s="103"/>
    </row>
    <row r="39" spans="4:16" x14ac:dyDescent="0.2">
      <c r="F39" s="111"/>
      <c r="K39" s="107"/>
      <c r="L39" s="117"/>
    </row>
    <row r="40" spans="4:16" x14ac:dyDescent="0.2">
      <c r="F40" s="111"/>
      <c r="K40" s="107"/>
      <c r="L40" s="117"/>
    </row>
    <row r="41" spans="4:16" x14ac:dyDescent="0.2">
      <c r="F41" s="111"/>
      <c r="K41" s="107"/>
      <c r="L41" s="117"/>
    </row>
    <row r="42" spans="4:16" x14ac:dyDescent="0.2">
      <c r="F42" s="111"/>
      <c r="K42" s="107"/>
      <c r="L42" s="117"/>
    </row>
    <row r="43" spans="4:16" x14ac:dyDescent="0.2">
      <c r="K43" s="107"/>
      <c r="L43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1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7" t="s">
        <v>7</v>
      </c>
      <c r="H1" s="69" t="s">
        <v>18</v>
      </c>
      <c r="I1" s="73" t="s">
        <v>17</v>
      </c>
      <c r="J1" s="49" t="s">
        <v>5</v>
      </c>
      <c r="K1" s="25" t="s">
        <v>1</v>
      </c>
      <c r="L1" s="28" t="s">
        <v>2</v>
      </c>
      <c r="M1" s="75" t="s">
        <v>14</v>
      </c>
      <c r="N1" s="29" t="s">
        <v>5</v>
      </c>
      <c r="O1" s="83" t="s">
        <v>20</v>
      </c>
      <c r="P1" s="83" t="s">
        <v>21</v>
      </c>
      <c r="Q1" s="83" t="s">
        <v>22</v>
      </c>
      <c r="R1" s="83" t="s">
        <v>23</v>
      </c>
      <c r="S1" s="37" t="s">
        <v>19</v>
      </c>
      <c r="T1" s="36" t="s">
        <v>13</v>
      </c>
      <c r="U1" s="29" t="s">
        <v>5</v>
      </c>
      <c r="V1" s="40" t="s">
        <v>4</v>
      </c>
      <c r="W1" s="29" t="s">
        <v>5</v>
      </c>
      <c r="X1" s="43" t="s">
        <v>3</v>
      </c>
      <c r="Y1" s="29" t="s">
        <v>5</v>
      </c>
      <c r="Z1" s="46" t="s">
        <v>15</v>
      </c>
      <c r="AA1" s="52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45658</v>
      </c>
      <c r="B2" s="8">
        <v>13413585</v>
      </c>
      <c r="C2" s="14">
        <f>IF((B3-B2)&lt;0,"0",B3-B2)</f>
        <v>5082</v>
      </c>
      <c r="D2" s="9">
        <v>622881</v>
      </c>
      <c r="E2" s="14">
        <f>IF((D3-D2)&lt;0,"0",D3-D2)</f>
        <v>207</v>
      </c>
      <c r="F2" s="27">
        <v>1704</v>
      </c>
      <c r="G2" s="68">
        <f>F3-F2</f>
        <v>0</v>
      </c>
      <c r="H2" s="70">
        <f>C2+E2-G2</f>
        <v>5289</v>
      </c>
      <c r="I2" s="74">
        <f>H2-K2-M2-O2-Q2</f>
        <v>-40370.340000000004</v>
      </c>
      <c r="J2" s="32">
        <f t="shared" ref="J2:J32" si="0">I3-I2</f>
        <v>-510.93999999999505</v>
      </c>
      <c r="K2" s="19">
        <f>A2</f>
        <v>45658</v>
      </c>
      <c r="L2" s="30">
        <v>2732</v>
      </c>
      <c r="M2" s="31">
        <v>0</v>
      </c>
      <c r="N2" s="32">
        <v>0</v>
      </c>
      <c r="O2" s="84">
        <v>0.73</v>
      </c>
      <c r="P2" s="85">
        <v>0.72</v>
      </c>
      <c r="Q2" s="84">
        <v>0.61</v>
      </c>
      <c r="R2" s="85">
        <v>0.56999999999999995</v>
      </c>
      <c r="S2" s="39">
        <f>(2500*O2)+(2500*P2)+(500*Q2)+(500*R2)</f>
        <v>4215</v>
      </c>
      <c r="T2" s="124"/>
      <c r="U2" s="32">
        <f>IF((S2-S3+T2)=S2,"0",(S2-S3+T2))</f>
        <v>110</v>
      </c>
      <c r="V2" s="41">
        <v>1263</v>
      </c>
      <c r="W2" s="32">
        <f>IF(V3-V2&lt;0,"0",V3-V2)</f>
        <v>151</v>
      </c>
      <c r="X2" s="44">
        <v>61255</v>
      </c>
      <c r="Y2" s="14">
        <f>IF((X3-X2)&lt;0,"0",X3-X2)</f>
        <v>0</v>
      </c>
      <c r="Z2" s="47">
        <v>11110</v>
      </c>
      <c r="AA2" s="53">
        <v>0</v>
      </c>
      <c r="AB2" s="32">
        <f>IF((Z2-Z3+AA2)=Z2,"0",(Z2-Z3+AA2))</f>
        <v>0</v>
      </c>
      <c r="AC2" s="12">
        <v>160</v>
      </c>
      <c r="AD2" s="17">
        <v>336</v>
      </c>
    </row>
    <row r="3" spans="1:30" ht="20.7" customHeight="1" x14ac:dyDescent="0.2">
      <c r="A3" s="19">
        <v>45659</v>
      </c>
      <c r="B3" s="10">
        <v>13418667</v>
      </c>
      <c r="C3" s="14">
        <f t="shared" ref="C3:C29" si="1">IF((B4-B3)&lt;0,"0",B4-B3)</f>
        <v>4079</v>
      </c>
      <c r="D3" s="11">
        <v>623088</v>
      </c>
      <c r="E3" s="14">
        <f t="shared" ref="E3:E32" si="2">IF((D4-D3)&lt;0,"0",D4-D3)</f>
        <v>700</v>
      </c>
      <c r="F3" s="27">
        <v>1704</v>
      </c>
      <c r="G3" s="68">
        <f t="shared" ref="G3:G32" si="3">F4-F3</f>
        <v>0</v>
      </c>
      <c r="H3" s="70">
        <f t="shared" ref="H3:H32" si="4">C3+E3-G3</f>
        <v>4779</v>
      </c>
      <c r="I3" s="74">
        <f t="shared" ref="I3:I32" si="5">H3-K3-M3-O3-Q3</f>
        <v>-40881.279999999999</v>
      </c>
      <c r="J3" s="32">
        <f t="shared" si="0"/>
        <v>-8011.989999999998</v>
      </c>
      <c r="K3" s="20">
        <f t="shared" ref="K3:K33" si="6">A3</f>
        <v>45659</v>
      </c>
      <c r="L3" s="33">
        <v>2125</v>
      </c>
      <c r="M3" s="31">
        <v>0</v>
      </c>
      <c r="N3" s="35">
        <v>0</v>
      </c>
      <c r="O3" s="86">
        <v>0.72</v>
      </c>
      <c r="P3" s="87">
        <v>0.7</v>
      </c>
      <c r="Q3" s="86">
        <v>0.56000000000000005</v>
      </c>
      <c r="R3" s="87">
        <v>0.55000000000000004</v>
      </c>
      <c r="S3" s="39">
        <f t="shared" ref="S3:S33" si="7">(2500*O3)+(2500*P3)+(500*Q3)+(500*R3)</f>
        <v>4105</v>
      </c>
      <c r="T3" s="124"/>
      <c r="U3" s="32">
        <f t="shared" ref="U3:U32" si="8">IF((S3-S4+T3)=S3,"0",(S3-S4+T3))</f>
        <v>25</v>
      </c>
      <c r="V3" s="42">
        <v>1414</v>
      </c>
      <c r="W3" s="32">
        <f t="shared" ref="W3:W32" si="9">IF(V4-V3&lt;0,"0",V4-V3)</f>
        <v>82</v>
      </c>
      <c r="X3" s="44">
        <v>61255</v>
      </c>
      <c r="Y3" s="14">
        <f t="shared" ref="Y3:Y32" si="10">IF((X4-X3)&lt;0,"0",X4-X3)</f>
        <v>0</v>
      </c>
      <c r="Z3" s="47">
        <v>11110</v>
      </c>
      <c r="AA3" s="53">
        <v>0</v>
      </c>
      <c r="AB3" s="32">
        <f t="shared" ref="AB3:AB32" si="11">IF((Z3-Z4+AA3)=Z3,"0",(Z3-Z4+AA3))</f>
        <v>0</v>
      </c>
      <c r="AC3" s="13">
        <v>121</v>
      </c>
      <c r="AD3" s="18">
        <v>244</v>
      </c>
    </row>
    <row r="4" spans="1:30" ht="20.7" customHeight="1" x14ac:dyDescent="0.2">
      <c r="A4" s="19">
        <v>45660</v>
      </c>
      <c r="B4" s="10">
        <v>13422746</v>
      </c>
      <c r="C4" s="14">
        <f t="shared" si="1"/>
        <v>4085</v>
      </c>
      <c r="D4" s="11">
        <v>623788</v>
      </c>
      <c r="E4" s="14">
        <f t="shared" si="2"/>
        <v>683</v>
      </c>
      <c r="F4" s="27">
        <v>1704</v>
      </c>
      <c r="G4" s="68">
        <f t="shared" si="3"/>
        <v>0</v>
      </c>
      <c r="H4" s="70">
        <f t="shared" si="4"/>
        <v>4768</v>
      </c>
      <c r="I4" s="74">
        <f t="shared" si="5"/>
        <v>-48893.27</v>
      </c>
      <c r="J4" s="32">
        <f t="shared" si="0"/>
        <v>8166.0400000000009</v>
      </c>
      <c r="K4" s="20">
        <f t="shared" si="6"/>
        <v>45660</v>
      </c>
      <c r="L4" s="33">
        <v>1581</v>
      </c>
      <c r="M4" s="31">
        <v>8000</v>
      </c>
      <c r="N4" s="35">
        <v>0</v>
      </c>
      <c r="O4" s="86">
        <v>0.71</v>
      </c>
      <c r="P4" s="87">
        <v>0.7</v>
      </c>
      <c r="Q4" s="86">
        <v>0.56000000000000005</v>
      </c>
      <c r="R4" s="87">
        <v>0.55000000000000004</v>
      </c>
      <c r="S4" s="39">
        <f t="shared" si="7"/>
        <v>4080</v>
      </c>
      <c r="T4" s="124"/>
      <c r="U4" s="32">
        <f t="shared" si="8"/>
        <v>125</v>
      </c>
      <c r="V4" s="42">
        <v>1496</v>
      </c>
      <c r="W4" s="32">
        <f t="shared" si="9"/>
        <v>88</v>
      </c>
      <c r="X4" s="44">
        <v>61255</v>
      </c>
      <c r="Y4" s="14">
        <f t="shared" si="10"/>
        <v>0</v>
      </c>
      <c r="Z4" s="47">
        <v>11110</v>
      </c>
      <c r="AA4" s="53">
        <v>0</v>
      </c>
      <c r="AB4" s="32">
        <f t="shared" si="11"/>
        <v>0</v>
      </c>
      <c r="AC4" s="13">
        <v>107</v>
      </c>
      <c r="AD4" s="18">
        <v>211</v>
      </c>
    </row>
    <row r="5" spans="1:30" ht="20.7" customHeight="1" x14ac:dyDescent="0.2">
      <c r="A5" s="19">
        <v>45661</v>
      </c>
      <c r="B5" s="10">
        <v>13426831</v>
      </c>
      <c r="C5" s="14">
        <f t="shared" si="1"/>
        <v>4534</v>
      </c>
      <c r="D5" s="11">
        <v>624471</v>
      </c>
      <c r="E5" s="14">
        <f t="shared" si="2"/>
        <v>401</v>
      </c>
      <c r="F5" s="27">
        <v>1704</v>
      </c>
      <c r="G5" s="68">
        <f t="shared" si="3"/>
        <v>0</v>
      </c>
      <c r="H5" s="70">
        <f t="shared" si="4"/>
        <v>4935</v>
      </c>
      <c r="I5" s="74">
        <f t="shared" si="5"/>
        <v>-40727.229999999996</v>
      </c>
      <c r="J5" s="32">
        <f t="shared" si="0"/>
        <v>-930.99000000000524</v>
      </c>
      <c r="K5" s="20">
        <f t="shared" si="6"/>
        <v>45661</v>
      </c>
      <c r="L5" s="33">
        <v>8991</v>
      </c>
      <c r="M5" s="31">
        <v>0</v>
      </c>
      <c r="N5" s="35">
        <v>0</v>
      </c>
      <c r="O5" s="86">
        <v>0.67</v>
      </c>
      <c r="P5" s="87">
        <v>0.69</v>
      </c>
      <c r="Q5" s="86">
        <v>0.56000000000000005</v>
      </c>
      <c r="R5" s="87">
        <v>0.55000000000000004</v>
      </c>
      <c r="S5" s="39">
        <f t="shared" si="7"/>
        <v>3955</v>
      </c>
      <c r="T5" s="124"/>
      <c r="U5" s="32">
        <f t="shared" si="8"/>
        <v>50</v>
      </c>
      <c r="V5" s="42">
        <v>1584</v>
      </c>
      <c r="W5" s="32">
        <f t="shared" si="9"/>
        <v>85</v>
      </c>
      <c r="X5" s="44">
        <v>61255</v>
      </c>
      <c r="Y5" s="14">
        <f t="shared" si="10"/>
        <v>0</v>
      </c>
      <c r="Z5" s="47">
        <v>11110</v>
      </c>
      <c r="AA5" s="53">
        <v>0</v>
      </c>
      <c r="AB5" s="32">
        <f t="shared" si="11"/>
        <v>0</v>
      </c>
      <c r="AC5" s="13">
        <v>84</v>
      </c>
      <c r="AD5" s="18">
        <v>166</v>
      </c>
    </row>
    <row r="6" spans="1:30" ht="20.7" customHeight="1" x14ac:dyDescent="0.2">
      <c r="A6" s="19">
        <v>45662</v>
      </c>
      <c r="B6" s="10">
        <v>13431365</v>
      </c>
      <c r="C6" s="14">
        <f t="shared" si="1"/>
        <v>3852</v>
      </c>
      <c r="D6" s="11">
        <v>624872</v>
      </c>
      <c r="E6" s="14">
        <f t="shared" si="2"/>
        <v>153</v>
      </c>
      <c r="F6" s="27">
        <v>1704</v>
      </c>
      <c r="G6" s="68">
        <f t="shared" si="3"/>
        <v>0</v>
      </c>
      <c r="H6" s="70">
        <f t="shared" si="4"/>
        <v>4005</v>
      </c>
      <c r="I6" s="74">
        <f t="shared" si="5"/>
        <v>-41658.22</v>
      </c>
      <c r="J6" s="32">
        <f t="shared" si="0"/>
        <v>60.010000000002037</v>
      </c>
      <c r="K6" s="20">
        <f t="shared" si="6"/>
        <v>45662</v>
      </c>
      <c r="L6" s="33">
        <v>8359</v>
      </c>
      <c r="M6" s="31">
        <v>0</v>
      </c>
      <c r="N6" s="35">
        <v>0</v>
      </c>
      <c r="O6" s="86">
        <v>0.66</v>
      </c>
      <c r="P6" s="87">
        <v>0.68</v>
      </c>
      <c r="Q6" s="86">
        <v>0.56000000000000005</v>
      </c>
      <c r="R6" s="87">
        <v>0.55000000000000004</v>
      </c>
      <c r="S6" s="39">
        <f t="shared" si="7"/>
        <v>3905</v>
      </c>
      <c r="T6" s="124"/>
      <c r="U6" s="32">
        <f t="shared" si="8"/>
        <v>75</v>
      </c>
      <c r="V6" s="42">
        <v>1669</v>
      </c>
      <c r="W6" s="32">
        <f t="shared" si="9"/>
        <v>53</v>
      </c>
      <c r="X6" s="44">
        <v>61255</v>
      </c>
      <c r="Y6" s="14">
        <f t="shared" si="10"/>
        <v>0</v>
      </c>
      <c r="Z6" s="47">
        <v>11110</v>
      </c>
      <c r="AA6" s="53">
        <v>0</v>
      </c>
      <c r="AB6" s="32">
        <f t="shared" si="11"/>
        <v>0</v>
      </c>
      <c r="AC6" s="13">
        <v>73</v>
      </c>
      <c r="AD6" s="18">
        <v>140</v>
      </c>
    </row>
    <row r="7" spans="1:30" ht="20.7" customHeight="1" x14ac:dyDescent="0.2">
      <c r="A7" s="19">
        <v>45663</v>
      </c>
      <c r="B7" s="10">
        <v>13435217</v>
      </c>
      <c r="C7" s="14">
        <f t="shared" si="1"/>
        <v>3375</v>
      </c>
      <c r="D7" s="11">
        <v>625025</v>
      </c>
      <c r="E7" s="14">
        <f t="shared" si="2"/>
        <v>691</v>
      </c>
      <c r="F7" s="27">
        <v>1704</v>
      </c>
      <c r="G7" s="68">
        <f t="shared" si="3"/>
        <v>0</v>
      </c>
      <c r="H7" s="70">
        <f t="shared" si="4"/>
        <v>4066</v>
      </c>
      <c r="I7" s="74">
        <f t="shared" si="5"/>
        <v>-41598.21</v>
      </c>
      <c r="J7" s="32">
        <f t="shared" si="0"/>
        <v>-677</v>
      </c>
      <c r="K7" s="20">
        <f t="shared" si="6"/>
        <v>45663</v>
      </c>
      <c r="L7" s="33">
        <v>7764</v>
      </c>
      <c r="M7" s="31">
        <v>0</v>
      </c>
      <c r="N7" s="35">
        <v>0</v>
      </c>
      <c r="O7" s="86">
        <v>0.65</v>
      </c>
      <c r="P7" s="87">
        <v>0.66</v>
      </c>
      <c r="Q7" s="86">
        <v>0.56000000000000005</v>
      </c>
      <c r="R7" s="87">
        <v>0.55000000000000004</v>
      </c>
      <c r="S7" s="39">
        <f t="shared" si="7"/>
        <v>3830</v>
      </c>
      <c r="T7" s="124"/>
      <c r="U7" s="32">
        <f t="shared" si="8"/>
        <v>25</v>
      </c>
      <c r="V7" s="42">
        <v>1722</v>
      </c>
      <c r="W7" s="32">
        <f t="shared" si="9"/>
        <v>78</v>
      </c>
      <c r="X7" s="44">
        <v>61255</v>
      </c>
      <c r="Y7" s="14">
        <f t="shared" si="10"/>
        <v>0</v>
      </c>
      <c r="Z7" s="47">
        <v>11110</v>
      </c>
      <c r="AA7" s="53">
        <v>0</v>
      </c>
      <c r="AB7" s="32">
        <f t="shared" si="11"/>
        <v>0</v>
      </c>
      <c r="AC7" s="13">
        <v>67</v>
      </c>
      <c r="AD7" s="18">
        <v>112</v>
      </c>
    </row>
    <row r="8" spans="1:30" ht="20.7" customHeight="1" x14ac:dyDescent="0.2">
      <c r="A8" s="19">
        <v>45664</v>
      </c>
      <c r="B8" s="10">
        <v>13438592</v>
      </c>
      <c r="C8" s="14">
        <f t="shared" si="1"/>
        <v>3001</v>
      </c>
      <c r="D8" s="11">
        <v>625716</v>
      </c>
      <c r="E8" s="14">
        <f t="shared" si="2"/>
        <v>389</v>
      </c>
      <c r="F8" s="27">
        <v>1704</v>
      </c>
      <c r="G8" s="68">
        <f t="shared" si="3"/>
        <v>0</v>
      </c>
      <c r="H8" s="70">
        <f t="shared" si="4"/>
        <v>3390</v>
      </c>
      <c r="I8" s="74">
        <f t="shared" si="5"/>
        <v>-42275.21</v>
      </c>
      <c r="J8" s="32">
        <f t="shared" si="0"/>
        <v>1002.0299999999988</v>
      </c>
      <c r="K8" s="20">
        <f t="shared" si="6"/>
        <v>45664</v>
      </c>
      <c r="L8" s="33">
        <v>7146</v>
      </c>
      <c r="M8" s="31">
        <v>0</v>
      </c>
      <c r="N8" s="35">
        <v>0</v>
      </c>
      <c r="O8" s="86">
        <v>0.65</v>
      </c>
      <c r="P8" s="87">
        <v>0.65</v>
      </c>
      <c r="Q8" s="86">
        <v>0.56000000000000005</v>
      </c>
      <c r="R8" s="87">
        <v>0.55000000000000004</v>
      </c>
      <c r="S8" s="39">
        <f t="shared" si="7"/>
        <v>3805</v>
      </c>
      <c r="T8" s="124"/>
      <c r="U8" s="32">
        <f t="shared" si="8"/>
        <v>125</v>
      </c>
      <c r="V8" s="42">
        <v>1800</v>
      </c>
      <c r="W8" s="32">
        <f t="shared" si="9"/>
        <v>41</v>
      </c>
      <c r="X8" s="44">
        <v>61255</v>
      </c>
      <c r="Y8" s="14">
        <f t="shared" si="10"/>
        <v>0</v>
      </c>
      <c r="Z8" s="47">
        <v>11110</v>
      </c>
      <c r="AA8" s="53">
        <v>0</v>
      </c>
      <c r="AB8" s="32">
        <f t="shared" si="11"/>
        <v>760</v>
      </c>
      <c r="AC8" s="13">
        <v>55</v>
      </c>
      <c r="AD8" s="18">
        <v>93</v>
      </c>
    </row>
    <row r="9" spans="1:30" ht="20.7" customHeight="1" x14ac:dyDescent="0.2">
      <c r="A9" s="19">
        <v>45665</v>
      </c>
      <c r="B9" s="10">
        <v>13441593</v>
      </c>
      <c r="C9" s="14">
        <f t="shared" si="1"/>
        <v>3480</v>
      </c>
      <c r="D9" s="11">
        <v>626105</v>
      </c>
      <c r="E9" s="14">
        <f t="shared" si="2"/>
        <v>913</v>
      </c>
      <c r="F9" s="27">
        <v>1704</v>
      </c>
      <c r="G9" s="68">
        <f t="shared" si="3"/>
        <v>0</v>
      </c>
      <c r="H9" s="70">
        <f t="shared" si="4"/>
        <v>4393</v>
      </c>
      <c r="I9" s="74">
        <f t="shared" si="5"/>
        <v>-41273.18</v>
      </c>
      <c r="J9" s="32">
        <f t="shared" si="0"/>
        <v>-41.989999999997963</v>
      </c>
      <c r="K9" s="20">
        <f t="shared" si="6"/>
        <v>45665</v>
      </c>
      <c r="L9" s="33">
        <v>6432</v>
      </c>
      <c r="M9" s="31">
        <v>0</v>
      </c>
      <c r="N9" s="35">
        <v>0</v>
      </c>
      <c r="O9" s="86">
        <v>0.62</v>
      </c>
      <c r="P9" s="87">
        <v>0.63</v>
      </c>
      <c r="Q9" s="86">
        <v>0.56000000000000005</v>
      </c>
      <c r="R9" s="87">
        <v>0.55000000000000004</v>
      </c>
      <c r="S9" s="39">
        <f t="shared" si="7"/>
        <v>3680</v>
      </c>
      <c r="T9" s="124"/>
      <c r="U9" s="32">
        <f t="shared" si="8"/>
        <v>0</v>
      </c>
      <c r="V9" s="42">
        <v>1841</v>
      </c>
      <c r="W9" s="32">
        <f t="shared" si="9"/>
        <v>68</v>
      </c>
      <c r="X9" s="44">
        <v>61255</v>
      </c>
      <c r="Y9" s="14">
        <f t="shared" si="10"/>
        <v>0</v>
      </c>
      <c r="Z9" s="48">
        <v>10350</v>
      </c>
      <c r="AA9" s="53">
        <v>0</v>
      </c>
      <c r="AB9" s="32">
        <f t="shared" si="11"/>
        <v>1250</v>
      </c>
      <c r="AC9" s="13">
        <v>74</v>
      </c>
      <c r="AD9" s="18">
        <v>122</v>
      </c>
    </row>
    <row r="10" spans="1:30" ht="20.7" customHeight="1" x14ac:dyDescent="0.2">
      <c r="A10" s="19">
        <v>45666</v>
      </c>
      <c r="B10" s="10">
        <v>13445073</v>
      </c>
      <c r="C10" s="14">
        <f t="shared" si="1"/>
        <v>3660</v>
      </c>
      <c r="D10" s="11">
        <v>627018</v>
      </c>
      <c r="E10" s="14">
        <f t="shared" si="2"/>
        <v>692</v>
      </c>
      <c r="F10" s="27">
        <v>1704</v>
      </c>
      <c r="G10" s="68">
        <f t="shared" si="3"/>
        <v>0</v>
      </c>
      <c r="H10" s="70">
        <f t="shared" si="4"/>
        <v>4352</v>
      </c>
      <c r="I10" s="74">
        <f t="shared" si="5"/>
        <v>-41315.17</v>
      </c>
      <c r="J10" s="32">
        <f t="shared" si="0"/>
        <v>260</v>
      </c>
      <c r="K10" s="20">
        <f t="shared" si="6"/>
        <v>45666</v>
      </c>
      <c r="L10" s="33">
        <v>6432</v>
      </c>
      <c r="M10" s="31">
        <v>0</v>
      </c>
      <c r="N10" s="35">
        <v>0</v>
      </c>
      <c r="O10" s="86">
        <v>0.61</v>
      </c>
      <c r="P10" s="87">
        <v>0.64</v>
      </c>
      <c r="Q10" s="86">
        <v>0.56000000000000005</v>
      </c>
      <c r="R10" s="87">
        <v>0.55000000000000004</v>
      </c>
      <c r="S10" s="39">
        <f t="shared" si="7"/>
        <v>3680</v>
      </c>
      <c r="T10" s="124"/>
      <c r="U10" s="32">
        <f t="shared" si="8"/>
        <v>0</v>
      </c>
      <c r="V10" s="42">
        <v>1909</v>
      </c>
      <c r="W10" s="32">
        <f t="shared" si="9"/>
        <v>56</v>
      </c>
      <c r="X10" s="44">
        <v>61255</v>
      </c>
      <c r="Y10" s="14">
        <f t="shared" si="10"/>
        <v>0</v>
      </c>
      <c r="Z10" s="48">
        <v>9100</v>
      </c>
      <c r="AA10" s="53">
        <v>0</v>
      </c>
      <c r="AB10" s="32">
        <f t="shared" si="11"/>
        <v>1030</v>
      </c>
      <c r="AC10" s="13">
        <v>66</v>
      </c>
      <c r="AD10" s="18">
        <v>115</v>
      </c>
    </row>
    <row r="11" spans="1:30" ht="20.7" customHeight="1" x14ac:dyDescent="0.2">
      <c r="A11" s="19">
        <v>45667</v>
      </c>
      <c r="B11" s="10">
        <v>13448733</v>
      </c>
      <c r="C11" s="14">
        <f t="shared" si="1"/>
        <v>3933</v>
      </c>
      <c r="D11" s="11">
        <v>627710</v>
      </c>
      <c r="E11" s="14">
        <f t="shared" si="2"/>
        <v>680</v>
      </c>
      <c r="F11" s="27">
        <v>1704</v>
      </c>
      <c r="G11" s="68">
        <f t="shared" si="3"/>
        <v>0</v>
      </c>
      <c r="H11" s="70">
        <f t="shared" si="4"/>
        <v>4613</v>
      </c>
      <c r="I11" s="74">
        <f t="shared" si="5"/>
        <v>-41055.17</v>
      </c>
      <c r="J11" s="32">
        <f t="shared" si="0"/>
        <v>-226.97999999999593</v>
      </c>
      <c r="K11" s="20">
        <f t="shared" si="6"/>
        <v>45667</v>
      </c>
      <c r="L11" s="33">
        <v>6432</v>
      </c>
      <c r="M11" s="31">
        <v>0</v>
      </c>
      <c r="N11" s="35">
        <v>0</v>
      </c>
      <c r="O11" s="86">
        <v>0.61</v>
      </c>
      <c r="P11" s="87">
        <v>0.64</v>
      </c>
      <c r="Q11" s="86">
        <v>0.56000000000000005</v>
      </c>
      <c r="R11" s="87">
        <v>0.55000000000000004</v>
      </c>
      <c r="S11" s="39">
        <f t="shared" si="7"/>
        <v>3680</v>
      </c>
      <c r="T11" s="124"/>
      <c r="U11" s="32">
        <f t="shared" si="8"/>
        <v>100</v>
      </c>
      <c r="V11" s="42">
        <v>1965</v>
      </c>
      <c r="W11" s="32">
        <f t="shared" si="9"/>
        <v>69</v>
      </c>
      <c r="X11" s="44">
        <v>61255</v>
      </c>
      <c r="Y11" s="14">
        <f t="shared" si="10"/>
        <v>0</v>
      </c>
      <c r="Z11" s="48">
        <v>8070</v>
      </c>
      <c r="AA11" s="53">
        <v>0</v>
      </c>
      <c r="AB11" s="32">
        <f t="shared" si="11"/>
        <v>1260</v>
      </c>
      <c r="AC11" s="13">
        <v>116</v>
      </c>
      <c r="AD11" s="18">
        <v>203</v>
      </c>
    </row>
    <row r="12" spans="1:30" ht="20.7" customHeight="1" x14ac:dyDescent="0.2">
      <c r="A12" s="19">
        <v>45668</v>
      </c>
      <c r="B12" s="10">
        <v>13452666</v>
      </c>
      <c r="C12" s="14">
        <f t="shared" si="1"/>
        <v>3709</v>
      </c>
      <c r="D12" s="11">
        <v>628390</v>
      </c>
      <c r="E12" s="14">
        <f t="shared" si="2"/>
        <v>678</v>
      </c>
      <c r="F12" s="27">
        <v>1704</v>
      </c>
      <c r="G12" s="68">
        <f t="shared" si="3"/>
        <v>0</v>
      </c>
      <c r="H12" s="70">
        <f t="shared" si="4"/>
        <v>4387</v>
      </c>
      <c r="I12" s="74">
        <f t="shared" si="5"/>
        <v>-41282.149999999994</v>
      </c>
      <c r="J12" s="32">
        <f t="shared" si="0"/>
        <v>-312.97000000000116</v>
      </c>
      <c r="K12" s="20">
        <f t="shared" si="6"/>
        <v>45668</v>
      </c>
      <c r="L12" s="33">
        <v>6432</v>
      </c>
      <c r="M12" s="34">
        <v>0</v>
      </c>
      <c r="N12" s="35">
        <v>0</v>
      </c>
      <c r="O12" s="86">
        <v>0.59</v>
      </c>
      <c r="P12" s="87">
        <v>0.62</v>
      </c>
      <c r="Q12" s="86">
        <v>0.56000000000000005</v>
      </c>
      <c r="R12" s="87">
        <v>0.55000000000000004</v>
      </c>
      <c r="S12" s="39">
        <f t="shared" si="7"/>
        <v>3580</v>
      </c>
      <c r="T12" s="124"/>
      <c r="U12" s="32">
        <f t="shared" si="8"/>
        <v>125</v>
      </c>
      <c r="V12" s="42">
        <v>2034</v>
      </c>
      <c r="W12" s="32">
        <f t="shared" si="9"/>
        <v>77</v>
      </c>
      <c r="X12" s="44">
        <v>61255</v>
      </c>
      <c r="Y12" s="14">
        <f t="shared" si="10"/>
        <v>0</v>
      </c>
      <c r="Z12" s="48">
        <v>6810</v>
      </c>
      <c r="AA12" s="53">
        <v>0</v>
      </c>
      <c r="AB12" s="32">
        <f t="shared" si="11"/>
        <v>1210</v>
      </c>
      <c r="AC12" s="13">
        <v>93</v>
      </c>
      <c r="AD12" s="18">
        <v>170</v>
      </c>
    </row>
    <row r="13" spans="1:30" ht="20.7" customHeight="1" x14ac:dyDescent="0.2">
      <c r="A13" s="19">
        <v>45669</v>
      </c>
      <c r="B13" s="10">
        <v>13456375</v>
      </c>
      <c r="C13" s="14">
        <f t="shared" si="1"/>
        <v>3573</v>
      </c>
      <c r="D13" s="11">
        <v>629068</v>
      </c>
      <c r="E13" s="14">
        <f t="shared" si="2"/>
        <v>502</v>
      </c>
      <c r="F13" s="27">
        <v>1704</v>
      </c>
      <c r="G13" s="68">
        <f t="shared" si="3"/>
        <v>0</v>
      </c>
      <c r="H13" s="70">
        <f t="shared" si="4"/>
        <v>4075</v>
      </c>
      <c r="I13" s="74">
        <f t="shared" si="5"/>
        <v>-41595.119999999995</v>
      </c>
      <c r="J13" s="32">
        <f t="shared" si="0"/>
        <v>196</v>
      </c>
      <c r="K13" s="20">
        <f t="shared" si="6"/>
        <v>45669</v>
      </c>
      <c r="L13" s="33">
        <v>6432</v>
      </c>
      <c r="M13" s="34">
        <v>0</v>
      </c>
      <c r="N13" s="35">
        <v>0</v>
      </c>
      <c r="O13" s="86">
        <v>0.56000000000000005</v>
      </c>
      <c r="P13" s="87">
        <v>0.6</v>
      </c>
      <c r="Q13" s="86">
        <v>0.56000000000000005</v>
      </c>
      <c r="R13" s="87">
        <v>0.55000000000000004</v>
      </c>
      <c r="S13" s="39">
        <f t="shared" si="7"/>
        <v>3455</v>
      </c>
      <c r="T13" s="124"/>
      <c r="U13" s="32">
        <f t="shared" si="8"/>
        <v>0</v>
      </c>
      <c r="V13" s="42">
        <v>2111</v>
      </c>
      <c r="W13" s="32">
        <f t="shared" si="9"/>
        <v>72</v>
      </c>
      <c r="X13" s="44">
        <v>61255</v>
      </c>
      <c r="Y13" s="14">
        <f t="shared" si="10"/>
        <v>0</v>
      </c>
      <c r="Z13" s="48">
        <v>5600</v>
      </c>
      <c r="AA13" s="53">
        <v>0</v>
      </c>
      <c r="AB13" s="32">
        <f t="shared" si="11"/>
        <v>1135</v>
      </c>
      <c r="AC13" s="13">
        <v>72</v>
      </c>
      <c r="AD13" s="18">
        <v>120</v>
      </c>
    </row>
    <row r="14" spans="1:30" ht="20.7" customHeight="1" x14ac:dyDescent="0.2">
      <c r="A14" s="19">
        <v>45670</v>
      </c>
      <c r="B14" s="10">
        <v>13459948</v>
      </c>
      <c r="C14" s="14">
        <f t="shared" si="1"/>
        <v>3535</v>
      </c>
      <c r="D14" s="11">
        <v>629570</v>
      </c>
      <c r="E14" s="14">
        <f t="shared" si="2"/>
        <v>737</v>
      </c>
      <c r="F14" s="27">
        <v>1704</v>
      </c>
      <c r="G14" s="68">
        <f t="shared" si="3"/>
        <v>0</v>
      </c>
      <c r="H14" s="70">
        <f t="shared" si="4"/>
        <v>4272</v>
      </c>
      <c r="I14" s="74">
        <f t="shared" si="5"/>
        <v>-41399.119999999995</v>
      </c>
      <c r="J14" s="32">
        <f t="shared" si="0"/>
        <v>-411.2300000000032</v>
      </c>
      <c r="K14" s="20">
        <f t="shared" si="6"/>
        <v>45670</v>
      </c>
      <c r="L14" s="33">
        <v>6432</v>
      </c>
      <c r="M14" s="34">
        <v>0</v>
      </c>
      <c r="N14" s="35">
        <v>0</v>
      </c>
      <c r="O14" s="86">
        <v>0.56000000000000005</v>
      </c>
      <c r="P14" s="87">
        <v>0.6</v>
      </c>
      <c r="Q14" s="86">
        <v>0.56000000000000005</v>
      </c>
      <c r="R14" s="87">
        <v>0.55000000000000004</v>
      </c>
      <c r="S14" s="39">
        <f t="shared" si="7"/>
        <v>3455</v>
      </c>
      <c r="T14" s="124">
        <v>1217</v>
      </c>
      <c r="U14" s="32">
        <f t="shared" si="8"/>
        <v>177</v>
      </c>
      <c r="V14" s="42">
        <v>2183</v>
      </c>
      <c r="W14" s="32">
        <f t="shared" si="9"/>
        <v>60</v>
      </c>
      <c r="X14" s="44">
        <v>61255</v>
      </c>
      <c r="Y14" s="14">
        <f t="shared" si="10"/>
        <v>0</v>
      </c>
      <c r="Z14" s="48">
        <v>4465</v>
      </c>
      <c r="AA14" s="53">
        <v>0</v>
      </c>
      <c r="AB14" s="32">
        <f t="shared" si="11"/>
        <v>1215</v>
      </c>
      <c r="AC14" s="13">
        <v>77</v>
      </c>
      <c r="AD14" s="18">
        <v>120</v>
      </c>
    </row>
    <row r="15" spans="1:30" ht="20.7" customHeight="1" x14ac:dyDescent="0.2">
      <c r="A15" s="19">
        <v>45671</v>
      </c>
      <c r="B15" s="10">
        <v>13463483</v>
      </c>
      <c r="C15" s="14">
        <f t="shared" si="1"/>
        <v>3136</v>
      </c>
      <c r="D15" s="11">
        <v>630307</v>
      </c>
      <c r="E15" s="14">
        <f t="shared" si="2"/>
        <v>726</v>
      </c>
      <c r="F15" s="27">
        <v>1704</v>
      </c>
      <c r="G15" s="68">
        <f t="shared" si="3"/>
        <v>0</v>
      </c>
      <c r="H15" s="70">
        <f t="shared" si="4"/>
        <v>3862</v>
      </c>
      <c r="I15" s="74">
        <f t="shared" si="5"/>
        <v>-41810.35</v>
      </c>
      <c r="J15" s="32">
        <f t="shared" si="0"/>
        <v>540.00999999999476</v>
      </c>
      <c r="K15" s="20">
        <f t="shared" si="6"/>
        <v>45671</v>
      </c>
      <c r="L15" s="33">
        <v>6432</v>
      </c>
      <c r="M15" s="34">
        <v>0</v>
      </c>
      <c r="N15" s="35">
        <v>0</v>
      </c>
      <c r="O15" s="86">
        <v>0.81</v>
      </c>
      <c r="P15" s="87">
        <v>0.77</v>
      </c>
      <c r="Q15" s="86">
        <v>0.54</v>
      </c>
      <c r="R15" s="87">
        <v>0.55000000000000004</v>
      </c>
      <c r="S15" s="39">
        <f t="shared" si="7"/>
        <v>4495</v>
      </c>
      <c r="T15" s="124"/>
      <c r="U15" s="32">
        <f t="shared" si="8"/>
        <v>25</v>
      </c>
      <c r="V15" s="42">
        <v>2243</v>
      </c>
      <c r="W15" s="32">
        <f t="shared" si="9"/>
        <v>54</v>
      </c>
      <c r="X15" s="45">
        <v>61255</v>
      </c>
      <c r="Y15" s="14">
        <f t="shared" si="10"/>
        <v>3</v>
      </c>
      <c r="Z15" s="48">
        <v>3250</v>
      </c>
      <c r="AA15" s="53">
        <v>0</v>
      </c>
      <c r="AB15" s="32">
        <f t="shared" si="11"/>
        <v>1070</v>
      </c>
      <c r="AC15" s="13">
        <v>64</v>
      </c>
      <c r="AD15" s="18">
        <v>101</v>
      </c>
    </row>
    <row r="16" spans="1:30" ht="20.7" customHeight="1" x14ac:dyDescent="0.2">
      <c r="A16" s="19">
        <v>45672</v>
      </c>
      <c r="B16" s="10">
        <v>13466619</v>
      </c>
      <c r="C16" s="14">
        <f t="shared" si="1"/>
        <v>3686</v>
      </c>
      <c r="D16" s="11">
        <v>631033</v>
      </c>
      <c r="E16" s="14">
        <f t="shared" si="2"/>
        <v>717</v>
      </c>
      <c r="F16" s="27">
        <v>1704</v>
      </c>
      <c r="G16" s="68">
        <f t="shared" si="3"/>
        <v>0</v>
      </c>
      <c r="H16" s="70">
        <f t="shared" si="4"/>
        <v>4403</v>
      </c>
      <c r="I16" s="74">
        <f t="shared" si="5"/>
        <v>-41270.340000000004</v>
      </c>
      <c r="J16" s="32">
        <f t="shared" si="0"/>
        <v>139.02000000000407</v>
      </c>
      <c r="K16" s="20">
        <f t="shared" si="6"/>
        <v>45672</v>
      </c>
      <c r="L16" s="33">
        <v>6432</v>
      </c>
      <c r="M16" s="34">
        <v>0</v>
      </c>
      <c r="N16" s="35">
        <v>0</v>
      </c>
      <c r="O16" s="86">
        <v>0.8</v>
      </c>
      <c r="P16" s="87">
        <v>0.77</v>
      </c>
      <c r="Q16" s="86">
        <v>0.54</v>
      </c>
      <c r="R16" s="87">
        <v>0.55000000000000004</v>
      </c>
      <c r="S16" s="39">
        <f t="shared" si="7"/>
        <v>4470</v>
      </c>
      <c r="T16" s="124"/>
      <c r="U16" s="32">
        <f t="shared" si="8"/>
        <v>100</v>
      </c>
      <c r="V16" s="42">
        <v>2297</v>
      </c>
      <c r="W16" s="32">
        <f t="shared" si="9"/>
        <v>59</v>
      </c>
      <c r="X16" s="125">
        <v>61258</v>
      </c>
      <c r="Y16" s="14">
        <f t="shared" si="10"/>
        <v>3</v>
      </c>
      <c r="Z16" s="48">
        <v>2180</v>
      </c>
      <c r="AA16" s="53">
        <v>8170</v>
      </c>
      <c r="AB16" s="32">
        <f t="shared" si="11"/>
        <v>1040</v>
      </c>
      <c r="AC16" s="13">
        <v>62</v>
      </c>
      <c r="AD16" s="18">
        <v>97</v>
      </c>
    </row>
    <row r="17" spans="1:30" ht="20.7" customHeight="1" x14ac:dyDescent="0.2">
      <c r="A17" s="19">
        <v>45673</v>
      </c>
      <c r="B17" s="10">
        <v>13470305</v>
      </c>
      <c r="C17" s="14">
        <f t="shared" si="1"/>
        <v>3791</v>
      </c>
      <c r="D17" s="11">
        <v>631750</v>
      </c>
      <c r="E17" s="14">
        <f t="shared" si="2"/>
        <v>752</v>
      </c>
      <c r="F17" s="27">
        <v>1704</v>
      </c>
      <c r="G17" s="68">
        <f t="shared" si="3"/>
        <v>0</v>
      </c>
      <c r="H17" s="70">
        <f t="shared" si="4"/>
        <v>4543</v>
      </c>
      <c r="I17" s="74">
        <f t="shared" si="5"/>
        <v>-41131.32</v>
      </c>
      <c r="J17" s="32">
        <f t="shared" si="0"/>
        <v>278.02999999999884</v>
      </c>
      <c r="K17" s="20">
        <f t="shared" si="6"/>
        <v>45673</v>
      </c>
      <c r="L17" s="33">
        <v>6432</v>
      </c>
      <c r="M17" s="34">
        <v>0</v>
      </c>
      <c r="N17" s="35">
        <v>0</v>
      </c>
      <c r="O17" s="86">
        <v>0.78</v>
      </c>
      <c r="P17" s="87">
        <v>0.75</v>
      </c>
      <c r="Q17" s="86">
        <v>0.54</v>
      </c>
      <c r="R17" s="87">
        <v>0.55000000000000004</v>
      </c>
      <c r="S17" s="39">
        <f t="shared" si="7"/>
        <v>4370</v>
      </c>
      <c r="T17" s="124"/>
      <c r="U17" s="32">
        <f t="shared" si="8"/>
        <v>100</v>
      </c>
      <c r="V17" s="42">
        <v>2356</v>
      </c>
      <c r="W17" s="32">
        <f t="shared" si="9"/>
        <v>72</v>
      </c>
      <c r="X17" s="45">
        <v>61261</v>
      </c>
      <c r="Y17" s="14">
        <f t="shared" si="10"/>
        <v>1</v>
      </c>
      <c r="Z17" s="48">
        <v>9310</v>
      </c>
      <c r="AA17" s="53">
        <v>0</v>
      </c>
      <c r="AB17" s="32">
        <f t="shared" si="11"/>
        <v>1150</v>
      </c>
      <c r="AC17" s="13">
        <v>88</v>
      </c>
      <c r="AD17" s="18">
        <v>139</v>
      </c>
    </row>
    <row r="18" spans="1:30" ht="20.7" customHeight="1" x14ac:dyDescent="0.2">
      <c r="A18" s="19">
        <v>45674</v>
      </c>
      <c r="B18" s="10">
        <v>13474096</v>
      </c>
      <c r="C18" s="14">
        <f t="shared" si="1"/>
        <v>4056</v>
      </c>
      <c r="D18" s="11">
        <v>632502</v>
      </c>
      <c r="E18" s="14">
        <f t="shared" si="2"/>
        <v>766</v>
      </c>
      <c r="F18" s="27">
        <v>1704</v>
      </c>
      <c r="G18" s="68">
        <f t="shared" si="3"/>
        <v>0</v>
      </c>
      <c r="H18" s="70">
        <f t="shared" si="4"/>
        <v>4822</v>
      </c>
      <c r="I18" s="74">
        <f t="shared" si="5"/>
        <v>-40853.29</v>
      </c>
      <c r="J18" s="32">
        <f t="shared" si="0"/>
        <v>245.0199999999968</v>
      </c>
      <c r="K18" s="20">
        <f t="shared" si="6"/>
        <v>45674</v>
      </c>
      <c r="L18" s="33">
        <v>6432</v>
      </c>
      <c r="M18" s="34">
        <v>0</v>
      </c>
      <c r="N18" s="35">
        <v>0</v>
      </c>
      <c r="O18" s="86">
        <v>0.75</v>
      </c>
      <c r="P18" s="87">
        <v>0.74</v>
      </c>
      <c r="Q18" s="86">
        <v>0.54</v>
      </c>
      <c r="R18" s="87">
        <v>0.55000000000000004</v>
      </c>
      <c r="S18" s="39">
        <f t="shared" si="7"/>
        <v>4270</v>
      </c>
      <c r="T18" s="124"/>
      <c r="U18" s="32">
        <f t="shared" si="8"/>
        <v>50</v>
      </c>
      <c r="V18" s="42">
        <v>2428</v>
      </c>
      <c r="W18" s="32">
        <f t="shared" si="9"/>
        <v>71</v>
      </c>
      <c r="X18" s="45">
        <v>61262</v>
      </c>
      <c r="Y18" s="14">
        <f t="shared" si="10"/>
        <v>2</v>
      </c>
      <c r="Z18" s="48">
        <v>8160</v>
      </c>
      <c r="AA18" s="53">
        <v>0</v>
      </c>
      <c r="AB18" s="32">
        <f t="shared" si="11"/>
        <v>1320</v>
      </c>
      <c r="AC18" s="13">
        <v>104</v>
      </c>
      <c r="AD18" s="18">
        <v>173</v>
      </c>
    </row>
    <row r="19" spans="1:30" ht="20.7" customHeight="1" x14ac:dyDescent="0.2">
      <c r="A19" s="19">
        <v>45675</v>
      </c>
      <c r="B19" s="10">
        <v>13478152</v>
      </c>
      <c r="C19" s="14">
        <f t="shared" si="1"/>
        <v>4273</v>
      </c>
      <c r="D19" s="11">
        <v>633268</v>
      </c>
      <c r="E19" s="14">
        <f t="shared" si="2"/>
        <v>795</v>
      </c>
      <c r="F19" s="27">
        <v>1704</v>
      </c>
      <c r="G19" s="68">
        <f t="shared" si="3"/>
        <v>0</v>
      </c>
      <c r="H19" s="70">
        <f t="shared" si="4"/>
        <v>5068</v>
      </c>
      <c r="I19" s="74">
        <f t="shared" si="5"/>
        <v>-40608.270000000004</v>
      </c>
      <c r="J19" s="32">
        <f t="shared" si="0"/>
        <v>-505.97999999999593</v>
      </c>
      <c r="K19" s="20">
        <f t="shared" si="6"/>
        <v>45675</v>
      </c>
      <c r="L19" s="33">
        <v>6432</v>
      </c>
      <c r="M19" s="34">
        <v>0</v>
      </c>
      <c r="N19" s="35">
        <v>0</v>
      </c>
      <c r="O19" s="86">
        <v>0.73</v>
      </c>
      <c r="P19" s="87">
        <v>0.74</v>
      </c>
      <c r="Q19" s="86">
        <v>0.54</v>
      </c>
      <c r="R19" s="87">
        <v>0.55000000000000004</v>
      </c>
      <c r="S19" s="39">
        <f t="shared" si="7"/>
        <v>4220</v>
      </c>
      <c r="T19" s="124"/>
      <c r="U19" s="32">
        <f t="shared" si="8"/>
        <v>105</v>
      </c>
      <c r="V19" s="42">
        <v>2499</v>
      </c>
      <c r="W19" s="32">
        <f t="shared" si="9"/>
        <v>91</v>
      </c>
      <c r="X19" s="45">
        <v>61264</v>
      </c>
      <c r="Y19" s="14">
        <f t="shared" si="10"/>
        <v>0</v>
      </c>
      <c r="Z19" s="48">
        <v>6840</v>
      </c>
      <c r="AA19" s="53">
        <v>0</v>
      </c>
      <c r="AB19" s="32">
        <f t="shared" si="11"/>
        <v>1530</v>
      </c>
      <c r="AC19" s="13">
        <v>114</v>
      </c>
      <c r="AD19" s="18">
        <v>205</v>
      </c>
    </row>
    <row r="20" spans="1:30" ht="20.7" customHeight="1" x14ac:dyDescent="0.2">
      <c r="A20" s="19">
        <v>45676</v>
      </c>
      <c r="B20" s="10">
        <v>13482425</v>
      </c>
      <c r="C20" s="14">
        <f t="shared" si="1"/>
        <v>4249</v>
      </c>
      <c r="D20" s="11">
        <v>634063</v>
      </c>
      <c r="E20" s="14">
        <f t="shared" si="2"/>
        <v>314</v>
      </c>
      <c r="F20" s="27">
        <v>1704</v>
      </c>
      <c r="G20" s="68">
        <f t="shared" si="3"/>
        <v>0</v>
      </c>
      <c r="H20" s="70">
        <f t="shared" si="4"/>
        <v>4563</v>
      </c>
      <c r="I20" s="74">
        <f t="shared" si="5"/>
        <v>-41114.25</v>
      </c>
      <c r="J20" s="32">
        <f t="shared" si="0"/>
        <v>-4563.989999999998</v>
      </c>
      <c r="K20" s="20">
        <f t="shared" si="6"/>
        <v>45676</v>
      </c>
      <c r="L20" s="33">
        <v>6432</v>
      </c>
      <c r="M20" s="34">
        <v>0</v>
      </c>
      <c r="N20" s="35">
        <v>0</v>
      </c>
      <c r="O20" s="86">
        <v>0.72</v>
      </c>
      <c r="P20" s="87">
        <v>0.71</v>
      </c>
      <c r="Q20" s="86">
        <v>0.53</v>
      </c>
      <c r="R20" s="87">
        <v>0.55000000000000004</v>
      </c>
      <c r="S20" s="39">
        <f t="shared" si="7"/>
        <v>4115</v>
      </c>
      <c r="T20" s="124"/>
      <c r="U20" s="32">
        <f t="shared" si="8"/>
        <v>25</v>
      </c>
      <c r="V20" s="42">
        <v>2590</v>
      </c>
      <c r="W20" s="32">
        <f t="shared" si="9"/>
        <v>75</v>
      </c>
      <c r="X20" s="45">
        <v>61264</v>
      </c>
      <c r="Y20" s="14">
        <f t="shared" si="10"/>
        <v>0</v>
      </c>
      <c r="Z20" s="48">
        <v>5310</v>
      </c>
      <c r="AA20" s="53">
        <v>0</v>
      </c>
      <c r="AB20" s="32">
        <f t="shared" si="11"/>
        <v>1310</v>
      </c>
      <c r="AC20" s="13">
        <v>70</v>
      </c>
      <c r="AD20" s="18">
        <v>115</v>
      </c>
    </row>
    <row r="21" spans="1:30" ht="20.7" customHeight="1" x14ac:dyDescent="0.2">
      <c r="A21" s="19">
        <v>45677</v>
      </c>
      <c r="B21" s="10">
        <v>13486674</v>
      </c>
      <c r="C21" s="14" t="str">
        <f t="shared" si="1"/>
        <v>0</v>
      </c>
      <c r="D21" s="11">
        <v>634377</v>
      </c>
      <c r="E21" s="14" t="str">
        <f t="shared" si="2"/>
        <v>0</v>
      </c>
      <c r="F21" s="27">
        <v>1704</v>
      </c>
      <c r="G21" s="68">
        <f t="shared" si="3"/>
        <v>0</v>
      </c>
      <c r="H21" s="70">
        <f t="shared" si="4"/>
        <v>0</v>
      </c>
      <c r="I21" s="74">
        <f t="shared" si="5"/>
        <v>-45678.239999999998</v>
      </c>
      <c r="J21" s="32">
        <f t="shared" si="0"/>
        <v>0.23999999999796273</v>
      </c>
      <c r="K21" s="20">
        <f t="shared" si="6"/>
        <v>45677</v>
      </c>
      <c r="L21" s="33">
        <v>6432</v>
      </c>
      <c r="M21" s="34">
        <v>0</v>
      </c>
      <c r="N21" s="35">
        <v>0</v>
      </c>
      <c r="O21" s="86">
        <v>0.71</v>
      </c>
      <c r="P21" s="87">
        <v>0.71</v>
      </c>
      <c r="Q21" s="86">
        <v>0.53</v>
      </c>
      <c r="R21" s="87">
        <v>0.55000000000000004</v>
      </c>
      <c r="S21" s="39">
        <f t="shared" si="7"/>
        <v>4090</v>
      </c>
      <c r="T21" s="124"/>
      <c r="U21" s="32" t="str">
        <f t="shared" si="8"/>
        <v>0</v>
      </c>
      <c r="V21" s="42">
        <v>2665</v>
      </c>
      <c r="W21" s="32" t="str">
        <f t="shared" si="9"/>
        <v>0</v>
      </c>
      <c r="X21" s="45">
        <v>61264</v>
      </c>
      <c r="Y21" s="14" t="str">
        <f t="shared" si="10"/>
        <v>0</v>
      </c>
      <c r="Z21" s="48">
        <v>4000</v>
      </c>
      <c r="AA21" s="53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45678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8">
        <f t="shared" si="3"/>
        <v>0</v>
      </c>
      <c r="H22" s="70">
        <f t="shared" si="4"/>
        <v>0</v>
      </c>
      <c r="I22" s="74">
        <f t="shared" si="5"/>
        <v>-45678</v>
      </c>
      <c r="J22" s="32">
        <f t="shared" si="0"/>
        <v>-1</v>
      </c>
      <c r="K22" s="20">
        <f t="shared" si="6"/>
        <v>45678</v>
      </c>
      <c r="L22" s="33"/>
      <c r="M22" s="34">
        <v>0</v>
      </c>
      <c r="N22" s="35">
        <v>0</v>
      </c>
      <c r="O22" s="86"/>
      <c r="P22" s="87"/>
      <c r="Q22" s="86"/>
      <c r="R22" s="87"/>
      <c r="S22" s="39">
        <f t="shared" si="7"/>
        <v>0</v>
      </c>
      <c r="T22" s="124"/>
      <c r="U22" s="32" t="str">
        <f t="shared" si="8"/>
        <v>0</v>
      </c>
      <c r="V22" s="42"/>
      <c r="W22" s="32">
        <f t="shared" si="9"/>
        <v>0</v>
      </c>
      <c r="X22" s="45"/>
      <c r="Y22" s="14">
        <f t="shared" si="10"/>
        <v>0</v>
      </c>
      <c r="Z22" s="48"/>
      <c r="AA22" s="53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19">
        <v>45679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8">
        <f t="shared" si="3"/>
        <v>0</v>
      </c>
      <c r="H23" s="70">
        <f t="shared" si="4"/>
        <v>0</v>
      </c>
      <c r="I23" s="74">
        <f t="shared" si="5"/>
        <v>-45679</v>
      </c>
      <c r="J23" s="32">
        <f t="shared" si="0"/>
        <v>-1</v>
      </c>
      <c r="K23" s="20">
        <f t="shared" si="6"/>
        <v>45679</v>
      </c>
      <c r="L23" s="33"/>
      <c r="M23" s="34">
        <v>0</v>
      </c>
      <c r="N23" s="35">
        <v>0</v>
      </c>
      <c r="O23" s="86"/>
      <c r="P23" s="87"/>
      <c r="Q23" s="86"/>
      <c r="R23" s="87"/>
      <c r="S23" s="39">
        <f t="shared" si="7"/>
        <v>0</v>
      </c>
      <c r="T23" s="38"/>
      <c r="U23" s="32" t="str">
        <f t="shared" si="8"/>
        <v>0</v>
      </c>
      <c r="V23" s="42"/>
      <c r="W23" s="32">
        <f t="shared" si="9"/>
        <v>0</v>
      </c>
      <c r="X23" s="45"/>
      <c r="Y23" s="14">
        <f t="shared" si="10"/>
        <v>0</v>
      </c>
      <c r="Z23" s="48"/>
      <c r="AA23" s="53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45680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8">
        <f t="shared" si="3"/>
        <v>0</v>
      </c>
      <c r="H24" s="70">
        <f t="shared" si="4"/>
        <v>0</v>
      </c>
      <c r="I24" s="74">
        <f t="shared" si="5"/>
        <v>-45680</v>
      </c>
      <c r="J24" s="32">
        <f t="shared" si="0"/>
        <v>-1</v>
      </c>
      <c r="K24" s="20">
        <f t="shared" si="6"/>
        <v>45680</v>
      </c>
      <c r="L24" s="33"/>
      <c r="M24" s="34">
        <v>0</v>
      </c>
      <c r="N24" s="35">
        <v>0</v>
      </c>
      <c r="O24" s="86"/>
      <c r="P24" s="87"/>
      <c r="Q24" s="86"/>
      <c r="R24" s="87"/>
      <c r="S24" s="39">
        <f t="shared" si="7"/>
        <v>0</v>
      </c>
      <c r="T24" s="38"/>
      <c r="U24" s="32" t="str">
        <f t="shared" si="8"/>
        <v>0</v>
      </c>
      <c r="V24" s="42"/>
      <c r="W24" s="32">
        <f t="shared" si="9"/>
        <v>0</v>
      </c>
      <c r="X24" s="45"/>
      <c r="Y24" s="14">
        <f t="shared" si="10"/>
        <v>0</v>
      </c>
      <c r="Z24" s="48"/>
      <c r="AA24" s="53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19">
        <v>45681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8">
        <f t="shared" si="3"/>
        <v>0</v>
      </c>
      <c r="H25" s="70">
        <f t="shared" si="4"/>
        <v>0</v>
      </c>
      <c r="I25" s="74">
        <f t="shared" si="5"/>
        <v>-45681</v>
      </c>
      <c r="J25" s="32">
        <f t="shared" si="0"/>
        <v>-1</v>
      </c>
      <c r="K25" s="20">
        <f t="shared" si="6"/>
        <v>45681</v>
      </c>
      <c r="L25" s="33"/>
      <c r="M25" s="34">
        <v>0</v>
      </c>
      <c r="N25" s="35">
        <v>0</v>
      </c>
      <c r="O25" s="86"/>
      <c r="P25" s="87"/>
      <c r="Q25" s="86"/>
      <c r="R25" s="87"/>
      <c r="S25" s="39">
        <f t="shared" si="7"/>
        <v>0</v>
      </c>
      <c r="T25" s="38"/>
      <c r="U25" s="32" t="str">
        <f t="shared" si="8"/>
        <v>0</v>
      </c>
      <c r="V25" s="42"/>
      <c r="W25" s="32">
        <f t="shared" si="9"/>
        <v>0</v>
      </c>
      <c r="X25" s="45"/>
      <c r="Y25" s="14">
        <f t="shared" si="10"/>
        <v>0</v>
      </c>
      <c r="Z25" s="48"/>
      <c r="AA25" s="53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45682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8">
        <f t="shared" si="3"/>
        <v>0</v>
      </c>
      <c r="H26" s="70">
        <f t="shared" si="4"/>
        <v>0</v>
      </c>
      <c r="I26" s="74">
        <f t="shared" si="5"/>
        <v>-45682</v>
      </c>
      <c r="J26" s="32">
        <f t="shared" si="0"/>
        <v>-1</v>
      </c>
      <c r="K26" s="20">
        <f t="shared" si="6"/>
        <v>45682</v>
      </c>
      <c r="L26" s="33"/>
      <c r="M26" s="34">
        <v>0</v>
      </c>
      <c r="N26" s="35">
        <v>0</v>
      </c>
      <c r="O26" s="86"/>
      <c r="P26" s="87"/>
      <c r="Q26" s="86"/>
      <c r="R26" s="87"/>
      <c r="S26" s="39">
        <f t="shared" si="7"/>
        <v>0</v>
      </c>
      <c r="T26" s="38"/>
      <c r="U26" s="32" t="str">
        <f t="shared" si="8"/>
        <v>0</v>
      </c>
      <c r="V26" s="42"/>
      <c r="W26" s="32">
        <f t="shared" si="9"/>
        <v>0</v>
      </c>
      <c r="X26" s="45"/>
      <c r="Y26" s="14">
        <f t="shared" si="10"/>
        <v>0</v>
      </c>
      <c r="Z26" s="48"/>
      <c r="AA26" s="53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19">
        <v>45683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8">
        <f t="shared" si="3"/>
        <v>0</v>
      </c>
      <c r="H27" s="70">
        <f t="shared" si="4"/>
        <v>0</v>
      </c>
      <c r="I27" s="74">
        <f t="shared" si="5"/>
        <v>-45683</v>
      </c>
      <c r="J27" s="32">
        <f t="shared" si="0"/>
        <v>-1</v>
      </c>
      <c r="K27" s="20">
        <f t="shared" si="6"/>
        <v>45683</v>
      </c>
      <c r="L27" s="33"/>
      <c r="M27" s="34">
        <v>0</v>
      </c>
      <c r="N27" s="35">
        <v>0</v>
      </c>
      <c r="O27" s="86"/>
      <c r="P27" s="87"/>
      <c r="Q27" s="86"/>
      <c r="R27" s="87"/>
      <c r="S27" s="39">
        <f t="shared" si="7"/>
        <v>0</v>
      </c>
      <c r="T27" s="38"/>
      <c r="U27" s="32" t="str">
        <f t="shared" si="8"/>
        <v>0</v>
      </c>
      <c r="V27" s="42"/>
      <c r="W27" s="32">
        <f t="shared" si="9"/>
        <v>0</v>
      </c>
      <c r="X27" s="45"/>
      <c r="Y27" s="14">
        <f t="shared" si="10"/>
        <v>0</v>
      </c>
      <c r="Z27" s="48"/>
      <c r="AA27" s="53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45684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8">
        <f t="shared" si="3"/>
        <v>0</v>
      </c>
      <c r="H28" s="70">
        <f t="shared" si="4"/>
        <v>0</v>
      </c>
      <c r="I28" s="74">
        <f t="shared" si="5"/>
        <v>-45684</v>
      </c>
      <c r="J28" s="32">
        <f t="shared" si="0"/>
        <v>-1</v>
      </c>
      <c r="K28" s="20">
        <f t="shared" si="6"/>
        <v>45684</v>
      </c>
      <c r="L28" s="33"/>
      <c r="M28" s="34">
        <v>0</v>
      </c>
      <c r="N28" s="35">
        <v>0</v>
      </c>
      <c r="O28" s="86"/>
      <c r="P28" s="87"/>
      <c r="Q28" s="86"/>
      <c r="R28" s="87"/>
      <c r="S28" s="39">
        <f t="shared" si="7"/>
        <v>0</v>
      </c>
      <c r="T28" s="38"/>
      <c r="U28" s="32" t="str">
        <f t="shared" si="8"/>
        <v>0</v>
      </c>
      <c r="V28" s="42"/>
      <c r="W28" s="32">
        <f t="shared" si="9"/>
        <v>0</v>
      </c>
      <c r="X28" s="45"/>
      <c r="Y28" s="14">
        <f t="shared" si="10"/>
        <v>0</v>
      </c>
      <c r="Z28" s="48"/>
      <c r="AA28" s="53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19">
        <v>45685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8">
        <f t="shared" si="3"/>
        <v>0</v>
      </c>
      <c r="H29" s="70">
        <f t="shared" si="4"/>
        <v>0</v>
      </c>
      <c r="I29" s="74">
        <f t="shared" si="5"/>
        <v>-45685</v>
      </c>
      <c r="J29" s="32">
        <f t="shared" si="0"/>
        <v>-1</v>
      </c>
      <c r="K29" s="20">
        <f t="shared" si="6"/>
        <v>45685</v>
      </c>
      <c r="L29" s="33"/>
      <c r="M29" s="34">
        <v>0</v>
      </c>
      <c r="N29" s="35">
        <v>0</v>
      </c>
      <c r="O29" s="86"/>
      <c r="P29" s="87"/>
      <c r="Q29" s="86"/>
      <c r="R29" s="87"/>
      <c r="S29" s="39">
        <f t="shared" si="7"/>
        <v>0</v>
      </c>
      <c r="T29" s="38"/>
      <c r="U29" s="32" t="str">
        <f t="shared" si="8"/>
        <v>0</v>
      </c>
      <c r="V29" s="42"/>
      <c r="W29" s="32">
        <f t="shared" si="9"/>
        <v>0</v>
      </c>
      <c r="X29" s="45"/>
      <c r="Y29" s="14">
        <f t="shared" si="10"/>
        <v>0</v>
      </c>
      <c r="Z29" s="48"/>
      <c r="AA29" s="53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45686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8">
        <f>F32-F30</f>
        <v>0</v>
      </c>
      <c r="H30" s="70">
        <f t="shared" si="4"/>
        <v>0</v>
      </c>
      <c r="I30" s="74">
        <f t="shared" si="5"/>
        <v>-45686</v>
      </c>
      <c r="J30" s="32">
        <f>I32-I30</f>
        <v>-2</v>
      </c>
      <c r="K30" s="20">
        <f t="shared" si="6"/>
        <v>45686</v>
      </c>
      <c r="L30" s="33"/>
      <c r="M30" s="34">
        <v>0</v>
      </c>
      <c r="N30" s="35">
        <v>0</v>
      </c>
      <c r="O30" s="86"/>
      <c r="P30" s="87"/>
      <c r="Q30" s="86"/>
      <c r="R30" s="87"/>
      <c r="S30" s="39">
        <f t="shared" si="7"/>
        <v>0</v>
      </c>
      <c r="T30" s="38"/>
      <c r="U30" s="32" t="str">
        <f t="shared" si="8"/>
        <v>0</v>
      </c>
      <c r="V30" s="42"/>
      <c r="W30" s="32">
        <f>IF(V32-V30&lt;0,"0",V32-V30)</f>
        <v>0</v>
      </c>
      <c r="X30" s="45"/>
      <c r="Y30" s="14">
        <f>IF((X32-X30)&lt;0,"0",X32-X30)</f>
        <v>0</v>
      </c>
      <c r="Z30" s="48"/>
      <c r="AA30" s="53">
        <v>0</v>
      </c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45687</v>
      </c>
      <c r="B31" s="10"/>
      <c r="C31" s="14">
        <f t="shared" ref="C31:C32" si="12">IF((B33-B31)&lt;0,"0",B33-B31)</f>
        <v>0</v>
      </c>
      <c r="D31" s="11"/>
      <c r="E31" s="14">
        <f t="shared" ref="E31" si="13">IF((D32-D31)&lt;0,"0",D32-D31)</f>
        <v>0</v>
      </c>
      <c r="F31" s="27">
        <v>1704</v>
      </c>
      <c r="G31" s="68">
        <f t="shared" ref="G31" si="14">F32-F31</f>
        <v>0</v>
      </c>
      <c r="H31" s="70">
        <f t="shared" ref="H31" si="15">C31+E31-G31</f>
        <v>0</v>
      </c>
      <c r="I31" s="74">
        <f t="shared" ref="I31" si="16">H31-K31-M31-O31-Q31</f>
        <v>-45687</v>
      </c>
      <c r="J31" s="32">
        <f t="shared" ref="J31" si="17">I32-I31</f>
        <v>-1</v>
      </c>
      <c r="K31" s="20">
        <f t="shared" ref="K31" si="18">A31</f>
        <v>45687</v>
      </c>
      <c r="L31" s="33"/>
      <c r="M31" s="34">
        <v>0</v>
      </c>
      <c r="N31" s="35">
        <v>0</v>
      </c>
      <c r="O31" s="86"/>
      <c r="P31" s="87"/>
      <c r="Q31" s="86"/>
      <c r="R31" s="87"/>
      <c r="S31" s="39">
        <f t="shared" si="7"/>
        <v>0</v>
      </c>
      <c r="T31" s="38"/>
      <c r="U31" s="32" t="str">
        <f t="shared" si="8"/>
        <v>0</v>
      </c>
      <c r="V31" s="42"/>
      <c r="W31" s="32">
        <f t="shared" ref="W31" si="19">IF(V32-V31&lt;0,"0",V32-V31)</f>
        <v>0</v>
      </c>
      <c r="X31" s="45"/>
      <c r="Y31" s="14">
        <f t="shared" ref="Y31" si="20">IF((X32-X31)&lt;0,"0",X32-X31)</f>
        <v>0</v>
      </c>
      <c r="Z31" s="48"/>
      <c r="AA31" s="53">
        <v>0</v>
      </c>
      <c r="AB31" s="32" t="str">
        <f t="shared" ref="AB31" si="21">IF((Z31-Z32+AA31)=Z31,"0",(Z31-Z32+AA31))</f>
        <v>0</v>
      </c>
      <c r="AC31" s="13"/>
      <c r="AD31" s="18"/>
    </row>
    <row r="32" spans="1:30" ht="20.7" customHeight="1" thickBot="1" x14ac:dyDescent="0.25">
      <c r="A32" s="19">
        <v>45688</v>
      </c>
      <c r="B32" s="10"/>
      <c r="C32" s="14">
        <f t="shared" si="12"/>
        <v>0</v>
      </c>
      <c r="D32" s="11"/>
      <c r="E32" s="14">
        <f t="shared" si="2"/>
        <v>0</v>
      </c>
      <c r="F32" s="27">
        <v>1704</v>
      </c>
      <c r="G32" s="68">
        <f t="shared" si="3"/>
        <v>0</v>
      </c>
      <c r="H32" s="70">
        <f t="shared" si="4"/>
        <v>0</v>
      </c>
      <c r="I32" s="74">
        <f t="shared" si="5"/>
        <v>-45688</v>
      </c>
      <c r="J32" s="32">
        <f t="shared" si="0"/>
        <v>45688</v>
      </c>
      <c r="K32" s="20">
        <f t="shared" si="6"/>
        <v>45688</v>
      </c>
      <c r="L32" s="33"/>
      <c r="M32" s="34">
        <v>0</v>
      </c>
      <c r="N32" s="35">
        <v>0</v>
      </c>
      <c r="O32" s="86"/>
      <c r="P32" s="87"/>
      <c r="Q32" s="86"/>
      <c r="R32" s="87"/>
      <c r="S32" s="39">
        <f t="shared" si="7"/>
        <v>0</v>
      </c>
      <c r="T32" s="38"/>
      <c r="U32" s="32" t="str">
        <f t="shared" si="8"/>
        <v>0</v>
      </c>
      <c r="V32" s="42"/>
      <c r="W32" s="32">
        <f t="shared" si="9"/>
        <v>0</v>
      </c>
      <c r="X32" s="45"/>
      <c r="Y32" s="14">
        <f t="shared" si="10"/>
        <v>0</v>
      </c>
      <c r="Z32" s="48"/>
      <c r="AA32" s="53">
        <v>0</v>
      </c>
      <c r="AB32" s="32" t="str">
        <f t="shared" si="11"/>
        <v>0</v>
      </c>
      <c r="AC32" s="13"/>
      <c r="AD32" s="18"/>
    </row>
    <row r="33" spans="1:30" ht="20.7" customHeight="1" thickTop="1" thickBot="1" x14ac:dyDescent="0.25">
      <c r="A33" s="19">
        <v>45689</v>
      </c>
      <c r="B33" s="54"/>
      <c r="C33" s="64"/>
      <c r="D33" s="63"/>
      <c r="E33" s="64"/>
      <c r="F33" s="27">
        <v>1704</v>
      </c>
      <c r="G33" s="57"/>
      <c r="H33" s="72"/>
      <c r="I33" s="65"/>
      <c r="J33" s="64"/>
      <c r="K33" s="62">
        <f t="shared" si="6"/>
        <v>45689</v>
      </c>
      <c r="L33" s="50"/>
      <c r="M33" s="66">
        <v>0</v>
      </c>
      <c r="N33" s="64"/>
      <c r="O33" s="88"/>
      <c r="P33" s="89"/>
      <c r="Q33" s="88"/>
      <c r="R33" s="89"/>
      <c r="S33" s="39">
        <f t="shared" si="7"/>
        <v>0</v>
      </c>
      <c r="T33" s="55"/>
      <c r="U33" s="64"/>
      <c r="V33" s="61"/>
      <c r="W33" s="64"/>
      <c r="X33" s="60"/>
      <c r="Y33" s="64"/>
      <c r="Z33" s="59"/>
      <c r="AA33" s="56">
        <v>0</v>
      </c>
      <c r="AB33" s="57"/>
      <c r="AC33" s="58">
        <v>174</v>
      </c>
      <c r="AD33" s="58">
        <v>370</v>
      </c>
    </row>
    <row r="34" spans="1:30" s="82" customFormat="1" ht="10.7" thickTop="1" x14ac:dyDescent="0.2">
      <c r="A34" s="76"/>
      <c r="B34" s="76"/>
      <c r="C34" s="77">
        <f>SUM(C2:C33)</f>
        <v>73089</v>
      </c>
      <c r="D34" s="78"/>
      <c r="E34" s="77">
        <f>SUM(E2:E33)</f>
        <v>11496</v>
      </c>
      <c r="F34" s="79"/>
      <c r="G34" s="77">
        <f>SUM(G2:G33)</f>
        <v>0</v>
      </c>
      <c r="H34" s="78">
        <f>SUM(H2:H33)</f>
        <v>84585</v>
      </c>
      <c r="I34" s="77">
        <f>SUM(I2:I32)</f>
        <v>-1339302.73</v>
      </c>
      <c r="J34" s="77">
        <f>SUM(J2:J33)</f>
        <v>40369.340000000004</v>
      </c>
      <c r="K34" s="76"/>
      <c r="L34" s="78"/>
      <c r="M34" s="78"/>
      <c r="N34" s="77">
        <f>SUM(N2:N33)</f>
        <v>0</v>
      </c>
      <c r="O34" s="76"/>
      <c r="P34" s="76"/>
      <c r="Q34" s="76"/>
      <c r="R34" s="76"/>
      <c r="S34" s="76"/>
      <c r="T34" s="78">
        <f>SUM(T2:T33)</f>
        <v>1217</v>
      </c>
      <c r="U34" s="77">
        <f>SUM(U2:U33)</f>
        <v>1342</v>
      </c>
      <c r="V34" s="76"/>
      <c r="W34" s="77">
        <f>SUM(W2:W33)</f>
        <v>1402</v>
      </c>
      <c r="X34" s="76"/>
      <c r="Y34" s="77">
        <f>SUM(Y2:Y33)</f>
        <v>9</v>
      </c>
      <c r="Z34" s="76"/>
      <c r="AA34" s="76">
        <f>SUM(AA2:AA33)</f>
        <v>8170</v>
      </c>
      <c r="AB34" s="77">
        <f>SUM(AB2:AB33)</f>
        <v>15280</v>
      </c>
      <c r="AC34" s="80">
        <f>SUM(AC2:AC33)</f>
        <v>1841</v>
      </c>
      <c r="AD34" s="81">
        <f>SUM(AD2:AD33)</f>
        <v>3352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1"/>
      <c r="I37" s="71"/>
      <c r="J37" s="51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2025-01-20T06:50:39Z</dcterms:modified>
  <cp:category/>
  <cp:contentStatus/>
</cp:coreProperties>
</file>