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2"/>
  <workbookPr/>
  <mc:AlternateContent xmlns:mc="http://schemas.openxmlformats.org/markup-compatibility/2006">
    <mc:Choice Requires="x15">
      <x15ac:absPath xmlns:x15ac="http://schemas.microsoft.com/office/spreadsheetml/2010/11/ac" url="K:\ENG UBU\4. Energy\Hotel Energy Portal (HEP)\2021\Monthly Spread Sheet\"/>
    </mc:Choice>
  </mc:AlternateContent>
  <xr:revisionPtr revIDLastSave="6" documentId="11_F1D58E7939FCAA96DFDA606A505EE3508FA091D7" xr6:coauthVersionLast="47" xr6:coauthVersionMax="47" xr10:uidLastSave="{DE511760-040E-40FD-8FB1-7F3AD486E01E}"/>
  <bookViews>
    <workbookView xWindow="0" yWindow="0" windowWidth="13605" windowHeight="5505" firstSheet="2" xr2:uid="{00000000-000D-0000-FFFF-FFFF00000000}"/>
  </bookViews>
  <sheets>
    <sheet name="TOTAL" sheetId="1" r:id="rId1"/>
    <sheet name="Electricity" sheetId="2" r:id="rId2"/>
    <sheet name="Gas" sheetId="3" r:id="rId3"/>
    <sheet name="Fuel Diesel" sheetId="4" r:id="rId4"/>
    <sheet name="Water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3" l="1"/>
  <c r="F40" i="3"/>
  <c r="D40" i="3"/>
  <c r="U8" i="3"/>
  <c r="J8" i="3"/>
  <c r="P8" i="3" s="1"/>
  <c r="M8" i="3" l="1"/>
  <c r="D10" i="3" l="1"/>
  <c r="D10" i="4" s="1"/>
  <c r="D10" i="5" s="1"/>
  <c r="D11" i="3"/>
  <c r="D11" i="4" s="1"/>
  <c r="D11" i="5" s="1"/>
  <c r="D12" i="3"/>
  <c r="D12" i="4" s="1"/>
  <c r="D12" i="5" s="1"/>
  <c r="D13" i="3"/>
  <c r="D13" i="4" s="1"/>
  <c r="D13" i="5" s="1"/>
  <c r="D14" i="3"/>
  <c r="D14" i="4" s="1"/>
  <c r="D14" i="5" s="1"/>
  <c r="D15" i="3"/>
  <c r="D15" i="4" s="1"/>
  <c r="D15" i="5" s="1"/>
  <c r="D16" i="3"/>
  <c r="D16" i="4" s="1"/>
  <c r="D16" i="5" s="1"/>
  <c r="D17" i="3"/>
  <c r="D17" i="4" s="1"/>
  <c r="D17" i="5" s="1"/>
  <c r="D18" i="3"/>
  <c r="D18" i="4" s="1"/>
  <c r="D18" i="5" s="1"/>
  <c r="D19" i="3"/>
  <c r="D19" i="4" s="1"/>
  <c r="D19" i="5" s="1"/>
  <c r="D20" i="3"/>
  <c r="D20" i="4" s="1"/>
  <c r="D20" i="5" s="1"/>
  <c r="D21" i="3"/>
  <c r="D21" i="4" s="1"/>
  <c r="D21" i="5" s="1"/>
  <c r="D22" i="3"/>
  <c r="D22" i="4" s="1"/>
  <c r="D22" i="5" s="1"/>
  <c r="D23" i="3"/>
  <c r="D23" i="4" s="1"/>
  <c r="D23" i="5" s="1"/>
  <c r="D24" i="3"/>
  <c r="D24" i="4" s="1"/>
  <c r="D24" i="5" s="1"/>
  <c r="D25" i="3"/>
  <c r="D25" i="4" s="1"/>
  <c r="D25" i="5" s="1"/>
  <c r="D26" i="3"/>
  <c r="D26" i="4" s="1"/>
  <c r="D26" i="5" s="1"/>
  <c r="D27" i="3"/>
  <c r="D27" i="4" s="1"/>
  <c r="D27" i="5" s="1"/>
  <c r="D28" i="3"/>
  <c r="D28" i="4" s="1"/>
  <c r="D28" i="5" s="1"/>
  <c r="D29" i="3"/>
  <c r="D29" i="4" s="1"/>
  <c r="D29" i="5" s="1"/>
  <c r="D30" i="3"/>
  <c r="D30" i="4" s="1"/>
  <c r="D30" i="5" s="1"/>
  <c r="D31" i="3"/>
  <c r="D31" i="4" s="1"/>
  <c r="D31" i="5" s="1"/>
  <c r="D32" i="3"/>
  <c r="D32" i="4" s="1"/>
  <c r="D32" i="5" s="1"/>
  <c r="D33" i="3"/>
  <c r="D33" i="4" s="1"/>
  <c r="D33" i="5" s="1"/>
  <c r="D34" i="3"/>
  <c r="D34" i="4" s="1"/>
  <c r="D34" i="5" s="1"/>
  <c r="D35" i="3"/>
  <c r="D35" i="4" s="1"/>
  <c r="D35" i="5" s="1"/>
  <c r="D36" i="3"/>
  <c r="D36" i="4" s="1"/>
  <c r="D36" i="5" s="1"/>
  <c r="D37" i="3"/>
  <c r="D37" i="4" s="1"/>
  <c r="D37" i="5" s="1"/>
  <c r="D38" i="3"/>
  <c r="D38" i="4" s="1"/>
  <c r="D38" i="5" s="1"/>
  <c r="D39" i="3"/>
  <c r="D39" i="4" s="1"/>
  <c r="D39" i="5" s="1"/>
  <c r="D9" i="3"/>
  <c r="D9" i="4" s="1"/>
  <c r="D9" i="5" s="1"/>
  <c r="C20" i="3"/>
  <c r="C20" i="4" s="1"/>
  <c r="C20" i="5" s="1"/>
  <c r="C21" i="3"/>
  <c r="C21" i="4" s="1"/>
  <c r="C21" i="5" s="1"/>
  <c r="C22" i="3"/>
  <c r="C22" i="4" s="1"/>
  <c r="C22" i="5" s="1"/>
  <c r="C23" i="3"/>
  <c r="C23" i="4" s="1"/>
  <c r="C23" i="5" s="1"/>
  <c r="C24" i="3"/>
  <c r="C24" i="4" s="1"/>
  <c r="C24" i="5" s="1"/>
  <c r="C25" i="3"/>
  <c r="C25" i="4" s="1"/>
  <c r="C25" i="5" s="1"/>
  <c r="C26" i="3"/>
  <c r="C26" i="4" s="1"/>
  <c r="C26" i="5" s="1"/>
  <c r="C27" i="3"/>
  <c r="C27" i="4" s="1"/>
  <c r="C27" i="5" s="1"/>
  <c r="C28" i="3"/>
  <c r="C28" i="4" s="1"/>
  <c r="C28" i="5" s="1"/>
  <c r="C29" i="3"/>
  <c r="C29" i="4" s="1"/>
  <c r="C29" i="5" s="1"/>
  <c r="C30" i="3"/>
  <c r="C30" i="4" s="1"/>
  <c r="C30" i="5" s="1"/>
  <c r="C31" i="3"/>
  <c r="C31" i="4" s="1"/>
  <c r="C31" i="5" s="1"/>
  <c r="C32" i="3"/>
  <c r="C32" i="4" s="1"/>
  <c r="C32" i="5" s="1"/>
  <c r="C33" i="3"/>
  <c r="C33" i="4" s="1"/>
  <c r="C33" i="5" s="1"/>
  <c r="C34" i="3"/>
  <c r="C34" i="4" s="1"/>
  <c r="C34" i="5" s="1"/>
  <c r="C35" i="3"/>
  <c r="C35" i="4" s="1"/>
  <c r="C35" i="5" s="1"/>
  <c r="C36" i="3"/>
  <c r="C36" i="4" s="1"/>
  <c r="C36" i="5" s="1"/>
  <c r="C37" i="3"/>
  <c r="C37" i="4" s="1"/>
  <c r="C37" i="5" s="1"/>
  <c r="C38" i="3"/>
  <c r="C38" i="4" s="1"/>
  <c r="C38" i="5" s="1"/>
  <c r="C39" i="3"/>
  <c r="C39" i="4" s="1"/>
  <c r="C39" i="5" s="1"/>
  <c r="C11" i="3"/>
  <c r="C11" i="4" s="1"/>
  <c r="C11" i="5" s="1"/>
  <c r="C12" i="3"/>
  <c r="C12" i="4" s="1"/>
  <c r="C12" i="5" s="1"/>
  <c r="C13" i="3"/>
  <c r="C13" i="4" s="1"/>
  <c r="C13" i="5" s="1"/>
  <c r="C14" i="3"/>
  <c r="C14" i="4" s="1"/>
  <c r="C14" i="5" s="1"/>
  <c r="C15" i="3"/>
  <c r="C15" i="4" s="1"/>
  <c r="C15" i="5" s="1"/>
  <c r="C16" i="3"/>
  <c r="C16" i="4" s="1"/>
  <c r="C16" i="5" s="1"/>
  <c r="C17" i="3"/>
  <c r="C17" i="4" s="1"/>
  <c r="C17" i="5" s="1"/>
  <c r="C18" i="3"/>
  <c r="C18" i="4" s="1"/>
  <c r="C18" i="5" s="1"/>
  <c r="C19" i="3"/>
  <c r="C19" i="4" s="1"/>
  <c r="C19" i="5" s="1"/>
  <c r="C10" i="3"/>
  <c r="C10" i="4" s="1"/>
  <c r="C10" i="5" s="1"/>
  <c r="C9" i="3"/>
  <c r="C9" i="4" s="1"/>
  <c r="C9" i="5" s="1"/>
  <c r="F29" i="4" l="1"/>
  <c r="I22" i="1" s="1"/>
  <c r="F27" i="4"/>
  <c r="G27" i="4" s="1"/>
  <c r="H27" i="4" s="1"/>
  <c r="N31" i="1"/>
  <c r="M31" i="1"/>
  <c r="H38" i="5"/>
  <c r="J38" i="5"/>
  <c r="K31" i="1"/>
  <c r="I31" i="1"/>
  <c r="G38" i="3"/>
  <c r="F37" i="2"/>
  <c r="I37" i="2"/>
  <c r="J37" i="2" s="1"/>
  <c r="F38" i="5"/>
  <c r="K38" i="5" s="1"/>
  <c r="G38" i="4"/>
  <c r="H38" i="4" s="1"/>
  <c r="I38" i="3"/>
  <c r="G31" i="1" s="1"/>
  <c r="G37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H34" i="5"/>
  <c r="J34" i="5"/>
  <c r="K28" i="1"/>
  <c r="H35" i="5"/>
  <c r="J35" i="5"/>
  <c r="K29" i="1"/>
  <c r="H36" i="5"/>
  <c r="J36" i="5"/>
  <c r="K30" i="1"/>
  <c r="K32" i="1"/>
  <c r="H39" i="5"/>
  <c r="J39" i="5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1" i="1"/>
  <c r="I23" i="1"/>
  <c r="I24" i="1"/>
  <c r="I25" i="1"/>
  <c r="I26" i="1"/>
  <c r="I27" i="1"/>
  <c r="I28" i="1"/>
  <c r="I29" i="1"/>
  <c r="I30" i="1"/>
  <c r="I32" i="1"/>
  <c r="G3" i="1"/>
  <c r="G4" i="1"/>
  <c r="G5" i="1"/>
  <c r="G6" i="1"/>
  <c r="G7" i="1"/>
  <c r="G8" i="1"/>
  <c r="G9" i="1"/>
  <c r="G10" i="1"/>
  <c r="I18" i="3"/>
  <c r="G11" i="1" s="1"/>
  <c r="I19" i="3"/>
  <c r="G12" i="1" s="1"/>
  <c r="I20" i="3"/>
  <c r="G13" i="1" s="1"/>
  <c r="I21" i="3"/>
  <c r="G14" i="1" s="1"/>
  <c r="F14" i="2"/>
  <c r="I14" i="2"/>
  <c r="E8" i="1" s="1"/>
  <c r="F15" i="2"/>
  <c r="I15" i="2"/>
  <c r="J15" i="2" s="1"/>
  <c r="I16" i="2"/>
  <c r="J16" i="2" s="1"/>
  <c r="F16" i="2"/>
  <c r="I17" i="2"/>
  <c r="J17" i="2" s="1"/>
  <c r="F17" i="2"/>
  <c r="G17" i="2" s="1"/>
  <c r="K17" i="2" s="1"/>
  <c r="L17" i="2" s="1"/>
  <c r="E11" i="1"/>
  <c r="I18" i="2"/>
  <c r="F18" i="2"/>
  <c r="I19" i="2"/>
  <c r="F19" i="2"/>
  <c r="F34" i="2"/>
  <c r="I34" i="2"/>
  <c r="J34" i="2" s="1"/>
  <c r="F36" i="2"/>
  <c r="G36" i="2" s="1"/>
  <c r="I36" i="2"/>
  <c r="J36" i="2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2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2" i="1"/>
  <c r="M2" i="1"/>
  <c r="H15" i="5"/>
  <c r="J15" i="5"/>
  <c r="H16" i="5"/>
  <c r="J16" i="5"/>
  <c r="H17" i="5"/>
  <c r="J17" i="5"/>
  <c r="H18" i="5"/>
  <c r="J18" i="5"/>
  <c r="H19" i="5"/>
  <c r="J19" i="5"/>
  <c r="H20" i="5"/>
  <c r="J20" i="5"/>
  <c r="H32" i="5"/>
  <c r="J32" i="5"/>
  <c r="H33" i="5"/>
  <c r="J33" i="5"/>
  <c r="H37" i="5"/>
  <c r="J37" i="5"/>
  <c r="K2" i="1"/>
  <c r="G35" i="4"/>
  <c r="I2" i="1"/>
  <c r="G15" i="3"/>
  <c r="G16" i="3"/>
  <c r="G17" i="3"/>
  <c r="G18" i="3"/>
  <c r="G19" i="3"/>
  <c r="G20" i="3"/>
  <c r="G2" i="1"/>
  <c r="G40" i="5"/>
  <c r="I40" i="5"/>
  <c r="J40" i="5" s="1"/>
  <c r="F9" i="5"/>
  <c r="H9" i="5"/>
  <c r="J9" i="5"/>
  <c r="F10" i="5"/>
  <c r="H10" i="5"/>
  <c r="J10" i="5"/>
  <c r="F11" i="5"/>
  <c r="H11" i="5"/>
  <c r="J11" i="5"/>
  <c r="F12" i="5"/>
  <c r="H12" i="5"/>
  <c r="J12" i="5"/>
  <c r="F13" i="5"/>
  <c r="H13" i="5"/>
  <c r="J13" i="5"/>
  <c r="F14" i="5"/>
  <c r="H14" i="5"/>
  <c r="J14" i="5"/>
  <c r="F15" i="5"/>
  <c r="F16" i="5"/>
  <c r="F17" i="5"/>
  <c r="K17" i="5" s="1"/>
  <c r="F18" i="5"/>
  <c r="F19" i="5"/>
  <c r="K19" i="5" s="1"/>
  <c r="F20" i="5"/>
  <c r="F21" i="5"/>
  <c r="H21" i="5"/>
  <c r="J21" i="5"/>
  <c r="F22" i="5"/>
  <c r="H22" i="5"/>
  <c r="J22" i="5"/>
  <c r="F23" i="5"/>
  <c r="H23" i="5"/>
  <c r="J23" i="5"/>
  <c r="F24" i="5"/>
  <c r="H24" i="5"/>
  <c r="J24" i="5"/>
  <c r="F25" i="5"/>
  <c r="H25" i="5"/>
  <c r="J25" i="5"/>
  <c r="F26" i="5"/>
  <c r="H26" i="5"/>
  <c r="J26" i="5"/>
  <c r="F27" i="5"/>
  <c r="H27" i="5"/>
  <c r="J27" i="5"/>
  <c r="F28" i="5"/>
  <c r="H28" i="5"/>
  <c r="J28" i="5"/>
  <c r="F29" i="5"/>
  <c r="H29" i="5"/>
  <c r="J29" i="5"/>
  <c r="F30" i="5"/>
  <c r="H30" i="5"/>
  <c r="J30" i="5"/>
  <c r="F31" i="5"/>
  <c r="H31" i="5"/>
  <c r="J31" i="5"/>
  <c r="F32" i="5"/>
  <c r="F33" i="5"/>
  <c r="F34" i="5"/>
  <c r="K34" i="5" s="1"/>
  <c r="F35" i="5"/>
  <c r="K35" i="5" s="1"/>
  <c r="L35" i="5" s="1"/>
  <c r="F36" i="5"/>
  <c r="K36" i="5" s="1"/>
  <c r="F37" i="5"/>
  <c r="K37" i="5" s="1"/>
  <c r="F39" i="5"/>
  <c r="G9" i="4"/>
  <c r="J2" i="1" s="1"/>
  <c r="G10" i="4"/>
  <c r="G11" i="4"/>
  <c r="J4" i="1" s="1"/>
  <c r="G12" i="4"/>
  <c r="H12" i="4" s="1"/>
  <c r="G13" i="4"/>
  <c r="J6" i="1" s="1"/>
  <c r="G14" i="4"/>
  <c r="J7" i="1" s="1"/>
  <c r="H14" i="4"/>
  <c r="G15" i="4"/>
  <c r="J8" i="1"/>
  <c r="H15" i="4"/>
  <c r="G16" i="4"/>
  <c r="J9" i="1" s="1"/>
  <c r="H16" i="4"/>
  <c r="G17" i="4"/>
  <c r="J10" i="1" s="1"/>
  <c r="G18" i="4"/>
  <c r="J11" i="1" s="1"/>
  <c r="H18" i="4"/>
  <c r="G19" i="4"/>
  <c r="J12" i="1" s="1"/>
  <c r="H19" i="4"/>
  <c r="G20" i="4"/>
  <c r="G21" i="4"/>
  <c r="J14" i="1" s="1"/>
  <c r="H21" i="4"/>
  <c r="G22" i="4"/>
  <c r="J15" i="1" s="1"/>
  <c r="H22" i="4"/>
  <c r="G23" i="4"/>
  <c r="J16" i="1" s="1"/>
  <c r="G24" i="4"/>
  <c r="J17" i="1" s="1"/>
  <c r="H24" i="4"/>
  <c r="G25" i="4"/>
  <c r="H25" i="4" s="1"/>
  <c r="G26" i="4"/>
  <c r="J20" i="1"/>
  <c r="G28" i="4"/>
  <c r="J21" i="1" s="1"/>
  <c r="G29" i="4"/>
  <c r="J22" i="1" s="1"/>
  <c r="G30" i="4"/>
  <c r="J23" i="1" s="1"/>
  <c r="G31" i="4"/>
  <c r="J24" i="1" s="1"/>
  <c r="H31" i="4"/>
  <c r="G32" i="4"/>
  <c r="G33" i="4"/>
  <c r="G34" i="4"/>
  <c r="G36" i="4"/>
  <c r="J29" i="1" s="1"/>
  <c r="H36" i="4"/>
  <c r="G37" i="4"/>
  <c r="J30" i="1" s="1"/>
  <c r="G39" i="4"/>
  <c r="O40" i="3"/>
  <c r="J13" i="3"/>
  <c r="G9" i="3"/>
  <c r="G10" i="3"/>
  <c r="G11" i="3"/>
  <c r="G12" i="3"/>
  <c r="G13" i="3"/>
  <c r="G14" i="3"/>
  <c r="G21" i="3"/>
  <c r="I22" i="3"/>
  <c r="G15" i="1"/>
  <c r="G22" i="3"/>
  <c r="I23" i="3"/>
  <c r="G16" i="1" s="1"/>
  <c r="G23" i="3"/>
  <c r="I24" i="3"/>
  <c r="J24" i="3" s="1"/>
  <c r="G24" i="3"/>
  <c r="I25" i="3"/>
  <c r="G18" i="1" s="1"/>
  <c r="J25" i="3"/>
  <c r="G25" i="3"/>
  <c r="I26" i="3"/>
  <c r="G19" i="1" s="1"/>
  <c r="G26" i="3"/>
  <c r="I27" i="3"/>
  <c r="G27" i="3"/>
  <c r="I28" i="3"/>
  <c r="G21" i="1" s="1"/>
  <c r="G28" i="3"/>
  <c r="I29" i="3"/>
  <c r="G22" i="1" s="1"/>
  <c r="G29" i="3"/>
  <c r="I30" i="3"/>
  <c r="J30" i="3" s="1"/>
  <c r="G30" i="3"/>
  <c r="I31" i="3"/>
  <c r="J31" i="3" s="1"/>
  <c r="G24" i="1"/>
  <c r="G31" i="3"/>
  <c r="I32" i="3"/>
  <c r="G25" i="1" s="1"/>
  <c r="G32" i="3"/>
  <c r="I33" i="3"/>
  <c r="G33" i="3"/>
  <c r="I34" i="3"/>
  <c r="G27" i="1"/>
  <c r="G34" i="3"/>
  <c r="I35" i="3"/>
  <c r="G35" i="3"/>
  <c r="I36" i="3"/>
  <c r="G29" i="1" s="1"/>
  <c r="G36" i="3"/>
  <c r="I37" i="3"/>
  <c r="G30" i="1" s="1"/>
  <c r="G37" i="3"/>
  <c r="I39" i="3"/>
  <c r="J39" i="3" s="1"/>
  <c r="G39" i="3"/>
  <c r="F8" i="2"/>
  <c r="F9" i="2"/>
  <c r="F10" i="2"/>
  <c r="F11" i="2"/>
  <c r="F12" i="2"/>
  <c r="G12" i="2"/>
  <c r="F13" i="2"/>
  <c r="F20" i="2"/>
  <c r="F21" i="2"/>
  <c r="F22" i="2"/>
  <c r="F23" i="2"/>
  <c r="F24" i="2"/>
  <c r="G24" i="2"/>
  <c r="F25" i="2"/>
  <c r="F26" i="2"/>
  <c r="F27" i="2"/>
  <c r="F28" i="2"/>
  <c r="G28" i="2"/>
  <c r="F29" i="2"/>
  <c r="F30" i="2"/>
  <c r="F31" i="2"/>
  <c r="I31" i="2"/>
  <c r="J31" i="2" s="1"/>
  <c r="F32" i="2"/>
  <c r="I32" i="2"/>
  <c r="J32" i="2" s="1"/>
  <c r="F33" i="2"/>
  <c r="G33" i="2" s="1"/>
  <c r="I33" i="2"/>
  <c r="J33" i="2" s="1"/>
  <c r="F35" i="2"/>
  <c r="I35" i="2"/>
  <c r="J35" i="2" s="1"/>
  <c r="F38" i="2"/>
  <c r="G38" i="2" s="1"/>
  <c r="I8" i="2"/>
  <c r="J8" i="2" s="1"/>
  <c r="I9" i="2"/>
  <c r="J9" i="2" s="1"/>
  <c r="I10" i="2"/>
  <c r="J10" i="2"/>
  <c r="I11" i="2"/>
  <c r="I12" i="2"/>
  <c r="E6" i="1" s="1"/>
  <c r="I13" i="2"/>
  <c r="J13" i="2" s="1"/>
  <c r="I20" i="2"/>
  <c r="J20" i="2" s="1"/>
  <c r="I21" i="2"/>
  <c r="J21" i="2" s="1"/>
  <c r="I22" i="2"/>
  <c r="J22" i="2" s="1"/>
  <c r="I23" i="2"/>
  <c r="J23" i="2"/>
  <c r="I24" i="2"/>
  <c r="J24" i="2"/>
  <c r="I25" i="2"/>
  <c r="I26" i="2"/>
  <c r="J26" i="2" s="1"/>
  <c r="I27" i="2"/>
  <c r="J27" i="2" s="1"/>
  <c r="I28" i="2"/>
  <c r="J28" i="2" s="1"/>
  <c r="I29" i="2"/>
  <c r="J29" i="2"/>
  <c r="I30" i="2"/>
  <c r="E24" i="1" s="1"/>
  <c r="I38" i="2"/>
  <c r="J38" i="2"/>
  <c r="G20" i="2"/>
  <c r="G25" i="2"/>
  <c r="G30" i="2"/>
  <c r="G31" i="2"/>
  <c r="G32" i="2"/>
  <c r="G34" i="2"/>
  <c r="K34" i="2" s="1"/>
  <c r="L34" i="2" s="1"/>
  <c r="D39" i="2"/>
  <c r="C39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K27" i="5"/>
  <c r="L27" i="5" s="1"/>
  <c r="K9" i="5"/>
  <c r="G16" i="2"/>
  <c r="K11" i="5"/>
  <c r="L11" i="5" s="1"/>
  <c r="L4" i="1"/>
  <c r="E9" i="1"/>
  <c r="E2" i="1"/>
  <c r="G10" i="2"/>
  <c r="K10" i="2" s="1"/>
  <c r="L10" i="2" s="1"/>
  <c r="M10" i="2"/>
  <c r="G15" i="2"/>
  <c r="G18" i="2"/>
  <c r="G32" i="1"/>
  <c r="G35" i="2"/>
  <c r="G19" i="2"/>
  <c r="G14" i="2"/>
  <c r="G27" i="2"/>
  <c r="K27" i="2" s="1"/>
  <c r="L27" i="2" s="1"/>
  <c r="M27" i="2"/>
  <c r="E18" i="1"/>
  <c r="G23" i="2"/>
  <c r="G26" i="2"/>
  <c r="K26" i="2" s="1"/>
  <c r="L26" i="2" s="1"/>
  <c r="M26" i="2" l="1"/>
  <c r="M34" i="2"/>
  <c r="E26" i="1"/>
  <c r="K28" i="2"/>
  <c r="L28" i="2" s="1"/>
  <c r="E22" i="1"/>
  <c r="K24" i="2"/>
  <c r="L24" i="2" s="1"/>
  <c r="E16" i="1"/>
  <c r="E3" i="1"/>
  <c r="H34" i="4"/>
  <c r="J27" i="1"/>
  <c r="H32" i="4"/>
  <c r="J25" i="1"/>
  <c r="I41" i="5"/>
  <c r="E28" i="1"/>
  <c r="F28" i="1" s="1"/>
  <c r="E12" i="1"/>
  <c r="M17" i="2"/>
  <c r="F11" i="1"/>
  <c r="K16" i="2"/>
  <c r="L16" i="2" s="1"/>
  <c r="K15" i="2"/>
  <c r="L15" i="2" s="1"/>
  <c r="K37" i="2"/>
  <c r="L37" i="2" s="1"/>
  <c r="K36" i="2"/>
  <c r="L36" i="2" s="1"/>
  <c r="L17" i="5"/>
  <c r="L10" i="1"/>
  <c r="G9" i="2"/>
  <c r="K9" i="2" s="1"/>
  <c r="L9" i="2" s="1"/>
  <c r="K26" i="5"/>
  <c r="K23" i="2"/>
  <c r="L23" i="2" s="1"/>
  <c r="K31" i="2"/>
  <c r="L31" i="2" s="1"/>
  <c r="E5" i="1"/>
  <c r="K25" i="5"/>
  <c r="K21" i="5"/>
  <c r="L14" i="1" s="1"/>
  <c r="J18" i="1"/>
  <c r="K15" i="5"/>
  <c r="L8" i="1" s="1"/>
  <c r="H9" i="4"/>
  <c r="J30" i="2"/>
  <c r="K30" i="2" s="1"/>
  <c r="L30" i="2" s="1"/>
  <c r="E29" i="1"/>
  <c r="E20" i="1"/>
  <c r="F20" i="1" s="1"/>
  <c r="E4" i="1"/>
  <c r="F4" i="1" s="1"/>
  <c r="G23" i="1"/>
  <c r="G17" i="1"/>
  <c r="J17" i="3"/>
  <c r="H37" i="4"/>
  <c r="K13" i="5"/>
  <c r="K20" i="5"/>
  <c r="E30" i="1"/>
  <c r="E10" i="1"/>
  <c r="J18" i="2"/>
  <c r="J10" i="3"/>
  <c r="K32" i="5"/>
  <c r="L25" i="1" s="1"/>
  <c r="K24" i="5"/>
  <c r="L24" i="5" s="1"/>
  <c r="K18" i="5"/>
  <c r="L11" i="1" s="1"/>
  <c r="K12" i="5"/>
  <c r="L12" i="5" s="1"/>
  <c r="K20" i="2"/>
  <c r="L20" i="2" s="1"/>
  <c r="K28" i="5"/>
  <c r="J36" i="3"/>
  <c r="K33" i="5"/>
  <c r="J5" i="1"/>
  <c r="J31" i="1"/>
  <c r="J32" i="3"/>
  <c r="J29" i="3"/>
  <c r="J26" i="3"/>
  <c r="J14" i="3"/>
  <c r="K31" i="5"/>
  <c r="K23" i="5"/>
  <c r="L16" i="1" s="1"/>
  <c r="J12" i="2"/>
  <c r="K12" i="2" s="1"/>
  <c r="L12" i="2" s="1"/>
  <c r="E25" i="1"/>
  <c r="J22" i="3"/>
  <c r="H17" i="4"/>
  <c r="E13" i="1"/>
  <c r="J38" i="3"/>
  <c r="K18" i="2"/>
  <c r="L18" i="2" s="1"/>
  <c r="E32" i="1"/>
  <c r="G11" i="2"/>
  <c r="E14" i="1"/>
  <c r="P17" i="3"/>
  <c r="H23" i="4"/>
  <c r="K16" i="5"/>
  <c r="L9" i="1" s="1"/>
  <c r="L28" i="1"/>
  <c r="J34" i="3"/>
  <c r="K39" i="5"/>
  <c r="L32" i="1" s="1"/>
  <c r="K22" i="5"/>
  <c r="K14" i="5"/>
  <c r="J21" i="3"/>
  <c r="K32" i="2"/>
  <c r="L32" i="2" s="1"/>
  <c r="J28" i="3"/>
  <c r="K30" i="5"/>
  <c r="L30" i="5" s="1"/>
  <c r="K10" i="5"/>
  <c r="L10" i="5" s="1"/>
  <c r="K38" i="2"/>
  <c r="L38" i="2" s="1"/>
  <c r="J37" i="3"/>
  <c r="J12" i="3"/>
  <c r="J20" i="3"/>
  <c r="E17" i="1"/>
  <c r="E21" i="1"/>
  <c r="F21" i="1" s="1"/>
  <c r="E31" i="1"/>
  <c r="L14" i="5"/>
  <c r="L7" i="1"/>
  <c r="J25" i="2"/>
  <c r="K25" i="2" s="1"/>
  <c r="L25" i="2" s="1"/>
  <c r="E19" i="1"/>
  <c r="H33" i="4"/>
  <c r="J26" i="1"/>
  <c r="L17" i="1"/>
  <c r="G29" i="2"/>
  <c r="K29" i="2" s="1"/>
  <c r="L29" i="2" s="1"/>
  <c r="E23" i="1"/>
  <c r="E7" i="1"/>
  <c r="G13" i="2"/>
  <c r="K13" i="2" s="1"/>
  <c r="L13" i="2" s="1"/>
  <c r="H10" i="4"/>
  <c r="J3" i="1"/>
  <c r="C40" i="3"/>
  <c r="L23" i="1"/>
  <c r="L37" i="5"/>
  <c r="L30" i="1"/>
  <c r="K35" i="2"/>
  <c r="L35" i="2" s="1"/>
  <c r="K33" i="2"/>
  <c r="L33" i="2" s="1"/>
  <c r="F39" i="2"/>
  <c r="L29" i="1"/>
  <c r="L36" i="5"/>
  <c r="L23" i="5"/>
  <c r="L2" i="1"/>
  <c r="L9" i="5"/>
  <c r="G26" i="1"/>
  <c r="J33" i="3"/>
  <c r="J27" i="3"/>
  <c r="G20" i="1"/>
  <c r="J13" i="1"/>
  <c r="H20" i="4"/>
  <c r="L15" i="5"/>
  <c r="J19" i="1"/>
  <c r="H26" i="4"/>
  <c r="L34" i="5"/>
  <c r="L27" i="1"/>
  <c r="K29" i="5"/>
  <c r="L13" i="5"/>
  <c r="L6" i="1"/>
  <c r="L13" i="1"/>
  <c r="L20" i="5"/>
  <c r="H35" i="4"/>
  <c r="J28" i="1"/>
  <c r="J11" i="2"/>
  <c r="K11" i="2" s="1"/>
  <c r="L11" i="2" s="1"/>
  <c r="I39" i="2"/>
  <c r="L33" i="5"/>
  <c r="L26" i="1"/>
  <c r="L31" i="1"/>
  <c r="L38" i="5"/>
  <c r="L31" i="5"/>
  <c r="L24" i="1"/>
  <c r="D40" i="4"/>
  <c r="D40" i="5"/>
  <c r="J32" i="1"/>
  <c r="H39" i="4"/>
  <c r="L18" i="5"/>
  <c r="G21" i="2"/>
  <c r="K21" i="2" s="1"/>
  <c r="L21" i="2" s="1"/>
  <c r="E15" i="1"/>
  <c r="G28" i="1"/>
  <c r="J35" i="3"/>
  <c r="L32" i="5"/>
  <c r="L12" i="1"/>
  <c r="L19" i="5"/>
  <c r="M36" i="3"/>
  <c r="L20" i="1"/>
  <c r="E27" i="1"/>
  <c r="M34" i="3"/>
  <c r="M32" i="3"/>
  <c r="M24" i="3"/>
  <c r="M12" i="3"/>
  <c r="M30" i="3"/>
  <c r="M28" i="3"/>
  <c r="P23" i="3"/>
  <c r="J9" i="3"/>
  <c r="H30" i="4"/>
  <c r="H13" i="4"/>
  <c r="J18" i="3"/>
  <c r="M16" i="3"/>
  <c r="M11" i="3"/>
  <c r="J19" i="2"/>
  <c r="K19" i="2" s="1"/>
  <c r="L19" i="2" s="1"/>
  <c r="G8" i="2"/>
  <c r="K8" i="2" s="1"/>
  <c r="L8" i="2" s="1"/>
  <c r="F2" i="1" s="1"/>
  <c r="M37" i="3"/>
  <c r="M35" i="3"/>
  <c r="M23" i="3"/>
  <c r="M21" i="3"/>
  <c r="J16" i="3"/>
  <c r="J11" i="3"/>
  <c r="P9" i="3"/>
  <c r="H29" i="4"/>
  <c r="J19" i="3"/>
  <c r="J23" i="3"/>
  <c r="G22" i="2"/>
  <c r="K22" i="2" s="1"/>
  <c r="L22" i="2" s="1"/>
  <c r="M25" i="3"/>
  <c r="M20" i="3"/>
  <c r="M15" i="3"/>
  <c r="H28" i="4"/>
  <c r="H11" i="4"/>
  <c r="M38" i="3"/>
  <c r="I20" i="1"/>
  <c r="P38" i="3"/>
  <c r="M33" i="3"/>
  <c r="M27" i="3"/>
  <c r="M13" i="3"/>
  <c r="J14" i="2"/>
  <c r="K14" i="2" s="1"/>
  <c r="L14" i="2" s="1"/>
  <c r="M31" i="3"/>
  <c r="M19" i="3"/>
  <c r="J15" i="3"/>
  <c r="M10" i="3"/>
  <c r="M39" i="3"/>
  <c r="M22" i="3"/>
  <c r="F40" i="4"/>
  <c r="M14" i="2" l="1"/>
  <c r="F8" i="1"/>
  <c r="M22" i="2"/>
  <c r="F16" i="1"/>
  <c r="M19" i="2"/>
  <c r="F13" i="1"/>
  <c r="M21" i="2"/>
  <c r="F15" i="1"/>
  <c r="M11" i="2"/>
  <c r="F5" i="1"/>
  <c r="M33" i="2"/>
  <c r="F27" i="1"/>
  <c r="M35" i="2"/>
  <c r="F29" i="1"/>
  <c r="M13" i="2"/>
  <c r="F7" i="1"/>
  <c r="M29" i="2"/>
  <c r="F23" i="1"/>
  <c r="M25" i="2"/>
  <c r="F19" i="1"/>
  <c r="M38" i="2"/>
  <c r="F32" i="1"/>
  <c r="M32" i="2"/>
  <c r="F26" i="1"/>
  <c r="M18" i="2"/>
  <c r="F12" i="1"/>
  <c r="M12" i="2"/>
  <c r="F6" i="1"/>
  <c r="M20" i="2"/>
  <c r="F14" i="1"/>
  <c r="M30" i="2"/>
  <c r="F24" i="1"/>
  <c r="M31" i="2"/>
  <c r="F25" i="1"/>
  <c r="M23" i="2"/>
  <c r="F17" i="1"/>
  <c r="M9" i="2"/>
  <c r="F3" i="1"/>
  <c r="M36" i="2"/>
  <c r="F30" i="1"/>
  <c r="M37" i="2"/>
  <c r="F31" i="1"/>
  <c r="M15" i="2"/>
  <c r="F9" i="1"/>
  <c r="M16" i="2"/>
  <c r="F10" i="1"/>
  <c r="M24" i="2"/>
  <c r="F18" i="1"/>
  <c r="M28" i="2"/>
  <c r="F22" i="1"/>
  <c r="L15" i="1"/>
  <c r="L22" i="5"/>
  <c r="L21" i="5"/>
  <c r="L21" i="1"/>
  <c r="L28" i="5"/>
  <c r="L25" i="5"/>
  <c r="L18" i="1"/>
  <c r="Q38" i="3"/>
  <c r="H31" i="1" s="1"/>
  <c r="P22" i="3"/>
  <c r="Q22" i="3" s="1"/>
  <c r="P11" i="3"/>
  <c r="Q11" i="3" s="1"/>
  <c r="P18" i="3"/>
  <c r="P30" i="3"/>
  <c r="Q30" i="3" s="1"/>
  <c r="P19" i="3"/>
  <c r="Q19" i="3" s="1"/>
  <c r="P12" i="3"/>
  <c r="Q12" i="3" s="1"/>
  <c r="R12" i="3" s="1"/>
  <c r="P20" i="3"/>
  <c r="Q20" i="3" s="1"/>
  <c r="P37" i="3"/>
  <c r="Q37" i="3" s="1"/>
  <c r="R37" i="3" s="1"/>
  <c r="P28" i="3"/>
  <c r="Q28" i="3" s="1"/>
  <c r="P34" i="3"/>
  <c r="Q34" i="3" s="1"/>
  <c r="P35" i="3"/>
  <c r="Q35" i="3" s="1"/>
  <c r="P13" i="3"/>
  <c r="Q13" i="3" s="1"/>
  <c r="P39" i="3"/>
  <c r="Q39" i="3" s="1"/>
  <c r="P10" i="3"/>
  <c r="P26" i="3"/>
  <c r="P32" i="3"/>
  <c r="Q32" i="3" s="1"/>
  <c r="P29" i="3"/>
  <c r="P14" i="3"/>
  <c r="P15" i="3"/>
  <c r="Q15" i="3" s="1"/>
  <c r="R15" i="3" s="1"/>
  <c r="P33" i="3"/>
  <c r="Q33" i="3" s="1"/>
  <c r="R33" i="3" s="1"/>
  <c r="P36" i="3"/>
  <c r="Q36" i="3" s="1"/>
  <c r="R36" i="3" s="1"/>
  <c r="P27" i="3"/>
  <c r="Q27" i="3" s="1"/>
  <c r="P24" i="3"/>
  <c r="Q24" i="3" s="1"/>
  <c r="H40" i="4"/>
  <c r="L3" i="1"/>
  <c r="L5" i="1"/>
  <c r="L16" i="5"/>
  <c r="Q10" i="3"/>
  <c r="H3" i="1" s="1"/>
  <c r="P25" i="3"/>
  <c r="Q25" i="3" s="1"/>
  <c r="P16" i="3"/>
  <c r="Q16" i="3" s="1"/>
  <c r="P31" i="3"/>
  <c r="Q31" i="3" s="1"/>
  <c r="P21" i="3"/>
  <c r="Q21" i="3" s="1"/>
  <c r="H14" i="1" s="1"/>
  <c r="L39" i="5"/>
  <c r="M18" i="3"/>
  <c r="M14" i="3"/>
  <c r="Q14" i="3" s="1"/>
  <c r="M26" i="3"/>
  <c r="Q26" i="3" s="1"/>
  <c r="M29" i="3"/>
  <c r="Q29" i="3" s="1"/>
  <c r="M9" i="3"/>
  <c r="Q9" i="3" s="1"/>
  <c r="M17" i="3"/>
  <c r="Q17" i="3" s="1"/>
  <c r="L26" i="5"/>
  <c r="L19" i="1"/>
  <c r="C40" i="5"/>
  <c r="C40" i="4"/>
  <c r="H26" i="1"/>
  <c r="L39" i="2"/>
  <c r="M8" i="2"/>
  <c r="M39" i="2" s="1"/>
  <c r="P39" i="2" s="1"/>
  <c r="L29" i="5"/>
  <c r="L22" i="1"/>
  <c r="H29" i="1"/>
  <c r="K40" i="2"/>
  <c r="Q23" i="3"/>
  <c r="L40" i="5" l="1"/>
  <c r="O40" i="5" s="1"/>
  <c r="H13" i="1"/>
  <c r="R20" i="3"/>
  <c r="H18" i="1"/>
  <c r="R25" i="3"/>
  <c r="R39" i="3"/>
  <c r="H32" i="1"/>
  <c r="R22" i="3"/>
  <c r="H15" i="1"/>
  <c r="R21" i="3"/>
  <c r="Q18" i="3"/>
  <c r="H11" i="1" s="1"/>
  <c r="H24" i="1"/>
  <c r="R31" i="3"/>
  <c r="R34" i="3"/>
  <c r="H27" i="1"/>
  <c r="H12" i="1"/>
  <c r="R19" i="3"/>
  <c r="R9" i="3"/>
  <c r="H2" i="1"/>
  <c r="H23" i="1"/>
  <c r="R30" i="3"/>
  <c r="R13" i="3"/>
  <c r="H6" i="1"/>
  <c r="R24" i="3"/>
  <c r="H17" i="1"/>
  <c r="H21" i="1"/>
  <c r="R28" i="3"/>
  <c r="R17" i="3"/>
  <c r="H10" i="1"/>
  <c r="H22" i="1"/>
  <c r="R29" i="3"/>
  <c r="R26" i="3"/>
  <c r="H19" i="1"/>
  <c r="R32" i="3"/>
  <c r="H25" i="1"/>
  <c r="R10" i="3"/>
  <c r="R14" i="3"/>
  <c r="H7" i="1"/>
  <c r="H5" i="1"/>
  <c r="H8" i="1"/>
  <c r="H30" i="1"/>
  <c r="R38" i="3"/>
  <c r="H20" i="1"/>
  <c r="R27" i="3"/>
  <c r="R11" i="3"/>
  <c r="H4" i="1"/>
  <c r="H28" i="1"/>
  <c r="R35" i="3"/>
  <c r="R23" i="3"/>
  <c r="H16" i="1"/>
  <c r="H9" i="1"/>
  <c r="R16" i="3"/>
  <c r="R18" i="3" l="1"/>
  <c r="R40" i="3"/>
</calcChain>
</file>

<file path=xl/sharedStrings.xml><?xml version="1.0" encoding="utf-8"?>
<sst xmlns="http://schemas.openxmlformats.org/spreadsheetml/2006/main" count="119" uniqueCount="60">
  <si>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</si>
  <si>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</si>
  <si>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</si>
  <si>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</si>
  <si>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</si>
  <si>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</si>
  <si>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</si>
  <si>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</si>
  <si>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</si>
  <si>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</si>
  <si>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</si>
  <si>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</si>
  <si>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</si>
  <si>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</si>
  <si>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</si>
  <si>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</si>
  <si>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</si>
  <si>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</si>
  <si>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</si>
  <si>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</si>
  <si>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</si>
  <si>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</si>
  <si>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</si>
  <si>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</si>
  <si>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</si>
  <si>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</si>
  <si>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</si>
  <si>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</si>
  <si>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</si>
  <si>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>RNs &amp; Food Cover is based on actual November &amp; forecasting December 2020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</si>
  <si>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</si>
  <si>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</si>
  <si>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</si>
  <si>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</si>
  <si>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</si>
  <si>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</si>
  <si>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</si>
  <si>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</si>
  <si>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</si>
  <si>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</si>
  <si>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</si>
  <si>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</si>
  <si>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</si>
  <si>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</si>
  <si>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Closure</t>
  </si>
  <si>
    <t>Total kg</t>
  </si>
  <si>
    <t xml:space="preserve">Daily Fuel Consumption </t>
  </si>
  <si>
    <t>,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</si>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</sst>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_(* #,##0_);_(* \(#,##0\);_(* &quot;-&quot;??_);_(@_)"/>
    <numFmt numFmtId="168" formatCode="[$$-409]#,##0.00"/>
    <numFmt numFmtId="169" formatCode="[$IDR]\ #,##0_);\([$IDR]\ #,##0\)"/>
    <numFmt numFmtId="170" formatCode="&quot;$&quot;#,##0.00"/>
    <numFmt numFmtId="171" formatCode="_(* #,##0.00_);_(* \(#,##0.00\);_(* &quot;-&quot;_);_(@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0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0" xfId="0" applyFill="1"/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0" fillId="2" borderId="1" xfId="0" applyFont="1" applyFill="1" applyBorder="1" applyAlignment="1">
      <alignment horizontal="center" vertical="center" shrinkToFit="1"/>
    </xf>
    <xf numFmtId="167" fontId="1" fillId="0" borderId="1" xfId="4" applyNumberFormat="1" applyFont="1" applyBorder="1"/>
    <xf numFmtId="166" fontId="11" fillId="0" borderId="1" xfId="1" applyFont="1" applyFill="1" applyBorder="1" applyAlignment="1">
      <alignment horizontal="center" shrinkToFit="1"/>
    </xf>
    <xf numFmtId="167" fontId="11" fillId="0" borderId="1" xfId="1" applyNumberFormat="1" applyFont="1" applyFill="1" applyBorder="1" applyAlignment="1">
      <alignment horizontal="center" shrinkToFit="1"/>
    </xf>
    <xf numFmtId="166" fontId="10" fillId="0" borderId="1" xfId="1" applyFont="1" applyFill="1" applyBorder="1" applyAlignment="1">
      <alignment horizontal="center" shrinkToFit="1"/>
    </xf>
    <xf numFmtId="166" fontId="10" fillId="0" borderId="1" xfId="0" applyNumberFormat="1" applyFont="1" applyBorder="1" applyAlignment="1">
      <alignment shrinkToFit="1"/>
    </xf>
    <xf numFmtId="168" fontId="0" fillId="0" borderId="1" xfId="0" applyNumberFormat="1" applyBorder="1"/>
    <xf numFmtId="168" fontId="0" fillId="0" borderId="3" xfId="0" applyNumberFormat="1" applyBorder="1"/>
    <xf numFmtId="168" fontId="0" fillId="0" borderId="0" xfId="0" applyNumberFormat="1"/>
    <xf numFmtId="164" fontId="9" fillId="0" borderId="0" xfId="2" applyFont="1" applyFill="1" applyBorder="1" applyAlignment="1">
      <alignment shrinkToFit="1"/>
    </xf>
    <xf numFmtId="0" fontId="0" fillId="0" borderId="0" xfId="0" applyAlignment="1">
      <alignment horizontal="center"/>
    </xf>
    <xf numFmtId="169" fontId="9" fillId="0" borderId="0" xfId="2" applyNumberFormat="1" applyFont="1" applyFill="1" applyBorder="1" applyAlignment="1">
      <alignment shrinkToFit="1"/>
    </xf>
    <xf numFmtId="168" fontId="12" fillId="0" borderId="0" xfId="2" applyNumberFormat="1" applyFont="1" applyFill="1" applyBorder="1" applyAlignment="1">
      <alignment shrinkToFit="1"/>
    </xf>
    <xf numFmtId="165" fontId="0" fillId="0" borderId="0" xfId="3" applyFont="1"/>
    <xf numFmtId="41" fontId="0" fillId="0" borderId="0" xfId="0" applyNumberFormat="1"/>
    <xf numFmtId="44" fontId="0" fillId="0" borderId="0" xfId="0" applyNumberFormat="1"/>
    <xf numFmtId="43" fontId="0" fillId="0" borderId="0" xfId="0" applyNumberFormat="1"/>
    <xf numFmtId="0" fontId="11" fillId="0" borderId="0" xfId="0" applyFont="1" applyAlignment="1">
      <alignment horizontal="center" shrinkToFit="1"/>
    </xf>
    <xf numFmtId="166" fontId="10" fillId="0" borderId="0" xfId="1" applyFont="1" applyFill="1" applyBorder="1" applyAlignment="1">
      <alignment horizontal="center" shrinkToFit="1"/>
    </xf>
    <xf numFmtId="167" fontId="10" fillId="0" borderId="0" xfId="1" applyNumberFormat="1" applyFont="1" applyFill="1" applyBorder="1" applyAlignment="1">
      <alignment horizontal="center" shrinkToFit="1"/>
    </xf>
    <xf numFmtId="166" fontId="10" fillId="0" borderId="0" xfId="1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shrinkToFit="1"/>
    </xf>
    <xf numFmtId="167" fontId="10" fillId="0" borderId="1" xfId="1" applyNumberFormat="1" applyFont="1" applyFill="1" applyBorder="1" applyAlignment="1">
      <alignment horizontal="center" shrinkToFit="1"/>
    </xf>
    <xf numFmtId="43" fontId="11" fillId="0" borderId="1" xfId="1" applyNumberFormat="1" applyFont="1" applyFill="1" applyBorder="1" applyAlignment="1">
      <alignment horizontal="center" shrinkToFit="1"/>
    </xf>
    <xf numFmtId="164" fontId="11" fillId="0" borderId="1" xfId="2" applyFont="1" applyFill="1" applyBorder="1" applyAlignment="1">
      <alignment horizontal="center" vertical="center" shrinkToFit="1"/>
    </xf>
    <xf numFmtId="44" fontId="11" fillId="0" borderId="1" xfId="1" applyNumberFormat="1" applyFont="1" applyFill="1" applyBorder="1" applyAlignment="1">
      <alignment horizontal="center" shrinkToFit="1"/>
    </xf>
    <xf numFmtId="164" fontId="9" fillId="0" borderId="0" xfId="2" applyFont="1" applyFill="1" applyBorder="1" applyAlignment="1">
      <alignment horizontal="center" shrinkToFit="1"/>
    </xf>
    <xf numFmtId="44" fontId="6" fillId="0" borderId="0" xfId="2" applyNumberFormat="1" applyFont="1" applyFill="1" applyBorder="1" applyAlignment="1">
      <alignment shrinkToFit="1"/>
    </xf>
    <xf numFmtId="2" fontId="11" fillId="0" borderId="0" xfId="0" applyNumberFormat="1" applyFont="1" applyAlignment="1">
      <alignment horizontal="center" shrinkToFit="1"/>
    </xf>
    <xf numFmtId="166" fontId="11" fillId="0" borderId="0" xfId="1" applyFont="1" applyFill="1" applyBorder="1" applyAlignment="1">
      <alignment horizontal="center" shrinkToFit="1"/>
    </xf>
    <xf numFmtId="167" fontId="11" fillId="0" borderId="0" xfId="1" applyNumberFormat="1" applyFont="1" applyFill="1" applyBorder="1" applyAlignment="1">
      <alignment horizontal="center" shrinkToFit="1"/>
    </xf>
    <xf numFmtId="0" fontId="7" fillId="0" borderId="0" xfId="0" applyFont="1"/>
    <xf numFmtId="41" fontId="0" fillId="0" borderId="0" xfId="0" applyNumberFormat="1" applyAlignment="1">
      <alignment horizontal="center"/>
    </xf>
    <xf numFmtId="0" fontId="7" fillId="0" borderId="0" xfId="0" applyFont="1" applyAlignment="1">
      <alignment vertical="center"/>
    </xf>
    <xf numFmtId="167" fontId="7" fillId="0" borderId="0" xfId="1" applyNumberFormat="1" applyFont="1" applyAlignment="1">
      <alignment vertical="center"/>
    </xf>
    <xf numFmtId="43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67" fontId="10" fillId="0" borderId="0" xfId="1" applyNumberFormat="1" applyFont="1" applyFill="1" applyBorder="1" applyAlignment="1">
      <alignment horizontal="center" vertical="center" shrinkToFit="1"/>
    </xf>
    <xf numFmtId="166" fontId="7" fillId="2" borderId="0" xfId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6" fontId="9" fillId="4" borderId="1" xfId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vertical="center" wrapText="1"/>
    </xf>
    <xf numFmtId="0" fontId="0" fillId="0" borderId="1" xfId="0" applyBorder="1"/>
    <xf numFmtId="0" fontId="13" fillId="0" borderId="1" xfId="0" applyFont="1" applyBorder="1"/>
    <xf numFmtId="166" fontId="13" fillId="0" borderId="1" xfId="1" applyFont="1" applyBorder="1"/>
    <xf numFmtId="170" fontId="9" fillId="0" borderId="0" xfId="2" applyNumberFormat="1" applyFont="1" applyFill="1" applyBorder="1" applyAlignment="1">
      <alignment shrinkToFit="1"/>
    </xf>
    <xf numFmtId="166" fontId="9" fillId="0" borderId="0" xfId="1" applyFont="1" applyFill="1" applyBorder="1" applyAlignment="1">
      <alignment shrinkToFit="1"/>
    </xf>
    <xf numFmtId="166" fontId="7" fillId="0" borderId="0" xfId="1" applyFont="1" applyAlignment="1">
      <alignment vertical="center"/>
    </xf>
    <xf numFmtId="166" fontId="0" fillId="0" borderId="0" xfId="1" applyFont="1" applyAlignment="1">
      <alignment horizontal="center" vertical="center"/>
    </xf>
    <xf numFmtId="170" fontId="0" fillId="0" borderId="1" xfId="0" applyNumberFormat="1" applyBorder="1"/>
    <xf numFmtId="167" fontId="9" fillId="0" borderId="0" xfId="1" applyNumberFormat="1" applyFont="1" applyFill="1" applyBorder="1" applyAlignment="1">
      <alignment horizontal="center" shrinkToFit="1"/>
    </xf>
    <xf numFmtId="167" fontId="9" fillId="0" borderId="0" xfId="1" applyNumberFormat="1" applyFont="1" applyAlignment="1">
      <alignment horizontal="center"/>
    </xf>
    <xf numFmtId="170" fontId="6" fillId="0" borderId="0" xfId="2" applyNumberFormat="1" applyFont="1" applyFill="1" applyBorder="1" applyAlignment="1">
      <alignment shrinkToFit="1"/>
    </xf>
    <xf numFmtId="0" fontId="7" fillId="0" borderId="0" xfId="0" applyFont="1" applyAlignment="1">
      <alignment horizontal="left" vertical="center"/>
    </xf>
    <xf numFmtId="164" fontId="13" fillId="0" borderId="1" xfId="0" applyNumberFormat="1" applyFont="1" applyBorder="1" applyAlignment="1">
      <alignment horizontal="center"/>
    </xf>
    <xf numFmtId="2" fontId="11" fillId="0" borderId="1" xfId="0" applyNumberFormat="1" applyFont="1" applyBorder="1" applyAlignment="1">
      <alignment horizontal="center" shrinkToFit="1"/>
    </xf>
    <xf numFmtId="0" fontId="14" fillId="0" borderId="1" xfId="0" applyFont="1" applyBorder="1"/>
    <xf numFmtId="171" fontId="15" fillId="3" borderId="1" xfId="0" applyNumberFormat="1" applyFont="1" applyFill="1" applyBorder="1" applyAlignment="1">
      <alignment horizontal="center" shrinkToFit="1"/>
    </xf>
    <xf numFmtId="171" fontId="16" fillId="3" borderId="6" xfId="2" applyNumberFormat="1" applyFont="1" applyFill="1" applyBorder="1" applyAlignment="1">
      <alignment horizontal="center" shrinkToFit="1"/>
    </xf>
    <xf numFmtId="0" fontId="9" fillId="7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17" fontId="8" fillId="2" borderId="0" xfId="0" applyNumberFormat="1" applyFont="1" applyFill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7" fontId="8" fillId="2" borderId="1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166" fontId="9" fillId="4" borderId="1" xfId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</cellXfs>
  <cellStyles count="5">
    <cellStyle name="Comma" xfId="1" builtinId="3"/>
    <cellStyle name="Comma [0]" xfId="2" builtinId="6"/>
    <cellStyle name="Comma 4" xfId="4" xr:uid="{00000000-0005-0000-0000-000002000000}"/>
    <cellStyle name="Currency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7764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P1" sqref="P1"/>
    </sheetView>
  </sheetViews>
  <sheetFormatPr defaultRowHeight="15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.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>
      <c r="A2" s="6" t="s">
        <v>14</v>
      </c>
      <c r="B2" s="7">
        <v>1</v>
      </c>
      <c r="C2" s="8">
        <v>12</v>
      </c>
      <c r="D2" s="7">
        <v>2021</v>
      </c>
      <c r="E2" s="9">
        <f>Electricity!F8+Electricity!I8</f>
        <v>6880.0000000002228</v>
      </c>
      <c r="F2" s="10">
        <f>Electricity!L8/TOTAL!E2</f>
        <v>1231.7633720930207</v>
      </c>
      <c r="G2" s="9">
        <f>Gas!F9+Gas!I9+Gas!L9+Gas!O9</f>
        <v>16.980000000000146</v>
      </c>
      <c r="H2" s="10">
        <f>Gas!Q9/TOTAL!G2</f>
        <v>15839.999999999998</v>
      </c>
      <c r="I2" s="9">
        <f>'Fuel Diesel'!F9</f>
        <v>1</v>
      </c>
      <c r="J2" s="11">
        <f>'Fuel Diesel'!G9/'Fuel Diesel'!F9</f>
        <v>10700</v>
      </c>
      <c r="K2" s="9">
        <f>Water!E9+Water!G9+Water!I9</f>
        <v>376</v>
      </c>
      <c r="L2" s="10">
        <f>Water!K9/TOTAL!K2</f>
        <v>4000</v>
      </c>
      <c r="M2" s="9">
        <f>Electricity!C8</f>
        <v>5</v>
      </c>
      <c r="N2" s="9">
        <f>Electricity!D8</f>
        <v>30</v>
      </c>
    </row>
    <row r="3" spans="1:14">
      <c r="A3" s="6" t="s">
        <v>14</v>
      </c>
      <c r="B3" s="7">
        <f>B2+1</f>
        <v>2</v>
      </c>
      <c r="C3" s="8">
        <v>12</v>
      </c>
      <c r="D3" s="7">
        <v>2021</v>
      </c>
      <c r="E3" s="9">
        <f>Electricity!F9+Electricity!I9</f>
        <v>6919.9999999998454</v>
      </c>
      <c r="F3" s="10">
        <f>Electricity!L9/TOTAL!E3</f>
        <v>1239.4575867052072</v>
      </c>
      <c r="G3" s="9">
        <f>Gas!F10+Gas!I10+Gas!L10+Gas!O10</f>
        <v>21.110000000000255</v>
      </c>
      <c r="H3" s="10">
        <f>Gas!Q10/TOTAL!G3</f>
        <v>15840</v>
      </c>
      <c r="I3" s="9">
        <f>'Fuel Diesel'!F10</f>
        <v>0</v>
      </c>
      <c r="J3" s="11" t="e">
        <f>'Fuel Diesel'!G10/'Fuel Diesel'!F10</f>
        <v>#DIV/0!</v>
      </c>
      <c r="K3" s="9">
        <f>Water!E10+Water!G10+Water!I10</f>
        <v>330</v>
      </c>
      <c r="L3" s="10">
        <f>Water!K10/TOTAL!K3</f>
        <v>4000</v>
      </c>
      <c r="M3" s="9">
        <f>Electricity!C9</f>
        <v>6</v>
      </c>
      <c r="N3" s="9">
        <f>Electricity!D9</f>
        <v>26</v>
      </c>
    </row>
    <row r="4" spans="1:14">
      <c r="A4" s="6" t="s">
        <v>14</v>
      </c>
      <c r="B4" s="7">
        <f t="shared" ref="B4:B30" si="0">B3+1</f>
        <v>3</v>
      </c>
      <c r="C4" s="8">
        <v>12</v>
      </c>
      <c r="D4" s="7">
        <v>2021</v>
      </c>
      <c r="E4" s="9">
        <f>Electricity!F10+Electricity!I10</f>
        <v>7180.0000000000637</v>
      </c>
      <c r="F4" s="10">
        <f>Electricity!L10/TOTAL!E4</f>
        <v>1238.994498607241</v>
      </c>
      <c r="G4" s="9">
        <f>Gas!F11+Gas!I11+Gas!L11+Gas!O11</f>
        <v>20.739999999999455</v>
      </c>
      <c r="H4" s="10">
        <f>Gas!Q11/TOTAL!G4</f>
        <v>15840</v>
      </c>
      <c r="I4" s="9">
        <f>'Fuel Diesel'!F11</f>
        <v>0</v>
      </c>
      <c r="J4" s="11" t="e">
        <f>'Fuel Diesel'!G11/'Fuel Diesel'!F11</f>
        <v>#DIV/0!</v>
      </c>
      <c r="K4" s="9">
        <f>Water!E11+Water!G11+Water!I11</f>
        <v>381</v>
      </c>
      <c r="L4" s="10">
        <f>Water!K11/TOTAL!K4</f>
        <v>4000</v>
      </c>
      <c r="M4" s="9">
        <f>Electricity!C10</f>
        <v>7</v>
      </c>
      <c r="N4" s="9">
        <f>Electricity!D10</f>
        <v>24</v>
      </c>
    </row>
    <row r="5" spans="1:14">
      <c r="A5" s="6" t="s">
        <v>14</v>
      </c>
      <c r="B5" s="7">
        <f t="shared" si="0"/>
        <v>4</v>
      </c>
      <c r="C5" s="8">
        <v>12</v>
      </c>
      <c r="D5" s="7">
        <v>2021</v>
      </c>
      <c r="E5" s="9">
        <f>Electricity!F11+Electricity!I11</f>
        <v>7319.9999999998226</v>
      </c>
      <c r="F5" s="10">
        <f>Electricity!L11/TOTAL!E5</f>
        <v>1230.8586748633863</v>
      </c>
      <c r="G5" s="9">
        <f>Gas!F12+Gas!I12+Gas!L12+Gas!O12</f>
        <v>19.660000000000437</v>
      </c>
      <c r="H5" s="10">
        <f>Gas!Q12/TOTAL!G5</f>
        <v>15839.999999999998</v>
      </c>
      <c r="I5" s="9">
        <f>'Fuel Diesel'!F12</f>
        <v>0</v>
      </c>
      <c r="J5" s="11" t="e">
        <f>'Fuel Diesel'!G12/'Fuel Diesel'!F12</f>
        <v>#DIV/0!</v>
      </c>
      <c r="K5" s="9">
        <f>Water!E12+Water!G12+Water!I12</f>
        <v>371</v>
      </c>
      <c r="L5" s="10">
        <f>Water!K12/TOTAL!K5</f>
        <v>4000</v>
      </c>
      <c r="M5" s="9">
        <f>Electricity!C11</f>
        <v>9</v>
      </c>
      <c r="N5" s="9">
        <f>Electricity!D11</f>
        <v>41</v>
      </c>
    </row>
    <row r="6" spans="1:14">
      <c r="A6" s="6" t="s">
        <v>14</v>
      </c>
      <c r="B6" s="7">
        <f t="shared" si="0"/>
        <v>5</v>
      </c>
      <c r="C6" s="8">
        <v>12</v>
      </c>
      <c r="D6" s="7">
        <v>2021</v>
      </c>
      <c r="E6" s="9">
        <f>Electricity!F12+Electricity!I12</f>
        <v>7419.9999999998454</v>
      </c>
      <c r="F6" s="10">
        <f>Electricity!L12/TOTAL!E6</f>
        <v>1232.6915768194115</v>
      </c>
      <c r="G6" s="9">
        <f>Gas!F13+Gas!I13+Gas!L13+Gas!O13</f>
        <v>20.70999999999971</v>
      </c>
      <c r="H6" s="10">
        <f>Gas!Q13/TOTAL!G6</f>
        <v>15839.999999999998</v>
      </c>
      <c r="I6" s="9">
        <f>'Fuel Diesel'!F13</f>
        <v>0</v>
      </c>
      <c r="J6" s="11" t="e">
        <f>'Fuel Diesel'!G13/'Fuel Diesel'!F13</f>
        <v>#DIV/0!</v>
      </c>
      <c r="K6" s="9">
        <f>Water!E13+Water!G13+Water!I13</f>
        <v>373</v>
      </c>
      <c r="L6" s="10">
        <f>Water!K13/TOTAL!K6</f>
        <v>4000</v>
      </c>
      <c r="M6" s="9">
        <f>Electricity!C12</f>
        <v>12</v>
      </c>
      <c r="N6" s="9">
        <f>Electricity!D12</f>
        <v>60</v>
      </c>
    </row>
    <row r="7" spans="1:14">
      <c r="A7" s="6" t="s">
        <v>14</v>
      </c>
      <c r="B7" s="7">
        <f t="shared" si="0"/>
        <v>6</v>
      </c>
      <c r="C7" s="8">
        <v>12</v>
      </c>
      <c r="D7" s="7">
        <v>2021</v>
      </c>
      <c r="E7" s="9">
        <f>Electricity!F13+Electricity!I13</f>
        <v>7060.0000000000591</v>
      </c>
      <c r="F7" s="10">
        <f>Electricity!L13/TOTAL!E7</f>
        <v>1234.2397308781822</v>
      </c>
      <c r="G7" s="9">
        <f>Gas!F14+Gas!I14+Gas!L14+Gas!O14</f>
        <v>18.810000000000073</v>
      </c>
      <c r="H7" s="10">
        <f>Gas!Q14/TOTAL!G7</f>
        <v>15839.999999999998</v>
      </c>
      <c r="I7" s="9">
        <f>'Fuel Diesel'!F14</f>
        <v>0</v>
      </c>
      <c r="J7" s="11" t="e">
        <f>'Fuel Diesel'!G14/'Fuel Diesel'!F14</f>
        <v>#DIV/0!</v>
      </c>
      <c r="K7" s="9">
        <f>Water!E14+Water!G14+Water!I14</f>
        <v>312</v>
      </c>
      <c r="L7" s="10">
        <f>Water!K14/TOTAL!K7</f>
        <v>4000</v>
      </c>
      <c r="M7" s="9">
        <f>Electricity!C13</f>
        <v>9</v>
      </c>
      <c r="N7" s="9">
        <f>Electricity!D13</f>
        <v>53</v>
      </c>
    </row>
    <row r="8" spans="1:14">
      <c r="A8" s="6" t="s">
        <v>14</v>
      </c>
      <c r="B8" s="7">
        <f t="shared" si="0"/>
        <v>7</v>
      </c>
      <c r="C8" s="8">
        <v>12</v>
      </c>
      <c r="D8" s="7">
        <v>2021</v>
      </c>
      <c r="E8" s="9">
        <f>Electricity!F14+Electricity!I14</f>
        <v>7220.000000000141</v>
      </c>
      <c r="F8" s="10">
        <f>Electricity!L14/TOTAL!E8</f>
        <v>1240.0184210526365</v>
      </c>
      <c r="G8" s="9">
        <f>Gas!F15+Gas!I15+Gas!L15+Gas!O15</f>
        <v>18.810000000000073</v>
      </c>
      <c r="H8" s="10">
        <f>Gas!Q15/TOTAL!G8</f>
        <v>15839.999999999998</v>
      </c>
      <c r="I8" s="9">
        <f>'Fuel Diesel'!F15</f>
        <v>23</v>
      </c>
      <c r="J8" s="11">
        <f>'Fuel Diesel'!G15/'Fuel Diesel'!F15</f>
        <v>10700</v>
      </c>
      <c r="K8" s="9">
        <f>Water!E15+Water!G15+Water!I15</f>
        <v>342</v>
      </c>
      <c r="L8" s="10">
        <f>Water!K15/TOTAL!K8</f>
        <v>4000</v>
      </c>
      <c r="M8" s="9">
        <f>Electricity!C14</f>
        <v>9</v>
      </c>
      <c r="N8" s="9">
        <f>Electricity!D14</f>
        <v>43</v>
      </c>
    </row>
    <row r="9" spans="1:14">
      <c r="A9" s="6" t="s">
        <v>14</v>
      </c>
      <c r="B9" s="7">
        <f t="shared" si="0"/>
        <v>8</v>
      </c>
      <c r="C9" s="8">
        <v>12</v>
      </c>
      <c r="D9" s="7">
        <v>2021</v>
      </c>
      <c r="E9" s="9">
        <f>Electricity!F15+Electricity!I15</f>
        <v>7919.9999999998454</v>
      </c>
      <c r="F9" s="10">
        <f>Electricity!L15/TOTAL!E9</f>
        <v>1236.8472222222169</v>
      </c>
      <c r="G9" s="9">
        <f>Gas!F16+Gas!I16+Gas!L16+Gas!O16</f>
        <v>20.620000000000474</v>
      </c>
      <c r="H9" s="10">
        <f>Gas!Q16/TOTAL!G9</f>
        <v>15840</v>
      </c>
      <c r="I9" s="9">
        <f>'Fuel Diesel'!F16</f>
        <v>0</v>
      </c>
      <c r="J9" s="11" t="e">
        <f>'Fuel Diesel'!G16/'Fuel Diesel'!F16</f>
        <v>#DIV/0!</v>
      </c>
      <c r="K9" s="9">
        <f>Water!E16+Water!G16+Water!I16</f>
        <v>364</v>
      </c>
      <c r="L9" s="10">
        <f>Water!K16/TOTAL!K9</f>
        <v>4000</v>
      </c>
      <c r="M9" s="9">
        <f>Electricity!C15</f>
        <v>15</v>
      </c>
      <c r="N9" s="9">
        <f>Electricity!D15</f>
        <v>53</v>
      </c>
    </row>
    <row r="10" spans="1:14">
      <c r="A10" s="6" t="s">
        <v>14</v>
      </c>
      <c r="B10" s="7">
        <f t="shared" si="0"/>
        <v>9</v>
      </c>
      <c r="C10" s="8">
        <v>12</v>
      </c>
      <c r="D10" s="7">
        <v>2021</v>
      </c>
      <c r="E10" s="9">
        <f>Electricity!F16+Electricity!I16</f>
        <v>7920.0000000000728</v>
      </c>
      <c r="F10" s="10">
        <f>Electricity!L16/TOTAL!E10</f>
        <v>1239.723611111117</v>
      </c>
      <c r="G10" s="9">
        <f>Gas!F17+Gas!I17+Gas!L17+Gas!O17</f>
        <v>21.7699999999992</v>
      </c>
      <c r="H10" s="10">
        <f>Gas!Q17/TOTAL!G10</f>
        <v>15839.999999999998</v>
      </c>
      <c r="I10" s="9">
        <f>'Fuel Diesel'!F17</f>
        <v>0</v>
      </c>
      <c r="J10" s="11" t="e">
        <f>'Fuel Diesel'!G17/'Fuel Diesel'!F17</f>
        <v>#DIV/0!</v>
      </c>
      <c r="K10" s="9">
        <f>Water!E17+Water!G17+Water!I17</f>
        <v>311</v>
      </c>
      <c r="L10" s="10">
        <f>Water!K17/TOTAL!K10</f>
        <v>4000</v>
      </c>
      <c r="M10" s="9">
        <f>Electricity!C16</f>
        <v>14</v>
      </c>
      <c r="N10" s="9">
        <f>Electricity!D16</f>
        <v>73</v>
      </c>
    </row>
    <row r="11" spans="1:14">
      <c r="A11" s="6" t="s">
        <v>14</v>
      </c>
      <c r="B11" s="7">
        <f t="shared" si="0"/>
        <v>10</v>
      </c>
      <c r="C11" s="8">
        <v>12</v>
      </c>
      <c r="D11" s="7">
        <v>2021</v>
      </c>
      <c r="E11" s="9">
        <f>Electricity!F17+Electricity!I17</f>
        <v>8720.0000000002547</v>
      </c>
      <c r="F11" s="10">
        <f>Electricity!L17/TOTAL!E11</f>
        <v>1237.0187499999975</v>
      </c>
      <c r="G11" s="9">
        <f>Gas!F18+Gas!I18+Gas!L18+Gas!O18</f>
        <v>20.510000000000801</v>
      </c>
      <c r="H11" s="10">
        <f>Gas!Q18/TOTAL!G11</f>
        <v>15839.999999999998</v>
      </c>
      <c r="I11" s="9">
        <f>'Fuel Diesel'!F18</f>
        <v>0</v>
      </c>
      <c r="J11" s="11" t="e">
        <f>'Fuel Diesel'!G18/'Fuel Diesel'!F18</f>
        <v>#DIV/0!</v>
      </c>
      <c r="K11" s="9">
        <f>Water!E18+Water!G18+Water!I18</f>
        <v>345</v>
      </c>
      <c r="L11" s="10">
        <f>Water!K18/TOTAL!K11</f>
        <v>4000</v>
      </c>
      <c r="M11" s="9">
        <f>Electricity!C17</f>
        <v>21</v>
      </c>
      <c r="N11" s="9">
        <f>Electricity!D17</f>
        <v>87</v>
      </c>
    </row>
    <row r="12" spans="1:14">
      <c r="A12" s="6" t="s">
        <v>14</v>
      </c>
      <c r="B12" s="7">
        <f t="shared" si="0"/>
        <v>11</v>
      </c>
      <c r="C12" s="8">
        <v>12</v>
      </c>
      <c r="D12" s="7">
        <v>2021</v>
      </c>
      <c r="E12" s="9">
        <f>Electricity!F18+Electricity!I18</f>
        <v>8479.9999999999054</v>
      </c>
      <c r="F12" s="10">
        <f>Electricity!L18/TOTAL!E12</f>
        <v>1237.1050117924487</v>
      </c>
      <c r="G12" s="9">
        <f>Gas!F19+Gas!I19+Gas!L19+Gas!O19</f>
        <v>23.749999999999673</v>
      </c>
      <c r="H12" s="10">
        <f>Gas!Q19/TOTAL!G12</f>
        <v>15839.999999999998</v>
      </c>
      <c r="I12" s="9">
        <f>'Fuel Diesel'!F19</f>
        <v>0</v>
      </c>
      <c r="J12" s="11" t="e">
        <f>'Fuel Diesel'!G19/'Fuel Diesel'!F19</f>
        <v>#DIV/0!</v>
      </c>
      <c r="K12" s="9">
        <f>Water!E19+Water!G19+Water!I19</f>
        <v>388</v>
      </c>
      <c r="L12" s="10">
        <f>Water!K19/TOTAL!K12</f>
        <v>4000</v>
      </c>
      <c r="M12" s="9">
        <f>Electricity!C18</f>
        <v>21</v>
      </c>
      <c r="N12" s="9">
        <f>Electricity!D18</f>
        <v>59</v>
      </c>
    </row>
    <row r="13" spans="1:14">
      <c r="A13" s="6" t="s">
        <v>14</v>
      </c>
      <c r="B13" s="7">
        <f t="shared" si="0"/>
        <v>12</v>
      </c>
      <c r="C13" s="8">
        <v>12</v>
      </c>
      <c r="D13" s="7">
        <v>2021</v>
      </c>
      <c r="E13" s="9">
        <f>Electricity!F19+Electricity!I19</f>
        <v>8519.9999999999818</v>
      </c>
      <c r="F13" s="10">
        <f>Electricity!L19/TOTAL!E13</f>
        <v>1235.3077464788771</v>
      </c>
      <c r="G13" s="9">
        <f>Gas!F20+Gas!I20+Gas!L20+Gas!O20</f>
        <v>18.409999999999528</v>
      </c>
      <c r="H13" s="10">
        <f>Gas!Q20/TOTAL!G13</f>
        <v>15840</v>
      </c>
      <c r="I13" s="9">
        <f>'Fuel Diesel'!F20</f>
        <v>0</v>
      </c>
      <c r="J13" s="11" t="e">
        <f>'Fuel Diesel'!G20/'Fuel Diesel'!F20</f>
        <v>#DIV/0!</v>
      </c>
      <c r="K13" s="9">
        <f>Water!E20+Water!G20+Water!I20</f>
        <v>320</v>
      </c>
      <c r="L13" s="10">
        <f>Water!K20/TOTAL!K13</f>
        <v>4000</v>
      </c>
      <c r="M13" s="9">
        <f>Electricity!C19</f>
        <v>16</v>
      </c>
      <c r="N13" s="9">
        <f>Electricity!D19</f>
        <v>97</v>
      </c>
    </row>
    <row r="14" spans="1:14">
      <c r="A14" s="6" t="s">
        <v>14</v>
      </c>
      <c r="B14" s="7">
        <f t="shared" si="0"/>
        <v>13</v>
      </c>
      <c r="C14" s="8">
        <v>12</v>
      </c>
      <c r="D14" s="7">
        <v>2021</v>
      </c>
      <c r="E14" s="9">
        <f>Electricity!F20+Electricity!I20</f>
        <v>8699.9999999998181</v>
      </c>
      <c r="F14" s="10">
        <f>Electricity!L20/TOTAL!E14</f>
        <v>1239.8624712643675</v>
      </c>
      <c r="G14" s="9">
        <f>Gas!F21+Gas!I21+Gas!L21+Gas!O21</f>
        <v>19.780000000000328</v>
      </c>
      <c r="H14" s="10">
        <f>Gas!Q21/TOTAL!G14</f>
        <v>15840</v>
      </c>
      <c r="I14" s="9">
        <f>'Fuel Diesel'!F21</f>
        <v>0</v>
      </c>
      <c r="J14" s="11" t="e">
        <f>'Fuel Diesel'!G21/'Fuel Diesel'!F21</f>
        <v>#DIV/0!</v>
      </c>
      <c r="K14" s="9">
        <f>Water!E21+Water!G21+Water!I21</f>
        <v>271</v>
      </c>
      <c r="L14" s="10">
        <f>Water!K21/TOTAL!K14</f>
        <v>4000</v>
      </c>
      <c r="M14" s="9">
        <f>Electricity!C20</f>
        <v>14</v>
      </c>
      <c r="N14" s="9">
        <f>Electricity!D20</f>
        <v>86</v>
      </c>
    </row>
    <row r="15" spans="1:14">
      <c r="A15" s="6" t="s">
        <v>14</v>
      </c>
      <c r="B15" s="7">
        <f t="shared" si="0"/>
        <v>14</v>
      </c>
      <c r="C15" s="8">
        <v>12</v>
      </c>
      <c r="D15" s="7">
        <v>2021</v>
      </c>
      <c r="E15" s="9">
        <f>Electricity!F21+Electricity!I21</f>
        <v>8399.9999999999782</v>
      </c>
      <c r="F15" s="10">
        <f>Electricity!L21/TOTAL!E15</f>
        <v>1227.1907738095285</v>
      </c>
      <c r="G15" s="9">
        <f>Gas!F22+Gas!I22+Gas!L22+Gas!O22</f>
        <v>21.219999999999928</v>
      </c>
      <c r="H15" s="10">
        <f>Gas!Q22/TOTAL!G15</f>
        <v>15839.999999999998</v>
      </c>
      <c r="I15" s="9">
        <f>'Fuel Diesel'!F22</f>
        <v>0</v>
      </c>
      <c r="J15" s="11" t="e">
        <f>'Fuel Diesel'!G22/'Fuel Diesel'!F22</f>
        <v>#DIV/0!</v>
      </c>
      <c r="K15" s="9">
        <f>Water!E22+Water!G22+Water!I22</f>
        <v>280</v>
      </c>
      <c r="L15" s="10">
        <f>Water!K22/TOTAL!K15</f>
        <v>4000</v>
      </c>
      <c r="M15" s="9">
        <f>Electricity!C21</f>
        <v>17</v>
      </c>
      <c r="N15" s="9">
        <f>Electricity!D21</f>
        <v>60</v>
      </c>
    </row>
    <row r="16" spans="1:14">
      <c r="A16" s="6" t="s">
        <v>14</v>
      </c>
      <c r="B16" s="7">
        <f t="shared" si="0"/>
        <v>15</v>
      </c>
      <c r="C16" s="8">
        <v>12</v>
      </c>
      <c r="D16" s="7">
        <v>2021</v>
      </c>
      <c r="E16" s="9">
        <f>Electricity!F22+Electricity!I22</f>
        <v>8440.0000000002819</v>
      </c>
      <c r="F16" s="10">
        <f>Electricity!L22/TOTAL!E16</f>
        <v>1230.8218009478576</v>
      </c>
      <c r="G16" s="9">
        <f>Gas!F23+Gas!I23+Gas!L23+Gas!O23</f>
        <v>20.129999999999782</v>
      </c>
      <c r="H16" s="10">
        <f>Gas!Q23/TOTAL!G16</f>
        <v>15839.999999999998</v>
      </c>
      <c r="I16" s="9">
        <f>'Fuel Diesel'!F23</f>
        <v>0</v>
      </c>
      <c r="J16" s="11" t="e">
        <f>'Fuel Diesel'!G23/'Fuel Diesel'!F23</f>
        <v>#DIV/0!</v>
      </c>
      <c r="K16" s="9">
        <f>Water!E23+Water!G23+Water!I23</f>
        <v>325</v>
      </c>
      <c r="L16" s="10">
        <f>Water!K23/TOTAL!K16</f>
        <v>4000</v>
      </c>
      <c r="M16" s="9">
        <f>Electricity!C22</f>
        <v>29</v>
      </c>
      <c r="N16" s="9">
        <f>Electricity!D22</f>
        <v>72</v>
      </c>
    </row>
    <row r="17" spans="1:14">
      <c r="A17" s="6" t="s">
        <v>14</v>
      </c>
      <c r="B17" s="7">
        <f t="shared" si="0"/>
        <v>16</v>
      </c>
      <c r="C17" s="8">
        <v>12</v>
      </c>
      <c r="D17" s="7">
        <v>2021</v>
      </c>
      <c r="E17" s="9">
        <f>Electricity!F23+Electricity!I23</f>
        <v>8099.9999999997954</v>
      </c>
      <c r="F17" s="10">
        <f>Electricity!L23/TOTAL!E17</f>
        <v>1229.0490123456873</v>
      </c>
      <c r="G17" s="9">
        <f>Gas!F24+Gas!I24+Gas!L24+Gas!O24</f>
        <v>20.730000000000146</v>
      </c>
      <c r="H17" s="10">
        <f>Gas!Q24/TOTAL!G17</f>
        <v>15839.999999999998</v>
      </c>
      <c r="I17" s="9">
        <f>'Fuel Diesel'!F24</f>
        <v>0</v>
      </c>
      <c r="J17" s="11" t="e">
        <f>'Fuel Diesel'!G24/'Fuel Diesel'!F24</f>
        <v>#DIV/0!</v>
      </c>
      <c r="K17" s="9">
        <f>Water!E24+Water!G24+Water!I24</f>
        <v>299</v>
      </c>
      <c r="L17" s="10">
        <f>Water!K24/TOTAL!K17</f>
        <v>4000</v>
      </c>
      <c r="M17" s="9">
        <f>Electricity!C23</f>
        <v>14</v>
      </c>
      <c r="N17" s="9">
        <f>Electricity!D23</f>
        <v>74</v>
      </c>
    </row>
    <row r="18" spans="1:14">
      <c r="A18" s="6" t="s">
        <v>14</v>
      </c>
      <c r="B18" s="7">
        <f t="shared" si="0"/>
        <v>17</v>
      </c>
      <c r="C18" s="8">
        <v>12</v>
      </c>
      <c r="D18" s="7">
        <v>2021</v>
      </c>
      <c r="E18" s="9">
        <f>Electricity!F24+Electricity!I24</f>
        <v>8300.0000000001819</v>
      </c>
      <c r="F18" s="10">
        <f>Electricity!L24/TOTAL!E18</f>
        <v>1240.6038554216859</v>
      </c>
      <c r="G18" s="9">
        <f>Gas!F25+Gas!I25+Gas!L25+Gas!O25</f>
        <v>20.190000000000182</v>
      </c>
      <c r="H18" s="10">
        <f>Gas!Q25/TOTAL!G18</f>
        <v>15840</v>
      </c>
      <c r="I18" s="9">
        <f>'Fuel Diesel'!F25</f>
        <v>0</v>
      </c>
      <c r="J18" s="11" t="e">
        <f>'Fuel Diesel'!G25/'Fuel Diesel'!F25</f>
        <v>#DIV/0!</v>
      </c>
      <c r="K18" s="9">
        <f>Water!E25+Water!G25+Water!I25</f>
        <v>264</v>
      </c>
      <c r="L18" s="10">
        <f>Water!K25/TOTAL!K18</f>
        <v>4000</v>
      </c>
      <c r="M18" s="9">
        <f>Electricity!C24</f>
        <v>22</v>
      </c>
      <c r="N18" s="9">
        <f>Electricity!D24</f>
        <v>69</v>
      </c>
    </row>
    <row r="19" spans="1:14">
      <c r="A19" s="6" t="s">
        <v>14</v>
      </c>
      <c r="B19" s="7">
        <f t="shared" si="0"/>
        <v>18</v>
      </c>
      <c r="C19" s="8">
        <v>12</v>
      </c>
      <c r="D19" s="7">
        <v>2021</v>
      </c>
      <c r="E19" s="9">
        <f>Electricity!F25+Electricity!I25</f>
        <v>8399.9999999998636</v>
      </c>
      <c r="F19" s="10">
        <f>Electricity!L25/TOTAL!E19</f>
        <v>1227.1907738095224</v>
      </c>
      <c r="G19" s="9">
        <f>Gas!F26+Gas!I26+Gas!L26+Gas!O26</f>
        <v>21.740000000000364</v>
      </c>
      <c r="H19" s="10">
        <f>Gas!Q26/TOTAL!G19</f>
        <v>15839.999999999998</v>
      </c>
      <c r="I19" s="9">
        <f>'Fuel Diesel'!F26</f>
        <v>0</v>
      </c>
      <c r="J19" s="11" t="e">
        <f>'Fuel Diesel'!G26/'Fuel Diesel'!F26</f>
        <v>#DIV/0!</v>
      </c>
      <c r="K19" s="9">
        <f>Water!E26+Water!G26+Water!I26</f>
        <v>286</v>
      </c>
      <c r="L19" s="10">
        <f>Water!K26/TOTAL!K19</f>
        <v>4000</v>
      </c>
      <c r="M19" s="9">
        <f>Electricity!C25</f>
        <v>21</v>
      </c>
      <c r="N19" s="9">
        <f>Electricity!D25</f>
        <v>108</v>
      </c>
    </row>
    <row r="20" spans="1:14">
      <c r="A20" s="6" t="s">
        <v>14</v>
      </c>
      <c r="B20" s="7">
        <f t="shared" si="0"/>
        <v>19</v>
      </c>
      <c r="C20" s="8">
        <v>12</v>
      </c>
      <c r="D20" s="7">
        <v>2021</v>
      </c>
      <c r="E20" s="9">
        <f>Electricity!F26+Electricity!I26</f>
        <v>8499.9999999998872</v>
      </c>
      <c r="F20" s="10">
        <f>Electricity!L26/TOTAL!E20</f>
        <v>1231.5140588235304</v>
      </c>
      <c r="G20" s="9">
        <f>Gas!F27+Gas!I27+Gas!L27+Gas!O27</f>
        <v>57.77195999999882</v>
      </c>
      <c r="H20" s="10">
        <f>Gas!Q27/TOTAL!G20</f>
        <v>15840</v>
      </c>
      <c r="I20" s="9">
        <f>'Fuel Diesel'!F27</f>
        <v>20</v>
      </c>
      <c r="J20" s="11">
        <f>'Fuel Diesel'!G27/'Fuel Diesel'!F27</f>
        <v>10700</v>
      </c>
      <c r="K20" s="9">
        <f>Water!E27+Water!G27+Water!I27</f>
        <v>260</v>
      </c>
      <c r="L20" s="10">
        <f>Water!K27/TOTAL!K20</f>
        <v>4000</v>
      </c>
      <c r="M20" s="9">
        <f>Electricity!C26</f>
        <v>14</v>
      </c>
      <c r="N20" s="9">
        <f>Electricity!D26</f>
        <v>84</v>
      </c>
    </row>
    <row r="21" spans="1:14">
      <c r="A21" s="6" t="s">
        <v>14</v>
      </c>
      <c r="B21" s="7">
        <f t="shared" si="0"/>
        <v>20</v>
      </c>
      <c r="C21" s="8">
        <v>12</v>
      </c>
      <c r="D21" s="7">
        <v>2021</v>
      </c>
      <c r="E21" s="9">
        <f>Electricity!F27+Electricity!I27</f>
        <v>8100.0000000002501</v>
      </c>
      <c r="F21" s="10">
        <f>Electricity!L27/TOTAL!E21</f>
        <v>1233.2677160493822</v>
      </c>
      <c r="G21" s="9">
        <f>Gas!F28+Gas!I28+Gas!L28+Gas!O28</f>
        <v>52.696680000001606</v>
      </c>
      <c r="H21" s="10">
        <f>Gas!Q28/TOTAL!G21</f>
        <v>15840</v>
      </c>
      <c r="I21" s="9">
        <f>'Fuel Diesel'!F28</f>
        <v>0</v>
      </c>
      <c r="J21" s="11" t="e">
        <f>'Fuel Diesel'!G28/'Fuel Diesel'!F28</f>
        <v>#DIV/0!</v>
      </c>
      <c r="K21" s="9">
        <f>Water!E28+Water!G28+Water!I28</f>
        <v>280</v>
      </c>
      <c r="L21" s="10">
        <f>Water!K28/TOTAL!K21</f>
        <v>4000</v>
      </c>
      <c r="M21" s="9">
        <f>Electricity!C27</f>
        <v>7</v>
      </c>
      <c r="N21" s="9">
        <f>Electricity!D27</f>
        <v>71</v>
      </c>
    </row>
    <row r="22" spans="1:14">
      <c r="A22" s="6" t="s">
        <v>14</v>
      </c>
      <c r="B22" s="7">
        <f t="shared" si="0"/>
        <v>21</v>
      </c>
      <c r="C22" s="8">
        <v>12</v>
      </c>
      <c r="D22" s="7">
        <v>2021</v>
      </c>
      <c r="E22" s="9">
        <f>Electricity!F28+Electricity!I28</f>
        <v>7979.9999999999045</v>
      </c>
      <c r="F22" s="10">
        <f>Electricity!L28/TOTAL!E22</f>
        <v>1236.1119047619072</v>
      </c>
      <c r="G22" s="9">
        <f>Gas!F29+Gas!I29+Gas!L29+Gas!O29</f>
        <v>61.679119999999848</v>
      </c>
      <c r="H22" s="10">
        <f>Gas!Q29/TOTAL!G22</f>
        <v>15840</v>
      </c>
      <c r="I22" s="9">
        <f>'Fuel Diesel'!F29</f>
        <v>18</v>
      </c>
      <c r="J22" s="11">
        <f>'Fuel Diesel'!G29/'Fuel Diesel'!F29</f>
        <v>10700</v>
      </c>
      <c r="K22" s="9">
        <f>Water!E29+Water!G29+Water!I29</f>
        <v>293</v>
      </c>
      <c r="L22" s="10">
        <f>Water!K29/TOTAL!K22</f>
        <v>4000</v>
      </c>
      <c r="M22" s="9">
        <f>Electricity!C28</f>
        <v>11</v>
      </c>
      <c r="N22" s="9">
        <f>Electricity!D28</f>
        <v>19</v>
      </c>
    </row>
    <row r="23" spans="1:14">
      <c r="A23" s="6" t="s">
        <v>14</v>
      </c>
      <c r="B23" s="7">
        <f t="shared" si="0"/>
        <v>22</v>
      </c>
      <c r="C23" s="8">
        <v>12</v>
      </c>
      <c r="D23" s="7">
        <v>2021</v>
      </c>
      <c r="E23" s="9">
        <f>Electricity!F29+Electricity!I29</f>
        <v>8220.0000000001419</v>
      </c>
      <c r="F23" s="10">
        <f>Electricity!L29/TOTAL!E23</f>
        <v>1236.0493917274907</v>
      </c>
      <c r="G23" s="9">
        <f>Gas!F30+Gas!I30+Gas!L30+Gas!O30</f>
        <v>61.03463999999677</v>
      </c>
      <c r="H23" s="10">
        <f>Gas!Q30/TOTAL!G23</f>
        <v>15840</v>
      </c>
      <c r="I23" s="9">
        <f>'Fuel Diesel'!F30</f>
        <v>0</v>
      </c>
      <c r="J23" s="11" t="e">
        <f>'Fuel Diesel'!G30/'Fuel Diesel'!F30</f>
        <v>#DIV/0!</v>
      </c>
      <c r="K23" s="9">
        <f>Water!E30+Water!G30+Water!I30</f>
        <v>276</v>
      </c>
      <c r="L23" s="10">
        <f>Water!K30/TOTAL!K23</f>
        <v>4000</v>
      </c>
      <c r="M23" s="9">
        <f>Electricity!C29</f>
        <v>13</v>
      </c>
      <c r="N23" s="9">
        <f>Electricity!D29</f>
        <v>37</v>
      </c>
    </row>
    <row r="24" spans="1:14">
      <c r="A24" s="6" t="s">
        <v>14</v>
      </c>
      <c r="B24" s="7">
        <f t="shared" si="0"/>
        <v>23</v>
      </c>
      <c r="C24" s="8">
        <v>12</v>
      </c>
      <c r="D24" s="7">
        <v>2021</v>
      </c>
      <c r="E24" s="9">
        <f>Electricity!F30+Electricity!I30</f>
        <v>8519.9999999999818</v>
      </c>
      <c r="F24" s="10">
        <f>Electricity!L30/TOTAL!E24</f>
        <v>1237.9815727699547</v>
      </c>
      <c r="G24" s="9">
        <f>Gas!F31+Gas!I31+Gas!L31+Gas!O31</f>
        <v>62.122200000002195</v>
      </c>
      <c r="H24" s="10">
        <f>Gas!Q31/TOTAL!G24</f>
        <v>15840</v>
      </c>
      <c r="I24" s="9">
        <f>'Fuel Diesel'!F31</f>
        <v>0</v>
      </c>
      <c r="J24" s="11" t="e">
        <f>'Fuel Diesel'!G31/'Fuel Diesel'!F31</f>
        <v>#DIV/0!</v>
      </c>
      <c r="K24" s="9">
        <f>Water!E31+Water!G31+Water!I31</f>
        <v>297</v>
      </c>
      <c r="L24" s="10">
        <f>Water!K31/TOTAL!K24</f>
        <v>4000</v>
      </c>
      <c r="M24" s="9">
        <f>Electricity!C30</f>
        <v>18</v>
      </c>
      <c r="N24" s="9">
        <f>Electricity!D30</f>
        <v>50</v>
      </c>
    </row>
    <row r="25" spans="1:14">
      <c r="A25" s="6" t="s">
        <v>14</v>
      </c>
      <c r="B25" s="7">
        <f t="shared" si="0"/>
        <v>24</v>
      </c>
      <c r="C25" s="8">
        <v>12</v>
      </c>
      <c r="D25" s="7">
        <v>2021</v>
      </c>
      <c r="E25" s="9">
        <f>Electricity!F31+Electricity!I31</f>
        <v>8579.9999999998145</v>
      </c>
      <c r="F25" s="10">
        <f>Electricity!L31/TOTAL!E25</f>
        <v>1230.6519230769247</v>
      </c>
      <c r="G25" s="9">
        <f>Gas!F32+Gas!I32+Gas!L32+Gas!O32</f>
        <v>61.034640000000437</v>
      </c>
      <c r="H25" s="10">
        <f>Gas!Q32/TOTAL!G25</f>
        <v>15840</v>
      </c>
      <c r="I25" s="9">
        <f>'Fuel Diesel'!F32</f>
        <v>0</v>
      </c>
      <c r="J25" s="11" t="e">
        <f>'Fuel Diesel'!G32/'Fuel Diesel'!F32</f>
        <v>#DIV/0!</v>
      </c>
      <c r="K25" s="9">
        <f>Water!E32+Water!G32+Water!I32</f>
        <v>336</v>
      </c>
      <c r="L25" s="10">
        <f>Water!K32/TOTAL!K25</f>
        <v>4000</v>
      </c>
      <c r="M25" s="9">
        <f>Electricity!C31</f>
        <v>12</v>
      </c>
      <c r="N25" s="9">
        <f>Electricity!D31</f>
        <v>92</v>
      </c>
    </row>
    <row r="26" spans="1:14">
      <c r="A26" s="6" t="s">
        <v>14</v>
      </c>
      <c r="B26" s="7">
        <f>B25+1</f>
        <v>25</v>
      </c>
      <c r="C26" s="8">
        <v>12</v>
      </c>
      <c r="D26" s="7">
        <v>2021</v>
      </c>
      <c r="E26" s="9">
        <f>Electricity!F32+Electricity!I32</f>
        <v>8740.0000000002365</v>
      </c>
      <c r="F26" s="10">
        <f>Electricity!L32/TOTAL!E26</f>
        <v>1238.0978260869526</v>
      </c>
      <c r="G26" s="9">
        <f>Gas!F33+Gas!I33+Gas!L33+Gas!O33</f>
        <v>63.975079999998677</v>
      </c>
      <c r="H26" s="10">
        <f>Gas!Q33/TOTAL!G26</f>
        <v>15840</v>
      </c>
      <c r="I26" s="9">
        <f>'Fuel Diesel'!F33</f>
        <v>0</v>
      </c>
      <c r="J26" s="11" t="e">
        <f>'Fuel Diesel'!G33/'Fuel Diesel'!F33</f>
        <v>#DIV/0!</v>
      </c>
      <c r="K26" s="9">
        <f>Water!E33+Water!G33+Water!I33</f>
        <v>335</v>
      </c>
      <c r="L26" s="10">
        <f>Water!K33/TOTAL!K26</f>
        <v>4000</v>
      </c>
      <c r="M26" s="9">
        <f>Electricity!C32</f>
        <v>14</v>
      </c>
      <c r="N26" s="9">
        <f>Electricity!D32</f>
        <v>86</v>
      </c>
    </row>
    <row r="27" spans="1:14">
      <c r="A27" s="6" t="s">
        <v>14</v>
      </c>
      <c r="B27" s="7">
        <f t="shared" si="0"/>
        <v>26</v>
      </c>
      <c r="C27" s="8">
        <v>12</v>
      </c>
      <c r="D27" s="7">
        <v>2021</v>
      </c>
      <c r="E27" s="9">
        <f>Electricity!F33+Electricity!I33</f>
        <v>8379.9999999998818</v>
      </c>
      <c r="F27" s="10">
        <f>Electricity!L33/TOTAL!E27</f>
        <v>1226.041885441527</v>
      </c>
      <c r="G27" s="9">
        <f>Gas!F34+Gas!I34+Gas!L34+Gas!O34</f>
        <v>53.220320000002047</v>
      </c>
      <c r="H27" s="10">
        <f>Gas!Q34/TOTAL!G27</f>
        <v>15840</v>
      </c>
      <c r="I27" s="9">
        <f>'Fuel Diesel'!F34</f>
        <v>0</v>
      </c>
      <c r="J27" s="11" t="e">
        <f>'Fuel Diesel'!G34/'Fuel Diesel'!F34</f>
        <v>#DIV/0!</v>
      </c>
      <c r="K27" s="9">
        <f>Water!E34+Water!G34+Water!I34</f>
        <v>274</v>
      </c>
      <c r="L27" s="10">
        <f>Water!K34/TOTAL!K27</f>
        <v>4000</v>
      </c>
      <c r="M27" s="9">
        <f>Electricity!C33</f>
        <v>8</v>
      </c>
      <c r="N27" s="9">
        <f>Electricity!D33</f>
        <v>74</v>
      </c>
    </row>
    <row r="28" spans="1:14">
      <c r="A28" s="6" t="s">
        <v>14</v>
      </c>
      <c r="B28" s="7">
        <f t="shared" si="0"/>
        <v>27</v>
      </c>
      <c r="C28" s="8">
        <v>12</v>
      </c>
      <c r="D28" s="7">
        <v>2021</v>
      </c>
      <c r="E28" s="9">
        <f>Electricity!F34+Electricity!I34</f>
        <v>8099.9999999996817</v>
      </c>
      <c r="F28" s="10">
        <f>Electricity!L34/TOTAL!E28</f>
        <v>1227.6427777777806</v>
      </c>
      <c r="G28" s="9">
        <f>Gas!F35+Gas!I35+Gas!L35+Gas!O35</f>
        <v>63.290319999998381</v>
      </c>
      <c r="H28" s="10">
        <f>Gas!Q35/TOTAL!G28</f>
        <v>15840</v>
      </c>
      <c r="I28" s="9">
        <f>'Fuel Diesel'!F35</f>
        <v>15</v>
      </c>
      <c r="J28" s="11">
        <f>'Fuel Diesel'!G35/'Fuel Diesel'!F35</f>
        <v>10700</v>
      </c>
      <c r="K28" s="9">
        <f>Water!E35+Water!G35+Water!I35</f>
        <v>265</v>
      </c>
      <c r="L28" s="10">
        <f>Water!K35/TOTAL!K28</f>
        <v>4000</v>
      </c>
      <c r="M28" s="9">
        <f>Electricity!C34</f>
        <v>9</v>
      </c>
      <c r="N28" s="9">
        <f>Electricity!D34</f>
        <v>47</v>
      </c>
    </row>
    <row r="29" spans="1:14">
      <c r="A29" s="6" t="s">
        <v>14</v>
      </c>
      <c r="B29" s="7">
        <f t="shared" si="0"/>
        <v>28</v>
      </c>
      <c r="C29" s="8">
        <v>12</v>
      </c>
      <c r="D29" s="7">
        <v>2021</v>
      </c>
      <c r="E29" s="9">
        <f>Electricity!F35+Electricity!I35</f>
        <v>7620.0000000002319</v>
      </c>
      <c r="F29" s="10">
        <f>Electricity!L35/TOTAL!E29</f>
        <v>1236.2130577427843</v>
      </c>
      <c r="G29" s="9">
        <f>Gas!F36+Gas!I36+Gas!L36+Gas!O36</f>
        <v>55.878800000001462</v>
      </c>
      <c r="H29" s="10">
        <f>Gas!Q36/TOTAL!G29</f>
        <v>15839.999999999998</v>
      </c>
      <c r="I29" s="9">
        <f>'Fuel Diesel'!F36</f>
        <v>0</v>
      </c>
      <c r="J29" s="11" t="e">
        <f>'Fuel Diesel'!G36/'Fuel Diesel'!F36</f>
        <v>#DIV/0!</v>
      </c>
      <c r="K29" s="9">
        <f>Water!E36+Water!G36+Water!I36</f>
        <v>263</v>
      </c>
      <c r="L29" s="10">
        <f>Water!K36/TOTAL!K29</f>
        <v>4000</v>
      </c>
      <c r="M29" s="9">
        <f>Electricity!C35</f>
        <v>9</v>
      </c>
      <c r="N29" s="9">
        <f>Electricity!D35</f>
        <v>58</v>
      </c>
    </row>
    <row r="30" spans="1:14">
      <c r="A30" s="6" t="s">
        <v>14</v>
      </c>
      <c r="B30" s="7">
        <f t="shared" si="0"/>
        <v>29</v>
      </c>
      <c r="C30" s="8">
        <v>12</v>
      </c>
      <c r="D30" s="7">
        <v>2021</v>
      </c>
      <c r="E30" s="9">
        <f>Electricity!F36+Electricity!I36</f>
        <v>7740.0000000000091</v>
      </c>
      <c r="F30" s="10">
        <f>Electricity!L36/TOTAL!E30</f>
        <v>1236.1782945736386</v>
      </c>
      <c r="G30" s="9">
        <f>Gas!F37+Gas!I37+Gas!L37+Gas!O37</f>
        <v>63.250039999997504</v>
      </c>
      <c r="H30" s="10">
        <f>Gas!Q37/TOTAL!G30</f>
        <v>15840</v>
      </c>
      <c r="I30" s="9">
        <f>'Fuel Diesel'!F37</f>
        <v>0</v>
      </c>
      <c r="J30" s="11" t="e">
        <f>'Fuel Diesel'!G37/'Fuel Diesel'!F37</f>
        <v>#DIV/0!</v>
      </c>
      <c r="K30" s="9">
        <f>Water!E37+Water!G37+Water!I37</f>
        <v>290</v>
      </c>
      <c r="L30" s="10">
        <f>Water!K37/TOTAL!K30</f>
        <v>4000</v>
      </c>
      <c r="M30" s="9">
        <f>Electricity!C36</f>
        <v>7</v>
      </c>
      <c r="N30" s="9">
        <f>Electricity!D36</f>
        <v>63</v>
      </c>
    </row>
    <row r="31" spans="1:14">
      <c r="A31" s="6" t="s">
        <v>14</v>
      </c>
      <c r="B31" s="7">
        <v>30</v>
      </c>
      <c r="C31" s="8">
        <v>12</v>
      </c>
      <c r="D31" s="7">
        <v>2021</v>
      </c>
      <c r="E31" s="9">
        <f>Electricity!F37+Electricity!I37</f>
        <v>7040.000000000191</v>
      </c>
      <c r="F31" s="10">
        <f>Electricity!L37/TOTAL!E31</f>
        <v>1234.5101562500029</v>
      </c>
      <c r="G31" s="9">
        <f>Gas!F38+Gas!I38+Gas!L38+Gas!O38</f>
        <v>78.757840000002631</v>
      </c>
      <c r="H31" s="10">
        <f>Gas!Q38/TOTAL!G31</f>
        <v>15840</v>
      </c>
      <c r="I31" s="9">
        <f>'Fuel Diesel'!F38</f>
        <v>0</v>
      </c>
      <c r="J31" s="11" t="e">
        <f>'Fuel Diesel'!G38/'Fuel Diesel'!F38</f>
        <v>#DIV/0!</v>
      </c>
      <c r="K31" s="9">
        <f>Water!E38+Water!G38+Water!I38</f>
        <v>260</v>
      </c>
      <c r="L31" s="10">
        <f>Water!K38/TOTAL!K31</f>
        <v>4000</v>
      </c>
      <c r="M31" s="9">
        <f>Electricity!C37</f>
        <v>4</v>
      </c>
      <c r="N31" s="9">
        <f>Electricity!D37</f>
        <v>34</v>
      </c>
    </row>
    <row r="32" spans="1:14">
      <c r="A32" s="6" t="s">
        <v>14</v>
      </c>
      <c r="B32" s="7">
        <v>31</v>
      </c>
      <c r="C32" s="8">
        <v>12</v>
      </c>
      <c r="D32" s="7">
        <v>2021</v>
      </c>
      <c r="E32" s="9">
        <f>Electricity!F38+Electricity!I38</f>
        <v>14779.999999999745</v>
      </c>
      <c r="F32" s="10">
        <f>Electricity!L38/TOTAL!E32</f>
        <v>1236.9250676589991</v>
      </c>
      <c r="G32" s="9">
        <f>Gas!F39+Gas!I39+Gas!L39+Gas!O39</f>
        <v>120.52820000000219</v>
      </c>
      <c r="H32" s="10">
        <f>Gas!Q39/TOTAL!G32</f>
        <v>15840.000000000002</v>
      </c>
      <c r="I32" s="9">
        <f>'Fuel Diesel'!F39</f>
        <v>0</v>
      </c>
      <c r="J32" s="11" t="e">
        <f>'Fuel Diesel'!G39/'Fuel Diesel'!F39</f>
        <v>#DIV/0!</v>
      </c>
      <c r="K32" s="9">
        <f>Water!E39+Water!G39+Water!I39</f>
        <v>550</v>
      </c>
      <c r="L32" s="10">
        <f>Water!K39/TOTAL!K32</f>
        <v>4000</v>
      </c>
      <c r="M32" s="9">
        <f>Electricity!C38</f>
        <v>10</v>
      </c>
      <c r="N32" s="9">
        <f>Electricity!D38</f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2"/>
  <sheetViews>
    <sheetView workbookViewId="0">
      <selection activeCell="B5" sqref="B5:B7"/>
    </sheetView>
  </sheetViews>
  <sheetFormatPr defaultRowHeight="15"/>
  <cols>
    <col min="1" max="1" width="2.5703125" customWidth="1"/>
    <col min="2" max="2" width="5.85546875" customWidth="1"/>
    <col min="3" max="3" width="6.5703125" customWidth="1"/>
    <col min="4" max="4" width="7.5703125" style="19" customWidth="1"/>
    <col min="5" max="5" width="9.42578125" style="32" customWidth="1"/>
    <col min="6" max="6" width="11.28515625" style="32" customWidth="1"/>
    <col min="7" max="7" width="16.5703125" style="32" customWidth="1"/>
    <col min="8" max="8" width="10.28515625" style="32" customWidth="1"/>
    <col min="9" max="9" width="11.140625" style="32" customWidth="1"/>
    <col min="10" max="10" width="16.7109375" style="32" customWidth="1"/>
    <col min="11" max="11" width="16.28515625" style="32" customWidth="1"/>
    <col min="12" max="12" width="18" customWidth="1"/>
    <col min="13" max="13" width="16.7109375" customWidth="1"/>
    <col min="14" max="14" width="2.5703125" customWidth="1"/>
    <col min="16" max="16" width="16.7109375" customWidth="1"/>
  </cols>
  <sheetData>
    <row r="1" spans="1:14" ht="15.75">
      <c r="B1" s="86" t="s">
        <v>15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12"/>
      <c r="N1" s="12"/>
    </row>
    <row r="2" spans="1:14" ht="15.75">
      <c r="B2" s="86" t="s">
        <v>16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12"/>
      <c r="N2" s="12"/>
    </row>
    <row r="3" spans="1:14">
      <c r="B3" s="13"/>
      <c r="C3" s="14"/>
      <c r="D3" s="15"/>
      <c r="E3" s="14"/>
      <c r="F3" s="14"/>
      <c r="G3" s="14"/>
      <c r="H3" s="14"/>
      <c r="I3" s="14"/>
      <c r="J3" s="14"/>
      <c r="K3" s="14"/>
      <c r="L3" s="14"/>
      <c r="M3" s="12"/>
      <c r="N3" s="12"/>
    </row>
    <row r="4" spans="1:14">
      <c r="A4" s="16"/>
      <c r="B4" s="87">
        <v>44531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16"/>
    </row>
    <row r="5" spans="1:14">
      <c r="A5" s="17"/>
      <c r="B5" s="88" t="s">
        <v>17</v>
      </c>
      <c r="C5" s="88" t="s">
        <v>18</v>
      </c>
      <c r="D5" s="88" t="s">
        <v>13</v>
      </c>
      <c r="E5" s="89" t="s">
        <v>19</v>
      </c>
      <c r="F5" s="89"/>
      <c r="G5" s="89"/>
      <c r="H5" s="90" t="s">
        <v>20</v>
      </c>
      <c r="I5" s="90"/>
      <c r="J5" s="90"/>
      <c r="K5" s="88" t="s">
        <v>21</v>
      </c>
      <c r="L5" s="88" t="s">
        <v>22</v>
      </c>
      <c r="M5" s="88" t="s">
        <v>23</v>
      </c>
      <c r="N5" s="18"/>
    </row>
    <row r="6" spans="1:14" s="19" customFormat="1">
      <c r="A6" s="17"/>
      <c r="B6" s="88"/>
      <c r="C6" s="88"/>
      <c r="D6" s="88"/>
      <c r="E6" s="88" t="s">
        <v>24</v>
      </c>
      <c r="F6" s="88" t="s">
        <v>25</v>
      </c>
      <c r="G6" s="88" t="s">
        <v>26</v>
      </c>
      <c r="H6" s="88" t="s">
        <v>24</v>
      </c>
      <c r="I6" s="88" t="s">
        <v>25</v>
      </c>
      <c r="J6" s="88" t="s">
        <v>27</v>
      </c>
      <c r="K6" s="88"/>
      <c r="L6" s="88"/>
      <c r="M6" s="88"/>
      <c r="N6" s="18"/>
    </row>
    <row r="7" spans="1:14">
      <c r="A7" s="20"/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21"/>
    </row>
    <row r="8" spans="1:14">
      <c r="A8" s="20"/>
      <c r="B8" s="22">
        <v>1</v>
      </c>
      <c r="C8" s="23">
        <v>5</v>
      </c>
      <c r="D8" s="23">
        <v>30</v>
      </c>
      <c r="E8" s="24">
        <v>2.8800000000001091</v>
      </c>
      <c r="F8" s="25">
        <f t="shared" ref="F8:F38" si="0">E8*2000</f>
        <v>5760.0000000002183</v>
      </c>
      <c r="G8" s="26">
        <f t="shared" ref="G8:G38" si="1">F8*1035.5</f>
        <v>5964480.0000002263</v>
      </c>
      <c r="H8" s="24">
        <v>0.56000000000000227</v>
      </c>
      <c r="I8" s="25">
        <f t="shared" ref="I8:I38" si="2">H8*2000</f>
        <v>1120.0000000000045</v>
      </c>
      <c r="J8" s="26">
        <f t="shared" ref="J8:J38" si="3">I8*1553.25</f>
        <v>1739640.000000007</v>
      </c>
      <c r="K8" s="24">
        <f t="shared" ref="K8:K38" si="4">G8+J8</f>
        <v>7704120.0000002328</v>
      </c>
      <c r="L8" s="27">
        <f t="shared" ref="L8:L38" si="5">K8*1.1</f>
        <v>8474532.000000257</v>
      </c>
      <c r="M8" s="28">
        <f>L8/14306</f>
        <v>592.37606598631737</v>
      </c>
      <c r="N8" s="29"/>
    </row>
    <row r="9" spans="1:14">
      <c r="A9" s="20"/>
      <c r="B9" s="22">
        <v>2</v>
      </c>
      <c r="C9" s="23">
        <v>6</v>
      </c>
      <c r="D9" s="23">
        <v>26</v>
      </c>
      <c r="E9" s="24">
        <v>2.8499999999999091</v>
      </c>
      <c r="F9" s="25">
        <f t="shared" si="0"/>
        <v>5699.9999999998181</v>
      </c>
      <c r="G9" s="26">
        <f t="shared" si="1"/>
        <v>5902349.9999998119</v>
      </c>
      <c r="H9" s="24">
        <v>0.61000000000001364</v>
      </c>
      <c r="I9" s="25">
        <f t="shared" si="2"/>
        <v>1220.0000000000273</v>
      </c>
      <c r="J9" s="26">
        <f t="shared" si="3"/>
        <v>1894965.0000000424</v>
      </c>
      <c r="K9" s="24">
        <f t="shared" si="4"/>
        <v>7797314.9999998547</v>
      </c>
      <c r="L9" s="27">
        <f t="shared" si="5"/>
        <v>8577046.4999998417</v>
      </c>
      <c r="M9" s="28">
        <f t="shared" ref="M9:M38" si="6">L9/14306</f>
        <v>599.54190549418718</v>
      </c>
      <c r="N9" s="29"/>
    </row>
    <row r="10" spans="1:14">
      <c r="A10" s="20"/>
      <c r="B10" s="22">
        <v>3</v>
      </c>
      <c r="C10" s="23">
        <v>7</v>
      </c>
      <c r="D10" s="23">
        <v>24</v>
      </c>
      <c r="E10" s="24">
        <v>2.9600000000000364</v>
      </c>
      <c r="F10" s="25">
        <f t="shared" si="0"/>
        <v>5920.0000000000728</v>
      </c>
      <c r="G10" s="26">
        <f t="shared" si="1"/>
        <v>6130160.0000000754</v>
      </c>
      <c r="H10" s="24">
        <v>0.62999999999999545</v>
      </c>
      <c r="I10" s="25">
        <f t="shared" si="2"/>
        <v>1259.9999999999909</v>
      </c>
      <c r="J10" s="26">
        <f t="shared" si="3"/>
        <v>1957094.9999999858</v>
      </c>
      <c r="K10" s="24">
        <f t="shared" si="4"/>
        <v>8087255.0000000615</v>
      </c>
      <c r="L10" s="27">
        <f t="shared" si="5"/>
        <v>8895980.5000000689</v>
      </c>
      <c r="M10" s="28">
        <f t="shared" si="6"/>
        <v>621.83562840766592</v>
      </c>
      <c r="N10" s="29"/>
    </row>
    <row r="11" spans="1:14">
      <c r="A11" s="20"/>
      <c r="B11" s="22">
        <v>4</v>
      </c>
      <c r="C11" s="23">
        <v>9</v>
      </c>
      <c r="D11" s="23">
        <v>41</v>
      </c>
      <c r="E11" s="24">
        <v>3.0699999999999363</v>
      </c>
      <c r="F11" s="25">
        <f t="shared" si="0"/>
        <v>6139.9999999998727</v>
      </c>
      <c r="G11" s="26">
        <f t="shared" si="1"/>
        <v>6357969.9999998678</v>
      </c>
      <c r="H11" s="24">
        <v>0.58999999999997499</v>
      </c>
      <c r="I11" s="25">
        <f t="shared" si="2"/>
        <v>1179.99999999995</v>
      </c>
      <c r="J11" s="26">
        <f t="shared" si="3"/>
        <v>1832834.9999999222</v>
      </c>
      <c r="K11" s="24">
        <f t="shared" si="4"/>
        <v>8190804.9999997895</v>
      </c>
      <c r="L11" s="27">
        <f t="shared" si="5"/>
        <v>9009885.499999769</v>
      </c>
      <c r="M11" s="28">
        <f t="shared" si="6"/>
        <v>629.79767230531024</v>
      </c>
      <c r="N11" s="29"/>
    </row>
    <row r="12" spans="1:14">
      <c r="A12" s="20"/>
      <c r="B12" s="22">
        <v>5</v>
      </c>
      <c r="C12" s="23">
        <v>12</v>
      </c>
      <c r="D12" s="23">
        <v>60</v>
      </c>
      <c r="E12" s="24">
        <v>3.0999999999999091</v>
      </c>
      <c r="F12" s="25">
        <f t="shared" si="0"/>
        <v>6199.9999999998181</v>
      </c>
      <c r="G12" s="26">
        <f t="shared" si="1"/>
        <v>6420099.9999998119</v>
      </c>
      <c r="H12" s="24">
        <v>0.61000000000001364</v>
      </c>
      <c r="I12" s="25">
        <f t="shared" si="2"/>
        <v>1220.0000000000273</v>
      </c>
      <c r="J12" s="26">
        <f t="shared" si="3"/>
        <v>1894965.0000000424</v>
      </c>
      <c r="K12" s="24">
        <f t="shared" si="4"/>
        <v>8315064.9999998547</v>
      </c>
      <c r="L12" s="27">
        <f t="shared" si="5"/>
        <v>9146571.4999998417</v>
      </c>
      <c r="M12" s="28">
        <f t="shared" si="6"/>
        <v>639.35212498251371</v>
      </c>
      <c r="N12" s="29"/>
    </row>
    <row r="13" spans="1:14">
      <c r="A13" s="20"/>
      <c r="B13" s="22">
        <v>6</v>
      </c>
      <c r="C13" s="23">
        <v>9</v>
      </c>
      <c r="D13" s="23">
        <v>53</v>
      </c>
      <c r="E13" s="24">
        <v>2.9400000000000546</v>
      </c>
      <c r="F13" s="25">
        <f t="shared" si="0"/>
        <v>5880.0000000001091</v>
      </c>
      <c r="G13" s="26">
        <f t="shared" si="1"/>
        <v>6088740.0000001127</v>
      </c>
      <c r="H13" s="24">
        <v>0.58999999999997499</v>
      </c>
      <c r="I13" s="25">
        <f t="shared" si="2"/>
        <v>1179.99999999995</v>
      </c>
      <c r="J13" s="26">
        <f t="shared" si="3"/>
        <v>1832834.9999999222</v>
      </c>
      <c r="K13" s="24">
        <f t="shared" si="4"/>
        <v>7921575.0000000354</v>
      </c>
      <c r="L13" s="27">
        <f t="shared" si="5"/>
        <v>8713732.5000000391</v>
      </c>
      <c r="M13" s="28">
        <f t="shared" si="6"/>
        <v>609.0963581713994</v>
      </c>
      <c r="N13" s="29"/>
    </row>
    <row r="14" spans="1:14">
      <c r="A14" s="20"/>
      <c r="B14" s="22">
        <v>7</v>
      </c>
      <c r="C14" s="23">
        <v>9</v>
      </c>
      <c r="D14" s="23">
        <v>43</v>
      </c>
      <c r="E14" s="24">
        <v>2.9700000000000273</v>
      </c>
      <c r="F14" s="25">
        <f t="shared" si="0"/>
        <v>5940.0000000000546</v>
      </c>
      <c r="G14" s="26">
        <f t="shared" si="1"/>
        <v>6150870.0000000568</v>
      </c>
      <c r="H14" s="24">
        <v>0.6400000000000432</v>
      </c>
      <c r="I14" s="25">
        <f t="shared" si="2"/>
        <v>1280.0000000000864</v>
      </c>
      <c r="J14" s="26">
        <f t="shared" si="3"/>
        <v>1988160.0000001341</v>
      </c>
      <c r="K14" s="24">
        <f t="shared" si="4"/>
        <v>8139030.0000001909</v>
      </c>
      <c r="L14" s="27">
        <f t="shared" si="5"/>
        <v>8952933.0000002105</v>
      </c>
      <c r="M14" s="28">
        <f t="shared" si="6"/>
        <v>625.81665035650849</v>
      </c>
      <c r="N14" s="29"/>
    </row>
    <row r="15" spans="1:14">
      <c r="A15" s="20"/>
      <c r="B15" s="22">
        <v>8</v>
      </c>
      <c r="C15" s="23">
        <v>15</v>
      </c>
      <c r="D15" s="23">
        <v>53</v>
      </c>
      <c r="E15" s="24">
        <v>3.2799999999999727</v>
      </c>
      <c r="F15" s="25">
        <f t="shared" si="0"/>
        <v>6559.9999999999454</v>
      </c>
      <c r="G15" s="26">
        <f t="shared" si="1"/>
        <v>6792879.9999999432</v>
      </c>
      <c r="H15" s="24">
        <v>0.67999999999994998</v>
      </c>
      <c r="I15" s="25">
        <f t="shared" si="2"/>
        <v>1359.9999999999</v>
      </c>
      <c r="J15" s="26">
        <f t="shared" si="3"/>
        <v>2112419.9999998445</v>
      </c>
      <c r="K15" s="24">
        <f t="shared" si="4"/>
        <v>8905299.9999997877</v>
      </c>
      <c r="L15" s="27">
        <f t="shared" si="5"/>
        <v>9795829.9999997672</v>
      </c>
      <c r="M15" s="28">
        <f t="shared" si="6"/>
        <v>684.73577519920082</v>
      </c>
      <c r="N15" s="29"/>
    </row>
    <row r="16" spans="1:14">
      <c r="A16" s="20"/>
      <c r="B16" s="22">
        <v>9</v>
      </c>
      <c r="C16" s="23">
        <v>14</v>
      </c>
      <c r="D16" s="23">
        <v>73</v>
      </c>
      <c r="E16" s="24">
        <v>3.2599999999999909</v>
      </c>
      <c r="F16" s="25">
        <f t="shared" si="0"/>
        <v>6519.9999999999818</v>
      </c>
      <c r="G16" s="26">
        <f t="shared" si="1"/>
        <v>6751459.9999999814</v>
      </c>
      <c r="H16" s="24">
        <v>0.70000000000004547</v>
      </c>
      <c r="I16" s="25">
        <f t="shared" si="2"/>
        <v>1400.0000000000909</v>
      </c>
      <c r="J16" s="26">
        <f t="shared" si="3"/>
        <v>2174550.0000001411</v>
      </c>
      <c r="K16" s="24">
        <f t="shared" si="4"/>
        <v>8926010.0000001229</v>
      </c>
      <c r="L16" s="27">
        <f t="shared" si="5"/>
        <v>9818611.000000136</v>
      </c>
      <c r="M16" s="28">
        <f t="shared" si="6"/>
        <v>686.32818397875963</v>
      </c>
      <c r="N16" s="29"/>
    </row>
    <row r="17" spans="1:14">
      <c r="A17" s="20"/>
      <c r="B17" s="22">
        <v>10</v>
      </c>
      <c r="C17" s="23">
        <v>21</v>
      </c>
      <c r="D17" s="23">
        <v>87</v>
      </c>
      <c r="E17" s="24">
        <v>3.6100000000001273</v>
      </c>
      <c r="F17" s="25">
        <f t="shared" si="0"/>
        <v>7220.0000000002547</v>
      </c>
      <c r="G17" s="26">
        <f t="shared" si="1"/>
        <v>7476310.0000002636</v>
      </c>
      <c r="H17" s="24">
        <v>0.75</v>
      </c>
      <c r="I17" s="25">
        <f t="shared" si="2"/>
        <v>1500</v>
      </c>
      <c r="J17" s="26">
        <f t="shared" si="3"/>
        <v>2329875</v>
      </c>
      <c r="K17" s="24">
        <f t="shared" si="4"/>
        <v>9806185.0000002645</v>
      </c>
      <c r="L17" s="27">
        <f t="shared" si="5"/>
        <v>10786803.500000292</v>
      </c>
      <c r="M17" s="28">
        <f t="shared" si="6"/>
        <v>754.00555710892581</v>
      </c>
      <c r="N17" s="29"/>
    </row>
    <row r="18" spans="1:14">
      <c r="A18" s="20"/>
      <c r="B18" s="22">
        <v>11</v>
      </c>
      <c r="C18" s="23">
        <v>21</v>
      </c>
      <c r="D18" s="23">
        <v>59</v>
      </c>
      <c r="E18" s="24">
        <v>3.5099999999999909</v>
      </c>
      <c r="F18" s="25">
        <f t="shared" si="0"/>
        <v>7019.9999999999818</v>
      </c>
      <c r="G18" s="26">
        <f t="shared" si="1"/>
        <v>7269209.9999999814</v>
      </c>
      <c r="H18" s="24">
        <v>0.72999999999996135</v>
      </c>
      <c r="I18" s="25">
        <f t="shared" si="2"/>
        <v>1459.9999999999227</v>
      </c>
      <c r="J18" s="26">
        <f t="shared" si="3"/>
        <v>2267744.9999998799</v>
      </c>
      <c r="K18" s="24">
        <f t="shared" si="4"/>
        <v>9536954.9999998622</v>
      </c>
      <c r="L18" s="27">
        <f t="shared" si="5"/>
        <v>10490650.499999849</v>
      </c>
      <c r="M18" s="28">
        <f t="shared" si="6"/>
        <v>733.30424297496495</v>
      </c>
      <c r="N18" s="29"/>
    </row>
    <row r="19" spans="1:14">
      <c r="A19" s="20"/>
      <c r="B19" s="22">
        <v>12</v>
      </c>
      <c r="C19" s="23">
        <v>16</v>
      </c>
      <c r="D19" s="23">
        <v>97</v>
      </c>
      <c r="E19" s="24">
        <v>3.5399999999999636</v>
      </c>
      <c r="F19" s="25">
        <f t="shared" si="0"/>
        <v>7079.9999999999272</v>
      </c>
      <c r="G19" s="26">
        <f t="shared" si="1"/>
        <v>7331339.9999999246</v>
      </c>
      <c r="H19" s="24">
        <v>0.72000000000002728</v>
      </c>
      <c r="I19" s="25">
        <f t="shared" si="2"/>
        <v>1440.0000000000546</v>
      </c>
      <c r="J19" s="26">
        <f t="shared" si="3"/>
        <v>2236680.0000000848</v>
      </c>
      <c r="K19" s="24">
        <f t="shared" si="4"/>
        <v>9568020.0000000093</v>
      </c>
      <c r="L19" s="27">
        <f t="shared" si="5"/>
        <v>10524822.000000011</v>
      </c>
      <c r="M19" s="28">
        <f t="shared" si="6"/>
        <v>735.69285614427588</v>
      </c>
      <c r="N19" s="29"/>
    </row>
    <row r="20" spans="1:14">
      <c r="A20" s="20"/>
      <c r="B20" s="22">
        <v>13</v>
      </c>
      <c r="C20" s="23">
        <v>14</v>
      </c>
      <c r="D20" s="23">
        <v>86</v>
      </c>
      <c r="E20" s="24">
        <v>3.5799999999999272</v>
      </c>
      <c r="F20" s="25">
        <f t="shared" si="0"/>
        <v>7159.9999999998545</v>
      </c>
      <c r="G20" s="26">
        <f t="shared" si="1"/>
        <v>7414179.9999998491</v>
      </c>
      <c r="H20" s="24">
        <v>0.76999999999998181</v>
      </c>
      <c r="I20" s="25">
        <f t="shared" si="2"/>
        <v>1539.9999999999636</v>
      </c>
      <c r="J20" s="26">
        <f t="shared" si="3"/>
        <v>2392004.9999999437</v>
      </c>
      <c r="K20" s="24">
        <f t="shared" si="4"/>
        <v>9806184.9999997932</v>
      </c>
      <c r="L20" s="27">
        <f t="shared" si="5"/>
        <v>10786803.499999773</v>
      </c>
      <c r="M20" s="28">
        <f t="shared" si="6"/>
        <v>754.00555710888943</v>
      </c>
      <c r="N20" s="29"/>
    </row>
    <row r="21" spans="1:14">
      <c r="A21" s="20"/>
      <c r="B21" s="22">
        <v>14</v>
      </c>
      <c r="C21" s="23">
        <v>17</v>
      </c>
      <c r="D21" s="23">
        <v>60</v>
      </c>
      <c r="E21" s="24">
        <v>3.5499999999999545</v>
      </c>
      <c r="F21" s="25">
        <f t="shared" si="0"/>
        <v>7099.9999999999091</v>
      </c>
      <c r="G21" s="26">
        <f t="shared" si="1"/>
        <v>7352049.9999999059</v>
      </c>
      <c r="H21" s="24">
        <v>0.65000000000003411</v>
      </c>
      <c r="I21" s="25">
        <f t="shared" si="2"/>
        <v>1300.0000000000682</v>
      </c>
      <c r="J21" s="26">
        <f t="shared" si="3"/>
        <v>2019225.0000001059</v>
      </c>
      <c r="K21" s="24">
        <f t="shared" si="4"/>
        <v>9371275.0000000112</v>
      </c>
      <c r="L21" s="27">
        <f t="shared" si="5"/>
        <v>10308402.500000013</v>
      </c>
      <c r="M21" s="28">
        <f t="shared" si="6"/>
        <v>720.56497273871196</v>
      </c>
      <c r="N21" s="29"/>
    </row>
    <row r="22" spans="1:14">
      <c r="A22" s="20"/>
      <c r="B22" s="22">
        <v>15</v>
      </c>
      <c r="C22" s="23">
        <v>29</v>
      </c>
      <c r="D22" s="23">
        <v>72</v>
      </c>
      <c r="E22" s="24">
        <v>3.540000000000191</v>
      </c>
      <c r="F22" s="25">
        <f t="shared" si="0"/>
        <v>7080.000000000382</v>
      </c>
      <c r="G22" s="26">
        <f t="shared" si="1"/>
        <v>7331340.0000003958</v>
      </c>
      <c r="H22" s="24">
        <v>0.67999999999994998</v>
      </c>
      <c r="I22" s="25">
        <f t="shared" si="2"/>
        <v>1359.9999999999</v>
      </c>
      <c r="J22" s="26">
        <f t="shared" si="3"/>
        <v>2112419.9999998445</v>
      </c>
      <c r="K22" s="24">
        <f t="shared" si="4"/>
        <v>9443760.0000002403</v>
      </c>
      <c r="L22" s="27">
        <f t="shared" si="5"/>
        <v>10388136.000000264</v>
      </c>
      <c r="M22" s="28">
        <f t="shared" si="6"/>
        <v>726.13840346709526</v>
      </c>
      <c r="N22" s="29"/>
    </row>
    <row r="23" spans="1:14">
      <c r="A23" s="20"/>
      <c r="B23" s="22">
        <v>16</v>
      </c>
      <c r="C23" s="23">
        <v>14</v>
      </c>
      <c r="D23" s="23">
        <v>74</v>
      </c>
      <c r="E23" s="24">
        <v>3.4099999999998545</v>
      </c>
      <c r="F23" s="25">
        <f t="shared" si="0"/>
        <v>6819.999999999709</v>
      </c>
      <c r="G23" s="26">
        <f t="shared" si="1"/>
        <v>7062109.9999996983</v>
      </c>
      <c r="H23" s="24">
        <v>0.6400000000000432</v>
      </c>
      <c r="I23" s="25">
        <f t="shared" si="2"/>
        <v>1280.0000000000864</v>
      </c>
      <c r="J23" s="26">
        <f t="shared" si="3"/>
        <v>1988160.0000001341</v>
      </c>
      <c r="K23" s="24">
        <f t="shared" si="4"/>
        <v>9050269.9999998324</v>
      </c>
      <c r="L23" s="27">
        <f t="shared" si="5"/>
        <v>9955296.9999998156</v>
      </c>
      <c r="M23" s="28">
        <f t="shared" si="6"/>
        <v>695.8826366559357</v>
      </c>
      <c r="N23" s="29"/>
    </row>
    <row r="24" spans="1:14">
      <c r="A24" s="20"/>
      <c r="B24" s="22">
        <v>17</v>
      </c>
      <c r="C24" s="23">
        <v>22</v>
      </c>
      <c r="D24" s="23">
        <v>69</v>
      </c>
      <c r="E24" s="24">
        <v>3.4100000000000819</v>
      </c>
      <c r="F24" s="25">
        <f t="shared" si="0"/>
        <v>6820.0000000001637</v>
      </c>
      <c r="G24" s="26">
        <f t="shared" si="1"/>
        <v>7062110.0000001695</v>
      </c>
      <c r="H24" s="24">
        <v>0.74000000000000909</v>
      </c>
      <c r="I24" s="25">
        <f t="shared" si="2"/>
        <v>1480.0000000000182</v>
      </c>
      <c r="J24" s="26">
        <f t="shared" si="3"/>
        <v>2298810.0000000284</v>
      </c>
      <c r="K24" s="24">
        <f t="shared" si="4"/>
        <v>9360920.0000001974</v>
      </c>
      <c r="L24" s="27">
        <f t="shared" si="5"/>
        <v>10297012.000000218</v>
      </c>
      <c r="M24" s="28">
        <f t="shared" si="6"/>
        <v>719.76876834895972</v>
      </c>
      <c r="N24" s="29"/>
    </row>
    <row r="25" spans="1:14">
      <c r="A25" s="20"/>
      <c r="B25" s="22">
        <v>18</v>
      </c>
      <c r="C25" s="23">
        <v>21</v>
      </c>
      <c r="D25" s="23">
        <v>108</v>
      </c>
      <c r="E25" s="24">
        <v>3.5499999999999545</v>
      </c>
      <c r="F25" s="25">
        <f t="shared" si="0"/>
        <v>7099.9999999999091</v>
      </c>
      <c r="G25" s="26">
        <f t="shared" si="1"/>
        <v>7352049.9999999059</v>
      </c>
      <c r="H25" s="24">
        <v>0.64999999999997726</v>
      </c>
      <c r="I25" s="25">
        <f t="shared" si="2"/>
        <v>1299.9999999999545</v>
      </c>
      <c r="J25" s="26">
        <f t="shared" si="3"/>
        <v>2019224.9999999295</v>
      </c>
      <c r="K25" s="24">
        <f t="shared" si="4"/>
        <v>9371274.9999998361</v>
      </c>
      <c r="L25" s="27">
        <f t="shared" si="5"/>
        <v>10308402.499999821</v>
      </c>
      <c r="M25" s="28">
        <f t="shared" si="6"/>
        <v>720.56497273869854</v>
      </c>
      <c r="N25" s="29"/>
    </row>
    <row r="26" spans="1:14">
      <c r="A26" s="20"/>
      <c r="B26" s="22">
        <v>19</v>
      </c>
      <c r="C26" s="23">
        <v>14</v>
      </c>
      <c r="D26" s="23">
        <v>84</v>
      </c>
      <c r="E26" s="24">
        <v>3.5599999999999454</v>
      </c>
      <c r="F26" s="25">
        <f t="shared" si="0"/>
        <v>7119.9999999998909</v>
      </c>
      <c r="G26" s="26">
        <f t="shared" si="1"/>
        <v>7372759.9999998873</v>
      </c>
      <c r="H26" s="24">
        <v>0.68999999999999773</v>
      </c>
      <c r="I26" s="25">
        <f t="shared" si="2"/>
        <v>1379.9999999999955</v>
      </c>
      <c r="J26" s="26">
        <f t="shared" si="3"/>
        <v>2143484.999999993</v>
      </c>
      <c r="K26" s="24">
        <f t="shared" si="4"/>
        <v>9516244.9999998808</v>
      </c>
      <c r="L26" s="27">
        <f t="shared" si="5"/>
        <v>10467869.49999987</v>
      </c>
      <c r="M26" s="28">
        <f t="shared" si="6"/>
        <v>731.71183419543331</v>
      </c>
      <c r="N26" s="29"/>
    </row>
    <row r="27" spans="1:14">
      <c r="A27" s="20"/>
      <c r="B27" s="22">
        <v>20</v>
      </c>
      <c r="C27" s="23">
        <v>7</v>
      </c>
      <c r="D27" s="23">
        <v>71</v>
      </c>
      <c r="E27" s="24">
        <v>3.3800000000001091</v>
      </c>
      <c r="F27" s="25">
        <f t="shared" si="0"/>
        <v>6760.0000000002183</v>
      </c>
      <c r="G27" s="26">
        <f t="shared" si="1"/>
        <v>6999980.0000002263</v>
      </c>
      <c r="H27" s="24">
        <v>0.67000000000001592</v>
      </c>
      <c r="I27" s="25">
        <f t="shared" si="2"/>
        <v>1340.0000000000318</v>
      </c>
      <c r="J27" s="26">
        <f t="shared" si="3"/>
        <v>2081355.0000000494</v>
      </c>
      <c r="K27" s="24">
        <f t="shared" si="4"/>
        <v>9081335.0000002757</v>
      </c>
      <c r="L27" s="27">
        <f t="shared" si="5"/>
        <v>9989468.5000003036</v>
      </c>
      <c r="M27" s="28">
        <f t="shared" si="6"/>
        <v>698.27124982526936</v>
      </c>
      <c r="N27" s="29"/>
    </row>
    <row r="28" spans="1:14">
      <c r="A28" s="20"/>
      <c r="B28" s="22">
        <v>21</v>
      </c>
      <c r="C28" s="23">
        <v>11</v>
      </c>
      <c r="D28" s="23">
        <v>19</v>
      </c>
      <c r="E28" s="24">
        <v>3.3099999999999454</v>
      </c>
      <c r="F28" s="25">
        <f t="shared" si="0"/>
        <v>6619.9999999998909</v>
      </c>
      <c r="G28" s="26">
        <f t="shared" si="1"/>
        <v>6855009.9999998873</v>
      </c>
      <c r="H28" s="24">
        <v>0.68000000000000682</v>
      </c>
      <c r="I28" s="25">
        <f t="shared" si="2"/>
        <v>1360.0000000000136</v>
      </c>
      <c r="J28" s="26">
        <f t="shared" si="3"/>
        <v>2112420.0000000214</v>
      </c>
      <c r="K28" s="24">
        <f t="shared" si="4"/>
        <v>8967429.9999999087</v>
      </c>
      <c r="L28" s="27">
        <f t="shared" si="5"/>
        <v>9864172.9999999013</v>
      </c>
      <c r="M28" s="28">
        <f t="shared" si="6"/>
        <v>689.51300153780937</v>
      </c>
      <c r="N28" s="29"/>
    </row>
    <row r="29" spans="1:14">
      <c r="A29" s="20"/>
      <c r="B29" s="22">
        <v>22</v>
      </c>
      <c r="C29" s="23">
        <v>13</v>
      </c>
      <c r="D29" s="23">
        <v>37</v>
      </c>
      <c r="E29" s="24">
        <v>3.4100000000000819</v>
      </c>
      <c r="F29" s="25">
        <f t="shared" si="0"/>
        <v>6820.0000000001637</v>
      </c>
      <c r="G29" s="26">
        <f t="shared" si="1"/>
        <v>7062110.0000001695</v>
      </c>
      <c r="H29" s="24">
        <v>0.69999999999998863</v>
      </c>
      <c r="I29" s="25">
        <f t="shared" si="2"/>
        <v>1399.9999999999773</v>
      </c>
      <c r="J29" s="26">
        <f t="shared" si="3"/>
        <v>2174549.9999999646</v>
      </c>
      <c r="K29" s="24">
        <f t="shared" si="4"/>
        <v>9236660.0000001341</v>
      </c>
      <c r="L29" s="27">
        <f t="shared" si="5"/>
        <v>10160326.000000149</v>
      </c>
      <c r="M29" s="28">
        <f t="shared" si="6"/>
        <v>710.21431567175648</v>
      </c>
      <c r="N29" s="29"/>
    </row>
    <row r="30" spans="1:14">
      <c r="A30" s="20"/>
      <c r="B30" s="22">
        <v>23</v>
      </c>
      <c r="C30" s="23">
        <v>18</v>
      </c>
      <c r="D30" s="23">
        <v>50</v>
      </c>
      <c r="E30" s="24">
        <v>3.5199999999999818</v>
      </c>
      <c r="F30" s="25">
        <f t="shared" si="0"/>
        <v>7039.9999999999636</v>
      </c>
      <c r="G30" s="26">
        <f t="shared" si="1"/>
        <v>7289919.9999999627</v>
      </c>
      <c r="H30" s="24">
        <v>0.74000000000000909</v>
      </c>
      <c r="I30" s="25">
        <f t="shared" si="2"/>
        <v>1480.0000000000182</v>
      </c>
      <c r="J30" s="26">
        <f t="shared" si="3"/>
        <v>2298810.0000000284</v>
      </c>
      <c r="K30" s="24">
        <f t="shared" si="4"/>
        <v>9588729.9999999907</v>
      </c>
      <c r="L30" s="27">
        <f t="shared" si="5"/>
        <v>10547602.999999991</v>
      </c>
      <c r="M30" s="28">
        <f t="shared" si="6"/>
        <v>737.28526492380752</v>
      </c>
      <c r="N30" s="29"/>
    </row>
    <row r="31" spans="1:14">
      <c r="A31" s="20"/>
      <c r="B31" s="22">
        <v>24</v>
      </c>
      <c r="C31" s="23">
        <v>12</v>
      </c>
      <c r="D31" s="23">
        <v>92</v>
      </c>
      <c r="E31" s="24">
        <v>3.5999999999999091</v>
      </c>
      <c r="F31" s="25">
        <f t="shared" si="0"/>
        <v>7199.9999999998181</v>
      </c>
      <c r="G31" s="26">
        <f t="shared" si="1"/>
        <v>7455599.9999998119</v>
      </c>
      <c r="H31" s="24">
        <v>0.68999999999999773</v>
      </c>
      <c r="I31" s="25">
        <f t="shared" si="2"/>
        <v>1379.9999999999955</v>
      </c>
      <c r="J31" s="26">
        <f t="shared" si="3"/>
        <v>2143484.999999993</v>
      </c>
      <c r="K31" s="24">
        <f t="shared" si="4"/>
        <v>9599084.9999998044</v>
      </c>
      <c r="L31" s="27">
        <f t="shared" si="5"/>
        <v>10558993.499999786</v>
      </c>
      <c r="M31" s="28">
        <f t="shared" si="6"/>
        <v>738.08146931355975</v>
      </c>
      <c r="N31" s="29"/>
    </row>
    <row r="32" spans="1:14">
      <c r="A32" s="20"/>
      <c r="B32" s="22">
        <v>25</v>
      </c>
      <c r="C32" s="23">
        <v>14</v>
      </c>
      <c r="D32" s="23">
        <v>86</v>
      </c>
      <c r="E32" s="24">
        <v>3.6100000000001273</v>
      </c>
      <c r="F32" s="25">
        <f t="shared" si="0"/>
        <v>7220.0000000002547</v>
      </c>
      <c r="G32" s="26">
        <f t="shared" si="1"/>
        <v>7476310.0000002636</v>
      </c>
      <c r="H32" s="24">
        <v>0.75999999999999091</v>
      </c>
      <c r="I32" s="25">
        <f t="shared" si="2"/>
        <v>1519.9999999999818</v>
      </c>
      <c r="J32" s="26">
        <f t="shared" si="3"/>
        <v>2360939.9999999716</v>
      </c>
      <c r="K32" s="24">
        <f t="shared" si="4"/>
        <v>9837250.0000002347</v>
      </c>
      <c r="L32" s="27">
        <f t="shared" si="5"/>
        <v>10820975.000000259</v>
      </c>
      <c r="M32" s="28">
        <f t="shared" si="6"/>
        <v>756.3941702782231</v>
      </c>
      <c r="N32" s="29"/>
    </row>
    <row r="33" spans="1:16">
      <c r="A33" s="20"/>
      <c r="B33" s="22">
        <v>26</v>
      </c>
      <c r="C33" s="23">
        <v>8</v>
      </c>
      <c r="D33" s="23">
        <v>74</v>
      </c>
      <c r="E33" s="24">
        <v>3.5499999999999545</v>
      </c>
      <c r="F33" s="25">
        <f t="shared" si="0"/>
        <v>7099.9999999999091</v>
      </c>
      <c r="G33" s="26">
        <f t="shared" si="1"/>
        <v>7352049.9999999059</v>
      </c>
      <c r="H33" s="24">
        <v>0.63999999999998636</v>
      </c>
      <c r="I33" s="25">
        <f t="shared" si="2"/>
        <v>1279.9999999999727</v>
      </c>
      <c r="J33" s="26">
        <f t="shared" si="3"/>
        <v>1988159.9999999576</v>
      </c>
      <c r="K33" s="24">
        <f t="shared" si="4"/>
        <v>9340209.999999864</v>
      </c>
      <c r="L33" s="27">
        <f t="shared" si="5"/>
        <v>10274230.999999851</v>
      </c>
      <c r="M33" s="28">
        <f t="shared" si="6"/>
        <v>718.17635956940103</v>
      </c>
      <c r="N33" s="29"/>
    </row>
    <row r="34" spans="1:16">
      <c r="A34" s="20"/>
      <c r="B34" s="22">
        <v>27</v>
      </c>
      <c r="C34" s="23">
        <v>9</v>
      </c>
      <c r="D34" s="23">
        <v>47</v>
      </c>
      <c r="E34" s="24">
        <v>3.4199999999998454</v>
      </c>
      <c r="F34" s="25">
        <f t="shared" si="0"/>
        <v>6839.9999999996908</v>
      </c>
      <c r="G34" s="26">
        <f t="shared" si="1"/>
        <v>7082819.9999996796</v>
      </c>
      <c r="H34" s="24">
        <v>0.62999999999999545</v>
      </c>
      <c r="I34" s="25">
        <f t="shared" si="2"/>
        <v>1259.9999999999909</v>
      </c>
      <c r="J34" s="26">
        <f t="shared" si="3"/>
        <v>1957094.9999999858</v>
      </c>
      <c r="K34" s="24">
        <f t="shared" si="4"/>
        <v>9039914.9999996647</v>
      </c>
      <c r="L34" s="27">
        <f t="shared" si="5"/>
        <v>9943906.4999996312</v>
      </c>
      <c r="M34" s="28">
        <f t="shared" si="6"/>
        <v>695.08643226615629</v>
      </c>
      <c r="N34" s="29"/>
    </row>
    <row r="35" spans="1:16">
      <c r="A35" s="20"/>
      <c r="B35" s="22">
        <v>28</v>
      </c>
      <c r="C35" s="23">
        <v>9</v>
      </c>
      <c r="D35" s="23">
        <v>58</v>
      </c>
      <c r="E35" s="24">
        <v>3.1600000000000819</v>
      </c>
      <c r="F35" s="25">
        <f t="shared" si="0"/>
        <v>6320.0000000001637</v>
      </c>
      <c r="G35" s="26">
        <f t="shared" si="1"/>
        <v>6544360.0000001695</v>
      </c>
      <c r="H35" s="24">
        <v>0.65000000000003411</v>
      </c>
      <c r="I35" s="25">
        <f t="shared" si="2"/>
        <v>1300.0000000000682</v>
      </c>
      <c r="J35" s="26">
        <f t="shared" si="3"/>
        <v>2019225.0000001059</v>
      </c>
      <c r="K35" s="24">
        <f t="shared" si="4"/>
        <v>8563585.0000002757</v>
      </c>
      <c r="L35" s="27">
        <f t="shared" si="5"/>
        <v>9419943.5000003036</v>
      </c>
      <c r="M35" s="28">
        <f t="shared" si="6"/>
        <v>658.46103033694283</v>
      </c>
      <c r="N35" s="29"/>
    </row>
    <row r="36" spans="1:16">
      <c r="A36" s="20"/>
      <c r="B36" s="22">
        <v>29</v>
      </c>
      <c r="C36" s="23">
        <v>7</v>
      </c>
      <c r="D36" s="23">
        <v>63</v>
      </c>
      <c r="E36" s="24">
        <v>3.2100000000000364</v>
      </c>
      <c r="F36" s="25">
        <f t="shared" si="0"/>
        <v>6420.0000000000728</v>
      </c>
      <c r="G36" s="26">
        <f t="shared" si="1"/>
        <v>6647910.0000000754</v>
      </c>
      <c r="H36" s="24">
        <v>0.65999999999996817</v>
      </c>
      <c r="I36" s="25">
        <f t="shared" si="2"/>
        <v>1319.9999999999363</v>
      </c>
      <c r="J36" s="26">
        <f t="shared" si="3"/>
        <v>2050289.999999901</v>
      </c>
      <c r="K36" s="24">
        <f t="shared" si="4"/>
        <v>8698199.9999999758</v>
      </c>
      <c r="L36" s="27">
        <f t="shared" si="5"/>
        <v>9568019.9999999739</v>
      </c>
      <c r="M36" s="28">
        <f t="shared" si="6"/>
        <v>668.81168740388466</v>
      </c>
      <c r="N36" s="29"/>
    </row>
    <row r="37" spans="1:16">
      <c r="A37" s="20"/>
      <c r="B37" s="22">
        <v>30</v>
      </c>
      <c r="C37" s="23">
        <v>4</v>
      </c>
      <c r="D37" s="23">
        <v>34</v>
      </c>
      <c r="E37" s="24">
        <v>2.9300000000000637</v>
      </c>
      <c r="F37" s="25">
        <f t="shared" ref="F37" si="7">E37*2000</f>
        <v>5860.0000000001273</v>
      </c>
      <c r="G37" s="26">
        <f t="shared" ref="G37" si="8">F37*1035.5</f>
        <v>6068030.0000001322</v>
      </c>
      <c r="H37" s="24">
        <v>0.59000000000003183</v>
      </c>
      <c r="I37" s="25">
        <f t="shared" ref="I37" si="9">H37*2000</f>
        <v>1180.0000000000637</v>
      </c>
      <c r="J37" s="26">
        <f t="shared" ref="J37" si="10">I37*1553.25</f>
        <v>1832835.000000099</v>
      </c>
      <c r="K37" s="24">
        <f t="shared" ref="K37" si="11">G37+J37</f>
        <v>7900865.000000231</v>
      </c>
      <c r="L37" s="27">
        <f t="shared" ref="L37" si="12">K37*1.1</f>
        <v>8690951.5000002552</v>
      </c>
      <c r="M37" s="28">
        <f t="shared" ref="M37" si="13">L37/14306</f>
        <v>607.50394939188141</v>
      </c>
      <c r="N37" s="29"/>
    </row>
    <row r="38" spans="1:16">
      <c r="A38" s="20"/>
      <c r="B38" s="22">
        <v>31</v>
      </c>
      <c r="C38" s="23">
        <v>10</v>
      </c>
      <c r="D38" s="23">
        <v>62</v>
      </c>
      <c r="E38" s="24">
        <v>6.1199999999998909</v>
      </c>
      <c r="F38" s="25">
        <f t="shared" si="0"/>
        <v>12239.999999999782</v>
      </c>
      <c r="G38" s="26">
        <f t="shared" si="1"/>
        <v>12674519.999999775</v>
      </c>
      <c r="H38" s="24">
        <v>1.2699999999999818</v>
      </c>
      <c r="I38" s="25">
        <f t="shared" si="2"/>
        <v>2539.9999999999636</v>
      </c>
      <c r="J38" s="26">
        <f t="shared" si="3"/>
        <v>3945254.9999999437</v>
      </c>
      <c r="K38" s="24">
        <f t="shared" si="4"/>
        <v>16619774.999999719</v>
      </c>
      <c r="L38" s="27">
        <f t="shared" si="5"/>
        <v>18281752.499999691</v>
      </c>
      <c r="M38" s="28">
        <f t="shared" si="6"/>
        <v>1277.9080455752614</v>
      </c>
      <c r="N38" s="29"/>
    </row>
    <row r="39" spans="1:16">
      <c r="C39" s="31">
        <f>SUM(C8:C38)</f>
        <v>397</v>
      </c>
      <c r="D39" s="31">
        <f>SUM(D8:D38)</f>
        <v>1892</v>
      </c>
      <c r="E39" s="32">
        <v>3.2799999999999727</v>
      </c>
      <c r="F39" s="31">
        <f>SUM(F8:F38)</f>
        <v>211579.99999999994</v>
      </c>
      <c r="I39" s="31">
        <f>SUM(I8:I38)</f>
        <v>42620.000000000007</v>
      </c>
      <c r="K39" s="32" t="s">
        <v>28</v>
      </c>
      <c r="L39" s="33">
        <f>SUM(L8:L38)</f>
        <v>313819665.50000006</v>
      </c>
      <c r="M39" s="34">
        <f>SUM(M8:M38)</f>
        <v>21936.227142457708</v>
      </c>
      <c r="N39" s="30"/>
      <c r="P39" s="35" t="e">
        <f>#REF!+#REF!+#REF!+#REF!+#REF!+#REF!+#REF!+#REF!+#REF!+#REF!+M39+#REF!</f>
        <v>#REF!</v>
      </c>
    </row>
    <row r="40" spans="1:16">
      <c r="K40" s="36">
        <f>F39+I39</f>
        <v>254199.99999999994</v>
      </c>
    </row>
    <row r="41" spans="1:16">
      <c r="C41" t="s">
        <v>29</v>
      </c>
      <c r="M41" s="36"/>
      <c r="P41" s="37"/>
    </row>
    <row r="42" spans="1:16">
      <c r="M42" s="38"/>
    </row>
  </sheetData>
  <mergeCells count="17">
    <mergeCell ref="J6:J7"/>
    <mergeCell ref="B1:L1"/>
    <mergeCell ref="B2:L2"/>
    <mergeCell ref="B4:M4"/>
    <mergeCell ref="B5:B7"/>
    <mergeCell ref="C5:C7"/>
    <mergeCell ref="D5:D7"/>
    <mergeCell ref="E5:G5"/>
    <mergeCell ref="H5:J5"/>
    <mergeCell ref="K5:K7"/>
    <mergeCell ref="L5:L7"/>
    <mergeCell ref="M5:M7"/>
    <mergeCell ref="E6:E7"/>
    <mergeCell ref="F6:F7"/>
    <mergeCell ref="G6:G7"/>
    <mergeCell ref="H6:H7"/>
    <mergeCell ref="I6:I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4"/>
  <sheetViews>
    <sheetView topLeftCell="A25" workbookViewId="0">
      <selection activeCell="J44" sqref="J44"/>
    </sheetView>
  </sheetViews>
  <sheetFormatPr defaultRowHeight="15"/>
  <cols>
    <col min="1" max="1" width="2.5703125" customWidth="1"/>
    <col min="2" max="2" width="5.42578125" customWidth="1"/>
    <col min="3" max="3" width="6.42578125" style="32" customWidth="1"/>
    <col min="4" max="4" width="8.42578125" style="19" customWidth="1"/>
    <col min="5" max="5" width="11" style="32" customWidth="1"/>
    <col min="6" max="6" width="9.5703125" style="32" customWidth="1"/>
    <col min="7" max="7" width="11.140625" style="32" customWidth="1"/>
    <col min="8" max="8" width="9.42578125" style="32" customWidth="1"/>
    <col min="9" max="9" width="7.140625" style="32" customWidth="1"/>
    <col min="10" max="10" width="13.7109375" style="32" customWidth="1"/>
    <col min="11" max="11" width="11.140625" style="32" customWidth="1"/>
    <col min="12" max="12" width="6.7109375" style="32" customWidth="1"/>
    <col min="13" max="13" width="13.7109375" style="61" customWidth="1"/>
    <col min="14" max="14" width="8.7109375" style="32" customWidth="1"/>
    <col min="15" max="15" width="6.42578125" style="32" customWidth="1"/>
    <col min="16" max="16" width="11.140625" style="32" customWidth="1"/>
    <col min="17" max="17" width="15" style="19" customWidth="1"/>
    <col min="18" max="18" width="16.28515625" style="32" customWidth="1"/>
    <col min="19" max="19" width="2.5703125" customWidth="1"/>
    <col min="21" max="21" width="21.5703125" customWidth="1"/>
  </cols>
  <sheetData>
    <row r="1" spans="1:21" ht="15.75">
      <c r="B1" s="86" t="s">
        <v>30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</row>
    <row r="2" spans="1:21" ht="15.75">
      <c r="B2" s="86" t="s">
        <v>16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</row>
    <row r="3" spans="1:21">
      <c r="E3" s="39"/>
      <c r="F3" s="40"/>
      <c r="G3" s="40"/>
      <c r="H3" s="40"/>
      <c r="I3" s="40"/>
      <c r="J3" s="40"/>
      <c r="K3" s="40"/>
      <c r="L3" s="40"/>
      <c r="M3" s="41"/>
      <c r="N3" s="39"/>
      <c r="O3" s="40"/>
      <c r="P3" s="40"/>
      <c r="Q3" s="42"/>
    </row>
    <row r="4" spans="1:21">
      <c r="A4" s="16"/>
      <c r="B4" s="91">
        <v>44531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16"/>
    </row>
    <row r="5" spans="1:21" ht="23.25" customHeight="1">
      <c r="A5" s="17"/>
      <c r="B5" s="88" t="s">
        <v>17</v>
      </c>
      <c r="C5" s="88" t="s">
        <v>18</v>
      </c>
      <c r="D5" s="88" t="s">
        <v>13</v>
      </c>
      <c r="E5" s="92" t="s">
        <v>31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3" t="s">
        <v>32</v>
      </c>
      <c r="R5" s="93"/>
      <c r="S5" s="18"/>
    </row>
    <row r="6" spans="1:21" s="19" customFormat="1" ht="48" customHeight="1">
      <c r="A6" s="17"/>
      <c r="B6" s="88"/>
      <c r="C6" s="88"/>
      <c r="D6" s="88"/>
      <c r="E6" s="92" t="s">
        <v>33</v>
      </c>
      <c r="F6" s="92"/>
      <c r="G6" s="92"/>
      <c r="H6" s="92" t="s">
        <v>34</v>
      </c>
      <c r="I6" s="92"/>
      <c r="J6" s="92"/>
      <c r="K6" s="92" t="s">
        <v>35</v>
      </c>
      <c r="L6" s="92"/>
      <c r="M6" s="92"/>
      <c r="N6" s="95" t="s">
        <v>36</v>
      </c>
      <c r="O6" s="95"/>
      <c r="P6" s="95"/>
      <c r="Q6" s="93"/>
      <c r="R6" s="93"/>
      <c r="S6" s="18"/>
    </row>
    <row r="7" spans="1:21" ht="36" customHeight="1">
      <c r="A7" s="20"/>
      <c r="B7" s="88"/>
      <c r="C7" s="88"/>
      <c r="D7" s="88"/>
      <c r="E7" s="88" t="s">
        <v>37</v>
      </c>
      <c r="F7" s="96" t="s">
        <v>38</v>
      </c>
      <c r="G7" s="43" t="s">
        <v>39</v>
      </c>
      <c r="H7" s="88" t="s">
        <v>40</v>
      </c>
      <c r="I7" s="88" t="s">
        <v>38</v>
      </c>
      <c r="J7" s="43" t="s">
        <v>39</v>
      </c>
      <c r="K7" s="88" t="s">
        <v>37</v>
      </c>
      <c r="L7" s="88" t="s">
        <v>38</v>
      </c>
      <c r="M7" s="43" t="s">
        <v>41</v>
      </c>
      <c r="N7" s="88" t="s">
        <v>42</v>
      </c>
      <c r="O7" s="88" t="s">
        <v>38</v>
      </c>
      <c r="P7" s="43" t="s">
        <v>41</v>
      </c>
      <c r="Q7" s="93"/>
      <c r="R7" s="93"/>
      <c r="S7" s="21"/>
    </row>
    <row r="8" spans="1:21" ht="15.75" customHeight="1">
      <c r="A8" s="20"/>
      <c r="B8" s="88"/>
      <c r="C8" s="88"/>
      <c r="D8" s="88"/>
      <c r="E8" s="88"/>
      <c r="F8" s="97"/>
      <c r="G8" s="44">
        <v>15840</v>
      </c>
      <c r="H8" s="88"/>
      <c r="I8" s="88"/>
      <c r="J8" s="44">
        <f>G8</f>
        <v>15840</v>
      </c>
      <c r="K8" s="88"/>
      <c r="L8" s="88"/>
      <c r="M8" s="44">
        <f>J8</f>
        <v>15840</v>
      </c>
      <c r="N8" s="88"/>
      <c r="O8" s="88"/>
      <c r="P8" s="44">
        <f>J8</f>
        <v>15840</v>
      </c>
      <c r="Q8" s="85" t="s">
        <v>43</v>
      </c>
      <c r="R8" s="43" t="s">
        <v>23</v>
      </c>
      <c r="S8" s="21"/>
      <c r="U8">
        <f>792000/50</f>
        <v>15840</v>
      </c>
    </row>
    <row r="9" spans="1:21">
      <c r="A9" s="20"/>
      <c r="B9" s="22">
        <v>1</v>
      </c>
      <c r="C9" s="45">
        <f>Electricity!C8</f>
        <v>5</v>
      </c>
      <c r="D9" s="80">
        <f>Electricity!D8</f>
        <v>30</v>
      </c>
      <c r="E9" s="46">
        <v>7769.08</v>
      </c>
      <c r="F9" s="24">
        <v>9.8400000000001455</v>
      </c>
      <c r="G9" s="47">
        <f>F9*$G$8</f>
        <v>155865.60000000231</v>
      </c>
      <c r="H9" s="46"/>
      <c r="I9" s="47">
        <v>0</v>
      </c>
      <c r="J9" s="47">
        <f>I9*$J$8</f>
        <v>0</v>
      </c>
      <c r="K9" s="46"/>
      <c r="L9" s="24">
        <v>0</v>
      </c>
      <c r="M9" s="25">
        <f>L9*$M$8</f>
        <v>0</v>
      </c>
      <c r="N9" s="46"/>
      <c r="O9" s="24">
        <v>7.14</v>
      </c>
      <c r="P9" s="48">
        <f>O9*$P$8</f>
        <v>113097.59999999999</v>
      </c>
      <c r="Q9" s="49">
        <f>P9+G9+J9+M9</f>
        <v>268963.20000000228</v>
      </c>
      <c r="R9" s="50">
        <f>Q9/14306</f>
        <v>18.800726967706016</v>
      </c>
      <c r="S9" s="21"/>
    </row>
    <row r="10" spans="1:21">
      <c r="A10" s="20"/>
      <c r="B10" s="22">
        <v>2</v>
      </c>
      <c r="C10" s="45">
        <f>Electricity!C9</f>
        <v>6</v>
      </c>
      <c r="D10" s="80">
        <f>Electricity!D9</f>
        <v>26</v>
      </c>
      <c r="E10" s="46">
        <v>7783.05</v>
      </c>
      <c r="F10" s="24">
        <v>13.970000000000255</v>
      </c>
      <c r="G10" s="47">
        <f>F10*$G$8</f>
        <v>221284.80000000403</v>
      </c>
      <c r="H10" s="46"/>
      <c r="I10" s="47">
        <v>0</v>
      </c>
      <c r="J10" s="47">
        <f>I10*$J$8</f>
        <v>0</v>
      </c>
      <c r="K10" s="46"/>
      <c r="L10" s="24">
        <v>0</v>
      </c>
      <c r="M10" s="25">
        <f t="shared" ref="M10:M39" si="0">L10*$M$8</f>
        <v>0</v>
      </c>
      <c r="N10" s="46"/>
      <c r="O10" s="24">
        <v>7.14</v>
      </c>
      <c r="P10" s="48">
        <f>O10*$P$8</f>
        <v>113097.59999999999</v>
      </c>
      <c r="Q10" s="49">
        <f>J10+M10+G10+P10</f>
        <v>334382.40000000404</v>
      </c>
      <c r="R10" s="50">
        <f t="shared" ref="R10:R39" si="1">Q10/14306</f>
        <v>23.373577519921994</v>
      </c>
      <c r="S10" s="21"/>
    </row>
    <row r="11" spans="1:21">
      <c r="A11" s="20"/>
      <c r="B11" s="22">
        <v>3</v>
      </c>
      <c r="C11" s="45">
        <f>Electricity!C10</f>
        <v>7</v>
      </c>
      <c r="D11" s="80">
        <f>Electricity!D10</f>
        <v>24</v>
      </c>
      <c r="E11" s="46">
        <v>7796.65</v>
      </c>
      <c r="F11" s="24">
        <v>13.599999999999454</v>
      </c>
      <c r="G11" s="47">
        <f t="shared" ref="G11:G39" si="2">F11*$G$8</f>
        <v>215423.99999999136</v>
      </c>
      <c r="H11" s="46"/>
      <c r="I11" s="47">
        <v>0</v>
      </c>
      <c r="J11" s="47">
        <f t="shared" ref="J11:J39" si="3">I11*$J$8</f>
        <v>0</v>
      </c>
      <c r="K11" s="46"/>
      <c r="L11" s="24">
        <v>0</v>
      </c>
      <c r="M11" s="25">
        <f t="shared" si="0"/>
        <v>0</v>
      </c>
      <c r="N11" s="46"/>
      <c r="O11" s="24">
        <v>7.14</v>
      </c>
      <c r="P11" s="48">
        <f t="shared" ref="P11:P39" si="4">O11*$P$8</f>
        <v>113097.59999999999</v>
      </c>
      <c r="Q11" s="49">
        <f t="shared" ref="Q11:Q39" si="5">J11+M11+G11+P11</f>
        <v>328521.59999999136</v>
      </c>
      <c r="R11" s="50">
        <f t="shared" si="1"/>
        <v>22.963903257373925</v>
      </c>
      <c r="S11" s="21"/>
    </row>
    <row r="12" spans="1:21">
      <c r="A12" s="20"/>
      <c r="B12" s="22">
        <v>4</v>
      </c>
      <c r="C12" s="45">
        <f>Electricity!C11</f>
        <v>9</v>
      </c>
      <c r="D12" s="80">
        <f>Electricity!D11</f>
        <v>41</v>
      </c>
      <c r="E12" s="46">
        <v>7809.17</v>
      </c>
      <c r="F12" s="24">
        <v>12.520000000000437</v>
      </c>
      <c r="G12" s="47">
        <f t="shared" si="2"/>
        <v>198316.80000000692</v>
      </c>
      <c r="H12" s="46"/>
      <c r="I12" s="47">
        <v>0</v>
      </c>
      <c r="J12" s="47">
        <f t="shared" si="3"/>
        <v>0</v>
      </c>
      <c r="K12" s="46"/>
      <c r="L12" s="24">
        <v>0</v>
      </c>
      <c r="M12" s="25">
        <f t="shared" si="0"/>
        <v>0</v>
      </c>
      <c r="N12" s="46"/>
      <c r="O12" s="24">
        <v>7.14</v>
      </c>
      <c r="P12" s="48">
        <f t="shared" si="4"/>
        <v>113097.59999999999</v>
      </c>
      <c r="Q12" s="49">
        <f t="shared" si="5"/>
        <v>311414.40000000689</v>
      </c>
      <c r="R12" s="50">
        <f t="shared" si="1"/>
        <v>21.76809730183188</v>
      </c>
      <c r="S12" s="21"/>
    </row>
    <row r="13" spans="1:21">
      <c r="A13" s="20"/>
      <c r="B13" s="22">
        <v>5</v>
      </c>
      <c r="C13" s="45">
        <f>Electricity!C12</f>
        <v>12</v>
      </c>
      <c r="D13" s="80">
        <f>Electricity!D12</f>
        <v>60</v>
      </c>
      <c r="E13" s="46">
        <v>7822.74</v>
      </c>
      <c r="F13" s="24">
        <v>13.569999999999709</v>
      </c>
      <c r="G13" s="47">
        <f t="shared" si="2"/>
        <v>214948.79999999539</v>
      </c>
      <c r="H13" s="46"/>
      <c r="I13" s="47">
        <v>0</v>
      </c>
      <c r="J13" s="47">
        <f t="shared" si="3"/>
        <v>0</v>
      </c>
      <c r="K13" s="46"/>
      <c r="L13" s="24">
        <v>0</v>
      </c>
      <c r="M13" s="25">
        <f t="shared" si="0"/>
        <v>0</v>
      </c>
      <c r="N13" s="46"/>
      <c r="O13" s="24">
        <v>7.14</v>
      </c>
      <c r="P13" s="48">
        <f t="shared" si="4"/>
        <v>113097.59999999999</v>
      </c>
      <c r="Q13" s="49">
        <f t="shared" si="5"/>
        <v>328046.39999999537</v>
      </c>
      <c r="R13" s="50">
        <f t="shared" si="1"/>
        <v>22.930686425275784</v>
      </c>
      <c r="S13" s="21"/>
    </row>
    <row r="14" spans="1:21">
      <c r="A14" s="20"/>
      <c r="B14" s="22">
        <v>6</v>
      </c>
      <c r="C14" s="45">
        <f>Electricity!C13</f>
        <v>9</v>
      </c>
      <c r="D14" s="80">
        <f>Electricity!D13</f>
        <v>53</v>
      </c>
      <c r="E14" s="46">
        <v>7834.41</v>
      </c>
      <c r="F14" s="24">
        <v>11.670000000000073</v>
      </c>
      <c r="G14" s="47">
        <f t="shared" si="2"/>
        <v>184852.80000000115</v>
      </c>
      <c r="H14" s="46"/>
      <c r="I14" s="47">
        <v>0</v>
      </c>
      <c r="J14" s="47">
        <f t="shared" si="3"/>
        <v>0</v>
      </c>
      <c r="K14" s="46"/>
      <c r="L14" s="24">
        <v>0</v>
      </c>
      <c r="M14" s="25">
        <f t="shared" si="0"/>
        <v>0</v>
      </c>
      <c r="N14" s="46"/>
      <c r="O14" s="24">
        <v>7.14</v>
      </c>
      <c r="P14" s="48">
        <f t="shared" si="4"/>
        <v>113097.59999999999</v>
      </c>
      <c r="Q14" s="49">
        <f t="shared" si="5"/>
        <v>297950.40000000113</v>
      </c>
      <c r="R14" s="50">
        <f t="shared" si="1"/>
        <v>20.826953725709572</v>
      </c>
      <c r="S14" s="21"/>
    </row>
    <row r="15" spans="1:21">
      <c r="A15" s="20"/>
      <c r="B15" s="22">
        <v>7</v>
      </c>
      <c r="C15" s="45">
        <f>Electricity!C14</f>
        <v>9</v>
      </c>
      <c r="D15" s="80">
        <f>Electricity!D14</f>
        <v>43</v>
      </c>
      <c r="E15" s="46">
        <v>7846.08</v>
      </c>
      <c r="F15" s="24">
        <v>11.670000000000073</v>
      </c>
      <c r="G15" s="47">
        <f t="shared" si="2"/>
        <v>184852.80000000115</v>
      </c>
      <c r="H15" s="46"/>
      <c r="I15" s="47">
        <v>0</v>
      </c>
      <c r="J15" s="47">
        <f t="shared" si="3"/>
        <v>0</v>
      </c>
      <c r="K15" s="46"/>
      <c r="L15" s="24">
        <v>0</v>
      </c>
      <c r="M15" s="25">
        <f t="shared" si="0"/>
        <v>0</v>
      </c>
      <c r="N15" s="46"/>
      <c r="O15" s="24">
        <v>7.14</v>
      </c>
      <c r="P15" s="48">
        <f t="shared" si="4"/>
        <v>113097.59999999999</v>
      </c>
      <c r="Q15" s="49">
        <f t="shared" si="5"/>
        <v>297950.40000000113</v>
      </c>
      <c r="R15" s="50">
        <f t="shared" si="1"/>
        <v>20.826953725709572</v>
      </c>
      <c r="S15" s="21"/>
    </row>
    <row r="16" spans="1:21">
      <c r="A16" s="20"/>
      <c r="B16" s="22">
        <v>8</v>
      </c>
      <c r="C16" s="45">
        <f>Electricity!C15</f>
        <v>15</v>
      </c>
      <c r="D16" s="80">
        <f>Electricity!D15</f>
        <v>53</v>
      </c>
      <c r="E16" s="46">
        <v>7859.56</v>
      </c>
      <c r="F16" s="24">
        <v>13.480000000000473</v>
      </c>
      <c r="G16" s="47">
        <f t="shared" si="2"/>
        <v>213523.20000000749</v>
      </c>
      <c r="H16" s="46"/>
      <c r="I16" s="47">
        <v>0</v>
      </c>
      <c r="J16" s="47">
        <f t="shared" si="3"/>
        <v>0</v>
      </c>
      <c r="K16" s="46"/>
      <c r="L16" s="24">
        <v>0</v>
      </c>
      <c r="M16" s="25">
        <f t="shared" si="0"/>
        <v>0</v>
      </c>
      <c r="N16" s="46"/>
      <c r="O16" s="24">
        <v>7.14</v>
      </c>
      <c r="P16" s="48">
        <f t="shared" si="4"/>
        <v>113097.59999999999</v>
      </c>
      <c r="Q16" s="49">
        <f t="shared" si="5"/>
        <v>326620.8000000075</v>
      </c>
      <c r="R16" s="50">
        <f t="shared" si="1"/>
        <v>22.831035928981372</v>
      </c>
      <c r="S16" s="21"/>
    </row>
    <row r="17" spans="1:19">
      <c r="A17" s="20"/>
      <c r="B17" s="22">
        <v>9</v>
      </c>
      <c r="C17" s="45">
        <f>Electricity!C16</f>
        <v>14</v>
      </c>
      <c r="D17" s="80">
        <f>Electricity!D16</f>
        <v>73</v>
      </c>
      <c r="E17" s="81">
        <v>7874.19</v>
      </c>
      <c r="F17" s="24">
        <v>14.6299999999992</v>
      </c>
      <c r="G17" s="47">
        <f t="shared" si="2"/>
        <v>231739.19999998732</v>
      </c>
      <c r="H17" s="46"/>
      <c r="I17" s="47">
        <v>0</v>
      </c>
      <c r="J17" s="47">
        <f t="shared" si="3"/>
        <v>0</v>
      </c>
      <c r="K17" s="46"/>
      <c r="L17" s="24">
        <v>0</v>
      </c>
      <c r="M17" s="25">
        <f t="shared" si="0"/>
        <v>0</v>
      </c>
      <c r="N17" s="46"/>
      <c r="O17" s="24">
        <v>7.14</v>
      </c>
      <c r="P17" s="48">
        <f t="shared" si="4"/>
        <v>113097.59999999999</v>
      </c>
      <c r="Q17" s="49">
        <f t="shared" si="5"/>
        <v>344836.7999999873</v>
      </c>
      <c r="R17" s="50">
        <f t="shared" si="1"/>
        <v>24.10434782608607</v>
      </c>
      <c r="S17" s="21"/>
    </row>
    <row r="18" spans="1:19">
      <c r="A18" s="20"/>
      <c r="B18" s="22">
        <v>10</v>
      </c>
      <c r="C18" s="45">
        <f>Electricity!C17</f>
        <v>21</v>
      </c>
      <c r="D18" s="80">
        <f>Electricity!D17</f>
        <v>87</v>
      </c>
      <c r="E18" s="46">
        <v>7887.56</v>
      </c>
      <c r="F18" s="24">
        <v>13.3700000000008</v>
      </c>
      <c r="G18" s="47">
        <f t="shared" si="2"/>
        <v>211780.80000001268</v>
      </c>
      <c r="H18" s="46"/>
      <c r="I18" s="47">
        <f t="shared" ref="I18:I37" si="6">H18-H17</f>
        <v>0</v>
      </c>
      <c r="J18" s="47">
        <f t="shared" si="3"/>
        <v>0</v>
      </c>
      <c r="K18" s="46"/>
      <c r="L18" s="24">
        <v>0</v>
      </c>
      <c r="M18" s="25">
        <f t="shared" si="0"/>
        <v>0</v>
      </c>
      <c r="N18" s="46"/>
      <c r="O18" s="24">
        <v>7.14</v>
      </c>
      <c r="P18" s="48">
        <f t="shared" si="4"/>
        <v>113097.59999999999</v>
      </c>
      <c r="Q18" s="49">
        <f t="shared" si="5"/>
        <v>324878.40000001265</v>
      </c>
      <c r="R18" s="50">
        <f t="shared" si="1"/>
        <v>22.709240877954191</v>
      </c>
      <c r="S18" s="21"/>
    </row>
    <row r="19" spans="1:19">
      <c r="A19" s="20"/>
      <c r="B19" s="22">
        <v>11</v>
      </c>
      <c r="C19" s="45">
        <f>Electricity!C18</f>
        <v>21</v>
      </c>
      <c r="D19" s="80">
        <f>Electricity!D18</f>
        <v>59</v>
      </c>
      <c r="E19" s="46">
        <v>7904.17</v>
      </c>
      <c r="F19" s="24">
        <v>16.609999999999673</v>
      </c>
      <c r="G19" s="47">
        <f t="shared" si="2"/>
        <v>263102.39999999478</v>
      </c>
      <c r="H19" s="46"/>
      <c r="I19" s="47">
        <f t="shared" si="6"/>
        <v>0</v>
      </c>
      <c r="J19" s="47">
        <f t="shared" si="3"/>
        <v>0</v>
      </c>
      <c r="K19" s="46"/>
      <c r="L19" s="24">
        <v>0</v>
      </c>
      <c r="M19" s="25">
        <f t="shared" si="0"/>
        <v>0</v>
      </c>
      <c r="N19" s="46"/>
      <c r="O19" s="24">
        <v>7.14</v>
      </c>
      <c r="P19" s="48">
        <f t="shared" si="4"/>
        <v>113097.59999999999</v>
      </c>
      <c r="Q19" s="49">
        <f t="shared" si="5"/>
        <v>376199.99999999476</v>
      </c>
      <c r="R19" s="50">
        <f t="shared" si="1"/>
        <v>26.296658744582327</v>
      </c>
      <c r="S19" s="21"/>
    </row>
    <row r="20" spans="1:19">
      <c r="A20" s="20"/>
      <c r="B20" s="22">
        <v>12</v>
      </c>
      <c r="C20" s="45">
        <f>Electricity!C19</f>
        <v>16</v>
      </c>
      <c r="D20" s="80">
        <f>Electricity!D19</f>
        <v>97</v>
      </c>
      <c r="E20" s="46">
        <v>7915.44</v>
      </c>
      <c r="F20" s="24">
        <v>11.269999999999527</v>
      </c>
      <c r="G20" s="47">
        <f t="shared" si="2"/>
        <v>178516.79999999251</v>
      </c>
      <c r="H20" s="46"/>
      <c r="I20" s="47">
        <f t="shared" si="6"/>
        <v>0</v>
      </c>
      <c r="J20" s="47">
        <f t="shared" si="3"/>
        <v>0</v>
      </c>
      <c r="K20" s="46"/>
      <c r="L20" s="24">
        <v>0</v>
      </c>
      <c r="M20" s="25">
        <f t="shared" si="0"/>
        <v>0</v>
      </c>
      <c r="N20" s="46"/>
      <c r="O20" s="24">
        <v>7.14</v>
      </c>
      <c r="P20" s="48">
        <f t="shared" si="4"/>
        <v>113097.59999999999</v>
      </c>
      <c r="Q20" s="49">
        <f t="shared" si="5"/>
        <v>291614.39999999251</v>
      </c>
      <c r="R20" s="50">
        <f t="shared" si="1"/>
        <v>20.384062631063365</v>
      </c>
      <c r="S20" s="21"/>
    </row>
    <row r="21" spans="1:19">
      <c r="A21" s="20"/>
      <c r="B21" s="22">
        <v>13</v>
      </c>
      <c r="C21" s="45">
        <f>Electricity!C20</f>
        <v>14</v>
      </c>
      <c r="D21" s="80">
        <f>Electricity!D20</f>
        <v>86</v>
      </c>
      <c r="E21" s="46">
        <v>7928.08</v>
      </c>
      <c r="F21" s="24">
        <v>12.640000000000327</v>
      </c>
      <c r="G21" s="47">
        <f t="shared" si="2"/>
        <v>200217.60000000519</v>
      </c>
      <c r="H21" s="46"/>
      <c r="I21" s="47">
        <f t="shared" si="6"/>
        <v>0</v>
      </c>
      <c r="J21" s="47">
        <f t="shared" si="3"/>
        <v>0</v>
      </c>
      <c r="K21" s="46"/>
      <c r="L21" s="24">
        <v>0</v>
      </c>
      <c r="M21" s="25">
        <f t="shared" si="0"/>
        <v>0</v>
      </c>
      <c r="N21" s="46"/>
      <c r="O21" s="24">
        <v>7.14</v>
      </c>
      <c r="P21" s="48">
        <f t="shared" si="4"/>
        <v>113097.59999999999</v>
      </c>
      <c r="Q21" s="49">
        <f t="shared" si="5"/>
        <v>313315.20000000519</v>
      </c>
      <c r="R21" s="50">
        <f t="shared" si="1"/>
        <v>21.900964630225442</v>
      </c>
      <c r="S21" s="21"/>
    </row>
    <row r="22" spans="1:19">
      <c r="A22" s="20"/>
      <c r="B22" s="22">
        <v>14</v>
      </c>
      <c r="C22" s="45">
        <f>Electricity!C21</f>
        <v>17</v>
      </c>
      <c r="D22" s="80">
        <f>Electricity!D21</f>
        <v>60</v>
      </c>
      <c r="E22" s="46">
        <v>7942.16</v>
      </c>
      <c r="F22" s="24">
        <v>14.079999999999927</v>
      </c>
      <c r="G22" s="47">
        <f t="shared" si="2"/>
        <v>223027.19999999885</v>
      </c>
      <c r="H22" s="46"/>
      <c r="I22" s="47">
        <f t="shared" si="6"/>
        <v>0</v>
      </c>
      <c r="J22" s="47">
        <f t="shared" si="3"/>
        <v>0</v>
      </c>
      <c r="K22" s="46"/>
      <c r="L22" s="24">
        <v>0</v>
      </c>
      <c r="M22" s="25">
        <f t="shared" si="0"/>
        <v>0</v>
      </c>
      <c r="N22" s="46"/>
      <c r="O22" s="24">
        <v>7.14</v>
      </c>
      <c r="P22" s="48">
        <f t="shared" si="4"/>
        <v>113097.59999999999</v>
      </c>
      <c r="Q22" s="49">
        <f t="shared" si="5"/>
        <v>336124.79999999882</v>
      </c>
      <c r="R22" s="50">
        <f t="shared" si="1"/>
        <v>23.495372570949169</v>
      </c>
      <c r="S22" s="21"/>
    </row>
    <row r="23" spans="1:19">
      <c r="A23" s="20"/>
      <c r="B23" s="22">
        <v>15</v>
      </c>
      <c r="C23" s="45">
        <f>Electricity!C22</f>
        <v>29</v>
      </c>
      <c r="D23" s="80">
        <f>Electricity!D22</f>
        <v>72</v>
      </c>
      <c r="E23" s="46">
        <v>7955.15</v>
      </c>
      <c r="F23" s="24">
        <v>12.989999999999782</v>
      </c>
      <c r="G23" s="47">
        <f t="shared" si="2"/>
        <v>205761.59999999654</v>
      </c>
      <c r="H23" s="46"/>
      <c r="I23" s="47">
        <f t="shared" si="6"/>
        <v>0</v>
      </c>
      <c r="J23" s="47">
        <f t="shared" si="3"/>
        <v>0</v>
      </c>
      <c r="K23" s="46"/>
      <c r="L23" s="24">
        <v>0</v>
      </c>
      <c r="M23" s="25">
        <f t="shared" si="0"/>
        <v>0</v>
      </c>
      <c r="N23" s="46"/>
      <c r="O23" s="24">
        <v>7.14</v>
      </c>
      <c r="P23" s="48">
        <f t="shared" si="4"/>
        <v>113097.59999999999</v>
      </c>
      <c r="Q23" s="49">
        <f t="shared" si="5"/>
        <v>318859.19999999652</v>
      </c>
      <c r="R23" s="50">
        <f t="shared" si="1"/>
        <v>22.28849433803974</v>
      </c>
      <c r="S23" s="21"/>
    </row>
    <row r="24" spans="1:19">
      <c r="A24" s="20"/>
      <c r="B24" s="22">
        <v>16</v>
      </c>
      <c r="C24" s="45">
        <f>Electricity!C23</f>
        <v>14</v>
      </c>
      <c r="D24" s="80">
        <f>Electricity!D23</f>
        <v>74</v>
      </c>
      <c r="E24" s="46">
        <v>7968.74</v>
      </c>
      <c r="F24" s="24">
        <v>13.590000000000146</v>
      </c>
      <c r="G24" s="47">
        <f t="shared" si="2"/>
        <v>215265.60000000231</v>
      </c>
      <c r="H24" s="46"/>
      <c r="I24" s="47">
        <f t="shared" si="6"/>
        <v>0</v>
      </c>
      <c r="J24" s="47">
        <f t="shared" si="3"/>
        <v>0</v>
      </c>
      <c r="K24" s="46"/>
      <c r="L24" s="24">
        <v>0</v>
      </c>
      <c r="M24" s="25">
        <f t="shared" si="0"/>
        <v>0</v>
      </c>
      <c r="N24" s="46"/>
      <c r="O24" s="24">
        <v>7.14</v>
      </c>
      <c r="P24" s="48">
        <f t="shared" si="4"/>
        <v>113097.59999999999</v>
      </c>
      <c r="Q24" s="49">
        <f t="shared" si="5"/>
        <v>328363.20000000228</v>
      </c>
      <c r="R24" s="50">
        <f t="shared" si="1"/>
        <v>22.952830980008546</v>
      </c>
      <c r="S24" s="21"/>
    </row>
    <row r="25" spans="1:19">
      <c r="A25" s="20"/>
      <c r="B25" s="22">
        <v>17</v>
      </c>
      <c r="C25" s="45">
        <f>Electricity!C24</f>
        <v>22</v>
      </c>
      <c r="D25" s="80">
        <f>Electricity!D24</f>
        <v>69</v>
      </c>
      <c r="E25" s="46">
        <v>7981.79</v>
      </c>
      <c r="F25" s="24">
        <v>13.050000000000182</v>
      </c>
      <c r="G25" s="47">
        <f t="shared" si="2"/>
        <v>206712.00000000288</v>
      </c>
      <c r="H25" s="46"/>
      <c r="I25" s="47">
        <f t="shared" si="6"/>
        <v>0</v>
      </c>
      <c r="J25" s="47">
        <f t="shared" si="3"/>
        <v>0</v>
      </c>
      <c r="K25" s="46"/>
      <c r="L25" s="24">
        <v>0</v>
      </c>
      <c r="M25" s="25">
        <f t="shared" si="0"/>
        <v>0</v>
      </c>
      <c r="N25" s="46"/>
      <c r="O25" s="24">
        <v>7.14</v>
      </c>
      <c r="P25" s="48">
        <f t="shared" si="4"/>
        <v>113097.59999999999</v>
      </c>
      <c r="Q25" s="49">
        <f t="shared" si="5"/>
        <v>319809.60000000289</v>
      </c>
      <c r="R25" s="50">
        <f t="shared" si="1"/>
        <v>22.354928002237024</v>
      </c>
      <c r="S25" s="21"/>
    </row>
    <row r="26" spans="1:19">
      <c r="A26" s="20"/>
      <c r="B26" s="22">
        <v>18</v>
      </c>
      <c r="C26" s="45">
        <f>Electricity!C25</f>
        <v>21</v>
      </c>
      <c r="D26" s="80">
        <f>Electricity!D25</f>
        <v>108</v>
      </c>
      <c r="E26" s="46">
        <v>7996.39</v>
      </c>
      <c r="F26" s="24">
        <v>14.600000000000364</v>
      </c>
      <c r="G26" s="47">
        <f t="shared" si="2"/>
        <v>231264.00000000576</v>
      </c>
      <c r="H26" s="46"/>
      <c r="I26" s="47">
        <f t="shared" si="6"/>
        <v>0</v>
      </c>
      <c r="J26" s="47">
        <f t="shared" si="3"/>
        <v>0</v>
      </c>
      <c r="K26" s="46"/>
      <c r="L26" s="24">
        <v>0</v>
      </c>
      <c r="M26" s="25">
        <f t="shared" si="0"/>
        <v>0</v>
      </c>
      <c r="N26" s="46"/>
      <c r="O26" s="24">
        <v>7.14</v>
      </c>
      <c r="P26" s="48">
        <f t="shared" si="4"/>
        <v>113097.59999999999</v>
      </c>
      <c r="Q26" s="49">
        <f t="shared" si="5"/>
        <v>344361.60000000574</v>
      </c>
      <c r="R26" s="50">
        <f t="shared" si="1"/>
        <v>24.071130993988938</v>
      </c>
      <c r="S26" s="21"/>
    </row>
    <row r="27" spans="1:19">
      <c r="A27" s="20"/>
      <c r="B27" s="22">
        <v>19</v>
      </c>
      <c r="C27" s="45">
        <f>Electricity!C26</f>
        <v>14</v>
      </c>
      <c r="D27" s="80">
        <f>Electricity!D26</f>
        <v>84</v>
      </c>
      <c r="E27" s="46">
        <v>8008.96</v>
      </c>
      <c r="F27" s="24">
        <v>50.63195999999882</v>
      </c>
      <c r="G27" s="47">
        <f t="shared" si="2"/>
        <v>802010.24639998132</v>
      </c>
      <c r="H27" s="46"/>
      <c r="I27" s="47">
        <f t="shared" si="6"/>
        <v>0</v>
      </c>
      <c r="J27" s="47">
        <f t="shared" si="3"/>
        <v>0</v>
      </c>
      <c r="K27" s="46"/>
      <c r="L27" s="24">
        <v>0</v>
      </c>
      <c r="M27" s="25">
        <f t="shared" si="0"/>
        <v>0</v>
      </c>
      <c r="N27" s="46"/>
      <c r="O27" s="24">
        <v>7.14</v>
      </c>
      <c r="P27" s="48">
        <f t="shared" si="4"/>
        <v>113097.59999999999</v>
      </c>
      <c r="Q27" s="49">
        <f t="shared" si="5"/>
        <v>915107.8463999813</v>
      </c>
      <c r="R27" s="50">
        <f t="shared" si="1"/>
        <v>63.966716510553702</v>
      </c>
      <c r="S27" s="21"/>
    </row>
    <row r="28" spans="1:19">
      <c r="A28" s="20"/>
      <c r="B28" s="22">
        <v>20</v>
      </c>
      <c r="C28" s="45">
        <f>Electricity!C27</f>
        <v>7</v>
      </c>
      <c r="D28" s="80">
        <f>Electricity!D27</f>
        <v>71</v>
      </c>
      <c r="E28" s="46">
        <v>8020.27</v>
      </c>
      <c r="F28" s="24">
        <v>45.556680000001606</v>
      </c>
      <c r="G28" s="47">
        <f t="shared" si="2"/>
        <v>721617.81120002549</v>
      </c>
      <c r="H28" s="46"/>
      <c r="I28" s="47">
        <f t="shared" si="6"/>
        <v>0</v>
      </c>
      <c r="J28" s="47">
        <f t="shared" si="3"/>
        <v>0</v>
      </c>
      <c r="K28" s="46"/>
      <c r="L28" s="24">
        <v>0</v>
      </c>
      <c r="M28" s="25">
        <f t="shared" si="0"/>
        <v>0</v>
      </c>
      <c r="N28" s="46"/>
      <c r="O28" s="24">
        <v>7.14</v>
      </c>
      <c r="P28" s="48">
        <f t="shared" si="4"/>
        <v>113097.59999999999</v>
      </c>
      <c r="Q28" s="49">
        <f t="shared" si="5"/>
        <v>834715.41120002547</v>
      </c>
      <c r="R28" s="50">
        <f t="shared" si="1"/>
        <v>58.347225723474452</v>
      </c>
      <c r="S28" s="21"/>
    </row>
    <row r="29" spans="1:19">
      <c r="A29" s="20"/>
      <c r="B29" s="22">
        <v>21</v>
      </c>
      <c r="C29" s="45">
        <f>Electricity!C28</f>
        <v>11</v>
      </c>
      <c r="D29" s="80">
        <f>Electricity!D28</f>
        <v>19</v>
      </c>
      <c r="E29" s="46">
        <v>8033.81</v>
      </c>
      <c r="F29" s="24">
        <v>54.539119999999848</v>
      </c>
      <c r="G29" s="47">
        <f t="shared" si="2"/>
        <v>863899.66079999763</v>
      </c>
      <c r="H29" s="46"/>
      <c r="I29" s="47">
        <f t="shared" si="6"/>
        <v>0</v>
      </c>
      <c r="J29" s="47">
        <f t="shared" si="3"/>
        <v>0</v>
      </c>
      <c r="K29" s="46"/>
      <c r="L29" s="24">
        <v>0</v>
      </c>
      <c r="M29" s="25">
        <f t="shared" si="0"/>
        <v>0</v>
      </c>
      <c r="N29" s="46"/>
      <c r="O29" s="24">
        <v>7.14</v>
      </c>
      <c r="P29" s="48">
        <f t="shared" si="4"/>
        <v>113097.59999999999</v>
      </c>
      <c r="Q29" s="49">
        <f t="shared" si="5"/>
        <v>976997.2607999976</v>
      </c>
      <c r="R29" s="50">
        <f t="shared" si="1"/>
        <v>68.29283243394363</v>
      </c>
      <c r="S29" s="21"/>
    </row>
    <row r="30" spans="1:19">
      <c r="A30" s="20"/>
      <c r="B30" s="22">
        <v>22</v>
      </c>
      <c r="C30" s="45">
        <f>Electricity!C29</f>
        <v>13</v>
      </c>
      <c r="D30" s="80">
        <f>Electricity!D29</f>
        <v>37</v>
      </c>
      <c r="E30" s="46">
        <v>8047.19</v>
      </c>
      <c r="F30" s="24">
        <v>53.89463999999677</v>
      </c>
      <c r="G30" s="47">
        <f t="shared" si="2"/>
        <v>853691.09759994887</v>
      </c>
      <c r="H30" s="46"/>
      <c r="I30" s="47">
        <f t="shared" si="6"/>
        <v>0</v>
      </c>
      <c r="J30" s="47">
        <f t="shared" si="3"/>
        <v>0</v>
      </c>
      <c r="K30" s="46"/>
      <c r="L30" s="24">
        <v>0</v>
      </c>
      <c r="M30" s="25">
        <f t="shared" si="0"/>
        <v>0</v>
      </c>
      <c r="N30" s="46"/>
      <c r="O30" s="24">
        <v>7.14</v>
      </c>
      <c r="P30" s="48">
        <f t="shared" si="4"/>
        <v>113097.59999999999</v>
      </c>
      <c r="Q30" s="49">
        <f t="shared" si="5"/>
        <v>966788.69759994885</v>
      </c>
      <c r="R30" s="50">
        <f t="shared" si="1"/>
        <v>67.579246302247228</v>
      </c>
      <c r="S30" s="21"/>
    </row>
    <row r="31" spans="1:19">
      <c r="A31" s="20"/>
      <c r="B31" s="22">
        <v>23</v>
      </c>
      <c r="C31" s="45">
        <f>Electricity!C30</f>
        <v>18</v>
      </c>
      <c r="D31" s="80">
        <f>Electricity!D30</f>
        <v>50</v>
      </c>
      <c r="E31" s="46">
        <v>8060.84</v>
      </c>
      <c r="F31" s="24">
        <v>54.982200000002194</v>
      </c>
      <c r="G31" s="47">
        <f t="shared" si="2"/>
        <v>870918.04800003476</v>
      </c>
      <c r="H31" s="46"/>
      <c r="I31" s="47">
        <f t="shared" si="6"/>
        <v>0</v>
      </c>
      <c r="J31" s="47">
        <f t="shared" si="3"/>
        <v>0</v>
      </c>
      <c r="K31" s="46"/>
      <c r="L31" s="24">
        <v>0</v>
      </c>
      <c r="M31" s="25">
        <f t="shared" si="0"/>
        <v>0</v>
      </c>
      <c r="N31" s="46"/>
      <c r="O31" s="24">
        <v>7.14</v>
      </c>
      <c r="P31" s="48">
        <f t="shared" si="4"/>
        <v>113097.59999999999</v>
      </c>
      <c r="Q31" s="49">
        <f t="shared" si="5"/>
        <v>984015.64800003474</v>
      </c>
      <c r="R31" s="50">
        <f t="shared" si="1"/>
        <v>68.78342289948516</v>
      </c>
      <c r="S31" s="21"/>
    </row>
    <row r="32" spans="1:19">
      <c r="A32" s="20"/>
      <c r="B32" s="22">
        <v>24</v>
      </c>
      <c r="C32" s="45">
        <f>Electricity!C31</f>
        <v>12</v>
      </c>
      <c r="D32" s="80">
        <f>Electricity!D31</f>
        <v>92</v>
      </c>
      <c r="E32" s="46">
        <v>8074.22</v>
      </c>
      <c r="F32" s="83">
        <v>53.894640000000436</v>
      </c>
      <c r="G32" s="47">
        <f t="shared" si="2"/>
        <v>853691.09760000696</v>
      </c>
      <c r="H32" s="46"/>
      <c r="I32" s="47">
        <f t="shared" si="6"/>
        <v>0</v>
      </c>
      <c r="J32" s="47">
        <f t="shared" si="3"/>
        <v>0</v>
      </c>
      <c r="K32" s="46"/>
      <c r="L32" s="24">
        <v>0</v>
      </c>
      <c r="M32" s="25">
        <f t="shared" si="0"/>
        <v>0</v>
      </c>
      <c r="N32" s="46"/>
      <c r="O32" s="24">
        <v>7.14</v>
      </c>
      <c r="P32" s="48">
        <f t="shared" si="4"/>
        <v>113097.59999999999</v>
      </c>
      <c r="Q32" s="49">
        <f t="shared" si="5"/>
        <v>966788.69760000694</v>
      </c>
      <c r="R32" s="50">
        <f t="shared" si="1"/>
        <v>67.579246302251292</v>
      </c>
      <c r="S32" s="21"/>
    </row>
    <row r="33" spans="1:21">
      <c r="A33" s="20"/>
      <c r="B33" s="22">
        <v>25</v>
      </c>
      <c r="C33" s="45">
        <f>Electricity!C32</f>
        <v>14</v>
      </c>
      <c r="D33" s="80">
        <f>Electricity!D32</f>
        <v>86</v>
      </c>
      <c r="E33" s="46">
        <v>8088.33</v>
      </c>
      <c r="F33" s="83">
        <v>56.835079999998676</v>
      </c>
      <c r="G33" s="47">
        <f t="shared" si="2"/>
        <v>900267.66719997907</v>
      </c>
      <c r="H33" s="46"/>
      <c r="I33" s="47">
        <f t="shared" si="6"/>
        <v>0</v>
      </c>
      <c r="J33" s="47">
        <f t="shared" si="3"/>
        <v>0</v>
      </c>
      <c r="K33" s="46"/>
      <c r="L33" s="24">
        <v>0</v>
      </c>
      <c r="M33" s="25">
        <f t="shared" si="0"/>
        <v>0</v>
      </c>
      <c r="N33" s="46"/>
      <c r="O33" s="24">
        <v>7.14</v>
      </c>
      <c r="P33" s="48">
        <f t="shared" si="4"/>
        <v>113097.59999999999</v>
      </c>
      <c r="Q33" s="49">
        <f t="shared" si="5"/>
        <v>1013365.267199979</v>
      </c>
      <c r="R33" s="50">
        <f t="shared" si="1"/>
        <v>70.834983028098634</v>
      </c>
      <c r="S33" s="21"/>
    </row>
    <row r="34" spans="1:21">
      <c r="A34" s="20"/>
      <c r="B34" s="22">
        <v>26</v>
      </c>
      <c r="C34" s="45">
        <f>Electricity!C33</f>
        <v>8</v>
      </c>
      <c r="D34" s="80">
        <f>Electricity!D33</f>
        <v>74</v>
      </c>
      <c r="E34" s="46">
        <v>8099.77</v>
      </c>
      <c r="F34" s="83">
        <v>46.080320000002047</v>
      </c>
      <c r="G34" s="47">
        <f t="shared" si="2"/>
        <v>729912.26880003244</v>
      </c>
      <c r="H34" s="46"/>
      <c r="I34" s="47">
        <f t="shared" si="6"/>
        <v>0</v>
      </c>
      <c r="J34" s="47">
        <f t="shared" si="3"/>
        <v>0</v>
      </c>
      <c r="K34" s="46"/>
      <c r="L34" s="24">
        <v>0</v>
      </c>
      <c r="M34" s="25">
        <f t="shared" si="0"/>
        <v>0</v>
      </c>
      <c r="N34" s="46"/>
      <c r="O34" s="24">
        <v>7.14</v>
      </c>
      <c r="P34" s="48">
        <f t="shared" si="4"/>
        <v>113097.59999999999</v>
      </c>
      <c r="Q34" s="49">
        <f t="shared" si="5"/>
        <v>843009.86880003242</v>
      </c>
      <c r="R34" s="50">
        <f t="shared" si="1"/>
        <v>58.927014455475494</v>
      </c>
      <c r="S34" s="21"/>
    </row>
    <row r="35" spans="1:21">
      <c r="A35" s="20"/>
      <c r="B35" s="22">
        <v>27</v>
      </c>
      <c r="C35" s="45">
        <f>Electricity!C34</f>
        <v>9</v>
      </c>
      <c r="D35" s="80">
        <f>Electricity!D34</f>
        <v>47</v>
      </c>
      <c r="E35" s="46">
        <v>8113.71</v>
      </c>
      <c r="F35" s="83">
        <v>56.150319999998381</v>
      </c>
      <c r="G35" s="47">
        <f t="shared" si="2"/>
        <v>889421.0687999744</v>
      </c>
      <c r="H35" s="46"/>
      <c r="I35" s="47">
        <f t="shared" si="6"/>
        <v>0</v>
      </c>
      <c r="J35" s="47">
        <f t="shared" si="3"/>
        <v>0</v>
      </c>
      <c r="K35" s="46"/>
      <c r="L35" s="24">
        <v>0</v>
      </c>
      <c r="M35" s="25">
        <f t="shared" si="0"/>
        <v>0</v>
      </c>
      <c r="N35" s="46"/>
      <c r="O35" s="24">
        <v>7.14</v>
      </c>
      <c r="P35" s="48">
        <f t="shared" si="4"/>
        <v>113097.59999999999</v>
      </c>
      <c r="Q35" s="49">
        <f t="shared" si="5"/>
        <v>1002518.6687999744</v>
      </c>
      <c r="R35" s="50">
        <f t="shared" si="1"/>
        <v>70.076797763174497</v>
      </c>
      <c r="S35" s="21"/>
    </row>
    <row r="36" spans="1:21">
      <c r="A36" s="20"/>
      <c r="B36" s="22">
        <v>28</v>
      </c>
      <c r="C36" s="45">
        <f>Electricity!C35</f>
        <v>9</v>
      </c>
      <c r="D36" s="80">
        <f>Electricity!D35</f>
        <v>58</v>
      </c>
      <c r="E36" s="46">
        <v>8125.81</v>
      </c>
      <c r="F36" s="83">
        <v>48.738800000001461</v>
      </c>
      <c r="G36" s="47">
        <f t="shared" si="2"/>
        <v>772022.59200002311</v>
      </c>
      <c r="H36" s="46"/>
      <c r="I36" s="47">
        <f t="shared" si="6"/>
        <v>0</v>
      </c>
      <c r="J36" s="47">
        <f t="shared" si="3"/>
        <v>0</v>
      </c>
      <c r="K36" s="46"/>
      <c r="L36" s="24">
        <v>0</v>
      </c>
      <c r="M36" s="25">
        <f t="shared" si="0"/>
        <v>0</v>
      </c>
      <c r="N36" s="46"/>
      <c r="O36" s="24">
        <v>7.14</v>
      </c>
      <c r="P36" s="48">
        <f t="shared" si="4"/>
        <v>113097.59999999999</v>
      </c>
      <c r="Q36" s="49">
        <f t="shared" si="5"/>
        <v>885120.19200002309</v>
      </c>
      <c r="R36" s="50">
        <f t="shared" si="1"/>
        <v>61.870557248708451</v>
      </c>
      <c r="S36" s="21"/>
    </row>
    <row r="37" spans="1:21">
      <c r="A37" s="20"/>
      <c r="B37" s="22">
        <v>29</v>
      </c>
      <c r="C37" s="45">
        <f>Electricity!C36</f>
        <v>7</v>
      </c>
      <c r="D37" s="80">
        <f>Electricity!D36</f>
        <v>63</v>
      </c>
      <c r="E37" s="84">
        <v>8139.74</v>
      </c>
      <c r="F37" s="83">
        <v>56.110039999997504</v>
      </c>
      <c r="G37" s="47">
        <f t="shared" si="2"/>
        <v>888783.0335999605</v>
      </c>
      <c r="H37" s="46"/>
      <c r="I37" s="47">
        <f t="shared" si="6"/>
        <v>0</v>
      </c>
      <c r="J37" s="47">
        <f t="shared" si="3"/>
        <v>0</v>
      </c>
      <c r="K37" s="46"/>
      <c r="L37" s="24">
        <v>0</v>
      </c>
      <c r="M37" s="25">
        <f t="shared" si="0"/>
        <v>0</v>
      </c>
      <c r="N37" s="46"/>
      <c r="O37" s="24">
        <v>7.14</v>
      </c>
      <c r="P37" s="48">
        <f t="shared" si="4"/>
        <v>113097.59999999999</v>
      </c>
      <c r="Q37" s="49">
        <f t="shared" si="5"/>
        <v>1001880.6335999605</v>
      </c>
      <c r="R37" s="50">
        <f t="shared" si="1"/>
        <v>70.032198629942712</v>
      </c>
      <c r="S37" s="21"/>
    </row>
    <row r="38" spans="1:21">
      <c r="A38" s="20"/>
      <c r="B38" s="22">
        <v>30</v>
      </c>
      <c r="C38" s="45">
        <f>Electricity!C37</f>
        <v>4</v>
      </c>
      <c r="D38" s="80">
        <f>Electricity!D37</f>
        <v>34</v>
      </c>
      <c r="E38" s="84">
        <v>8157.52</v>
      </c>
      <c r="F38" s="83">
        <v>71.61784000000263</v>
      </c>
      <c r="G38" s="47">
        <f t="shared" ref="G38" si="7">F38*$G$8</f>
        <v>1134426.5856000416</v>
      </c>
      <c r="H38" s="46"/>
      <c r="I38" s="47">
        <f>H38-H36</f>
        <v>0</v>
      </c>
      <c r="J38" s="47">
        <f t="shared" ref="J38" si="8">I38*$J$8</f>
        <v>0</v>
      </c>
      <c r="K38" s="46"/>
      <c r="L38" s="24">
        <v>0</v>
      </c>
      <c r="M38" s="25">
        <f t="shared" ref="M38" si="9">L38*$M$8</f>
        <v>0</v>
      </c>
      <c r="N38" s="46"/>
      <c r="O38" s="24">
        <v>7.14</v>
      </c>
      <c r="P38" s="48">
        <f t="shared" ref="P38" si="10">O38*$P$8</f>
        <v>113097.59999999999</v>
      </c>
      <c r="Q38" s="49">
        <f t="shared" ref="Q38" si="11">J38+M38+G38+P38</f>
        <v>1247524.1856000416</v>
      </c>
      <c r="R38" s="50">
        <f t="shared" ref="R38" si="12">Q38/14306</f>
        <v>87.202864923811106</v>
      </c>
      <c r="S38" s="21"/>
    </row>
    <row r="39" spans="1:21">
      <c r="A39" s="20"/>
      <c r="B39" s="22">
        <v>31</v>
      </c>
      <c r="C39" s="45">
        <f>Electricity!C38</f>
        <v>10</v>
      </c>
      <c r="D39" s="80">
        <f>Electricity!D38</f>
        <v>62</v>
      </c>
      <c r="E39" s="84">
        <v>8167.89</v>
      </c>
      <c r="F39" s="83">
        <v>113.38820000000219</v>
      </c>
      <c r="G39" s="47">
        <f t="shared" si="2"/>
        <v>1796069.0880000347</v>
      </c>
      <c r="H39" s="46"/>
      <c r="I39" s="47">
        <f>H39-H37</f>
        <v>0</v>
      </c>
      <c r="J39" s="47">
        <f t="shared" si="3"/>
        <v>0</v>
      </c>
      <c r="K39" s="46"/>
      <c r="L39" s="24">
        <v>0</v>
      </c>
      <c r="M39" s="25">
        <f t="shared" si="0"/>
        <v>0</v>
      </c>
      <c r="N39" s="46"/>
      <c r="O39" s="24">
        <v>7.14</v>
      </c>
      <c r="P39" s="48">
        <f t="shared" si="4"/>
        <v>113097.59999999999</v>
      </c>
      <c r="Q39" s="49">
        <f t="shared" si="5"/>
        <v>1909166.6880000348</v>
      </c>
      <c r="R39" s="50">
        <f t="shared" si="1"/>
        <v>133.45216608416291</v>
      </c>
      <c r="S39" s="21"/>
    </row>
    <row r="40" spans="1:21" ht="15.75">
      <c r="C40" s="51">
        <f>SUM(C9:C39)</f>
        <v>397</v>
      </c>
      <c r="D40" s="51">
        <f>SUM(D9:D39)</f>
        <v>1892</v>
      </c>
      <c r="E40" s="31"/>
      <c r="F40" s="31">
        <f>SUM(F9:F39)</f>
        <v>999.56984000000307</v>
      </c>
      <c r="G40" s="40"/>
      <c r="H40" s="40"/>
      <c r="I40" s="31" t="s">
        <v>44</v>
      </c>
      <c r="J40" s="40"/>
      <c r="K40" s="40"/>
      <c r="L40" s="31" t="s">
        <v>44</v>
      </c>
      <c r="M40" s="40"/>
      <c r="N40" s="39"/>
      <c r="O40" s="31">
        <f>SUM(O9:O39)</f>
        <v>221.3399999999998</v>
      </c>
      <c r="P40" s="40"/>
      <c r="Q40"/>
      <c r="R40" s="52">
        <f>SUM(R9:R39)</f>
        <v>1351.825238752974</v>
      </c>
      <c r="U40" s="35"/>
    </row>
    <row r="41" spans="1:21">
      <c r="E41" s="53"/>
      <c r="F41" s="54"/>
      <c r="G41" s="41"/>
      <c r="H41" s="41"/>
      <c r="I41" s="41"/>
      <c r="J41" s="41"/>
      <c r="K41" s="41"/>
      <c r="L41" s="41"/>
      <c r="M41" s="41"/>
      <c r="N41" s="39"/>
      <c r="O41" s="54"/>
      <c r="P41" s="55"/>
      <c r="Q41" s="31"/>
      <c r="R41" s="41"/>
      <c r="U41" s="37"/>
    </row>
    <row r="42" spans="1:21">
      <c r="B42" s="56" t="s">
        <v>29</v>
      </c>
      <c r="E42" s="39"/>
      <c r="F42" s="40"/>
      <c r="G42" s="40"/>
      <c r="H42" s="40"/>
      <c r="I42" s="40"/>
      <c r="J42" s="40"/>
      <c r="K42" s="40"/>
      <c r="L42" s="40"/>
      <c r="M42" s="41"/>
      <c r="N42" s="39"/>
      <c r="O42" s="40"/>
      <c r="P42" s="40"/>
      <c r="Q42" s="42"/>
      <c r="R42" s="57"/>
    </row>
    <row r="43" spans="1:21">
      <c r="E43" s="58"/>
      <c r="F43" s="58"/>
      <c r="G43" s="58"/>
      <c r="H43" s="58"/>
      <c r="I43" s="58"/>
      <c r="J43" s="58"/>
      <c r="K43" s="58"/>
      <c r="L43" s="58"/>
      <c r="M43" s="59"/>
      <c r="N43" s="58"/>
      <c r="O43" s="58"/>
      <c r="P43" s="94" t="s">
        <v>45</v>
      </c>
      <c r="Q43" s="94"/>
      <c r="R43" s="60"/>
    </row>
    <row r="44" spans="1:21">
      <c r="Q44" s="62">
        <f>F40+O40</f>
        <v>1220.909840000003</v>
      </c>
      <c r="R44" s="60"/>
    </row>
  </sheetData>
  <mergeCells count="21">
    <mergeCell ref="P43:Q43"/>
    <mergeCell ref="K6:M6"/>
    <mergeCell ref="N6:P6"/>
    <mergeCell ref="E7:E8"/>
    <mergeCell ref="F7:F8"/>
    <mergeCell ref="H7:H8"/>
    <mergeCell ref="I7:I8"/>
    <mergeCell ref="K7:K8"/>
    <mergeCell ref="L7:L8"/>
    <mergeCell ref="N7:N8"/>
    <mergeCell ref="O7:O8"/>
    <mergeCell ref="B1:R1"/>
    <mergeCell ref="B2:R2"/>
    <mergeCell ref="B4:R4"/>
    <mergeCell ref="B5:B8"/>
    <mergeCell ref="C5:C8"/>
    <mergeCell ref="D5:D8"/>
    <mergeCell ref="E5:P5"/>
    <mergeCell ref="Q5:R7"/>
    <mergeCell ref="E6:G6"/>
    <mergeCell ref="H6:J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3"/>
  <sheetViews>
    <sheetView workbookViewId="0">
      <selection activeCell="B5" sqref="B5:B8"/>
    </sheetView>
  </sheetViews>
  <sheetFormatPr defaultRowHeight="15"/>
  <cols>
    <col min="1" max="1" width="2.5703125" customWidth="1"/>
    <col min="2" max="2" width="5.42578125" customWidth="1"/>
    <col min="3" max="3" width="6.42578125" customWidth="1"/>
    <col min="4" max="4" width="8.42578125" style="19" customWidth="1"/>
    <col min="5" max="5" width="9.85546875" style="19" customWidth="1"/>
    <col min="6" max="6" width="8" style="74" bestFit="1" customWidth="1"/>
    <col min="7" max="7" width="13.28515625" style="74" bestFit="1" customWidth="1"/>
    <col min="8" max="8" width="16.28515625" style="32" customWidth="1"/>
    <col min="9" max="9" width="2.5703125" customWidth="1"/>
    <col min="11" max="11" width="21.5703125" customWidth="1"/>
  </cols>
  <sheetData>
    <row r="1" spans="1:9" ht="15.75">
      <c r="B1" s="86" t="s">
        <v>46</v>
      </c>
      <c r="C1" s="86"/>
      <c r="D1" s="86"/>
      <c r="E1" s="86"/>
      <c r="F1" s="86"/>
      <c r="G1" s="86"/>
      <c r="H1" s="86"/>
    </row>
    <row r="2" spans="1:9" ht="15.75">
      <c r="B2" s="86" t="s">
        <v>16</v>
      </c>
      <c r="C2" s="86"/>
      <c r="D2" s="86"/>
      <c r="E2" s="86"/>
      <c r="F2" s="86"/>
      <c r="G2" s="86"/>
      <c r="H2" s="86"/>
    </row>
    <row r="3" spans="1:9">
      <c r="B3" s="13"/>
      <c r="C3" s="14"/>
      <c r="D3" s="15"/>
      <c r="E3" s="15"/>
      <c r="F3" s="63"/>
      <c r="G3" s="63"/>
      <c r="H3" s="14"/>
    </row>
    <row r="4" spans="1:9">
      <c r="A4" s="64"/>
      <c r="B4" s="91">
        <v>44531</v>
      </c>
      <c r="C4" s="91"/>
      <c r="D4" s="91"/>
      <c r="E4" s="91"/>
      <c r="F4" s="91"/>
      <c r="G4" s="91"/>
      <c r="H4" s="91"/>
      <c r="I4" s="16"/>
    </row>
    <row r="5" spans="1:9">
      <c r="A5" s="65"/>
      <c r="B5" s="88" t="s">
        <v>47</v>
      </c>
      <c r="C5" s="88" t="s">
        <v>18</v>
      </c>
      <c r="D5" s="88" t="s">
        <v>13</v>
      </c>
      <c r="E5" s="88" t="s">
        <v>48</v>
      </c>
      <c r="F5" s="88"/>
      <c r="G5" s="88"/>
      <c r="H5" s="88" t="s">
        <v>23</v>
      </c>
      <c r="I5" s="18"/>
    </row>
    <row r="6" spans="1:9">
      <c r="A6" s="65"/>
      <c r="B6" s="88"/>
      <c r="C6" s="88"/>
      <c r="D6" s="88"/>
      <c r="E6" s="88"/>
      <c r="F6" s="88"/>
      <c r="G6" s="88"/>
      <c r="H6" s="88"/>
      <c r="I6" s="18"/>
    </row>
    <row r="7" spans="1:9" s="19" customFormat="1" ht="22.5">
      <c r="A7" s="65"/>
      <c r="B7" s="88"/>
      <c r="C7" s="88"/>
      <c r="D7" s="88"/>
      <c r="E7" s="43" t="s">
        <v>37</v>
      </c>
      <c r="F7" s="98" t="s">
        <v>49</v>
      </c>
      <c r="G7" s="66" t="s">
        <v>41</v>
      </c>
      <c r="H7" s="88"/>
      <c r="I7" s="18"/>
    </row>
    <row r="8" spans="1:9" s="19" customFormat="1">
      <c r="A8" s="65"/>
      <c r="B8" s="88"/>
      <c r="C8" s="88"/>
      <c r="D8" s="88"/>
      <c r="E8" s="67">
        <v>2668</v>
      </c>
      <c r="F8" s="98"/>
      <c r="G8" s="66">
        <v>10700</v>
      </c>
      <c r="H8" s="88"/>
      <c r="I8" s="18"/>
    </row>
    <row r="9" spans="1:9">
      <c r="A9" s="68"/>
      <c r="B9" s="22">
        <v>1</v>
      </c>
      <c r="C9" s="23">
        <f>Gas!C9</f>
        <v>5</v>
      </c>
      <c r="D9" s="23">
        <f>Gas!D9</f>
        <v>30</v>
      </c>
      <c r="E9" s="69">
        <v>2669</v>
      </c>
      <c r="F9" s="70">
        <v>1</v>
      </c>
      <c r="G9" s="70">
        <f t="shared" ref="G9:G39" si="0">F9*$G$8</f>
        <v>10700</v>
      </c>
      <c r="H9" s="50">
        <f>G9/14306</f>
        <v>0.7479379281420383</v>
      </c>
      <c r="I9" s="21"/>
    </row>
    <row r="10" spans="1:9">
      <c r="A10" s="68"/>
      <c r="B10" s="22">
        <v>2</v>
      </c>
      <c r="C10" s="23">
        <f>Gas!C10</f>
        <v>6</v>
      </c>
      <c r="D10" s="23">
        <f>Gas!D10</f>
        <v>26</v>
      </c>
      <c r="E10" s="69">
        <v>2669</v>
      </c>
      <c r="F10" s="70">
        <v>0</v>
      </c>
      <c r="G10" s="70">
        <f>F10*$G$8</f>
        <v>0</v>
      </c>
      <c r="H10" s="50">
        <f t="shared" ref="H10:H39" si="1">G10/14306</f>
        <v>0</v>
      </c>
      <c r="I10" s="21"/>
    </row>
    <row r="11" spans="1:9">
      <c r="A11" s="68"/>
      <c r="B11" s="22">
        <v>3</v>
      </c>
      <c r="C11" s="23">
        <f>Gas!C11</f>
        <v>7</v>
      </c>
      <c r="D11" s="23">
        <f>Gas!D11</f>
        <v>24</v>
      </c>
      <c r="E11" s="69">
        <v>2669</v>
      </c>
      <c r="F11" s="70">
        <v>0</v>
      </c>
      <c r="G11" s="70">
        <f t="shared" si="0"/>
        <v>0</v>
      </c>
      <c r="H11" s="50">
        <f t="shared" si="1"/>
        <v>0</v>
      </c>
      <c r="I11" s="21"/>
    </row>
    <row r="12" spans="1:9">
      <c r="A12" s="68"/>
      <c r="B12" s="22">
        <v>4</v>
      </c>
      <c r="C12" s="23">
        <f>Gas!C12</f>
        <v>9</v>
      </c>
      <c r="D12" s="23">
        <f>Gas!D12</f>
        <v>41</v>
      </c>
      <c r="E12" s="69">
        <v>2669</v>
      </c>
      <c r="F12" s="70">
        <v>0</v>
      </c>
      <c r="G12" s="70">
        <f t="shared" si="0"/>
        <v>0</v>
      </c>
      <c r="H12" s="50">
        <f t="shared" si="1"/>
        <v>0</v>
      </c>
      <c r="I12" s="21"/>
    </row>
    <row r="13" spans="1:9">
      <c r="A13" s="68"/>
      <c r="B13" s="22">
        <v>5</v>
      </c>
      <c r="C13" s="23">
        <f>Gas!C13</f>
        <v>12</v>
      </c>
      <c r="D13" s="23">
        <f>Gas!D13</f>
        <v>60</v>
      </c>
      <c r="E13" s="69">
        <v>2669</v>
      </c>
      <c r="F13" s="70"/>
      <c r="G13" s="70">
        <f t="shared" si="0"/>
        <v>0</v>
      </c>
      <c r="H13" s="50">
        <f t="shared" si="1"/>
        <v>0</v>
      </c>
      <c r="I13" s="21"/>
    </row>
    <row r="14" spans="1:9">
      <c r="A14" s="68"/>
      <c r="B14" s="22">
        <v>6</v>
      </c>
      <c r="C14" s="23">
        <f>Gas!C14</f>
        <v>9</v>
      </c>
      <c r="D14" s="23">
        <f>Gas!D14</f>
        <v>53</v>
      </c>
      <c r="E14" s="69">
        <v>2669</v>
      </c>
      <c r="F14" s="70"/>
      <c r="G14" s="70">
        <f t="shared" si="0"/>
        <v>0</v>
      </c>
      <c r="H14" s="50">
        <f t="shared" si="1"/>
        <v>0</v>
      </c>
      <c r="I14" s="21"/>
    </row>
    <row r="15" spans="1:9">
      <c r="A15" s="68"/>
      <c r="B15" s="22">
        <v>7</v>
      </c>
      <c r="C15" s="23">
        <f>Gas!C15</f>
        <v>9</v>
      </c>
      <c r="D15" s="23">
        <f>Gas!D15</f>
        <v>43</v>
      </c>
      <c r="E15" s="69">
        <v>2692</v>
      </c>
      <c r="F15" s="70">
        <v>23</v>
      </c>
      <c r="G15" s="70">
        <f t="shared" si="0"/>
        <v>246100</v>
      </c>
      <c r="H15" s="50">
        <f t="shared" si="1"/>
        <v>17.20257234726688</v>
      </c>
      <c r="I15" s="21"/>
    </row>
    <row r="16" spans="1:9">
      <c r="A16" s="68"/>
      <c r="B16" s="22">
        <v>8</v>
      </c>
      <c r="C16" s="23">
        <f>Gas!C16</f>
        <v>15</v>
      </c>
      <c r="D16" s="23">
        <f>Gas!D16</f>
        <v>53</v>
      </c>
      <c r="E16" s="69">
        <v>2692</v>
      </c>
      <c r="F16" s="70"/>
      <c r="G16" s="70">
        <f t="shared" si="0"/>
        <v>0</v>
      </c>
      <c r="H16" s="50">
        <f t="shared" si="1"/>
        <v>0</v>
      </c>
      <c r="I16" s="21"/>
    </row>
    <row r="17" spans="1:9">
      <c r="A17" s="68"/>
      <c r="B17" s="22">
        <v>9</v>
      </c>
      <c r="C17" s="23">
        <f>Gas!C17</f>
        <v>14</v>
      </c>
      <c r="D17" s="23">
        <f>Gas!D17</f>
        <v>73</v>
      </c>
      <c r="E17" s="69">
        <v>2692</v>
      </c>
      <c r="F17" s="70"/>
      <c r="G17" s="70">
        <f t="shared" si="0"/>
        <v>0</v>
      </c>
      <c r="H17" s="50">
        <f t="shared" si="1"/>
        <v>0</v>
      </c>
      <c r="I17" s="21"/>
    </row>
    <row r="18" spans="1:9">
      <c r="A18" s="68"/>
      <c r="B18" s="22">
        <v>10</v>
      </c>
      <c r="C18" s="23">
        <f>Gas!C18</f>
        <v>21</v>
      </c>
      <c r="D18" s="23">
        <f>Gas!D18</f>
        <v>87</v>
      </c>
      <c r="E18" s="69">
        <v>2692</v>
      </c>
      <c r="F18" s="70"/>
      <c r="G18" s="70">
        <f t="shared" si="0"/>
        <v>0</v>
      </c>
      <c r="H18" s="50">
        <f t="shared" si="1"/>
        <v>0</v>
      </c>
      <c r="I18" s="21"/>
    </row>
    <row r="19" spans="1:9">
      <c r="A19" s="68"/>
      <c r="B19" s="22">
        <v>11</v>
      </c>
      <c r="C19" s="23">
        <f>Gas!C19</f>
        <v>21</v>
      </c>
      <c r="D19" s="23">
        <f>Gas!D19</f>
        <v>59</v>
      </c>
      <c r="E19" s="69">
        <v>2692</v>
      </c>
      <c r="F19" s="70"/>
      <c r="G19" s="70">
        <f t="shared" si="0"/>
        <v>0</v>
      </c>
      <c r="H19" s="50">
        <f t="shared" si="1"/>
        <v>0</v>
      </c>
      <c r="I19" s="21"/>
    </row>
    <row r="20" spans="1:9">
      <c r="A20" s="68"/>
      <c r="B20" s="22">
        <v>12</v>
      </c>
      <c r="C20" s="23">
        <f>Gas!C20</f>
        <v>16</v>
      </c>
      <c r="D20" s="23">
        <f>Gas!D20</f>
        <v>97</v>
      </c>
      <c r="E20" s="69">
        <v>2692</v>
      </c>
      <c r="F20" s="70"/>
      <c r="G20" s="70">
        <f t="shared" si="0"/>
        <v>0</v>
      </c>
      <c r="H20" s="50">
        <f t="shared" si="1"/>
        <v>0</v>
      </c>
      <c r="I20" s="21"/>
    </row>
    <row r="21" spans="1:9">
      <c r="A21" s="68"/>
      <c r="B21" s="22">
        <v>13</v>
      </c>
      <c r="C21" s="23">
        <f>Gas!C21</f>
        <v>14</v>
      </c>
      <c r="D21" s="23">
        <f>Gas!D21</f>
        <v>86</v>
      </c>
      <c r="E21" s="69">
        <v>2692</v>
      </c>
      <c r="F21" s="70"/>
      <c r="G21" s="70">
        <f t="shared" si="0"/>
        <v>0</v>
      </c>
      <c r="H21" s="50">
        <f t="shared" si="1"/>
        <v>0</v>
      </c>
      <c r="I21" s="21"/>
    </row>
    <row r="22" spans="1:9">
      <c r="A22" s="68"/>
      <c r="B22" s="22">
        <v>14</v>
      </c>
      <c r="C22" s="23">
        <f>Gas!C22</f>
        <v>17</v>
      </c>
      <c r="D22" s="23">
        <f>Gas!D22</f>
        <v>60</v>
      </c>
      <c r="E22" s="69">
        <v>2692</v>
      </c>
      <c r="F22" s="70"/>
      <c r="G22" s="70">
        <f t="shared" si="0"/>
        <v>0</v>
      </c>
      <c r="H22" s="50">
        <f t="shared" si="1"/>
        <v>0</v>
      </c>
      <c r="I22" s="21"/>
    </row>
    <row r="23" spans="1:9">
      <c r="A23" s="68"/>
      <c r="B23" s="22">
        <v>15</v>
      </c>
      <c r="C23" s="23">
        <f>Gas!C23</f>
        <v>29</v>
      </c>
      <c r="D23" s="23">
        <f>Gas!D23</f>
        <v>72</v>
      </c>
      <c r="E23" s="69">
        <v>2692</v>
      </c>
      <c r="F23" s="70"/>
      <c r="G23" s="70">
        <f t="shared" si="0"/>
        <v>0</v>
      </c>
      <c r="H23" s="50">
        <f t="shared" si="1"/>
        <v>0</v>
      </c>
      <c r="I23" s="21"/>
    </row>
    <row r="24" spans="1:9">
      <c r="A24" s="68"/>
      <c r="B24" s="22">
        <v>16</v>
      </c>
      <c r="C24" s="23">
        <f>Gas!C24</f>
        <v>14</v>
      </c>
      <c r="D24" s="23">
        <f>Gas!D24</f>
        <v>74</v>
      </c>
      <c r="E24" s="69">
        <v>2692</v>
      </c>
      <c r="F24" s="70"/>
      <c r="G24" s="70">
        <f t="shared" si="0"/>
        <v>0</v>
      </c>
      <c r="H24" s="50">
        <f t="shared" si="1"/>
        <v>0</v>
      </c>
      <c r="I24" s="21"/>
    </row>
    <row r="25" spans="1:9">
      <c r="A25" s="68"/>
      <c r="B25" s="22">
        <v>17</v>
      </c>
      <c r="C25" s="23">
        <f>Gas!C25</f>
        <v>22</v>
      </c>
      <c r="D25" s="23">
        <f>Gas!D25</f>
        <v>69</v>
      </c>
      <c r="E25" s="69">
        <v>2692</v>
      </c>
      <c r="F25" s="70"/>
      <c r="G25" s="70">
        <f t="shared" si="0"/>
        <v>0</v>
      </c>
      <c r="H25" s="50">
        <f t="shared" si="1"/>
        <v>0</v>
      </c>
      <c r="I25" s="21"/>
    </row>
    <row r="26" spans="1:9">
      <c r="A26" s="68"/>
      <c r="B26" s="22">
        <v>18</v>
      </c>
      <c r="C26" s="23">
        <f>Gas!C26</f>
        <v>21</v>
      </c>
      <c r="D26" s="23">
        <f>Gas!D26</f>
        <v>108</v>
      </c>
      <c r="E26" s="69">
        <v>2692</v>
      </c>
      <c r="F26" s="70"/>
      <c r="G26" s="70">
        <f t="shared" si="0"/>
        <v>0</v>
      </c>
      <c r="H26" s="50">
        <f t="shared" si="1"/>
        <v>0</v>
      </c>
      <c r="I26" s="21"/>
    </row>
    <row r="27" spans="1:9">
      <c r="A27" s="68"/>
      <c r="B27" s="22">
        <v>19</v>
      </c>
      <c r="C27" s="23">
        <f>Gas!C27</f>
        <v>14</v>
      </c>
      <c r="D27" s="23">
        <f>Gas!D27</f>
        <v>84</v>
      </c>
      <c r="E27" s="69">
        <v>2712</v>
      </c>
      <c r="F27" s="82">
        <f t="shared" ref="F27" si="2">E27-E26</f>
        <v>20</v>
      </c>
      <c r="G27" s="70">
        <f t="shared" si="0"/>
        <v>214000</v>
      </c>
      <c r="H27" s="50">
        <f t="shared" si="1"/>
        <v>14.958758562840766</v>
      </c>
      <c r="I27" s="21"/>
    </row>
    <row r="28" spans="1:9">
      <c r="A28" s="68"/>
      <c r="B28" s="22">
        <v>20</v>
      </c>
      <c r="C28" s="23">
        <f>Gas!C28</f>
        <v>7</v>
      </c>
      <c r="D28" s="23">
        <f>Gas!D28</f>
        <v>71</v>
      </c>
      <c r="E28" s="69">
        <v>2712</v>
      </c>
      <c r="F28" s="70"/>
      <c r="G28" s="70">
        <f t="shared" si="0"/>
        <v>0</v>
      </c>
      <c r="H28" s="50">
        <f t="shared" si="1"/>
        <v>0</v>
      </c>
      <c r="I28" s="21"/>
    </row>
    <row r="29" spans="1:9">
      <c r="A29" s="68"/>
      <c r="B29" s="22">
        <v>21</v>
      </c>
      <c r="C29" s="23">
        <f>Gas!C29</f>
        <v>11</v>
      </c>
      <c r="D29" s="23">
        <f>Gas!D29</f>
        <v>19</v>
      </c>
      <c r="E29" s="69">
        <v>2730</v>
      </c>
      <c r="F29" s="82">
        <f t="shared" ref="F29" si="3">E29-E28</f>
        <v>18</v>
      </c>
      <c r="G29" s="70">
        <f t="shared" si="0"/>
        <v>192600</v>
      </c>
      <c r="H29" s="50">
        <f t="shared" si="1"/>
        <v>13.462882706556689</v>
      </c>
      <c r="I29" s="21"/>
    </row>
    <row r="30" spans="1:9">
      <c r="A30" s="68"/>
      <c r="B30" s="22">
        <v>22</v>
      </c>
      <c r="C30" s="23">
        <f>Gas!C30</f>
        <v>13</v>
      </c>
      <c r="D30" s="23">
        <f>Gas!D30</f>
        <v>37</v>
      </c>
      <c r="E30" s="69">
        <v>2730</v>
      </c>
      <c r="F30" s="70"/>
      <c r="G30" s="70">
        <f t="shared" si="0"/>
        <v>0</v>
      </c>
      <c r="H30" s="50">
        <f t="shared" si="1"/>
        <v>0</v>
      </c>
      <c r="I30" s="21"/>
    </row>
    <row r="31" spans="1:9">
      <c r="A31" s="68"/>
      <c r="B31" s="22">
        <v>23</v>
      </c>
      <c r="C31" s="23">
        <f>Gas!C31</f>
        <v>18</v>
      </c>
      <c r="D31" s="23">
        <f>Gas!D31</f>
        <v>50</v>
      </c>
      <c r="E31" s="69">
        <v>2730</v>
      </c>
      <c r="F31" s="70"/>
      <c r="G31" s="70">
        <f t="shared" si="0"/>
        <v>0</v>
      </c>
      <c r="H31" s="50">
        <f t="shared" si="1"/>
        <v>0</v>
      </c>
      <c r="I31" s="21"/>
    </row>
    <row r="32" spans="1:9">
      <c r="A32" s="68"/>
      <c r="B32" s="22">
        <v>24</v>
      </c>
      <c r="C32" s="23">
        <f>Gas!C32</f>
        <v>12</v>
      </c>
      <c r="D32" s="23">
        <f>Gas!D32</f>
        <v>92</v>
      </c>
      <c r="E32" s="69">
        <v>2730</v>
      </c>
      <c r="F32" s="70"/>
      <c r="G32" s="70">
        <f t="shared" si="0"/>
        <v>0</v>
      </c>
      <c r="H32" s="50">
        <f t="shared" si="1"/>
        <v>0</v>
      </c>
      <c r="I32" s="21"/>
    </row>
    <row r="33" spans="1:11">
      <c r="A33" s="68"/>
      <c r="B33" s="22">
        <v>25</v>
      </c>
      <c r="C33" s="23">
        <f>Gas!C33</f>
        <v>14</v>
      </c>
      <c r="D33" s="23">
        <f>Gas!D33</f>
        <v>86</v>
      </c>
      <c r="E33" s="69">
        <v>2730</v>
      </c>
      <c r="F33" s="70"/>
      <c r="G33" s="70">
        <f t="shared" si="0"/>
        <v>0</v>
      </c>
      <c r="H33" s="50">
        <f t="shared" si="1"/>
        <v>0</v>
      </c>
      <c r="I33" s="21"/>
    </row>
    <row r="34" spans="1:11">
      <c r="A34" s="68"/>
      <c r="B34" s="22">
        <v>26</v>
      </c>
      <c r="C34" s="23">
        <f>Gas!C34</f>
        <v>8</v>
      </c>
      <c r="D34" s="23">
        <f>Gas!D34</f>
        <v>74</v>
      </c>
      <c r="E34" s="69">
        <v>2730</v>
      </c>
      <c r="F34" s="70"/>
      <c r="G34" s="70">
        <f t="shared" si="0"/>
        <v>0</v>
      </c>
      <c r="H34" s="50">
        <f t="shared" si="1"/>
        <v>0</v>
      </c>
      <c r="I34" s="21"/>
    </row>
    <row r="35" spans="1:11">
      <c r="A35" s="68"/>
      <c r="B35" s="22">
        <v>27</v>
      </c>
      <c r="C35" s="23">
        <f>Gas!C35</f>
        <v>9</v>
      </c>
      <c r="D35" s="23">
        <f>Gas!D35</f>
        <v>47</v>
      </c>
      <c r="E35" s="69">
        <v>2745</v>
      </c>
      <c r="F35" s="70">
        <v>15</v>
      </c>
      <c r="G35" s="70">
        <f t="shared" si="0"/>
        <v>160500</v>
      </c>
      <c r="H35" s="50">
        <f t="shared" si="1"/>
        <v>11.219068922130575</v>
      </c>
      <c r="I35" s="21"/>
    </row>
    <row r="36" spans="1:11">
      <c r="A36" s="68"/>
      <c r="B36" s="22">
        <v>28</v>
      </c>
      <c r="C36" s="23">
        <f>Gas!C36</f>
        <v>9</v>
      </c>
      <c r="D36" s="23">
        <f>Gas!D36</f>
        <v>58</v>
      </c>
      <c r="E36" s="69">
        <v>2745</v>
      </c>
      <c r="F36" s="70"/>
      <c r="G36" s="70">
        <f t="shared" si="0"/>
        <v>0</v>
      </c>
      <c r="H36" s="50">
        <f t="shared" si="1"/>
        <v>0</v>
      </c>
      <c r="I36" s="21"/>
    </row>
    <row r="37" spans="1:11">
      <c r="A37" s="68"/>
      <c r="B37" s="22">
        <v>29</v>
      </c>
      <c r="C37" s="23">
        <f>Gas!C37</f>
        <v>7</v>
      </c>
      <c r="D37" s="23">
        <f>Gas!D37</f>
        <v>63</v>
      </c>
      <c r="E37" s="69">
        <v>2745</v>
      </c>
      <c r="F37" s="70"/>
      <c r="G37" s="70">
        <f t="shared" si="0"/>
        <v>0</v>
      </c>
      <c r="H37" s="50">
        <f t="shared" si="1"/>
        <v>0</v>
      </c>
      <c r="I37" s="21"/>
    </row>
    <row r="38" spans="1:11">
      <c r="A38" s="68"/>
      <c r="B38" s="22">
        <v>30</v>
      </c>
      <c r="C38" s="23">
        <f>Gas!C38</f>
        <v>4</v>
      </c>
      <c r="D38" s="23">
        <f>Gas!D38</f>
        <v>34</v>
      </c>
      <c r="E38" s="69">
        <v>2745</v>
      </c>
      <c r="F38" s="70"/>
      <c r="G38" s="70">
        <f t="shared" ref="G38" si="4">F38*$G$8</f>
        <v>0</v>
      </c>
      <c r="H38" s="50">
        <f t="shared" ref="H38" si="5">G38/14306</f>
        <v>0</v>
      </c>
      <c r="I38" s="21"/>
    </row>
    <row r="39" spans="1:11">
      <c r="A39" s="68"/>
      <c r="B39" s="22">
        <v>31</v>
      </c>
      <c r="C39" s="23">
        <f>Gas!C39</f>
        <v>10</v>
      </c>
      <c r="D39" s="23">
        <f>Gas!D39</f>
        <v>62</v>
      </c>
      <c r="E39" s="69">
        <v>2745</v>
      </c>
      <c r="F39" s="70"/>
      <c r="G39" s="70">
        <f t="shared" si="0"/>
        <v>0</v>
      </c>
      <c r="H39" s="50">
        <f t="shared" si="1"/>
        <v>0</v>
      </c>
      <c r="I39" s="21"/>
    </row>
    <row r="40" spans="1:11">
      <c r="C40" s="31">
        <f>SUM(C9:C39)</f>
        <v>397</v>
      </c>
      <c r="D40" s="31">
        <f>SUM(D9:D39)</f>
        <v>1892</v>
      </c>
      <c r="E40" s="31"/>
      <c r="F40" s="31">
        <f>SUM(F9:F39)</f>
        <v>77</v>
      </c>
      <c r="G40" s="31"/>
      <c r="H40" s="71">
        <f>SUM(H9:H39)</f>
        <v>57.591220466936953</v>
      </c>
      <c r="K40" s="35"/>
    </row>
    <row r="41" spans="1:11">
      <c r="E41" s="31"/>
      <c r="F41" s="72"/>
      <c r="G41" s="72"/>
      <c r="H41" s="41"/>
    </row>
    <row r="42" spans="1:11">
      <c r="C42" t="s">
        <v>29</v>
      </c>
      <c r="E42" s="58"/>
      <c r="F42" s="73"/>
      <c r="G42" s="73"/>
    </row>
    <row r="43" spans="1:11">
      <c r="E43" s="58"/>
      <c r="F43" s="73"/>
      <c r="G43" s="73"/>
    </row>
  </sheetData>
  <mergeCells count="9">
    <mergeCell ref="B1:H1"/>
    <mergeCell ref="B2:H2"/>
    <mergeCell ref="B4:H4"/>
    <mergeCell ref="B5:B8"/>
    <mergeCell ref="C5:C8"/>
    <mergeCell ref="D5:D8"/>
    <mergeCell ref="E5:G6"/>
    <mergeCell ref="H5:H8"/>
    <mergeCell ref="F7:F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43"/>
  <sheetViews>
    <sheetView workbookViewId="0">
      <selection activeCell="B6" sqref="B6:B8"/>
    </sheetView>
  </sheetViews>
  <sheetFormatPr defaultRowHeight="15"/>
  <cols>
    <col min="1" max="1" width="2.5703125" customWidth="1"/>
    <col min="2" max="2" width="4.7109375" customWidth="1"/>
    <col min="3" max="3" width="6.42578125" customWidth="1"/>
    <col min="4" max="4" width="6.42578125" style="19" customWidth="1"/>
    <col min="5" max="5" width="9.42578125" style="32" customWidth="1"/>
    <col min="6" max="6" width="16.5703125" style="32" customWidth="1"/>
    <col min="7" max="7" width="10.28515625" style="32" customWidth="1"/>
    <col min="8" max="8" width="16.7109375" style="32" customWidth="1"/>
    <col min="9" max="9" width="10.28515625" style="32" customWidth="1"/>
    <col min="10" max="10" width="16.7109375" style="32" customWidth="1"/>
    <col min="11" max="11" width="16.28515625" style="32" customWidth="1"/>
    <col min="12" max="12" width="19.7109375" customWidth="1"/>
    <col min="13" max="13" width="2.5703125" customWidth="1"/>
    <col min="15" max="15" width="20.5703125" customWidth="1"/>
  </cols>
  <sheetData>
    <row r="2" spans="1:13" ht="15.75">
      <c r="B2" s="86" t="s">
        <v>50</v>
      </c>
      <c r="C2" s="86"/>
      <c r="D2" s="86"/>
      <c r="E2" s="86"/>
      <c r="F2" s="86"/>
      <c r="G2" s="86"/>
      <c r="H2" s="86"/>
      <c r="I2" s="86"/>
      <c r="J2" s="86"/>
      <c r="K2" s="86"/>
      <c r="L2" s="86"/>
    </row>
    <row r="3" spans="1:13" ht="15.75">
      <c r="B3" s="86" t="s">
        <v>16</v>
      </c>
      <c r="C3" s="86"/>
      <c r="D3" s="86"/>
      <c r="E3" s="86"/>
      <c r="F3" s="86"/>
      <c r="G3" s="86"/>
      <c r="H3" s="86"/>
      <c r="I3" s="86"/>
      <c r="J3" s="86"/>
      <c r="K3" s="86"/>
      <c r="L3" s="86"/>
    </row>
    <row r="4" spans="1:13">
      <c r="B4" s="13"/>
      <c r="C4" s="14"/>
      <c r="D4" s="15"/>
      <c r="E4" s="14"/>
      <c r="F4" s="14"/>
      <c r="G4" s="14"/>
      <c r="H4" s="14"/>
      <c r="I4" s="14"/>
      <c r="J4" s="14"/>
      <c r="K4" s="14"/>
    </row>
    <row r="5" spans="1:13">
      <c r="A5" s="16"/>
      <c r="B5" s="87">
        <v>44531</v>
      </c>
      <c r="C5" s="99"/>
      <c r="D5" s="99"/>
      <c r="E5" s="99"/>
      <c r="F5" s="99"/>
      <c r="G5" s="99"/>
      <c r="H5" s="99"/>
      <c r="I5" s="99"/>
      <c r="J5" s="99"/>
      <c r="K5" s="99"/>
      <c r="L5" s="99"/>
      <c r="M5" s="16"/>
    </row>
    <row r="6" spans="1:13" ht="23.25" customHeight="1">
      <c r="A6" s="17"/>
      <c r="B6" s="88" t="s">
        <v>17</v>
      </c>
      <c r="C6" s="88" t="s">
        <v>51</v>
      </c>
      <c r="D6" s="88" t="s">
        <v>13</v>
      </c>
      <c r="E6" s="92" t="s">
        <v>52</v>
      </c>
      <c r="F6" s="92"/>
      <c r="G6" s="95" t="s">
        <v>53</v>
      </c>
      <c r="H6" s="95"/>
      <c r="I6" s="95"/>
      <c r="J6" s="95"/>
      <c r="K6" s="88" t="s">
        <v>54</v>
      </c>
      <c r="L6" s="88" t="s">
        <v>55</v>
      </c>
      <c r="M6" s="18"/>
    </row>
    <row r="7" spans="1:13" s="19" customFormat="1" ht="48" customHeight="1">
      <c r="A7" s="17"/>
      <c r="B7" s="88"/>
      <c r="C7" s="88"/>
      <c r="D7" s="88"/>
      <c r="E7" s="88" t="s">
        <v>56</v>
      </c>
      <c r="F7" s="88" t="s">
        <v>57</v>
      </c>
      <c r="G7" s="88" t="s">
        <v>56</v>
      </c>
      <c r="H7" s="88" t="s">
        <v>58</v>
      </c>
      <c r="I7" s="88" t="s">
        <v>56</v>
      </c>
      <c r="J7" s="88" t="s">
        <v>59</v>
      </c>
      <c r="K7" s="88"/>
      <c r="L7" s="88"/>
      <c r="M7" s="18"/>
    </row>
    <row r="8" spans="1:13" ht="15.75" customHeight="1">
      <c r="A8" s="20"/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21"/>
    </row>
    <row r="9" spans="1:13">
      <c r="A9" s="20"/>
      <c r="B9" s="22">
        <v>1</v>
      </c>
      <c r="C9" s="23">
        <f>'Fuel Diesel'!C9</f>
        <v>5</v>
      </c>
      <c r="D9" s="23">
        <f>'Fuel Diesel'!D9</f>
        <v>30</v>
      </c>
      <c r="E9" s="24">
        <v>0</v>
      </c>
      <c r="F9" s="26">
        <f>E9*13582</f>
        <v>0</v>
      </c>
      <c r="G9" s="24">
        <v>153</v>
      </c>
      <c r="H9" s="26">
        <f>G9*4000</f>
        <v>612000</v>
      </c>
      <c r="I9" s="24">
        <v>223</v>
      </c>
      <c r="J9" s="26">
        <f>I9*4000</f>
        <v>892000</v>
      </c>
      <c r="K9" s="24">
        <f t="shared" ref="K9:K39" si="0">F9+H9+J9</f>
        <v>1504000</v>
      </c>
      <c r="L9" s="75">
        <f>K9/14306</f>
        <v>105.13071438557249</v>
      </c>
      <c r="M9" s="21"/>
    </row>
    <row r="10" spans="1:13">
      <c r="A10" s="20"/>
      <c r="B10" s="22">
        <v>2</v>
      </c>
      <c r="C10" s="23">
        <f>'Fuel Diesel'!C10</f>
        <v>6</v>
      </c>
      <c r="D10" s="23">
        <f>'Fuel Diesel'!D10</f>
        <v>26</v>
      </c>
      <c r="E10" s="24">
        <v>0</v>
      </c>
      <c r="F10" s="26">
        <f>E10*13582</f>
        <v>0</v>
      </c>
      <c r="G10" s="24">
        <v>127</v>
      </c>
      <c r="H10" s="26">
        <f>G10*4000</f>
        <v>508000</v>
      </c>
      <c r="I10" s="24">
        <v>203</v>
      </c>
      <c r="J10" s="26">
        <f>I10*4000</f>
        <v>812000</v>
      </c>
      <c r="K10" s="24">
        <f t="shared" si="0"/>
        <v>1320000</v>
      </c>
      <c r="L10" s="75">
        <f t="shared" ref="L10:L39" si="1">K10/14306</f>
        <v>92.268978051167338</v>
      </c>
      <c r="M10" s="21"/>
    </row>
    <row r="11" spans="1:13">
      <c r="A11" s="20"/>
      <c r="B11" s="22">
        <v>3</v>
      </c>
      <c r="C11" s="23">
        <f>'Fuel Diesel'!C11</f>
        <v>7</v>
      </c>
      <c r="D11" s="23">
        <f>'Fuel Diesel'!D11</f>
        <v>24</v>
      </c>
      <c r="E11" s="24">
        <v>0</v>
      </c>
      <c r="F11" s="26">
        <f t="shared" ref="F11:F39" si="2">E11*13582</f>
        <v>0</v>
      </c>
      <c r="G11" s="24">
        <v>153</v>
      </c>
      <c r="H11" s="26">
        <f t="shared" ref="H11:H39" si="3">G11*4000</f>
        <v>612000</v>
      </c>
      <c r="I11" s="24">
        <v>228</v>
      </c>
      <c r="J11" s="26">
        <f t="shared" ref="J11:J39" si="4">I11*4000</f>
        <v>912000</v>
      </c>
      <c r="K11" s="24">
        <f t="shared" si="0"/>
        <v>1524000</v>
      </c>
      <c r="L11" s="75">
        <f t="shared" si="1"/>
        <v>106.52872920452957</v>
      </c>
      <c r="M11" s="21"/>
    </row>
    <row r="12" spans="1:13">
      <c r="A12" s="20"/>
      <c r="B12" s="22">
        <v>4</v>
      </c>
      <c r="C12" s="23">
        <f>'Fuel Diesel'!C12</f>
        <v>9</v>
      </c>
      <c r="D12" s="23">
        <f>'Fuel Diesel'!D12</f>
        <v>41</v>
      </c>
      <c r="E12" s="24">
        <v>0</v>
      </c>
      <c r="F12" s="26">
        <f t="shared" si="2"/>
        <v>0</v>
      </c>
      <c r="G12" s="24">
        <v>147</v>
      </c>
      <c r="H12" s="26">
        <f t="shared" si="3"/>
        <v>588000</v>
      </c>
      <c r="I12" s="24">
        <v>224</v>
      </c>
      <c r="J12" s="26">
        <f t="shared" si="4"/>
        <v>896000</v>
      </c>
      <c r="K12" s="24">
        <f t="shared" si="0"/>
        <v>1484000</v>
      </c>
      <c r="L12" s="75">
        <f t="shared" si="1"/>
        <v>103.73269956661541</v>
      </c>
      <c r="M12" s="21"/>
    </row>
    <row r="13" spans="1:13">
      <c r="A13" s="20"/>
      <c r="B13" s="22">
        <v>5</v>
      </c>
      <c r="C13" s="23">
        <f>'Fuel Diesel'!C13</f>
        <v>12</v>
      </c>
      <c r="D13" s="23">
        <f>'Fuel Diesel'!D13</f>
        <v>60</v>
      </c>
      <c r="E13" s="24">
        <v>0</v>
      </c>
      <c r="F13" s="26">
        <f t="shared" si="2"/>
        <v>0</v>
      </c>
      <c r="G13" s="24">
        <v>148</v>
      </c>
      <c r="H13" s="26">
        <f t="shared" si="3"/>
        <v>592000</v>
      </c>
      <c r="I13" s="24">
        <v>225</v>
      </c>
      <c r="J13" s="26">
        <f t="shared" si="4"/>
        <v>900000</v>
      </c>
      <c r="K13" s="24">
        <f t="shared" si="0"/>
        <v>1492000</v>
      </c>
      <c r="L13" s="75">
        <f t="shared" si="1"/>
        <v>104.29190549419823</v>
      </c>
      <c r="M13" s="21"/>
    </row>
    <row r="14" spans="1:13">
      <c r="A14" s="20"/>
      <c r="B14" s="22">
        <v>6</v>
      </c>
      <c r="C14" s="23">
        <f>'Fuel Diesel'!C14</f>
        <v>9</v>
      </c>
      <c r="D14" s="23">
        <f>'Fuel Diesel'!D14</f>
        <v>53</v>
      </c>
      <c r="E14" s="24">
        <v>0</v>
      </c>
      <c r="F14" s="26">
        <f t="shared" si="2"/>
        <v>0</v>
      </c>
      <c r="G14" s="24">
        <v>125</v>
      </c>
      <c r="H14" s="26">
        <f t="shared" si="3"/>
        <v>500000</v>
      </c>
      <c r="I14" s="24">
        <v>187</v>
      </c>
      <c r="J14" s="26">
        <f t="shared" si="4"/>
        <v>748000</v>
      </c>
      <c r="K14" s="24">
        <f t="shared" si="0"/>
        <v>1248000</v>
      </c>
      <c r="L14" s="75">
        <f t="shared" si="1"/>
        <v>87.236124702921856</v>
      </c>
      <c r="M14" s="21"/>
    </row>
    <row r="15" spans="1:13">
      <c r="A15" s="20"/>
      <c r="B15" s="22">
        <v>7</v>
      </c>
      <c r="C15" s="23">
        <f>'Fuel Diesel'!C15</f>
        <v>9</v>
      </c>
      <c r="D15" s="23">
        <f>'Fuel Diesel'!D15</f>
        <v>43</v>
      </c>
      <c r="E15" s="24">
        <v>0</v>
      </c>
      <c r="F15" s="26">
        <f t="shared" si="2"/>
        <v>0</v>
      </c>
      <c r="G15" s="24">
        <v>135</v>
      </c>
      <c r="H15" s="26">
        <f t="shared" si="3"/>
        <v>540000</v>
      </c>
      <c r="I15" s="24">
        <v>207</v>
      </c>
      <c r="J15" s="26">
        <f t="shared" si="4"/>
        <v>828000</v>
      </c>
      <c r="K15" s="24">
        <f t="shared" si="0"/>
        <v>1368000</v>
      </c>
      <c r="L15" s="75">
        <f t="shared" si="1"/>
        <v>95.624213616664335</v>
      </c>
      <c r="M15" s="21"/>
    </row>
    <row r="16" spans="1:13">
      <c r="A16" s="20"/>
      <c r="B16" s="22">
        <v>8</v>
      </c>
      <c r="C16" s="23">
        <f>'Fuel Diesel'!C16</f>
        <v>15</v>
      </c>
      <c r="D16" s="23">
        <f>'Fuel Diesel'!D16</f>
        <v>53</v>
      </c>
      <c r="E16" s="24">
        <v>0</v>
      </c>
      <c r="F16" s="26">
        <f t="shared" si="2"/>
        <v>0</v>
      </c>
      <c r="G16" s="24">
        <v>142</v>
      </c>
      <c r="H16" s="26">
        <f t="shared" si="3"/>
        <v>568000</v>
      </c>
      <c r="I16" s="24">
        <v>222</v>
      </c>
      <c r="J16" s="26">
        <f t="shared" si="4"/>
        <v>888000</v>
      </c>
      <c r="K16" s="24">
        <f t="shared" si="0"/>
        <v>1456000</v>
      </c>
      <c r="L16" s="75">
        <f t="shared" si="1"/>
        <v>101.77547882007549</v>
      </c>
      <c r="M16" s="21"/>
    </row>
    <row r="17" spans="1:13">
      <c r="A17" s="20"/>
      <c r="B17" s="22">
        <v>9</v>
      </c>
      <c r="C17" s="23">
        <f>'Fuel Diesel'!C17</f>
        <v>14</v>
      </c>
      <c r="D17" s="23">
        <f>'Fuel Diesel'!D17</f>
        <v>73</v>
      </c>
      <c r="E17" s="24">
        <v>0</v>
      </c>
      <c r="F17" s="26">
        <f t="shared" si="2"/>
        <v>0</v>
      </c>
      <c r="G17" s="24">
        <v>124</v>
      </c>
      <c r="H17" s="26">
        <f t="shared" si="3"/>
        <v>496000</v>
      </c>
      <c r="I17" s="24">
        <v>187</v>
      </c>
      <c r="J17" s="26">
        <f t="shared" si="4"/>
        <v>748000</v>
      </c>
      <c r="K17" s="24">
        <f t="shared" si="0"/>
        <v>1244000</v>
      </c>
      <c r="L17" s="75">
        <f t="shared" si="1"/>
        <v>86.956521739130437</v>
      </c>
      <c r="M17" s="21"/>
    </row>
    <row r="18" spans="1:13">
      <c r="A18" s="20"/>
      <c r="B18" s="22">
        <v>10</v>
      </c>
      <c r="C18" s="23">
        <f>'Fuel Diesel'!C18</f>
        <v>21</v>
      </c>
      <c r="D18" s="23">
        <f>'Fuel Diesel'!D18</f>
        <v>87</v>
      </c>
      <c r="E18" s="24">
        <v>0</v>
      </c>
      <c r="F18" s="26">
        <f t="shared" si="2"/>
        <v>0</v>
      </c>
      <c r="G18" s="24">
        <v>135</v>
      </c>
      <c r="H18" s="26">
        <f t="shared" si="3"/>
        <v>540000</v>
      </c>
      <c r="I18" s="24">
        <v>210</v>
      </c>
      <c r="J18" s="26">
        <f t="shared" si="4"/>
        <v>840000</v>
      </c>
      <c r="K18" s="24">
        <f t="shared" si="0"/>
        <v>1380000</v>
      </c>
      <c r="L18" s="75">
        <f t="shared" si="1"/>
        <v>96.463022508038591</v>
      </c>
      <c r="M18" s="21"/>
    </row>
    <row r="19" spans="1:13">
      <c r="A19" s="20"/>
      <c r="B19" s="22">
        <v>11</v>
      </c>
      <c r="C19" s="23">
        <f>'Fuel Diesel'!C19</f>
        <v>21</v>
      </c>
      <c r="D19" s="23">
        <f>'Fuel Diesel'!D19</f>
        <v>59</v>
      </c>
      <c r="E19" s="24">
        <v>0</v>
      </c>
      <c r="F19" s="26">
        <f t="shared" si="2"/>
        <v>0</v>
      </c>
      <c r="G19" s="24">
        <v>153</v>
      </c>
      <c r="H19" s="26">
        <f t="shared" si="3"/>
        <v>612000</v>
      </c>
      <c r="I19" s="24">
        <v>235</v>
      </c>
      <c r="J19" s="26">
        <f t="shared" si="4"/>
        <v>940000</v>
      </c>
      <c r="K19" s="24">
        <f t="shared" si="0"/>
        <v>1552000</v>
      </c>
      <c r="L19" s="75">
        <f t="shared" si="1"/>
        <v>108.48594995106949</v>
      </c>
      <c r="M19" s="21"/>
    </row>
    <row r="20" spans="1:13">
      <c r="A20" s="20"/>
      <c r="B20" s="22">
        <v>12</v>
      </c>
      <c r="C20" s="23">
        <f>'Fuel Diesel'!C20</f>
        <v>16</v>
      </c>
      <c r="D20" s="23">
        <f>'Fuel Diesel'!D20</f>
        <v>97</v>
      </c>
      <c r="E20" s="24">
        <v>0</v>
      </c>
      <c r="F20" s="26">
        <f t="shared" si="2"/>
        <v>0</v>
      </c>
      <c r="G20" s="24">
        <v>126</v>
      </c>
      <c r="H20" s="26">
        <f>G20*4000</f>
        <v>504000</v>
      </c>
      <c r="I20" s="24">
        <v>194</v>
      </c>
      <c r="J20" s="26">
        <f t="shared" si="4"/>
        <v>776000</v>
      </c>
      <c r="K20" s="24">
        <f t="shared" si="0"/>
        <v>1280000</v>
      </c>
      <c r="L20" s="75">
        <f t="shared" si="1"/>
        <v>89.472948413253178</v>
      </c>
      <c r="M20" s="21"/>
    </row>
    <row r="21" spans="1:13">
      <c r="A21" s="20"/>
      <c r="B21" s="22">
        <v>13</v>
      </c>
      <c r="C21" s="23">
        <f>'Fuel Diesel'!C21</f>
        <v>14</v>
      </c>
      <c r="D21" s="23">
        <f>'Fuel Diesel'!D21</f>
        <v>86</v>
      </c>
      <c r="E21" s="24">
        <v>0</v>
      </c>
      <c r="F21" s="26">
        <f t="shared" si="2"/>
        <v>0</v>
      </c>
      <c r="G21" s="24">
        <v>105</v>
      </c>
      <c r="H21" s="26">
        <f t="shared" si="3"/>
        <v>420000</v>
      </c>
      <c r="I21" s="24">
        <v>166</v>
      </c>
      <c r="J21" s="26">
        <f t="shared" si="4"/>
        <v>664000</v>
      </c>
      <c r="K21" s="24">
        <f t="shared" si="0"/>
        <v>1084000</v>
      </c>
      <c r="L21" s="75">
        <f t="shared" si="1"/>
        <v>75.772403187473785</v>
      </c>
      <c r="M21" s="21"/>
    </row>
    <row r="22" spans="1:13">
      <c r="A22" s="20"/>
      <c r="B22" s="22">
        <v>14</v>
      </c>
      <c r="C22" s="23">
        <f>'Fuel Diesel'!C22</f>
        <v>17</v>
      </c>
      <c r="D22" s="23">
        <f>'Fuel Diesel'!D22</f>
        <v>60</v>
      </c>
      <c r="E22" s="24">
        <v>0</v>
      </c>
      <c r="F22" s="26">
        <f t="shared" si="2"/>
        <v>0</v>
      </c>
      <c r="G22" s="24">
        <v>109</v>
      </c>
      <c r="H22" s="26">
        <f t="shared" si="3"/>
        <v>436000</v>
      </c>
      <c r="I22" s="24">
        <v>171</v>
      </c>
      <c r="J22" s="26">
        <f t="shared" si="4"/>
        <v>684000</v>
      </c>
      <c r="K22" s="24">
        <f t="shared" si="0"/>
        <v>1120000</v>
      </c>
      <c r="L22" s="75">
        <f t="shared" si="1"/>
        <v>78.28882986159654</v>
      </c>
      <c r="M22" s="21"/>
    </row>
    <row r="23" spans="1:13">
      <c r="A23" s="20"/>
      <c r="B23" s="22">
        <v>15</v>
      </c>
      <c r="C23" s="23">
        <f>'Fuel Diesel'!C23</f>
        <v>29</v>
      </c>
      <c r="D23" s="23">
        <f>'Fuel Diesel'!D23</f>
        <v>72</v>
      </c>
      <c r="E23" s="24">
        <v>0</v>
      </c>
      <c r="F23" s="26">
        <f t="shared" si="2"/>
        <v>0</v>
      </c>
      <c r="G23" s="24">
        <v>127</v>
      </c>
      <c r="H23" s="26">
        <f t="shared" si="3"/>
        <v>508000</v>
      </c>
      <c r="I23" s="24">
        <v>198</v>
      </c>
      <c r="J23" s="26">
        <f t="shared" si="4"/>
        <v>792000</v>
      </c>
      <c r="K23" s="24">
        <f t="shared" si="0"/>
        <v>1300000</v>
      </c>
      <c r="L23" s="75">
        <f t="shared" si="1"/>
        <v>90.870963232210258</v>
      </c>
      <c r="M23" s="21"/>
    </row>
    <row r="24" spans="1:13">
      <c r="A24" s="20"/>
      <c r="B24" s="22">
        <v>16</v>
      </c>
      <c r="C24" s="23">
        <f>'Fuel Diesel'!C24</f>
        <v>14</v>
      </c>
      <c r="D24" s="23">
        <f>'Fuel Diesel'!D24</f>
        <v>74</v>
      </c>
      <c r="E24" s="24">
        <v>0</v>
      </c>
      <c r="F24" s="26">
        <f t="shared" si="2"/>
        <v>0</v>
      </c>
      <c r="G24" s="24">
        <v>116</v>
      </c>
      <c r="H24" s="26">
        <f t="shared" si="3"/>
        <v>464000</v>
      </c>
      <c r="I24" s="24">
        <v>183</v>
      </c>
      <c r="J24" s="26">
        <f t="shared" si="4"/>
        <v>732000</v>
      </c>
      <c r="K24" s="24">
        <f t="shared" si="0"/>
        <v>1196000</v>
      </c>
      <c r="L24" s="75">
        <f t="shared" si="1"/>
        <v>83.60128617363344</v>
      </c>
      <c r="M24" s="21"/>
    </row>
    <row r="25" spans="1:13">
      <c r="A25" s="20"/>
      <c r="B25" s="22">
        <v>17</v>
      </c>
      <c r="C25" s="23">
        <f>'Fuel Diesel'!C25</f>
        <v>22</v>
      </c>
      <c r="D25" s="23">
        <f>'Fuel Diesel'!D25</f>
        <v>69</v>
      </c>
      <c r="E25" s="24">
        <v>0</v>
      </c>
      <c r="F25" s="26">
        <f t="shared" si="2"/>
        <v>0</v>
      </c>
      <c r="G25" s="24">
        <v>103</v>
      </c>
      <c r="H25" s="26">
        <f t="shared" si="3"/>
        <v>412000</v>
      </c>
      <c r="I25" s="24">
        <v>161</v>
      </c>
      <c r="J25" s="26">
        <f t="shared" si="4"/>
        <v>644000</v>
      </c>
      <c r="K25" s="24">
        <f t="shared" si="0"/>
        <v>1056000</v>
      </c>
      <c r="L25" s="75">
        <f t="shared" si="1"/>
        <v>73.815182440933867</v>
      </c>
      <c r="M25" s="21"/>
    </row>
    <row r="26" spans="1:13">
      <c r="A26" s="20"/>
      <c r="B26" s="22">
        <v>18</v>
      </c>
      <c r="C26" s="23">
        <f>'Fuel Diesel'!C26</f>
        <v>21</v>
      </c>
      <c r="D26" s="23">
        <f>'Fuel Diesel'!D26</f>
        <v>108</v>
      </c>
      <c r="E26" s="24">
        <v>0</v>
      </c>
      <c r="F26" s="26">
        <f t="shared" si="2"/>
        <v>0</v>
      </c>
      <c r="G26" s="24">
        <v>109</v>
      </c>
      <c r="H26" s="26">
        <f t="shared" si="3"/>
        <v>436000</v>
      </c>
      <c r="I26" s="24">
        <v>177</v>
      </c>
      <c r="J26" s="26">
        <f t="shared" si="4"/>
        <v>708000</v>
      </c>
      <c r="K26" s="24">
        <f t="shared" si="0"/>
        <v>1144000</v>
      </c>
      <c r="L26" s="75">
        <f t="shared" si="1"/>
        <v>79.966447644345024</v>
      </c>
      <c r="M26" s="21"/>
    </row>
    <row r="27" spans="1:13">
      <c r="A27" s="20"/>
      <c r="B27" s="22">
        <v>19</v>
      </c>
      <c r="C27" s="23">
        <f>'Fuel Diesel'!C27</f>
        <v>14</v>
      </c>
      <c r="D27" s="23">
        <f>'Fuel Diesel'!D27</f>
        <v>84</v>
      </c>
      <c r="E27" s="24">
        <v>0</v>
      </c>
      <c r="F27" s="26">
        <f t="shared" si="2"/>
        <v>0</v>
      </c>
      <c r="G27" s="24">
        <v>101</v>
      </c>
      <c r="H27" s="26">
        <f t="shared" si="3"/>
        <v>404000</v>
      </c>
      <c r="I27" s="24">
        <v>159</v>
      </c>
      <c r="J27" s="26">
        <f t="shared" si="4"/>
        <v>636000</v>
      </c>
      <c r="K27" s="24">
        <f t="shared" si="0"/>
        <v>1040000</v>
      </c>
      <c r="L27" s="75">
        <f t="shared" si="1"/>
        <v>72.696770585768206</v>
      </c>
      <c r="M27" s="21"/>
    </row>
    <row r="28" spans="1:13">
      <c r="A28" s="20"/>
      <c r="B28" s="22">
        <v>20</v>
      </c>
      <c r="C28" s="23">
        <f>'Fuel Diesel'!C28</f>
        <v>7</v>
      </c>
      <c r="D28" s="23">
        <f>'Fuel Diesel'!D28</f>
        <v>71</v>
      </c>
      <c r="E28" s="24">
        <v>0</v>
      </c>
      <c r="F28" s="26">
        <f t="shared" si="2"/>
        <v>0</v>
      </c>
      <c r="G28" s="24">
        <v>112</v>
      </c>
      <c r="H28" s="26">
        <f t="shared" si="3"/>
        <v>448000</v>
      </c>
      <c r="I28" s="24">
        <v>168</v>
      </c>
      <c r="J28" s="26">
        <f t="shared" si="4"/>
        <v>672000</v>
      </c>
      <c r="K28" s="24">
        <f t="shared" si="0"/>
        <v>1120000</v>
      </c>
      <c r="L28" s="75">
        <f t="shared" si="1"/>
        <v>78.28882986159654</v>
      </c>
      <c r="M28" s="21"/>
    </row>
    <row r="29" spans="1:13">
      <c r="A29" s="20"/>
      <c r="B29" s="22">
        <v>21</v>
      </c>
      <c r="C29" s="23">
        <f>'Fuel Diesel'!C29</f>
        <v>11</v>
      </c>
      <c r="D29" s="23">
        <f>'Fuel Diesel'!D29</f>
        <v>19</v>
      </c>
      <c r="E29" s="24">
        <v>0</v>
      </c>
      <c r="F29" s="26">
        <f t="shared" si="2"/>
        <v>0</v>
      </c>
      <c r="G29" s="24">
        <v>114</v>
      </c>
      <c r="H29" s="26">
        <f t="shared" si="3"/>
        <v>456000</v>
      </c>
      <c r="I29" s="24">
        <v>179</v>
      </c>
      <c r="J29" s="26">
        <f t="shared" si="4"/>
        <v>716000</v>
      </c>
      <c r="K29" s="24">
        <f t="shared" si="0"/>
        <v>1172000</v>
      </c>
      <c r="L29" s="75">
        <f t="shared" si="1"/>
        <v>81.923668390884941</v>
      </c>
      <c r="M29" s="21"/>
    </row>
    <row r="30" spans="1:13">
      <c r="A30" s="20"/>
      <c r="B30" s="22">
        <v>22</v>
      </c>
      <c r="C30" s="23">
        <f>'Fuel Diesel'!C30</f>
        <v>13</v>
      </c>
      <c r="D30" s="23">
        <f>'Fuel Diesel'!D30</f>
        <v>37</v>
      </c>
      <c r="E30" s="24">
        <v>0</v>
      </c>
      <c r="F30" s="26">
        <f t="shared" si="2"/>
        <v>0</v>
      </c>
      <c r="G30" s="24">
        <v>107</v>
      </c>
      <c r="H30" s="26">
        <f t="shared" si="3"/>
        <v>428000</v>
      </c>
      <c r="I30" s="24">
        <v>169</v>
      </c>
      <c r="J30" s="26">
        <f t="shared" si="4"/>
        <v>676000</v>
      </c>
      <c r="K30" s="24">
        <f t="shared" si="0"/>
        <v>1104000</v>
      </c>
      <c r="L30" s="75">
        <f t="shared" si="1"/>
        <v>77.170418006430864</v>
      </c>
      <c r="M30" s="21"/>
    </row>
    <row r="31" spans="1:13">
      <c r="A31" s="20"/>
      <c r="B31" s="22">
        <v>23</v>
      </c>
      <c r="C31" s="23">
        <f>'Fuel Diesel'!C31</f>
        <v>18</v>
      </c>
      <c r="D31" s="23">
        <f>'Fuel Diesel'!D31</f>
        <v>50</v>
      </c>
      <c r="E31" s="24">
        <v>0</v>
      </c>
      <c r="F31" s="26">
        <f t="shared" si="2"/>
        <v>0</v>
      </c>
      <c r="G31" s="24">
        <v>117</v>
      </c>
      <c r="H31" s="26">
        <f t="shared" si="3"/>
        <v>468000</v>
      </c>
      <c r="I31" s="24">
        <v>180</v>
      </c>
      <c r="J31" s="26">
        <f t="shared" si="4"/>
        <v>720000</v>
      </c>
      <c r="K31" s="24">
        <f t="shared" si="0"/>
        <v>1188000</v>
      </c>
      <c r="L31" s="75">
        <f t="shared" si="1"/>
        <v>83.042080246050602</v>
      </c>
      <c r="M31" s="21"/>
    </row>
    <row r="32" spans="1:13">
      <c r="A32" s="20"/>
      <c r="B32" s="22">
        <v>24</v>
      </c>
      <c r="C32" s="23">
        <f>'Fuel Diesel'!C32</f>
        <v>12</v>
      </c>
      <c r="D32" s="23">
        <f>'Fuel Diesel'!D32</f>
        <v>92</v>
      </c>
      <c r="E32" s="24">
        <v>0</v>
      </c>
      <c r="F32" s="26">
        <f t="shared" si="2"/>
        <v>0</v>
      </c>
      <c r="G32" s="24">
        <v>130</v>
      </c>
      <c r="H32" s="26">
        <f t="shared" si="3"/>
        <v>520000</v>
      </c>
      <c r="I32" s="24">
        <v>206</v>
      </c>
      <c r="J32" s="26">
        <f t="shared" si="4"/>
        <v>824000</v>
      </c>
      <c r="K32" s="24">
        <f t="shared" si="0"/>
        <v>1344000</v>
      </c>
      <c r="L32" s="75">
        <f t="shared" si="1"/>
        <v>93.946595833915836</v>
      </c>
      <c r="M32" s="21"/>
    </row>
    <row r="33" spans="1:15">
      <c r="A33" s="20"/>
      <c r="B33" s="22">
        <v>25</v>
      </c>
      <c r="C33" s="23">
        <f>'Fuel Diesel'!C33</f>
        <v>14</v>
      </c>
      <c r="D33" s="23">
        <f>'Fuel Diesel'!D33</f>
        <v>86</v>
      </c>
      <c r="E33" s="24">
        <v>0</v>
      </c>
      <c r="F33" s="26">
        <f t="shared" si="2"/>
        <v>0</v>
      </c>
      <c r="G33" s="24">
        <v>130</v>
      </c>
      <c r="H33" s="26">
        <f t="shared" si="3"/>
        <v>520000</v>
      </c>
      <c r="I33" s="24">
        <v>205</v>
      </c>
      <c r="J33" s="26">
        <f t="shared" si="4"/>
        <v>820000</v>
      </c>
      <c r="K33" s="24">
        <f t="shared" si="0"/>
        <v>1340000</v>
      </c>
      <c r="L33" s="75">
        <f t="shared" si="1"/>
        <v>93.666992870124417</v>
      </c>
      <c r="M33" s="21"/>
    </row>
    <row r="34" spans="1:15">
      <c r="A34" s="20"/>
      <c r="B34" s="22">
        <v>26</v>
      </c>
      <c r="C34" s="23">
        <f>'Fuel Diesel'!C34</f>
        <v>8</v>
      </c>
      <c r="D34" s="23">
        <f>'Fuel Diesel'!D34</f>
        <v>74</v>
      </c>
      <c r="E34" s="24">
        <v>0</v>
      </c>
      <c r="F34" s="26">
        <f t="shared" si="2"/>
        <v>0</v>
      </c>
      <c r="G34" s="24">
        <v>106</v>
      </c>
      <c r="H34" s="26">
        <f t="shared" si="3"/>
        <v>424000</v>
      </c>
      <c r="I34" s="24">
        <v>168</v>
      </c>
      <c r="J34" s="26">
        <f t="shared" si="4"/>
        <v>672000</v>
      </c>
      <c r="K34" s="24">
        <f t="shared" si="0"/>
        <v>1096000</v>
      </c>
      <c r="L34" s="75">
        <f t="shared" si="1"/>
        <v>76.611212078848041</v>
      </c>
      <c r="M34" s="21"/>
    </row>
    <row r="35" spans="1:15">
      <c r="A35" s="20"/>
      <c r="B35" s="22">
        <v>27</v>
      </c>
      <c r="C35" s="23">
        <f>'Fuel Diesel'!C35</f>
        <v>9</v>
      </c>
      <c r="D35" s="23">
        <f>'Fuel Diesel'!D35</f>
        <v>47</v>
      </c>
      <c r="E35" s="24">
        <v>0</v>
      </c>
      <c r="F35" s="26">
        <f t="shared" si="2"/>
        <v>0</v>
      </c>
      <c r="G35" s="24">
        <v>100</v>
      </c>
      <c r="H35" s="26">
        <f t="shared" si="3"/>
        <v>400000</v>
      </c>
      <c r="I35" s="24">
        <v>165</v>
      </c>
      <c r="J35" s="26">
        <f t="shared" si="4"/>
        <v>660000</v>
      </c>
      <c r="K35" s="24">
        <f t="shared" si="0"/>
        <v>1060000</v>
      </c>
      <c r="L35" s="75">
        <f t="shared" si="1"/>
        <v>74.094785404725286</v>
      </c>
      <c r="M35" s="21"/>
    </row>
    <row r="36" spans="1:15">
      <c r="A36" s="20"/>
      <c r="B36" s="22">
        <v>28</v>
      </c>
      <c r="C36" s="23">
        <f>'Fuel Diesel'!C36</f>
        <v>9</v>
      </c>
      <c r="D36" s="23">
        <f>'Fuel Diesel'!D36</f>
        <v>58</v>
      </c>
      <c r="E36" s="24">
        <v>0</v>
      </c>
      <c r="F36" s="26">
        <f t="shared" si="2"/>
        <v>0</v>
      </c>
      <c r="G36" s="24">
        <v>97</v>
      </c>
      <c r="H36" s="26">
        <f t="shared" si="3"/>
        <v>388000</v>
      </c>
      <c r="I36" s="24">
        <v>166</v>
      </c>
      <c r="J36" s="26">
        <f t="shared" si="4"/>
        <v>664000</v>
      </c>
      <c r="K36" s="24">
        <f t="shared" si="0"/>
        <v>1052000</v>
      </c>
      <c r="L36" s="75">
        <f t="shared" si="1"/>
        <v>73.535579477142463</v>
      </c>
      <c r="M36" s="21"/>
    </row>
    <row r="37" spans="1:15">
      <c r="A37" s="20"/>
      <c r="B37" s="22">
        <v>29</v>
      </c>
      <c r="C37" s="23">
        <f>'Fuel Diesel'!C37</f>
        <v>7</v>
      </c>
      <c r="D37" s="23">
        <f>'Fuel Diesel'!D37</f>
        <v>63</v>
      </c>
      <c r="E37" s="24">
        <v>0</v>
      </c>
      <c r="F37" s="26">
        <f t="shared" si="2"/>
        <v>0</v>
      </c>
      <c r="G37" s="24">
        <v>118</v>
      </c>
      <c r="H37" s="26">
        <f t="shared" si="3"/>
        <v>472000</v>
      </c>
      <c r="I37" s="24">
        <v>172</v>
      </c>
      <c r="J37" s="26">
        <f t="shared" si="4"/>
        <v>688000</v>
      </c>
      <c r="K37" s="24">
        <f t="shared" si="0"/>
        <v>1160000</v>
      </c>
      <c r="L37" s="75">
        <f t="shared" si="1"/>
        <v>81.084859499510699</v>
      </c>
      <c r="M37" s="21"/>
    </row>
    <row r="38" spans="1:15">
      <c r="A38" s="20"/>
      <c r="B38" s="22">
        <v>30</v>
      </c>
      <c r="C38" s="23">
        <f>'Fuel Diesel'!C38</f>
        <v>4</v>
      </c>
      <c r="D38" s="23">
        <f>'Fuel Diesel'!D38</f>
        <v>34</v>
      </c>
      <c r="E38" s="24">
        <v>0</v>
      </c>
      <c r="F38" s="26">
        <f t="shared" ref="F38" si="5">E38*13582</f>
        <v>0</v>
      </c>
      <c r="G38" s="24">
        <v>98</v>
      </c>
      <c r="H38" s="26">
        <f t="shared" ref="H38" si="6">G38*4000</f>
        <v>392000</v>
      </c>
      <c r="I38" s="24">
        <v>162</v>
      </c>
      <c r="J38" s="26">
        <f t="shared" ref="J38" si="7">I38*4000</f>
        <v>648000</v>
      </c>
      <c r="K38" s="24">
        <f t="shared" ref="K38" si="8">F38+H38+J38</f>
        <v>1040000</v>
      </c>
      <c r="L38" s="75">
        <f t="shared" ref="L38" si="9">K38/14306</f>
        <v>72.696770585768206</v>
      </c>
      <c r="M38" s="21"/>
    </row>
    <row r="39" spans="1:15">
      <c r="A39" s="20"/>
      <c r="B39" s="22">
        <v>31</v>
      </c>
      <c r="C39" s="23">
        <f>'Fuel Diesel'!C39</f>
        <v>10</v>
      </c>
      <c r="D39" s="23">
        <f>'Fuel Diesel'!D39</f>
        <v>62</v>
      </c>
      <c r="E39" s="24">
        <v>0</v>
      </c>
      <c r="F39" s="26">
        <f t="shared" si="2"/>
        <v>0</v>
      </c>
      <c r="G39" s="24">
        <v>209</v>
      </c>
      <c r="H39" s="26">
        <f t="shared" si="3"/>
        <v>836000</v>
      </c>
      <c r="I39" s="24">
        <v>341</v>
      </c>
      <c r="J39" s="26">
        <f t="shared" si="4"/>
        <v>1364000</v>
      </c>
      <c r="K39" s="24">
        <f t="shared" si="0"/>
        <v>2200000</v>
      </c>
      <c r="L39" s="75">
        <f t="shared" si="1"/>
        <v>153.78163008527889</v>
      </c>
      <c r="M39" s="21"/>
    </row>
    <row r="40" spans="1:15" ht="15.75">
      <c r="C40" s="31">
        <f>SUM(C9:C39)</f>
        <v>397</v>
      </c>
      <c r="D40" s="31">
        <f>SUM(D9:D39)</f>
        <v>1892</v>
      </c>
      <c r="E40" s="31">
        <v>0</v>
      </c>
      <c r="G40" s="31">
        <f>SUM(G9:G39)</f>
        <v>3876</v>
      </c>
      <c r="I40" s="31">
        <f>SUM(I9:I39)</f>
        <v>6041</v>
      </c>
      <c r="J40" s="76">
        <f>G40+I40</f>
        <v>9917</v>
      </c>
      <c r="K40" s="77"/>
      <c r="L40" s="78">
        <f>SUM(L9:L39)</f>
        <v>2772.8225919194747</v>
      </c>
      <c r="O40" s="35" t="e">
        <f>#REF!+#REF!+#REF!+#REF!+#REF!+#REF!+#REF!+#REF!+#REF!+#REF!+L40+#REF!</f>
        <v>#REF!</v>
      </c>
    </row>
    <row r="41" spans="1:15">
      <c r="I41" s="57">
        <f>G40+I40</f>
        <v>9917</v>
      </c>
      <c r="L41" s="36"/>
    </row>
    <row r="42" spans="1:15">
      <c r="C42" t="s">
        <v>29</v>
      </c>
      <c r="E42" s="19"/>
      <c r="F42" s="19"/>
      <c r="G42" s="19"/>
      <c r="H42" s="19"/>
      <c r="I42" s="79"/>
      <c r="J42" s="79"/>
      <c r="L42" s="38"/>
    </row>
    <row r="43" spans="1:15">
      <c r="E43" s="19"/>
      <c r="F43" s="19"/>
      <c r="G43" s="19"/>
      <c r="H43" s="19"/>
      <c r="I43" s="79"/>
      <c r="J43" s="79"/>
    </row>
  </sheetData>
  <mergeCells count="16">
    <mergeCell ref="J7:J8"/>
    <mergeCell ref="B2:L2"/>
    <mergeCell ref="B3:L3"/>
    <mergeCell ref="B5:L5"/>
    <mergeCell ref="B6:B8"/>
    <mergeCell ref="C6:C8"/>
    <mergeCell ref="D6:D8"/>
    <mergeCell ref="E6:F6"/>
    <mergeCell ref="G6:J6"/>
    <mergeCell ref="K6:K8"/>
    <mergeCell ref="L6:L8"/>
    <mergeCell ref="E7:E8"/>
    <mergeCell ref="F7:F8"/>
    <mergeCell ref="G7:G8"/>
    <mergeCell ref="H7:H8"/>
    <mergeCell ref="I7:I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7B60B8-B729-493D-A8C9-5E3351757318}"/>
</file>

<file path=customXml/itemProps2.xml><?xml version="1.0" encoding="utf-8"?>
<ds:datastoreItem xmlns:ds="http://schemas.openxmlformats.org/officeDocument/2006/customXml" ds:itemID="{63019D53-D1A7-4546-8241-19C19594D528}"/>
</file>

<file path=customXml/itemProps3.xml><?xml version="1.0" encoding="utf-8"?>
<ds:datastoreItem xmlns:ds="http://schemas.openxmlformats.org/officeDocument/2006/customXml" ds:itemID="{F9C5C404-2085-4262-9DD3-FDA9BC1F39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Siget Pamungkas</dc:creator>
  <cp:keywords/>
  <dc:description/>
  <cp:lastModifiedBy>Dinna Wiji Safitri</cp:lastModifiedBy>
  <cp:revision/>
  <dcterms:created xsi:type="dcterms:W3CDTF">2021-11-07T04:02:12Z</dcterms:created>
  <dcterms:modified xsi:type="dcterms:W3CDTF">2023-02-18T04:54:43Z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