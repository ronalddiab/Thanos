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6" windowHeight="8052" activeTab="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<sst xmlns="http://schemas.openxmlformats.org/spreadsheetml/2006/main" count="894" uniqueCount="78">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</sst>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250" workbookViewId="0">
      <selection activeCell="H272" sqref="H272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5" customWidth="1"/>
    <col min="7" max="7" width="11.109375" customWidth="1"/>
    <col min="8" max="8" width="11" style="125" customWidth="1"/>
    <col min="9" max="9" width="11.5546875" customWidth="1"/>
    <col min="10" max="10" width="13.109375" style="125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24" t="s">
        <v>13</v>
      </c>
      <c r="G270" s="4" t="str">
        <f>'Gas Water'!M273</f>
        <v/>
      </c>
      <c r="H270" s="124">
        <v>20</v>
      </c>
      <c r="I270" s="2" t="str">
        <f>'Gas Water'!L273</f>
        <v/>
      </c>
      <c r="J270" s="124" t="s">
        <v>14</v>
      </c>
      <c r="K270" s="5"/>
      <c r="L270" s="5"/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24" t="s">
        <v>13</v>
      </c>
      <c r="G271" s="4" t="str">
        <f>'Gas Water'!M274</f>
        <v/>
      </c>
      <c r="H271" s="124">
        <v>20</v>
      </c>
      <c r="I271" s="2" t="str">
        <f>'Gas Water'!L274</f>
        <v/>
      </c>
      <c r="J271" s="124" t="s">
        <v>14</v>
      </c>
      <c r="K271" s="5"/>
      <c r="L271" s="5"/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24" t="s">
        <v>13</v>
      </c>
      <c r="G272" s="4" t="str">
        <f>'Gas Water'!M275</f>
        <v/>
      </c>
      <c r="H272" s="124">
        <v>20</v>
      </c>
      <c r="I272" s="2" t="str">
        <f>'Gas Water'!L275</f>
        <v/>
      </c>
      <c r="J272" s="124" t="s">
        <v>14</v>
      </c>
      <c r="K272" s="5"/>
      <c r="L272" s="5"/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24" t="s">
        <v>13</v>
      </c>
      <c r="G273" s="4" t="str">
        <f>'Gas Water'!M276</f>
        <v/>
      </c>
      <c r="H273" s="124">
        <v>20</v>
      </c>
      <c r="I273" s="2" t="str">
        <f>'Gas Water'!L276</f>
        <v/>
      </c>
      <c r="J273" s="124" t="s">
        <v>14</v>
      </c>
      <c r="K273" s="5"/>
      <c r="L273" s="5"/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24" t="s">
        <v>13</v>
      </c>
      <c r="G274" s="4" t="str">
        <f>'Gas Water'!M277</f>
        <v/>
      </c>
      <c r="H274" s="124">
        <v>20</v>
      </c>
      <c r="I274" s="2" t="str">
        <f>'Gas Water'!L277</f>
        <v/>
      </c>
      <c r="J274" s="124" t="s">
        <v>14</v>
      </c>
      <c r="K274" s="5"/>
      <c r="L274" s="5"/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24" t="s">
        <v>13</v>
      </c>
      <c r="G275" s="4" t="str">
        <f>'Gas Water'!M278</f>
        <v/>
      </c>
      <c r="H275" s="124">
        <v>20</v>
      </c>
      <c r="I275" s="2" t="str">
        <f>'Gas Water'!L278</f>
        <v/>
      </c>
      <c r="J275" s="124" t="s">
        <v>14</v>
      </c>
      <c r="K275" s="5"/>
      <c r="L275" s="5"/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24" t="s">
        <v>13</v>
      </c>
      <c r="G276" s="4" t="str">
        <f>'Gas Water'!M279</f>
        <v/>
      </c>
      <c r="H276" s="124">
        <v>20</v>
      </c>
      <c r="I276" s="2" t="str">
        <f>'Gas Water'!L279</f>
        <v/>
      </c>
      <c r="J276" s="124" t="s">
        <v>14</v>
      </c>
      <c r="K276" s="5"/>
      <c r="L276" s="5"/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24" t="s">
        <v>13</v>
      </c>
      <c r="G277" s="4" t="str">
        <f>'Gas Water'!M280</f>
        <v/>
      </c>
      <c r="H277" s="124">
        <v>20</v>
      </c>
      <c r="I277" s="2" t="str">
        <f>'Gas Water'!L280</f>
        <v/>
      </c>
      <c r="J277" s="124" t="s">
        <v>14</v>
      </c>
      <c r="K277" s="5"/>
      <c r="L277" s="5"/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24" t="s">
        <v>13</v>
      </c>
      <c r="G278" s="4" t="str">
        <f>'Gas Water'!M281</f>
        <v/>
      </c>
      <c r="H278" s="124">
        <v>20</v>
      </c>
      <c r="I278" s="2" t="str">
        <f>'Gas Water'!L281</f>
        <v/>
      </c>
      <c r="J278" s="124" t="s">
        <v>14</v>
      </c>
      <c r="K278" s="5"/>
      <c r="L278" s="5"/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24" t="s">
        <v>13</v>
      </c>
      <c r="G279" s="4" t="str">
        <f>'Gas Water'!M282</f>
        <v/>
      </c>
      <c r="H279" s="124">
        <v>20</v>
      </c>
      <c r="I279" s="2" t="str">
        <f>'Gas Water'!L282</f>
        <v/>
      </c>
      <c r="J279" s="124" t="s">
        <v>14</v>
      </c>
      <c r="K279" s="5"/>
      <c r="L279" s="5"/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24" t="s">
        <v>13</v>
      </c>
      <c r="G280" s="4" t="str">
        <f>'Gas Water'!M283</f>
        <v/>
      </c>
      <c r="H280" s="124">
        <v>20</v>
      </c>
      <c r="I280" s="2" t="str">
        <f>'Gas Water'!L283</f>
        <v/>
      </c>
      <c r="J280" s="124" t="s">
        <v>14</v>
      </c>
      <c r="K280" s="5"/>
      <c r="L280" s="5"/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24" t="s">
        <v>13</v>
      </c>
      <c r="G281" s="4" t="str">
        <f>'Gas Water'!M284</f>
        <v/>
      </c>
      <c r="H281" s="124">
        <v>20</v>
      </c>
      <c r="I281" s="2" t="str">
        <f>'Gas Water'!L284</f>
        <v/>
      </c>
      <c r="J281" s="124" t="s">
        <v>14</v>
      </c>
      <c r="K281" s="5"/>
      <c r="L281" s="5"/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24" t="s">
        <v>13</v>
      </c>
      <c r="G282" s="4" t="str">
        <f>'Gas Water'!M285</f>
        <v/>
      </c>
      <c r="H282" s="124">
        <v>20</v>
      </c>
      <c r="I282" s="2" t="str">
        <f>'Gas Water'!L285</f>
        <v/>
      </c>
      <c r="J282" s="124" t="s">
        <v>14</v>
      </c>
      <c r="K282" s="5"/>
      <c r="L282" s="5"/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24" t="s">
        <v>13</v>
      </c>
      <c r="G283" s="4" t="str">
        <f>'Gas Water'!M286</f>
        <v/>
      </c>
      <c r="H283" s="124">
        <v>20</v>
      </c>
      <c r="I283" s="2" t="str">
        <f>'Gas Water'!L286</f>
        <v/>
      </c>
      <c r="J283" s="124" t="s">
        <v>14</v>
      </c>
      <c r="K283" s="5"/>
      <c r="L283" s="5"/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24" t="s">
        <v>13</v>
      </c>
      <c r="G284" s="4" t="str">
        <f>'Gas Water'!M287</f>
        <v/>
      </c>
      <c r="H284" s="124">
        <v>20</v>
      </c>
      <c r="I284" s="2" t="str">
        <f>'Gas Water'!L287</f>
        <v/>
      </c>
      <c r="J284" s="124" t="s">
        <v>14</v>
      </c>
      <c r="K284" s="5"/>
      <c r="L284" s="5"/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 t="s">
        <v>13</v>
      </c>
      <c r="G285" s="4" t="str">
        <f>'Gas Water'!M288</f>
        <v/>
      </c>
      <c r="H285" s="124">
        <v>20</v>
      </c>
      <c r="I285" s="2" t="str">
        <f>'Gas Water'!L288</f>
        <v/>
      </c>
      <c r="J285" s="124" t="s">
        <v>14</v>
      </c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 t="s">
        <v>13</v>
      </c>
      <c r="G286" s="4" t="str">
        <f>'Gas Water'!M289</f>
        <v/>
      </c>
      <c r="H286" s="124">
        <v>20</v>
      </c>
      <c r="I286" s="2" t="str">
        <f>'Gas Water'!L289</f>
        <v/>
      </c>
      <c r="J286" s="124" t="s">
        <v>14</v>
      </c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 t="s">
        <v>13</v>
      </c>
      <c r="G287" s="4" t="str">
        <f>'Gas Water'!M290</f>
        <v/>
      </c>
      <c r="H287" s="124">
        <v>20</v>
      </c>
      <c r="I287" s="2" t="str">
        <f>'Gas Water'!L290</f>
        <v/>
      </c>
      <c r="J287" s="124" t="s">
        <v>14</v>
      </c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 t="s">
        <v>13</v>
      </c>
      <c r="G288" s="4" t="str">
        <f>'Gas Water'!M291</f>
        <v/>
      </c>
      <c r="H288" s="124">
        <v>20</v>
      </c>
      <c r="I288" s="2" t="str">
        <f>'Gas Water'!L291</f>
        <v/>
      </c>
      <c r="J288" s="124" t="s">
        <v>14</v>
      </c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 t="s">
        <v>13</v>
      </c>
      <c r="G289" s="4" t="str">
        <f>'Gas Water'!M292</f>
        <v/>
      </c>
      <c r="H289" s="124">
        <v>20</v>
      </c>
      <c r="I289" s="2" t="str">
        <f>'Gas Water'!L292</f>
        <v/>
      </c>
      <c r="J289" s="124" t="s">
        <v>14</v>
      </c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 t="s">
        <v>13</v>
      </c>
      <c r="G290" s="4" t="str">
        <f>'Gas Water'!M293</f>
        <v/>
      </c>
      <c r="H290" s="124">
        <v>20</v>
      </c>
      <c r="I290" s="2" t="str">
        <f>'Gas Water'!L293</f>
        <v/>
      </c>
      <c r="J290" s="124" t="s">
        <v>14</v>
      </c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 t="s">
        <v>13</v>
      </c>
      <c r="G291" s="4" t="str">
        <f>'Gas Water'!M294</f>
        <v/>
      </c>
      <c r="H291" s="124">
        <v>20</v>
      </c>
      <c r="I291" s="2" t="str">
        <f>'Gas Water'!L294</f>
        <v/>
      </c>
      <c r="J291" s="124" t="s">
        <v>14</v>
      </c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 t="s">
        <v>13</v>
      </c>
      <c r="G292" s="4" t="str">
        <f>'Gas Water'!M295</f>
        <v/>
      </c>
      <c r="H292" s="124">
        <v>20</v>
      </c>
      <c r="I292" s="2" t="str">
        <f>'Gas Water'!L295</f>
        <v/>
      </c>
      <c r="J292" s="124" t="s">
        <v>14</v>
      </c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 t="s">
        <v>13</v>
      </c>
      <c r="G293" s="4" t="str">
        <f>'Gas Water'!M296</f>
        <v/>
      </c>
      <c r="H293" s="124">
        <v>20</v>
      </c>
      <c r="I293" s="2" t="str">
        <f>'Gas Water'!L296</f>
        <v/>
      </c>
      <c r="J293" s="124" t="s">
        <v>14</v>
      </c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44" workbookViewId="0">
      <selection activeCell="L274" sqref="L274"/>
    </sheetView>
  </sheetViews>
  <sheetFormatPr defaultColWidth="9.109375" defaultRowHeight="14.4" x14ac:dyDescent="0.3"/>
  <cols>
    <col min="1" max="1" width="10.88671875" style="122" customWidth="1"/>
    <col min="2" max="2" width="0.109375" style="1" customWidth="1"/>
    <col min="3" max="3" width="4.44140625" style="1" hidden="1" customWidth="1"/>
    <col min="4" max="4" width="13.5546875" style="121" customWidth="1"/>
    <col min="5" max="5" width="11.5546875" style="121" customWidth="1"/>
    <col min="6" max="6" width="9.6640625" style="121" customWidth="1"/>
    <col min="7" max="7" width="11.33203125" style="59" hidden="1" customWidth="1"/>
    <col min="8" max="8" width="11.33203125" style="59" customWidth="1"/>
    <col min="9" max="9" width="11.6640625" style="59" customWidth="1"/>
    <col min="10" max="10" width="12" style="59" customWidth="1"/>
    <col min="11" max="11" width="10.44140625" style="59" customWidth="1"/>
    <col min="12" max="12" width="12.6640625" style="59" bestFit="1" customWidth="1"/>
    <col min="13" max="13" width="10.6640625" style="59" bestFit="1" customWidth="1"/>
    <col min="14" max="14" width="14.109375" style="59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 x14ac:dyDescent="0.3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 x14ac:dyDescent="0.3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 x14ac:dyDescent="0.3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 x14ac:dyDescent="0.3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 x14ac:dyDescent="0.3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 x14ac:dyDescent="0.3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 x14ac:dyDescent="0.3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 x14ac:dyDescent="0.3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 x14ac:dyDescent="0.3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 x14ac:dyDescent="0.3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 x14ac:dyDescent="0.3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 x14ac:dyDescent="0.3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 x14ac:dyDescent="0.3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 x14ac:dyDescent="0.3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 x14ac:dyDescent="0.3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 x14ac:dyDescent="0.3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 x14ac:dyDescent="0.3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 x14ac:dyDescent="0.35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 x14ac:dyDescent="0.35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 x14ac:dyDescent="0.35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 x14ac:dyDescent="0.35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 x14ac:dyDescent="0.35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 x14ac:dyDescent="0.35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 x14ac:dyDescent="0.35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 x14ac:dyDescent="0.35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 x14ac:dyDescent="0.35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 x14ac:dyDescent="0.35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 x14ac:dyDescent="0.35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 x14ac:dyDescent="0.35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 x14ac:dyDescent="0.35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 x14ac:dyDescent="0.35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 x14ac:dyDescent="0.35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 x14ac:dyDescent="0.35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 x14ac:dyDescent="0.35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 x14ac:dyDescent="0.35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 x14ac:dyDescent="0.35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 x14ac:dyDescent="0.35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 x14ac:dyDescent="0.35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 x14ac:dyDescent="0.35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 x14ac:dyDescent="0.35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 x14ac:dyDescent="0.35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 x14ac:dyDescent="0.35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 x14ac:dyDescent="0.35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 x14ac:dyDescent="0.35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 x14ac:dyDescent="0.35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 x14ac:dyDescent="0.35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 x14ac:dyDescent="0.35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 x14ac:dyDescent="0.35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 x14ac:dyDescent="0.35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 x14ac:dyDescent="0.35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 x14ac:dyDescent="0.35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 x14ac:dyDescent="0.35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 x14ac:dyDescent="0.35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 x14ac:dyDescent="0.35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 x14ac:dyDescent="0.35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 x14ac:dyDescent="0.35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 x14ac:dyDescent="0.35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 x14ac:dyDescent="0.35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 x14ac:dyDescent="0.35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 x14ac:dyDescent="0.35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 x14ac:dyDescent="0.35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 x14ac:dyDescent="0.35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 x14ac:dyDescent="0.35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 x14ac:dyDescent="0.35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 x14ac:dyDescent="0.35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 x14ac:dyDescent="0.35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 x14ac:dyDescent="0.35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 x14ac:dyDescent="0.35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 x14ac:dyDescent="0.35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 x14ac:dyDescent="0.35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 x14ac:dyDescent="0.35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 x14ac:dyDescent="0.35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 x14ac:dyDescent="0.35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 x14ac:dyDescent="0.35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 x14ac:dyDescent="0.35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 x14ac:dyDescent="0.35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 x14ac:dyDescent="0.35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 x14ac:dyDescent="0.35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 x14ac:dyDescent="0.35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 x14ac:dyDescent="0.35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 x14ac:dyDescent="0.35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 x14ac:dyDescent="0.35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 x14ac:dyDescent="0.35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 x14ac:dyDescent="0.35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 x14ac:dyDescent="0.35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 x14ac:dyDescent="0.35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 x14ac:dyDescent="0.35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 x14ac:dyDescent="0.35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 x14ac:dyDescent="0.35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 x14ac:dyDescent="0.35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 x14ac:dyDescent="0.35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 x14ac:dyDescent="0.35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 x14ac:dyDescent="0.35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 x14ac:dyDescent="0.35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 x14ac:dyDescent="0.35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 x14ac:dyDescent="0.35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 x14ac:dyDescent="0.35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 x14ac:dyDescent="0.35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 x14ac:dyDescent="0.35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 x14ac:dyDescent="0.35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 x14ac:dyDescent="0.35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 x14ac:dyDescent="0.35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 x14ac:dyDescent="0.35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 x14ac:dyDescent="0.35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 x14ac:dyDescent="0.35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 x14ac:dyDescent="0.35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 x14ac:dyDescent="0.35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 x14ac:dyDescent="0.35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 x14ac:dyDescent="0.35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 x14ac:dyDescent="0.35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 x14ac:dyDescent="0.35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 x14ac:dyDescent="0.35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 x14ac:dyDescent="0.35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 x14ac:dyDescent="0.35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 x14ac:dyDescent="0.35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 x14ac:dyDescent="0.35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 x14ac:dyDescent="0.35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 x14ac:dyDescent="0.35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 x14ac:dyDescent="0.35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 x14ac:dyDescent="0.35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 x14ac:dyDescent="0.3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 x14ac:dyDescent="0.35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 x14ac:dyDescent="0.35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 x14ac:dyDescent="0.35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 x14ac:dyDescent="0.35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 x14ac:dyDescent="0.35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 x14ac:dyDescent="0.35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 x14ac:dyDescent="0.35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 x14ac:dyDescent="0.35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 x14ac:dyDescent="0.35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 x14ac:dyDescent="0.35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 x14ac:dyDescent="0.35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 x14ac:dyDescent="0.35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 x14ac:dyDescent="0.35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 x14ac:dyDescent="0.35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 x14ac:dyDescent="0.35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 x14ac:dyDescent="0.35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 x14ac:dyDescent="0.35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 x14ac:dyDescent="0.35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 x14ac:dyDescent="0.35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 x14ac:dyDescent="0.35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 x14ac:dyDescent="0.35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 x14ac:dyDescent="0.35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 x14ac:dyDescent="0.35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 x14ac:dyDescent="0.35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 x14ac:dyDescent="0.35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 x14ac:dyDescent="0.35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 x14ac:dyDescent="0.35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 x14ac:dyDescent="0.35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 x14ac:dyDescent="0.35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 x14ac:dyDescent="0.35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 x14ac:dyDescent="0.35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 x14ac:dyDescent="0.35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 x14ac:dyDescent="0.35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 x14ac:dyDescent="0.35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 x14ac:dyDescent="0.35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 x14ac:dyDescent="0.35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 x14ac:dyDescent="0.35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 x14ac:dyDescent="0.35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 x14ac:dyDescent="0.35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 x14ac:dyDescent="0.35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 x14ac:dyDescent="0.35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 x14ac:dyDescent="0.35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 x14ac:dyDescent="0.35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 x14ac:dyDescent="0.35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 x14ac:dyDescent="0.35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 x14ac:dyDescent="0.35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 x14ac:dyDescent="0.35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 x14ac:dyDescent="0.35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 x14ac:dyDescent="0.35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 x14ac:dyDescent="0.35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 x14ac:dyDescent="0.35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 x14ac:dyDescent="0.35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 x14ac:dyDescent="0.35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 x14ac:dyDescent="0.35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 x14ac:dyDescent="0.3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 x14ac:dyDescent="0.3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 x14ac:dyDescent="0.3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 x14ac:dyDescent="0.3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 x14ac:dyDescent="0.3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 x14ac:dyDescent="0.3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 x14ac:dyDescent="0.3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 x14ac:dyDescent="0.3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 x14ac:dyDescent="0.3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 x14ac:dyDescent="0.3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 x14ac:dyDescent="0.3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 x14ac:dyDescent="0.3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 x14ac:dyDescent="0.3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 x14ac:dyDescent="0.3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 x14ac:dyDescent="0.3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 x14ac:dyDescent="0.3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 x14ac:dyDescent="0.3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 x14ac:dyDescent="0.3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 x14ac:dyDescent="0.3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 x14ac:dyDescent="0.3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 x14ac:dyDescent="0.3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 x14ac:dyDescent="0.3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 x14ac:dyDescent="0.3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 x14ac:dyDescent="0.3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 x14ac:dyDescent="0.3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 x14ac:dyDescent="0.3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 x14ac:dyDescent="0.3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 x14ac:dyDescent="0.3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 x14ac:dyDescent="0.3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 x14ac:dyDescent="0.3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 x14ac:dyDescent="0.3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 x14ac:dyDescent="0.3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 x14ac:dyDescent="0.3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 x14ac:dyDescent="0.3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 x14ac:dyDescent="0.3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 x14ac:dyDescent="0.3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 x14ac:dyDescent="0.3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 x14ac:dyDescent="0.3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 x14ac:dyDescent="0.3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 x14ac:dyDescent="0.3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 x14ac:dyDescent="0.3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 x14ac:dyDescent="0.3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 x14ac:dyDescent="0.3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 x14ac:dyDescent="0.3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 x14ac:dyDescent="0.3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 x14ac:dyDescent="0.3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 x14ac:dyDescent="0.3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 x14ac:dyDescent="0.3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 x14ac:dyDescent="0.3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 x14ac:dyDescent="0.3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 x14ac:dyDescent="0.3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 x14ac:dyDescent="0.3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 x14ac:dyDescent="0.3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 x14ac:dyDescent="0.3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 x14ac:dyDescent="0.3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 x14ac:dyDescent="0.3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 x14ac:dyDescent="0.3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 x14ac:dyDescent="0.3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 x14ac:dyDescent="0.3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 x14ac:dyDescent="0.3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 x14ac:dyDescent="0.3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 x14ac:dyDescent="0.3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 x14ac:dyDescent="0.3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 x14ac:dyDescent="0.3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 x14ac:dyDescent="0.3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 x14ac:dyDescent="0.3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 x14ac:dyDescent="0.3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 x14ac:dyDescent="0.3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 x14ac:dyDescent="0.3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 x14ac:dyDescent="0.3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 x14ac:dyDescent="0.3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 x14ac:dyDescent="0.3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 x14ac:dyDescent="0.3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 x14ac:dyDescent="0.3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 x14ac:dyDescent="0.3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 x14ac:dyDescent="0.3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 x14ac:dyDescent="0.3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 x14ac:dyDescent="0.3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 x14ac:dyDescent="0.3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 x14ac:dyDescent="0.3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 x14ac:dyDescent="0.3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 x14ac:dyDescent="0.3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 x14ac:dyDescent="0.3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 x14ac:dyDescent="0.3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 x14ac:dyDescent="0.3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 x14ac:dyDescent="0.3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 x14ac:dyDescent="0.3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 x14ac:dyDescent="0.3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 x14ac:dyDescent="0.3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 x14ac:dyDescent="0.3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5.0436121422466777E-2</v>
      </c>
      <c r="Q267" s="63">
        <f>IF(L247="",0,+SUM(L247:L276)/SUM(I247:I276))</f>
        <v>5.0436121422466777E-2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 x14ac:dyDescent="0.3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#N/A</v>
      </c>
      <c r="Q268" s="64" t="e">
        <f>IF(L247="",0,+(+(LOOKUP(9.99999999999999E+307,F247:F276)-F246))/(+(LOOKUP(9.99999999999999E+307,D247:D276)-D246)))</f>
        <v>#N/A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 x14ac:dyDescent="0.3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 x14ac:dyDescent="0.3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264322</v>
      </c>
      <c r="Q270" s="68">
        <f>IF(P270="",0,+P270/SUM(R247:R276))</f>
        <v>10572.88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 x14ac:dyDescent="0.3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 x14ac:dyDescent="0.3">
      <c r="A272" s="50">
        <v>44830</v>
      </c>
      <c r="D272" s="128"/>
      <c r="E272" s="129"/>
      <c r="F272" s="130"/>
      <c r="G272" s="53"/>
      <c r="H272" s="53">
        <v>4140</v>
      </c>
      <c r="I272" s="53" t="str">
        <f t="shared" si="86"/>
        <v/>
      </c>
      <c r="J272" s="53" t="str">
        <f t="shared" si="87"/>
        <v/>
      </c>
      <c r="K272" s="54" t="str">
        <f t="shared" si="92"/>
        <v/>
      </c>
      <c r="L272" s="53" t="str">
        <f t="shared" si="89"/>
        <v/>
      </c>
      <c r="M272" s="54" t="str">
        <f t="shared" si="93"/>
        <v/>
      </c>
      <c r="N272" s="55"/>
      <c r="O272" s="55" t="str">
        <f t="shared" si="90"/>
        <v/>
      </c>
      <c r="P272" s="71" t="e">
        <f>IF(D246="",0,+(LOOKUP(9.99999999999999E+307,D246:D276)-D246))*4140</f>
        <v>#N/A</v>
      </c>
      <c r="Q272" s="72" t="e">
        <f>IF(P272="",0,+P272/SUM(R247:R276))</f>
        <v>#N/A</v>
      </c>
      <c r="R272" s="19">
        <f t="shared" si="88"/>
        <v>0</v>
      </c>
      <c r="S272" s="19">
        <f t="shared" si="91"/>
        <v>1</v>
      </c>
      <c r="T272" s="144"/>
    </row>
    <row r="273" spans="1:23" ht="12.75" customHeight="1" x14ac:dyDescent="0.3">
      <c r="A273" s="50">
        <v>44831</v>
      </c>
      <c r="D273" s="128"/>
      <c r="E273" s="129"/>
      <c r="F273" s="130"/>
      <c r="G273" s="53"/>
      <c r="H273" s="53">
        <v>4140</v>
      </c>
      <c r="I273" s="53" t="str">
        <f t="shared" si="86"/>
        <v/>
      </c>
      <c r="J273" s="53" t="str">
        <f t="shared" si="87"/>
        <v/>
      </c>
      <c r="K273" s="54" t="str">
        <f t="shared" si="92"/>
        <v/>
      </c>
      <c r="L273" s="53" t="str">
        <f t="shared" si="89"/>
        <v/>
      </c>
      <c r="M273" s="54" t="str">
        <f t="shared" si="93"/>
        <v/>
      </c>
      <c r="N273" s="55"/>
      <c r="O273" s="55" t="str">
        <f t="shared" si="90"/>
        <v/>
      </c>
      <c r="P273" s="146" t="s">
        <v>37</v>
      </c>
      <c r="Q273" s="147" t="s">
        <v>44</v>
      </c>
      <c r="R273" s="19">
        <f t="shared" si="88"/>
        <v>0</v>
      </c>
      <c r="S273" s="19">
        <f t="shared" si="91"/>
        <v>1</v>
      </c>
      <c r="T273" s="144"/>
    </row>
    <row r="274" spans="1:23" ht="12.75" customHeight="1" x14ac:dyDescent="0.3">
      <c r="A274" s="50">
        <v>44832</v>
      </c>
      <c r="D274" s="128"/>
      <c r="E274" s="129"/>
      <c r="F274" s="130"/>
      <c r="G274" s="53"/>
      <c r="H274" s="53">
        <v>4140</v>
      </c>
      <c r="I274" s="53" t="str">
        <f t="shared" si="86"/>
        <v/>
      </c>
      <c r="J274" s="53" t="str">
        <f t="shared" si="87"/>
        <v/>
      </c>
      <c r="K274" s="54" t="str">
        <f t="shared" si="92"/>
        <v/>
      </c>
      <c r="L274" s="53" t="str">
        <f t="shared" si="89"/>
        <v/>
      </c>
      <c r="M274" s="54" t="str">
        <f t="shared" si="93"/>
        <v/>
      </c>
      <c r="N274" s="55"/>
      <c r="O274" s="55" t="str">
        <f t="shared" si="90"/>
        <v/>
      </c>
      <c r="P274" s="73" t="e">
        <f>P272*Q277</f>
        <v>#N/A</v>
      </c>
      <c r="Q274" s="74">
        <f>IF(Q34="",0,(SUM('[1]Günlük Tüketim'!H247:H276)*1.62)/SUM(O247:O276))</f>
        <v>0</v>
      </c>
      <c r="R274" s="19">
        <f t="shared" si="88"/>
        <v>0</v>
      </c>
      <c r="S274" s="19">
        <f t="shared" si="91"/>
        <v>1</v>
      </c>
      <c r="T274" s="144"/>
    </row>
    <row r="275" spans="1:23" ht="12.75" customHeight="1" x14ac:dyDescent="0.3">
      <c r="A275" s="50">
        <v>44833</v>
      </c>
      <c r="D275" s="128"/>
      <c r="E275" s="129"/>
      <c r="F275" s="130"/>
      <c r="G275" s="53"/>
      <c r="H275" s="53">
        <v>4140</v>
      </c>
      <c r="I275" s="53" t="str">
        <f t="shared" si="86"/>
        <v/>
      </c>
      <c r="J275" s="53" t="str">
        <f t="shared" si="87"/>
        <v/>
      </c>
      <c r="K275" s="54" t="str">
        <f t="shared" si="92"/>
        <v/>
      </c>
      <c r="L275" s="53" t="str">
        <f t="shared" si="89"/>
        <v/>
      </c>
      <c r="M275" s="54" t="str">
        <f t="shared" si="93"/>
        <v/>
      </c>
      <c r="N275" s="55"/>
      <c r="O275" s="55" t="str">
        <f t="shared" si="90"/>
        <v/>
      </c>
      <c r="P275" s="148" t="s">
        <v>39</v>
      </c>
      <c r="Q275" s="149" t="s">
        <v>40</v>
      </c>
      <c r="R275" s="19">
        <f t="shared" si="88"/>
        <v>0</v>
      </c>
      <c r="S275" s="19">
        <f t="shared" si="91"/>
        <v>1</v>
      </c>
      <c r="T275" s="144"/>
    </row>
    <row r="276" spans="1:23" ht="12.75" customHeight="1" x14ac:dyDescent="0.3">
      <c r="A276" s="50">
        <v>44834</v>
      </c>
      <c r="D276" s="153"/>
      <c r="E276" s="153"/>
      <c r="F276" s="153"/>
      <c r="G276" s="154"/>
      <c r="H276" s="155">
        <v>4140</v>
      </c>
      <c r="I276" s="155" t="str">
        <f t="shared" si="86"/>
        <v/>
      </c>
      <c r="J276" s="155" t="str">
        <f t="shared" si="87"/>
        <v/>
      </c>
      <c r="K276" s="156" t="str">
        <f t="shared" si="92"/>
        <v/>
      </c>
      <c r="L276" s="155" t="str">
        <f t="shared" si="89"/>
        <v/>
      </c>
      <c r="M276" s="156" t="str">
        <f t="shared" si="93"/>
        <v/>
      </c>
      <c r="N276" s="157"/>
      <c r="O276" s="161" t="str">
        <f t="shared" si="90"/>
        <v/>
      </c>
      <c r="P276" s="111" t="e">
        <f>(P274+Q272*SUM(S247:S276)*Q277)</f>
        <v>#N/A</v>
      </c>
      <c r="Q276" s="79" t="e">
        <f>Q272*30</f>
        <v>#N/A</v>
      </c>
      <c r="R276" s="19">
        <f t="shared" si="88"/>
        <v>0</v>
      </c>
      <c r="S276" s="19">
        <f t="shared" si="91"/>
        <v>1</v>
      </c>
      <c r="T276" s="144"/>
    </row>
    <row r="277" spans="1:23" x14ac:dyDescent="0.3">
      <c r="A277" s="50">
        <v>44835</v>
      </c>
      <c r="D277" s="128"/>
      <c r="E277" s="129"/>
      <c r="F277" s="130"/>
      <c r="G277" s="53"/>
      <c r="H277" s="53">
        <v>4140</v>
      </c>
      <c r="I277" s="53" t="str">
        <f t="shared" si="86"/>
        <v/>
      </c>
      <c r="J277" s="53" t="str">
        <f t="shared" si="87"/>
        <v/>
      </c>
      <c r="K277" s="54" t="str">
        <f t="shared" si="92"/>
        <v/>
      </c>
      <c r="L277" s="53" t="str">
        <f t="shared" si="89"/>
        <v/>
      </c>
      <c r="M277" s="54" t="str">
        <f t="shared" si="93"/>
        <v/>
      </c>
      <c r="N277" s="55"/>
      <c r="O277" s="55" t="str">
        <f t="shared" si="90"/>
        <v/>
      </c>
      <c r="P277" s="80" t="s">
        <v>41</v>
      </c>
      <c r="Q277" s="81">
        <v>0.56999999999999995</v>
      </c>
      <c r="R277" s="19">
        <f t="shared" si="88"/>
        <v>0</v>
      </c>
      <c r="S277" s="19">
        <f t="shared" si="91"/>
        <v>1</v>
      </c>
      <c r="T277" s="144"/>
    </row>
    <row r="278" spans="1:23" x14ac:dyDescent="0.3">
      <c r="A278" s="50">
        <v>44836</v>
      </c>
      <c r="D278" s="128"/>
      <c r="E278" s="129"/>
      <c r="F278" s="130"/>
      <c r="G278" s="53"/>
      <c r="H278" s="53">
        <v>4140</v>
      </c>
      <c r="I278" s="53" t="str">
        <f t="shared" si="86"/>
        <v/>
      </c>
      <c r="J278" s="53" t="str">
        <f t="shared" si="87"/>
        <v/>
      </c>
      <c r="K278" s="54" t="str">
        <f t="shared" si="92"/>
        <v/>
      </c>
      <c r="L278" s="53" t="str">
        <f t="shared" si="89"/>
        <v/>
      </c>
      <c r="M278" s="54" t="str">
        <f t="shared" si="93"/>
        <v/>
      </c>
      <c r="N278" s="55"/>
      <c r="O278" s="55" t="str">
        <f t="shared" si="90"/>
        <v/>
      </c>
      <c r="P278" s="56"/>
      <c r="Q278" s="88"/>
      <c r="R278" s="19">
        <f t="shared" si="88"/>
        <v>0</v>
      </c>
      <c r="S278" s="19">
        <f t="shared" si="91"/>
        <v>1</v>
      </c>
      <c r="T278" s="144"/>
      <c r="W278" s="1" t="s">
        <v>53</v>
      </c>
    </row>
    <row r="279" spans="1:23" x14ac:dyDescent="0.3">
      <c r="A279" s="50">
        <v>44837</v>
      </c>
      <c r="D279" s="128"/>
      <c r="E279" s="129"/>
      <c r="F279" s="130"/>
      <c r="G279" s="53"/>
      <c r="H279" s="53">
        <v>4140</v>
      </c>
      <c r="I279" s="53" t="str">
        <f t="shared" si="86"/>
        <v/>
      </c>
      <c r="J279" s="53" t="str">
        <f t="shared" si="87"/>
        <v/>
      </c>
      <c r="K279" s="54" t="str">
        <f t="shared" si="92"/>
        <v/>
      </c>
      <c r="L279" s="53" t="str">
        <f t="shared" si="89"/>
        <v/>
      </c>
      <c r="M279" s="54" t="str">
        <f t="shared" si="93"/>
        <v/>
      </c>
      <c r="N279" s="55"/>
      <c r="O279" s="55" t="str">
        <f t="shared" si="90"/>
        <v/>
      </c>
      <c r="P279" s="84"/>
      <c r="Q279" s="85"/>
      <c r="R279" s="19">
        <f t="shared" si="88"/>
        <v>0</v>
      </c>
      <c r="S279" s="19">
        <f t="shared" si="91"/>
        <v>1</v>
      </c>
      <c r="T279" s="145"/>
    </row>
    <row r="280" spans="1:23" x14ac:dyDescent="0.3">
      <c r="A280" s="50">
        <v>44838</v>
      </c>
      <c r="D280" s="128"/>
      <c r="E280" s="129"/>
      <c r="F280" s="130"/>
      <c r="G280" s="53"/>
      <c r="H280" s="53">
        <v>4140</v>
      </c>
      <c r="I280" s="53" t="str">
        <f t="shared" si="86"/>
        <v/>
      </c>
      <c r="J280" s="53" t="str">
        <f t="shared" si="87"/>
        <v/>
      </c>
      <c r="K280" s="54" t="str">
        <f t="shared" si="92"/>
        <v/>
      </c>
      <c r="L280" s="53" t="str">
        <f t="shared" si="89"/>
        <v/>
      </c>
      <c r="M280" s="54" t="str">
        <f t="shared" si="93"/>
        <v/>
      </c>
      <c r="N280" s="55"/>
      <c r="O280" s="55" t="str">
        <f t="shared" si="90"/>
        <v/>
      </c>
      <c r="P280" s="86"/>
      <c r="Q280" s="87"/>
      <c r="R280" s="19">
        <f t="shared" si="88"/>
        <v>0</v>
      </c>
      <c r="S280" s="19">
        <f t="shared" si="91"/>
        <v>1</v>
      </c>
      <c r="T280" s="145"/>
    </row>
    <row r="281" spans="1:23" x14ac:dyDescent="0.3">
      <c r="A281" s="50">
        <v>44839</v>
      </c>
      <c r="D281" s="128"/>
      <c r="E281" s="129"/>
      <c r="F281" s="130"/>
      <c r="G281" s="53"/>
      <c r="H281" s="53">
        <v>4140</v>
      </c>
      <c r="I281" s="53" t="str">
        <f t="shared" si="86"/>
        <v/>
      </c>
      <c r="J281" s="53" t="str">
        <f t="shared" si="87"/>
        <v/>
      </c>
      <c r="K281" s="54" t="str">
        <f t="shared" si="92"/>
        <v/>
      </c>
      <c r="L281" s="53" t="str">
        <f t="shared" si="89"/>
        <v/>
      </c>
      <c r="M281" s="54" t="str">
        <f t="shared" si="93"/>
        <v/>
      </c>
      <c r="N281" s="55"/>
      <c r="O281" s="55" t="str">
        <f t="shared" si="90"/>
        <v/>
      </c>
      <c r="P281" s="86"/>
      <c r="Q281" s="85"/>
      <c r="R281" s="19">
        <f t="shared" si="88"/>
        <v>0</v>
      </c>
      <c r="S281" s="19">
        <f t="shared" si="91"/>
        <v>1</v>
      </c>
      <c r="T281" s="144"/>
    </row>
    <row r="282" spans="1:23" x14ac:dyDescent="0.3">
      <c r="A282" s="50">
        <v>44840</v>
      </c>
      <c r="D282" s="128"/>
      <c r="E282" s="129"/>
      <c r="F282" s="130"/>
      <c r="G282" s="53"/>
      <c r="H282" s="53">
        <v>4140</v>
      </c>
      <c r="I282" s="53" t="str">
        <f t="shared" si="86"/>
        <v/>
      </c>
      <c r="J282" s="53" t="str">
        <f t="shared" si="87"/>
        <v/>
      </c>
      <c r="K282" s="54" t="str">
        <f t="shared" si="92"/>
        <v/>
      </c>
      <c r="L282" s="53" t="str">
        <f t="shared" si="89"/>
        <v/>
      </c>
      <c r="M282" s="54" t="str">
        <f t="shared" si="93"/>
        <v/>
      </c>
      <c r="N282" s="55"/>
      <c r="O282" s="55" t="str">
        <f t="shared" si="90"/>
        <v/>
      </c>
      <c r="P282" s="56"/>
      <c r="Q282" s="57"/>
      <c r="R282" s="19">
        <f t="shared" si="88"/>
        <v>0</v>
      </c>
      <c r="S282" s="19">
        <f t="shared" si="91"/>
        <v>1</v>
      </c>
      <c r="T282" s="144"/>
    </row>
    <row r="283" spans="1:23" x14ac:dyDescent="0.3">
      <c r="A283" s="50">
        <v>44841</v>
      </c>
      <c r="D283" s="128"/>
      <c r="E283" s="129"/>
      <c r="F283" s="130"/>
      <c r="G283" s="53"/>
      <c r="H283" s="53">
        <v>4140</v>
      </c>
      <c r="I283" s="53" t="str">
        <f t="shared" si="86"/>
        <v/>
      </c>
      <c r="J283" s="53" t="str">
        <f t="shared" si="87"/>
        <v/>
      </c>
      <c r="K283" s="54" t="str">
        <f t="shared" si="92"/>
        <v/>
      </c>
      <c r="L283" s="53" t="str">
        <f t="shared" si="89"/>
        <v/>
      </c>
      <c r="M283" s="54" t="str">
        <f t="shared" si="93"/>
        <v/>
      </c>
      <c r="N283" s="55"/>
      <c r="O283" s="55" t="str">
        <f t="shared" si="90"/>
        <v/>
      </c>
      <c r="P283" s="56"/>
      <c r="Q283" s="58"/>
      <c r="R283" s="19">
        <f t="shared" si="88"/>
        <v>0</v>
      </c>
      <c r="S283" s="19">
        <f t="shared" si="91"/>
        <v>1</v>
      </c>
      <c r="T283" s="144"/>
    </row>
    <row r="284" spans="1:23" x14ac:dyDescent="0.3">
      <c r="A284" s="50">
        <v>44842</v>
      </c>
      <c r="D284" s="128"/>
      <c r="E284" s="129"/>
      <c r="F284" s="130"/>
      <c r="G284" s="53"/>
      <c r="H284" s="53">
        <v>4140</v>
      </c>
      <c r="I284" s="53" t="str">
        <f t="shared" si="86"/>
        <v/>
      </c>
      <c r="J284" s="53" t="str">
        <f t="shared" si="87"/>
        <v/>
      </c>
      <c r="K284" s="54" t="str">
        <f t="shared" si="92"/>
        <v/>
      </c>
      <c r="L284" s="53" t="str">
        <f t="shared" si="89"/>
        <v/>
      </c>
      <c r="M284" s="54" t="str">
        <f t="shared" si="93"/>
        <v/>
      </c>
      <c r="N284" s="55"/>
      <c r="O284" s="55" t="str">
        <f t="shared" si="90"/>
        <v/>
      </c>
      <c r="P284" s="56"/>
      <c r="Q284" s="58"/>
      <c r="R284" s="19">
        <f t="shared" si="88"/>
        <v>0</v>
      </c>
      <c r="S284" s="19">
        <f t="shared" si="91"/>
        <v>1</v>
      </c>
      <c r="T284" s="145"/>
    </row>
    <row r="285" spans="1:23" x14ac:dyDescent="0.3">
      <c r="A285" s="50">
        <v>44843</v>
      </c>
      <c r="D285" s="128"/>
      <c r="E285" s="129"/>
      <c r="F285" s="130"/>
      <c r="G285" s="53"/>
      <c r="H285" s="53">
        <v>4140</v>
      </c>
      <c r="I285" s="53" t="str">
        <f t="shared" si="86"/>
        <v/>
      </c>
      <c r="J285" s="53" t="str">
        <f t="shared" si="87"/>
        <v/>
      </c>
      <c r="K285" s="54" t="str">
        <f t="shared" si="92"/>
        <v/>
      </c>
      <c r="L285" s="53" t="str">
        <f t="shared" si="89"/>
        <v/>
      </c>
      <c r="M285" s="54" t="str">
        <f t="shared" si="93"/>
        <v/>
      </c>
      <c r="N285" s="55"/>
      <c r="O285" s="55" t="str">
        <f t="shared" si="90"/>
        <v/>
      </c>
      <c r="P285" s="56"/>
      <c r="Q285" s="58"/>
      <c r="R285" s="19">
        <f t="shared" si="88"/>
        <v>0</v>
      </c>
      <c r="S285" s="19">
        <f t="shared" si="91"/>
        <v>1</v>
      </c>
      <c r="T285" s="145"/>
    </row>
    <row r="286" spans="1:23" x14ac:dyDescent="0.3">
      <c r="A286" s="50">
        <v>44844</v>
      </c>
      <c r="D286" s="128"/>
      <c r="E286" s="129"/>
      <c r="F286" s="130"/>
      <c r="G286" s="53"/>
      <c r="H286" s="53">
        <v>4140</v>
      </c>
      <c r="I286" s="53" t="str">
        <f t="shared" si="86"/>
        <v/>
      </c>
      <c r="J286" s="53" t="str">
        <f t="shared" si="87"/>
        <v/>
      </c>
      <c r="K286" s="54" t="str">
        <f t="shared" si="92"/>
        <v/>
      </c>
      <c r="L286" s="53" t="str">
        <f t="shared" si="89"/>
        <v/>
      </c>
      <c r="M286" s="54" t="str">
        <f t="shared" si="93"/>
        <v/>
      </c>
      <c r="N286" s="55"/>
      <c r="O286" s="55" t="str">
        <f t="shared" si="90"/>
        <v/>
      </c>
      <c r="P286" s="56"/>
      <c r="Q286" s="57"/>
      <c r="R286" s="19">
        <f t="shared" si="88"/>
        <v>0</v>
      </c>
      <c r="S286" s="19">
        <f t="shared" si="91"/>
        <v>1</v>
      </c>
      <c r="T286" s="144"/>
    </row>
    <row r="287" spans="1:23" x14ac:dyDescent="0.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 x14ac:dyDescent="0.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 x14ac:dyDescent="0.3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 x14ac:dyDescent="0.3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 x14ac:dyDescent="0.3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 x14ac:dyDescent="0.3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 x14ac:dyDescent="0.3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 x14ac:dyDescent="0.3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 x14ac:dyDescent="0.3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54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 x14ac:dyDescent="0.3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 x14ac:dyDescent="0.3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 x14ac:dyDescent="0.3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0</v>
      </c>
      <c r="Q298" s="63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45"/>
    </row>
    <row r="299" spans="1:20" x14ac:dyDescent="0.3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>
        <f>IF(J277="",0,+(+(LOOKUP(9.99999999999999E+307,E277:E307)-E276))/(+(LOOKUP(9.99999999999999E+307,D277:D307)-D276)))</f>
        <v>0</v>
      </c>
      <c r="Q299" s="64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45"/>
    </row>
    <row r="300" spans="1:20" x14ac:dyDescent="0.3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 x14ac:dyDescent="0.3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0</v>
      </c>
      <c r="Q301" s="68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45"/>
    </row>
    <row r="302" spans="1:20" x14ac:dyDescent="0.3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 x14ac:dyDescent="0.3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>
        <f>IF(D276="",0,+(LOOKUP(9.99999999999999E+307,D276:D307)-D276))*4140</f>
        <v>0</v>
      </c>
      <c r="Q303" s="72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44"/>
    </row>
    <row r="304" spans="1:20" x14ac:dyDescent="0.3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 x14ac:dyDescent="0.3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>
        <f>P303*Q308</f>
        <v>0</v>
      </c>
      <c r="Q305" s="74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44"/>
    </row>
    <row r="306" spans="1:20" x14ac:dyDescent="0.3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 x14ac:dyDescent="0.3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#DIV/0!</v>
      </c>
      <c r="Q307" s="112" t="e">
        <f>Q303*31</f>
        <v>#DIV/0!</v>
      </c>
      <c r="R307" s="19">
        <f t="shared" si="88"/>
        <v>0</v>
      </c>
      <c r="S307" s="19">
        <f t="shared" si="91"/>
        <v>1</v>
      </c>
      <c r="T307" s="144"/>
    </row>
    <row r="308" spans="1:20" x14ac:dyDescent="0.3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 x14ac:dyDescent="0.3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 x14ac:dyDescent="0.3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 x14ac:dyDescent="0.3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 x14ac:dyDescent="0.3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 x14ac:dyDescent="0.3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 x14ac:dyDescent="0.3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 x14ac:dyDescent="0.3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 x14ac:dyDescent="0.3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 x14ac:dyDescent="0.3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 x14ac:dyDescent="0.3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 x14ac:dyDescent="0.3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 x14ac:dyDescent="0.3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 x14ac:dyDescent="0.3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 x14ac:dyDescent="0.3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 x14ac:dyDescent="0.3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 x14ac:dyDescent="0.3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 x14ac:dyDescent="0.3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 x14ac:dyDescent="0.3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 x14ac:dyDescent="0.3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 x14ac:dyDescent="0.3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 x14ac:dyDescent="0.3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 x14ac:dyDescent="0.3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 x14ac:dyDescent="0.3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 x14ac:dyDescent="0.3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 x14ac:dyDescent="0.3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 x14ac:dyDescent="0.3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 x14ac:dyDescent="0.3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 x14ac:dyDescent="0.3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 x14ac:dyDescent="0.3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 x14ac:dyDescent="0.3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 x14ac:dyDescent="0.3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 x14ac:dyDescent="0.3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 x14ac:dyDescent="0.3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 x14ac:dyDescent="0.3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 x14ac:dyDescent="0.3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 x14ac:dyDescent="0.3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 x14ac:dyDescent="0.3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 x14ac:dyDescent="0.3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 x14ac:dyDescent="0.3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 x14ac:dyDescent="0.3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 x14ac:dyDescent="0.3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 x14ac:dyDescent="0.3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 x14ac:dyDescent="0.3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 x14ac:dyDescent="0.3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 x14ac:dyDescent="0.3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 x14ac:dyDescent="0.3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 x14ac:dyDescent="0.3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 x14ac:dyDescent="0.3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 x14ac:dyDescent="0.3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 x14ac:dyDescent="0.3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 x14ac:dyDescent="0.3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 x14ac:dyDescent="0.3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 x14ac:dyDescent="0.3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 x14ac:dyDescent="0.3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 x14ac:dyDescent="0.3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 x14ac:dyDescent="0.3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 x14ac:dyDescent="0.3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 x14ac:dyDescent="0.3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 x14ac:dyDescent="0.3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 x14ac:dyDescent="0.3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 x14ac:dyDescent="0.3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abSelected="1" topLeftCell="A253" workbookViewId="0">
      <selection activeCell="E273" sqref="E273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90"/>
      <c r="C1" s="190"/>
      <c r="D1" s="190"/>
      <c r="E1" s="190"/>
      <c r="F1" s="190"/>
    </row>
    <row r="2" spans="1:23" s="9" customFormat="1" ht="39.9" customHeight="1" thickBot="1" x14ac:dyDescent="0.35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" customHeight="1" x14ac:dyDescent="0.25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" customHeight="1" thickBot="1" x14ac:dyDescent="0.3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" customHeight="1" thickBot="1" x14ac:dyDescent="0.3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" customHeight="1" thickBot="1" x14ac:dyDescent="0.3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" customHeight="1" thickBot="1" x14ac:dyDescent="0.3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" customHeight="1" x14ac:dyDescent="0.25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" customHeight="1" x14ac:dyDescent="0.25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" customHeight="1" thickBot="1" x14ac:dyDescent="0.3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" customHeight="1" thickBot="1" x14ac:dyDescent="0.3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" customHeight="1" thickBot="1" x14ac:dyDescent="0.3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" customHeight="1" thickBot="1" x14ac:dyDescent="0.3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8" x14ac:dyDescent="0.25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" customHeight="1" thickBot="1" x14ac:dyDescent="0.3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" customHeight="1" thickBot="1" x14ac:dyDescent="0.3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" customHeight="1" thickBot="1" x14ac:dyDescent="0.3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" customHeight="1" x14ac:dyDescent="0.25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" customHeight="1" thickBot="1" x14ac:dyDescent="0.3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" customHeight="1" thickBot="1" x14ac:dyDescent="0.3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" customHeight="1" thickBot="1" x14ac:dyDescent="0.3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" customHeight="1" x14ac:dyDescent="0.25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" customHeight="1" x14ac:dyDescent="0.25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" customHeight="1" x14ac:dyDescent="0.25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" customHeight="1" x14ac:dyDescent="0.25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" customHeight="1" x14ac:dyDescent="0.25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" customHeight="1" x14ac:dyDescent="0.25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" customHeight="1" x14ac:dyDescent="0.25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" customHeight="1" x14ac:dyDescent="0.25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" customHeight="1" x14ac:dyDescent="0.25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" customHeight="1" x14ac:dyDescent="0.25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" customHeight="1" x14ac:dyDescent="0.25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" customHeight="1" x14ac:dyDescent="0.25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" customHeight="1" x14ac:dyDescent="0.25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" customHeight="1" x14ac:dyDescent="0.25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" customHeight="1" x14ac:dyDescent="0.25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" customHeight="1" x14ac:dyDescent="0.25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" customHeight="1" x14ac:dyDescent="0.25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" customHeight="1" x14ac:dyDescent="0.25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" customHeight="1" thickBot="1" x14ac:dyDescent="0.3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" customHeight="1" x14ac:dyDescent="0.25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" customHeight="1" x14ac:dyDescent="0.25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" customHeight="1" thickBot="1" x14ac:dyDescent="0.3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" customHeight="1" thickBot="1" x14ac:dyDescent="0.3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7582</v>
      </c>
      <c r="O270" s="30">
        <f>SUM(M248:M277)</f>
        <v>110725</v>
      </c>
      <c r="Q270" s="19">
        <f t="shared" si="98"/>
        <v>0</v>
      </c>
    </row>
    <row r="271" spans="2:17" ht="12.9" customHeight="1" x14ac:dyDescent="0.25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" customHeight="1" thickBot="1" x14ac:dyDescent="0.3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" customHeight="1" thickBot="1" x14ac:dyDescent="0.3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>
        <f>AVERAGE(L248:L277)</f>
        <v>303.27999999999997</v>
      </c>
      <c r="O273" s="30">
        <f>AVERAGE(M248:M277)</f>
        <v>4429</v>
      </c>
      <c r="Q273" s="19">
        <f t="shared" si="98"/>
        <v>1</v>
      </c>
    </row>
    <row r="274" spans="2:17" ht="12.9" customHeight="1" x14ac:dyDescent="0.25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" customHeight="1" x14ac:dyDescent="0.25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" customHeight="1" x14ac:dyDescent="0.25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" customHeight="1" x14ac:dyDescent="0.25">
      <c r="B277" s="21">
        <v>44469</v>
      </c>
      <c r="C277" s="32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" customHeight="1" x14ac:dyDescent="0.25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" customHeight="1" x14ac:dyDescent="0.25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" customHeight="1" x14ac:dyDescent="0.25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" customHeight="1" x14ac:dyDescent="0.25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" customHeight="1" x14ac:dyDescent="0.25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" customHeight="1" x14ac:dyDescent="0.25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" customHeight="1" x14ac:dyDescent="0.25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" customHeight="1" x14ac:dyDescent="0.25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" customHeight="1" x14ac:dyDescent="0.25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" customHeight="1" x14ac:dyDescent="0.25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" customHeight="1" x14ac:dyDescent="0.25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" customHeight="1" x14ac:dyDescent="0.25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" customHeight="1" x14ac:dyDescent="0.25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" customHeight="1" x14ac:dyDescent="0.25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" customHeight="1" x14ac:dyDescent="0.25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" customHeight="1" x14ac:dyDescent="0.25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" customHeight="1" x14ac:dyDescent="0.25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" customHeight="1" x14ac:dyDescent="0.25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" customHeight="1" x14ac:dyDescent="0.25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" customHeight="1" thickBot="1" x14ac:dyDescent="0.3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" customHeight="1" x14ac:dyDescent="0.25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" customHeight="1" x14ac:dyDescent="0.25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" customHeight="1" thickBot="1" x14ac:dyDescent="0.3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" customHeight="1" thickBot="1" x14ac:dyDescent="0.3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" customHeight="1" x14ac:dyDescent="0.25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" customHeight="1" thickBot="1" x14ac:dyDescent="0.3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" customHeight="1" thickBot="1" x14ac:dyDescent="0.3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" customHeight="1" x14ac:dyDescent="0.25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" customHeight="1" x14ac:dyDescent="0.25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" customHeight="1" x14ac:dyDescent="0.25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" customHeight="1" x14ac:dyDescent="0.25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" customHeight="1" x14ac:dyDescent="0.25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" customHeight="1" x14ac:dyDescent="0.25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" customHeight="1" x14ac:dyDescent="0.25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" customHeight="1" x14ac:dyDescent="0.25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" customHeight="1" x14ac:dyDescent="0.25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" customHeight="1" x14ac:dyDescent="0.25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" customHeight="1" x14ac:dyDescent="0.25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 x14ac:dyDescent="0.3"/>
    <row r="395" ht="12.75" customHeight="1" x14ac:dyDescent="0.3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2022-09-26T10:24:32Z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