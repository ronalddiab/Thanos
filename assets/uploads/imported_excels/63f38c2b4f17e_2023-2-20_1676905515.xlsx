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7C7F5F66-43AC-4BDA-8ACC-2BBB8CD39376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EAU-ELEC'!$A$1:$K$43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2" l="1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K11" i="6"/>
  <c r="N12" i="2" s="1"/>
  <c r="G4" i="21" s="1"/>
  <c r="K12" i="6"/>
  <c r="K13" i="6"/>
  <c r="K14" i="6"/>
  <c r="K15" i="6"/>
  <c r="K16" i="6"/>
  <c r="K17" i="6"/>
  <c r="N18" i="2" s="1"/>
  <c r="G10" i="21" s="1"/>
  <c r="K18" i="6"/>
  <c r="N19" i="2" s="1"/>
  <c r="G11" i="21" s="1"/>
  <c r="K19" i="6"/>
  <c r="K20" i="6"/>
  <c r="K21" i="6"/>
  <c r="K22" i="6"/>
  <c r="K23" i="6"/>
  <c r="K24" i="6"/>
  <c r="K25" i="6"/>
  <c r="N26" i="2" s="1"/>
  <c r="G18" i="21" s="1"/>
  <c r="K26" i="6"/>
  <c r="N27" i="2" s="1"/>
  <c r="G19" i="21" s="1"/>
  <c r="K27" i="6"/>
  <c r="N28" i="2" s="1"/>
  <c r="G20" i="21" s="1"/>
  <c r="K28" i="6"/>
  <c r="K29" i="6"/>
  <c r="K30" i="6"/>
  <c r="K31" i="6"/>
  <c r="K32" i="6"/>
  <c r="K33" i="6"/>
  <c r="K34" i="6"/>
  <c r="K35" i="6"/>
  <c r="N36" i="2" s="1"/>
  <c r="G28" i="21" s="1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M27" i="2" s="1"/>
  <c r="F19" i="21" s="1"/>
  <c r="I27" i="6"/>
  <c r="I28" i="6"/>
  <c r="I29" i="6"/>
  <c r="I30" i="6"/>
  <c r="I31" i="6"/>
  <c r="I32" i="6"/>
  <c r="I33" i="6"/>
  <c r="I34" i="6"/>
  <c r="M35" i="2" s="1"/>
  <c r="F27" i="21" s="1"/>
  <c r="I35" i="6"/>
  <c r="I36" i="6"/>
  <c r="I37" i="6"/>
  <c r="I38" i="6"/>
  <c r="I39" i="6"/>
  <c r="I40" i="6"/>
  <c r="G11" i="6"/>
  <c r="G12" i="6"/>
  <c r="G13" i="6"/>
  <c r="G14" i="6"/>
  <c r="G15" i="6"/>
  <c r="G16" i="6"/>
  <c r="L17" i="2" s="1"/>
  <c r="G17" i="6"/>
  <c r="G18" i="6"/>
  <c r="L19" i="2" s="1"/>
  <c r="E11" i="21" s="1"/>
  <c r="G19" i="6"/>
  <c r="G20" i="6"/>
  <c r="G21" i="6"/>
  <c r="G22" i="6"/>
  <c r="G23" i="6"/>
  <c r="G24" i="6"/>
  <c r="L25" i="2" s="1"/>
  <c r="E17" i="21" s="1"/>
  <c r="G25" i="6"/>
  <c r="G26" i="6"/>
  <c r="L27" i="2" s="1"/>
  <c r="E19" i="21" s="1"/>
  <c r="G27" i="6"/>
  <c r="G28" i="6"/>
  <c r="G29" i="6"/>
  <c r="G30" i="6"/>
  <c r="G31" i="6"/>
  <c r="G32" i="6"/>
  <c r="L33" i="2" s="1"/>
  <c r="E25" i="21" s="1"/>
  <c r="G33" i="6"/>
  <c r="G34" i="6"/>
  <c r="L35" i="2" s="1"/>
  <c r="E27" i="21" s="1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E23" i="6"/>
  <c r="E24" i="6"/>
  <c r="F25" i="2" s="1"/>
  <c r="E25" i="6"/>
  <c r="E26" i="6"/>
  <c r="F27" i="2" s="1"/>
  <c r="E27" i="6"/>
  <c r="E28" i="6"/>
  <c r="E29" i="6"/>
  <c r="E30" i="6"/>
  <c r="E31" i="6"/>
  <c r="E32" i="6"/>
  <c r="F33" i="2" s="1"/>
  <c r="E33" i="6"/>
  <c r="E34" i="6"/>
  <c r="F35" i="2" s="1"/>
  <c r="E35" i="6"/>
  <c r="E36" i="6"/>
  <c r="E37" i="6"/>
  <c r="E38" i="6"/>
  <c r="E39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4" i="4"/>
  <c r="G3" i="21"/>
  <c r="G5" i="21"/>
  <c r="G12" i="21"/>
  <c r="G13" i="21"/>
  <c r="G29" i="21"/>
  <c r="F3" i="21"/>
  <c r="F4" i="21"/>
  <c r="F12" i="21"/>
  <c r="F20" i="21"/>
  <c r="F28" i="21"/>
  <c r="E3" i="21"/>
  <c r="E10" i="21"/>
  <c r="E18" i="21"/>
  <c r="E26" i="21"/>
  <c r="L11" i="2"/>
  <c r="M11" i="2"/>
  <c r="N11" i="2"/>
  <c r="L12" i="2"/>
  <c r="E4" i="21" s="1"/>
  <c r="M12" i="2"/>
  <c r="L13" i="2"/>
  <c r="E5" i="21" s="1"/>
  <c r="M13" i="2"/>
  <c r="F5" i="21" s="1"/>
  <c r="N13" i="2"/>
  <c r="L14" i="2"/>
  <c r="E6" i="21" s="1"/>
  <c r="M14" i="2"/>
  <c r="F6" i="21" s="1"/>
  <c r="N14" i="2"/>
  <c r="G6" i="21" s="1"/>
  <c r="L15" i="2"/>
  <c r="E7" i="21" s="1"/>
  <c r="M15" i="2"/>
  <c r="F7" i="21" s="1"/>
  <c r="N15" i="2"/>
  <c r="G7" i="21" s="1"/>
  <c r="L16" i="2"/>
  <c r="E8" i="21" s="1"/>
  <c r="M16" i="2"/>
  <c r="F8" i="21" s="1"/>
  <c r="N16" i="2"/>
  <c r="G8" i="21" s="1"/>
  <c r="M17" i="2"/>
  <c r="F9" i="21" s="1"/>
  <c r="N17" i="2"/>
  <c r="G9" i="21" s="1"/>
  <c r="L18" i="2"/>
  <c r="M18" i="2"/>
  <c r="F10" i="21" s="1"/>
  <c r="M19" i="2"/>
  <c r="F11" i="21" s="1"/>
  <c r="L20" i="2"/>
  <c r="E12" i="21" s="1"/>
  <c r="M20" i="2"/>
  <c r="N20" i="2"/>
  <c r="L21" i="2"/>
  <c r="E13" i="21" s="1"/>
  <c r="M21" i="2"/>
  <c r="F13" i="21" s="1"/>
  <c r="N21" i="2"/>
  <c r="L22" i="2"/>
  <c r="E14" i="21" s="1"/>
  <c r="M22" i="2"/>
  <c r="F14" i="21" s="1"/>
  <c r="N22" i="2"/>
  <c r="G14" i="21" s="1"/>
  <c r="L23" i="2"/>
  <c r="E15" i="21" s="1"/>
  <c r="M23" i="2"/>
  <c r="F15" i="21" s="1"/>
  <c r="N23" i="2"/>
  <c r="G15" i="21" s="1"/>
  <c r="L24" i="2"/>
  <c r="E16" i="21" s="1"/>
  <c r="M24" i="2"/>
  <c r="F16" i="21" s="1"/>
  <c r="N24" i="2"/>
  <c r="G16" i="21" s="1"/>
  <c r="M25" i="2"/>
  <c r="F17" i="21" s="1"/>
  <c r="N25" i="2"/>
  <c r="G17" i="21" s="1"/>
  <c r="L26" i="2"/>
  <c r="M26" i="2"/>
  <c r="F18" i="21" s="1"/>
  <c r="L28" i="2"/>
  <c r="M28" i="2"/>
  <c r="L29" i="2"/>
  <c r="E21" i="21" s="1"/>
  <c r="M29" i="2"/>
  <c r="F21" i="21" s="1"/>
  <c r="N29" i="2"/>
  <c r="G21" i="21" s="1"/>
  <c r="L30" i="2"/>
  <c r="E22" i="21" s="1"/>
  <c r="M30" i="2"/>
  <c r="F22" i="21" s="1"/>
  <c r="N30" i="2"/>
  <c r="G22" i="21" s="1"/>
  <c r="L31" i="2"/>
  <c r="E23" i="21" s="1"/>
  <c r="M31" i="2"/>
  <c r="F23" i="21" s="1"/>
  <c r="N31" i="2"/>
  <c r="G23" i="21" s="1"/>
  <c r="L32" i="2"/>
  <c r="E24" i="21" s="1"/>
  <c r="M32" i="2"/>
  <c r="F24" i="21" s="1"/>
  <c r="N32" i="2"/>
  <c r="G24" i="21" s="1"/>
  <c r="M33" i="2"/>
  <c r="F25" i="21" s="1"/>
  <c r="N33" i="2"/>
  <c r="G25" i="21" s="1"/>
  <c r="L34" i="2"/>
  <c r="M34" i="2"/>
  <c r="F26" i="21" s="1"/>
  <c r="N34" i="2"/>
  <c r="G26" i="21" s="1"/>
  <c r="N35" i="2"/>
  <c r="G27" i="21" s="1"/>
  <c r="L36" i="2"/>
  <c r="E28" i="21" s="1"/>
  <c r="M36" i="2"/>
  <c r="L37" i="2"/>
  <c r="E29" i="21" s="1"/>
  <c r="M37" i="2"/>
  <c r="F29" i="21" s="1"/>
  <c r="N37" i="2"/>
  <c r="L38" i="2"/>
  <c r="Q38" i="2" s="1"/>
  <c r="M38" i="2"/>
  <c r="F30" i="21" s="1"/>
  <c r="N38" i="2"/>
  <c r="G30" i="21" s="1"/>
  <c r="L39" i="2"/>
  <c r="E31" i="21" s="1"/>
  <c r="M39" i="2"/>
  <c r="F31" i="21" s="1"/>
  <c r="N39" i="2"/>
  <c r="G31" i="21" s="1"/>
  <c r="L40" i="2"/>
  <c r="E32" i="21" s="1"/>
  <c r="M40" i="2"/>
  <c r="F32" i="21" s="1"/>
  <c r="N40" i="2"/>
  <c r="G32" i="21" s="1"/>
  <c r="K10" i="6"/>
  <c r="I10" i="6"/>
  <c r="G10" i="6"/>
  <c r="F12" i="2"/>
  <c r="F20" i="2"/>
  <c r="F21" i="2"/>
  <c r="F24" i="2"/>
  <c r="F28" i="2"/>
  <c r="F36" i="2"/>
  <c r="H36" i="2" s="1"/>
  <c r="F17" i="2"/>
  <c r="E40" i="6"/>
  <c r="M48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N5" i="4"/>
  <c r="N6" i="4"/>
  <c r="N7" i="4"/>
  <c r="N8" i="4"/>
  <c r="N9" i="4"/>
  <c r="V15" i="2" s="1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C40" i="6"/>
  <c r="P36" i="4"/>
  <c r="P37" i="4"/>
  <c r="P38" i="4"/>
  <c r="F40" i="2"/>
  <c r="C39" i="6"/>
  <c r="F39" i="2"/>
  <c r="C38" i="6"/>
  <c r="F38" i="2"/>
  <c r="C37" i="6"/>
  <c r="F37" i="2"/>
  <c r="C36" i="6"/>
  <c r="C35" i="6"/>
  <c r="C34" i="6"/>
  <c r="X10" i="2"/>
  <c r="P39" i="4"/>
  <c r="P40" i="4"/>
  <c r="F32" i="2"/>
  <c r="H32" i="2" s="1"/>
  <c r="F34" i="2"/>
  <c r="C33" i="6"/>
  <c r="C32" i="6"/>
  <c r="C31" i="6"/>
  <c r="F31" i="2"/>
  <c r="F30" i="2"/>
  <c r="C30" i="6"/>
  <c r="C29" i="6"/>
  <c r="V25" i="2"/>
  <c r="X25" i="2" s="1"/>
  <c r="F26" i="2"/>
  <c r="F29" i="2"/>
  <c r="C28" i="6"/>
  <c r="C27" i="6"/>
  <c r="C26" i="6"/>
  <c r="C25" i="6"/>
  <c r="C24" i="6"/>
  <c r="C23" i="6"/>
  <c r="F23" i="2"/>
  <c r="C22" i="6"/>
  <c r="F22" i="2"/>
  <c r="C21" i="6"/>
  <c r="C20" i="6"/>
  <c r="F18" i="2"/>
  <c r="C17" i="6"/>
  <c r="C18" i="6"/>
  <c r="C19" i="6"/>
  <c r="C16" i="6"/>
  <c r="F16" i="2"/>
  <c r="H16" i="2" s="1"/>
  <c r="C15" i="6"/>
  <c r="F15" i="2"/>
  <c r="C14" i="6"/>
  <c r="F14" i="2"/>
  <c r="C13" i="6"/>
  <c r="F13" i="2"/>
  <c r="H13" i="2" s="1"/>
  <c r="C12" i="6"/>
  <c r="C11" i="6"/>
  <c r="C10" i="6"/>
  <c r="E10" i="6"/>
  <c r="F11" i="2" s="1"/>
  <c r="H11" i="2" s="1"/>
  <c r="N10" i="2"/>
  <c r="G2" i="21"/>
  <c r="M10" i="2"/>
  <c r="L10" i="2"/>
  <c r="O10" i="2"/>
  <c r="F10" i="2"/>
  <c r="I2" i="22"/>
  <c r="H30" i="2"/>
  <c r="H26" i="2"/>
  <c r="H18" i="2"/>
  <c r="L32" i="22"/>
  <c r="I32" i="21"/>
  <c r="I31" i="21"/>
  <c r="H31" i="21"/>
  <c r="H32" i="21"/>
  <c r="H38" i="2"/>
  <c r="H40" i="2"/>
  <c r="AC22" i="4"/>
  <c r="E22" i="4"/>
  <c r="G22" i="4"/>
  <c r="J4" i="4"/>
  <c r="K4" i="4"/>
  <c r="AC32" i="4"/>
  <c r="E32" i="4"/>
  <c r="Z43" i="4"/>
  <c r="M4" i="4"/>
  <c r="J9" i="4"/>
  <c r="K9" i="4"/>
  <c r="J10" i="4"/>
  <c r="K10" i="4"/>
  <c r="J11" i="4"/>
  <c r="K11" i="4"/>
  <c r="J12" i="4"/>
  <c r="K12" i="4"/>
  <c r="J13" i="4"/>
  <c r="K13" i="4"/>
  <c r="I30" i="21"/>
  <c r="H30" i="21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H28" i="21"/>
  <c r="H29" i="21"/>
  <c r="I28" i="21"/>
  <c r="I29" i="21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L6" i="4" s="1"/>
  <c r="I6" i="4"/>
  <c r="AD6" i="4"/>
  <c r="AE6" i="4"/>
  <c r="AC7" i="4"/>
  <c r="G7" i="4" s="1"/>
  <c r="AD7" i="4"/>
  <c r="AE7" i="4"/>
  <c r="J8" i="4"/>
  <c r="K8" i="4"/>
  <c r="L7" i="4"/>
  <c r="AC8" i="4"/>
  <c r="L8" i="4" s="1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V28" i="2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H22" i="2"/>
  <c r="I19" i="10"/>
  <c r="E20" i="10"/>
  <c r="D25" i="10"/>
  <c r="F25" i="10"/>
  <c r="F32" i="10"/>
  <c r="H25" i="10"/>
  <c r="I25" i="10"/>
  <c r="I32" i="10"/>
  <c r="F18" i="10"/>
  <c r="H15" i="2"/>
  <c r="H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L17" i="4"/>
  <c r="V23" i="2"/>
  <c r="L13" i="4"/>
  <c r="L10" i="4"/>
  <c r="L31" i="4"/>
  <c r="L28" i="4"/>
  <c r="L16" i="4"/>
  <c r="L14" i="4"/>
  <c r="L27" i="4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10" i="2"/>
  <c r="E2" i="21"/>
  <c r="J2" i="21"/>
  <c r="Q11" i="2"/>
  <c r="O11" i="2"/>
  <c r="H10" i="2"/>
  <c r="E2" i="22"/>
  <c r="Q44" i="4"/>
  <c r="AC44" i="4"/>
  <c r="K48" i="4"/>
  <c r="L48" i="4"/>
  <c r="L9" i="4"/>
  <c r="AC43" i="4"/>
  <c r="G9" i="4"/>
  <c r="E9" i="4"/>
  <c r="C9" i="4"/>
  <c r="I9" i="4"/>
  <c r="O28" i="2" l="1"/>
  <c r="O30" i="2"/>
  <c r="Q17" i="2"/>
  <c r="E9" i="21"/>
  <c r="E20" i="21"/>
  <c r="J20" i="21" s="1"/>
  <c r="Q22" i="2"/>
  <c r="J5" i="21"/>
  <c r="Q30" i="2"/>
  <c r="E30" i="21"/>
  <c r="O38" i="2"/>
  <c r="H39" i="2"/>
  <c r="H23" i="2"/>
  <c r="J29" i="21"/>
  <c r="Q13" i="2"/>
  <c r="O32" i="2"/>
  <c r="Q16" i="2"/>
  <c r="O37" i="2"/>
  <c r="Q37" i="2"/>
  <c r="Q29" i="2"/>
  <c r="O29" i="2"/>
  <c r="J21" i="21"/>
  <c r="N41" i="2"/>
  <c r="I46" i="2" s="1"/>
  <c r="L46" i="2" s="1"/>
  <c r="O21" i="2"/>
  <c r="J26" i="21"/>
  <c r="O17" i="2"/>
  <c r="J24" i="21"/>
  <c r="Q26" i="2"/>
  <c r="O26" i="2"/>
  <c r="O18" i="2"/>
  <c r="Q18" i="2"/>
  <c r="O16" i="2"/>
  <c r="Q32" i="2"/>
  <c r="M41" i="2"/>
  <c r="I45" i="2" s="1"/>
  <c r="L45" i="2" s="1"/>
  <c r="Q21" i="2"/>
  <c r="J6" i="21"/>
  <c r="J10" i="21"/>
  <c r="J8" i="21"/>
  <c r="O13" i="2"/>
  <c r="O34" i="2"/>
  <c r="O40" i="2"/>
  <c r="J22" i="21"/>
  <c r="O39" i="2"/>
  <c r="Q39" i="2"/>
  <c r="Q31" i="2"/>
  <c r="J23" i="21"/>
  <c r="Q23" i="2"/>
  <c r="Q15" i="2"/>
  <c r="O15" i="2"/>
  <c r="Q36" i="2"/>
  <c r="O36" i="2"/>
  <c r="O20" i="2"/>
  <c r="Q20" i="2"/>
  <c r="O12" i="2"/>
  <c r="J4" i="21"/>
  <c r="O24" i="2"/>
  <c r="Q34" i="2"/>
  <c r="J3" i="21"/>
  <c r="O35" i="2"/>
  <c r="Q35" i="2"/>
  <c r="Q27" i="2"/>
  <c r="O27" i="2"/>
  <c r="O19" i="2"/>
  <c r="J11" i="21"/>
  <c r="Q19" i="2"/>
  <c r="J13" i="21"/>
  <c r="J18" i="21"/>
  <c r="O22" i="2"/>
  <c r="J17" i="21"/>
  <c r="M17" i="22"/>
  <c r="J25" i="21"/>
  <c r="Q12" i="2"/>
  <c r="O14" i="2"/>
  <c r="J16" i="21"/>
  <c r="O25" i="2"/>
  <c r="L41" i="2"/>
  <c r="I44" i="2" s="1"/>
  <c r="L44" i="2" s="1"/>
  <c r="Q25" i="2"/>
  <c r="O33" i="2"/>
  <c r="Q40" i="2"/>
  <c r="O31" i="2"/>
  <c r="Q33" i="2"/>
  <c r="O23" i="2"/>
  <c r="Q28" i="2"/>
  <c r="J7" i="21"/>
  <c r="Q14" i="2"/>
  <c r="H35" i="2"/>
  <c r="H24" i="2"/>
  <c r="H21" i="2"/>
  <c r="H31" i="2"/>
  <c r="H37" i="2"/>
  <c r="H17" i="2"/>
  <c r="H33" i="2"/>
  <c r="H14" i="2"/>
  <c r="H19" i="2"/>
  <c r="H27" i="2"/>
  <c r="H28" i="2"/>
  <c r="H20" i="2"/>
  <c r="H12" i="2"/>
  <c r="F41" i="2"/>
  <c r="I48" i="2" s="1"/>
  <c r="L48" i="2" s="1"/>
  <c r="N48" i="2" s="1"/>
  <c r="H34" i="2"/>
  <c r="H25" i="2"/>
  <c r="V22" i="2"/>
  <c r="V38" i="2"/>
  <c r="X23" i="2"/>
  <c r="V13" i="2"/>
  <c r="V18" i="2"/>
  <c r="V21" i="2"/>
  <c r="V17" i="2"/>
  <c r="V33" i="2"/>
  <c r="V35" i="2"/>
  <c r="V19" i="2"/>
  <c r="V14" i="2"/>
  <c r="V27" i="2"/>
  <c r="V34" i="2"/>
  <c r="V31" i="2"/>
  <c r="V24" i="2"/>
  <c r="V37" i="2"/>
  <c r="V39" i="2"/>
  <c r="V29" i="2"/>
  <c r="X28" i="2"/>
  <c r="V30" i="2"/>
  <c r="V36" i="2"/>
  <c r="V16" i="2"/>
  <c r="X16" i="2" s="1"/>
  <c r="V26" i="2"/>
  <c r="V32" i="2"/>
  <c r="V20" i="2"/>
  <c r="V40" i="2"/>
  <c r="X15" i="2"/>
  <c r="J14" i="21"/>
  <c r="G26" i="4"/>
  <c r="E26" i="4"/>
  <c r="C26" i="4"/>
  <c r="V12" i="2"/>
  <c r="G4" i="4"/>
  <c r="E4" i="4"/>
  <c r="C4" i="4"/>
  <c r="I4" i="4"/>
  <c r="L4" i="4"/>
  <c r="N4" i="4" s="1"/>
  <c r="G25" i="4"/>
  <c r="E25" i="4"/>
  <c r="C25" i="4"/>
  <c r="G24" i="4"/>
  <c r="E24" i="4"/>
  <c r="C24" i="4"/>
  <c r="N44" i="2" l="1"/>
  <c r="N47" i="2" s="1"/>
  <c r="M5" i="22"/>
  <c r="M7" i="22"/>
  <c r="M20" i="22"/>
  <c r="J12" i="21"/>
  <c r="J28" i="21"/>
  <c r="M15" i="22"/>
  <c r="J15" i="21"/>
  <c r="J27" i="21"/>
  <c r="M6" i="22"/>
  <c r="J19" i="21"/>
  <c r="O41" i="2"/>
  <c r="Q41" i="2"/>
  <c r="J9" i="21"/>
  <c r="H41" i="2"/>
  <c r="M8" i="22"/>
  <c r="X13" i="2"/>
  <c r="X36" i="2"/>
  <c r="X34" i="2"/>
  <c r="M26" i="22"/>
  <c r="X18" i="2"/>
  <c r="M10" i="22"/>
  <c r="X39" i="2"/>
  <c r="M29" i="22"/>
  <c r="X37" i="2"/>
  <c r="X32" i="2"/>
  <c r="M24" i="22"/>
  <c r="M22" i="22"/>
  <c r="X30" i="2"/>
  <c r="X27" i="2"/>
  <c r="X20" i="2"/>
  <c r="X14" i="2"/>
  <c r="X33" i="2"/>
  <c r="M25" i="22"/>
  <c r="V11" i="2"/>
  <c r="X11" i="2" s="1"/>
  <c r="X24" i="2"/>
  <c r="M16" i="22"/>
  <c r="X17" i="2"/>
  <c r="X40" i="2"/>
  <c r="M13" i="22"/>
  <c r="X21" i="2"/>
  <c r="X19" i="2"/>
  <c r="M21" i="22"/>
  <c r="X29" i="2"/>
  <c r="X31" i="2"/>
  <c r="M23" i="22"/>
  <c r="X38" i="2"/>
  <c r="X26" i="2"/>
  <c r="M18" i="22"/>
  <c r="X35" i="2"/>
  <c r="M14" i="22"/>
  <c r="X22" i="2"/>
  <c r="X12" i="2"/>
  <c r="M4" i="22"/>
  <c r="O4" i="4"/>
  <c r="N43" i="4"/>
  <c r="M28" i="22" l="1"/>
  <c r="M12" i="22"/>
  <c r="M27" i="22"/>
  <c r="M11" i="22"/>
  <c r="M19" i="22"/>
  <c r="M9" i="22"/>
  <c r="M3" i="22"/>
  <c r="O43" i="4"/>
  <c r="P43" i="4" s="1"/>
  <c r="K47" i="4"/>
  <c r="V10" i="2"/>
  <c r="X41" i="2" l="1"/>
  <c r="G2" i="22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<sst xmlns="http://schemas.openxmlformats.org/spreadsheetml/2006/main" count="478" uniqueCount="184">
  <si>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</si>
  <si>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</si>
  <si>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</si>
  <si>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</si>
  <si>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</si>
  <si>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</si>
  <si>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</si>
  <si>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</si>
  <si>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</si>
  <si>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</si>
  <si>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</si>
  <si>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</si>
  <si>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</si>
  <si>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</si>
  <si>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</si>
  <si>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</si>
  <si>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</si>
  <si>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</si>
  <si>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</si>
  <si>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</si>
  <si>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</si>
  <si>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</si>
  <si>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</si>
  <si>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</si>
  <si>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</si>
  <si>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</si>
  <si>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</si>
  <si>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</si>
  <si>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</si>
  <si>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</si>
  <si>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</si>
  <si>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</si>
  <si>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</si>
  <si>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</si>
  <si>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</si>
  <si>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</si>
  <si>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</si>
  <si>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</si>
  <si>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</si>
  <si>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</si>
  <si>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</si>
  <si>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Janvier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</si>
  <si>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</si>
  <si>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</si>
  <si>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</si>
  <si>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</si>
  <si>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</si>
  <si>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</si>
  <si>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</si>
  <si>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</si>
  <si>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</si>
  <si>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</si>
  <si>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</si>
  <si>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</si>
  <si>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</si>
  <si>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</si>
  <si>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</si>
  <si>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janvier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</si>
  <si>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</si>
  <si>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</si>
  <si>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</si>
  <si>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</si>
  <si>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</si>
  <si>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</si>
  <si>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</si>
  <si>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</si>
  <si>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</si>
  <si>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</si>
  <si>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</si>
  <si>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</si>
  <si>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</si>
  <si>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</si>
  <si>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</si>
  <si>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</si>
  <si>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</si>
  <si>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</si>
  <si>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</si>
  <si>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</si>
  <si>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</si>
  <si>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</si>
  <si>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</si>
  <si>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</si>
  <si>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</si>
  <si>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</si>
  <si>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</si>
  <si>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</si>
  <si>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</si>
  <si>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</si>
  <si>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</si>
  <si>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</si>
  <si>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</si>
  <si>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</si>
  <si>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</si>
  <si>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</si>
  <si>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</si>
  <si>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</si>
  <si>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</si>
  <si>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</si>
  <si>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</si>
  <si>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</si>
  <si>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</si>
  <si>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</si>
  <si>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</si>
  <si>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</si>
  <si>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</si>
  <si>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</si>
  <si>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</si>
  <si>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</si>
  <si>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</si>
  <si>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</si>
  <si>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</si>
  <si>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</si>
  <si>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</si>
  <si>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</si>
  <si>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</si>
  <si>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</si>
  <si>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</si>
  <si>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</si>
  <si>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</si>
  <si>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</si>
  <si>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</si>
  <si>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</si>
  <si>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</si>
  <si>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</si>
  <si>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</si>
  <si>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</si>
  <si>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</si>
  <si>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</si>
  <si>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</si>
  <si>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</si>
  <si>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</si>
  <si>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Janvier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</si>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</sst>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2" fontId="7" fillId="8" borderId="39" xfId="0" applyNumberFormat="1" applyFont="1" applyFill="1" applyBorder="1" applyAlignment="1">
      <alignment horizontal="center" vertical="center"/>
    </xf>
    <xf numFmtId="2" fontId="7" fillId="8" borderId="40" xfId="0" applyNumberFormat="1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8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8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8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6" xfId="0" applyFont="1" applyBorder="1" applyAlignment="1">
      <alignment horizontal="left" vertical="top"/>
    </xf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5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6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7" fillId="18" borderId="47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5" xfId="0" applyFont="1" applyBorder="1" applyAlignment="1"/>
    <xf numFmtId="0" fontId="29" fillId="0" borderId="46" xfId="0" applyFont="1" applyBorder="1" applyAlignment="1"/>
    <xf numFmtId="0" fontId="29" fillId="0" borderId="47" xfId="0" applyFont="1" applyBorder="1" applyAlignment="1"/>
    <xf numFmtId="0" fontId="27" fillId="0" borderId="45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38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EAU-ELEC'!$E$9:$E$42</c:f>
              <c:numCache>
                <c:formatCode>General</c:formatCode>
                <c:ptCount val="34"/>
                <c:pt idx="0">
                  <c:v>48</c:v>
                </c:pt>
                <c:pt idx="1">
                  <c:v>87.100000000005821</c:v>
                </c:pt>
                <c:pt idx="2">
                  <c:v>61.899999999994179</c:v>
                </c:pt>
                <c:pt idx="3">
                  <c:v>60.900000000008731</c:v>
                </c:pt>
                <c:pt idx="4">
                  <c:v>73.299999999988358</c:v>
                </c:pt>
                <c:pt idx="5">
                  <c:v>38.700000000011642</c:v>
                </c:pt>
                <c:pt idx="6">
                  <c:v>70.5</c:v>
                </c:pt>
                <c:pt idx="7">
                  <c:v>53.599999999991269</c:v>
                </c:pt>
                <c:pt idx="8">
                  <c:v>62.80000000000291</c:v>
                </c:pt>
                <c:pt idx="9">
                  <c:v>75</c:v>
                </c:pt>
                <c:pt idx="10">
                  <c:v>63.899999999994179</c:v>
                </c:pt>
                <c:pt idx="11">
                  <c:v>39.200000000011642</c:v>
                </c:pt>
                <c:pt idx="12">
                  <c:v>60</c:v>
                </c:pt>
                <c:pt idx="13">
                  <c:v>42.299999999988358</c:v>
                </c:pt>
                <c:pt idx="14">
                  <c:v>58.700000000011642</c:v>
                </c:pt>
                <c:pt idx="15">
                  <c:v>75</c:v>
                </c:pt>
                <c:pt idx="16">
                  <c:v>62.899999999994179</c:v>
                </c:pt>
                <c:pt idx="17">
                  <c:v>59</c:v>
                </c:pt>
                <c:pt idx="18">
                  <c:v>85</c:v>
                </c:pt>
                <c:pt idx="19">
                  <c:v>63.19999999999709</c:v>
                </c:pt>
                <c:pt idx="20">
                  <c:v>54.30000000000291</c:v>
                </c:pt>
                <c:pt idx="21">
                  <c:v>54.30000000000291</c:v>
                </c:pt>
                <c:pt idx="22">
                  <c:v>69.80000000000291</c:v>
                </c:pt>
                <c:pt idx="23">
                  <c:v>74.399999999994179</c:v>
                </c:pt>
                <c:pt idx="24">
                  <c:v>70</c:v>
                </c:pt>
                <c:pt idx="25">
                  <c:v>71.600000000005821</c:v>
                </c:pt>
                <c:pt idx="26">
                  <c:v>107.19999999999709</c:v>
                </c:pt>
                <c:pt idx="27">
                  <c:v>69.599999999991269</c:v>
                </c:pt>
                <c:pt idx="28">
                  <c:v>52.80000000000291</c:v>
                </c:pt>
                <c:pt idx="29">
                  <c:v>89.80000000000291</c:v>
                </c:pt>
                <c:pt idx="30">
                  <c:v>72.600000000005821</c:v>
                </c:pt>
                <c:pt idx="31">
                  <c:v>103.79999999998836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EAU-ELEC'!$G$9:$G$39</c:f>
              <c:numCache>
                <c:formatCode>General</c:formatCode>
                <c:ptCount val="31"/>
                <c:pt idx="0">
                  <c:v>2484</c:v>
                </c:pt>
                <c:pt idx="1">
                  <c:v>2519</c:v>
                </c:pt>
                <c:pt idx="2">
                  <c:v>2297</c:v>
                </c:pt>
                <c:pt idx="3">
                  <c:v>2535</c:v>
                </c:pt>
                <c:pt idx="4">
                  <c:v>2190</c:v>
                </c:pt>
                <c:pt idx="5">
                  <c:v>2501</c:v>
                </c:pt>
                <c:pt idx="6">
                  <c:v>2346</c:v>
                </c:pt>
                <c:pt idx="7">
                  <c:v>2496</c:v>
                </c:pt>
                <c:pt idx="8">
                  <c:v>2234</c:v>
                </c:pt>
                <c:pt idx="9">
                  <c:v>2498</c:v>
                </c:pt>
                <c:pt idx="10">
                  <c:v>2271</c:v>
                </c:pt>
                <c:pt idx="11">
                  <c:v>2308</c:v>
                </c:pt>
                <c:pt idx="12">
                  <c:v>2353</c:v>
                </c:pt>
                <c:pt idx="13">
                  <c:v>2505</c:v>
                </c:pt>
                <c:pt idx="14">
                  <c:v>2393</c:v>
                </c:pt>
                <c:pt idx="15">
                  <c:v>2444</c:v>
                </c:pt>
                <c:pt idx="16">
                  <c:v>2599</c:v>
                </c:pt>
                <c:pt idx="17">
                  <c:v>2446</c:v>
                </c:pt>
                <c:pt idx="18">
                  <c:v>2521</c:v>
                </c:pt>
                <c:pt idx="19">
                  <c:v>2238</c:v>
                </c:pt>
                <c:pt idx="20">
                  <c:v>2576</c:v>
                </c:pt>
                <c:pt idx="21">
                  <c:v>2555</c:v>
                </c:pt>
                <c:pt idx="22">
                  <c:v>2803</c:v>
                </c:pt>
                <c:pt idx="23">
                  <c:v>2824</c:v>
                </c:pt>
                <c:pt idx="24">
                  <c:v>2444</c:v>
                </c:pt>
                <c:pt idx="25">
                  <c:v>1941</c:v>
                </c:pt>
                <c:pt idx="26">
                  <c:v>2443</c:v>
                </c:pt>
                <c:pt idx="27">
                  <c:v>2362</c:v>
                </c:pt>
                <c:pt idx="28">
                  <c:v>2513</c:v>
                </c:pt>
                <c:pt idx="29">
                  <c:v>2829</c:v>
                </c:pt>
                <c:pt idx="30">
                  <c:v>2368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EAU-ELEC'!$I$9:$I$39</c:f>
              <c:numCache>
                <c:formatCode>General</c:formatCode>
                <c:ptCount val="31"/>
                <c:pt idx="0">
                  <c:v>3682</c:v>
                </c:pt>
                <c:pt idx="1">
                  <c:v>3473</c:v>
                </c:pt>
                <c:pt idx="2">
                  <c:v>3698</c:v>
                </c:pt>
                <c:pt idx="3">
                  <c:v>3605</c:v>
                </c:pt>
                <c:pt idx="4">
                  <c:v>3668</c:v>
                </c:pt>
                <c:pt idx="5">
                  <c:v>3597</c:v>
                </c:pt>
                <c:pt idx="6">
                  <c:v>3512</c:v>
                </c:pt>
                <c:pt idx="7">
                  <c:v>3624</c:v>
                </c:pt>
                <c:pt idx="8">
                  <c:v>3590</c:v>
                </c:pt>
                <c:pt idx="9">
                  <c:v>3484</c:v>
                </c:pt>
                <c:pt idx="10">
                  <c:v>3444</c:v>
                </c:pt>
                <c:pt idx="11">
                  <c:v>3446</c:v>
                </c:pt>
                <c:pt idx="12">
                  <c:v>3469</c:v>
                </c:pt>
                <c:pt idx="13">
                  <c:v>3412</c:v>
                </c:pt>
                <c:pt idx="14">
                  <c:v>3524</c:v>
                </c:pt>
                <c:pt idx="15">
                  <c:v>3365</c:v>
                </c:pt>
                <c:pt idx="16">
                  <c:v>3336</c:v>
                </c:pt>
                <c:pt idx="17">
                  <c:v>3417</c:v>
                </c:pt>
                <c:pt idx="18">
                  <c:v>3698</c:v>
                </c:pt>
                <c:pt idx="19">
                  <c:v>3743</c:v>
                </c:pt>
                <c:pt idx="20">
                  <c:v>3561</c:v>
                </c:pt>
                <c:pt idx="21">
                  <c:v>3570</c:v>
                </c:pt>
                <c:pt idx="22">
                  <c:v>3973</c:v>
                </c:pt>
                <c:pt idx="23">
                  <c:v>4062</c:v>
                </c:pt>
                <c:pt idx="24">
                  <c:v>3664</c:v>
                </c:pt>
                <c:pt idx="25">
                  <c:v>3537</c:v>
                </c:pt>
                <c:pt idx="26">
                  <c:v>3519</c:v>
                </c:pt>
                <c:pt idx="27">
                  <c:v>3637</c:v>
                </c:pt>
                <c:pt idx="28">
                  <c:v>3661</c:v>
                </c:pt>
                <c:pt idx="29">
                  <c:v>3593</c:v>
                </c:pt>
                <c:pt idx="30">
                  <c:v>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EAU-ELEC'!$K$9:$K$39</c:f>
              <c:numCache>
                <c:formatCode>General</c:formatCode>
                <c:ptCount val="31"/>
                <c:pt idx="0">
                  <c:v>1748</c:v>
                </c:pt>
                <c:pt idx="1">
                  <c:v>1614</c:v>
                </c:pt>
                <c:pt idx="2">
                  <c:v>1574</c:v>
                </c:pt>
                <c:pt idx="3">
                  <c:v>1645</c:v>
                </c:pt>
                <c:pt idx="4">
                  <c:v>1744</c:v>
                </c:pt>
                <c:pt idx="5">
                  <c:v>1668</c:v>
                </c:pt>
                <c:pt idx="6">
                  <c:v>1546</c:v>
                </c:pt>
                <c:pt idx="7">
                  <c:v>1665</c:v>
                </c:pt>
                <c:pt idx="8">
                  <c:v>1551</c:v>
                </c:pt>
                <c:pt idx="9">
                  <c:v>1591</c:v>
                </c:pt>
                <c:pt idx="10">
                  <c:v>1583</c:v>
                </c:pt>
                <c:pt idx="11">
                  <c:v>1562</c:v>
                </c:pt>
                <c:pt idx="12">
                  <c:v>1586</c:v>
                </c:pt>
                <c:pt idx="13">
                  <c:v>1542</c:v>
                </c:pt>
                <c:pt idx="14">
                  <c:v>1607</c:v>
                </c:pt>
                <c:pt idx="15">
                  <c:v>1553</c:v>
                </c:pt>
                <c:pt idx="16">
                  <c:v>1532</c:v>
                </c:pt>
                <c:pt idx="17">
                  <c:v>1582</c:v>
                </c:pt>
                <c:pt idx="18">
                  <c:v>1573</c:v>
                </c:pt>
                <c:pt idx="19">
                  <c:v>1587</c:v>
                </c:pt>
                <c:pt idx="20">
                  <c:v>1578</c:v>
                </c:pt>
                <c:pt idx="21">
                  <c:v>1637</c:v>
                </c:pt>
                <c:pt idx="22">
                  <c:v>2164</c:v>
                </c:pt>
                <c:pt idx="23">
                  <c:v>1773</c:v>
                </c:pt>
                <c:pt idx="24">
                  <c:v>1575</c:v>
                </c:pt>
                <c:pt idx="25">
                  <c:v>1586</c:v>
                </c:pt>
                <c:pt idx="26">
                  <c:v>1618</c:v>
                </c:pt>
                <c:pt idx="27">
                  <c:v>1636</c:v>
                </c:pt>
                <c:pt idx="28">
                  <c:v>1701</c:v>
                </c:pt>
                <c:pt idx="29">
                  <c:v>1713</c:v>
                </c:pt>
                <c:pt idx="30">
                  <c:v>1584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351.99131</c:v>
                </c:pt>
                <c:pt idx="4">
                  <c:v>415.98973000000001</c:v>
                </c:pt>
                <c:pt idx="5">
                  <c:v>607.98499000000004</c:v>
                </c:pt>
                <c:pt idx="6">
                  <c:v>127.99684000000001</c:v>
                </c:pt>
                <c:pt idx="7">
                  <c:v>223.99447000000001</c:v>
                </c:pt>
                <c:pt idx="8">
                  <c:v>223.99447000000001</c:v>
                </c:pt>
                <c:pt idx="9">
                  <c:v>383.99052</c:v>
                </c:pt>
                <c:pt idx="10">
                  <c:v>447.98894000000001</c:v>
                </c:pt>
                <c:pt idx="11">
                  <c:v>319.99209999999999</c:v>
                </c:pt>
                <c:pt idx="12">
                  <c:v>447.98894000000001</c:v>
                </c:pt>
                <c:pt idx="13">
                  <c:v>351.99131</c:v>
                </c:pt>
                <c:pt idx="14">
                  <c:v>319.99209999999999</c:v>
                </c:pt>
                <c:pt idx="15">
                  <c:v>671.98341000000005</c:v>
                </c:pt>
                <c:pt idx="16">
                  <c:v>447.98894000000001</c:v>
                </c:pt>
                <c:pt idx="17">
                  <c:v>415.98973000000001</c:v>
                </c:pt>
                <c:pt idx="18">
                  <c:v>255.99368000000001</c:v>
                </c:pt>
                <c:pt idx="19">
                  <c:v>255.99368000000001</c:v>
                </c:pt>
                <c:pt idx="20">
                  <c:v>351.99131</c:v>
                </c:pt>
                <c:pt idx="21">
                  <c:v>351.99131</c:v>
                </c:pt>
                <c:pt idx="22">
                  <c:v>415.98973000000001</c:v>
                </c:pt>
                <c:pt idx="23">
                  <c:v>319.99209999999999</c:v>
                </c:pt>
                <c:pt idx="24">
                  <c:v>735.98183000000006</c:v>
                </c:pt>
                <c:pt idx="25">
                  <c:v>511.98736000000002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863.97867000000008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49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tabSelected="1" workbookViewId="0">
      <selection activeCell="W22" sqref="W2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4" customWidth="1"/>
    <col min="4" max="4" width="13.42578125" style="145" customWidth="1"/>
    <col min="5" max="5" width="12.5703125" style="141" customWidth="1"/>
    <col min="6" max="6" width="12.5703125" style="47" customWidth="1"/>
    <col min="7" max="10" width="8.85546875" style="47" customWidth="1"/>
    <col min="11" max="12" width="8.85546875" style="141" customWidth="1"/>
    <col min="13" max="13" width="0" hidden="1" customWidth="1"/>
  </cols>
  <sheetData>
    <row r="1" spans="1:13" s="103" customFormat="1" ht="75.75" thickBot="1" x14ac:dyDescent="0.3">
      <c r="A1" s="139" t="s">
        <v>0</v>
      </c>
      <c r="B1" s="142" t="s">
        <v>1</v>
      </c>
      <c r="C1" s="142" t="s">
        <v>2</v>
      </c>
      <c r="D1" s="143" t="s">
        <v>3</v>
      </c>
      <c r="E1" s="151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51" t="s">
        <v>10</v>
      </c>
      <c r="L1" s="151" t="s">
        <v>11</v>
      </c>
      <c r="M1" s="136" t="s">
        <v>12</v>
      </c>
    </row>
    <row r="2" spans="1:13" x14ac:dyDescent="0.2">
      <c r="A2" s="140" t="s">
        <v>13</v>
      </c>
      <c r="B2" s="144">
        <v>1</v>
      </c>
      <c r="C2" s="144">
        <v>1</v>
      </c>
      <c r="D2" s="145">
        <v>2021</v>
      </c>
      <c r="E2" s="141">
        <f>submetering!E2+submetering!F2+submetering!G2</f>
        <v>7914</v>
      </c>
      <c r="F2" s="138">
        <v>1.05</v>
      </c>
      <c r="G2" s="138">
        <f>'Consommation mensuel énergie'!V10</f>
        <v>287.99288999999999</v>
      </c>
      <c r="H2" s="138">
        <v>9.8209999999999997</v>
      </c>
      <c r="I2" s="138">
        <f>'Consommation mensuel énergie'!F10</f>
        <v>48</v>
      </c>
      <c r="J2" s="138">
        <v>11.4</v>
      </c>
      <c r="K2" s="141">
        <f>'Consommation mensuel énergie'!D10</f>
        <v>27</v>
      </c>
      <c r="L2" s="141">
        <f>'Consommation mensuel énergie'!E10</f>
        <v>46</v>
      </c>
      <c r="M2" s="137" t="e">
        <f>E2*F2+G2*H2+#REF!*#REF!+I2*J2</f>
        <v>#REF!</v>
      </c>
    </row>
    <row r="3" spans="1:13" x14ac:dyDescent="0.2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submetering!E3+submetering!F3+submetering!G3</f>
        <v>7606</v>
      </c>
      <c r="F3" s="138">
        <v>1.05</v>
      </c>
      <c r="G3" s="138">
        <f>'Consommation mensuel énergie'!V11</f>
        <v>479.98815000000002</v>
      </c>
      <c r="H3" s="138">
        <v>9.8209999999999997</v>
      </c>
      <c r="I3" s="138">
        <f>'Consommation mensuel énergie'!F11</f>
        <v>87.100000000005821</v>
      </c>
      <c r="J3" s="138">
        <v>11.4</v>
      </c>
      <c r="K3" s="141">
        <f>'Consommation mensuel énergie'!D11</f>
        <v>21</v>
      </c>
      <c r="L3" s="141">
        <f>'Consommation mensuel énergie'!E11</f>
        <v>38</v>
      </c>
      <c r="M3" s="137" t="e">
        <f>E3*F3+G3*H3+#REF!*#REF!+I3*J3</f>
        <v>#REF!</v>
      </c>
    </row>
    <row r="4" spans="1:13" x14ac:dyDescent="0.2">
      <c r="A4" s="140" t="s">
        <v>13</v>
      </c>
      <c r="B4" s="144">
        <f t="shared" ref="B4:B32" si="0">B3+1</f>
        <v>3</v>
      </c>
      <c r="C4" s="144">
        <v>1</v>
      </c>
      <c r="D4" s="145">
        <v>2021</v>
      </c>
      <c r="E4" s="141">
        <f>submetering!E4+submetering!F4+submetering!G4</f>
        <v>7569</v>
      </c>
      <c r="F4" s="138">
        <v>1.05</v>
      </c>
      <c r="G4" s="138">
        <f>'Consommation mensuel énergie'!V12</f>
        <v>447.98894000000001</v>
      </c>
      <c r="H4" s="138">
        <v>9.8209999999999997</v>
      </c>
      <c r="I4" s="138">
        <f>'Consommation mensuel énergie'!F12</f>
        <v>61.899999999994179</v>
      </c>
      <c r="J4" s="138">
        <v>11.4</v>
      </c>
      <c r="K4" s="141">
        <f>'Consommation mensuel énergie'!D12</f>
        <v>34</v>
      </c>
      <c r="L4" s="141">
        <f>'Consommation mensuel énergie'!E12</f>
        <v>58</v>
      </c>
      <c r="M4" s="137" t="e">
        <f>E4*F4+G4*H4+#REF!*#REF!+I4*J4</f>
        <v>#REF!</v>
      </c>
    </row>
    <row r="5" spans="1:13" x14ac:dyDescent="0.2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submetering!E5+submetering!F5+submetering!G5</f>
        <v>7785</v>
      </c>
      <c r="F5" s="138">
        <v>1.05</v>
      </c>
      <c r="G5" s="138">
        <f>'Consommation mensuel énergie'!V13</f>
        <v>351.99131</v>
      </c>
      <c r="H5" s="138">
        <v>9.8209999999999997</v>
      </c>
      <c r="I5" s="138">
        <f>'Consommation mensuel énergie'!F13</f>
        <v>60.900000000008731</v>
      </c>
      <c r="J5" s="138">
        <v>11.4</v>
      </c>
      <c r="K5" s="141">
        <f>'Consommation mensuel énergie'!D13</f>
        <v>41</v>
      </c>
      <c r="L5" s="141">
        <f>'Consommation mensuel énergie'!E13</f>
        <v>67</v>
      </c>
      <c r="M5" s="137" t="e">
        <f>E5*F5+G5*H5+#REF!*#REF!+I5*J5</f>
        <v>#REF!</v>
      </c>
    </row>
    <row r="6" spans="1:13" x14ac:dyDescent="0.2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submetering!E6+submetering!F6+submetering!G6</f>
        <v>7602</v>
      </c>
      <c r="F6" s="138">
        <v>1.05</v>
      </c>
      <c r="G6" s="138">
        <f>'Consommation mensuel énergie'!V14</f>
        <v>415.98973000000001</v>
      </c>
      <c r="H6" s="138">
        <v>9.8209999999999997</v>
      </c>
      <c r="I6" s="138">
        <f>'Consommation mensuel énergie'!F14</f>
        <v>73.299999999988358</v>
      </c>
      <c r="J6" s="138">
        <v>11.4</v>
      </c>
      <c r="K6" s="141">
        <f>'Consommation mensuel énergie'!D14</f>
        <v>30</v>
      </c>
      <c r="L6" s="141">
        <f>'Consommation mensuel énergie'!E14</f>
        <v>51</v>
      </c>
      <c r="M6" s="137" t="e">
        <f>E6*F6+G6*H6+#REF!*#REF!+I6*J6</f>
        <v>#REF!</v>
      </c>
    </row>
    <row r="7" spans="1:13" x14ac:dyDescent="0.2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submetering!E7+submetering!F7+submetering!G7</f>
        <v>7766</v>
      </c>
      <c r="F7" s="138">
        <v>1.05</v>
      </c>
      <c r="G7" s="138">
        <f>'Consommation mensuel énergie'!V15</f>
        <v>607.98499000000004</v>
      </c>
      <c r="H7" s="138">
        <v>9.8209999999999997</v>
      </c>
      <c r="I7" s="138">
        <f>'Consommation mensuel énergie'!F15</f>
        <v>38.700000000011642</v>
      </c>
      <c r="J7" s="138">
        <v>11.4</v>
      </c>
      <c r="K7" s="141">
        <f>'Consommation mensuel énergie'!D15</f>
        <v>20</v>
      </c>
      <c r="L7" s="141">
        <f>'Consommation mensuel énergie'!E15</f>
        <v>24</v>
      </c>
      <c r="M7" s="137" t="e">
        <f>E7*F7+G7*H7+#REF!*#REF!+I7*J7</f>
        <v>#REF!</v>
      </c>
    </row>
    <row r="8" spans="1:13" x14ac:dyDescent="0.2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submetering!E8+submetering!F8+submetering!G8</f>
        <v>7404</v>
      </c>
      <c r="F8" s="138">
        <v>1.05</v>
      </c>
      <c r="G8" s="138">
        <f>'Consommation mensuel énergie'!V16</f>
        <v>127.99684000000001</v>
      </c>
      <c r="H8" s="138">
        <v>9.8209999999999997</v>
      </c>
      <c r="I8" s="138">
        <f>'Consommation mensuel énergie'!F16</f>
        <v>70.5</v>
      </c>
      <c r="J8" s="138">
        <v>11.4</v>
      </c>
      <c r="K8" s="141">
        <f>'Consommation mensuel énergie'!D16</f>
        <v>24</v>
      </c>
      <c r="L8" s="141">
        <f>'Consommation mensuel énergie'!E16</f>
        <v>43</v>
      </c>
      <c r="M8" s="137" t="e">
        <f>E8*F8+G8*H8+#REF!*#REF!+I8*J8</f>
        <v>#REF!</v>
      </c>
    </row>
    <row r="9" spans="1:13" x14ac:dyDescent="0.2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submetering!E9+submetering!F9+submetering!G9</f>
        <v>7785</v>
      </c>
      <c r="F9" s="138">
        <v>1.05</v>
      </c>
      <c r="G9" s="138">
        <f>'Consommation mensuel énergie'!V17</f>
        <v>223.99447000000001</v>
      </c>
      <c r="H9" s="138">
        <v>9.8209999999999997</v>
      </c>
      <c r="I9" s="138">
        <f>'Consommation mensuel énergie'!F17</f>
        <v>53.599999999991269</v>
      </c>
      <c r="J9" s="138">
        <v>11.4</v>
      </c>
      <c r="K9" s="141">
        <f>'Consommation mensuel énergie'!D17</f>
        <v>33</v>
      </c>
      <c r="L9" s="141">
        <f>'Consommation mensuel énergie'!E17</f>
        <v>49</v>
      </c>
      <c r="M9" s="137" t="e">
        <f>E9*F9+G9*H9+#REF!*#REF!+I9*J9</f>
        <v>#REF!</v>
      </c>
    </row>
    <row r="10" spans="1:13" x14ac:dyDescent="0.2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submetering!E10+submetering!F10+submetering!G10</f>
        <v>7375</v>
      </c>
      <c r="F10" s="138">
        <v>1.05</v>
      </c>
      <c r="G10" s="138">
        <f>'Consommation mensuel énergie'!V18</f>
        <v>223.99447000000001</v>
      </c>
      <c r="H10" s="138">
        <v>9.8209999999999997</v>
      </c>
      <c r="I10" s="138">
        <f>'Consommation mensuel énergie'!F18</f>
        <v>62.80000000000291</v>
      </c>
      <c r="J10" s="138">
        <v>11.4</v>
      </c>
      <c r="K10" s="141">
        <f>'Consommation mensuel énergie'!D18</f>
        <v>27</v>
      </c>
      <c r="L10" s="141">
        <f>'Consommation mensuel énergie'!E18</f>
        <v>38</v>
      </c>
      <c r="M10" s="137" t="e">
        <f>E10*F10+G10*H10+#REF!*#REF!+I10*J10</f>
        <v>#REF!</v>
      </c>
    </row>
    <row r="11" spans="1:13" x14ac:dyDescent="0.2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submetering!E11+submetering!F11+submetering!G11</f>
        <v>7573</v>
      </c>
      <c r="F11" s="138">
        <v>1.05</v>
      </c>
      <c r="G11" s="138">
        <f>'Consommation mensuel énergie'!V19</f>
        <v>383.99052</v>
      </c>
      <c r="H11" s="138">
        <v>9.8209999999999997</v>
      </c>
      <c r="I11" s="138">
        <f>'Consommation mensuel énergie'!F19</f>
        <v>75</v>
      </c>
      <c r="J11" s="138">
        <v>11.4</v>
      </c>
      <c r="K11" s="141">
        <f>'Consommation mensuel énergie'!D19</f>
        <v>24</v>
      </c>
      <c r="L11" s="141">
        <f>'Consommation mensuel énergie'!E19</f>
        <v>32</v>
      </c>
      <c r="M11" s="137" t="e">
        <f>E11*F11+G11*H11+#REF!*#REF!+I11*J11</f>
        <v>#REF!</v>
      </c>
    </row>
    <row r="12" spans="1:13" x14ac:dyDescent="0.2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submetering!E12+submetering!F12+submetering!G12</f>
        <v>7298</v>
      </c>
      <c r="F12" s="138">
        <v>1.05</v>
      </c>
      <c r="G12" s="138">
        <f>'Consommation mensuel énergie'!V20</f>
        <v>447.98894000000001</v>
      </c>
      <c r="H12" s="138">
        <v>9.8209999999999997</v>
      </c>
      <c r="I12" s="138">
        <f>'Consommation mensuel énergie'!F20</f>
        <v>63.899999999994179</v>
      </c>
      <c r="J12" s="138">
        <v>11.4</v>
      </c>
      <c r="K12" s="141">
        <f>'Consommation mensuel énergie'!D20</f>
        <v>27</v>
      </c>
      <c r="L12" s="141">
        <f>'Consommation mensuel énergie'!E20</f>
        <v>37</v>
      </c>
      <c r="M12" s="137" t="e">
        <f>E12*F12+G12*H12+#REF!*#REF!+I12*J12</f>
        <v>#REF!</v>
      </c>
    </row>
    <row r="13" spans="1:13" x14ac:dyDescent="0.2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submetering!E13+submetering!F13+submetering!G13</f>
        <v>7316</v>
      </c>
      <c r="F13" s="138">
        <v>1.05</v>
      </c>
      <c r="G13" s="138">
        <f>'Consommation mensuel énergie'!V21</f>
        <v>319.99209999999999</v>
      </c>
      <c r="H13" s="138">
        <v>9.8209999999999997</v>
      </c>
      <c r="I13" s="138">
        <f>'Consommation mensuel énergie'!F21</f>
        <v>39.200000000011642</v>
      </c>
      <c r="J13" s="138">
        <v>11.4</v>
      </c>
      <c r="K13" s="141">
        <f>'Consommation mensuel énergie'!D21</f>
        <v>38</v>
      </c>
      <c r="L13" s="141">
        <f>'Consommation mensuel énergie'!E21</f>
        <v>48</v>
      </c>
      <c r="M13" s="137" t="e">
        <f>E13*F13+G13*H13+#REF!*#REF!+I13*J13</f>
        <v>#REF!</v>
      </c>
    </row>
    <row r="14" spans="1:13" x14ac:dyDescent="0.2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submetering!E14+submetering!F14+submetering!G14</f>
        <v>7408</v>
      </c>
      <c r="F14" s="138">
        <v>1.05</v>
      </c>
      <c r="G14" s="138">
        <f>'Consommation mensuel énergie'!V22</f>
        <v>447.98894000000001</v>
      </c>
      <c r="H14" s="138">
        <v>9.8209999999999997</v>
      </c>
      <c r="I14" s="138">
        <f>'Consommation mensuel énergie'!F22</f>
        <v>60</v>
      </c>
      <c r="J14" s="138">
        <v>11.4</v>
      </c>
      <c r="K14" s="141">
        <f>'Consommation mensuel énergie'!D22</f>
        <v>31</v>
      </c>
      <c r="L14" s="141">
        <f>'Consommation mensuel énergie'!E22</f>
        <v>42</v>
      </c>
      <c r="M14" s="137" t="e">
        <f>E14*F14+G14*H14+#REF!*#REF!+I14*J14</f>
        <v>#REF!</v>
      </c>
    </row>
    <row r="15" spans="1:13" x14ac:dyDescent="0.2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submetering!E15+submetering!F15+submetering!G15</f>
        <v>7459</v>
      </c>
      <c r="F15" s="138">
        <v>1.05</v>
      </c>
      <c r="G15" s="138">
        <f>'Consommation mensuel énergie'!V23</f>
        <v>351.99131</v>
      </c>
      <c r="H15" s="138">
        <v>9.8209999999999997</v>
      </c>
      <c r="I15" s="138">
        <f>'Consommation mensuel énergie'!F23</f>
        <v>42.299999999988358</v>
      </c>
      <c r="J15" s="138">
        <v>11.4</v>
      </c>
      <c r="K15" s="141">
        <f>'Consommation mensuel énergie'!D23</f>
        <v>25</v>
      </c>
      <c r="L15" s="141">
        <f>'Consommation mensuel énergie'!E23</f>
        <v>39</v>
      </c>
      <c r="M15" s="137" t="e">
        <f>E15*F15+G15*H15+#REF!*#REF!+I15*J15</f>
        <v>#REF!</v>
      </c>
    </row>
    <row r="16" spans="1:13" x14ac:dyDescent="0.2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submetering!E16+submetering!F16+submetering!G16</f>
        <v>7524</v>
      </c>
      <c r="F16" s="138">
        <v>1.05</v>
      </c>
      <c r="G16" s="138">
        <f>'Consommation mensuel énergie'!V24</f>
        <v>319.99209999999999</v>
      </c>
      <c r="H16" s="138">
        <v>9.8209999999999997</v>
      </c>
      <c r="I16" s="138">
        <f>'Consommation mensuel énergie'!F24</f>
        <v>58.700000000011642</v>
      </c>
      <c r="J16" s="138">
        <v>11.4</v>
      </c>
      <c r="K16" s="141">
        <f>'Consommation mensuel énergie'!D24</f>
        <v>25</v>
      </c>
      <c r="L16" s="141">
        <f>'Consommation mensuel énergie'!E24</f>
        <v>44</v>
      </c>
      <c r="M16" s="137" t="e">
        <f>E16*F16+G16*H16+#REF!*#REF!+I16*J16</f>
        <v>#REF!</v>
      </c>
    </row>
    <row r="17" spans="1:13" x14ac:dyDescent="0.2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submetering!E17+submetering!F17+submetering!G17</f>
        <v>7362</v>
      </c>
      <c r="F17" s="138">
        <v>1.05</v>
      </c>
      <c r="G17" s="138">
        <f>'Consommation mensuel énergie'!V25</f>
        <v>671.98341000000005</v>
      </c>
      <c r="H17" s="138">
        <v>9.8209999999999997</v>
      </c>
      <c r="I17" s="138">
        <f>'Consommation mensuel énergie'!F25</f>
        <v>75</v>
      </c>
      <c r="J17" s="138">
        <v>11.4</v>
      </c>
      <c r="K17" s="141">
        <f>'Consommation mensuel énergie'!D25</f>
        <v>23</v>
      </c>
      <c r="L17" s="141">
        <f>'Consommation mensuel énergie'!E25</f>
        <v>38</v>
      </c>
      <c r="M17" s="137" t="e">
        <f>E17*F17+G17*H17+#REF!*#REF!+I17*J17</f>
        <v>#REF!</v>
      </c>
    </row>
    <row r="18" spans="1:13" x14ac:dyDescent="0.2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submetering!E18+submetering!F18+submetering!G18</f>
        <v>7467</v>
      </c>
      <c r="F18" s="138">
        <v>1.05</v>
      </c>
      <c r="G18" s="138">
        <f>'Consommation mensuel énergie'!V26</f>
        <v>447.98894000000001</v>
      </c>
      <c r="H18" s="138">
        <v>9.8209999999999997</v>
      </c>
      <c r="I18" s="138">
        <f>'Consommation mensuel énergie'!F26</f>
        <v>62.899999999994179</v>
      </c>
      <c r="J18" s="138">
        <v>11.4</v>
      </c>
      <c r="K18" s="141">
        <f>'Consommation mensuel énergie'!D26</f>
        <v>28</v>
      </c>
      <c r="L18" s="141">
        <f>'Consommation mensuel énergie'!E26</f>
        <v>39</v>
      </c>
      <c r="M18" s="137" t="e">
        <f>E18*F18+G18*H18+#REF!*#REF!+I18*J18</f>
        <v>#REF!</v>
      </c>
    </row>
    <row r="19" spans="1:13" x14ac:dyDescent="0.2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submetering!E19+submetering!F19+submetering!G19</f>
        <v>7445</v>
      </c>
      <c r="F19" s="138">
        <v>1.05</v>
      </c>
      <c r="G19" s="138">
        <f>'Consommation mensuel énergie'!V27</f>
        <v>415.98973000000001</v>
      </c>
      <c r="H19" s="138">
        <v>9.8209999999999997</v>
      </c>
      <c r="I19" s="138">
        <f>'Consommation mensuel énergie'!F27</f>
        <v>59</v>
      </c>
      <c r="J19" s="138">
        <v>11.4</v>
      </c>
      <c r="K19" s="141">
        <f>'Consommation mensuel énergie'!D27</f>
        <v>54</v>
      </c>
      <c r="L19" s="141">
        <f>'Consommation mensuel énergie'!E27</f>
        <v>69</v>
      </c>
      <c r="M19" s="137" t="e">
        <f>E19*F19+G19*H19+#REF!*#REF!+I19*J19</f>
        <v>#REF!</v>
      </c>
    </row>
    <row r="20" spans="1:13" x14ac:dyDescent="0.2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submetering!E20+submetering!F20+submetering!G20</f>
        <v>7792</v>
      </c>
      <c r="F20" s="138">
        <v>1.05</v>
      </c>
      <c r="G20" s="138">
        <f>'Consommation mensuel énergie'!V28</f>
        <v>255.99368000000001</v>
      </c>
      <c r="H20" s="138">
        <v>9.8209999999999997</v>
      </c>
      <c r="I20" s="138">
        <f>'Consommation mensuel énergie'!F28</f>
        <v>85</v>
      </c>
      <c r="J20" s="138">
        <v>11.4</v>
      </c>
      <c r="K20" s="141">
        <f>'Consommation mensuel énergie'!D28</f>
        <v>19</v>
      </c>
      <c r="L20" s="141">
        <f>'Consommation mensuel énergie'!E28</f>
        <v>32</v>
      </c>
      <c r="M20" s="137" t="e">
        <f>E20*F20+G20*H20+#REF!*#REF!+I20*J20</f>
        <v>#REF!</v>
      </c>
    </row>
    <row r="21" spans="1:13" x14ac:dyDescent="0.2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submetering!E21+submetering!F21+submetering!G21</f>
        <v>7568</v>
      </c>
      <c r="F21" s="138">
        <v>1.05</v>
      </c>
      <c r="G21" s="138">
        <f>'Consommation mensuel énergie'!V29</f>
        <v>255.99368000000001</v>
      </c>
      <c r="H21" s="138">
        <v>9.8209999999999997</v>
      </c>
      <c r="I21" s="138">
        <f>'Consommation mensuel énergie'!F29</f>
        <v>63.19999999999709</v>
      </c>
      <c r="J21" s="138">
        <v>11.4</v>
      </c>
      <c r="K21" s="141">
        <f>'Consommation mensuel énergie'!D29</f>
        <v>21</v>
      </c>
      <c r="L21" s="141">
        <f>'Consommation mensuel énergie'!E29</f>
        <v>29</v>
      </c>
      <c r="M21" s="137" t="e">
        <f>E21*F21+G21*H21+#REF!*#REF!+I21*J21</f>
        <v>#REF!</v>
      </c>
    </row>
    <row r="22" spans="1:13" x14ac:dyDescent="0.2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submetering!E22+submetering!F22+submetering!G22</f>
        <v>7715</v>
      </c>
      <c r="F22" s="138">
        <v>1.05</v>
      </c>
      <c r="G22" s="138">
        <f>'Consommation mensuel énergie'!V30</f>
        <v>351.99131</v>
      </c>
      <c r="H22" s="138">
        <v>9.8209999999999997</v>
      </c>
      <c r="I22" s="138">
        <f>'Consommation mensuel énergie'!F30</f>
        <v>54.30000000000291</v>
      </c>
      <c r="J22" s="138">
        <v>11.4</v>
      </c>
      <c r="K22" s="141">
        <f>'Consommation mensuel énergie'!D30</f>
        <v>32</v>
      </c>
      <c r="L22" s="141">
        <f>'Consommation mensuel énergie'!E30</f>
        <v>48</v>
      </c>
      <c r="M22" s="137" t="e">
        <f>E22*F22+G22*H22+#REF!*#REF!+I22*J22</f>
        <v>#REF!</v>
      </c>
    </row>
    <row r="23" spans="1:13" x14ac:dyDescent="0.2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submetering!E23+submetering!F23+submetering!G23</f>
        <v>7762</v>
      </c>
      <c r="F23" s="138">
        <v>1.05</v>
      </c>
      <c r="G23" s="138">
        <f>'Consommation mensuel énergie'!V31</f>
        <v>351.99131</v>
      </c>
      <c r="H23" s="138">
        <v>9.8209999999999997</v>
      </c>
      <c r="I23" s="138">
        <f>'Consommation mensuel énergie'!F31</f>
        <v>54.30000000000291</v>
      </c>
      <c r="J23" s="138">
        <v>11.4</v>
      </c>
      <c r="K23" s="141">
        <f>'Consommation mensuel énergie'!D31</f>
        <v>42</v>
      </c>
      <c r="L23" s="141">
        <f>'Consommation mensuel énergie'!E31</f>
        <v>66</v>
      </c>
      <c r="M23" s="137" t="e">
        <f>E23*F23+G23*H23+#REF!*#REF!+I23*J23</f>
        <v>#REF!</v>
      </c>
    </row>
    <row r="24" spans="1:13" x14ac:dyDescent="0.2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submetering!E24+submetering!F24+submetering!G24</f>
        <v>8940</v>
      </c>
      <c r="F24" s="138">
        <v>1.05</v>
      </c>
      <c r="G24" s="138">
        <f>'Consommation mensuel énergie'!V32</f>
        <v>415.98973000000001</v>
      </c>
      <c r="H24" s="138">
        <v>9.8209999999999997</v>
      </c>
      <c r="I24" s="138">
        <f>'Consommation mensuel énergie'!F32</f>
        <v>69.80000000000291</v>
      </c>
      <c r="J24" s="138">
        <v>11.4</v>
      </c>
      <c r="K24" s="141">
        <f>'Consommation mensuel énergie'!D32</f>
        <v>30</v>
      </c>
      <c r="L24" s="141">
        <f>'Consommation mensuel énergie'!E32</f>
        <v>50</v>
      </c>
      <c r="M24" s="137" t="e">
        <f>E24*F24+G24*H24+#REF!*#REF!+I24*J24</f>
        <v>#REF!</v>
      </c>
    </row>
    <row r="25" spans="1:13" x14ac:dyDescent="0.2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submetering!E25+submetering!F25+submetering!G25</f>
        <v>8659</v>
      </c>
      <c r="F25" s="138">
        <v>1.05</v>
      </c>
      <c r="G25" s="138">
        <f>'Consommation mensuel énergie'!V33</f>
        <v>319.99209999999999</v>
      </c>
      <c r="H25" s="138">
        <v>9.8209999999999997</v>
      </c>
      <c r="I25" s="138">
        <f>'Consommation mensuel énergie'!F33</f>
        <v>74.399999999994179</v>
      </c>
      <c r="J25" s="138">
        <v>11.4</v>
      </c>
      <c r="K25" s="141">
        <f>'Consommation mensuel énergie'!D33</f>
        <v>31</v>
      </c>
      <c r="L25" s="141">
        <f>'Consommation mensuel énergie'!E33</f>
        <v>47</v>
      </c>
      <c r="M25" s="137" t="e">
        <f>E25*F25+G25*H25+#REF!*#REF!+I25*J25</f>
        <v>#REF!</v>
      </c>
    </row>
    <row r="26" spans="1:13" x14ac:dyDescent="0.2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submetering!E26+submetering!F26+submetering!G26</f>
        <v>7683</v>
      </c>
      <c r="F26" s="138">
        <v>1.05</v>
      </c>
      <c r="G26" s="138">
        <f>'Consommation mensuel énergie'!V34</f>
        <v>735.98183000000006</v>
      </c>
      <c r="H26" s="138">
        <v>9.8209999999999997</v>
      </c>
      <c r="I26" s="138">
        <f>'Consommation mensuel énergie'!F34</f>
        <v>70</v>
      </c>
      <c r="J26" s="138">
        <v>11.4</v>
      </c>
      <c r="K26" s="141">
        <f>'Consommation mensuel énergie'!D34</f>
        <v>26</v>
      </c>
      <c r="L26" s="141">
        <f>'Consommation mensuel énergie'!E34</f>
        <v>48</v>
      </c>
      <c r="M26" s="137" t="e">
        <f>E26*F26+G26*H26+#REF!*#REF!+I26*J26</f>
        <v>#REF!</v>
      </c>
    </row>
    <row r="27" spans="1:13" x14ac:dyDescent="0.2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submetering!E27+submetering!F27+submetering!G27</f>
        <v>7064</v>
      </c>
      <c r="F27" s="138">
        <v>1.05</v>
      </c>
      <c r="G27" s="138">
        <f>'Consommation mensuel énergie'!V35</f>
        <v>511.98736000000002</v>
      </c>
      <c r="H27" s="138">
        <v>9.8209999999999997</v>
      </c>
      <c r="I27" s="138">
        <f>'Consommation mensuel énergie'!F35</f>
        <v>71.600000000005821</v>
      </c>
      <c r="J27" s="138">
        <v>11.4</v>
      </c>
      <c r="K27" s="141">
        <f>'Consommation mensuel énergie'!D35</f>
        <v>32</v>
      </c>
      <c r="L27" s="141">
        <f>'Consommation mensuel énergie'!E35</f>
        <v>53</v>
      </c>
      <c r="M27" s="137" t="e">
        <f>E27*F27+G27*H27+#REF!*#REF!+I27*J27</f>
        <v>#REF!</v>
      </c>
    </row>
    <row r="28" spans="1:13" x14ac:dyDescent="0.2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submetering!E28+submetering!F28+submetering!G28</f>
        <v>7580</v>
      </c>
      <c r="F28" s="138">
        <v>1.05</v>
      </c>
      <c r="G28" s="138">
        <f>'Consommation mensuel énergie'!V36</f>
        <v>479.98815000000002</v>
      </c>
      <c r="H28" s="138">
        <v>9.8209999999999997</v>
      </c>
      <c r="I28" s="138">
        <f>'Consommation mensuel énergie'!F36</f>
        <v>107.19999999999709</v>
      </c>
      <c r="J28" s="138">
        <v>11.4</v>
      </c>
      <c r="K28" s="141">
        <f>'Consommation mensuel énergie'!D36</f>
        <v>32</v>
      </c>
      <c r="L28" s="141">
        <f>'Consommation mensuel énergie'!E36</f>
        <v>47</v>
      </c>
      <c r="M28" s="137" t="e">
        <f>E28*F28+G28*H28+#REF!*#REF!+I28*J28</f>
        <v>#REF!</v>
      </c>
    </row>
    <row r="29" spans="1:13" x14ac:dyDescent="0.2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submetering!E29+submetering!F29+submetering!G29</f>
        <v>7635</v>
      </c>
      <c r="F29" s="138">
        <v>1.05</v>
      </c>
      <c r="G29" s="138">
        <f>'Consommation mensuel énergie'!V37</f>
        <v>479.98815000000002</v>
      </c>
      <c r="H29" s="138">
        <v>9.8209999999999997</v>
      </c>
      <c r="I29" s="138">
        <f>'Consommation mensuel énergie'!F37</f>
        <v>69.599999999991269</v>
      </c>
      <c r="J29" s="138">
        <v>11.4</v>
      </c>
      <c r="K29" s="141">
        <f>'Consommation mensuel énergie'!D37</f>
        <v>33</v>
      </c>
      <c r="L29" s="141">
        <f>'Consommation mensuel énergie'!E37</f>
        <v>51</v>
      </c>
      <c r="M29" s="137" t="e">
        <f>E29*F29+G29*H29+#REF!*#REF!+I29*J29</f>
        <v>#REF!</v>
      </c>
    </row>
    <row r="30" spans="1:13" x14ac:dyDescent="0.2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submetering!E30+submetering!F30+submetering!G30</f>
        <v>7875</v>
      </c>
      <c r="F30" s="138">
        <v>1.05</v>
      </c>
      <c r="G30" s="138">
        <f>'Consommation mensuel énergie'!V38</f>
        <v>351.99131</v>
      </c>
      <c r="H30" s="138">
        <v>9.8209999999999997</v>
      </c>
      <c r="I30" s="138">
        <f>'Consommation mensuel énergie'!F38</f>
        <v>52.80000000000291</v>
      </c>
      <c r="J30" s="138">
        <v>11.4</v>
      </c>
      <c r="K30" s="141">
        <f>'Consommation mensuel énergie'!D38</f>
        <v>33</v>
      </c>
      <c r="L30" s="141">
        <f>'Consommation mensuel énergie'!E38</f>
        <v>60</v>
      </c>
      <c r="M30" s="137"/>
    </row>
    <row r="31" spans="1:13" x14ac:dyDescent="0.2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submetering!E31+submetering!F31+submetering!G31</f>
        <v>8135</v>
      </c>
      <c r="F31" s="138">
        <v>1.05</v>
      </c>
      <c r="G31" s="138">
        <f>'Consommation mensuel énergie'!V39</f>
        <v>863.97867000000008</v>
      </c>
      <c r="H31" s="138">
        <v>9.8209999999999997</v>
      </c>
      <c r="I31" s="138">
        <f>'Consommation mensuel énergie'!F39</f>
        <v>89.80000000000291</v>
      </c>
      <c r="J31" s="138">
        <v>11.4</v>
      </c>
      <c r="K31" s="141">
        <f>'Consommation mensuel énergie'!D39</f>
        <v>39</v>
      </c>
      <c r="L31" s="141">
        <f>'Consommation mensuel énergie'!E39</f>
        <v>70</v>
      </c>
      <c r="M31" s="137"/>
    </row>
    <row r="32" spans="1:13" x14ac:dyDescent="0.2">
      <c r="A32" s="140" t="s">
        <v>13</v>
      </c>
      <c r="B32" s="144">
        <f t="shared" si="0"/>
        <v>31</v>
      </c>
      <c r="C32" s="144">
        <v>1</v>
      </c>
      <c r="D32" s="145">
        <v>2021</v>
      </c>
      <c r="E32" s="141">
        <f>submetering!E32+submetering!F32+submetering!G32</f>
        <v>7461</v>
      </c>
      <c r="F32" s="138">
        <v>1.05</v>
      </c>
      <c r="G32" s="138">
        <f>'Consommation mensuel énergie'!V40</f>
        <v>575.98577999999998</v>
      </c>
      <c r="H32" s="138">
        <v>9.8209999999999997</v>
      </c>
      <c r="I32" s="138">
        <f>'Consommation mensuel énergie'!F40</f>
        <v>72.600000000005821</v>
      </c>
      <c r="J32" s="138">
        <v>11.4</v>
      </c>
      <c r="K32" s="141">
        <f>'Consommation mensuel énergie'!D40</f>
        <v>32</v>
      </c>
      <c r="L32" s="141">
        <f>'Consommation mensuel énergie'!E40</f>
        <v>47</v>
      </c>
      <c r="M32" s="137"/>
    </row>
    <row r="33" spans="6:10" x14ac:dyDescent="0.2">
      <c r="F33" s="138"/>
      <c r="G33" s="138"/>
      <c r="H33" s="138"/>
      <c r="I33" s="138"/>
      <c r="J33" s="138"/>
    </row>
    <row r="34" spans="6:10" x14ac:dyDescent="0.2">
      <c r="F34" s="138"/>
      <c r="G34" s="138"/>
      <c r="H34" s="138"/>
      <c r="I34" s="138"/>
      <c r="J34" s="138"/>
    </row>
    <row r="35" spans="6:10" x14ac:dyDescent="0.2">
      <c r="F35" s="138"/>
      <c r="G35" s="138"/>
      <c r="H35" s="138"/>
      <c r="I35" s="138"/>
      <c r="J35" s="138"/>
    </row>
    <row r="36" spans="6:10" x14ac:dyDescent="0.2">
      <c r="F36" s="138"/>
      <c r="G36" s="138"/>
      <c r="H36" s="138"/>
      <c r="I36" s="138"/>
      <c r="J36" s="138"/>
    </row>
    <row r="37" spans="6:10" x14ac:dyDescent="0.2">
      <c r="F37" s="138"/>
      <c r="G37" s="138"/>
      <c r="H37" s="138"/>
      <c r="I37" s="138"/>
      <c r="J37" s="138"/>
    </row>
    <row r="38" spans="6:10" x14ac:dyDescent="0.2">
      <c r="F38" s="138"/>
      <c r="G38" s="138"/>
      <c r="H38" s="138"/>
      <c r="I38" s="138"/>
      <c r="J38" s="138"/>
    </row>
    <row r="39" spans="6:10" x14ac:dyDescent="0.2">
      <c r="F39" s="138"/>
      <c r="G39" s="138"/>
      <c r="H39" s="138"/>
      <c r="I39" s="138"/>
      <c r="J39" s="1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T23" sqref="T2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4" customWidth="1"/>
    <col min="4" max="4" width="13.42578125" style="145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3" customFormat="1" ht="45.75" thickBot="1" x14ac:dyDescent="0.3">
      <c r="A1" s="139" t="s">
        <v>0</v>
      </c>
      <c r="B1" s="142" t="s">
        <v>1</v>
      </c>
      <c r="C1" s="142" t="s">
        <v>2</v>
      </c>
      <c r="D1" s="143" t="s">
        <v>3</v>
      </c>
      <c r="E1" s="146" t="s">
        <v>14</v>
      </c>
      <c r="F1" s="146" t="s">
        <v>15</v>
      </c>
      <c r="G1" s="146" t="s">
        <v>16</v>
      </c>
      <c r="H1" s="135" t="s">
        <v>10</v>
      </c>
      <c r="I1" s="135" t="s">
        <v>11</v>
      </c>
      <c r="J1" s="136" t="s">
        <v>12</v>
      </c>
    </row>
    <row r="2" spans="1:10" x14ac:dyDescent="0.2">
      <c r="A2" s="140" t="s">
        <v>13</v>
      </c>
      <c r="B2" s="144">
        <v>1</v>
      </c>
      <c r="C2" s="144">
        <v>1</v>
      </c>
      <c r="D2" s="145">
        <v>2021</v>
      </c>
      <c r="E2" s="141">
        <f>'Consommation mensuel énergie'!L10</f>
        <v>2484</v>
      </c>
      <c r="F2" s="141">
        <f>'Consommation mensuel énergie'!M10</f>
        <v>3682</v>
      </c>
      <c r="G2" s="141">
        <f>'Consommation mensuel énergie'!N10</f>
        <v>1748</v>
      </c>
      <c r="H2" s="141">
        <f>'Consommation mensuel énergie'!D10</f>
        <v>27</v>
      </c>
      <c r="I2" s="141">
        <f>'Consommation mensuel énergie'!E10</f>
        <v>46</v>
      </c>
      <c r="J2" s="137" t="e">
        <f>E2*F2+G2*#REF!+#REF!*#REF!+#REF!*#REF!</f>
        <v>#REF!</v>
      </c>
    </row>
    <row r="3" spans="1:10" x14ac:dyDescent="0.2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'Consommation mensuel énergie'!L11</f>
        <v>2519</v>
      </c>
      <c r="F3" s="141">
        <f>'Consommation mensuel énergie'!M11</f>
        <v>3473</v>
      </c>
      <c r="G3" s="141">
        <f>'Consommation mensuel énergie'!N11</f>
        <v>1614</v>
      </c>
      <c r="H3" s="141">
        <f>'Consommation mensuel énergie'!D11</f>
        <v>21</v>
      </c>
      <c r="I3" s="141">
        <f>'Consommation mensuel énergie'!E11</f>
        <v>38</v>
      </c>
      <c r="J3" s="137" t="e">
        <f>E3*F3+G3*#REF!+#REF!*#REF!+#REF!*#REF!</f>
        <v>#REF!</v>
      </c>
    </row>
    <row r="4" spans="1:10" x14ac:dyDescent="0.2">
      <c r="A4" s="140" t="s">
        <v>13</v>
      </c>
      <c r="B4" s="144">
        <f t="shared" ref="B4:B31" si="0">B3+1</f>
        <v>3</v>
      </c>
      <c r="C4" s="144">
        <v>1</v>
      </c>
      <c r="D4" s="145">
        <v>2021</v>
      </c>
      <c r="E4" s="141">
        <f>'Consommation mensuel énergie'!L12</f>
        <v>2297</v>
      </c>
      <c r="F4" s="141">
        <f>'Consommation mensuel énergie'!M12</f>
        <v>3698</v>
      </c>
      <c r="G4" s="141">
        <f>'Consommation mensuel énergie'!N12</f>
        <v>1574</v>
      </c>
      <c r="H4" s="141">
        <f>'Consommation mensuel énergie'!D12</f>
        <v>34</v>
      </c>
      <c r="I4" s="141">
        <f>'Consommation mensuel énergie'!E12</f>
        <v>58</v>
      </c>
      <c r="J4" s="137" t="e">
        <f>E4*F4+G4*#REF!+#REF!*#REF!+#REF!*#REF!</f>
        <v>#REF!</v>
      </c>
    </row>
    <row r="5" spans="1:10" x14ac:dyDescent="0.2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'Consommation mensuel énergie'!L13</f>
        <v>2535</v>
      </c>
      <c r="F5" s="141">
        <f>'Consommation mensuel énergie'!M13</f>
        <v>3605</v>
      </c>
      <c r="G5" s="141">
        <f>'Consommation mensuel énergie'!N13</f>
        <v>1645</v>
      </c>
      <c r="H5" s="141">
        <f>'Consommation mensuel énergie'!D13</f>
        <v>41</v>
      </c>
      <c r="I5" s="141">
        <f>'Consommation mensuel énergie'!E13</f>
        <v>67</v>
      </c>
      <c r="J5" s="137" t="e">
        <f>E5*F5+G5*#REF!+#REF!*#REF!+#REF!*#REF!</f>
        <v>#REF!</v>
      </c>
    </row>
    <row r="6" spans="1:10" x14ac:dyDescent="0.2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'Consommation mensuel énergie'!L14</f>
        <v>2190</v>
      </c>
      <c r="F6" s="141">
        <f>'Consommation mensuel énergie'!M14</f>
        <v>3668</v>
      </c>
      <c r="G6" s="141">
        <f>'Consommation mensuel énergie'!N14</f>
        <v>1744</v>
      </c>
      <c r="H6" s="141">
        <f>'Consommation mensuel énergie'!D14</f>
        <v>30</v>
      </c>
      <c r="I6" s="141">
        <f>'Consommation mensuel énergie'!E14</f>
        <v>51</v>
      </c>
      <c r="J6" s="137" t="e">
        <f>E6*F6+G6*#REF!+#REF!*#REF!+#REF!*#REF!</f>
        <v>#REF!</v>
      </c>
    </row>
    <row r="7" spans="1:10" x14ac:dyDescent="0.2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'Consommation mensuel énergie'!L15</f>
        <v>2501</v>
      </c>
      <c r="F7" s="141">
        <f>'Consommation mensuel énergie'!M15</f>
        <v>3597</v>
      </c>
      <c r="G7" s="141">
        <f>'Consommation mensuel énergie'!N15</f>
        <v>1668</v>
      </c>
      <c r="H7" s="141">
        <f>'Consommation mensuel énergie'!D15</f>
        <v>20</v>
      </c>
      <c r="I7" s="141">
        <f>'Consommation mensuel énergie'!E15</f>
        <v>24</v>
      </c>
      <c r="J7" s="137" t="e">
        <f>E7*F7+G7*#REF!+#REF!*#REF!+#REF!*#REF!</f>
        <v>#REF!</v>
      </c>
    </row>
    <row r="8" spans="1:10" x14ac:dyDescent="0.2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'Consommation mensuel énergie'!L16</f>
        <v>2346</v>
      </c>
      <c r="F8" s="141">
        <f>'Consommation mensuel énergie'!M16</f>
        <v>3512</v>
      </c>
      <c r="G8" s="141">
        <f>'Consommation mensuel énergie'!N16</f>
        <v>1546</v>
      </c>
      <c r="H8" s="141">
        <f>'Consommation mensuel énergie'!D16</f>
        <v>24</v>
      </c>
      <c r="I8" s="141">
        <f>'Consommation mensuel énergie'!E16</f>
        <v>43</v>
      </c>
      <c r="J8" s="137" t="e">
        <f>E8*F8+G8*#REF!+#REF!*#REF!+#REF!*#REF!</f>
        <v>#REF!</v>
      </c>
    </row>
    <row r="9" spans="1:10" x14ac:dyDescent="0.2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'Consommation mensuel énergie'!L17</f>
        <v>2496</v>
      </c>
      <c r="F9" s="141">
        <f>'Consommation mensuel énergie'!M17</f>
        <v>3624</v>
      </c>
      <c r="G9" s="141">
        <f>'Consommation mensuel énergie'!N17</f>
        <v>1665</v>
      </c>
      <c r="H9" s="141">
        <f>'Consommation mensuel énergie'!D17</f>
        <v>33</v>
      </c>
      <c r="I9" s="141">
        <f>'Consommation mensuel énergie'!E17</f>
        <v>49</v>
      </c>
      <c r="J9" s="137" t="e">
        <f>E9*F9+G9*#REF!+#REF!*#REF!+#REF!*#REF!</f>
        <v>#REF!</v>
      </c>
    </row>
    <row r="10" spans="1:10" x14ac:dyDescent="0.2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'Consommation mensuel énergie'!L18</f>
        <v>2234</v>
      </c>
      <c r="F10" s="141">
        <f>'Consommation mensuel énergie'!M18</f>
        <v>3590</v>
      </c>
      <c r="G10" s="141">
        <f>'Consommation mensuel énergie'!N18</f>
        <v>1551</v>
      </c>
      <c r="H10" s="141">
        <f>'Consommation mensuel énergie'!D18</f>
        <v>27</v>
      </c>
      <c r="I10" s="141">
        <f>'Consommation mensuel énergie'!E18</f>
        <v>38</v>
      </c>
      <c r="J10" s="137" t="e">
        <f>E10*F10+G10*#REF!+#REF!*#REF!+#REF!*#REF!</f>
        <v>#REF!</v>
      </c>
    </row>
    <row r="11" spans="1:10" x14ac:dyDescent="0.2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'Consommation mensuel énergie'!L19</f>
        <v>2498</v>
      </c>
      <c r="F11" s="141">
        <f>'Consommation mensuel énergie'!M19</f>
        <v>3484</v>
      </c>
      <c r="G11" s="141">
        <f>'Consommation mensuel énergie'!N19</f>
        <v>1591</v>
      </c>
      <c r="H11" s="141">
        <f>'Consommation mensuel énergie'!D19</f>
        <v>24</v>
      </c>
      <c r="I11" s="141">
        <f>'Consommation mensuel énergie'!E19</f>
        <v>32</v>
      </c>
      <c r="J11" s="137" t="e">
        <f>E11*F11+G11*#REF!+#REF!*#REF!+#REF!*#REF!</f>
        <v>#REF!</v>
      </c>
    </row>
    <row r="12" spans="1:10" x14ac:dyDescent="0.2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'Consommation mensuel énergie'!L20</f>
        <v>2271</v>
      </c>
      <c r="F12" s="141">
        <f>'Consommation mensuel énergie'!M20</f>
        <v>3444</v>
      </c>
      <c r="G12" s="141">
        <f>'Consommation mensuel énergie'!N20</f>
        <v>1583</v>
      </c>
      <c r="H12" s="141">
        <f>'Consommation mensuel énergie'!D20</f>
        <v>27</v>
      </c>
      <c r="I12" s="141">
        <f>'Consommation mensuel énergie'!E20</f>
        <v>37</v>
      </c>
      <c r="J12" s="137" t="e">
        <f>E12*F12+G12*#REF!+#REF!*#REF!+#REF!*#REF!</f>
        <v>#REF!</v>
      </c>
    </row>
    <row r="13" spans="1:10" x14ac:dyDescent="0.2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'Consommation mensuel énergie'!L21</f>
        <v>2308</v>
      </c>
      <c r="F13" s="141">
        <f>'Consommation mensuel énergie'!M21</f>
        <v>3446</v>
      </c>
      <c r="G13" s="141">
        <f>'Consommation mensuel énergie'!N21</f>
        <v>1562</v>
      </c>
      <c r="H13" s="141">
        <f>'Consommation mensuel énergie'!D21</f>
        <v>38</v>
      </c>
      <c r="I13" s="141">
        <f>'Consommation mensuel énergie'!E21</f>
        <v>48</v>
      </c>
      <c r="J13" s="137" t="e">
        <f>E13*F13+G13*#REF!+#REF!*#REF!+#REF!*#REF!</f>
        <v>#REF!</v>
      </c>
    </row>
    <row r="14" spans="1:10" x14ac:dyDescent="0.2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'Consommation mensuel énergie'!L22</f>
        <v>2353</v>
      </c>
      <c r="F14" s="141">
        <f>'Consommation mensuel énergie'!M22</f>
        <v>3469</v>
      </c>
      <c r="G14" s="141">
        <f>'Consommation mensuel énergie'!N22</f>
        <v>1586</v>
      </c>
      <c r="H14" s="141">
        <f>'Consommation mensuel énergie'!D22</f>
        <v>31</v>
      </c>
      <c r="I14" s="141">
        <f>'Consommation mensuel énergie'!E22</f>
        <v>42</v>
      </c>
      <c r="J14" s="137" t="e">
        <f>E14*F14+G14*#REF!+#REF!*#REF!+#REF!*#REF!</f>
        <v>#REF!</v>
      </c>
    </row>
    <row r="15" spans="1:10" x14ac:dyDescent="0.2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'Consommation mensuel énergie'!L23</f>
        <v>2505</v>
      </c>
      <c r="F15" s="141">
        <f>'Consommation mensuel énergie'!M23</f>
        <v>3412</v>
      </c>
      <c r="G15" s="141">
        <f>'Consommation mensuel énergie'!N23</f>
        <v>1542</v>
      </c>
      <c r="H15" s="141">
        <f>'Consommation mensuel énergie'!D23</f>
        <v>25</v>
      </c>
      <c r="I15" s="141">
        <f>'Consommation mensuel énergie'!E23</f>
        <v>39</v>
      </c>
      <c r="J15" s="137" t="e">
        <f>E15*F15+G15*#REF!+#REF!*#REF!+#REF!*#REF!</f>
        <v>#REF!</v>
      </c>
    </row>
    <row r="16" spans="1:10" x14ac:dyDescent="0.2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'Consommation mensuel énergie'!L24</f>
        <v>2393</v>
      </c>
      <c r="F16" s="141">
        <f>'Consommation mensuel énergie'!M24</f>
        <v>3524</v>
      </c>
      <c r="G16" s="141">
        <f>'Consommation mensuel énergie'!N24</f>
        <v>1607</v>
      </c>
      <c r="H16" s="141">
        <f>'Consommation mensuel énergie'!D24</f>
        <v>25</v>
      </c>
      <c r="I16" s="141">
        <f>'Consommation mensuel énergie'!E24</f>
        <v>44</v>
      </c>
      <c r="J16" s="137" t="e">
        <f>E16*F16+G16*#REF!+#REF!*#REF!+#REF!*#REF!</f>
        <v>#REF!</v>
      </c>
    </row>
    <row r="17" spans="1:10" x14ac:dyDescent="0.2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'Consommation mensuel énergie'!L25</f>
        <v>2444</v>
      </c>
      <c r="F17" s="141">
        <f>'Consommation mensuel énergie'!M25</f>
        <v>3365</v>
      </c>
      <c r="G17" s="141">
        <f>'Consommation mensuel énergie'!N25</f>
        <v>1553</v>
      </c>
      <c r="H17" s="141">
        <f>'Consommation mensuel énergie'!D25</f>
        <v>23</v>
      </c>
      <c r="I17" s="141">
        <f>'Consommation mensuel énergie'!E25</f>
        <v>38</v>
      </c>
      <c r="J17" s="137" t="e">
        <f>E17*F17+G17*#REF!+#REF!*#REF!+#REF!*#REF!</f>
        <v>#REF!</v>
      </c>
    </row>
    <row r="18" spans="1:10" x14ac:dyDescent="0.2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'Consommation mensuel énergie'!L26</f>
        <v>2599</v>
      </c>
      <c r="F18" s="141">
        <f>'Consommation mensuel énergie'!M26</f>
        <v>3336</v>
      </c>
      <c r="G18" s="141">
        <f>'Consommation mensuel énergie'!N26</f>
        <v>1532</v>
      </c>
      <c r="H18" s="141">
        <f>'Consommation mensuel énergie'!D26</f>
        <v>28</v>
      </c>
      <c r="I18" s="141">
        <f>'Consommation mensuel énergie'!E26</f>
        <v>39</v>
      </c>
      <c r="J18" s="137" t="e">
        <f>E18*F18+G18*#REF!+#REF!*#REF!+#REF!*#REF!</f>
        <v>#REF!</v>
      </c>
    </row>
    <row r="19" spans="1:10" x14ac:dyDescent="0.2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'Consommation mensuel énergie'!L27</f>
        <v>2446</v>
      </c>
      <c r="F19" s="141">
        <f>'Consommation mensuel énergie'!M27</f>
        <v>3417</v>
      </c>
      <c r="G19" s="141">
        <f>'Consommation mensuel énergie'!N27</f>
        <v>1582</v>
      </c>
      <c r="H19" s="141">
        <f>'Consommation mensuel énergie'!D27</f>
        <v>54</v>
      </c>
      <c r="I19" s="141">
        <f>'Consommation mensuel énergie'!E27</f>
        <v>69</v>
      </c>
      <c r="J19" s="137" t="e">
        <f>E19*F19+G19*#REF!+#REF!*#REF!+#REF!*#REF!</f>
        <v>#REF!</v>
      </c>
    </row>
    <row r="20" spans="1:10" x14ac:dyDescent="0.2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'Consommation mensuel énergie'!L28</f>
        <v>2521</v>
      </c>
      <c r="F20" s="141">
        <f>'Consommation mensuel énergie'!M28</f>
        <v>3698</v>
      </c>
      <c r="G20" s="141">
        <f>'Consommation mensuel énergie'!N28</f>
        <v>1573</v>
      </c>
      <c r="H20" s="141">
        <f>'Consommation mensuel énergie'!D28</f>
        <v>19</v>
      </c>
      <c r="I20" s="141">
        <f>'Consommation mensuel énergie'!E28</f>
        <v>32</v>
      </c>
      <c r="J20" s="137" t="e">
        <f>E20*F20+G20*#REF!+#REF!*#REF!+#REF!*#REF!</f>
        <v>#REF!</v>
      </c>
    </row>
    <row r="21" spans="1:10" x14ac:dyDescent="0.2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'Consommation mensuel énergie'!L29</f>
        <v>2238</v>
      </c>
      <c r="F21" s="141">
        <f>'Consommation mensuel énergie'!M29</f>
        <v>3743</v>
      </c>
      <c r="G21" s="141">
        <f>'Consommation mensuel énergie'!N29</f>
        <v>1587</v>
      </c>
      <c r="H21" s="141">
        <f>'Consommation mensuel énergie'!D29</f>
        <v>21</v>
      </c>
      <c r="I21" s="141">
        <f>'Consommation mensuel énergie'!E29</f>
        <v>29</v>
      </c>
      <c r="J21" s="137" t="e">
        <f>E21*F21+G21*#REF!+#REF!*#REF!+#REF!*#REF!</f>
        <v>#REF!</v>
      </c>
    </row>
    <row r="22" spans="1:10" x14ac:dyDescent="0.2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'Consommation mensuel énergie'!L30</f>
        <v>2576</v>
      </c>
      <c r="F22" s="141">
        <f>'Consommation mensuel énergie'!M30</f>
        <v>3561</v>
      </c>
      <c r="G22" s="141">
        <f>'Consommation mensuel énergie'!N30</f>
        <v>1578</v>
      </c>
      <c r="H22" s="141">
        <f>'Consommation mensuel énergie'!D30</f>
        <v>32</v>
      </c>
      <c r="I22" s="141">
        <f>'Consommation mensuel énergie'!E30</f>
        <v>48</v>
      </c>
      <c r="J22" s="137" t="e">
        <f>E22*F22+G22*#REF!+#REF!*#REF!+#REF!*#REF!</f>
        <v>#REF!</v>
      </c>
    </row>
    <row r="23" spans="1:10" x14ac:dyDescent="0.2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'Consommation mensuel énergie'!L31</f>
        <v>2555</v>
      </c>
      <c r="F23" s="141">
        <f>'Consommation mensuel énergie'!M31</f>
        <v>3570</v>
      </c>
      <c r="G23" s="141">
        <f>'Consommation mensuel énergie'!N31</f>
        <v>1637</v>
      </c>
      <c r="H23" s="141">
        <f>'Consommation mensuel énergie'!D31</f>
        <v>42</v>
      </c>
      <c r="I23" s="141">
        <f>'Consommation mensuel énergie'!E31</f>
        <v>66</v>
      </c>
      <c r="J23" s="137" t="e">
        <f>E23*F23+G23*#REF!+#REF!*#REF!+#REF!*#REF!</f>
        <v>#REF!</v>
      </c>
    </row>
    <row r="24" spans="1:10" x14ac:dyDescent="0.2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'Consommation mensuel énergie'!L32</f>
        <v>2803</v>
      </c>
      <c r="F24" s="141">
        <f>'Consommation mensuel énergie'!M32</f>
        <v>3973</v>
      </c>
      <c r="G24" s="141">
        <f>'Consommation mensuel énergie'!N32</f>
        <v>2164</v>
      </c>
      <c r="H24" s="141">
        <f>'Consommation mensuel énergie'!D32</f>
        <v>30</v>
      </c>
      <c r="I24" s="141">
        <f>'Consommation mensuel énergie'!E32</f>
        <v>50</v>
      </c>
      <c r="J24" s="137" t="e">
        <f>E24*F24+G24*#REF!+#REF!*#REF!+#REF!*#REF!</f>
        <v>#REF!</v>
      </c>
    </row>
    <row r="25" spans="1:10" x14ac:dyDescent="0.2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'Consommation mensuel énergie'!L33</f>
        <v>2824</v>
      </c>
      <c r="F25" s="141">
        <f>'Consommation mensuel énergie'!M33</f>
        <v>4062</v>
      </c>
      <c r="G25" s="141">
        <f>'Consommation mensuel énergie'!N33</f>
        <v>1773</v>
      </c>
      <c r="H25" s="141">
        <f>'Consommation mensuel énergie'!D33</f>
        <v>31</v>
      </c>
      <c r="I25" s="141">
        <f>'Consommation mensuel énergie'!E33</f>
        <v>47</v>
      </c>
      <c r="J25" s="137" t="e">
        <f>E25*F25+G25*#REF!+#REF!*#REF!+#REF!*#REF!</f>
        <v>#REF!</v>
      </c>
    </row>
    <row r="26" spans="1:10" x14ac:dyDescent="0.2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'Consommation mensuel énergie'!L34</f>
        <v>2444</v>
      </c>
      <c r="F26" s="141">
        <f>'Consommation mensuel énergie'!M34</f>
        <v>3664</v>
      </c>
      <c r="G26" s="141">
        <f>'Consommation mensuel énergie'!N34</f>
        <v>1575</v>
      </c>
      <c r="H26" s="141">
        <f>'Consommation mensuel énergie'!D34</f>
        <v>26</v>
      </c>
      <c r="I26" s="141">
        <f>'Consommation mensuel énergie'!E34</f>
        <v>48</v>
      </c>
      <c r="J26" s="137" t="e">
        <f>E26*F26+G26*#REF!+#REF!*#REF!+#REF!*#REF!</f>
        <v>#REF!</v>
      </c>
    </row>
    <row r="27" spans="1:10" x14ac:dyDescent="0.2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'Consommation mensuel énergie'!L35</f>
        <v>1941</v>
      </c>
      <c r="F27" s="141">
        <f>'Consommation mensuel énergie'!M35</f>
        <v>3537</v>
      </c>
      <c r="G27" s="141">
        <f>'Consommation mensuel énergie'!N35</f>
        <v>1586</v>
      </c>
      <c r="H27" s="141">
        <f>'Consommation mensuel énergie'!D35</f>
        <v>32</v>
      </c>
      <c r="I27" s="141">
        <f>'Consommation mensuel énergie'!E35</f>
        <v>53</v>
      </c>
      <c r="J27" s="137" t="e">
        <f>E27*F27+G27*#REF!+#REF!*#REF!+#REF!*#REF!</f>
        <v>#REF!</v>
      </c>
    </row>
    <row r="28" spans="1:10" x14ac:dyDescent="0.2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'Consommation mensuel énergie'!L36</f>
        <v>2443</v>
      </c>
      <c r="F28" s="141">
        <f>'Consommation mensuel énergie'!M36</f>
        <v>3519</v>
      </c>
      <c r="G28" s="141">
        <f>'Consommation mensuel énergie'!N36</f>
        <v>1618</v>
      </c>
      <c r="H28" s="141">
        <f>'Consommation mensuel énergie'!D36</f>
        <v>32</v>
      </c>
      <c r="I28" s="141">
        <f>'Consommation mensuel énergie'!E36</f>
        <v>47</v>
      </c>
      <c r="J28" s="137" t="e">
        <f>E28*F28+G28*#REF!+#REF!*#REF!+#REF!*#REF!</f>
        <v>#REF!</v>
      </c>
    </row>
    <row r="29" spans="1:10" x14ac:dyDescent="0.2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'Consommation mensuel énergie'!L37</f>
        <v>2362</v>
      </c>
      <c r="F29" s="141">
        <f>'Consommation mensuel énergie'!M37</f>
        <v>3637</v>
      </c>
      <c r="G29" s="141">
        <f>'Consommation mensuel énergie'!N37</f>
        <v>1636</v>
      </c>
      <c r="H29" s="141">
        <f>'Consommation mensuel énergie'!D37</f>
        <v>33</v>
      </c>
      <c r="I29" s="141">
        <f>'Consommation mensuel énergie'!E37</f>
        <v>51</v>
      </c>
      <c r="J29" s="137" t="e">
        <f>E29*F29+G29*#REF!+#REF!*#REF!+#REF!*#REF!</f>
        <v>#REF!</v>
      </c>
    </row>
    <row r="30" spans="1:10" x14ac:dyDescent="0.2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'Consommation mensuel énergie'!L38</f>
        <v>2513</v>
      </c>
      <c r="F30" s="141">
        <f>'Consommation mensuel énergie'!M38</f>
        <v>3661</v>
      </c>
      <c r="G30" s="141">
        <f>'Consommation mensuel énergie'!N38</f>
        <v>1701</v>
      </c>
      <c r="H30" s="141">
        <f>'Consommation mensuel énergie'!D38</f>
        <v>33</v>
      </c>
      <c r="I30" s="141">
        <f>'Consommation mensuel énergie'!E38</f>
        <v>60</v>
      </c>
      <c r="J30" s="137"/>
    </row>
    <row r="31" spans="1:10" x14ac:dyDescent="0.2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'Consommation mensuel énergie'!L39</f>
        <v>2829</v>
      </c>
      <c r="F31" s="141">
        <f>'Consommation mensuel énergie'!M39</f>
        <v>3593</v>
      </c>
      <c r="G31" s="141">
        <f>'Consommation mensuel énergie'!N39</f>
        <v>1713</v>
      </c>
      <c r="H31" s="141">
        <f>'Consommation mensuel énergie'!D39</f>
        <v>39</v>
      </c>
      <c r="I31" s="141">
        <f>'Consommation mensuel énergie'!E39</f>
        <v>70</v>
      </c>
      <c r="J31" s="137"/>
    </row>
    <row r="32" spans="1:10" x14ac:dyDescent="0.2">
      <c r="A32" s="140" t="s">
        <v>13</v>
      </c>
      <c r="B32" s="144">
        <f>B31+1</f>
        <v>31</v>
      </c>
      <c r="C32" s="144">
        <v>1</v>
      </c>
      <c r="D32" s="145">
        <v>2021</v>
      </c>
      <c r="E32" s="141">
        <f>'Consommation mensuel énergie'!L40</f>
        <v>2368</v>
      </c>
      <c r="F32" s="141">
        <f>'Consommation mensuel énergie'!M40</f>
        <v>3509</v>
      </c>
      <c r="G32" s="141">
        <f>'Consommation mensuel énergie'!N40</f>
        <v>1584</v>
      </c>
      <c r="H32" s="141">
        <f>'Consommation mensuel énergie'!D40</f>
        <v>32</v>
      </c>
      <c r="I32" s="141">
        <f>'Consommation mensuel énergie'!E40</f>
        <v>47</v>
      </c>
      <c r="J32" s="137"/>
    </row>
    <row r="33" spans="5:9" x14ac:dyDescent="0.2">
      <c r="E33" s="138"/>
      <c r="F33" s="138"/>
      <c r="G33" s="138"/>
      <c r="H33" s="137"/>
      <c r="I33" s="137"/>
    </row>
    <row r="34" spans="5:9" x14ac:dyDescent="0.2">
      <c r="E34" s="138"/>
      <c r="F34" s="138"/>
      <c r="G34" s="138"/>
      <c r="H34" s="137"/>
      <c r="I34" s="137"/>
    </row>
    <row r="35" spans="5:9" x14ac:dyDescent="0.2">
      <c r="E35" s="138"/>
      <c r="F35" s="138"/>
      <c r="G35" s="138"/>
      <c r="H35" s="137"/>
      <c r="I35" s="137"/>
    </row>
    <row r="36" spans="5:9" x14ac:dyDescent="0.2">
      <c r="E36" s="138"/>
      <c r="F36" s="138"/>
      <c r="G36" s="138"/>
      <c r="H36" s="137"/>
      <c r="I36" s="137"/>
    </row>
    <row r="37" spans="5:9" x14ac:dyDescent="0.2">
      <c r="E37" s="138"/>
      <c r="F37" s="138"/>
      <c r="G37" s="138"/>
      <c r="H37" s="137"/>
      <c r="I37" s="137"/>
    </row>
    <row r="38" spans="5:9" x14ac:dyDescent="0.2">
      <c r="E38" s="138"/>
      <c r="F38" s="138"/>
      <c r="G38" s="138"/>
      <c r="H38" s="137"/>
      <c r="I38" s="137"/>
    </row>
    <row r="39" spans="5:9" x14ac:dyDescent="0.2">
      <c r="E39" s="138"/>
      <c r="F39" s="138"/>
      <c r="G39" s="138"/>
      <c r="H39" s="137"/>
      <c r="I39" s="13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AF34" sqref="AF34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</row>
    <row r="2" spans="1:24" ht="100.5" customHeight="1" thickBot="1" x14ac:dyDescent="0.25">
      <c r="A2" s="193"/>
      <c r="B2" s="194"/>
      <c r="C2" s="194"/>
      <c r="D2" s="194"/>
      <c r="E2" s="194"/>
      <c r="F2" s="194"/>
      <c r="G2" s="194"/>
      <c r="H2" s="195"/>
      <c r="I2" s="204" t="s">
        <v>17</v>
      </c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</row>
    <row r="3" spans="1:24" ht="15" hidden="1" customHeight="1" thickBot="1" x14ac:dyDescent="0.2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</row>
    <row r="4" spans="1:24" ht="39" hidden="1" customHeight="1" thickBot="1" x14ac:dyDescent="0.25">
      <c r="A4" s="196"/>
      <c r="B4" s="196"/>
      <c r="C4" s="196"/>
      <c r="D4" s="162"/>
      <c r="E4" s="162"/>
      <c r="F4" s="162"/>
      <c r="G4" s="162"/>
      <c r="H4" s="162"/>
      <c r="I4" s="162"/>
      <c r="J4" s="162"/>
      <c r="K4" s="162"/>
      <c r="L4" s="162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96"/>
      <c r="B5" s="196"/>
      <c r="C5" s="196"/>
      <c r="D5" s="162"/>
      <c r="E5" s="162"/>
      <c r="F5" s="162"/>
      <c r="G5" s="162"/>
      <c r="H5" s="162"/>
      <c r="I5" s="162"/>
      <c r="J5" s="162"/>
      <c r="K5" s="162"/>
      <c r="L5" s="162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</row>
    <row r="6" spans="1:24" s="5" customFormat="1" ht="44.25" hidden="1" customHeight="1" thickBot="1" x14ac:dyDescent="0.25">
      <c r="A6" s="3"/>
      <c r="B6" s="3"/>
      <c r="C6" s="3"/>
      <c r="D6" s="162"/>
      <c r="E6" s="162"/>
      <c r="F6" s="162"/>
      <c r="G6" s="162"/>
      <c r="H6" s="162"/>
      <c r="I6" s="162"/>
      <c r="J6" s="162"/>
      <c r="K6" s="162"/>
      <c r="L6" s="162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</row>
    <row r="7" spans="1:24" s="5" customFormat="1" ht="18.75" hidden="1" customHeight="1" thickBot="1" x14ac:dyDescent="0.25">
      <c r="A7" s="162"/>
      <c r="B7" s="162"/>
      <c r="C7" s="162"/>
      <c r="D7" s="162"/>
      <c r="E7" s="162"/>
      <c r="F7" s="197"/>
      <c r="G7" s="197"/>
      <c r="H7" s="197"/>
      <c r="I7" s="197"/>
      <c r="J7" s="197"/>
      <c r="K7" s="197"/>
      <c r="L7" s="197"/>
      <c r="M7" s="197"/>
      <c r="N7" s="206"/>
      <c r="O7" s="206"/>
      <c r="P7" s="197"/>
      <c r="Q7" s="197"/>
      <c r="R7" s="197"/>
      <c r="S7" s="197"/>
      <c r="T7" s="197"/>
      <c r="U7" s="197"/>
      <c r="V7" s="197"/>
      <c r="W7" s="197"/>
      <c r="X7" s="197"/>
    </row>
    <row r="8" spans="1:24" ht="18.75" customHeight="1" thickBot="1" x14ac:dyDescent="0.25">
      <c r="A8" s="197"/>
      <c r="B8" s="208" t="s">
        <v>19</v>
      </c>
      <c r="C8" s="4"/>
      <c r="D8" s="209" t="s">
        <v>20</v>
      </c>
      <c r="E8" s="209" t="s">
        <v>21</v>
      </c>
      <c r="F8" s="189" t="s">
        <v>22</v>
      </c>
      <c r="G8" s="2"/>
      <c r="H8" s="198" t="s">
        <v>23</v>
      </c>
      <c r="I8" s="199"/>
      <c r="J8" s="200"/>
      <c r="K8" s="191" t="s">
        <v>24</v>
      </c>
      <c r="L8" s="188" t="s">
        <v>25</v>
      </c>
      <c r="M8" s="188"/>
      <c r="N8" s="188"/>
      <c r="O8" s="188" t="s">
        <v>26</v>
      </c>
      <c r="P8" s="2"/>
      <c r="Q8" s="186" t="s">
        <v>23</v>
      </c>
      <c r="R8" s="2"/>
      <c r="S8" s="186" t="s">
        <v>27</v>
      </c>
      <c r="T8" s="2"/>
      <c r="U8" s="186" t="s">
        <v>28</v>
      </c>
      <c r="V8" s="211" t="s">
        <v>29</v>
      </c>
      <c r="W8" s="2"/>
      <c r="X8" s="186" t="s">
        <v>23</v>
      </c>
    </row>
    <row r="9" spans="1:24" ht="59.25" customHeight="1" thickBot="1" x14ac:dyDescent="0.25">
      <c r="A9" s="197"/>
      <c r="B9" s="208"/>
      <c r="C9" s="4"/>
      <c r="D9" s="210"/>
      <c r="E9" s="210"/>
      <c r="F9" s="190"/>
      <c r="G9" s="2"/>
      <c r="H9" s="201"/>
      <c r="I9" s="202"/>
      <c r="J9" s="203"/>
      <c r="K9" s="192"/>
      <c r="L9" s="161" t="s">
        <v>30</v>
      </c>
      <c r="M9" s="161" t="s">
        <v>31</v>
      </c>
      <c r="N9" s="161" t="s">
        <v>32</v>
      </c>
      <c r="O9" s="207"/>
      <c r="P9" s="2"/>
      <c r="Q9" s="187"/>
      <c r="R9" s="2"/>
      <c r="S9" s="187"/>
      <c r="T9" s="2"/>
      <c r="U9" s="187"/>
      <c r="V9" s="212"/>
      <c r="W9" s="2"/>
      <c r="X9" s="187"/>
    </row>
    <row r="10" spans="1:24" ht="32.25" customHeight="1" thickBot="1" x14ac:dyDescent="0.25">
      <c r="A10" s="2"/>
      <c r="B10" s="6">
        <v>44197</v>
      </c>
      <c r="C10" s="7"/>
      <c r="D10" s="147">
        <v>27</v>
      </c>
      <c r="E10" s="147">
        <v>46</v>
      </c>
      <c r="F10" s="13">
        <f>'Suivi EAU-ELEC'!E9</f>
        <v>48</v>
      </c>
      <c r="G10" s="11"/>
      <c r="H10" s="176">
        <f>F10*8.79</f>
        <v>421.91999999999996</v>
      </c>
      <c r="I10" s="177"/>
      <c r="J10" s="177"/>
      <c r="K10" s="63">
        <v>42278</v>
      </c>
      <c r="L10" s="93">
        <f>'Suivi EAU-ELEC'!G9</f>
        <v>2484</v>
      </c>
      <c r="M10" s="94">
        <f>'Suivi EAU-ELEC'!I9</f>
        <v>3682</v>
      </c>
      <c r="N10" s="94">
        <f>'Suivi EAU-ELEC'!K9</f>
        <v>1748</v>
      </c>
      <c r="O10" s="94">
        <f>L10+M10+N10</f>
        <v>7914</v>
      </c>
      <c r="P10" s="11"/>
      <c r="Q10" s="34">
        <f>L10*0.6985+M10*0.9514+N10*1.3304</f>
        <v>7563.6680000000006</v>
      </c>
      <c r="R10" s="11"/>
      <c r="S10" s="28"/>
      <c r="T10" s="11"/>
      <c r="U10" s="28"/>
      <c r="V10" s="153">
        <f>'Suvi Gaz'!O4</f>
        <v>287.99288999999999</v>
      </c>
      <c r="W10" s="11"/>
      <c r="X10" s="34">
        <f>V10*9.1009</f>
        <v>2620.9944926009998</v>
      </c>
    </row>
    <row r="11" spans="1:24" ht="32.25" customHeight="1" thickBot="1" x14ac:dyDescent="0.25">
      <c r="A11" s="2"/>
      <c r="B11" s="6">
        <v>44198</v>
      </c>
      <c r="C11" s="7"/>
      <c r="D11" s="147">
        <v>21</v>
      </c>
      <c r="E11" s="147">
        <v>38</v>
      </c>
      <c r="F11" s="13">
        <f>'Suivi EAU-ELEC'!E10</f>
        <v>87.100000000005821</v>
      </c>
      <c r="G11" s="11"/>
      <c r="H11" s="176">
        <f t="shared" ref="H11:H21" si="0">F11*8.79</f>
        <v>765.60900000005108</v>
      </c>
      <c r="I11" s="177"/>
      <c r="J11" s="177"/>
      <c r="K11" s="63">
        <v>42279</v>
      </c>
      <c r="L11" s="93">
        <f>'Suivi EAU-ELEC'!G10</f>
        <v>2519</v>
      </c>
      <c r="M11" s="94">
        <f>'Suivi EAU-ELEC'!I10</f>
        <v>3473</v>
      </c>
      <c r="N11" s="94">
        <f>'Suivi EAU-ELEC'!K10</f>
        <v>1614</v>
      </c>
      <c r="O11" s="94">
        <f>L11+M11+N11</f>
        <v>7606</v>
      </c>
      <c r="P11" s="11"/>
      <c r="Q11" s="34">
        <f>L11*0.6985+M11*0.9514+N11*1.3304</f>
        <v>7210.9992999999995</v>
      </c>
      <c r="R11" s="11"/>
      <c r="S11" s="28"/>
      <c r="T11" s="11"/>
      <c r="U11" s="28"/>
      <c r="V11" s="153">
        <f>'Suvi Gaz'!O5</f>
        <v>479.98815000000002</v>
      </c>
      <c r="W11" s="11"/>
      <c r="X11" s="34">
        <f t="shared" ref="X11:X40" si="1">V11*9.1009</f>
        <v>4368.3241543349995</v>
      </c>
    </row>
    <row r="12" spans="1:24" ht="32.25" customHeight="1" thickBot="1" x14ac:dyDescent="0.25">
      <c r="A12" s="2"/>
      <c r="B12" s="6">
        <v>44199</v>
      </c>
      <c r="C12" s="7"/>
      <c r="D12" s="147">
        <v>34</v>
      </c>
      <c r="E12" s="147">
        <v>58</v>
      </c>
      <c r="F12" s="13">
        <f>'Suivi EAU-ELEC'!E11</f>
        <v>61.899999999994179</v>
      </c>
      <c r="G12" s="11"/>
      <c r="H12" s="176">
        <f t="shared" si="0"/>
        <v>544.10099999994873</v>
      </c>
      <c r="I12" s="177"/>
      <c r="J12" s="177"/>
      <c r="K12" s="63">
        <v>42280</v>
      </c>
      <c r="L12" s="93">
        <f>'Suivi EAU-ELEC'!G11</f>
        <v>2297</v>
      </c>
      <c r="M12" s="94">
        <f>'Suivi EAU-ELEC'!I11</f>
        <v>3698</v>
      </c>
      <c r="N12" s="94">
        <f>'Suivi EAU-ELEC'!K11</f>
        <v>1574</v>
      </c>
      <c r="O12" s="94">
        <f>L12+M12+N12</f>
        <v>7569</v>
      </c>
      <c r="P12" s="11"/>
      <c r="Q12" s="34">
        <f>L12*0.6985+M12*0.9514+N12*1.3304</f>
        <v>7216.7813000000006</v>
      </c>
      <c r="R12" s="11"/>
      <c r="S12" s="28"/>
      <c r="T12" s="11"/>
      <c r="U12" s="28"/>
      <c r="V12" s="153">
        <f>'Suvi Gaz'!O6</f>
        <v>447.98894000000001</v>
      </c>
      <c r="W12" s="11"/>
      <c r="X12" s="34">
        <f t="shared" si="1"/>
        <v>4077.1025440459998</v>
      </c>
    </row>
    <row r="13" spans="1:24" ht="32.25" customHeight="1" thickBot="1" x14ac:dyDescent="0.25">
      <c r="A13" s="2"/>
      <c r="B13" s="6">
        <v>44200</v>
      </c>
      <c r="C13" s="7"/>
      <c r="D13" s="147">
        <v>41</v>
      </c>
      <c r="E13" s="147">
        <v>67</v>
      </c>
      <c r="F13" s="13">
        <f>'Suivi EAU-ELEC'!E12</f>
        <v>60.900000000008731</v>
      </c>
      <c r="G13" s="11"/>
      <c r="H13" s="176">
        <f t="shared" si="0"/>
        <v>535.31100000007666</v>
      </c>
      <c r="I13" s="177"/>
      <c r="J13" s="177"/>
      <c r="K13" s="63">
        <v>42281</v>
      </c>
      <c r="L13" s="93">
        <f>'Suivi EAU-ELEC'!G12</f>
        <v>2535</v>
      </c>
      <c r="M13" s="94">
        <f>'Suivi EAU-ELEC'!I12</f>
        <v>3605</v>
      </c>
      <c r="N13" s="94">
        <f>'Suivi EAU-ELEC'!K12</f>
        <v>1645</v>
      </c>
      <c r="O13" s="94">
        <f t="shared" ref="O13:O40" si="2">L13+M13+N13</f>
        <v>7785</v>
      </c>
      <c r="P13" s="11"/>
      <c r="Q13" s="34">
        <f t="shared" ref="Q13:Q40" si="3">L13*0.6985+M13*0.9514+N13*1.3304</f>
        <v>7389.0025000000005</v>
      </c>
      <c r="R13" s="11"/>
      <c r="S13" s="28"/>
      <c r="T13" s="11"/>
      <c r="U13" s="28"/>
      <c r="V13" s="153">
        <f>'Suvi Gaz'!O7</f>
        <v>351.99131</v>
      </c>
      <c r="W13" s="11"/>
      <c r="X13" s="34">
        <f t="shared" si="1"/>
        <v>3203.4377131789997</v>
      </c>
    </row>
    <row r="14" spans="1:24" ht="32.25" customHeight="1" thickBot="1" x14ac:dyDescent="0.25">
      <c r="A14" s="2"/>
      <c r="B14" s="6">
        <v>44201</v>
      </c>
      <c r="C14" s="7"/>
      <c r="D14" s="147">
        <v>30</v>
      </c>
      <c r="E14" s="147">
        <v>51</v>
      </c>
      <c r="F14" s="13">
        <f>'Suivi EAU-ELEC'!E13</f>
        <v>73.299999999988358</v>
      </c>
      <c r="G14" s="12"/>
      <c r="H14" s="176">
        <f t="shared" si="0"/>
        <v>644.30699999989758</v>
      </c>
      <c r="I14" s="177"/>
      <c r="J14" s="177"/>
      <c r="K14" s="63">
        <v>42282</v>
      </c>
      <c r="L14" s="93">
        <f>'Suivi EAU-ELEC'!G13</f>
        <v>2190</v>
      </c>
      <c r="M14" s="94">
        <f>'Suivi EAU-ELEC'!I13</f>
        <v>3668</v>
      </c>
      <c r="N14" s="94">
        <f>'Suivi EAU-ELEC'!K13</f>
        <v>1744</v>
      </c>
      <c r="O14" s="94">
        <f t="shared" si="2"/>
        <v>7602</v>
      </c>
      <c r="P14" s="12"/>
      <c r="Q14" s="34">
        <f t="shared" si="3"/>
        <v>7339.6678000000002</v>
      </c>
      <c r="R14" s="12"/>
      <c r="S14" s="28"/>
      <c r="T14" s="12"/>
      <c r="U14" s="28"/>
      <c r="V14" s="153">
        <f>'Suvi Gaz'!O8</f>
        <v>415.98973000000001</v>
      </c>
      <c r="W14" s="11"/>
      <c r="X14" s="34">
        <f t="shared" si="1"/>
        <v>3785.8809337569996</v>
      </c>
    </row>
    <row r="15" spans="1:24" ht="32.25" customHeight="1" thickBot="1" x14ac:dyDescent="0.25">
      <c r="A15" s="162"/>
      <c r="B15" s="6">
        <v>44202</v>
      </c>
      <c r="C15" s="7"/>
      <c r="D15" s="147">
        <v>20</v>
      </c>
      <c r="E15" s="147">
        <v>24</v>
      </c>
      <c r="F15" s="13">
        <f>'Suivi EAU-ELEC'!E14</f>
        <v>38.700000000011642</v>
      </c>
      <c r="G15" s="11"/>
      <c r="H15" s="176">
        <f t="shared" si="0"/>
        <v>340.17300000010232</v>
      </c>
      <c r="I15" s="177"/>
      <c r="J15" s="177"/>
      <c r="K15" s="63">
        <v>42283</v>
      </c>
      <c r="L15" s="93">
        <f>'Suivi EAU-ELEC'!G14</f>
        <v>2501</v>
      </c>
      <c r="M15" s="94">
        <f>'Suivi EAU-ELEC'!I14</f>
        <v>3597</v>
      </c>
      <c r="N15" s="94">
        <f>'Suivi EAU-ELEC'!K14</f>
        <v>1668</v>
      </c>
      <c r="O15" s="94">
        <f t="shared" si="2"/>
        <v>7766</v>
      </c>
      <c r="P15" s="12"/>
      <c r="Q15" s="34">
        <f>L15*0.6985+M15*0.9514+N15*1.3304</f>
        <v>7388.2415000000001</v>
      </c>
      <c r="R15" s="12"/>
      <c r="S15" s="28"/>
      <c r="T15" s="12"/>
      <c r="U15" s="28"/>
      <c r="V15" s="153">
        <f>'Suvi Gaz'!O9</f>
        <v>607.98499000000004</v>
      </c>
      <c r="W15" s="11"/>
      <c r="X15" s="34">
        <f t="shared" si="1"/>
        <v>5533.2105954910003</v>
      </c>
    </row>
    <row r="16" spans="1:24" ht="32.25" customHeight="1" thickBot="1" x14ac:dyDescent="0.25">
      <c r="A16" s="162"/>
      <c r="B16" s="6">
        <v>44203</v>
      </c>
      <c r="C16" s="7"/>
      <c r="D16" s="147">
        <v>24</v>
      </c>
      <c r="E16" s="147">
        <v>43</v>
      </c>
      <c r="F16" s="13">
        <f>'Suivi EAU-ELEC'!E15</f>
        <v>70.5</v>
      </c>
      <c r="G16" s="11"/>
      <c r="H16" s="176">
        <f t="shared" si="0"/>
        <v>619.69499999999994</v>
      </c>
      <c r="I16" s="177"/>
      <c r="J16" s="177"/>
      <c r="K16" s="63">
        <v>42284</v>
      </c>
      <c r="L16" s="93">
        <f>'Suivi EAU-ELEC'!G15</f>
        <v>2346</v>
      </c>
      <c r="M16" s="94">
        <f>'Suivi EAU-ELEC'!I15</f>
        <v>3512</v>
      </c>
      <c r="N16" s="94">
        <f>'Suivi EAU-ELEC'!K15</f>
        <v>1546</v>
      </c>
      <c r="O16" s="94">
        <f t="shared" si="2"/>
        <v>7404</v>
      </c>
      <c r="P16" s="11"/>
      <c r="Q16" s="34">
        <f t="shared" si="3"/>
        <v>7036.7962000000007</v>
      </c>
      <c r="R16" s="11"/>
      <c r="S16" s="28"/>
      <c r="T16" s="11"/>
      <c r="U16" s="28"/>
      <c r="V16" s="153">
        <f>'Suvi Gaz'!O10</f>
        <v>127.99684000000001</v>
      </c>
      <c r="W16" s="11"/>
      <c r="X16" s="34">
        <f t="shared" si="1"/>
        <v>1164.886441156</v>
      </c>
    </row>
    <row r="17" spans="1:24" s="5" customFormat="1" ht="32.25" customHeight="1" thickBot="1" x14ac:dyDescent="0.25">
      <c r="A17" s="2"/>
      <c r="B17" s="6">
        <v>44204</v>
      </c>
      <c r="C17" s="7"/>
      <c r="D17" s="147">
        <v>33</v>
      </c>
      <c r="E17" s="147">
        <v>49</v>
      </c>
      <c r="F17" s="13">
        <f>'Suivi EAU-ELEC'!E16</f>
        <v>53.599999999991269</v>
      </c>
      <c r="G17" s="11"/>
      <c r="H17" s="176">
        <f t="shared" si="0"/>
        <v>471.14399999992321</v>
      </c>
      <c r="I17" s="177"/>
      <c r="J17" s="177"/>
      <c r="K17" s="63">
        <v>42285</v>
      </c>
      <c r="L17" s="93">
        <f>'Suivi EAU-ELEC'!G16</f>
        <v>2496</v>
      </c>
      <c r="M17" s="94">
        <f>'Suivi EAU-ELEC'!I16</f>
        <v>3624</v>
      </c>
      <c r="N17" s="94">
        <f>'Suivi EAU-ELEC'!K16</f>
        <v>1665</v>
      </c>
      <c r="O17" s="94">
        <f t="shared" si="2"/>
        <v>7785</v>
      </c>
      <c r="P17" s="12"/>
      <c r="Q17" s="34">
        <f t="shared" si="3"/>
        <v>7406.4456</v>
      </c>
      <c r="R17" s="12"/>
      <c r="S17" s="28"/>
      <c r="T17" s="12"/>
      <c r="U17" s="28"/>
      <c r="V17" s="153">
        <f>'Suvi Gaz'!O11</f>
        <v>223.99447000000001</v>
      </c>
      <c r="W17" s="11"/>
      <c r="X17" s="34">
        <f t="shared" si="1"/>
        <v>2038.5512720229999</v>
      </c>
    </row>
    <row r="18" spans="1:24" ht="32.25" customHeight="1" thickBot="1" x14ac:dyDescent="0.25">
      <c r="A18" s="2"/>
      <c r="B18" s="6">
        <v>44205</v>
      </c>
      <c r="C18" s="7"/>
      <c r="D18" s="147">
        <v>27</v>
      </c>
      <c r="E18" s="147">
        <v>38</v>
      </c>
      <c r="F18" s="13">
        <f>'Suivi EAU-ELEC'!E17</f>
        <v>62.80000000000291</v>
      </c>
      <c r="G18" s="11"/>
      <c r="H18" s="176">
        <f t="shared" si="0"/>
        <v>552.01200000002552</v>
      </c>
      <c r="I18" s="177"/>
      <c r="J18" s="177"/>
      <c r="K18" s="63">
        <v>42286</v>
      </c>
      <c r="L18" s="93">
        <f>'Suivi EAU-ELEC'!G17</f>
        <v>2234</v>
      </c>
      <c r="M18" s="94">
        <f>'Suivi EAU-ELEC'!I17</f>
        <v>3590</v>
      </c>
      <c r="N18" s="94">
        <f>'Suivi EAU-ELEC'!K17</f>
        <v>1551</v>
      </c>
      <c r="O18" s="94">
        <f t="shared" si="2"/>
        <v>7375</v>
      </c>
      <c r="P18" s="12"/>
      <c r="Q18" s="34">
        <f t="shared" si="3"/>
        <v>7039.4254000000001</v>
      </c>
      <c r="R18" s="12"/>
      <c r="S18" s="28"/>
      <c r="T18" s="12"/>
      <c r="U18" s="28"/>
      <c r="V18" s="153">
        <f>'Suvi Gaz'!O12</f>
        <v>223.99447000000001</v>
      </c>
      <c r="W18" s="11"/>
      <c r="X18" s="34">
        <f t="shared" si="1"/>
        <v>2038.5512720229999</v>
      </c>
    </row>
    <row r="19" spans="1:24" ht="32.25" customHeight="1" thickBot="1" x14ac:dyDescent="0.25">
      <c r="A19" s="2"/>
      <c r="B19" s="6">
        <v>44206</v>
      </c>
      <c r="C19" s="7"/>
      <c r="D19" s="147">
        <v>24</v>
      </c>
      <c r="E19" s="147">
        <v>32</v>
      </c>
      <c r="F19" s="13">
        <f>'Suivi EAU-ELEC'!E18</f>
        <v>75</v>
      </c>
      <c r="G19" s="12"/>
      <c r="H19" s="176">
        <f t="shared" si="0"/>
        <v>659.24999999999989</v>
      </c>
      <c r="I19" s="177"/>
      <c r="J19" s="177"/>
      <c r="K19" s="63">
        <v>42287</v>
      </c>
      <c r="L19" s="93">
        <f>'Suivi EAU-ELEC'!G18</f>
        <v>2498</v>
      </c>
      <c r="M19" s="94">
        <f>'Suivi EAU-ELEC'!I18</f>
        <v>3484</v>
      </c>
      <c r="N19" s="94">
        <f>'Suivi EAU-ELEC'!K18</f>
        <v>1591</v>
      </c>
      <c r="O19" s="94">
        <f t="shared" si="2"/>
        <v>7573</v>
      </c>
      <c r="P19" s="12"/>
      <c r="Q19" s="34">
        <f t="shared" si="3"/>
        <v>7176.1970000000001</v>
      </c>
      <c r="R19" s="12"/>
      <c r="S19" s="28"/>
      <c r="T19" s="12"/>
      <c r="U19" s="28"/>
      <c r="V19" s="153">
        <f>'Suvi Gaz'!O13</f>
        <v>383.99052</v>
      </c>
      <c r="W19" s="11"/>
      <c r="X19" s="34">
        <f t="shared" si="1"/>
        <v>3494.6593234679999</v>
      </c>
    </row>
    <row r="20" spans="1:24" ht="32.25" customHeight="1" thickBot="1" x14ac:dyDescent="0.25">
      <c r="A20" s="2"/>
      <c r="B20" s="6">
        <v>44207</v>
      </c>
      <c r="C20" s="7"/>
      <c r="D20" s="147">
        <v>27</v>
      </c>
      <c r="E20" s="147">
        <v>37</v>
      </c>
      <c r="F20" s="13">
        <f>'Suivi EAU-ELEC'!E19</f>
        <v>63.899999999994179</v>
      </c>
      <c r="G20" s="12"/>
      <c r="H20" s="176">
        <f t="shared" si="0"/>
        <v>561.68099999994877</v>
      </c>
      <c r="I20" s="177"/>
      <c r="J20" s="177"/>
      <c r="K20" s="63">
        <v>42288</v>
      </c>
      <c r="L20" s="93">
        <f>'Suivi EAU-ELEC'!G19</f>
        <v>2271</v>
      </c>
      <c r="M20" s="94">
        <f>'Suivi EAU-ELEC'!I19</f>
        <v>3444</v>
      </c>
      <c r="N20" s="94">
        <f>'Suivi EAU-ELEC'!K19</f>
        <v>1583</v>
      </c>
      <c r="O20" s="94">
        <f t="shared" si="2"/>
        <v>7298</v>
      </c>
      <c r="P20" s="12"/>
      <c r="Q20" s="34">
        <f t="shared" si="3"/>
        <v>6968.9382999999998</v>
      </c>
      <c r="R20" s="12"/>
      <c r="S20" s="28"/>
      <c r="T20" s="12"/>
      <c r="U20" s="28"/>
      <c r="V20" s="153">
        <f>'Suvi Gaz'!O14</f>
        <v>447.98894000000001</v>
      </c>
      <c r="W20" s="11"/>
      <c r="X20" s="34">
        <f t="shared" si="1"/>
        <v>4077.1025440459998</v>
      </c>
    </row>
    <row r="21" spans="1:24" ht="32.25" customHeight="1" thickBot="1" x14ac:dyDescent="0.25">
      <c r="A21" s="2"/>
      <c r="B21" s="6">
        <v>44208</v>
      </c>
      <c r="C21" s="7"/>
      <c r="D21" s="147">
        <v>38</v>
      </c>
      <c r="E21" s="147">
        <v>48</v>
      </c>
      <c r="F21" s="13">
        <f>'Suivi EAU-ELEC'!E20</f>
        <v>39.200000000011642</v>
      </c>
      <c r="G21" s="12"/>
      <c r="H21" s="176">
        <f t="shared" si="0"/>
        <v>344.5680000001023</v>
      </c>
      <c r="I21" s="177"/>
      <c r="J21" s="177"/>
      <c r="K21" s="63">
        <v>42289</v>
      </c>
      <c r="L21" s="93">
        <f>'Suivi EAU-ELEC'!G20</f>
        <v>2308</v>
      </c>
      <c r="M21" s="94">
        <f>'Suivi EAU-ELEC'!I20</f>
        <v>3446</v>
      </c>
      <c r="N21" s="94">
        <f>'Suivi EAU-ELEC'!K20</f>
        <v>1562</v>
      </c>
      <c r="O21" s="94">
        <f>L21+M21+N21</f>
        <v>7316</v>
      </c>
      <c r="P21" s="12"/>
      <c r="Q21" s="34">
        <f t="shared" si="3"/>
        <v>6968.7471999999998</v>
      </c>
      <c r="R21" s="12"/>
      <c r="S21" s="28"/>
      <c r="T21" s="12"/>
      <c r="U21" s="28"/>
      <c r="V21" s="153">
        <f>'Suvi Gaz'!O15</f>
        <v>319.99209999999999</v>
      </c>
      <c r="W21" s="11"/>
      <c r="X21" s="34">
        <f t="shared" si="1"/>
        <v>2912.2161028899995</v>
      </c>
    </row>
    <row r="22" spans="1:24" ht="32.25" customHeight="1" thickBot="1" x14ac:dyDescent="0.25">
      <c r="A22" s="2"/>
      <c r="B22" s="6">
        <v>44209</v>
      </c>
      <c r="C22" s="7"/>
      <c r="D22" s="147">
        <v>31</v>
      </c>
      <c r="E22" s="147">
        <v>42</v>
      </c>
      <c r="F22" s="13">
        <f>'Suivi EAU-ELEC'!E21</f>
        <v>60</v>
      </c>
      <c r="G22" s="12"/>
      <c r="H22" s="176">
        <f t="shared" ref="H22:H38" si="4">F22*8.79</f>
        <v>527.4</v>
      </c>
      <c r="I22" s="177"/>
      <c r="J22" s="177"/>
      <c r="K22" s="63">
        <v>42290</v>
      </c>
      <c r="L22" s="93">
        <f>'Suivi EAU-ELEC'!G21</f>
        <v>2353</v>
      </c>
      <c r="M22" s="94">
        <f>'Suivi EAU-ELEC'!I21</f>
        <v>3469</v>
      </c>
      <c r="N22" s="94">
        <f>'Suivi EAU-ELEC'!K21</f>
        <v>1586</v>
      </c>
      <c r="O22" s="94">
        <f t="shared" si="2"/>
        <v>7408</v>
      </c>
      <c r="P22" s="12"/>
      <c r="Q22" s="34">
        <f t="shared" si="3"/>
        <v>7053.9915000000001</v>
      </c>
      <c r="R22" s="12"/>
      <c r="S22" s="28"/>
      <c r="T22" s="12"/>
      <c r="U22" s="28"/>
      <c r="V22" s="153">
        <f>'Suvi Gaz'!O16</f>
        <v>447.98894000000001</v>
      </c>
      <c r="W22" s="11"/>
      <c r="X22" s="34">
        <f t="shared" si="1"/>
        <v>4077.1025440459998</v>
      </c>
    </row>
    <row r="23" spans="1:24" ht="32.25" customHeight="1" thickBot="1" x14ac:dyDescent="0.25">
      <c r="A23" s="2"/>
      <c r="B23" s="6">
        <v>44210</v>
      </c>
      <c r="C23" s="7"/>
      <c r="D23" s="147">
        <v>25</v>
      </c>
      <c r="E23" s="147">
        <v>39</v>
      </c>
      <c r="F23" s="13">
        <f>'Suivi EAU-ELEC'!E22</f>
        <v>42.299999999988358</v>
      </c>
      <c r="G23" s="14"/>
      <c r="H23" s="176">
        <f t="shared" si="4"/>
        <v>371.81699999989763</v>
      </c>
      <c r="I23" s="177"/>
      <c r="J23" s="177"/>
      <c r="K23" s="63">
        <v>42291</v>
      </c>
      <c r="L23" s="93">
        <f>'Suivi EAU-ELEC'!G22</f>
        <v>2505</v>
      </c>
      <c r="M23" s="94">
        <f>'Suivi EAU-ELEC'!I22</f>
        <v>3412</v>
      </c>
      <c r="N23" s="94">
        <f>'Suivi EAU-ELEC'!K22</f>
        <v>1542</v>
      </c>
      <c r="O23" s="94">
        <f t="shared" si="2"/>
        <v>7459</v>
      </c>
      <c r="P23" s="12"/>
      <c r="Q23" s="34">
        <f t="shared" si="3"/>
        <v>7047.3960999999999</v>
      </c>
      <c r="R23" s="12"/>
      <c r="S23" s="28"/>
      <c r="T23" s="14"/>
      <c r="U23" s="28"/>
      <c r="V23" s="153">
        <f>'Suvi Gaz'!O17</f>
        <v>351.99131</v>
      </c>
      <c r="W23" s="11"/>
      <c r="X23" s="34">
        <f t="shared" si="1"/>
        <v>3203.4377131789997</v>
      </c>
    </row>
    <row r="24" spans="1:24" ht="32.25" customHeight="1" thickBot="1" x14ac:dyDescent="0.25">
      <c r="A24" s="2"/>
      <c r="B24" s="6">
        <v>44211</v>
      </c>
      <c r="C24" s="7"/>
      <c r="D24" s="147">
        <v>25</v>
      </c>
      <c r="E24" s="147">
        <v>44</v>
      </c>
      <c r="F24" s="13">
        <f>'Suivi EAU-ELEC'!E23</f>
        <v>58.700000000011642</v>
      </c>
      <c r="G24" s="14"/>
      <c r="H24" s="176">
        <f t="shared" si="4"/>
        <v>515.97300000010227</v>
      </c>
      <c r="I24" s="177"/>
      <c r="J24" s="177"/>
      <c r="K24" s="63">
        <v>42292</v>
      </c>
      <c r="L24" s="93">
        <f>'Suivi EAU-ELEC'!G23</f>
        <v>2393</v>
      </c>
      <c r="M24" s="94">
        <f>'Suivi EAU-ELEC'!I23</f>
        <v>3524</v>
      </c>
      <c r="N24" s="94">
        <f>'Suivi EAU-ELEC'!K23</f>
        <v>1607</v>
      </c>
      <c r="O24" s="94">
        <f t="shared" si="2"/>
        <v>7524</v>
      </c>
      <c r="P24" s="12"/>
      <c r="Q24" s="34">
        <f t="shared" si="3"/>
        <v>7162.1968999999999</v>
      </c>
      <c r="R24" s="12"/>
      <c r="S24" s="28"/>
      <c r="T24" s="14"/>
      <c r="U24" s="28"/>
      <c r="V24" s="153">
        <f>'Suvi Gaz'!O18</f>
        <v>319.99209999999999</v>
      </c>
      <c r="W24" s="11"/>
      <c r="X24" s="34">
        <f t="shared" si="1"/>
        <v>2912.2161028899995</v>
      </c>
    </row>
    <row r="25" spans="1:24" ht="32.25" customHeight="1" thickBot="1" x14ac:dyDescent="0.25">
      <c r="A25" s="2"/>
      <c r="B25" s="6">
        <v>44212</v>
      </c>
      <c r="C25" s="7"/>
      <c r="D25" s="147">
        <v>23</v>
      </c>
      <c r="E25" s="147">
        <v>38</v>
      </c>
      <c r="F25" s="13">
        <f>'Suivi EAU-ELEC'!E24</f>
        <v>75</v>
      </c>
      <c r="G25" s="14"/>
      <c r="H25" s="176">
        <f t="shared" si="4"/>
        <v>659.24999999999989</v>
      </c>
      <c r="I25" s="177"/>
      <c r="J25" s="177"/>
      <c r="K25" s="63">
        <v>42293</v>
      </c>
      <c r="L25" s="93">
        <f>'Suivi EAU-ELEC'!G24</f>
        <v>2444</v>
      </c>
      <c r="M25" s="94">
        <f>'Suivi EAU-ELEC'!I24</f>
        <v>3365</v>
      </c>
      <c r="N25" s="94">
        <f>'Suivi EAU-ELEC'!K24</f>
        <v>1553</v>
      </c>
      <c r="O25" s="94">
        <f t="shared" si="2"/>
        <v>7362</v>
      </c>
      <c r="P25" s="12"/>
      <c r="Q25" s="34">
        <f t="shared" si="3"/>
        <v>6974.7062000000005</v>
      </c>
      <c r="R25" s="12"/>
      <c r="S25" s="28"/>
      <c r="T25" s="14"/>
      <c r="U25" s="28"/>
      <c r="V25" s="153">
        <f>'Suvi Gaz'!O19</f>
        <v>671.98341000000005</v>
      </c>
      <c r="W25" s="11"/>
      <c r="X25" s="34">
        <f t="shared" si="1"/>
        <v>6115.6538160689997</v>
      </c>
    </row>
    <row r="26" spans="1:24" ht="32.25" customHeight="1" thickBot="1" x14ac:dyDescent="0.25">
      <c r="A26" s="2"/>
      <c r="B26" s="6">
        <v>44213</v>
      </c>
      <c r="C26" s="7"/>
      <c r="D26" s="147">
        <v>28</v>
      </c>
      <c r="E26" s="147">
        <v>39</v>
      </c>
      <c r="F26" s="13">
        <f>'Suivi EAU-ELEC'!E25</f>
        <v>62.899999999994179</v>
      </c>
      <c r="G26" s="14"/>
      <c r="H26" s="176">
        <f t="shared" si="4"/>
        <v>552.8909999999488</v>
      </c>
      <c r="I26" s="177"/>
      <c r="J26" s="177"/>
      <c r="K26" s="63">
        <v>42294</v>
      </c>
      <c r="L26" s="93">
        <f>'Suivi EAU-ELEC'!G25</f>
        <v>2599</v>
      </c>
      <c r="M26" s="94">
        <f>'Suivi EAU-ELEC'!I25</f>
        <v>3336</v>
      </c>
      <c r="N26" s="94">
        <f>'Suivi EAU-ELEC'!K25</f>
        <v>1532</v>
      </c>
      <c r="O26" s="94">
        <f t="shared" si="2"/>
        <v>7467</v>
      </c>
      <c r="P26" s="14"/>
      <c r="Q26" s="34">
        <f t="shared" si="3"/>
        <v>7027.4447</v>
      </c>
      <c r="R26" s="14"/>
      <c r="S26" s="28"/>
      <c r="T26" s="14"/>
      <c r="U26" s="28"/>
      <c r="V26" s="153">
        <f>'Suvi Gaz'!O20</f>
        <v>447.98894000000001</v>
      </c>
      <c r="W26" s="11"/>
      <c r="X26" s="34">
        <f t="shared" si="1"/>
        <v>4077.1025440459998</v>
      </c>
    </row>
    <row r="27" spans="1:24" ht="32.25" customHeight="1" thickBot="1" x14ac:dyDescent="0.25">
      <c r="A27" s="2"/>
      <c r="B27" s="6">
        <v>44214</v>
      </c>
      <c r="C27" s="7"/>
      <c r="D27" s="147">
        <v>54</v>
      </c>
      <c r="E27" s="147">
        <v>69</v>
      </c>
      <c r="F27" s="13">
        <f>'Suivi EAU-ELEC'!E26</f>
        <v>59</v>
      </c>
      <c r="G27" s="14"/>
      <c r="H27" s="176">
        <f t="shared" si="4"/>
        <v>518.6099999999999</v>
      </c>
      <c r="I27" s="177"/>
      <c r="J27" s="177"/>
      <c r="K27" s="63">
        <v>42295</v>
      </c>
      <c r="L27" s="93">
        <f>'Suivi EAU-ELEC'!G26</f>
        <v>2446</v>
      </c>
      <c r="M27" s="94">
        <f>'Suivi EAU-ELEC'!I26</f>
        <v>3417</v>
      </c>
      <c r="N27" s="94">
        <f>'Suivi EAU-ELEC'!K26</f>
        <v>1582</v>
      </c>
      <c r="O27" s="94">
        <f t="shared" si="2"/>
        <v>7445</v>
      </c>
      <c r="P27" s="14"/>
      <c r="Q27" s="34">
        <f t="shared" si="3"/>
        <v>7064.1576000000005</v>
      </c>
      <c r="R27" s="14"/>
      <c r="S27" s="28"/>
      <c r="T27" s="14"/>
      <c r="U27" s="28"/>
      <c r="V27" s="153">
        <f>'Suvi Gaz'!O21</f>
        <v>415.98973000000001</v>
      </c>
      <c r="W27" s="11"/>
      <c r="X27" s="34">
        <f t="shared" si="1"/>
        <v>3785.8809337569996</v>
      </c>
    </row>
    <row r="28" spans="1:24" ht="32.25" customHeight="1" thickBot="1" x14ac:dyDescent="0.25">
      <c r="A28" s="2"/>
      <c r="B28" s="6">
        <v>44215</v>
      </c>
      <c r="C28" s="7"/>
      <c r="D28" s="147">
        <v>19</v>
      </c>
      <c r="E28" s="147">
        <v>32</v>
      </c>
      <c r="F28" s="13">
        <f>'Suivi EAU-ELEC'!E27</f>
        <v>85</v>
      </c>
      <c r="G28" s="11"/>
      <c r="H28" s="176">
        <f t="shared" si="4"/>
        <v>747.15</v>
      </c>
      <c r="I28" s="177"/>
      <c r="J28" s="177"/>
      <c r="K28" s="63">
        <v>42296</v>
      </c>
      <c r="L28" s="93">
        <f>'Suivi EAU-ELEC'!G27</f>
        <v>2521</v>
      </c>
      <c r="M28" s="94">
        <f>'Suivi EAU-ELEC'!I27</f>
        <v>3698</v>
      </c>
      <c r="N28" s="94">
        <f>'Suivi EAU-ELEC'!K27</f>
        <v>1573</v>
      </c>
      <c r="O28" s="94">
        <f t="shared" si="2"/>
        <v>7792</v>
      </c>
      <c r="P28" s="11"/>
      <c r="Q28" s="34">
        <f>L28*0.6985+M28*0.9514+N28*1.3304</f>
        <v>7371.9148999999998</v>
      </c>
      <c r="R28" s="11"/>
      <c r="S28" s="28"/>
      <c r="T28" s="11"/>
      <c r="U28" s="28"/>
      <c r="V28" s="153">
        <f>'Suvi Gaz'!O22</f>
        <v>255.99368000000001</v>
      </c>
      <c r="W28" s="11"/>
      <c r="X28" s="34">
        <f t="shared" si="1"/>
        <v>2329.7728823120001</v>
      </c>
    </row>
    <row r="29" spans="1:24" ht="32.25" customHeight="1" thickBot="1" x14ac:dyDescent="0.25">
      <c r="A29" s="2"/>
      <c r="B29" s="6">
        <v>44216</v>
      </c>
      <c r="C29" s="7"/>
      <c r="D29" s="147">
        <v>21</v>
      </c>
      <c r="E29" s="147">
        <v>29</v>
      </c>
      <c r="F29" s="13">
        <f>'Suivi EAU-ELEC'!E28</f>
        <v>63.19999999999709</v>
      </c>
      <c r="G29" s="11"/>
      <c r="H29" s="176">
        <f t="shared" si="4"/>
        <v>555.52799999997433</v>
      </c>
      <c r="I29" s="177"/>
      <c r="J29" s="177"/>
      <c r="K29" s="63">
        <v>42297</v>
      </c>
      <c r="L29" s="93">
        <f>'Suivi EAU-ELEC'!G28</f>
        <v>2238</v>
      </c>
      <c r="M29" s="94">
        <f>'Suivi EAU-ELEC'!I28</f>
        <v>3743</v>
      </c>
      <c r="N29" s="94">
        <f>'Suivi EAU-ELEC'!K28</f>
        <v>1587</v>
      </c>
      <c r="O29" s="94">
        <f>L29+M29+N29</f>
        <v>7568</v>
      </c>
      <c r="P29" s="11"/>
      <c r="Q29" s="34">
        <f t="shared" si="3"/>
        <v>7235.6779999999999</v>
      </c>
      <c r="R29" s="11"/>
      <c r="S29" s="28"/>
      <c r="T29" s="11"/>
      <c r="U29" s="28"/>
      <c r="V29" s="153">
        <f>'Suvi Gaz'!O23</f>
        <v>255.99368000000001</v>
      </c>
      <c r="W29" s="11"/>
      <c r="X29" s="34">
        <f t="shared" si="1"/>
        <v>2329.7728823120001</v>
      </c>
    </row>
    <row r="30" spans="1:24" ht="32.25" customHeight="1" thickBot="1" x14ac:dyDescent="0.25">
      <c r="A30" s="2"/>
      <c r="B30" s="6">
        <v>44217</v>
      </c>
      <c r="C30" s="7"/>
      <c r="D30" s="147">
        <v>32</v>
      </c>
      <c r="E30" s="147">
        <v>48</v>
      </c>
      <c r="F30" s="13">
        <f>'Suivi EAU-ELEC'!E29</f>
        <v>54.30000000000291</v>
      </c>
      <c r="G30" s="11"/>
      <c r="H30" s="176">
        <f t="shared" si="4"/>
        <v>477.29700000002555</v>
      </c>
      <c r="I30" s="177"/>
      <c r="J30" s="177"/>
      <c r="K30" s="63">
        <v>42298</v>
      </c>
      <c r="L30" s="93">
        <f>'Suivi EAU-ELEC'!G29</f>
        <v>2576</v>
      </c>
      <c r="M30" s="94">
        <f>'Suivi EAU-ELEC'!I29</f>
        <v>3561</v>
      </c>
      <c r="N30" s="94">
        <f>'Suivi EAU-ELEC'!K29</f>
        <v>1578</v>
      </c>
      <c r="O30" s="94">
        <f t="shared" si="2"/>
        <v>7715</v>
      </c>
      <c r="P30" s="11"/>
      <c r="Q30" s="34">
        <f t="shared" si="3"/>
        <v>7286.642600000001</v>
      </c>
      <c r="R30" s="11"/>
      <c r="S30" s="28"/>
      <c r="T30" s="11"/>
      <c r="U30" s="28"/>
      <c r="V30" s="153">
        <f>'Suvi Gaz'!O24</f>
        <v>351.99131</v>
      </c>
      <c r="W30" s="11"/>
      <c r="X30" s="34">
        <f t="shared" si="1"/>
        <v>3203.4377131789997</v>
      </c>
    </row>
    <row r="31" spans="1:24" ht="27.75" customHeight="1" thickBot="1" x14ac:dyDescent="0.25">
      <c r="A31" s="2"/>
      <c r="B31" s="6">
        <v>44218</v>
      </c>
      <c r="C31" s="7"/>
      <c r="D31" s="147">
        <v>42</v>
      </c>
      <c r="E31" s="147">
        <v>66</v>
      </c>
      <c r="F31" s="13">
        <f>'Suivi EAU-ELEC'!E30</f>
        <v>54.30000000000291</v>
      </c>
      <c r="G31" s="11"/>
      <c r="H31" s="176">
        <f t="shared" si="4"/>
        <v>477.29700000002555</v>
      </c>
      <c r="I31" s="177"/>
      <c r="J31" s="177"/>
      <c r="K31" s="63">
        <v>42299</v>
      </c>
      <c r="L31" s="93">
        <f>'Suivi EAU-ELEC'!G30</f>
        <v>2555</v>
      </c>
      <c r="M31" s="94">
        <f>'Suivi EAU-ELEC'!I30</f>
        <v>3570</v>
      </c>
      <c r="N31" s="94">
        <f>'Suivi EAU-ELEC'!K30</f>
        <v>1637</v>
      </c>
      <c r="O31" s="94">
        <f>L31+M31+N31</f>
        <v>7762</v>
      </c>
      <c r="P31" s="11"/>
      <c r="Q31" s="34">
        <f>L31*0.6985+M31*0.9514+N31*1.3304</f>
        <v>7359.0303000000004</v>
      </c>
      <c r="R31" s="11"/>
      <c r="S31" s="28"/>
      <c r="T31" s="11"/>
      <c r="U31" s="28"/>
      <c r="V31" s="153">
        <f>'Suvi Gaz'!O25</f>
        <v>351.99131</v>
      </c>
      <c r="W31" s="11"/>
      <c r="X31" s="34">
        <f t="shared" si="1"/>
        <v>3203.4377131789997</v>
      </c>
    </row>
    <row r="32" spans="1:24" ht="37.5" customHeight="1" thickBot="1" x14ac:dyDescent="0.25">
      <c r="A32" s="2"/>
      <c r="B32" s="6">
        <v>44219</v>
      </c>
      <c r="C32" s="7"/>
      <c r="D32" s="147">
        <v>30</v>
      </c>
      <c r="E32" s="147">
        <v>50</v>
      </c>
      <c r="F32" s="13">
        <f>'Suivi EAU-ELEC'!E31</f>
        <v>69.80000000000291</v>
      </c>
      <c r="G32" s="11"/>
      <c r="H32" s="176">
        <f t="shared" si="4"/>
        <v>613.5420000000255</v>
      </c>
      <c r="I32" s="177"/>
      <c r="J32" s="177"/>
      <c r="K32" s="63">
        <v>42300</v>
      </c>
      <c r="L32" s="93">
        <f>'Suivi EAU-ELEC'!G31</f>
        <v>2803</v>
      </c>
      <c r="M32" s="94">
        <f>'Suivi EAU-ELEC'!I31</f>
        <v>3973</v>
      </c>
      <c r="N32" s="94">
        <f>'Suivi EAU-ELEC'!K31</f>
        <v>2164</v>
      </c>
      <c r="O32" s="94">
        <f t="shared" si="2"/>
        <v>8940</v>
      </c>
      <c r="P32" s="11"/>
      <c r="Q32" s="34">
        <f t="shared" si="3"/>
        <v>8616.7933000000012</v>
      </c>
      <c r="R32" s="11"/>
      <c r="S32" s="28"/>
      <c r="T32" s="11"/>
      <c r="U32" s="28"/>
      <c r="V32" s="153">
        <f>'Suvi Gaz'!O26</f>
        <v>415.98973000000001</v>
      </c>
      <c r="W32" s="11"/>
      <c r="X32" s="34">
        <f t="shared" si="1"/>
        <v>3785.8809337569996</v>
      </c>
    </row>
    <row r="33" spans="1:24" ht="37.5" customHeight="1" thickBot="1" x14ac:dyDescent="0.25">
      <c r="A33" s="2"/>
      <c r="B33" s="6">
        <v>44220</v>
      </c>
      <c r="C33" s="7"/>
      <c r="D33" s="147">
        <v>31</v>
      </c>
      <c r="E33" s="147">
        <v>47</v>
      </c>
      <c r="F33" s="13">
        <f>'Suivi EAU-ELEC'!E32</f>
        <v>74.399999999994179</v>
      </c>
      <c r="G33" s="11"/>
      <c r="H33" s="176">
        <f t="shared" si="4"/>
        <v>653.97599999994873</v>
      </c>
      <c r="I33" s="177"/>
      <c r="J33" s="177"/>
      <c r="K33" s="63">
        <v>42301</v>
      </c>
      <c r="L33" s="93">
        <f>'Suivi EAU-ELEC'!G32</f>
        <v>2824</v>
      </c>
      <c r="M33" s="94">
        <f>'Suivi EAU-ELEC'!I32</f>
        <v>4062</v>
      </c>
      <c r="N33" s="94">
        <f>'Suivi EAU-ELEC'!K32</f>
        <v>1773</v>
      </c>
      <c r="O33" s="94">
        <f t="shared" si="2"/>
        <v>8659</v>
      </c>
      <c r="P33" s="11"/>
      <c r="Q33" s="34">
        <f t="shared" si="3"/>
        <v>8195.9500000000007</v>
      </c>
      <c r="R33" s="11"/>
      <c r="S33" s="28"/>
      <c r="T33" s="11"/>
      <c r="U33" s="28"/>
      <c r="V33" s="153">
        <f>'Suvi Gaz'!O27</f>
        <v>319.99209999999999</v>
      </c>
      <c r="W33" s="11"/>
      <c r="X33" s="34">
        <f t="shared" si="1"/>
        <v>2912.2161028899995</v>
      </c>
    </row>
    <row r="34" spans="1:24" ht="37.5" customHeight="1" thickBot="1" x14ac:dyDescent="0.25">
      <c r="A34" s="2"/>
      <c r="B34" s="6">
        <v>44221</v>
      </c>
      <c r="C34" s="7"/>
      <c r="D34" s="147">
        <v>26</v>
      </c>
      <c r="E34" s="147">
        <v>48</v>
      </c>
      <c r="F34" s="13">
        <f>'Suivi EAU-ELEC'!E33</f>
        <v>70</v>
      </c>
      <c r="G34" s="11"/>
      <c r="H34" s="176">
        <f t="shared" si="4"/>
        <v>615.29999999999995</v>
      </c>
      <c r="I34" s="177"/>
      <c r="J34" s="177"/>
      <c r="K34" s="63">
        <v>42302</v>
      </c>
      <c r="L34" s="93">
        <f>'Suivi EAU-ELEC'!G33</f>
        <v>2444</v>
      </c>
      <c r="M34" s="94">
        <f>'Suivi EAU-ELEC'!I33</f>
        <v>3664</v>
      </c>
      <c r="N34" s="94">
        <f>'Suivi EAU-ELEC'!K33</f>
        <v>1575</v>
      </c>
      <c r="O34" s="94">
        <f t="shared" si="2"/>
        <v>7683</v>
      </c>
      <c r="P34" s="11"/>
      <c r="Q34" s="34">
        <f t="shared" si="3"/>
        <v>7288.4435999999996</v>
      </c>
      <c r="R34" s="11"/>
      <c r="S34" s="28"/>
      <c r="T34" s="11"/>
      <c r="U34" s="28"/>
      <c r="V34" s="153">
        <f>'Suvi Gaz'!O28</f>
        <v>735.98183000000006</v>
      </c>
      <c r="W34" s="11"/>
      <c r="X34" s="34">
        <f t="shared" si="1"/>
        <v>6698.0970366470001</v>
      </c>
    </row>
    <row r="35" spans="1:24" ht="33.75" customHeight="1" thickBot="1" x14ac:dyDescent="0.25">
      <c r="A35" s="2"/>
      <c r="B35" s="6">
        <v>44222</v>
      </c>
      <c r="C35" s="7"/>
      <c r="D35" s="147">
        <v>32</v>
      </c>
      <c r="E35" s="147">
        <v>53</v>
      </c>
      <c r="F35" s="13">
        <f>'Suivi EAU-ELEC'!E34</f>
        <v>71.600000000005821</v>
      </c>
      <c r="G35" s="11"/>
      <c r="H35" s="176">
        <f t="shared" si="4"/>
        <v>629.36400000005108</v>
      </c>
      <c r="I35" s="177"/>
      <c r="J35" s="177"/>
      <c r="K35" s="63">
        <v>42303</v>
      </c>
      <c r="L35" s="93">
        <f>'Suivi EAU-ELEC'!G34</f>
        <v>1941</v>
      </c>
      <c r="M35" s="94">
        <f>'Suivi EAU-ELEC'!I34</f>
        <v>3537</v>
      </c>
      <c r="N35" s="94">
        <f>'Suivi EAU-ELEC'!K34</f>
        <v>1586</v>
      </c>
      <c r="O35" s="94">
        <f t="shared" si="2"/>
        <v>7064</v>
      </c>
      <c r="P35" s="11"/>
      <c r="Q35" s="34">
        <f t="shared" si="3"/>
        <v>6830.9047</v>
      </c>
      <c r="R35" s="11"/>
      <c r="S35" s="28"/>
      <c r="T35" s="11"/>
      <c r="U35" s="28"/>
      <c r="V35" s="153">
        <f>'Suvi Gaz'!O29</f>
        <v>511.98736000000002</v>
      </c>
      <c r="W35" s="11"/>
      <c r="X35" s="34">
        <f t="shared" si="1"/>
        <v>4659.5457646240002</v>
      </c>
    </row>
    <row r="36" spans="1:24" ht="33.75" customHeight="1" thickBot="1" x14ac:dyDescent="0.25">
      <c r="A36" s="2"/>
      <c r="B36" s="6">
        <v>44223</v>
      </c>
      <c r="C36" s="7"/>
      <c r="D36" s="147">
        <v>32</v>
      </c>
      <c r="E36" s="147">
        <v>47</v>
      </c>
      <c r="F36" s="13">
        <f>'Suivi EAU-ELEC'!E35</f>
        <v>107.19999999999709</v>
      </c>
      <c r="G36" s="11"/>
      <c r="H36" s="176">
        <f>F36*8.79</f>
        <v>942.28799999997432</v>
      </c>
      <c r="I36" s="177"/>
      <c r="J36" s="177"/>
      <c r="K36" s="63">
        <v>42304</v>
      </c>
      <c r="L36" s="93">
        <f>'Suivi EAU-ELEC'!G35</f>
        <v>2443</v>
      </c>
      <c r="M36" s="94">
        <f>'Suivi EAU-ELEC'!I35</f>
        <v>3519</v>
      </c>
      <c r="N36" s="94">
        <f>'Suivi EAU-ELEC'!K35</f>
        <v>1618</v>
      </c>
      <c r="O36" s="94">
        <f t="shared" si="2"/>
        <v>7580</v>
      </c>
      <c r="P36" s="11"/>
      <c r="Q36" s="34">
        <f t="shared" si="3"/>
        <v>7206.9992999999995</v>
      </c>
      <c r="R36" s="11"/>
      <c r="S36" s="28"/>
      <c r="T36" s="11"/>
      <c r="U36" s="28"/>
      <c r="V36" s="153">
        <f>'Suvi Gaz'!O30</f>
        <v>479.98815000000002</v>
      </c>
      <c r="W36" s="11"/>
      <c r="X36" s="34">
        <f t="shared" si="1"/>
        <v>4368.3241543349995</v>
      </c>
    </row>
    <row r="37" spans="1:24" ht="33.75" customHeight="1" x14ac:dyDescent="0.2">
      <c r="A37" s="2"/>
      <c r="B37" s="6">
        <v>44224</v>
      </c>
      <c r="C37" s="7"/>
      <c r="D37" s="147">
        <v>33</v>
      </c>
      <c r="E37" s="147">
        <v>51</v>
      </c>
      <c r="F37" s="13">
        <f>'Suivi EAU-ELEC'!E36</f>
        <v>69.599999999991269</v>
      </c>
      <c r="G37" s="11"/>
      <c r="H37" s="176">
        <f>F37*8.79</f>
        <v>611.78399999992314</v>
      </c>
      <c r="I37" s="177"/>
      <c r="J37" s="177"/>
      <c r="K37" s="63">
        <v>42305</v>
      </c>
      <c r="L37" s="93">
        <f>'Suivi EAU-ELEC'!G36</f>
        <v>2362</v>
      </c>
      <c r="M37" s="94">
        <f>'Suivi EAU-ELEC'!I36</f>
        <v>3637</v>
      </c>
      <c r="N37" s="94">
        <f>'Suivi EAU-ELEC'!K36</f>
        <v>1636</v>
      </c>
      <c r="O37" s="94">
        <f t="shared" si="2"/>
        <v>7635</v>
      </c>
      <c r="P37" s="11"/>
      <c r="Q37" s="34">
        <f t="shared" si="3"/>
        <v>7286.6332000000002</v>
      </c>
      <c r="R37" s="11"/>
      <c r="S37" s="28"/>
      <c r="T37" s="11"/>
      <c r="U37" s="28"/>
      <c r="V37" s="153">
        <f>'Suvi Gaz'!O31</f>
        <v>479.98815000000002</v>
      </c>
      <c r="W37" s="11"/>
      <c r="X37" s="34">
        <f t="shared" si="1"/>
        <v>4368.3241543349995</v>
      </c>
    </row>
    <row r="38" spans="1:24" ht="33.75" customHeight="1" thickBot="1" x14ac:dyDescent="0.25">
      <c r="A38" s="2"/>
      <c r="B38" s="6">
        <v>44225</v>
      </c>
      <c r="C38" s="7"/>
      <c r="D38" s="147">
        <v>33</v>
      </c>
      <c r="E38" s="147">
        <v>60</v>
      </c>
      <c r="F38" s="13">
        <f>'Suivi EAU-ELEC'!E37</f>
        <v>52.80000000000291</v>
      </c>
      <c r="G38" s="11"/>
      <c r="H38" s="176">
        <f t="shared" si="4"/>
        <v>464.11200000002555</v>
      </c>
      <c r="I38" s="177"/>
      <c r="J38" s="177"/>
      <c r="K38" s="63"/>
      <c r="L38" s="93">
        <f>'Suivi EAU-ELEC'!G37</f>
        <v>2513</v>
      </c>
      <c r="M38" s="94">
        <f>'Suivi EAU-ELEC'!I37</f>
        <v>3661</v>
      </c>
      <c r="N38" s="94">
        <f>'Suivi EAU-ELEC'!K37</f>
        <v>1701</v>
      </c>
      <c r="O38" s="94">
        <f t="shared" si="2"/>
        <v>7875</v>
      </c>
      <c r="P38" s="11"/>
      <c r="Q38" s="34">
        <f t="shared" si="3"/>
        <v>7501.4162999999999</v>
      </c>
      <c r="R38" s="11"/>
      <c r="S38" s="28"/>
      <c r="T38" s="11"/>
      <c r="U38" s="28"/>
      <c r="V38" s="153">
        <f>'Suvi Gaz'!O32</f>
        <v>351.99131</v>
      </c>
      <c r="W38" s="11"/>
      <c r="X38" s="34">
        <f t="shared" si="1"/>
        <v>3203.4377131789997</v>
      </c>
    </row>
    <row r="39" spans="1:24" ht="33.75" customHeight="1" thickBot="1" x14ac:dyDescent="0.25">
      <c r="A39" s="2"/>
      <c r="B39" s="6">
        <v>44226</v>
      </c>
      <c r="C39" s="7"/>
      <c r="D39" s="147">
        <v>39</v>
      </c>
      <c r="E39" s="147">
        <v>70</v>
      </c>
      <c r="F39" s="13">
        <f>'Suivi EAU-ELEC'!E38</f>
        <v>89.80000000000291</v>
      </c>
      <c r="G39" s="11"/>
      <c r="H39" s="176">
        <f>F39*8.79</f>
        <v>789.34200000002545</v>
      </c>
      <c r="I39" s="177"/>
      <c r="J39" s="177"/>
      <c r="K39" s="63"/>
      <c r="L39" s="93">
        <f>'Suivi EAU-ELEC'!G38</f>
        <v>2829</v>
      </c>
      <c r="M39" s="94">
        <f>'Suivi EAU-ELEC'!I38</f>
        <v>3593</v>
      </c>
      <c r="N39" s="94">
        <f>'Suivi EAU-ELEC'!K38</f>
        <v>1713</v>
      </c>
      <c r="O39" s="94">
        <f t="shared" si="2"/>
        <v>8135</v>
      </c>
      <c r="P39" s="11"/>
      <c r="Q39" s="34">
        <f t="shared" si="3"/>
        <v>7673.4119000000001</v>
      </c>
      <c r="R39" s="11"/>
      <c r="S39" s="28"/>
      <c r="T39" s="11"/>
      <c r="U39" s="28"/>
      <c r="V39" s="153">
        <f>'Suvi Gaz'!O33</f>
        <v>863.97867000000008</v>
      </c>
      <c r="W39" s="11"/>
      <c r="X39" s="34">
        <f t="shared" si="1"/>
        <v>7862.9834778029999</v>
      </c>
    </row>
    <row r="40" spans="1:24" ht="33.75" customHeight="1" thickBot="1" x14ac:dyDescent="0.25">
      <c r="A40" s="2"/>
      <c r="B40" s="6">
        <v>44227</v>
      </c>
      <c r="C40" s="7"/>
      <c r="D40" s="147">
        <v>32</v>
      </c>
      <c r="E40" s="147">
        <v>47</v>
      </c>
      <c r="F40" s="13">
        <f>'Suivi EAU-ELEC'!E39</f>
        <v>72.600000000005821</v>
      </c>
      <c r="G40" s="11"/>
      <c r="H40" s="176">
        <f>F40*8.79</f>
        <v>638.15400000005116</v>
      </c>
      <c r="I40" s="177"/>
      <c r="J40" s="177"/>
      <c r="K40" s="63"/>
      <c r="L40" s="93">
        <f>'Suivi EAU-ELEC'!G39</f>
        <v>2368</v>
      </c>
      <c r="M40" s="94">
        <f>'Suivi EAU-ELEC'!I39</f>
        <v>3509</v>
      </c>
      <c r="N40" s="94">
        <f>'Suivi EAU-ELEC'!K39</f>
        <v>1584</v>
      </c>
      <c r="O40" s="94">
        <f t="shared" si="2"/>
        <v>7461</v>
      </c>
      <c r="P40" s="11"/>
      <c r="Q40" s="34">
        <f t="shared" si="3"/>
        <v>7099.8642</v>
      </c>
      <c r="R40" s="11"/>
      <c r="S40" s="28"/>
      <c r="T40" s="11"/>
      <c r="U40" s="28"/>
      <c r="V40" s="153">
        <f>'Suvi Gaz'!O34</f>
        <v>575.98577999999998</v>
      </c>
      <c r="W40" s="11"/>
      <c r="X40" s="34">
        <f t="shared" si="1"/>
        <v>5241.9889852019996</v>
      </c>
    </row>
    <row r="41" spans="1:24" ht="42.75" customHeight="1" thickBot="1" x14ac:dyDescent="0.25">
      <c r="A41" s="2"/>
      <c r="B41" s="10"/>
      <c r="C41" s="10"/>
      <c r="D41" s="8">
        <f>SUM(D10:D40)</f>
        <v>934</v>
      </c>
      <c r="E41" s="8">
        <f>SUM(E10:E40)</f>
        <v>1450</v>
      </c>
      <c r="F41" s="8">
        <f>SUM(F10:F40)</f>
        <v>2027.4000000000087</v>
      </c>
      <c r="G41" s="1"/>
      <c r="H41" s="181">
        <f>SUM(H10:H40)</f>
        <v>17820.84600000007</v>
      </c>
      <c r="I41" s="182"/>
      <c r="J41" s="183"/>
      <c r="K41" s="1"/>
      <c r="L41" s="54">
        <f>SUM(L10:L40)</f>
        <v>75836</v>
      </c>
      <c r="M41" s="54">
        <f>SUM(M10:M40)</f>
        <v>111073</v>
      </c>
      <c r="N41" s="55">
        <f>SUM(N10:N40)</f>
        <v>50618</v>
      </c>
      <c r="O41" s="56">
        <f>SUM(O10:O40)</f>
        <v>237527</v>
      </c>
      <c r="P41" s="31"/>
      <c r="Q41" s="32">
        <f>SUM(Q10:Q40)</f>
        <v>225988.48540000006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12927.680839999997</v>
      </c>
      <c r="W41" s="31"/>
      <c r="X41" s="32">
        <f>SUM(X10:X40)</f>
        <v>117653.53055675598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2"/>
      <c r="M42" s="162"/>
      <c r="N42" s="16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18" t="s">
        <v>33</v>
      </c>
      <c r="B43" s="219"/>
      <c r="C43" s="219"/>
      <c r="D43" s="219"/>
      <c r="E43" s="219"/>
      <c r="F43" s="220"/>
      <c r="G43" s="26"/>
      <c r="H43" s="27" t="s">
        <v>34</v>
      </c>
      <c r="I43" s="257" t="s">
        <v>35</v>
      </c>
      <c r="J43" s="258"/>
      <c r="K43" s="259"/>
      <c r="L43" s="232" t="s">
        <v>36</v>
      </c>
      <c r="M43" s="233"/>
      <c r="N43" s="218" t="s">
        <v>37</v>
      </c>
      <c r="O43" s="219"/>
      <c r="P43" s="219"/>
      <c r="Q43" s="219"/>
      <c r="R43" s="219"/>
      <c r="S43" s="219"/>
      <c r="T43" s="219"/>
      <c r="U43" s="219"/>
      <c r="V43" s="219"/>
      <c r="W43" s="219"/>
      <c r="X43" s="220"/>
    </row>
    <row r="44" spans="1:24" s="18" customFormat="1" ht="29.25" customHeight="1" thickBot="1" x14ac:dyDescent="0.25">
      <c r="A44" s="226" t="s">
        <v>38</v>
      </c>
      <c r="B44" s="227"/>
      <c r="C44" s="228"/>
      <c r="D44" s="164" t="s">
        <v>30</v>
      </c>
      <c r="E44" s="164" t="s">
        <v>30</v>
      </c>
      <c r="F44" s="164" t="s">
        <v>30</v>
      </c>
      <c r="G44" s="16"/>
      <c r="H44" s="17">
        <v>0.69850000000000001</v>
      </c>
      <c r="I44" s="223">
        <f>L41</f>
        <v>75836</v>
      </c>
      <c r="J44" s="224"/>
      <c r="K44" s="225"/>
      <c r="L44" s="184">
        <f>I44*H44</f>
        <v>52971.446000000004</v>
      </c>
      <c r="M44" s="185"/>
      <c r="N44" s="241">
        <f>L44+L45+L46</f>
        <v>225988.48540000001</v>
      </c>
      <c r="O44" s="242"/>
      <c r="P44" s="242"/>
      <c r="Q44" s="242"/>
      <c r="R44" s="242"/>
      <c r="S44" s="242"/>
      <c r="T44" s="242"/>
      <c r="U44" s="242"/>
      <c r="V44" s="242"/>
      <c r="W44" s="242"/>
      <c r="X44" s="243"/>
    </row>
    <row r="45" spans="1:24" s="18" customFormat="1" ht="29.25" customHeight="1" thickBot="1" x14ac:dyDescent="0.25">
      <c r="A45" s="229"/>
      <c r="B45" s="230"/>
      <c r="C45" s="231"/>
      <c r="D45" s="163" t="s">
        <v>31</v>
      </c>
      <c r="E45" s="163" t="s">
        <v>31</v>
      </c>
      <c r="F45" s="163" t="s">
        <v>31</v>
      </c>
      <c r="G45" s="16"/>
      <c r="H45" s="19">
        <v>0.95140000000000002</v>
      </c>
      <c r="I45" s="223">
        <f>M41</f>
        <v>111073</v>
      </c>
      <c r="J45" s="224"/>
      <c r="K45" s="225"/>
      <c r="L45" s="184">
        <f>I45*H45</f>
        <v>105674.85220000001</v>
      </c>
      <c r="M45" s="185"/>
      <c r="N45" s="244"/>
      <c r="O45" s="245"/>
      <c r="P45" s="245"/>
      <c r="Q45" s="245"/>
      <c r="R45" s="245"/>
      <c r="S45" s="245"/>
      <c r="T45" s="245"/>
      <c r="U45" s="245"/>
      <c r="V45" s="245"/>
      <c r="W45" s="245"/>
      <c r="X45" s="246"/>
    </row>
    <row r="46" spans="1:24" s="18" customFormat="1" ht="24.75" customHeight="1" thickBot="1" x14ac:dyDescent="0.25">
      <c r="A46" s="229"/>
      <c r="B46" s="230"/>
      <c r="C46" s="231"/>
      <c r="D46" s="170" t="s">
        <v>32</v>
      </c>
      <c r="E46" s="170" t="s">
        <v>32</v>
      </c>
      <c r="F46" s="170" t="s">
        <v>32</v>
      </c>
      <c r="G46" s="20"/>
      <c r="H46" s="20">
        <v>1.3304</v>
      </c>
      <c r="I46" s="254">
        <f>N41</f>
        <v>50618</v>
      </c>
      <c r="J46" s="255"/>
      <c r="K46" s="256"/>
      <c r="L46" s="184">
        <f>I46*H46</f>
        <v>67342.1872</v>
      </c>
      <c r="M46" s="185"/>
      <c r="N46" s="247"/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18" customFormat="1" ht="43.5" customHeight="1" thickBot="1" x14ac:dyDescent="0.25">
      <c r="A47" s="165"/>
      <c r="B47" s="166"/>
      <c r="C47" s="166"/>
      <c r="D47" s="170"/>
      <c r="E47" s="170"/>
      <c r="F47" s="170"/>
      <c r="G47" s="16"/>
      <c r="H47" s="16"/>
      <c r="I47" s="168"/>
      <c r="J47" s="169"/>
      <c r="K47" s="170"/>
      <c r="L47" s="159"/>
      <c r="M47" s="160"/>
      <c r="N47" s="178">
        <f>N44*1.3</f>
        <v>293785.03101999999</v>
      </c>
      <c r="O47" s="179"/>
      <c r="P47" s="179"/>
      <c r="Q47" s="179"/>
      <c r="R47" s="179"/>
      <c r="S47" s="179"/>
      <c r="T47" s="179"/>
      <c r="U47" s="179"/>
      <c r="V47" s="179"/>
      <c r="W47" s="179"/>
      <c r="X47" s="180"/>
    </row>
    <row r="48" spans="1:24" s="23" customFormat="1" ht="32.25" customHeight="1" thickBot="1" x14ac:dyDescent="0.25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2027.4000000000087</v>
      </c>
      <c r="J48" s="216"/>
      <c r="K48" s="217"/>
      <c r="L48" s="221">
        <f>I48*H48</f>
        <v>17820.846000000074</v>
      </c>
      <c r="M48" s="222"/>
      <c r="N48" s="238">
        <f>L48</f>
        <v>17820.846000000074</v>
      </c>
      <c r="O48" s="239"/>
      <c r="P48" s="239"/>
      <c r="Q48" s="239"/>
      <c r="R48" s="239"/>
      <c r="S48" s="239"/>
      <c r="T48" s="239"/>
      <c r="U48" s="239"/>
      <c r="V48" s="239"/>
      <c r="W48" s="239"/>
      <c r="X48" s="240"/>
    </row>
    <row r="49" spans="1:24" s="23" customFormat="1" ht="36.75" customHeight="1" x14ac:dyDescent="0.2">
      <c r="A49" s="250" t="s">
        <v>40</v>
      </c>
      <c r="B49" s="251"/>
      <c r="C49" s="251"/>
      <c r="D49" s="251"/>
      <c r="E49" s="251"/>
      <c r="F49" s="252"/>
      <c r="G49" s="24"/>
      <c r="H49" s="25">
        <v>10.803000000000001</v>
      </c>
      <c r="I49" s="213">
        <f>V41</f>
        <v>12927.680839999997</v>
      </c>
      <c r="J49" s="253"/>
      <c r="K49" s="214"/>
      <c r="L49" s="213">
        <f>I49*H49</f>
        <v>139657.73611451997</v>
      </c>
      <c r="M49" s="214"/>
      <c r="N49" s="235">
        <f>L49</f>
        <v>139657.73611451997</v>
      </c>
      <c r="O49" s="236"/>
      <c r="P49" s="236"/>
      <c r="Q49" s="236"/>
      <c r="R49" s="236"/>
      <c r="S49" s="236"/>
      <c r="T49" s="236"/>
      <c r="U49" s="236"/>
      <c r="V49" s="236"/>
      <c r="W49" s="236"/>
      <c r="X49" s="237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</row>
    <row r="55" spans="1:24" ht="39" customHeight="1" x14ac:dyDescent="0.2">
      <c r="A55" s="167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N47:X47"/>
    <mergeCell ref="H41:J41"/>
    <mergeCell ref="H30:J30"/>
    <mergeCell ref="H38:J38"/>
    <mergeCell ref="H36:J36"/>
    <mergeCell ref="L44:M44"/>
    <mergeCell ref="H33:J33"/>
    <mergeCell ref="L46:M46"/>
    <mergeCell ref="H31:J31"/>
    <mergeCell ref="H35:J35"/>
    <mergeCell ref="H40:J4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10" sqref="K10:K40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8" customWidth="1"/>
    <col min="6" max="11" width="16.7109375" customWidth="1"/>
    <col min="12" max="12" width="24.28515625" customWidth="1"/>
  </cols>
  <sheetData>
    <row r="1" spans="1:12" ht="12.75" customHeight="1" x14ac:dyDescent="0.2">
      <c r="A1" s="279"/>
      <c r="B1" s="280"/>
      <c r="C1" s="280"/>
      <c r="D1" s="281"/>
      <c r="E1" s="262" t="s">
        <v>41</v>
      </c>
      <c r="F1" s="263"/>
      <c r="G1" s="263"/>
      <c r="H1" s="263"/>
      <c r="I1" s="264"/>
      <c r="J1" s="271" t="s">
        <v>42</v>
      </c>
      <c r="K1" s="272"/>
      <c r="L1" s="49"/>
    </row>
    <row r="2" spans="1:12" ht="16.5" customHeight="1" x14ac:dyDescent="0.2">
      <c r="A2" s="282"/>
      <c r="B2" s="283"/>
      <c r="C2" s="283"/>
      <c r="D2" s="284"/>
      <c r="E2" s="265"/>
      <c r="F2" s="266"/>
      <c r="G2" s="266"/>
      <c r="H2" s="266"/>
      <c r="I2" s="267"/>
      <c r="J2" s="273"/>
      <c r="K2" s="274"/>
      <c r="L2" s="49"/>
    </row>
    <row r="3" spans="1:12" ht="48" customHeight="1" x14ac:dyDescent="0.2">
      <c r="A3" s="285"/>
      <c r="B3" s="286"/>
      <c r="C3" s="286"/>
      <c r="D3" s="287"/>
      <c r="E3" s="268"/>
      <c r="F3" s="269"/>
      <c r="G3" s="269"/>
      <c r="H3" s="269"/>
      <c r="I3" s="270"/>
      <c r="J3" s="275"/>
      <c r="K3" s="276"/>
      <c r="L3" s="49"/>
    </row>
    <row r="6" spans="1:12" ht="10.5" customHeight="1" x14ac:dyDescent="0.25">
      <c r="A6" s="171"/>
      <c r="B6" s="171"/>
      <c r="C6" s="171"/>
    </row>
    <row r="7" spans="1:12" ht="16.5" customHeight="1" x14ac:dyDescent="0.2">
      <c r="A7" s="260" t="s">
        <v>43</v>
      </c>
      <c r="B7" s="288" t="s">
        <v>44</v>
      </c>
      <c r="C7" s="289"/>
      <c r="D7" s="277" t="s">
        <v>45</v>
      </c>
      <c r="E7" s="277"/>
      <c r="F7" s="278" t="s">
        <v>46</v>
      </c>
      <c r="G7" s="278"/>
      <c r="H7" s="278"/>
      <c r="I7" s="278"/>
      <c r="J7" s="278"/>
      <c r="K7" s="278"/>
    </row>
    <row r="8" spans="1:12" s="29" customFormat="1" ht="28.5" customHeight="1" x14ac:dyDescent="0.2">
      <c r="A8" s="261"/>
      <c r="B8" s="118" t="s">
        <v>47</v>
      </c>
      <c r="C8" s="118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 x14ac:dyDescent="0.3">
      <c r="A9" s="61">
        <v>44197</v>
      </c>
      <c r="B9" s="120">
        <v>2559</v>
      </c>
      <c r="C9" s="119">
        <v>0</v>
      </c>
      <c r="D9" s="59">
        <v>99706.2</v>
      </c>
      <c r="E9" s="152">
        <v>48</v>
      </c>
      <c r="F9" s="52">
        <v>10232735</v>
      </c>
      <c r="G9" s="51">
        <v>2484</v>
      </c>
      <c r="H9" s="52">
        <v>17209781</v>
      </c>
      <c r="I9" s="51">
        <v>3682</v>
      </c>
      <c r="J9" s="52">
        <v>7619985</v>
      </c>
      <c r="K9" s="51">
        <v>1748</v>
      </c>
    </row>
    <row r="10" spans="1:12" ht="19.5" x14ac:dyDescent="0.3">
      <c r="A10" s="61">
        <v>44198</v>
      </c>
      <c r="B10" s="120">
        <v>2559</v>
      </c>
      <c r="C10" s="119">
        <f t="shared" ref="C10:C40" si="0">B10-B9</f>
        <v>0</v>
      </c>
      <c r="D10" s="59">
        <v>99793.3</v>
      </c>
      <c r="E10" s="152">
        <f t="shared" ref="E10:E40" si="1">D10-D9</f>
        <v>87.100000000005821</v>
      </c>
      <c r="F10" s="52">
        <v>10235254</v>
      </c>
      <c r="G10" s="51">
        <f>F10-F9</f>
        <v>2519</v>
      </c>
      <c r="H10" s="52">
        <v>17213254</v>
      </c>
      <c r="I10" s="51">
        <f>H10-H9</f>
        <v>3473</v>
      </c>
      <c r="J10" s="52">
        <v>7621599</v>
      </c>
      <c r="K10" s="51">
        <f>J10-J9</f>
        <v>1614</v>
      </c>
    </row>
    <row r="11" spans="1:12" ht="19.5" x14ac:dyDescent="0.3">
      <c r="A11" s="61">
        <v>44199</v>
      </c>
      <c r="B11" s="120">
        <v>2559</v>
      </c>
      <c r="C11" s="119">
        <f t="shared" si="0"/>
        <v>0</v>
      </c>
      <c r="D11" s="59">
        <v>99855.2</v>
      </c>
      <c r="E11" s="152">
        <f t="shared" si="1"/>
        <v>61.899999999994179</v>
      </c>
      <c r="F11" s="156">
        <v>10237551</v>
      </c>
      <c r="G11" s="51">
        <f t="shared" ref="G11:G40" si="2">F11-F10</f>
        <v>2297</v>
      </c>
      <c r="H11" s="156">
        <v>17216952</v>
      </c>
      <c r="I11" s="51">
        <f t="shared" ref="I11:I40" si="3">H11-H10</f>
        <v>3698</v>
      </c>
      <c r="J11" s="156">
        <v>7623173</v>
      </c>
      <c r="K11" s="51">
        <f t="shared" ref="K11:K40" si="4">J11-J10</f>
        <v>1574</v>
      </c>
    </row>
    <row r="12" spans="1:12" ht="19.5" x14ac:dyDescent="0.3">
      <c r="A12" s="61">
        <v>44200</v>
      </c>
      <c r="B12" s="120">
        <v>2559</v>
      </c>
      <c r="C12" s="119">
        <f t="shared" si="0"/>
        <v>0</v>
      </c>
      <c r="D12" s="59">
        <v>99916.1</v>
      </c>
      <c r="E12" s="152">
        <f t="shared" si="1"/>
        <v>60.900000000008731</v>
      </c>
      <c r="F12" s="52">
        <v>10240086</v>
      </c>
      <c r="G12" s="51">
        <f t="shared" si="2"/>
        <v>2535</v>
      </c>
      <c r="H12" s="52">
        <v>17220557</v>
      </c>
      <c r="I12" s="51">
        <f t="shared" si="3"/>
        <v>3605</v>
      </c>
      <c r="J12" s="52">
        <v>7624818</v>
      </c>
      <c r="K12" s="51">
        <f t="shared" si="4"/>
        <v>1645</v>
      </c>
    </row>
    <row r="13" spans="1:12" ht="19.5" x14ac:dyDescent="0.3">
      <c r="A13" s="61">
        <v>44201</v>
      </c>
      <c r="B13" s="120">
        <v>2559</v>
      </c>
      <c r="C13" s="119">
        <f t="shared" si="0"/>
        <v>0</v>
      </c>
      <c r="D13" s="59">
        <v>99989.4</v>
      </c>
      <c r="E13" s="152">
        <f t="shared" si="1"/>
        <v>73.299999999988358</v>
      </c>
      <c r="F13" s="52">
        <v>10242276</v>
      </c>
      <c r="G13" s="51">
        <f t="shared" si="2"/>
        <v>2190</v>
      </c>
      <c r="H13" s="52">
        <v>17224225</v>
      </c>
      <c r="I13" s="51">
        <f t="shared" si="3"/>
        <v>3668</v>
      </c>
      <c r="J13" s="52">
        <v>7626562</v>
      </c>
      <c r="K13" s="51">
        <f t="shared" si="4"/>
        <v>1744</v>
      </c>
    </row>
    <row r="14" spans="1:12" ht="19.5" x14ac:dyDescent="0.3">
      <c r="A14" s="61">
        <v>44202</v>
      </c>
      <c r="B14" s="120">
        <v>2559</v>
      </c>
      <c r="C14" s="119">
        <f t="shared" si="0"/>
        <v>0</v>
      </c>
      <c r="D14" s="59">
        <v>100028.1</v>
      </c>
      <c r="E14" s="152">
        <f t="shared" si="1"/>
        <v>38.700000000011642</v>
      </c>
      <c r="F14" s="52">
        <v>10244777</v>
      </c>
      <c r="G14" s="51">
        <f t="shared" si="2"/>
        <v>2501</v>
      </c>
      <c r="H14" s="52">
        <v>17227822</v>
      </c>
      <c r="I14" s="51">
        <f t="shared" si="3"/>
        <v>3597</v>
      </c>
      <c r="J14" s="52">
        <v>7628230</v>
      </c>
      <c r="K14" s="51">
        <f t="shared" si="4"/>
        <v>1668</v>
      </c>
    </row>
    <row r="15" spans="1:12" ht="19.5" x14ac:dyDescent="0.3">
      <c r="A15" s="61">
        <v>44203</v>
      </c>
      <c r="B15" s="120">
        <v>2559</v>
      </c>
      <c r="C15" s="119">
        <f t="shared" si="0"/>
        <v>0</v>
      </c>
      <c r="D15" s="59">
        <v>100098.6</v>
      </c>
      <c r="E15" s="152">
        <f t="shared" si="1"/>
        <v>70.5</v>
      </c>
      <c r="F15" s="52">
        <v>10247123</v>
      </c>
      <c r="G15" s="51">
        <f t="shared" si="2"/>
        <v>2346</v>
      </c>
      <c r="H15" s="52">
        <v>17231334</v>
      </c>
      <c r="I15" s="51">
        <f t="shared" si="3"/>
        <v>3512</v>
      </c>
      <c r="J15" s="52">
        <v>7629776</v>
      </c>
      <c r="K15" s="51">
        <f t="shared" si="4"/>
        <v>1546</v>
      </c>
    </row>
    <row r="16" spans="1:12" ht="19.5" x14ac:dyDescent="0.3">
      <c r="A16" s="61">
        <v>44204</v>
      </c>
      <c r="B16" s="120">
        <v>2559</v>
      </c>
      <c r="C16" s="119">
        <f t="shared" si="0"/>
        <v>0</v>
      </c>
      <c r="D16" s="59">
        <v>100152.2</v>
      </c>
      <c r="E16" s="152">
        <f t="shared" si="1"/>
        <v>53.599999999991269</v>
      </c>
      <c r="F16" s="52">
        <v>10249619</v>
      </c>
      <c r="G16" s="51">
        <f t="shared" si="2"/>
        <v>2496</v>
      </c>
      <c r="H16" s="52">
        <v>17234958</v>
      </c>
      <c r="I16" s="51">
        <f t="shared" si="3"/>
        <v>3624</v>
      </c>
      <c r="J16" s="52">
        <v>7631441</v>
      </c>
      <c r="K16" s="51">
        <f t="shared" si="4"/>
        <v>1665</v>
      </c>
    </row>
    <row r="17" spans="1:29" ht="19.5" x14ac:dyDescent="0.3">
      <c r="A17" s="61">
        <v>44205</v>
      </c>
      <c r="B17" s="120">
        <v>2559</v>
      </c>
      <c r="C17" s="119">
        <f t="shared" si="0"/>
        <v>0</v>
      </c>
      <c r="D17" s="59">
        <v>100215</v>
      </c>
      <c r="E17" s="152">
        <f t="shared" si="1"/>
        <v>62.80000000000291</v>
      </c>
      <c r="F17" s="52">
        <v>10251853</v>
      </c>
      <c r="G17" s="51">
        <f t="shared" si="2"/>
        <v>2234</v>
      </c>
      <c r="H17" s="52">
        <v>17238548</v>
      </c>
      <c r="I17" s="51">
        <f t="shared" si="3"/>
        <v>3590</v>
      </c>
      <c r="J17" s="52">
        <v>7632992</v>
      </c>
      <c r="K17" s="51">
        <f t="shared" si="4"/>
        <v>1551</v>
      </c>
    </row>
    <row r="18" spans="1:29" ht="19.5" x14ac:dyDescent="0.3">
      <c r="A18" s="61">
        <v>44206</v>
      </c>
      <c r="B18" s="120">
        <v>2559</v>
      </c>
      <c r="C18" s="119">
        <f t="shared" si="0"/>
        <v>0</v>
      </c>
      <c r="D18" s="59">
        <v>100290</v>
      </c>
      <c r="E18" s="152">
        <f t="shared" si="1"/>
        <v>75</v>
      </c>
      <c r="F18" s="52">
        <v>10254351</v>
      </c>
      <c r="G18" s="51">
        <f t="shared" si="2"/>
        <v>2498</v>
      </c>
      <c r="H18" s="52">
        <v>17242032</v>
      </c>
      <c r="I18" s="51">
        <f t="shared" si="3"/>
        <v>3484</v>
      </c>
      <c r="J18" s="52">
        <v>7634583</v>
      </c>
      <c r="K18" s="51">
        <f t="shared" si="4"/>
        <v>1591</v>
      </c>
    </row>
    <row r="19" spans="1:29" ht="19.5" x14ac:dyDescent="0.3">
      <c r="A19" s="61">
        <v>44207</v>
      </c>
      <c r="B19" s="120">
        <v>2559</v>
      </c>
      <c r="C19" s="119">
        <f t="shared" si="0"/>
        <v>0</v>
      </c>
      <c r="D19" s="59">
        <v>100353.9</v>
      </c>
      <c r="E19" s="152">
        <f t="shared" si="1"/>
        <v>63.899999999994179</v>
      </c>
      <c r="F19" s="52">
        <v>10256622</v>
      </c>
      <c r="G19" s="51">
        <f t="shared" si="2"/>
        <v>2271</v>
      </c>
      <c r="H19" s="52">
        <v>17245476</v>
      </c>
      <c r="I19" s="51">
        <f t="shared" si="3"/>
        <v>3444</v>
      </c>
      <c r="J19" s="52">
        <v>7636166</v>
      </c>
      <c r="K19" s="51">
        <f t="shared" si="4"/>
        <v>1583</v>
      </c>
    </row>
    <row r="20" spans="1:29" ht="25.5" x14ac:dyDescent="0.35">
      <c r="A20" s="61">
        <v>44208</v>
      </c>
      <c r="B20" s="120">
        <v>2559</v>
      </c>
      <c r="C20" s="119">
        <f t="shared" si="0"/>
        <v>0</v>
      </c>
      <c r="D20" s="59">
        <v>100393.1</v>
      </c>
      <c r="E20" s="152">
        <f t="shared" si="1"/>
        <v>39.200000000011642</v>
      </c>
      <c r="F20" s="52">
        <v>10258930</v>
      </c>
      <c r="G20" s="51">
        <f t="shared" si="2"/>
        <v>2308</v>
      </c>
      <c r="H20" s="52">
        <v>17248922</v>
      </c>
      <c r="I20" s="51">
        <f t="shared" si="3"/>
        <v>3446</v>
      </c>
      <c r="J20" s="52">
        <v>7637728</v>
      </c>
      <c r="K20" s="51">
        <f t="shared" si="4"/>
        <v>1562</v>
      </c>
      <c r="L20" s="121" t="s">
        <v>18</v>
      </c>
      <c r="AC20" t="s">
        <v>56</v>
      </c>
    </row>
    <row r="21" spans="1:29" ht="19.5" x14ac:dyDescent="0.3">
      <c r="A21" s="61">
        <v>44209</v>
      </c>
      <c r="B21" s="120">
        <v>2559</v>
      </c>
      <c r="C21" s="119">
        <f t="shared" si="0"/>
        <v>0</v>
      </c>
      <c r="D21" s="59">
        <v>100453.1</v>
      </c>
      <c r="E21" s="152">
        <f t="shared" si="1"/>
        <v>60</v>
      </c>
      <c r="F21" s="52">
        <v>10261283</v>
      </c>
      <c r="G21" s="51">
        <f t="shared" si="2"/>
        <v>2353</v>
      </c>
      <c r="H21" s="52">
        <v>17252391</v>
      </c>
      <c r="I21" s="51">
        <f t="shared" si="3"/>
        <v>3469</v>
      </c>
      <c r="J21" s="52">
        <v>7639314</v>
      </c>
      <c r="K21" s="51">
        <f t="shared" si="4"/>
        <v>1586</v>
      </c>
    </row>
    <row r="22" spans="1:29" ht="19.5" x14ac:dyDescent="0.3">
      <c r="A22" s="61">
        <v>44210</v>
      </c>
      <c r="B22" s="120">
        <v>2559</v>
      </c>
      <c r="C22" s="119">
        <f t="shared" si="0"/>
        <v>0</v>
      </c>
      <c r="D22" s="59">
        <v>100495.4</v>
      </c>
      <c r="E22" s="152">
        <f t="shared" si="1"/>
        <v>42.299999999988358</v>
      </c>
      <c r="F22" s="52">
        <v>10263788</v>
      </c>
      <c r="G22" s="51">
        <f t="shared" si="2"/>
        <v>2505</v>
      </c>
      <c r="H22" s="52">
        <v>17255803</v>
      </c>
      <c r="I22" s="51">
        <f t="shared" si="3"/>
        <v>3412</v>
      </c>
      <c r="J22" s="52">
        <v>7640856</v>
      </c>
      <c r="K22" s="51">
        <f t="shared" si="4"/>
        <v>1542</v>
      </c>
    </row>
    <row r="23" spans="1:29" ht="19.5" x14ac:dyDescent="0.3">
      <c r="A23" s="61">
        <v>44211</v>
      </c>
      <c r="B23" s="120">
        <v>2559</v>
      </c>
      <c r="C23" s="119">
        <f t="shared" si="0"/>
        <v>0</v>
      </c>
      <c r="D23" s="59">
        <v>100554.1</v>
      </c>
      <c r="E23" s="152">
        <f t="shared" si="1"/>
        <v>58.700000000011642</v>
      </c>
      <c r="F23" s="52">
        <v>10266181</v>
      </c>
      <c r="G23" s="51">
        <f t="shared" si="2"/>
        <v>2393</v>
      </c>
      <c r="H23" s="52">
        <v>17259327</v>
      </c>
      <c r="I23" s="51">
        <f t="shared" si="3"/>
        <v>3524</v>
      </c>
      <c r="J23" s="52">
        <v>7642463</v>
      </c>
      <c r="K23" s="51">
        <f t="shared" si="4"/>
        <v>1607</v>
      </c>
    </row>
    <row r="24" spans="1:29" ht="19.5" x14ac:dyDescent="0.3">
      <c r="A24" s="61">
        <v>44212</v>
      </c>
      <c r="B24" s="120">
        <v>2559</v>
      </c>
      <c r="C24" s="119">
        <f t="shared" si="0"/>
        <v>0</v>
      </c>
      <c r="D24" s="59">
        <v>100629.1</v>
      </c>
      <c r="E24" s="152">
        <f t="shared" si="1"/>
        <v>75</v>
      </c>
      <c r="F24" s="52">
        <v>10268625</v>
      </c>
      <c r="G24" s="51">
        <f t="shared" si="2"/>
        <v>2444</v>
      </c>
      <c r="H24" s="52">
        <v>17262692</v>
      </c>
      <c r="I24" s="51">
        <f t="shared" si="3"/>
        <v>3365</v>
      </c>
      <c r="J24" s="52">
        <v>7644016</v>
      </c>
      <c r="K24" s="51">
        <f t="shared" si="4"/>
        <v>1553</v>
      </c>
    </row>
    <row r="25" spans="1:29" ht="19.5" x14ac:dyDescent="0.3">
      <c r="A25" s="61">
        <v>44213</v>
      </c>
      <c r="B25" s="120">
        <v>2559</v>
      </c>
      <c r="C25" s="119">
        <f t="shared" si="0"/>
        <v>0</v>
      </c>
      <c r="D25" s="59">
        <v>100692</v>
      </c>
      <c r="E25" s="152">
        <f t="shared" si="1"/>
        <v>62.899999999994179</v>
      </c>
      <c r="F25" s="52">
        <v>10271224</v>
      </c>
      <c r="G25" s="51">
        <f t="shared" si="2"/>
        <v>2599</v>
      </c>
      <c r="H25" s="52">
        <v>17266028</v>
      </c>
      <c r="I25" s="51">
        <f t="shared" si="3"/>
        <v>3336</v>
      </c>
      <c r="J25" s="52">
        <v>7645548</v>
      </c>
      <c r="K25" s="51">
        <f t="shared" si="4"/>
        <v>1532</v>
      </c>
    </row>
    <row r="26" spans="1:29" ht="19.5" x14ac:dyDescent="0.3">
      <c r="A26" s="61">
        <v>44214</v>
      </c>
      <c r="B26" s="120">
        <v>2559</v>
      </c>
      <c r="C26" s="119">
        <f t="shared" si="0"/>
        <v>0</v>
      </c>
      <c r="D26" s="59">
        <v>100751</v>
      </c>
      <c r="E26" s="152">
        <f t="shared" si="1"/>
        <v>59</v>
      </c>
      <c r="F26" s="52">
        <v>10273670</v>
      </c>
      <c r="G26" s="51">
        <f t="shared" si="2"/>
        <v>2446</v>
      </c>
      <c r="H26" s="52">
        <v>17269445</v>
      </c>
      <c r="I26" s="51">
        <f t="shared" si="3"/>
        <v>3417</v>
      </c>
      <c r="J26" s="52">
        <v>7647130</v>
      </c>
      <c r="K26" s="51">
        <f t="shared" si="4"/>
        <v>1582</v>
      </c>
    </row>
    <row r="27" spans="1:29" ht="19.5" x14ac:dyDescent="0.3">
      <c r="A27" s="61">
        <v>44215</v>
      </c>
      <c r="B27" s="120">
        <v>2559</v>
      </c>
      <c r="C27" s="119">
        <f t="shared" si="0"/>
        <v>0</v>
      </c>
      <c r="D27" s="59">
        <v>100836</v>
      </c>
      <c r="E27" s="152">
        <f t="shared" si="1"/>
        <v>85</v>
      </c>
      <c r="F27" s="52">
        <v>10276191</v>
      </c>
      <c r="G27" s="51">
        <f t="shared" si="2"/>
        <v>2521</v>
      </c>
      <c r="H27" s="52">
        <v>17273143</v>
      </c>
      <c r="I27" s="51">
        <f t="shared" si="3"/>
        <v>3698</v>
      </c>
      <c r="J27" s="52">
        <v>7648703</v>
      </c>
      <c r="K27" s="51">
        <f t="shared" si="4"/>
        <v>1573</v>
      </c>
    </row>
    <row r="28" spans="1:29" ht="19.5" x14ac:dyDescent="0.3">
      <c r="A28" s="61">
        <v>44216</v>
      </c>
      <c r="B28" s="120">
        <v>2559</v>
      </c>
      <c r="C28" s="119">
        <f t="shared" si="0"/>
        <v>0</v>
      </c>
      <c r="D28" s="59">
        <v>100899.2</v>
      </c>
      <c r="E28" s="152">
        <f t="shared" si="1"/>
        <v>63.19999999999709</v>
      </c>
      <c r="F28" s="52">
        <v>10278429</v>
      </c>
      <c r="G28" s="51">
        <f t="shared" si="2"/>
        <v>2238</v>
      </c>
      <c r="H28" s="52">
        <v>17276886</v>
      </c>
      <c r="I28" s="51">
        <f t="shared" si="3"/>
        <v>3743</v>
      </c>
      <c r="J28" s="52">
        <v>7650290</v>
      </c>
      <c r="K28" s="51">
        <f t="shared" si="4"/>
        <v>1587</v>
      </c>
    </row>
    <row r="29" spans="1:29" ht="19.5" x14ac:dyDescent="0.3">
      <c r="A29" s="61">
        <v>44217</v>
      </c>
      <c r="B29" s="120">
        <v>2559</v>
      </c>
      <c r="C29" s="119">
        <f t="shared" si="0"/>
        <v>0</v>
      </c>
      <c r="D29" s="59">
        <v>100953.5</v>
      </c>
      <c r="E29" s="152">
        <f t="shared" si="1"/>
        <v>54.30000000000291</v>
      </c>
      <c r="F29" s="52">
        <v>10281005</v>
      </c>
      <c r="G29" s="51">
        <f t="shared" si="2"/>
        <v>2576</v>
      </c>
      <c r="H29" s="52">
        <v>17280447</v>
      </c>
      <c r="I29" s="51">
        <f t="shared" si="3"/>
        <v>3561</v>
      </c>
      <c r="J29" s="52">
        <v>7651868</v>
      </c>
      <c r="K29" s="51">
        <f t="shared" si="4"/>
        <v>1578</v>
      </c>
    </row>
    <row r="30" spans="1:29" ht="19.5" x14ac:dyDescent="0.3">
      <c r="A30" s="61">
        <v>44218</v>
      </c>
      <c r="B30" s="120">
        <v>2559</v>
      </c>
      <c r="C30" s="119">
        <f t="shared" si="0"/>
        <v>0</v>
      </c>
      <c r="D30" s="59">
        <v>101007.8</v>
      </c>
      <c r="E30" s="152">
        <f t="shared" si="1"/>
        <v>54.30000000000291</v>
      </c>
      <c r="F30" s="52">
        <v>10283560</v>
      </c>
      <c r="G30" s="51">
        <f t="shared" si="2"/>
        <v>2555</v>
      </c>
      <c r="H30" s="52">
        <v>17284017</v>
      </c>
      <c r="I30" s="51">
        <f t="shared" si="3"/>
        <v>3570</v>
      </c>
      <c r="J30" s="52">
        <v>7653505</v>
      </c>
      <c r="K30" s="51">
        <f t="shared" si="4"/>
        <v>1637</v>
      </c>
    </row>
    <row r="31" spans="1:29" ht="19.5" x14ac:dyDescent="0.3">
      <c r="A31" s="61">
        <v>44219</v>
      </c>
      <c r="B31" s="120">
        <v>2559</v>
      </c>
      <c r="C31" s="119">
        <f t="shared" si="0"/>
        <v>0</v>
      </c>
      <c r="D31" s="59">
        <v>101077.6</v>
      </c>
      <c r="E31" s="152">
        <f t="shared" si="1"/>
        <v>69.80000000000291</v>
      </c>
      <c r="F31" s="52">
        <v>10286363</v>
      </c>
      <c r="G31" s="51">
        <f t="shared" si="2"/>
        <v>2803</v>
      </c>
      <c r="H31" s="52">
        <v>17287990</v>
      </c>
      <c r="I31" s="51">
        <f t="shared" si="3"/>
        <v>3973</v>
      </c>
      <c r="J31" s="52">
        <v>7655669</v>
      </c>
      <c r="K31" s="51">
        <f t="shared" si="4"/>
        <v>2164</v>
      </c>
    </row>
    <row r="32" spans="1:29" ht="19.5" x14ac:dyDescent="0.3">
      <c r="A32" s="61">
        <v>44220</v>
      </c>
      <c r="B32" s="120">
        <v>2559</v>
      </c>
      <c r="C32" s="119">
        <f t="shared" si="0"/>
        <v>0</v>
      </c>
      <c r="D32" s="59">
        <v>101152</v>
      </c>
      <c r="E32" s="152">
        <f t="shared" si="1"/>
        <v>74.399999999994179</v>
      </c>
      <c r="F32" s="52">
        <v>10289187</v>
      </c>
      <c r="G32" s="51">
        <f t="shared" si="2"/>
        <v>2824</v>
      </c>
      <c r="H32" s="52">
        <v>17292052</v>
      </c>
      <c r="I32" s="51">
        <f t="shared" si="3"/>
        <v>4062</v>
      </c>
      <c r="J32" s="52">
        <v>7657442</v>
      </c>
      <c r="K32" s="51">
        <f t="shared" si="4"/>
        <v>1773</v>
      </c>
    </row>
    <row r="33" spans="1:11" ht="19.5" x14ac:dyDescent="0.3">
      <c r="A33" s="61">
        <v>44221</v>
      </c>
      <c r="B33" s="120">
        <v>2559</v>
      </c>
      <c r="C33" s="119">
        <f t="shared" si="0"/>
        <v>0</v>
      </c>
      <c r="D33" s="59">
        <v>101222</v>
      </c>
      <c r="E33" s="152">
        <f t="shared" si="1"/>
        <v>70</v>
      </c>
      <c r="F33" s="52">
        <v>10291631</v>
      </c>
      <c r="G33" s="51">
        <f t="shared" si="2"/>
        <v>2444</v>
      </c>
      <c r="H33" s="52">
        <v>17295716</v>
      </c>
      <c r="I33" s="51">
        <f t="shared" si="3"/>
        <v>3664</v>
      </c>
      <c r="J33" s="52">
        <v>7659017</v>
      </c>
      <c r="K33" s="51">
        <f t="shared" si="4"/>
        <v>1575</v>
      </c>
    </row>
    <row r="34" spans="1:11" ht="19.5" x14ac:dyDescent="0.3">
      <c r="A34" s="61">
        <v>44222</v>
      </c>
      <c r="B34" s="120">
        <v>2559</v>
      </c>
      <c r="C34" s="119">
        <f t="shared" si="0"/>
        <v>0</v>
      </c>
      <c r="D34" s="59">
        <v>101293.6</v>
      </c>
      <c r="E34" s="152">
        <f t="shared" si="1"/>
        <v>71.600000000005821</v>
      </c>
      <c r="F34" s="52">
        <v>10293572</v>
      </c>
      <c r="G34" s="51">
        <f t="shared" si="2"/>
        <v>1941</v>
      </c>
      <c r="H34" s="52">
        <v>17299253</v>
      </c>
      <c r="I34" s="51">
        <f t="shared" si="3"/>
        <v>3537</v>
      </c>
      <c r="J34" s="52">
        <v>7660603</v>
      </c>
      <c r="K34" s="51">
        <f t="shared" si="4"/>
        <v>1586</v>
      </c>
    </row>
    <row r="35" spans="1:11" ht="19.5" x14ac:dyDescent="0.3">
      <c r="A35" s="61">
        <v>44223</v>
      </c>
      <c r="B35" s="120">
        <v>2559</v>
      </c>
      <c r="C35" s="119">
        <f t="shared" si="0"/>
        <v>0</v>
      </c>
      <c r="D35" s="59">
        <v>101400.8</v>
      </c>
      <c r="E35" s="152">
        <f t="shared" si="1"/>
        <v>107.19999999999709</v>
      </c>
      <c r="F35" s="52">
        <v>10296015</v>
      </c>
      <c r="G35" s="51">
        <f t="shared" si="2"/>
        <v>2443</v>
      </c>
      <c r="H35" s="52">
        <v>17302772</v>
      </c>
      <c r="I35" s="51">
        <f t="shared" si="3"/>
        <v>3519</v>
      </c>
      <c r="J35" s="52">
        <v>7662221</v>
      </c>
      <c r="K35" s="51">
        <f t="shared" si="4"/>
        <v>1618</v>
      </c>
    </row>
    <row r="36" spans="1:11" ht="19.5" x14ac:dyDescent="0.3">
      <c r="A36" s="61">
        <v>44224</v>
      </c>
      <c r="B36" s="120">
        <v>2559</v>
      </c>
      <c r="C36" s="119">
        <f t="shared" si="0"/>
        <v>0</v>
      </c>
      <c r="D36" s="59">
        <v>101470.39999999999</v>
      </c>
      <c r="E36" s="152">
        <f t="shared" si="1"/>
        <v>69.599999999991269</v>
      </c>
      <c r="F36" s="52">
        <v>10298377</v>
      </c>
      <c r="G36" s="51">
        <f t="shared" si="2"/>
        <v>2362</v>
      </c>
      <c r="H36" s="52">
        <v>17306409</v>
      </c>
      <c r="I36" s="51">
        <f t="shared" si="3"/>
        <v>3637</v>
      </c>
      <c r="J36" s="52">
        <v>7663857</v>
      </c>
      <c r="K36" s="51">
        <f t="shared" si="4"/>
        <v>1636</v>
      </c>
    </row>
    <row r="37" spans="1:11" ht="19.5" x14ac:dyDescent="0.3">
      <c r="A37" s="61">
        <v>44225</v>
      </c>
      <c r="B37" s="120">
        <v>2559</v>
      </c>
      <c r="C37" s="119">
        <f t="shared" si="0"/>
        <v>0</v>
      </c>
      <c r="D37" s="59">
        <v>101523.2</v>
      </c>
      <c r="E37" s="152">
        <f t="shared" si="1"/>
        <v>52.80000000000291</v>
      </c>
      <c r="F37" s="52">
        <v>10300890</v>
      </c>
      <c r="G37" s="51">
        <f t="shared" si="2"/>
        <v>2513</v>
      </c>
      <c r="H37" s="52">
        <v>17310070</v>
      </c>
      <c r="I37" s="51">
        <f t="shared" si="3"/>
        <v>3661</v>
      </c>
      <c r="J37" s="52">
        <v>7665558</v>
      </c>
      <c r="K37" s="51">
        <f t="shared" si="4"/>
        <v>1701</v>
      </c>
    </row>
    <row r="38" spans="1:11" ht="19.5" x14ac:dyDescent="0.3">
      <c r="A38" s="61">
        <v>44226</v>
      </c>
      <c r="B38" s="120">
        <v>2559</v>
      </c>
      <c r="C38" s="119">
        <f t="shared" si="0"/>
        <v>0</v>
      </c>
      <c r="D38" s="59">
        <v>101613</v>
      </c>
      <c r="E38" s="152">
        <f t="shared" si="1"/>
        <v>89.80000000000291</v>
      </c>
      <c r="F38" s="52">
        <v>10303719</v>
      </c>
      <c r="G38" s="51">
        <f t="shared" si="2"/>
        <v>2829</v>
      </c>
      <c r="H38" s="52">
        <v>17313663</v>
      </c>
      <c r="I38" s="51">
        <f t="shared" si="3"/>
        <v>3593</v>
      </c>
      <c r="J38" s="52">
        <v>7667271</v>
      </c>
      <c r="K38" s="51">
        <f t="shared" si="4"/>
        <v>1713</v>
      </c>
    </row>
    <row r="39" spans="1:11" ht="19.5" x14ac:dyDescent="0.3">
      <c r="A39" s="61">
        <v>44227</v>
      </c>
      <c r="B39" s="120">
        <v>2559</v>
      </c>
      <c r="C39" s="119">
        <f t="shared" si="0"/>
        <v>0</v>
      </c>
      <c r="D39" s="59">
        <v>101685.6</v>
      </c>
      <c r="E39" s="152">
        <f t="shared" si="1"/>
        <v>72.600000000005821</v>
      </c>
      <c r="F39" s="52">
        <v>10306087</v>
      </c>
      <c r="G39" s="51">
        <f t="shared" si="2"/>
        <v>2368</v>
      </c>
      <c r="H39" s="52">
        <v>17317172</v>
      </c>
      <c r="I39" s="51">
        <f t="shared" si="3"/>
        <v>3509</v>
      </c>
      <c r="J39" s="52">
        <v>7668855</v>
      </c>
      <c r="K39" s="51">
        <f t="shared" si="4"/>
        <v>1584</v>
      </c>
    </row>
    <row r="40" spans="1:11" ht="19.5" x14ac:dyDescent="0.3">
      <c r="A40" s="61">
        <v>44228</v>
      </c>
      <c r="B40" s="120">
        <v>2559</v>
      </c>
      <c r="C40" s="119">
        <f t="shared" si="0"/>
        <v>0</v>
      </c>
      <c r="D40" s="59">
        <v>101789.4</v>
      </c>
      <c r="E40" s="175">
        <f t="shared" si="1"/>
        <v>103.79999999998836</v>
      </c>
      <c r="F40" s="156">
        <v>10308480</v>
      </c>
      <c r="G40" s="51">
        <f t="shared" si="2"/>
        <v>2393</v>
      </c>
      <c r="H40" s="156">
        <v>17320621</v>
      </c>
      <c r="I40" s="51">
        <f t="shared" si="3"/>
        <v>3449</v>
      </c>
      <c r="J40" s="156">
        <v>7670453</v>
      </c>
      <c r="K40" s="51">
        <f t="shared" si="4"/>
        <v>1598</v>
      </c>
    </row>
    <row r="41" spans="1:11" ht="19.5" x14ac:dyDescent="0.3">
      <c r="A41" s="50"/>
      <c r="B41" s="50"/>
      <c r="C41" s="50"/>
      <c r="D41" s="62"/>
      <c r="E41" s="149"/>
    </row>
    <row r="42" spans="1:11" ht="19.5" x14ac:dyDescent="0.3">
      <c r="A42" s="50"/>
      <c r="B42" s="117"/>
      <c r="C42" s="117"/>
      <c r="D42" s="57"/>
      <c r="E42" s="150"/>
    </row>
    <row r="43" spans="1:11" ht="21.75" customHeight="1" x14ac:dyDescent="0.3">
      <c r="A43" s="53"/>
      <c r="B43" s="53"/>
      <c r="C43" s="53"/>
      <c r="E43" s="150"/>
    </row>
    <row r="44" spans="1:11" ht="24" customHeight="1" x14ac:dyDescent="0.3">
      <c r="A44" s="53"/>
      <c r="B44" s="53"/>
      <c r="C44" s="53"/>
    </row>
    <row r="45" spans="1:11" x14ac:dyDescent="0.25">
      <c r="A45" s="48"/>
      <c r="B45" s="48"/>
      <c r="C45" s="48"/>
    </row>
    <row r="46" spans="1:11" x14ac:dyDescent="0.25">
      <c r="A46" s="48"/>
      <c r="B46" s="48"/>
      <c r="C46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6">
    <cfRule type="cellIs" dxfId="2" priority="51" stopIfTrue="1" operator="lessThanOrEqual">
      <formula>0</formula>
    </cfRule>
  </conditionalFormatting>
  <conditionalFormatting sqref="E15:E40">
    <cfRule type="cellIs" dxfId="1" priority="18" stopIfTrue="1" operator="lessThanOrEqual">
      <formula>0</formula>
    </cfRule>
  </conditionalFormatting>
  <conditionalFormatting sqref="E9:E40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L47" sqref="L47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3" t="s">
        <v>57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31" ht="41.25" customHeight="1" thickBot="1" x14ac:dyDescent="0.4">
      <c r="Q2" s="298">
        <v>803</v>
      </c>
      <c r="R2" s="299"/>
      <c r="S2" s="300"/>
      <c r="T2" s="301">
        <v>519</v>
      </c>
      <c r="U2" s="299"/>
      <c r="V2" s="300"/>
      <c r="W2" s="301">
        <v>800</v>
      </c>
      <c r="X2" s="299"/>
      <c r="Y2" s="300"/>
      <c r="Z2" s="301">
        <v>802</v>
      </c>
      <c r="AA2" s="299"/>
      <c r="AB2" s="302"/>
      <c r="AC2" s="36"/>
    </row>
    <row r="3" spans="1:31" s="134" customFormat="1" ht="50.25" customHeight="1" x14ac:dyDescent="0.3">
      <c r="A3" s="123"/>
      <c r="B3" s="124" t="s">
        <v>58</v>
      </c>
      <c r="C3" s="125" t="s">
        <v>59</v>
      </c>
      <c r="D3" s="124" t="s">
        <v>60</v>
      </c>
      <c r="E3" s="125" t="s">
        <v>61</v>
      </c>
      <c r="F3" s="124" t="s">
        <v>62</v>
      </c>
      <c r="G3" s="125" t="s">
        <v>63</v>
      </c>
      <c r="H3" s="124" t="s">
        <v>64</v>
      </c>
      <c r="I3" s="125" t="s">
        <v>65</v>
      </c>
      <c r="J3" s="126" t="s">
        <v>66</v>
      </c>
      <c r="K3" s="126" t="s">
        <v>67</v>
      </c>
      <c r="L3" s="126" t="s">
        <v>68</v>
      </c>
      <c r="M3" s="126" t="s">
        <v>69</v>
      </c>
      <c r="N3" s="126" t="s">
        <v>70</v>
      </c>
      <c r="O3" s="127" t="s">
        <v>71</v>
      </c>
      <c r="P3" s="127" t="s">
        <v>72</v>
      </c>
      <c r="Q3" s="128" t="s">
        <v>73</v>
      </c>
      <c r="R3" s="128" t="s">
        <v>74</v>
      </c>
      <c r="S3" s="128" t="s">
        <v>75</v>
      </c>
      <c r="T3" s="129" t="s">
        <v>76</v>
      </c>
      <c r="U3" s="130" t="s">
        <v>74</v>
      </c>
      <c r="V3" s="129" t="s">
        <v>75</v>
      </c>
      <c r="W3" s="129" t="s">
        <v>77</v>
      </c>
      <c r="X3" s="129" t="s">
        <v>74</v>
      </c>
      <c r="Y3" s="129" t="s">
        <v>75</v>
      </c>
      <c r="Z3" s="129" t="s">
        <v>78</v>
      </c>
      <c r="AA3" s="129" t="s">
        <v>74</v>
      </c>
      <c r="AB3" s="131" t="s">
        <v>75</v>
      </c>
      <c r="AC3" s="132" t="s">
        <v>79</v>
      </c>
      <c r="AD3" s="133" t="s">
        <v>80</v>
      </c>
      <c r="AE3" s="133" t="s">
        <v>81</v>
      </c>
    </row>
    <row r="4" spans="1:31" ht="32.25" customHeight="1" x14ac:dyDescent="0.3">
      <c r="A4" s="40">
        <v>44197</v>
      </c>
      <c r="B4" s="41">
        <v>75</v>
      </c>
      <c r="C4" s="39">
        <f>IF(AC4&gt;0,((B4-R4)+(S4-B5)),IF(B5=0, ,(B4-B5)))</f>
        <v>2</v>
      </c>
      <c r="D4" s="41">
        <v>73</v>
      </c>
      <c r="E4" s="39">
        <f>IF(AC4&gt;0,((D4-U4)+(V4-D5)),IF(D5=0, ,(D4-D5)))</f>
        <v>3</v>
      </c>
      <c r="F4" s="41">
        <v>74</v>
      </c>
      <c r="G4" s="39">
        <f>IF(AC4&gt;0,((F4-X4)+(Y4-F5)),IF(F5=0, ,(F4-F5)))</f>
        <v>1</v>
      </c>
      <c r="H4" s="41">
        <v>76</v>
      </c>
      <c r="I4" s="39">
        <f>IF(AC4&gt;0,((H4-AA4)+(AB4-H5)),IF(H5=0, ,(H4-H5)))</f>
        <v>3</v>
      </c>
      <c r="J4" s="39">
        <f>B4+D4+F4+H4</f>
        <v>298</v>
      </c>
      <c r="K4" s="39">
        <f>J4/4</f>
        <v>74.5</v>
      </c>
      <c r="L4" s="39">
        <f>IF(AC4&gt;0,((K4-AD4)+(AE4-K5)),IF(K5=0, ,(K4-K5)))</f>
        <v>2.25</v>
      </c>
      <c r="M4" s="155">
        <f>6049*4</f>
        <v>24196</v>
      </c>
      <c r="N4" s="39">
        <f>L4*M4/100</f>
        <v>544.41</v>
      </c>
      <c r="O4" s="39">
        <f>N4*0.529</f>
        <v>287.99288999999999</v>
      </c>
      <c r="P4" s="42">
        <f>O4*9.821</f>
        <v>2828.3781726899997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 x14ac:dyDescent="0.3">
      <c r="A5" s="40">
        <v>44198</v>
      </c>
      <c r="B5" s="41">
        <v>73</v>
      </c>
      <c r="C5" s="39">
        <f>IF(AC5&gt;0,((B5-R5)+(S5-B6)),IF(B6=0, ,(B5-B6)))</f>
        <v>7</v>
      </c>
      <c r="D5" s="41">
        <v>70</v>
      </c>
      <c r="E5" s="39">
        <f>IF(AC5&gt;0,((D5-U5)+(V5-D6)),IF(D6=0, ,(D5-D6)))</f>
        <v>2</v>
      </c>
      <c r="F5" s="41">
        <v>73</v>
      </c>
      <c r="G5" s="39">
        <f>IF(AC5&gt;0,((F5-X5)+(Y5-F6)),IF(F6=0, ,(F5-F6)))</f>
        <v>3</v>
      </c>
      <c r="H5" s="41">
        <v>73</v>
      </c>
      <c r="I5" s="39">
        <f>IF(AC5&gt;0,((H5-AA5)+(AB5-H6)),IF(H6=0, ,(H5-H6)))</f>
        <v>3</v>
      </c>
      <c r="J5" s="39">
        <f>B5+D5+F5+H5</f>
        <v>289</v>
      </c>
      <c r="K5" s="39">
        <f>J5/4</f>
        <v>72.25</v>
      </c>
      <c r="L5" s="39">
        <f>IF(AC5&gt;0,((K5-AD5)+(AE5-K6)),IF(K6=0, ,(K5-K6)))</f>
        <v>3.75</v>
      </c>
      <c r="M5" s="155">
        <f t="shared" ref="M5:M35" si="3">6049*4</f>
        <v>24196</v>
      </c>
      <c r="N5" s="39">
        <f t="shared" ref="N5:N34" si="4">L5*M5/100</f>
        <v>907.35</v>
      </c>
      <c r="O5" s="39">
        <f t="shared" ref="O5:O34" si="5">N5*0.529</f>
        <v>479.98815000000002</v>
      </c>
      <c r="P5" s="42">
        <f t="shared" ref="P5:P34" si="6">O5*9.821</f>
        <v>4713.9636211500001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 x14ac:dyDescent="0.3">
      <c r="A6" s="40">
        <v>44199</v>
      </c>
      <c r="B6" s="41">
        <v>66</v>
      </c>
      <c r="C6" s="39">
        <f t="shared" ref="C6:C19" si="7">IF(AC6&gt;0,((B6-R6)+(S6-B7)),IF(B7=0, ,(B6-B7)))</f>
        <v>3</v>
      </c>
      <c r="D6" s="41">
        <v>68</v>
      </c>
      <c r="E6" s="39">
        <f>IF(AC6:AC29&gt;0,((D6-U6)+(V6-D7)),IF(D7=0, ,(D6-D7)))</f>
        <v>3</v>
      </c>
      <c r="F6" s="41">
        <v>70</v>
      </c>
      <c r="G6" s="39">
        <f t="shared" ref="G6:G26" si="8">IF(AC6&gt;0,((F6-X6)+(Y6-F7)),IF(F7=0, ,(F6-F7)))</f>
        <v>4</v>
      </c>
      <c r="H6" s="41">
        <v>70</v>
      </c>
      <c r="I6" s="39">
        <f t="shared" ref="I6:I36" si="9">IF(AC6&gt;0,((H6-AA6)+(AB6-H7)),IF(H7=0, ,(H6-H7)))</f>
        <v>4</v>
      </c>
      <c r="J6" s="39">
        <f t="shared" ref="J6:J42" si="10">B6+D6+F6+H6</f>
        <v>274</v>
      </c>
      <c r="K6" s="39">
        <f t="shared" ref="K6:K42" si="11">J6/4</f>
        <v>68.5</v>
      </c>
      <c r="L6" s="39">
        <f t="shared" ref="L6:L19" si="12">IF(AC6&gt;0,((K6-AD6)+(AE6-K7)),IF(K7=0, ,(K6-K7)))</f>
        <v>3.5</v>
      </c>
      <c r="M6" s="155">
        <f t="shared" si="3"/>
        <v>24196</v>
      </c>
      <c r="N6" s="39">
        <f t="shared" si="4"/>
        <v>846.86</v>
      </c>
      <c r="O6" s="39">
        <f t="shared" si="5"/>
        <v>447.98894000000001</v>
      </c>
      <c r="P6" s="42">
        <f t="shared" si="6"/>
        <v>4399.69937974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 x14ac:dyDescent="0.3">
      <c r="A7" s="40">
        <v>44200</v>
      </c>
      <c r="B7" s="41">
        <v>63</v>
      </c>
      <c r="C7" s="39">
        <f t="shared" si="7"/>
        <v>3</v>
      </c>
      <c r="D7" s="41">
        <v>65</v>
      </c>
      <c r="E7" s="39">
        <f>IF(AC7:AC30&gt;0,((D7-U7)+(V7-D8)),IF(D8=0, ,(D7-D8)))</f>
        <v>3</v>
      </c>
      <c r="F7" s="41">
        <v>66</v>
      </c>
      <c r="G7" s="39">
        <f>IF(AC7&gt;0,((F7-X7)+(Y7-F8)),IF(F8=0, ,(F7-F8)))</f>
        <v>1</v>
      </c>
      <c r="H7" s="41">
        <v>66</v>
      </c>
      <c r="I7" s="39">
        <f t="shared" si="9"/>
        <v>4</v>
      </c>
      <c r="J7" s="39">
        <f t="shared" si="10"/>
        <v>260</v>
      </c>
      <c r="K7" s="39">
        <f t="shared" si="11"/>
        <v>65</v>
      </c>
      <c r="L7" s="39">
        <f t="shared" si="12"/>
        <v>2.75</v>
      </c>
      <c r="M7" s="155">
        <f t="shared" si="3"/>
        <v>24196</v>
      </c>
      <c r="N7" s="39">
        <f t="shared" si="4"/>
        <v>665.39</v>
      </c>
      <c r="O7" s="39">
        <f t="shared" si="5"/>
        <v>351.99131</v>
      </c>
      <c r="P7" s="42">
        <f t="shared" si="6"/>
        <v>3456.9066555099998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 x14ac:dyDescent="0.3">
      <c r="A8" s="40">
        <v>44201</v>
      </c>
      <c r="B8" s="41">
        <v>60</v>
      </c>
      <c r="C8" s="39">
        <f>IF(AC8&gt;0,((B8-R8)+(S8-B9)),IF(B9=0, ,(B8-B9)))</f>
        <v>4</v>
      </c>
      <c r="D8" s="41">
        <v>62</v>
      </c>
      <c r="E8" s="39">
        <f>IF(AC8:AC31&gt;0,((D8-U8)+(V8-D9)),IF(D9=0, ,(D8-D9)))</f>
        <v>3</v>
      </c>
      <c r="F8" s="41">
        <v>65</v>
      </c>
      <c r="G8" s="39">
        <f>IF(AC8&gt;0,((F8-X8)+(Y8-F9)),IF(F9=0, ,(F8-F9)))</f>
        <v>4</v>
      </c>
      <c r="H8" s="41">
        <v>62</v>
      </c>
      <c r="I8" s="39">
        <f t="shared" si="9"/>
        <v>2</v>
      </c>
      <c r="J8" s="39">
        <f t="shared" si="10"/>
        <v>249</v>
      </c>
      <c r="K8" s="39">
        <f t="shared" si="11"/>
        <v>62.25</v>
      </c>
      <c r="L8" s="39">
        <f t="shared" si="12"/>
        <v>3.25</v>
      </c>
      <c r="M8" s="155">
        <f t="shared" si="3"/>
        <v>24196</v>
      </c>
      <c r="N8" s="39">
        <f t="shared" si="4"/>
        <v>786.37</v>
      </c>
      <c r="O8" s="39">
        <f t="shared" si="5"/>
        <v>415.98973000000001</v>
      </c>
      <c r="P8" s="42">
        <f t="shared" si="6"/>
        <v>4085.43513833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 x14ac:dyDescent="0.3">
      <c r="A9" s="40">
        <v>44202</v>
      </c>
      <c r="B9" s="41">
        <v>56</v>
      </c>
      <c r="C9" s="39">
        <f>IF(AC9&gt;0,((B9-R9)+(S9-B10)),IF(B10=0, ,(B9-B10)))</f>
        <v>3</v>
      </c>
      <c r="D9" s="41">
        <v>59</v>
      </c>
      <c r="E9" s="39">
        <f>IF(AC9&gt;0,((D9-U9)+(V9-D10)),IF(D10=0, ,(D9-D10)))</f>
        <v>6</v>
      </c>
      <c r="F9" s="41">
        <v>61</v>
      </c>
      <c r="G9" s="39">
        <f>IF(AC9&gt;0,((F9-X9)+(Y9-F10)),IF(F10=0, ,(F9-F10)))</f>
        <v>5</v>
      </c>
      <c r="H9" s="41">
        <v>60</v>
      </c>
      <c r="I9" s="39">
        <f t="shared" si="9"/>
        <v>5</v>
      </c>
      <c r="J9" s="39">
        <f t="shared" si="10"/>
        <v>236</v>
      </c>
      <c r="K9" s="39">
        <f t="shared" si="11"/>
        <v>59</v>
      </c>
      <c r="L9" s="39">
        <f t="shared" si="12"/>
        <v>4.75</v>
      </c>
      <c r="M9" s="155">
        <f t="shared" si="3"/>
        <v>24196</v>
      </c>
      <c r="N9" s="39">
        <f t="shared" si="4"/>
        <v>1149.31</v>
      </c>
      <c r="O9" s="39">
        <f t="shared" si="5"/>
        <v>607.98499000000004</v>
      </c>
      <c r="P9" s="42">
        <f t="shared" si="6"/>
        <v>5971.0205867900004</v>
      </c>
      <c r="Q9" s="39">
        <v>2505</v>
      </c>
      <c r="R9" s="39">
        <v>53</v>
      </c>
      <c r="S9" s="39">
        <v>85</v>
      </c>
      <c r="T9" s="39">
        <v>2479</v>
      </c>
      <c r="U9" s="39">
        <v>54</v>
      </c>
      <c r="V9" s="39">
        <v>85</v>
      </c>
      <c r="W9" s="39">
        <v>2170</v>
      </c>
      <c r="X9" s="39">
        <v>57</v>
      </c>
      <c r="Y9" s="39">
        <v>85</v>
      </c>
      <c r="Z9" s="39">
        <v>2312</v>
      </c>
      <c r="AA9" s="39">
        <v>56</v>
      </c>
      <c r="AB9" s="39">
        <v>85</v>
      </c>
      <c r="AC9" s="39">
        <f t="shared" si="0"/>
        <v>9466</v>
      </c>
      <c r="AD9" s="38">
        <f t="shared" si="1"/>
        <v>55</v>
      </c>
      <c r="AE9" s="38">
        <f t="shared" si="2"/>
        <v>85</v>
      </c>
    </row>
    <row r="10" spans="1:31" ht="32.25" customHeight="1" x14ac:dyDescent="0.3">
      <c r="A10" s="40">
        <v>44203</v>
      </c>
      <c r="B10" s="41">
        <v>85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1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9"/>
        <v>3</v>
      </c>
      <c r="J10" s="39">
        <f t="shared" si="10"/>
        <v>337</v>
      </c>
      <c r="K10" s="39">
        <f t="shared" si="11"/>
        <v>84.25</v>
      </c>
      <c r="L10" s="39">
        <f t="shared" si="12"/>
        <v>1</v>
      </c>
      <c r="M10" s="155">
        <f t="shared" si="3"/>
        <v>24196</v>
      </c>
      <c r="N10" s="39">
        <f t="shared" si="4"/>
        <v>241.96</v>
      </c>
      <c r="O10" s="39">
        <f t="shared" si="5"/>
        <v>127.99684000000001</v>
      </c>
      <c r="P10" s="42">
        <f t="shared" si="6"/>
        <v>1257.05696564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 x14ac:dyDescent="0.3">
      <c r="A11" s="40">
        <v>44204</v>
      </c>
      <c r="B11" s="41">
        <v>85</v>
      </c>
      <c r="C11" s="39">
        <f t="shared" si="7"/>
        <v>5</v>
      </c>
      <c r="D11" s="41">
        <v>83</v>
      </c>
      <c r="E11" s="39">
        <f t="shared" ref="E11:E26" si="13">IF(AC11&gt;0,((D11-U11)+(V11-D12)),IF(D12=0, ,(D11-D12)))</f>
        <v>0</v>
      </c>
      <c r="F11" s="41">
        <v>84</v>
      </c>
      <c r="G11" s="39">
        <f t="shared" si="8"/>
        <v>1</v>
      </c>
      <c r="H11" s="41">
        <v>81</v>
      </c>
      <c r="I11" s="39">
        <f t="shared" si="9"/>
        <v>1</v>
      </c>
      <c r="J11" s="39">
        <f t="shared" si="10"/>
        <v>333</v>
      </c>
      <c r="K11" s="39">
        <f t="shared" si="11"/>
        <v>83.25</v>
      </c>
      <c r="L11" s="39">
        <f t="shared" si="12"/>
        <v>1.75</v>
      </c>
      <c r="M11" s="155">
        <f t="shared" si="3"/>
        <v>24196</v>
      </c>
      <c r="N11" s="39">
        <f t="shared" si="4"/>
        <v>423.43</v>
      </c>
      <c r="O11" s="39">
        <f t="shared" si="5"/>
        <v>223.99447000000001</v>
      </c>
      <c r="P11" s="42">
        <f t="shared" si="6"/>
        <v>2199.84968987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 x14ac:dyDescent="0.3">
      <c r="A12" s="40">
        <v>44205</v>
      </c>
      <c r="B12" s="41">
        <v>80</v>
      </c>
      <c r="C12" s="39">
        <f t="shared" si="7"/>
        <v>0</v>
      </c>
      <c r="D12" s="41">
        <v>83</v>
      </c>
      <c r="E12" s="39">
        <f t="shared" si="13"/>
        <v>2</v>
      </c>
      <c r="F12" s="41">
        <v>83</v>
      </c>
      <c r="G12" s="39">
        <f t="shared" si="8"/>
        <v>3</v>
      </c>
      <c r="H12" s="41">
        <v>80</v>
      </c>
      <c r="I12" s="39">
        <f t="shared" si="9"/>
        <v>2</v>
      </c>
      <c r="J12" s="39">
        <f t="shared" si="10"/>
        <v>326</v>
      </c>
      <c r="K12" s="39">
        <f t="shared" si="11"/>
        <v>81.5</v>
      </c>
      <c r="L12" s="39">
        <f t="shared" si="12"/>
        <v>1.75</v>
      </c>
      <c r="M12" s="155">
        <f t="shared" si="3"/>
        <v>24196</v>
      </c>
      <c r="N12" s="39">
        <f t="shared" si="4"/>
        <v>423.43</v>
      </c>
      <c r="O12" s="39">
        <f t="shared" si="5"/>
        <v>223.99447000000001</v>
      </c>
      <c r="P12" s="42">
        <f t="shared" si="6"/>
        <v>2199.84968987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 x14ac:dyDescent="0.3">
      <c r="A13" s="40">
        <v>44206</v>
      </c>
      <c r="B13" s="41">
        <v>80</v>
      </c>
      <c r="C13" s="39">
        <f t="shared" si="7"/>
        <v>1</v>
      </c>
      <c r="D13" s="41">
        <v>81</v>
      </c>
      <c r="E13" s="39">
        <f t="shared" si="13"/>
        <v>6</v>
      </c>
      <c r="F13" s="41">
        <v>80</v>
      </c>
      <c r="G13" s="39">
        <f t="shared" si="8"/>
        <v>1</v>
      </c>
      <c r="H13" s="41">
        <v>78</v>
      </c>
      <c r="I13" s="39">
        <f t="shared" si="9"/>
        <v>4</v>
      </c>
      <c r="J13" s="39">
        <f t="shared" si="10"/>
        <v>319</v>
      </c>
      <c r="K13" s="39">
        <f t="shared" si="11"/>
        <v>79.75</v>
      </c>
      <c r="L13" s="39">
        <f t="shared" si="12"/>
        <v>3</v>
      </c>
      <c r="M13" s="155">
        <f t="shared" si="3"/>
        <v>24196</v>
      </c>
      <c r="N13" s="39">
        <f t="shared" si="4"/>
        <v>725.88</v>
      </c>
      <c r="O13" s="39">
        <f t="shared" si="5"/>
        <v>383.99052</v>
      </c>
      <c r="P13" s="42">
        <f t="shared" si="6"/>
        <v>3771.1708969199999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 x14ac:dyDescent="0.3">
      <c r="A14" s="40">
        <v>44207</v>
      </c>
      <c r="B14" s="41">
        <v>79</v>
      </c>
      <c r="C14" s="39">
        <f>IF(AC14&gt;0,((B14-R14)+(S14-B15)),IF(B15=0, ,(B14-B15)))</f>
        <v>4</v>
      </c>
      <c r="D14" s="41">
        <v>75</v>
      </c>
      <c r="E14" s="39">
        <f>IF(AC14&gt;0,((D14-U14)+(V14-D15)),IF(D15=0, ,(D14-D15)))</f>
        <v>3</v>
      </c>
      <c r="F14" s="41">
        <v>79</v>
      </c>
      <c r="G14" s="39">
        <f>IF(AC14&gt;0,((F14-X14)+(Y14-F15)),IF(F15=0, ,(F14-F15)))</f>
        <v>4</v>
      </c>
      <c r="H14" s="41">
        <v>74</v>
      </c>
      <c r="I14" s="39">
        <f>IF(AC14&gt;0,((H14-AA14)+(AB14-H15)),IF(H15=0, ,(H14-H15)))</f>
        <v>3</v>
      </c>
      <c r="J14" s="39">
        <f t="shared" si="10"/>
        <v>307</v>
      </c>
      <c r="K14" s="39">
        <f t="shared" si="11"/>
        <v>76.75</v>
      </c>
      <c r="L14" s="39">
        <f t="shared" si="12"/>
        <v>3.5</v>
      </c>
      <c r="M14" s="155">
        <f t="shared" si="3"/>
        <v>24196</v>
      </c>
      <c r="N14" s="39">
        <f t="shared" si="4"/>
        <v>846.86</v>
      </c>
      <c r="O14" s="39">
        <f t="shared" si="5"/>
        <v>447.98894000000001</v>
      </c>
      <c r="P14" s="42">
        <f t="shared" si="6"/>
        <v>4399.69937974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44208</v>
      </c>
      <c r="B15" s="41">
        <v>75</v>
      </c>
      <c r="C15" s="39">
        <f>IF(AC15&gt;0,((B15-R15)+(S15-B16)),IF(B16=0, ,(B15-B16)))</f>
        <v>3</v>
      </c>
      <c r="D15" s="41">
        <v>72</v>
      </c>
      <c r="E15" s="39">
        <f>IF(AC15&gt;0,((D15-U15)+(V15-D16)),IF(D16=0, ,(D15-D16)))</f>
        <v>1</v>
      </c>
      <c r="F15" s="41">
        <v>75</v>
      </c>
      <c r="G15" s="39">
        <f>IF(AC15&gt;0,((F15-X15)+(Y15-F16)),IF(F16=0, ,(F15-F16)))</f>
        <v>5</v>
      </c>
      <c r="H15" s="41">
        <v>71</v>
      </c>
      <c r="I15" s="39">
        <f>IF(AC15&gt;0,((H15-AA15)+(AB15-H16)),IF(H16=0, ,(H15-H16)))</f>
        <v>1</v>
      </c>
      <c r="J15" s="39">
        <f t="shared" si="10"/>
        <v>293</v>
      </c>
      <c r="K15" s="39">
        <f t="shared" si="11"/>
        <v>73.25</v>
      </c>
      <c r="L15" s="39">
        <f t="shared" si="12"/>
        <v>2.5</v>
      </c>
      <c r="M15" s="155">
        <f t="shared" si="3"/>
        <v>24196</v>
      </c>
      <c r="N15" s="39">
        <f t="shared" si="4"/>
        <v>604.9</v>
      </c>
      <c r="O15" s="39">
        <f t="shared" si="5"/>
        <v>319.99209999999999</v>
      </c>
      <c r="P15" s="42">
        <f t="shared" si="6"/>
        <v>3142.6424140999998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44209</v>
      </c>
      <c r="B16" s="41">
        <v>72</v>
      </c>
      <c r="C16" s="39">
        <f t="shared" si="7"/>
        <v>3</v>
      </c>
      <c r="D16" s="41">
        <v>71</v>
      </c>
      <c r="E16" s="39">
        <f t="shared" si="13"/>
        <v>6</v>
      </c>
      <c r="F16" s="41">
        <v>70</v>
      </c>
      <c r="G16" s="39">
        <f t="shared" si="8"/>
        <v>0</v>
      </c>
      <c r="H16" s="41">
        <v>70</v>
      </c>
      <c r="I16" s="39">
        <f t="shared" si="9"/>
        <v>5</v>
      </c>
      <c r="J16" s="39">
        <f t="shared" si="10"/>
        <v>283</v>
      </c>
      <c r="K16" s="39">
        <f t="shared" si="11"/>
        <v>70.75</v>
      </c>
      <c r="L16" s="39">
        <f t="shared" si="12"/>
        <v>3.5</v>
      </c>
      <c r="M16" s="155">
        <f t="shared" si="3"/>
        <v>24196</v>
      </c>
      <c r="N16" s="39">
        <f t="shared" si="4"/>
        <v>846.86</v>
      </c>
      <c r="O16" s="39">
        <f t="shared" si="5"/>
        <v>447.98894000000001</v>
      </c>
      <c r="P16" s="42">
        <f t="shared" si="6"/>
        <v>4399.69937974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 x14ac:dyDescent="0.3">
      <c r="A17" s="40">
        <v>44210</v>
      </c>
      <c r="B17" s="41">
        <v>69</v>
      </c>
      <c r="C17" s="39">
        <f t="shared" si="7"/>
        <v>3</v>
      </c>
      <c r="D17" s="41">
        <v>65</v>
      </c>
      <c r="E17" s="39">
        <f t="shared" si="13"/>
        <v>2</v>
      </c>
      <c r="F17" s="41">
        <v>70</v>
      </c>
      <c r="G17" s="39">
        <f t="shared" si="8"/>
        <v>4</v>
      </c>
      <c r="H17" s="41">
        <v>65</v>
      </c>
      <c r="I17" s="39">
        <f t="shared" si="9"/>
        <v>2</v>
      </c>
      <c r="J17" s="39">
        <f t="shared" si="10"/>
        <v>269</v>
      </c>
      <c r="K17" s="39">
        <f t="shared" si="11"/>
        <v>67.25</v>
      </c>
      <c r="L17" s="39">
        <f t="shared" si="12"/>
        <v>2.75</v>
      </c>
      <c r="M17" s="155">
        <f t="shared" si="3"/>
        <v>24196</v>
      </c>
      <c r="N17" s="39">
        <f t="shared" si="4"/>
        <v>665.39</v>
      </c>
      <c r="O17" s="39">
        <f t="shared" si="5"/>
        <v>351.99131</v>
      </c>
      <c r="P17" s="42">
        <f t="shared" si="6"/>
        <v>3456.9066555099998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 x14ac:dyDescent="0.3">
      <c r="A18" s="40">
        <v>44211</v>
      </c>
      <c r="B18" s="41">
        <v>66</v>
      </c>
      <c r="C18" s="39">
        <f t="shared" si="7"/>
        <v>2</v>
      </c>
      <c r="D18" s="41">
        <v>63</v>
      </c>
      <c r="E18" s="39">
        <f t="shared" si="13"/>
        <v>2</v>
      </c>
      <c r="F18" s="41">
        <v>66</v>
      </c>
      <c r="G18" s="39">
        <f t="shared" si="8"/>
        <v>3</v>
      </c>
      <c r="H18" s="41">
        <v>63</v>
      </c>
      <c r="I18" s="39">
        <f t="shared" si="9"/>
        <v>3</v>
      </c>
      <c r="J18" s="39">
        <f t="shared" si="10"/>
        <v>258</v>
      </c>
      <c r="K18" s="39">
        <f t="shared" si="11"/>
        <v>64.5</v>
      </c>
      <c r="L18" s="39">
        <f t="shared" si="12"/>
        <v>2.5</v>
      </c>
      <c r="M18" s="155">
        <f t="shared" si="3"/>
        <v>24196</v>
      </c>
      <c r="N18" s="39">
        <f t="shared" si="4"/>
        <v>604.9</v>
      </c>
      <c r="O18" s="39">
        <f t="shared" si="5"/>
        <v>319.99209999999999</v>
      </c>
      <c r="P18" s="42">
        <f t="shared" si="6"/>
        <v>3142.6424140999998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 x14ac:dyDescent="0.3">
      <c r="A19" s="40">
        <v>44212</v>
      </c>
      <c r="B19" s="41">
        <v>64</v>
      </c>
      <c r="C19" s="39">
        <f t="shared" si="7"/>
        <v>9</v>
      </c>
      <c r="D19" s="41">
        <v>61</v>
      </c>
      <c r="E19" s="39">
        <f>IF(AC19&gt;0,((D19-U19)+(V19-D20)),IF(D20=0, ,(D19-D20)))</f>
        <v>3</v>
      </c>
      <c r="F19" s="41">
        <v>63</v>
      </c>
      <c r="G19" s="39">
        <f t="shared" si="8"/>
        <v>4</v>
      </c>
      <c r="H19" s="41">
        <v>60</v>
      </c>
      <c r="I19" s="39">
        <f t="shared" si="9"/>
        <v>5</v>
      </c>
      <c r="J19" s="39">
        <f t="shared" si="10"/>
        <v>248</v>
      </c>
      <c r="K19" s="39">
        <f t="shared" si="11"/>
        <v>62</v>
      </c>
      <c r="L19" s="39">
        <f t="shared" si="12"/>
        <v>5.25</v>
      </c>
      <c r="M19" s="155">
        <f t="shared" si="3"/>
        <v>24196</v>
      </c>
      <c r="N19" s="39">
        <f t="shared" si="4"/>
        <v>1270.29</v>
      </c>
      <c r="O19" s="39">
        <f t="shared" si="5"/>
        <v>671.98341000000005</v>
      </c>
      <c r="P19" s="42">
        <f t="shared" si="6"/>
        <v>6599.5490696100005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 x14ac:dyDescent="0.3">
      <c r="A20" s="40">
        <v>44213</v>
      </c>
      <c r="B20" s="41">
        <v>55</v>
      </c>
      <c r="C20" s="39">
        <f>IF(AC20&gt;0,((B20-R20)+(S20-B21)),IF(B21=0, ,(B20-B21)))</f>
        <v>4</v>
      </c>
      <c r="D20" s="41">
        <v>58</v>
      </c>
      <c r="E20" s="39">
        <f t="shared" si="13"/>
        <v>3</v>
      </c>
      <c r="F20" s="41">
        <v>59</v>
      </c>
      <c r="G20" s="39">
        <f t="shared" si="8"/>
        <v>3</v>
      </c>
      <c r="H20" s="41">
        <v>55</v>
      </c>
      <c r="I20" s="39">
        <f t="shared" si="9"/>
        <v>4</v>
      </c>
      <c r="J20" s="39">
        <f t="shared" si="10"/>
        <v>227</v>
      </c>
      <c r="K20" s="39">
        <f t="shared" si="11"/>
        <v>56.75</v>
      </c>
      <c r="L20" s="39">
        <f t="shared" ref="L20:L42" si="14">IF(AC20&gt;0,((K20-AD20)+(AE20-K21)),IF(K21=0, ,(K20-K21)))</f>
        <v>3.5</v>
      </c>
      <c r="M20" s="155">
        <f t="shared" si="3"/>
        <v>24196</v>
      </c>
      <c r="N20" s="39">
        <f t="shared" si="4"/>
        <v>846.86</v>
      </c>
      <c r="O20" s="39">
        <f t="shared" si="5"/>
        <v>447.98894000000001</v>
      </c>
      <c r="P20" s="42">
        <f t="shared" si="6"/>
        <v>4399.69937974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 x14ac:dyDescent="0.3">
      <c r="A21" s="40">
        <v>44214</v>
      </c>
      <c r="B21" s="41">
        <v>51</v>
      </c>
      <c r="C21" s="39">
        <f t="shared" ref="C21:C35" si="15">IF(AC21&gt;0,((B21-R21)+(S21-B22)),IF(B22=0, ,(B21-B22)))</f>
        <v>1</v>
      </c>
      <c r="D21" s="41">
        <v>55</v>
      </c>
      <c r="E21" s="39">
        <f t="shared" si="13"/>
        <v>5</v>
      </c>
      <c r="F21" s="41">
        <v>56</v>
      </c>
      <c r="G21" s="39">
        <f>IF(AC21&gt;0,((F21-X21)+(Y21-F22)),IF(F22=0, ,(F21-F22)))</f>
        <v>6</v>
      </c>
      <c r="H21" s="41">
        <v>51</v>
      </c>
      <c r="I21" s="39">
        <f t="shared" si="9"/>
        <v>1</v>
      </c>
      <c r="J21" s="39">
        <f t="shared" si="10"/>
        <v>213</v>
      </c>
      <c r="K21" s="39">
        <f t="shared" si="11"/>
        <v>53.25</v>
      </c>
      <c r="L21" s="39">
        <f>IF(AC21&gt;0,((K21-AD21)+(AE21-K22)),IF(K22=0, ,(K21-K22)))</f>
        <v>3.25</v>
      </c>
      <c r="M21" s="155">
        <f t="shared" si="3"/>
        <v>24196</v>
      </c>
      <c r="N21" s="39">
        <f t="shared" si="4"/>
        <v>786.37</v>
      </c>
      <c r="O21" s="39">
        <f t="shared" si="5"/>
        <v>415.98973000000001</v>
      </c>
      <c r="P21" s="42">
        <f t="shared" si="6"/>
        <v>4085.43513833</v>
      </c>
      <c r="Q21" s="39">
        <v>2505</v>
      </c>
      <c r="R21" s="39">
        <v>50</v>
      </c>
      <c r="S21" s="39">
        <v>85</v>
      </c>
      <c r="T21" s="39">
        <v>2505</v>
      </c>
      <c r="U21" s="39">
        <v>50</v>
      </c>
      <c r="V21" s="39">
        <v>85</v>
      </c>
      <c r="W21" s="39">
        <v>2506</v>
      </c>
      <c r="X21" s="39">
        <v>50</v>
      </c>
      <c r="Y21" s="39">
        <v>85</v>
      </c>
      <c r="Z21" s="39">
        <v>2506</v>
      </c>
      <c r="AA21" s="39">
        <v>50</v>
      </c>
      <c r="AB21" s="39">
        <v>85</v>
      </c>
      <c r="AC21" s="39">
        <f t="shared" si="0"/>
        <v>10022</v>
      </c>
      <c r="AD21" s="38">
        <f t="shared" si="1"/>
        <v>50</v>
      </c>
      <c r="AE21" s="38">
        <f t="shared" si="2"/>
        <v>85</v>
      </c>
    </row>
    <row r="22" spans="1:31" ht="32.25" customHeight="1" x14ac:dyDescent="0.3">
      <c r="A22" s="40">
        <v>44215</v>
      </c>
      <c r="B22" s="41">
        <v>85</v>
      </c>
      <c r="C22" s="39">
        <f t="shared" si="15"/>
        <v>2</v>
      </c>
      <c r="D22" s="41">
        <v>85</v>
      </c>
      <c r="E22" s="39">
        <f t="shared" si="13"/>
        <v>1</v>
      </c>
      <c r="F22" s="41">
        <v>85</v>
      </c>
      <c r="G22" s="39">
        <f t="shared" si="8"/>
        <v>3</v>
      </c>
      <c r="H22" s="41">
        <v>85</v>
      </c>
      <c r="I22" s="39">
        <f t="shared" si="9"/>
        <v>2</v>
      </c>
      <c r="J22" s="39">
        <f t="shared" si="10"/>
        <v>340</v>
      </c>
      <c r="K22" s="39">
        <f t="shared" si="11"/>
        <v>85</v>
      </c>
      <c r="L22" s="39">
        <f>IF(AC22&gt;0,((K22-AD22)+(AE22-K23)),IF(K23=0, ,(K22-K23)))</f>
        <v>2</v>
      </c>
      <c r="M22" s="155">
        <f t="shared" si="3"/>
        <v>24196</v>
      </c>
      <c r="N22" s="39">
        <f t="shared" si="4"/>
        <v>483.92</v>
      </c>
      <c r="O22" s="39">
        <f t="shared" si="5"/>
        <v>255.99368000000001</v>
      </c>
      <c r="P22" s="42">
        <f t="shared" si="6"/>
        <v>2514.1139312800001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 x14ac:dyDescent="0.3">
      <c r="A23" s="40">
        <v>44216</v>
      </c>
      <c r="B23" s="41">
        <v>83</v>
      </c>
      <c r="C23" s="39">
        <f t="shared" si="15"/>
        <v>2</v>
      </c>
      <c r="D23" s="41">
        <v>84</v>
      </c>
      <c r="E23" s="39">
        <f t="shared" si="13"/>
        <v>2</v>
      </c>
      <c r="F23" s="41">
        <v>82</v>
      </c>
      <c r="G23" s="39">
        <f t="shared" si="8"/>
        <v>2</v>
      </c>
      <c r="H23" s="41">
        <v>83</v>
      </c>
      <c r="I23" s="39">
        <f t="shared" si="9"/>
        <v>2</v>
      </c>
      <c r="J23" s="39">
        <f t="shared" si="10"/>
        <v>332</v>
      </c>
      <c r="K23" s="39">
        <f t="shared" si="11"/>
        <v>83</v>
      </c>
      <c r="L23" s="39">
        <f t="shared" si="14"/>
        <v>2</v>
      </c>
      <c r="M23" s="155">
        <f t="shared" si="3"/>
        <v>24196</v>
      </c>
      <c r="N23" s="39">
        <f t="shared" si="4"/>
        <v>483.92</v>
      </c>
      <c r="O23" s="39">
        <f t="shared" si="5"/>
        <v>255.99368000000001</v>
      </c>
      <c r="P23" s="42">
        <f t="shared" si="6"/>
        <v>2514.1139312800001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 x14ac:dyDescent="0.3">
      <c r="A24" s="40">
        <v>44217</v>
      </c>
      <c r="B24" s="41">
        <v>81</v>
      </c>
      <c r="C24" s="39">
        <f>IF(AC24&gt;0,((B24-R24)+(S24-B25)),IF(B25=0, ,(B24-B25)))</f>
        <v>3</v>
      </c>
      <c r="D24" s="41">
        <v>82</v>
      </c>
      <c r="E24" s="39">
        <f t="shared" si="13"/>
        <v>2</v>
      </c>
      <c r="F24" s="41">
        <v>80</v>
      </c>
      <c r="G24" s="39">
        <f t="shared" si="8"/>
        <v>3</v>
      </c>
      <c r="H24" s="41">
        <v>81</v>
      </c>
      <c r="I24" s="39">
        <f t="shared" si="9"/>
        <v>3</v>
      </c>
      <c r="J24" s="39">
        <f t="shared" si="10"/>
        <v>324</v>
      </c>
      <c r="K24" s="39">
        <f t="shared" si="11"/>
        <v>81</v>
      </c>
      <c r="L24" s="39">
        <f t="shared" si="14"/>
        <v>2.75</v>
      </c>
      <c r="M24" s="155">
        <f t="shared" si="3"/>
        <v>24196</v>
      </c>
      <c r="N24" s="39">
        <f t="shared" si="4"/>
        <v>665.39</v>
      </c>
      <c r="O24" s="39">
        <f t="shared" si="5"/>
        <v>351.99131</v>
      </c>
      <c r="P24" s="42">
        <f t="shared" si="6"/>
        <v>3456.9066555099998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 x14ac:dyDescent="0.3">
      <c r="A25" s="40">
        <v>44218</v>
      </c>
      <c r="B25" s="41">
        <v>78</v>
      </c>
      <c r="C25" s="39">
        <f>IF(AC25&gt;0,((B25-R25)+(S25-B26)),IF(B26=0, ,(B25-B26)))</f>
        <v>3</v>
      </c>
      <c r="D25" s="41">
        <v>80</v>
      </c>
      <c r="E25" s="39">
        <f t="shared" si="13"/>
        <v>4</v>
      </c>
      <c r="F25" s="41">
        <v>77</v>
      </c>
      <c r="G25" s="39">
        <f t="shared" si="8"/>
        <v>1</v>
      </c>
      <c r="H25" s="41">
        <v>78</v>
      </c>
      <c r="I25" s="39">
        <f t="shared" si="9"/>
        <v>3</v>
      </c>
      <c r="J25" s="39">
        <f t="shared" si="10"/>
        <v>313</v>
      </c>
      <c r="K25" s="39">
        <f t="shared" si="11"/>
        <v>78.25</v>
      </c>
      <c r="L25" s="39">
        <f t="shared" si="14"/>
        <v>2.75</v>
      </c>
      <c r="M25" s="155">
        <f t="shared" si="3"/>
        <v>24196</v>
      </c>
      <c r="N25" s="39">
        <f t="shared" si="4"/>
        <v>665.39</v>
      </c>
      <c r="O25" s="39">
        <f t="shared" si="5"/>
        <v>351.99131</v>
      </c>
      <c r="P25" s="42">
        <f t="shared" si="6"/>
        <v>3456.9066555099998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 x14ac:dyDescent="0.3">
      <c r="A26" s="40">
        <v>44219</v>
      </c>
      <c r="B26" s="41">
        <v>75</v>
      </c>
      <c r="C26" s="39">
        <f>IF(AC26&gt;0,((B26-R26)+(S26-B27)),IF(B27=0, ,(B26-B27)))</f>
        <v>3</v>
      </c>
      <c r="D26" s="41">
        <v>76</v>
      </c>
      <c r="E26" s="39">
        <f t="shared" si="13"/>
        <v>3</v>
      </c>
      <c r="F26" s="41">
        <v>76</v>
      </c>
      <c r="G26" s="39">
        <f t="shared" si="8"/>
        <v>3</v>
      </c>
      <c r="H26" s="41">
        <v>75</v>
      </c>
      <c r="I26" s="39">
        <f t="shared" si="9"/>
        <v>4</v>
      </c>
      <c r="J26" s="39">
        <f t="shared" si="10"/>
        <v>302</v>
      </c>
      <c r="K26" s="39">
        <f t="shared" si="11"/>
        <v>75.5</v>
      </c>
      <c r="L26" s="39">
        <f t="shared" si="14"/>
        <v>3.25</v>
      </c>
      <c r="M26" s="155">
        <f t="shared" si="3"/>
        <v>24196</v>
      </c>
      <c r="N26" s="39">
        <f t="shared" si="4"/>
        <v>786.37</v>
      </c>
      <c r="O26" s="39">
        <f t="shared" si="5"/>
        <v>415.98973000000001</v>
      </c>
      <c r="P26" s="42">
        <f t="shared" si="6"/>
        <v>4085.43513833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 x14ac:dyDescent="0.3">
      <c r="A27" s="40">
        <v>44220</v>
      </c>
      <c r="B27" s="41">
        <v>72</v>
      </c>
      <c r="C27" s="39">
        <f t="shared" si="15"/>
        <v>3</v>
      </c>
      <c r="D27" s="41">
        <v>73</v>
      </c>
      <c r="E27" s="39">
        <f t="shared" ref="E27:E36" si="18">IF(AC27&gt;0,((D27-U27)+(V27-D28)),IF(D28=0, ,(D27-D28)))</f>
        <v>3</v>
      </c>
      <c r="F27" s="41">
        <v>73</v>
      </c>
      <c r="G27" s="39">
        <f t="shared" ref="G27:G36" si="19">IF(AC27&gt;0,((F27-X27)+(Y27-F28)),IF(F28=0, ,(F27-F28)))</f>
        <v>3</v>
      </c>
      <c r="H27" s="41">
        <v>71</v>
      </c>
      <c r="I27" s="39">
        <f t="shared" si="9"/>
        <v>1</v>
      </c>
      <c r="J27" s="39">
        <f t="shared" si="10"/>
        <v>289</v>
      </c>
      <c r="K27" s="39">
        <f t="shared" si="11"/>
        <v>72.25</v>
      </c>
      <c r="L27" s="39">
        <f t="shared" si="14"/>
        <v>2.5</v>
      </c>
      <c r="M27" s="155">
        <f t="shared" si="3"/>
        <v>24196</v>
      </c>
      <c r="N27" s="39">
        <f t="shared" si="4"/>
        <v>604.9</v>
      </c>
      <c r="O27" s="39">
        <f t="shared" si="5"/>
        <v>319.99209999999999</v>
      </c>
      <c r="P27" s="42">
        <f t="shared" si="6"/>
        <v>3142.6424140999998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 x14ac:dyDescent="0.3">
      <c r="A28" s="40">
        <v>44221</v>
      </c>
      <c r="B28" s="41">
        <v>69</v>
      </c>
      <c r="C28" s="39">
        <f t="shared" si="15"/>
        <v>9</v>
      </c>
      <c r="D28" s="41">
        <v>70</v>
      </c>
      <c r="E28" s="39">
        <f t="shared" si="18"/>
        <v>5</v>
      </c>
      <c r="F28" s="41">
        <v>70</v>
      </c>
      <c r="G28" s="39">
        <f t="shared" si="19"/>
        <v>4</v>
      </c>
      <c r="H28" s="41">
        <v>70</v>
      </c>
      <c r="I28" s="39">
        <f>IF(AC28&gt;0,((H28-AA28)+(AB28-H29)),IF(H29=0, ,(H28-H29)))</f>
        <v>5</v>
      </c>
      <c r="J28" s="39">
        <f t="shared" si="10"/>
        <v>279</v>
      </c>
      <c r="K28" s="39">
        <f t="shared" si="11"/>
        <v>69.75</v>
      </c>
      <c r="L28" s="39">
        <f t="shared" si="14"/>
        <v>5.75</v>
      </c>
      <c r="M28" s="155">
        <f t="shared" si="3"/>
        <v>24196</v>
      </c>
      <c r="N28" s="39">
        <f t="shared" si="4"/>
        <v>1391.27</v>
      </c>
      <c r="O28" s="39">
        <f t="shared" si="5"/>
        <v>735.98183000000006</v>
      </c>
      <c r="P28" s="42">
        <f t="shared" si="6"/>
        <v>7228.0775524300007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 x14ac:dyDescent="0.3">
      <c r="A29" s="40">
        <v>44222</v>
      </c>
      <c r="B29" s="41">
        <v>60</v>
      </c>
      <c r="C29" s="39">
        <f t="shared" si="15"/>
        <v>1</v>
      </c>
      <c r="D29" s="41">
        <v>65</v>
      </c>
      <c r="E29" s="39">
        <f t="shared" si="18"/>
        <v>5</v>
      </c>
      <c r="F29" s="41">
        <v>66</v>
      </c>
      <c r="G29" s="39">
        <f t="shared" si="19"/>
        <v>5</v>
      </c>
      <c r="H29" s="41">
        <v>65</v>
      </c>
      <c r="I29" s="39">
        <f t="shared" si="9"/>
        <v>5</v>
      </c>
      <c r="J29" s="39">
        <f t="shared" si="10"/>
        <v>256</v>
      </c>
      <c r="K29" s="39">
        <f t="shared" si="11"/>
        <v>64</v>
      </c>
      <c r="L29" s="39">
        <f t="shared" si="14"/>
        <v>4</v>
      </c>
      <c r="M29" s="155">
        <f t="shared" si="3"/>
        <v>24196</v>
      </c>
      <c r="N29" s="39">
        <f t="shared" si="4"/>
        <v>967.84</v>
      </c>
      <c r="O29" s="39">
        <f t="shared" si="5"/>
        <v>511.98736000000002</v>
      </c>
      <c r="P29" s="42">
        <f t="shared" si="6"/>
        <v>5028.2278625600002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 x14ac:dyDescent="0.3">
      <c r="A30" s="40">
        <v>44223</v>
      </c>
      <c r="B30" s="41">
        <v>59</v>
      </c>
      <c r="C30" s="39">
        <f t="shared" si="15"/>
        <v>4</v>
      </c>
      <c r="D30" s="41">
        <v>60</v>
      </c>
      <c r="E30" s="39">
        <f t="shared" si="18"/>
        <v>4</v>
      </c>
      <c r="F30" s="41">
        <v>61</v>
      </c>
      <c r="G30" s="39">
        <f t="shared" si="19"/>
        <v>3</v>
      </c>
      <c r="H30" s="41">
        <v>60</v>
      </c>
      <c r="I30" s="39">
        <f t="shared" si="9"/>
        <v>4</v>
      </c>
      <c r="J30" s="39">
        <f t="shared" si="10"/>
        <v>240</v>
      </c>
      <c r="K30" s="39">
        <f t="shared" si="11"/>
        <v>60</v>
      </c>
      <c r="L30" s="39">
        <f t="shared" si="14"/>
        <v>3.75</v>
      </c>
      <c r="M30" s="155">
        <f t="shared" si="3"/>
        <v>24196</v>
      </c>
      <c r="N30" s="39">
        <f t="shared" si="4"/>
        <v>907.35</v>
      </c>
      <c r="O30" s="39">
        <f t="shared" si="5"/>
        <v>479.98815000000002</v>
      </c>
      <c r="P30" s="42">
        <f t="shared" si="6"/>
        <v>4713.9636211500001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20">(S30+V30+Y30+AB30)/4</f>
        <v>0</v>
      </c>
    </row>
    <row r="31" spans="1:31" ht="32.25" customHeight="1" x14ac:dyDescent="0.3">
      <c r="A31" s="40">
        <v>44224</v>
      </c>
      <c r="B31" s="41">
        <v>55</v>
      </c>
      <c r="C31" s="39">
        <f t="shared" si="15"/>
        <v>4</v>
      </c>
      <c r="D31" s="41">
        <v>56</v>
      </c>
      <c r="E31" s="39">
        <f t="shared" si="18"/>
        <v>4</v>
      </c>
      <c r="F31" s="41">
        <v>58</v>
      </c>
      <c r="G31" s="39">
        <f>IF(AC31&gt;0,((F31-X31)+(Y31-F32)),IF(F32=0, ,(F31-F32)))</f>
        <v>3</v>
      </c>
      <c r="H31" s="41">
        <v>56</v>
      </c>
      <c r="I31" s="39">
        <f t="shared" si="9"/>
        <v>4</v>
      </c>
      <c r="J31" s="39">
        <f t="shared" si="10"/>
        <v>225</v>
      </c>
      <c r="K31" s="39">
        <f t="shared" si="11"/>
        <v>56.25</v>
      </c>
      <c r="L31" s="39">
        <f t="shared" si="14"/>
        <v>3.75</v>
      </c>
      <c r="M31" s="155">
        <f t="shared" si="3"/>
        <v>24196</v>
      </c>
      <c r="N31" s="39">
        <f t="shared" si="4"/>
        <v>907.35</v>
      </c>
      <c r="O31" s="39">
        <f t="shared" si="5"/>
        <v>479.98815000000002</v>
      </c>
      <c r="P31" s="42">
        <f t="shared" si="6"/>
        <v>4713.9636211500001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20"/>
        <v>0</v>
      </c>
    </row>
    <row r="32" spans="1:31" ht="32.25" customHeight="1" x14ac:dyDescent="0.3">
      <c r="A32" s="40">
        <v>44225</v>
      </c>
      <c r="B32" s="41">
        <v>51</v>
      </c>
      <c r="C32" s="39">
        <f t="shared" si="15"/>
        <v>2</v>
      </c>
      <c r="D32" s="41">
        <v>52</v>
      </c>
      <c r="E32" s="39">
        <f t="shared" si="18"/>
        <v>3</v>
      </c>
      <c r="F32" s="41">
        <v>55</v>
      </c>
      <c r="G32" s="39">
        <f t="shared" si="19"/>
        <v>5</v>
      </c>
      <c r="H32" s="41">
        <v>52</v>
      </c>
      <c r="I32" s="39">
        <f t="shared" si="9"/>
        <v>1</v>
      </c>
      <c r="J32" s="39">
        <f t="shared" si="10"/>
        <v>210</v>
      </c>
      <c r="K32" s="39">
        <f t="shared" si="11"/>
        <v>52.5</v>
      </c>
      <c r="L32" s="39">
        <f t="shared" si="14"/>
        <v>2.75</v>
      </c>
      <c r="M32" s="155">
        <f t="shared" si="3"/>
        <v>24196</v>
      </c>
      <c r="N32" s="39">
        <f t="shared" si="4"/>
        <v>665.39</v>
      </c>
      <c r="O32" s="39">
        <f t="shared" si="5"/>
        <v>351.99131</v>
      </c>
      <c r="P32" s="42">
        <f t="shared" si="6"/>
        <v>3456.9066555099998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20"/>
        <v>0</v>
      </c>
    </row>
    <row r="33" spans="1:31" ht="32.25" customHeight="1" x14ac:dyDescent="0.3">
      <c r="A33" s="40">
        <v>44226</v>
      </c>
      <c r="B33" s="41">
        <v>49</v>
      </c>
      <c r="C33" s="39">
        <f t="shared" si="15"/>
        <v>5</v>
      </c>
      <c r="D33" s="41">
        <v>49</v>
      </c>
      <c r="E33" s="39">
        <f t="shared" si="18"/>
        <v>7</v>
      </c>
      <c r="F33" s="41">
        <v>50</v>
      </c>
      <c r="G33" s="39">
        <f t="shared" si="19"/>
        <v>8</v>
      </c>
      <c r="H33" s="41">
        <v>51</v>
      </c>
      <c r="I33" s="39">
        <f t="shared" si="9"/>
        <v>7</v>
      </c>
      <c r="J33" s="39">
        <f t="shared" si="10"/>
        <v>199</v>
      </c>
      <c r="K33" s="39">
        <f t="shared" si="11"/>
        <v>49.75</v>
      </c>
      <c r="L33" s="39">
        <f t="shared" si="14"/>
        <v>6.75</v>
      </c>
      <c r="M33" s="155">
        <f t="shared" si="3"/>
        <v>24196</v>
      </c>
      <c r="N33" s="39">
        <f t="shared" si="4"/>
        <v>1633.23</v>
      </c>
      <c r="O33" s="39">
        <f t="shared" si="5"/>
        <v>863.97867000000008</v>
      </c>
      <c r="P33" s="42">
        <f t="shared" si="6"/>
        <v>8485.1345180700009</v>
      </c>
      <c r="Q33" s="39">
        <v>2876</v>
      </c>
      <c r="R33" s="39">
        <v>45</v>
      </c>
      <c r="S33" s="39">
        <v>85</v>
      </c>
      <c r="T33" s="39">
        <v>2402</v>
      </c>
      <c r="U33" s="39">
        <v>45</v>
      </c>
      <c r="V33" s="39">
        <v>85</v>
      </c>
      <c r="W33" s="39">
        <v>3046</v>
      </c>
      <c r="X33" s="39">
        <v>42</v>
      </c>
      <c r="Y33" s="39">
        <v>85</v>
      </c>
      <c r="Z33" s="39">
        <v>2854</v>
      </c>
      <c r="AA33" s="39">
        <v>45</v>
      </c>
      <c r="AB33" s="39">
        <v>85</v>
      </c>
      <c r="AC33" s="39">
        <f>Q33+T33+W33+Z33</f>
        <v>11178</v>
      </c>
      <c r="AD33" s="38">
        <f t="shared" si="16"/>
        <v>44.25</v>
      </c>
      <c r="AE33" s="38">
        <f t="shared" si="20"/>
        <v>85</v>
      </c>
    </row>
    <row r="34" spans="1:31" ht="32.25" customHeight="1" x14ac:dyDescent="0.3">
      <c r="A34" s="40">
        <v>44227</v>
      </c>
      <c r="B34" s="41">
        <v>84</v>
      </c>
      <c r="C34" s="39">
        <f t="shared" si="15"/>
        <v>4</v>
      </c>
      <c r="D34" s="41">
        <v>82</v>
      </c>
      <c r="E34" s="39">
        <f t="shared" si="18"/>
        <v>2</v>
      </c>
      <c r="F34" s="41">
        <v>85</v>
      </c>
      <c r="G34" s="39">
        <f t="shared" si="19"/>
        <v>4</v>
      </c>
      <c r="H34" s="41">
        <v>84</v>
      </c>
      <c r="I34" s="39">
        <f t="shared" si="9"/>
        <v>8</v>
      </c>
      <c r="J34" s="39">
        <f>B34+D34+F34+H34</f>
        <v>335</v>
      </c>
      <c r="K34" s="39">
        <f>J34/4</f>
        <v>83.75</v>
      </c>
      <c r="L34" s="39">
        <f>IF(AC34&gt;0,((K34-AD34)+(AE34-K35)),IF(K35=0, ,(K34-K35)))</f>
        <v>4.5</v>
      </c>
      <c r="M34" s="155">
        <f t="shared" si="3"/>
        <v>24196</v>
      </c>
      <c r="N34" s="39">
        <f t="shared" si="4"/>
        <v>1088.82</v>
      </c>
      <c r="O34" s="39">
        <f t="shared" si="5"/>
        <v>575.98577999999998</v>
      </c>
      <c r="P34" s="42">
        <f t="shared" si="6"/>
        <v>5656.7563453799994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20"/>
        <v>0</v>
      </c>
    </row>
    <row r="35" spans="1:31" ht="32.25" customHeight="1" x14ac:dyDescent="0.3">
      <c r="A35" s="40">
        <v>44228</v>
      </c>
      <c r="B35" s="41">
        <v>80</v>
      </c>
      <c r="C35" s="39">
        <f t="shared" si="15"/>
        <v>0</v>
      </c>
      <c r="D35" s="41">
        <v>80</v>
      </c>
      <c r="E35" s="39">
        <f t="shared" si="18"/>
        <v>0</v>
      </c>
      <c r="F35" s="41">
        <v>81</v>
      </c>
      <c r="G35" s="39">
        <f t="shared" si="19"/>
        <v>0</v>
      </c>
      <c r="H35" s="41">
        <v>76</v>
      </c>
      <c r="I35" s="39">
        <f t="shared" si="9"/>
        <v>0</v>
      </c>
      <c r="J35" s="39">
        <f>B35+D35+F35+H35</f>
        <v>317</v>
      </c>
      <c r="K35" s="39">
        <f>J35/4</f>
        <v>79.25</v>
      </c>
      <c r="L35" s="39">
        <f t="shared" si="14"/>
        <v>0</v>
      </c>
      <c r="M35" s="155">
        <f t="shared" si="3"/>
        <v>24196</v>
      </c>
      <c r="N35" s="39">
        <f t="shared" ref="N35:N42" si="21">L35*M35/100</f>
        <v>0</v>
      </c>
      <c r="O35" s="39">
        <f t="shared" ref="O35:O37" si="22">N35*0.529</f>
        <v>0</v>
      </c>
      <c r="P35" s="42">
        <f t="shared" ref="P5:P38" si="23">O35*10.803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20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18"/>
        <v>0</v>
      </c>
      <c r="F36" s="41"/>
      <c r="G36" s="39">
        <f t="shared" si="19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39">
        <f t="shared" ref="M36:M42" si="24">6049*4</f>
        <v>24196</v>
      </c>
      <c r="N36" s="39">
        <f t="shared" si="21"/>
        <v>0</v>
      </c>
      <c r="O36" s="39">
        <f t="shared" si="22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20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39">
        <f t="shared" si="24"/>
        <v>24196</v>
      </c>
      <c r="N37" s="39">
        <f t="shared" si="21"/>
        <v>0</v>
      </c>
      <c r="O37" s="39">
        <f t="shared" si="22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20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39">
        <f t="shared" si="24"/>
        <v>24196</v>
      </c>
      <c r="N38" s="39">
        <f t="shared" si="21"/>
        <v>0</v>
      </c>
      <c r="O38" s="39">
        <f>N38*0.53</f>
        <v>0</v>
      </c>
      <c r="P38" s="42">
        <f t="shared" si="2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20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39">
        <f t="shared" si="24"/>
        <v>24196</v>
      </c>
      <c r="N39" s="39">
        <f t="shared" si="21"/>
        <v>0</v>
      </c>
      <c r="O39" s="39">
        <f>N39*0.53</f>
        <v>0</v>
      </c>
      <c r="P39" s="42">
        <f t="shared" ref="P39:P40" si="28">O39*9.1009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20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39">
        <f t="shared" si="24"/>
        <v>24196</v>
      </c>
      <c r="N40" s="39">
        <f t="shared" si="21"/>
        <v>0</v>
      </c>
      <c r="O40" s="39">
        <f>N40*0.53</f>
        <v>0</v>
      </c>
      <c r="P40" s="42">
        <f t="shared" si="28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20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39">
        <f t="shared" si="24"/>
        <v>24196</v>
      </c>
      <c r="N41" s="39">
        <f t="shared" si="21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20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39">
        <f t="shared" si="24"/>
        <v>24196</v>
      </c>
      <c r="N42" s="39">
        <f t="shared" si="21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20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24437.96</v>
      </c>
      <c r="O43" s="39">
        <f>N43*0.529</f>
        <v>12927.680840000001</v>
      </c>
      <c r="P43" s="42">
        <f>O43*10.803</f>
        <v>139657.73611452003</v>
      </c>
      <c r="Q43" s="294">
        <f>SUM(Q4:Q42)</f>
        <v>7886</v>
      </c>
      <c r="R43" s="295"/>
      <c r="S43" s="296"/>
      <c r="T43" s="297">
        <f>SUM(T4:T42)</f>
        <v>7386</v>
      </c>
      <c r="U43" s="295"/>
      <c r="V43" s="296"/>
      <c r="W43" s="297">
        <f>SUM(W4:W42)</f>
        <v>7722</v>
      </c>
      <c r="X43" s="295"/>
      <c r="Y43" s="296"/>
      <c r="Z43" s="297">
        <f>SUM(Z4:Z42)</f>
        <v>7672</v>
      </c>
      <c r="AA43" s="295"/>
      <c r="AB43" s="296"/>
      <c r="AC43" s="39">
        <f t="shared" si="17"/>
        <v>30666</v>
      </c>
    </row>
    <row r="44" spans="1:31" ht="35.25" customHeight="1" thickBot="1" x14ac:dyDescent="0.35">
      <c r="B44" s="303"/>
      <c r="C44" s="304"/>
      <c r="D44" s="304"/>
      <c r="E44" s="304"/>
      <c r="F44" s="304"/>
      <c r="G44" s="304"/>
      <c r="H44" s="304"/>
      <c r="I44" s="305"/>
      <c r="J44" s="37"/>
      <c r="K44" s="37"/>
      <c r="L44" s="37"/>
      <c r="M44" s="37"/>
      <c r="N44" s="37"/>
      <c r="O44" s="37"/>
      <c r="P44" s="37"/>
      <c r="Q44" s="306">
        <f>Q43+T43+W43+Z43</f>
        <v>30666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8"/>
      <c r="AC44" s="39">
        <f>Q44+T44+W44+Z44</f>
        <v>30666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90" t="s">
        <v>85</v>
      </c>
      <c r="I47" s="291"/>
      <c r="J47" s="292"/>
      <c r="K47" s="45">
        <f>N43</f>
        <v>24437.96</v>
      </c>
      <c r="L47" s="46">
        <f>O43</f>
        <v>12927.680840000001</v>
      </c>
      <c r="M47" s="46">
        <f>P43</f>
        <v>139657.73611452003</v>
      </c>
    </row>
    <row r="48" spans="1:31" ht="54.75" customHeight="1" thickBot="1" x14ac:dyDescent="0.35">
      <c r="H48" s="290" t="s">
        <v>86</v>
      </c>
      <c r="I48" s="291"/>
      <c r="J48" s="292"/>
      <c r="K48" s="43">
        <f>AC44</f>
        <v>30666</v>
      </c>
      <c r="L48" s="44">
        <f>K48*0.529</f>
        <v>16222.314</v>
      </c>
      <c r="M48" s="44">
        <f>L48*9.821</f>
        <v>159319.34579399999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9"/>
      <c r="B1" s="281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 x14ac:dyDescent="0.25">
      <c r="A2" s="282"/>
      <c r="B2" s="284"/>
      <c r="C2" s="311"/>
      <c r="D2" s="312"/>
      <c r="E2" s="312"/>
      <c r="F2" s="312"/>
      <c r="G2" s="312"/>
      <c r="H2" s="318"/>
      <c r="I2" s="319"/>
      <c r="J2" s="320"/>
    </row>
    <row r="3" spans="1:10" ht="15" customHeight="1" x14ac:dyDescent="0.2">
      <c r="A3" s="282"/>
      <c r="B3" s="284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 x14ac:dyDescent="0.25">
      <c r="A4" s="285"/>
      <c r="B4" s="287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 x14ac:dyDescent="0.25"/>
    <row r="7" spans="1:10" ht="36.75" thickTop="1" x14ac:dyDescent="0.2">
      <c r="A7" s="327" t="s">
        <v>90</v>
      </c>
      <c r="B7" s="327"/>
      <c r="C7" s="328" t="s">
        <v>91</v>
      </c>
      <c r="D7" s="329"/>
      <c r="E7" s="64" t="s">
        <v>92</v>
      </c>
      <c r="F7" s="64" t="s">
        <v>93</v>
      </c>
      <c r="G7" s="64" t="s">
        <v>94</v>
      </c>
      <c r="H7" s="64" t="s">
        <v>95</v>
      </c>
      <c r="I7" s="330" t="s">
        <v>96</v>
      </c>
      <c r="J7" s="331"/>
    </row>
    <row r="8" spans="1:10" x14ac:dyDescent="0.2">
      <c r="A8" s="332">
        <v>95670781</v>
      </c>
      <c r="B8" s="332"/>
      <c r="C8" s="333">
        <v>44193</v>
      </c>
      <c r="D8" s="334"/>
      <c r="E8" s="116">
        <v>44224</v>
      </c>
      <c r="F8" s="172" t="s">
        <v>97</v>
      </c>
      <c r="G8" s="65"/>
      <c r="H8" s="65"/>
      <c r="I8" s="335"/>
      <c r="J8" s="336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 x14ac:dyDescent="0.2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701</v>
      </c>
      <c r="H12" s="344"/>
      <c r="I12" s="345"/>
      <c r="J12" s="345"/>
    </row>
    <row r="13" spans="1:10" x14ac:dyDescent="0.2">
      <c r="A13" s="346"/>
      <c r="B13" s="347"/>
      <c r="C13" s="347"/>
      <c r="D13" s="347"/>
      <c r="E13" s="347"/>
      <c r="F13" s="347"/>
      <c r="G13" s="347"/>
      <c r="H13" s="347"/>
      <c r="I13" s="347"/>
      <c r="J13" s="347"/>
    </row>
    <row r="15" spans="1:10" ht="13.5" thickBot="1" x14ac:dyDescent="0.25"/>
    <row r="16" spans="1:10" ht="26.25" thickTop="1" x14ac:dyDescent="0.2">
      <c r="A16" s="337" t="s">
        <v>104</v>
      </c>
      <c r="B16" s="337"/>
      <c r="C16" s="66" t="s">
        <v>105</v>
      </c>
      <c r="D16" s="67" t="s">
        <v>106</v>
      </c>
      <c r="E16" s="67" t="s">
        <v>48</v>
      </c>
      <c r="F16" s="67" t="s">
        <v>107</v>
      </c>
      <c r="G16" s="341" t="s">
        <v>108</v>
      </c>
      <c r="H16" s="341"/>
      <c r="I16" s="342" t="s">
        <v>109</v>
      </c>
      <c r="J16" s="343"/>
    </row>
    <row r="17" spans="1:10" x14ac:dyDescent="0.2">
      <c r="A17" s="348" t="s">
        <v>110</v>
      </c>
      <c r="B17" s="349"/>
      <c r="C17" s="69">
        <v>17306409</v>
      </c>
      <c r="D17" s="69">
        <v>17193597</v>
      </c>
      <c r="E17" s="70">
        <f>MIN(C17-D17)</f>
        <v>112812</v>
      </c>
      <c r="F17" s="70">
        <f>+E17</f>
        <v>112812</v>
      </c>
      <c r="G17" s="350"/>
      <c r="H17" s="351"/>
      <c r="I17" s="350">
        <f>+E17</f>
        <v>112812</v>
      </c>
      <c r="J17" s="351"/>
    </row>
    <row r="18" spans="1:10" x14ac:dyDescent="0.2">
      <c r="A18" s="348" t="s">
        <v>111</v>
      </c>
      <c r="B18" s="349"/>
      <c r="C18" s="69">
        <v>10297358</v>
      </c>
      <c r="D18" s="69">
        <v>10221278</v>
      </c>
      <c r="E18" s="70">
        <f>MIN(C18-D18)</f>
        <v>76080</v>
      </c>
      <c r="F18" s="70">
        <f>+E18</f>
        <v>76080</v>
      </c>
      <c r="G18" s="350"/>
      <c r="H18" s="351"/>
      <c r="I18" s="350">
        <f>+E18</f>
        <v>76080</v>
      </c>
      <c r="J18" s="351"/>
    </row>
    <row r="19" spans="1:10" x14ac:dyDescent="0.2">
      <c r="A19" s="348" t="s">
        <v>112</v>
      </c>
      <c r="B19" s="349"/>
      <c r="C19" s="69">
        <v>7663857</v>
      </c>
      <c r="D19" s="69">
        <v>7612838</v>
      </c>
      <c r="E19" s="70">
        <f>AVERAGE(C19-D19)</f>
        <v>51019</v>
      </c>
      <c r="F19" s="70">
        <f>+E19</f>
        <v>51019</v>
      </c>
      <c r="G19" s="350"/>
      <c r="H19" s="351"/>
      <c r="I19" s="350">
        <f>+E19</f>
        <v>51019</v>
      </c>
      <c r="J19" s="351"/>
    </row>
    <row r="20" spans="1:10" ht="15" x14ac:dyDescent="0.25">
      <c r="A20" s="352" t="s">
        <v>113</v>
      </c>
      <c r="B20" s="353"/>
      <c r="C20" s="71"/>
      <c r="D20" s="72"/>
      <c r="E20" s="71">
        <f>SUM(E17:E19)</f>
        <v>239911</v>
      </c>
      <c r="F20" s="73"/>
      <c r="G20" s="354"/>
      <c r="H20" s="355"/>
      <c r="I20" s="354"/>
      <c r="J20" s="355"/>
    </row>
    <row r="21" spans="1:10" x14ac:dyDescent="0.2">
      <c r="C21" s="113" t="s">
        <v>18</v>
      </c>
      <c r="D21" t="s">
        <v>114</v>
      </c>
      <c r="G21" s="356"/>
      <c r="H21" s="356"/>
    </row>
    <row r="22" spans="1:10" ht="13.5" thickBot="1" x14ac:dyDescent="0.25">
      <c r="G22" s="357"/>
      <c r="H22" s="357"/>
    </row>
    <row r="23" spans="1:10" ht="13.5" thickTop="1" x14ac:dyDescent="0.2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68" t="s">
        <v>120</v>
      </c>
      <c r="J23" s="368"/>
    </row>
    <row r="24" spans="1:10" x14ac:dyDescent="0.2">
      <c r="A24" s="361"/>
      <c r="B24" s="362"/>
      <c r="C24" s="363"/>
      <c r="D24" s="364"/>
      <c r="E24" s="364"/>
      <c r="F24" s="366"/>
      <c r="G24" s="173" t="s">
        <v>121</v>
      </c>
      <c r="H24" s="74" t="s">
        <v>122</v>
      </c>
      <c r="I24" s="368"/>
      <c r="J24" s="368"/>
    </row>
    <row r="25" spans="1:10" ht="15" x14ac:dyDescent="0.25">
      <c r="A25" s="369" t="s">
        <v>123</v>
      </c>
      <c r="B25" s="370"/>
      <c r="C25" s="371"/>
      <c r="D25" s="70">
        <f>+E17</f>
        <v>112812</v>
      </c>
      <c r="E25" s="75">
        <v>0.95140000000000002</v>
      </c>
      <c r="F25" s="76">
        <f>PRODUCT(D25*E25)</f>
        <v>107329.3368</v>
      </c>
      <c r="G25" s="158">
        <v>14</v>
      </c>
      <c r="H25" s="68">
        <f>PRODUCT(0.14,F25)</f>
        <v>15026.107152000002</v>
      </c>
      <c r="I25" s="372">
        <f>SUM(H25,F25)</f>
        <v>122355.443952</v>
      </c>
      <c r="J25" s="373"/>
    </row>
    <row r="26" spans="1:10" ht="15" x14ac:dyDescent="0.25">
      <c r="A26" s="374" t="s">
        <v>124</v>
      </c>
      <c r="B26" s="375"/>
      <c r="C26" s="376"/>
      <c r="D26" s="70">
        <f>+E18</f>
        <v>76080</v>
      </c>
      <c r="E26" s="77">
        <v>0.69850000000000001</v>
      </c>
      <c r="F26" s="76">
        <f>PRODUCT(D26*E26)</f>
        <v>53141.88</v>
      </c>
      <c r="G26">
        <v>14</v>
      </c>
      <c r="H26" s="70">
        <f>PRODUCT(0.14,F26)</f>
        <v>7439.8632000000007</v>
      </c>
      <c r="I26" s="372">
        <f t="shared" ref="I26:I31" si="0">SUM(H26,F26)</f>
        <v>60581.743199999997</v>
      </c>
      <c r="J26" s="373"/>
    </row>
    <row r="27" spans="1:10" ht="15" x14ac:dyDescent="0.25">
      <c r="A27" s="374" t="s">
        <v>125</v>
      </c>
      <c r="B27" s="375"/>
      <c r="C27" s="376"/>
      <c r="D27" s="70">
        <f>+E19</f>
        <v>51019</v>
      </c>
      <c r="E27" s="77">
        <v>1.3304</v>
      </c>
      <c r="F27" s="76">
        <f>PRODUCT(D27*E27)</f>
        <v>67875.677599999995</v>
      </c>
      <c r="G27">
        <v>14</v>
      </c>
      <c r="H27" s="70">
        <f>PRODUCT(0.14,F27)</f>
        <v>9502.5948640000006</v>
      </c>
      <c r="I27" s="372">
        <f>SUM(H27,F27)</f>
        <v>77378.272463999994</v>
      </c>
      <c r="J27" s="373"/>
    </row>
    <row r="28" spans="1:10" ht="15" x14ac:dyDescent="0.25">
      <c r="A28" s="374" t="s">
        <v>126</v>
      </c>
      <c r="B28" s="375"/>
      <c r="C28" s="376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72">
        <f t="shared" si="0"/>
        <v>50025.103799999997</v>
      </c>
      <c r="J28" s="373"/>
    </row>
    <row r="29" spans="1:10" ht="15" x14ac:dyDescent="0.25">
      <c r="A29" s="385" t="s">
        <v>127</v>
      </c>
      <c r="B29" s="386"/>
      <c r="C29" s="387"/>
      <c r="D29" s="78">
        <v>0</v>
      </c>
      <c r="E29" s="79">
        <f>E28*1.5</f>
        <v>65.822505000000007</v>
      </c>
      <c r="F29" s="80">
        <f>PRODUCT(D29,E29)</f>
        <v>0</v>
      </c>
      <c r="G29" s="81">
        <v>14</v>
      </c>
      <c r="H29" s="78">
        <f>PRODUCT(0.14,F29)</f>
        <v>0</v>
      </c>
      <c r="I29" s="388">
        <f t="shared" si="0"/>
        <v>0</v>
      </c>
      <c r="J29" s="389"/>
    </row>
    <row r="30" spans="1:10" ht="15" x14ac:dyDescent="0.25">
      <c r="A30" s="374" t="s">
        <v>128</v>
      </c>
      <c r="B30" s="375"/>
      <c r="C30" s="376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72">
        <f>SUM(H30,F30)</f>
        <v>1009.2</v>
      </c>
      <c r="J30" s="373"/>
    </row>
    <row r="31" spans="1:10" ht="15.75" thickBot="1" x14ac:dyDescent="0.3">
      <c r="A31" s="377" t="s">
        <v>129</v>
      </c>
      <c r="B31" s="378"/>
      <c r="C31" s="379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72">
        <f t="shared" si="0"/>
        <v>1596.44</v>
      </c>
      <c r="J31" s="373"/>
    </row>
    <row r="32" spans="1:10" ht="21" x14ac:dyDescent="0.2">
      <c r="A32" s="380" t="s">
        <v>130</v>
      </c>
      <c r="B32" s="381"/>
      <c r="C32" s="381"/>
      <c r="D32" s="381"/>
      <c r="E32" s="381"/>
      <c r="F32" s="87">
        <f>SUM(F25:F31)</f>
        <v>274561.56439999997</v>
      </c>
      <c r="G32" s="88"/>
      <c r="H32" s="89"/>
      <c r="I32" s="384">
        <f>SUM(I25:J31)</f>
        <v>312946.203416</v>
      </c>
      <c r="J32" s="384"/>
    </row>
    <row r="33" spans="1:10" ht="21.75" thickBot="1" x14ac:dyDescent="0.25">
      <c r="A33" s="382"/>
      <c r="B33" s="383"/>
      <c r="C33" s="383"/>
      <c r="D33" s="383"/>
      <c r="E33" s="383"/>
      <c r="F33" s="90"/>
      <c r="G33" s="91"/>
      <c r="H33" s="92"/>
      <c r="I33" s="384"/>
      <c r="J33" s="38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9"/>
      <c r="B1" s="281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 x14ac:dyDescent="0.25">
      <c r="A2" s="282"/>
      <c r="B2" s="284"/>
      <c r="C2" s="311"/>
      <c r="D2" s="312"/>
      <c r="E2" s="312"/>
      <c r="F2" s="312"/>
      <c r="G2" s="312"/>
      <c r="H2" s="318"/>
      <c r="I2" s="319"/>
      <c r="J2" s="320"/>
    </row>
    <row r="3" spans="1:10" ht="15" customHeight="1" x14ac:dyDescent="0.2">
      <c r="A3" s="282"/>
      <c r="B3" s="284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 x14ac:dyDescent="0.25">
      <c r="A4" s="285"/>
      <c r="B4" s="287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 x14ac:dyDescent="0.25"/>
    <row r="7" spans="1:10" ht="36.75" thickTop="1" x14ac:dyDescent="0.2">
      <c r="A7" s="327" t="s">
        <v>90</v>
      </c>
      <c r="B7" s="327"/>
      <c r="C7" s="328" t="s">
        <v>91</v>
      </c>
      <c r="D7" s="329"/>
      <c r="E7" s="64" t="s">
        <v>92</v>
      </c>
      <c r="F7" s="64" t="s">
        <v>93</v>
      </c>
      <c r="G7" s="64" t="s">
        <v>94</v>
      </c>
      <c r="H7" s="64" t="s">
        <v>95</v>
      </c>
      <c r="I7" s="330" t="s">
        <v>96</v>
      </c>
      <c r="J7" s="331"/>
    </row>
    <row r="8" spans="1:10" x14ac:dyDescent="0.2">
      <c r="A8" s="332">
        <v>95670781</v>
      </c>
      <c r="B8" s="332"/>
      <c r="C8" s="333">
        <v>44137</v>
      </c>
      <c r="D8" s="334"/>
      <c r="E8" s="116">
        <v>44138</v>
      </c>
      <c r="F8" s="172" t="s">
        <v>97</v>
      </c>
      <c r="G8" s="65"/>
      <c r="H8" s="65"/>
      <c r="I8" s="335"/>
      <c r="J8" s="336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 x14ac:dyDescent="0.2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1070</v>
      </c>
      <c r="H12" s="344"/>
      <c r="I12" s="345"/>
      <c r="J12" s="345"/>
    </row>
    <row r="13" spans="1:10" x14ac:dyDescent="0.2">
      <c r="A13" s="346"/>
      <c r="B13" s="347"/>
      <c r="C13" s="347"/>
      <c r="D13" s="347"/>
      <c r="E13" s="347"/>
      <c r="F13" s="347"/>
      <c r="G13" s="347"/>
      <c r="H13" s="347"/>
      <c r="I13" s="347"/>
      <c r="J13" s="347"/>
    </row>
    <row r="15" spans="1:10" ht="13.5" thickBot="1" x14ac:dyDescent="0.25"/>
    <row r="16" spans="1:10" ht="26.25" thickTop="1" x14ac:dyDescent="0.2">
      <c r="A16" s="337" t="s">
        <v>104</v>
      </c>
      <c r="B16" s="337"/>
      <c r="C16" s="66" t="s">
        <v>105</v>
      </c>
      <c r="D16" s="67" t="s">
        <v>106</v>
      </c>
      <c r="E16" s="67" t="s">
        <v>48</v>
      </c>
      <c r="F16" s="67" t="s">
        <v>107</v>
      </c>
      <c r="G16" s="341" t="s">
        <v>108</v>
      </c>
      <c r="H16" s="341"/>
      <c r="I16" s="342" t="s">
        <v>109</v>
      </c>
      <c r="J16" s="343"/>
    </row>
    <row r="17" spans="1:10" x14ac:dyDescent="0.2">
      <c r="A17" s="348" t="s">
        <v>110</v>
      </c>
      <c r="B17" s="349"/>
      <c r="C17" s="69">
        <v>16956876</v>
      </c>
      <c r="D17" s="69">
        <v>16952131</v>
      </c>
      <c r="E17" s="70">
        <f>MIN(C17-D17)</f>
        <v>4745</v>
      </c>
      <c r="F17" s="70">
        <f>+E17</f>
        <v>4745</v>
      </c>
      <c r="G17" s="350"/>
      <c r="H17" s="351"/>
      <c r="I17" s="350">
        <f>+E17</f>
        <v>4745</v>
      </c>
      <c r="J17" s="351"/>
    </row>
    <row r="18" spans="1:10" x14ac:dyDescent="0.2">
      <c r="A18" s="348" t="s">
        <v>111</v>
      </c>
      <c r="B18" s="349"/>
      <c r="C18" s="69">
        <v>10068001</v>
      </c>
      <c r="D18" s="69">
        <v>10064884</v>
      </c>
      <c r="E18" s="70">
        <f>MIN(C18-D18)</f>
        <v>3117</v>
      </c>
      <c r="F18" s="70">
        <f>+E18</f>
        <v>3117</v>
      </c>
      <c r="G18" s="350"/>
      <c r="H18" s="351"/>
      <c r="I18" s="350">
        <f>+E18</f>
        <v>3117</v>
      </c>
      <c r="J18" s="351"/>
    </row>
    <row r="19" spans="1:10" x14ac:dyDescent="0.2">
      <c r="A19" s="348" t="s">
        <v>112</v>
      </c>
      <c r="B19" s="349"/>
      <c r="C19" s="69">
        <v>7506386</v>
      </c>
      <c r="D19" s="69">
        <v>7504486</v>
      </c>
      <c r="E19" s="70">
        <f>AVERAGE(C19-D19)</f>
        <v>1900</v>
      </c>
      <c r="F19" s="70">
        <f>+E19</f>
        <v>1900</v>
      </c>
      <c r="G19" s="350"/>
      <c r="H19" s="351"/>
      <c r="I19" s="350">
        <f>+E19</f>
        <v>1900</v>
      </c>
      <c r="J19" s="351"/>
    </row>
    <row r="20" spans="1:10" ht="15" x14ac:dyDescent="0.25">
      <c r="A20" s="352" t="s">
        <v>113</v>
      </c>
      <c r="B20" s="353"/>
      <c r="C20" s="71"/>
      <c r="D20" s="72"/>
      <c r="E20" s="71">
        <f>SUM(E17:E19)</f>
        <v>9762</v>
      </c>
      <c r="F20" s="73"/>
      <c r="G20" s="354"/>
      <c r="H20" s="355"/>
      <c r="I20" s="354"/>
      <c r="J20" s="355"/>
    </row>
    <row r="21" spans="1:10" x14ac:dyDescent="0.2">
      <c r="C21" s="113" t="s">
        <v>18</v>
      </c>
      <c r="D21" t="s">
        <v>114</v>
      </c>
      <c r="G21" s="356"/>
      <c r="H21" s="356"/>
    </row>
    <row r="22" spans="1:10" ht="13.5" thickBot="1" x14ac:dyDescent="0.25">
      <c r="G22" s="357"/>
      <c r="H22" s="357"/>
    </row>
    <row r="23" spans="1:10" ht="13.5" thickTop="1" x14ac:dyDescent="0.2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68" t="s">
        <v>120</v>
      </c>
      <c r="J23" s="368"/>
    </row>
    <row r="24" spans="1:10" x14ac:dyDescent="0.2">
      <c r="A24" s="361"/>
      <c r="B24" s="362"/>
      <c r="C24" s="363"/>
      <c r="D24" s="364"/>
      <c r="E24" s="364"/>
      <c r="F24" s="366"/>
      <c r="G24" s="173" t="s">
        <v>121</v>
      </c>
      <c r="H24" s="74" t="s">
        <v>122</v>
      </c>
      <c r="I24" s="368"/>
      <c r="J24" s="368"/>
    </row>
    <row r="25" spans="1:10" ht="15" x14ac:dyDescent="0.25">
      <c r="A25" s="369" t="s">
        <v>123</v>
      </c>
      <c r="B25" s="370"/>
      <c r="C25" s="371"/>
      <c r="D25" s="70">
        <f>+E17</f>
        <v>4745</v>
      </c>
      <c r="E25" s="75">
        <v>0.95140000000000002</v>
      </c>
      <c r="F25" s="76">
        <f>PRODUCT(D25*E25)</f>
        <v>4514.393</v>
      </c>
      <c r="G25" s="158">
        <v>14</v>
      </c>
      <c r="H25" s="68">
        <f>PRODUCT(0.14,F25)</f>
        <v>632.01502000000005</v>
      </c>
      <c r="I25" s="372">
        <f>SUM(H25,F25)</f>
        <v>5146.4080199999999</v>
      </c>
      <c r="J25" s="373"/>
    </row>
    <row r="26" spans="1:10" ht="15" x14ac:dyDescent="0.25">
      <c r="A26" s="374" t="s">
        <v>124</v>
      </c>
      <c r="B26" s="375"/>
      <c r="C26" s="376"/>
      <c r="D26" s="70">
        <f>+E18</f>
        <v>3117</v>
      </c>
      <c r="E26" s="77">
        <v>0.69850000000000001</v>
      </c>
      <c r="F26" s="76">
        <f>PRODUCT(D26*E26)</f>
        <v>2177.2244999999998</v>
      </c>
      <c r="G26">
        <v>14</v>
      </c>
      <c r="H26" s="70">
        <f>PRODUCT(0.14,F26)</f>
        <v>304.81143000000003</v>
      </c>
      <c r="I26" s="372">
        <f t="shared" ref="I26:I31" si="0">SUM(H26,F26)</f>
        <v>2482.03593</v>
      </c>
      <c r="J26" s="373"/>
    </row>
    <row r="27" spans="1:10" ht="15" x14ac:dyDescent="0.25">
      <c r="A27" s="374" t="s">
        <v>125</v>
      </c>
      <c r="B27" s="375"/>
      <c r="C27" s="376"/>
      <c r="D27" s="70">
        <f>+E19</f>
        <v>1900</v>
      </c>
      <c r="E27" s="77">
        <v>1.3304</v>
      </c>
      <c r="F27" s="76">
        <f>PRODUCT(D27*E27)</f>
        <v>2527.7600000000002</v>
      </c>
      <c r="G27">
        <v>14</v>
      </c>
      <c r="H27" s="70">
        <f>PRODUCT(0.14,F27)</f>
        <v>353.88640000000004</v>
      </c>
      <c r="I27" s="372">
        <f>SUM(H27,F27)</f>
        <v>2881.6464000000001</v>
      </c>
      <c r="J27" s="373"/>
    </row>
    <row r="28" spans="1:10" ht="15" x14ac:dyDescent="0.25">
      <c r="A28" s="374" t="s">
        <v>126</v>
      </c>
      <c r="B28" s="375"/>
      <c r="C28" s="376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72">
        <f t="shared" si="0"/>
        <v>50025.103799999997</v>
      </c>
      <c r="J28" s="373"/>
    </row>
    <row r="29" spans="1:10" ht="15" x14ac:dyDescent="0.25">
      <c r="A29" s="385" t="s">
        <v>127</v>
      </c>
      <c r="B29" s="386"/>
      <c r="C29" s="387"/>
      <c r="D29" s="78">
        <f>G12-E12</f>
        <v>70</v>
      </c>
      <c r="E29" s="79">
        <v>48.972490000000001</v>
      </c>
      <c r="F29" s="80">
        <f>PRODUCT(D29,E29)</f>
        <v>3428.0743000000002</v>
      </c>
      <c r="G29" s="81">
        <v>14</v>
      </c>
      <c r="H29" s="78">
        <f>PRODUCT(0.14,F29)</f>
        <v>479.93040200000007</v>
      </c>
      <c r="I29" s="388">
        <f t="shared" si="0"/>
        <v>3908.0047020000002</v>
      </c>
      <c r="J29" s="389"/>
    </row>
    <row r="30" spans="1:10" ht="15" x14ac:dyDescent="0.25">
      <c r="A30" s="374" t="s">
        <v>128</v>
      </c>
      <c r="B30" s="375"/>
      <c r="C30" s="376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72">
        <f>SUM(H30,F30)</f>
        <v>1009.2</v>
      </c>
      <c r="J30" s="373"/>
    </row>
    <row r="31" spans="1:10" ht="15.75" thickBot="1" x14ac:dyDescent="0.3">
      <c r="A31" s="377" t="s">
        <v>129</v>
      </c>
      <c r="B31" s="378"/>
      <c r="C31" s="379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72">
        <f t="shared" si="0"/>
        <v>1596.44</v>
      </c>
      <c r="J31" s="373"/>
    </row>
    <row r="32" spans="1:10" ht="21" x14ac:dyDescent="0.2">
      <c r="A32" s="380" t="s">
        <v>130</v>
      </c>
      <c r="B32" s="381"/>
      <c r="C32" s="381"/>
      <c r="D32" s="381"/>
      <c r="E32" s="381"/>
      <c r="F32" s="87">
        <f>SUM(F25:F31)</f>
        <v>58862.121800000001</v>
      </c>
      <c r="G32" s="88"/>
      <c r="H32" s="89"/>
      <c r="I32" s="384">
        <f>SUM(I25:J31)</f>
        <v>67048.838851999986</v>
      </c>
      <c r="J32" s="384"/>
    </row>
    <row r="33" spans="1:10" ht="21.75" thickBot="1" x14ac:dyDescent="0.25">
      <c r="A33" s="382"/>
      <c r="B33" s="383"/>
      <c r="C33" s="383"/>
      <c r="D33" s="383"/>
      <c r="E33" s="383"/>
      <c r="F33" s="90"/>
      <c r="G33" s="91"/>
      <c r="H33" s="92"/>
      <c r="I33" s="384"/>
      <c r="J33" s="38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0"/>
      <c r="B1" s="309" t="s">
        <v>131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 x14ac:dyDescent="0.25">
      <c r="A2" s="391"/>
      <c r="B2" s="311"/>
      <c r="C2" s="312"/>
      <c r="D2" s="312"/>
      <c r="E2" s="312"/>
      <c r="F2" s="396"/>
      <c r="G2" s="397"/>
      <c r="H2" s="398"/>
    </row>
    <row r="3" spans="1:8" ht="15" customHeight="1" x14ac:dyDescent="0.2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 x14ac:dyDescent="0.25">
      <c r="A4" s="392"/>
      <c r="B4" s="313"/>
      <c r="C4" s="314"/>
      <c r="D4" s="314"/>
      <c r="E4" s="314"/>
      <c r="F4" s="399"/>
      <c r="G4" s="400"/>
      <c r="H4" s="401"/>
    </row>
    <row r="6" spans="1:8" ht="42.75" customHeight="1" x14ac:dyDescent="0.2"/>
    <row r="7" spans="1:8" ht="42.75" customHeight="1" x14ac:dyDescent="0.2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 x14ac:dyDescent="0.25">
      <c r="A8" s="174"/>
      <c r="B8" s="98" t="s">
        <v>136</v>
      </c>
      <c r="C8" s="99">
        <v>99706.2</v>
      </c>
      <c r="D8" s="100">
        <v>43831</v>
      </c>
      <c r="E8" s="99">
        <v>101789.4</v>
      </c>
      <c r="F8" s="100">
        <v>44228</v>
      </c>
      <c r="G8" s="101">
        <f>E8-C8</f>
        <v>2083.1999999999971</v>
      </c>
      <c r="H8" s="102"/>
    </row>
    <row r="9" spans="1:8" ht="36" customHeight="1" x14ac:dyDescent="0.25">
      <c r="A9" s="103"/>
      <c r="B9" s="103"/>
      <c r="C9" s="103"/>
      <c r="D9" s="103"/>
      <c r="E9" s="103"/>
      <c r="F9" s="103"/>
      <c r="G9" s="103"/>
      <c r="H9" s="103"/>
    </row>
    <row r="10" spans="1:8" ht="15" x14ac:dyDescent="0.2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 x14ac:dyDescent="0.25">
      <c r="A11" s="105" t="s">
        <v>139</v>
      </c>
      <c r="B11" s="406"/>
      <c r="C11" s="406"/>
      <c r="D11" s="406"/>
      <c r="E11" s="406"/>
      <c r="F11" s="406">
        <v>23</v>
      </c>
      <c r="G11" s="406"/>
      <c r="H11" s="406"/>
    </row>
    <row r="12" spans="1:8" ht="21" x14ac:dyDescent="0.35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 x14ac:dyDescent="0.25">
      <c r="A13" s="105" t="s">
        <v>141</v>
      </c>
      <c r="B13" s="406">
        <f>G8</f>
        <v>2083.1999999999971</v>
      </c>
      <c r="C13" s="406"/>
      <c r="D13" s="406">
        <v>8.7899999999999991</v>
      </c>
      <c r="E13" s="406"/>
      <c r="F13" s="408">
        <f>PRODUCT(D13,B13)</f>
        <v>18311.327999999972</v>
      </c>
      <c r="G13" s="408"/>
      <c r="H13" s="408"/>
    </row>
    <row r="14" spans="1:8" ht="45" customHeight="1" x14ac:dyDescent="0.2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 x14ac:dyDescent="0.2">
      <c r="A15" s="410"/>
      <c r="B15" s="410"/>
      <c r="C15" s="410"/>
      <c r="D15" s="410"/>
      <c r="E15" s="410"/>
      <c r="F15" s="410"/>
      <c r="G15" s="410"/>
      <c r="H15" s="410"/>
    </row>
    <row r="16" spans="1:8" ht="15" x14ac:dyDescent="0.25">
      <c r="A16" s="106" t="s">
        <v>143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 x14ac:dyDescent="0.25">
      <c r="A17" s="106" t="s">
        <v>144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 x14ac:dyDescent="0.25">
      <c r="A18" s="106" t="s">
        <v>145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 x14ac:dyDescent="0.25">
      <c r="A19" s="106" t="s">
        <v>146</v>
      </c>
      <c r="B19" s="406">
        <f>G8</f>
        <v>2083.1999999999971</v>
      </c>
      <c r="C19" s="406"/>
      <c r="D19" s="406">
        <v>2.61</v>
      </c>
      <c r="E19" s="406"/>
      <c r="F19" s="406">
        <f>PRODUCT(D19,B19)</f>
        <v>5437.1519999999919</v>
      </c>
      <c r="G19" s="406"/>
      <c r="H19" s="406"/>
    </row>
    <row r="20" spans="1:8" ht="18.75" x14ac:dyDescent="0.3">
      <c r="A20" s="422" t="s">
        <v>147</v>
      </c>
      <c r="B20" s="423"/>
      <c r="C20" s="423"/>
      <c r="D20" s="423"/>
      <c r="E20" s="424"/>
      <c r="F20" s="425">
        <f>SUM(F11+F13+F16+F17+F18+F19)</f>
        <v>23771.479999999963</v>
      </c>
      <c r="G20" s="425"/>
      <c r="H20" s="425"/>
    </row>
    <row r="21" spans="1:8" ht="15" x14ac:dyDescent="0.25">
      <c r="A21" s="411" t="s">
        <v>148</v>
      </c>
      <c r="B21" s="412"/>
      <c r="C21" s="412"/>
      <c r="D21" s="412"/>
      <c r="E21" s="413"/>
      <c r="F21" s="406">
        <f>PRODUCT(F20,0.07)</f>
        <v>1664.0035999999975</v>
      </c>
      <c r="G21" s="406"/>
      <c r="H21" s="406"/>
    </row>
    <row r="22" spans="1:8" ht="15" x14ac:dyDescent="0.25">
      <c r="A22" s="426" t="s">
        <v>149</v>
      </c>
      <c r="B22" s="427"/>
      <c r="C22" s="427"/>
      <c r="D22" s="427"/>
      <c r="E22" s="428"/>
      <c r="F22" s="406">
        <v>208.26</v>
      </c>
      <c r="G22" s="406"/>
      <c r="H22" s="406"/>
    </row>
    <row r="23" spans="1:8" ht="15.75" x14ac:dyDescent="0.25">
      <c r="A23" s="411" t="s">
        <v>150</v>
      </c>
      <c r="B23" s="412"/>
      <c r="C23" s="412"/>
      <c r="D23" s="412"/>
      <c r="E23" s="413"/>
      <c r="F23" s="414">
        <f>SUM(F21:H22)</f>
        <v>1872.2635999999975</v>
      </c>
      <c r="G23" s="414"/>
      <c r="H23" s="414"/>
    </row>
    <row r="24" spans="1:8" x14ac:dyDescent="0.2">
      <c r="A24" s="415" t="s">
        <v>151</v>
      </c>
      <c r="B24" s="416"/>
      <c r="C24" s="416"/>
      <c r="D24" s="416"/>
      <c r="E24" s="417"/>
      <c r="F24" s="421">
        <f>SUM(F20,F23)</f>
        <v>25643.743599999962</v>
      </c>
      <c r="G24" s="421"/>
      <c r="H24" s="421"/>
    </row>
    <row r="25" spans="1:8" x14ac:dyDescent="0.2">
      <c r="A25" s="418"/>
      <c r="B25" s="419"/>
      <c r="C25" s="419"/>
      <c r="D25" s="419"/>
      <c r="E25" s="420"/>
      <c r="F25" s="421"/>
      <c r="G25" s="421"/>
      <c r="H25" s="42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0"/>
      <c r="B1" s="309" t="s">
        <v>131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 x14ac:dyDescent="0.25">
      <c r="A2" s="391"/>
      <c r="B2" s="311"/>
      <c r="C2" s="312"/>
      <c r="D2" s="312"/>
      <c r="E2" s="312"/>
      <c r="F2" s="396"/>
      <c r="G2" s="397"/>
      <c r="H2" s="398"/>
    </row>
    <row r="3" spans="1:8" ht="15" customHeight="1" x14ac:dyDescent="0.2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 x14ac:dyDescent="0.25">
      <c r="A4" s="392"/>
      <c r="B4" s="313"/>
      <c r="C4" s="314"/>
      <c r="D4" s="314"/>
      <c r="E4" s="314"/>
      <c r="F4" s="399"/>
      <c r="G4" s="400"/>
      <c r="H4" s="401"/>
    </row>
    <row r="6" spans="1:8" ht="42.75" customHeight="1" x14ac:dyDescent="0.2"/>
    <row r="7" spans="1:8" ht="42.75" customHeight="1" x14ac:dyDescent="0.2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 x14ac:dyDescent="0.25">
      <c r="A8" s="174"/>
      <c r="B8" s="98" t="s">
        <v>136</v>
      </c>
      <c r="C8" s="99">
        <v>96085.4</v>
      </c>
      <c r="D8" s="100">
        <v>44137</v>
      </c>
      <c r="E8" s="99">
        <v>96143</v>
      </c>
      <c r="F8" s="100">
        <v>44138</v>
      </c>
      <c r="G8" s="101">
        <f>E8-C8</f>
        <v>57.600000000005821</v>
      </c>
      <c r="H8" s="102"/>
    </row>
    <row r="9" spans="1:8" ht="36" customHeight="1" x14ac:dyDescent="0.25">
      <c r="A9" s="103"/>
      <c r="B9" s="103"/>
      <c r="C9" s="103"/>
      <c r="D9" s="103"/>
      <c r="E9" s="103"/>
      <c r="F9" s="103"/>
      <c r="G9" s="103"/>
      <c r="H9" s="103"/>
    </row>
    <row r="10" spans="1:8" ht="15" x14ac:dyDescent="0.2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 x14ac:dyDescent="0.25">
      <c r="A11" s="105" t="s">
        <v>139</v>
      </c>
      <c r="B11" s="406"/>
      <c r="C11" s="406"/>
      <c r="D11" s="406"/>
      <c r="E11" s="406"/>
      <c r="F11" s="406">
        <v>23</v>
      </c>
      <c r="G11" s="406"/>
      <c r="H11" s="406"/>
    </row>
    <row r="12" spans="1:8" ht="21" x14ac:dyDescent="0.35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 x14ac:dyDescent="0.25">
      <c r="A13" s="105" t="s">
        <v>141</v>
      </c>
      <c r="B13" s="406">
        <f>G8</f>
        <v>57.600000000005821</v>
      </c>
      <c r="C13" s="406"/>
      <c r="D13" s="406">
        <v>8.5</v>
      </c>
      <c r="E13" s="406"/>
      <c r="F13" s="408">
        <f>PRODUCT(D13,B13)</f>
        <v>489.60000000004948</v>
      </c>
      <c r="G13" s="408"/>
      <c r="H13" s="408"/>
    </row>
    <row r="14" spans="1:8" ht="45" customHeight="1" x14ac:dyDescent="0.2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 x14ac:dyDescent="0.2">
      <c r="A15" s="410"/>
      <c r="B15" s="410"/>
      <c r="C15" s="410"/>
      <c r="D15" s="410"/>
      <c r="E15" s="410"/>
      <c r="F15" s="410"/>
      <c r="G15" s="410"/>
      <c r="H15" s="410"/>
    </row>
    <row r="16" spans="1:8" ht="15" x14ac:dyDescent="0.25">
      <c r="A16" s="106" t="s">
        <v>143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 x14ac:dyDescent="0.25">
      <c r="A17" s="106" t="s">
        <v>144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 x14ac:dyDescent="0.25">
      <c r="A18" s="106" t="s">
        <v>145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 x14ac:dyDescent="0.25">
      <c r="A19" s="106" t="s">
        <v>146</v>
      </c>
      <c r="B19" s="406">
        <v>0</v>
      </c>
      <c r="C19" s="406"/>
      <c r="D19" s="429">
        <v>0</v>
      </c>
      <c r="E19" s="430"/>
      <c r="F19" s="429">
        <v>0</v>
      </c>
      <c r="G19" s="430"/>
      <c r="H19" s="174"/>
    </row>
    <row r="20" spans="1:8" ht="15" x14ac:dyDescent="0.25">
      <c r="A20" s="106" t="s">
        <v>152</v>
      </c>
      <c r="B20" s="406">
        <f>G8</f>
        <v>57.600000000005821</v>
      </c>
      <c r="C20" s="406"/>
      <c r="D20" s="406">
        <v>2.54</v>
      </c>
      <c r="E20" s="406"/>
      <c r="F20" s="406">
        <f>PRODUCT(D20,B20)</f>
        <v>146.30400000001478</v>
      </c>
      <c r="G20" s="406"/>
      <c r="H20" s="406"/>
    </row>
    <row r="21" spans="1:8" ht="18.75" x14ac:dyDescent="0.3">
      <c r="A21" s="422" t="s">
        <v>147</v>
      </c>
      <c r="B21" s="423"/>
      <c r="C21" s="423"/>
      <c r="D21" s="423"/>
      <c r="E21" s="424"/>
      <c r="F21" s="425">
        <f>SUM(F11+F13+F16+F17+F18+F20)</f>
        <v>658.90400000006423</v>
      </c>
      <c r="G21" s="425"/>
      <c r="H21" s="425"/>
    </row>
    <row r="22" spans="1:8" ht="15" x14ac:dyDescent="0.25">
      <c r="A22" s="411" t="s">
        <v>148</v>
      </c>
      <c r="B22" s="412"/>
      <c r="C22" s="412"/>
      <c r="D22" s="412"/>
      <c r="E22" s="413"/>
      <c r="F22" s="406">
        <f>PRODUCT(F21,0.07)</f>
        <v>46.123280000004499</v>
      </c>
      <c r="G22" s="406"/>
      <c r="H22" s="406"/>
    </row>
    <row r="23" spans="1:8" ht="15" x14ac:dyDescent="0.25">
      <c r="A23" s="426" t="s">
        <v>149</v>
      </c>
      <c r="B23" s="427"/>
      <c r="C23" s="427"/>
      <c r="D23" s="427"/>
      <c r="E23" s="428"/>
      <c r="F23" s="406">
        <v>208.26</v>
      </c>
      <c r="G23" s="406"/>
      <c r="H23" s="406"/>
    </row>
    <row r="24" spans="1:8" ht="15.75" x14ac:dyDescent="0.25">
      <c r="A24" s="411" t="s">
        <v>150</v>
      </c>
      <c r="B24" s="412"/>
      <c r="C24" s="412"/>
      <c r="D24" s="412"/>
      <c r="E24" s="413"/>
      <c r="F24" s="414">
        <f>SUM(F22:H23)</f>
        <v>254.3832800000045</v>
      </c>
      <c r="G24" s="414"/>
      <c r="H24" s="414"/>
    </row>
    <row r="25" spans="1:8" x14ac:dyDescent="0.2">
      <c r="A25" s="415" t="s">
        <v>151</v>
      </c>
      <c r="B25" s="416"/>
      <c r="C25" s="416"/>
      <c r="D25" s="416"/>
      <c r="E25" s="417"/>
      <c r="F25" s="421">
        <f>SUM(F21,F24)</f>
        <v>913.28728000006868</v>
      </c>
      <c r="G25" s="421"/>
      <c r="H25" s="421"/>
    </row>
    <row r="26" spans="1:8" x14ac:dyDescent="0.2">
      <c r="A26" s="418"/>
      <c r="B26" s="419"/>
      <c r="C26" s="419"/>
      <c r="D26" s="419"/>
      <c r="E26" s="420"/>
      <c r="F26" s="421"/>
      <c r="G26" s="421"/>
      <c r="H26" s="42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0"/>
      <c r="B1" s="309" t="s">
        <v>153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 x14ac:dyDescent="0.25">
      <c r="A2" s="391"/>
      <c r="B2" s="311"/>
      <c r="C2" s="312"/>
      <c r="D2" s="312"/>
      <c r="E2" s="312"/>
      <c r="F2" s="396"/>
      <c r="G2" s="397"/>
      <c r="H2" s="398"/>
    </row>
    <row r="3" spans="1:8" ht="15" customHeight="1" x14ac:dyDescent="0.2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 x14ac:dyDescent="0.25">
      <c r="A4" s="392"/>
      <c r="B4" s="313"/>
      <c r="C4" s="314"/>
      <c r="D4" s="314"/>
      <c r="E4" s="314"/>
      <c r="F4" s="399"/>
      <c r="G4" s="400"/>
      <c r="H4" s="401"/>
    </row>
    <row r="6" spans="1:8" ht="42.75" customHeight="1" x14ac:dyDescent="0.2"/>
    <row r="7" spans="1:8" ht="42.75" customHeight="1" x14ac:dyDescent="0.2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 x14ac:dyDescent="0.25">
      <c r="A8" s="174"/>
      <c r="B8" s="98" t="s">
        <v>136</v>
      </c>
      <c r="C8" s="99">
        <v>2559</v>
      </c>
      <c r="D8" s="100">
        <v>44166</v>
      </c>
      <c r="E8" s="99">
        <v>2559</v>
      </c>
      <c r="F8" s="100">
        <v>44197</v>
      </c>
      <c r="G8" s="101">
        <f>E8-C8</f>
        <v>0</v>
      </c>
      <c r="H8" s="102"/>
    </row>
    <row r="9" spans="1:8" ht="36" customHeight="1" x14ac:dyDescent="0.25">
      <c r="A9" s="103"/>
      <c r="B9" s="103"/>
      <c r="C9" s="103"/>
      <c r="D9" s="103"/>
      <c r="E9" s="103"/>
      <c r="F9" s="103"/>
      <c r="G9" s="103"/>
      <c r="H9" s="103"/>
    </row>
    <row r="10" spans="1:8" ht="15" x14ac:dyDescent="0.2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 x14ac:dyDescent="0.25">
      <c r="A11" s="105" t="s">
        <v>139</v>
      </c>
      <c r="B11" s="406"/>
      <c r="C11" s="406"/>
      <c r="D11" s="406"/>
      <c r="E11" s="406"/>
      <c r="F11" s="406">
        <v>15</v>
      </c>
      <c r="G11" s="406"/>
      <c r="H11" s="406"/>
    </row>
    <row r="12" spans="1:8" ht="21" x14ac:dyDescent="0.35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 x14ac:dyDescent="0.25">
      <c r="A13" s="105" t="s">
        <v>154</v>
      </c>
      <c r="B13" s="406">
        <f>G8</f>
        <v>0</v>
      </c>
      <c r="C13" s="406"/>
      <c r="D13" s="406">
        <v>16.48</v>
      </c>
      <c r="E13" s="406"/>
      <c r="F13" s="408">
        <f>PRODUCT(D13,B13)</f>
        <v>0</v>
      </c>
      <c r="G13" s="408"/>
      <c r="H13" s="408"/>
    </row>
    <row r="14" spans="1:8" ht="15" x14ac:dyDescent="0.25">
      <c r="A14" s="105" t="s">
        <v>155</v>
      </c>
      <c r="B14" s="429"/>
      <c r="C14" s="430"/>
      <c r="D14" s="429"/>
      <c r="E14" s="430"/>
      <c r="F14" s="429"/>
      <c r="G14" s="430"/>
      <c r="H14" s="114"/>
    </row>
    <row r="15" spans="1:8" ht="15" x14ac:dyDescent="0.25">
      <c r="A15" s="105" t="s">
        <v>156</v>
      </c>
      <c r="B15" s="429"/>
      <c r="C15" s="430"/>
      <c r="D15" s="429"/>
      <c r="E15" s="430"/>
      <c r="F15" s="429"/>
      <c r="G15" s="430"/>
      <c r="H15" s="114"/>
    </row>
    <row r="16" spans="1:8" ht="15" x14ac:dyDescent="0.25">
      <c r="A16" s="105" t="s">
        <v>157</v>
      </c>
      <c r="B16" s="429"/>
      <c r="C16" s="430"/>
      <c r="D16" s="429"/>
      <c r="E16" s="430"/>
      <c r="F16" s="429"/>
      <c r="G16" s="430"/>
      <c r="H16" s="114"/>
    </row>
    <row r="17" spans="1:8" ht="15" x14ac:dyDescent="0.25">
      <c r="A17" s="105" t="s">
        <v>158</v>
      </c>
      <c r="B17" s="429"/>
      <c r="C17" s="430"/>
      <c r="D17" s="429"/>
      <c r="E17" s="430"/>
      <c r="F17" s="429"/>
      <c r="G17" s="430"/>
      <c r="H17" s="114"/>
    </row>
    <row r="18" spans="1:8" ht="45" customHeight="1" x14ac:dyDescent="0.2">
      <c r="A18" s="409" t="s">
        <v>142</v>
      </c>
      <c r="B18" s="409"/>
      <c r="C18" s="409"/>
      <c r="D18" s="409"/>
      <c r="E18" s="409"/>
      <c r="F18" s="409"/>
      <c r="G18" s="409"/>
      <c r="H18" s="409"/>
    </row>
    <row r="19" spans="1:8" x14ac:dyDescent="0.2">
      <c r="A19" s="410"/>
      <c r="B19" s="410"/>
      <c r="C19" s="410"/>
      <c r="D19" s="410"/>
      <c r="E19" s="410"/>
      <c r="F19" s="410"/>
      <c r="G19" s="410"/>
      <c r="H19" s="410"/>
    </row>
    <row r="20" spans="1:8" ht="15" x14ac:dyDescent="0.25">
      <c r="A20" s="106" t="s">
        <v>143</v>
      </c>
      <c r="B20" s="406">
        <v>0</v>
      </c>
      <c r="C20" s="406"/>
      <c r="D20" s="406">
        <v>0</v>
      </c>
      <c r="E20" s="406"/>
      <c r="F20" s="406">
        <f>PRODUCT(D20,B20)</f>
        <v>0</v>
      </c>
      <c r="G20" s="406"/>
      <c r="H20" s="406"/>
    </row>
    <row r="21" spans="1:8" ht="15" x14ac:dyDescent="0.25">
      <c r="A21" s="106" t="s">
        <v>144</v>
      </c>
      <c r="B21" s="406">
        <v>0</v>
      </c>
      <c r="C21" s="406"/>
      <c r="D21" s="406">
        <v>0</v>
      </c>
      <c r="E21" s="406"/>
      <c r="F21" s="406">
        <f>PRODUCT(D21,B21)</f>
        <v>0</v>
      </c>
      <c r="G21" s="406"/>
      <c r="H21" s="406"/>
    </row>
    <row r="22" spans="1:8" ht="15" x14ac:dyDescent="0.25">
      <c r="A22" s="106" t="s">
        <v>145</v>
      </c>
      <c r="B22" s="406">
        <v>0</v>
      </c>
      <c r="C22" s="406"/>
      <c r="D22" s="406">
        <v>0</v>
      </c>
      <c r="E22" s="406"/>
      <c r="F22" s="406">
        <f>PRODUCT(D22,B22)</f>
        <v>0</v>
      </c>
      <c r="G22" s="406"/>
      <c r="H22" s="406"/>
    </row>
    <row r="23" spans="1:8" ht="15" x14ac:dyDescent="0.25">
      <c r="A23" s="106" t="s">
        <v>146</v>
      </c>
      <c r="B23" s="406">
        <f>G8</f>
        <v>0</v>
      </c>
      <c r="C23" s="406"/>
      <c r="D23" s="406">
        <v>0</v>
      </c>
      <c r="E23" s="406"/>
      <c r="F23" s="406">
        <f>PRODUCT(D23,B23)</f>
        <v>0</v>
      </c>
      <c r="G23" s="406"/>
      <c r="H23" s="406"/>
    </row>
    <row r="24" spans="1:8" ht="15" x14ac:dyDescent="0.25">
      <c r="A24" s="106" t="s">
        <v>152</v>
      </c>
      <c r="B24" s="429">
        <v>0</v>
      </c>
      <c r="C24" s="430"/>
      <c r="D24" s="429">
        <v>2.54</v>
      </c>
      <c r="E24" s="430"/>
      <c r="F24" s="429">
        <f>B24*D24</f>
        <v>0</v>
      </c>
      <c r="G24" s="430"/>
      <c r="H24" s="174"/>
    </row>
    <row r="25" spans="1:8" ht="18.75" x14ac:dyDescent="0.3">
      <c r="A25" s="422" t="s">
        <v>147</v>
      </c>
      <c r="B25" s="423"/>
      <c r="C25" s="423"/>
      <c r="D25" s="423"/>
      <c r="E25" s="424"/>
      <c r="F25" s="431">
        <f>SUM(F11+F13+F20+F21+F22+F23)</f>
        <v>15</v>
      </c>
      <c r="G25" s="425"/>
      <c r="H25" s="425"/>
    </row>
    <row r="26" spans="1:8" ht="15" x14ac:dyDescent="0.25">
      <c r="A26" s="411" t="s">
        <v>148</v>
      </c>
      <c r="B26" s="412"/>
      <c r="C26" s="412"/>
      <c r="D26" s="412"/>
      <c r="E26" s="413"/>
      <c r="F26" s="406">
        <v>63.63</v>
      </c>
      <c r="G26" s="406"/>
      <c r="H26" s="406"/>
    </row>
    <row r="27" spans="1:8" ht="15" x14ac:dyDescent="0.25">
      <c r="A27" s="426" t="s">
        <v>149</v>
      </c>
      <c r="B27" s="427"/>
      <c r="C27" s="427"/>
      <c r="D27" s="427"/>
      <c r="E27" s="428"/>
      <c r="F27" s="406">
        <v>2.4300000000000002</v>
      </c>
      <c r="G27" s="406"/>
      <c r="H27" s="406"/>
    </row>
    <row r="28" spans="1:8" ht="15.75" x14ac:dyDescent="0.25">
      <c r="A28" s="411" t="s">
        <v>150</v>
      </c>
      <c r="B28" s="412"/>
      <c r="C28" s="412"/>
      <c r="D28" s="412"/>
      <c r="E28" s="413"/>
      <c r="F28" s="414">
        <f>SUM(F26:H27)</f>
        <v>66.06</v>
      </c>
      <c r="G28" s="414"/>
      <c r="H28" s="414"/>
    </row>
    <row r="29" spans="1:8" x14ac:dyDescent="0.2">
      <c r="A29" s="415" t="s">
        <v>151</v>
      </c>
      <c r="B29" s="416"/>
      <c r="C29" s="416"/>
      <c r="D29" s="416"/>
      <c r="E29" s="417"/>
      <c r="F29" s="421">
        <f>SUM(F25,F28)</f>
        <v>81.06</v>
      </c>
      <c r="G29" s="421"/>
      <c r="H29" s="421"/>
    </row>
    <row r="30" spans="1:8" x14ac:dyDescent="0.2">
      <c r="A30" s="418"/>
      <c r="B30" s="419"/>
      <c r="C30" s="419"/>
      <c r="D30" s="419"/>
      <c r="E30" s="420"/>
      <c r="F30" s="421"/>
      <c r="G30" s="421"/>
      <c r="H30" s="42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2" t="s">
        <v>159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7" spans="2:14" x14ac:dyDescent="0.2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2.25" customHeight="1" x14ac:dyDescent="0.2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544520</v>
      </c>
      <c r="M8" s="107">
        <v>561765</v>
      </c>
      <c r="N8" s="107">
        <v>546771</v>
      </c>
    </row>
    <row r="9" spans="2:14" ht="33" customHeight="1" x14ac:dyDescent="0.2">
      <c r="B9" s="110" t="s">
        <v>173</v>
      </c>
      <c r="C9" s="107">
        <v>564170</v>
      </c>
      <c r="D9" s="107">
        <v>532072</v>
      </c>
      <c r="E9" s="107">
        <v>405239</v>
      </c>
      <c r="F9" s="107">
        <v>469130</v>
      </c>
      <c r="G9" s="107">
        <v>543877</v>
      </c>
      <c r="H9" s="107">
        <v>605744</v>
      </c>
      <c r="I9" s="107">
        <v>722083</v>
      </c>
      <c r="J9" s="107">
        <v>802210</v>
      </c>
      <c r="K9" s="107">
        <v>762933</v>
      </c>
      <c r="L9" s="107">
        <v>670848</v>
      </c>
      <c r="M9" s="107">
        <v>626451</v>
      </c>
      <c r="N9" s="107">
        <v>557392</v>
      </c>
    </row>
    <row r="10" spans="2:14" ht="33" customHeight="1" x14ac:dyDescent="0.2">
      <c r="B10" s="115" t="s">
        <v>174</v>
      </c>
      <c r="C10" s="107">
        <v>520977</v>
      </c>
      <c r="D10" s="107">
        <v>541271</v>
      </c>
      <c r="E10" s="107">
        <v>508392</v>
      </c>
      <c r="F10" s="107">
        <v>659200</v>
      </c>
      <c r="G10" s="107">
        <v>705703</v>
      </c>
      <c r="H10" s="107">
        <v>784214</v>
      </c>
      <c r="I10" s="107">
        <v>823726</v>
      </c>
      <c r="J10" s="107">
        <v>913736</v>
      </c>
      <c r="K10" s="107">
        <v>831734</v>
      </c>
      <c r="L10" s="107">
        <v>794243</v>
      </c>
      <c r="M10" s="107">
        <v>688127</v>
      </c>
      <c r="N10" s="107">
        <v>577067</v>
      </c>
    </row>
    <row r="11" spans="2:14" ht="29.25" customHeight="1" x14ac:dyDescent="0.2">
      <c r="B11" s="111" t="s">
        <v>175</v>
      </c>
      <c r="C11" s="107">
        <v>586355</v>
      </c>
      <c r="D11" s="107">
        <v>563735</v>
      </c>
      <c r="E11" s="107">
        <v>512313</v>
      </c>
      <c r="F11" s="107">
        <v>573440</v>
      </c>
      <c r="G11" s="107">
        <v>535115</v>
      </c>
      <c r="H11" s="107">
        <v>570139</v>
      </c>
      <c r="I11" s="107">
        <v>669302</v>
      </c>
      <c r="J11" s="107">
        <v>704714</v>
      </c>
      <c r="K11" s="107">
        <v>682717</v>
      </c>
      <c r="L11" s="107">
        <v>581239</v>
      </c>
      <c r="M11" s="107">
        <v>438561</v>
      </c>
      <c r="N11" s="107">
        <v>400672</v>
      </c>
    </row>
    <row r="12" spans="2:14" ht="33.75" customHeight="1" x14ac:dyDescent="0.2">
      <c r="B12" s="122" t="s">
        <v>176</v>
      </c>
      <c r="C12" s="107">
        <v>388363</v>
      </c>
      <c r="D12" s="107">
        <v>407737</v>
      </c>
      <c r="E12" s="107">
        <v>392102</v>
      </c>
      <c r="F12" s="107">
        <v>454554</v>
      </c>
      <c r="G12" s="107">
        <v>448580</v>
      </c>
      <c r="H12" s="107">
        <v>535391</v>
      </c>
      <c r="I12" s="107">
        <v>549301</v>
      </c>
      <c r="J12" s="107">
        <v>576078</v>
      </c>
      <c r="K12" s="107">
        <v>612675</v>
      </c>
      <c r="L12" s="107">
        <v>542640</v>
      </c>
      <c r="M12" s="107">
        <v>507495</v>
      </c>
      <c r="N12" s="107">
        <v>444826</v>
      </c>
    </row>
    <row r="13" spans="2:14" ht="33.75" customHeight="1" x14ac:dyDescent="0.2">
      <c r="B13" s="154" t="s">
        <v>177</v>
      </c>
      <c r="C13" s="107">
        <v>417018</v>
      </c>
      <c r="D13" s="107">
        <v>434912</v>
      </c>
      <c r="E13" s="107">
        <v>278008</v>
      </c>
      <c r="F13" s="107">
        <v>90895</v>
      </c>
      <c r="G13" s="107">
        <v>70143</v>
      </c>
      <c r="H13" s="107">
        <v>76577</v>
      </c>
      <c r="I13" s="107">
        <v>238549</v>
      </c>
      <c r="J13" s="107">
        <v>371235</v>
      </c>
      <c r="K13" s="107">
        <v>295161</v>
      </c>
      <c r="L13" s="107">
        <v>318184</v>
      </c>
      <c r="M13" s="107">
        <v>297355</v>
      </c>
      <c r="N13" s="107">
        <v>260661</v>
      </c>
    </row>
    <row r="14" spans="2:14" ht="33.75" customHeight="1" x14ac:dyDescent="0.2">
      <c r="B14" s="157" t="s">
        <v>178</v>
      </c>
      <c r="C14" s="107">
        <v>239911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 x14ac:dyDescent="0.35">
      <c r="C15" s="435" t="s">
        <v>179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 x14ac:dyDescent="0.2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28.5" customHeight="1" x14ac:dyDescent="0.2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527344.76260000002</v>
      </c>
      <c r="M18" s="107">
        <v>542887.95270000002</v>
      </c>
      <c r="N18" s="107">
        <v>530789.10450000002</v>
      </c>
    </row>
    <row r="19" spans="2:14" ht="26.25" customHeight="1" x14ac:dyDescent="0.2">
      <c r="B19" s="110" t="s">
        <v>173</v>
      </c>
      <c r="C19" s="107">
        <v>577599.26069999998</v>
      </c>
      <c r="D19" s="107">
        <v>549500.304</v>
      </c>
      <c r="E19" s="107">
        <v>437038.73300000001</v>
      </c>
      <c r="F19" s="107">
        <v>498381.28909999994</v>
      </c>
      <c r="G19" s="107">
        <v>567710.58700000006</v>
      </c>
      <c r="H19" s="107">
        <v>626665.41229999997</v>
      </c>
      <c r="I19" s="107">
        <v>732996.54229999997</v>
      </c>
      <c r="J19" s="107">
        <v>807380.11509999994</v>
      </c>
      <c r="K19" s="107">
        <v>765103.69790000003</v>
      </c>
      <c r="L19" s="107">
        <v>674808.60869999998</v>
      </c>
      <c r="M19" s="107">
        <v>636029.23249999993</v>
      </c>
      <c r="N19" s="107">
        <v>575999.90890000004</v>
      </c>
    </row>
    <row r="20" spans="2:14" ht="28.5" customHeight="1" x14ac:dyDescent="0.2">
      <c r="B20" s="115" t="s">
        <v>174</v>
      </c>
      <c r="C20" s="107">
        <v>565777.06310000003</v>
      </c>
      <c r="D20" s="107">
        <v>589465.87030000007</v>
      </c>
      <c r="E20" s="107">
        <v>559348.96649999998</v>
      </c>
      <c r="F20" s="107">
        <v>706566.82740000007</v>
      </c>
      <c r="G20" s="107">
        <v>750048.77370000002</v>
      </c>
      <c r="H20" s="107">
        <v>823657.03619999997</v>
      </c>
      <c r="I20" s="107">
        <v>863911.20730000001</v>
      </c>
      <c r="J20" s="107">
        <v>948371.73810000008</v>
      </c>
      <c r="K20" s="107">
        <v>870086.49040000001</v>
      </c>
      <c r="L20" s="107">
        <v>828237.32940000005</v>
      </c>
      <c r="M20" s="107">
        <v>728226.36450000003</v>
      </c>
      <c r="N20" s="107">
        <v>620794.43210000009</v>
      </c>
    </row>
    <row r="21" spans="2:14" ht="30" customHeight="1" x14ac:dyDescent="0.2">
      <c r="B21" s="111" t="s">
        <v>175</v>
      </c>
      <c r="C21" s="107">
        <v>629018.45440000005</v>
      </c>
      <c r="D21" s="107">
        <v>609232.05440000002</v>
      </c>
      <c r="E21" s="107">
        <v>564099.54039999994</v>
      </c>
      <c r="F21" s="107">
        <v>625412.74040000001</v>
      </c>
      <c r="G21" s="107">
        <v>591310.6496</v>
      </c>
      <c r="H21" s="107">
        <v>627578.14100000006</v>
      </c>
      <c r="I21" s="107">
        <v>723790.51</v>
      </c>
      <c r="J21" s="107">
        <v>756208.25020000001</v>
      </c>
      <c r="K21" s="107">
        <v>734211.55240000004</v>
      </c>
      <c r="L21" s="107">
        <v>634725.01650000003</v>
      </c>
      <c r="M21" s="107">
        <v>492313.53600000002</v>
      </c>
      <c r="N21" s="107">
        <v>430486.08379999996</v>
      </c>
    </row>
    <row r="22" spans="2:14" ht="32.25" customHeight="1" x14ac:dyDescent="0.2">
      <c r="B22" s="122" t="s">
        <v>176</v>
      </c>
      <c r="C22" s="107">
        <v>417767.50199999998</v>
      </c>
      <c r="D22" s="107">
        <v>437511.45040000003</v>
      </c>
      <c r="E22" s="107">
        <v>422948.91399999999</v>
      </c>
      <c r="F22" s="107">
        <v>483026.4265</v>
      </c>
      <c r="G22" s="107">
        <v>494466.65997999994</v>
      </c>
      <c r="H22" s="107">
        <v>589026.66199500009</v>
      </c>
      <c r="I22" s="107">
        <v>597445.77220000012</v>
      </c>
      <c r="J22" s="107">
        <v>624719.21129500004</v>
      </c>
      <c r="K22" s="107">
        <v>662255.2733900001</v>
      </c>
      <c r="L22" s="107">
        <v>572138.68634500005</v>
      </c>
      <c r="M22" s="107">
        <v>536725.71495000005</v>
      </c>
      <c r="N22" s="107">
        <v>473017.45039999997</v>
      </c>
    </row>
    <row r="23" spans="2:14" ht="32.25" customHeight="1" x14ac:dyDescent="0.2">
      <c r="B23" s="154" t="s">
        <v>177</v>
      </c>
      <c r="C23" s="107">
        <v>445089.4596</v>
      </c>
      <c r="D23" s="107">
        <v>464838.33001999994</v>
      </c>
      <c r="E23" s="107">
        <v>310234.47700000001</v>
      </c>
      <c r="F23" s="107">
        <v>132086.1189</v>
      </c>
      <c r="G23" s="107">
        <v>81934.237999999998</v>
      </c>
      <c r="H23" s="107">
        <v>88016.122900000017</v>
      </c>
      <c r="I23" s="107">
        <v>290744.43883500004</v>
      </c>
      <c r="J23" s="107">
        <v>372885.53719999996</v>
      </c>
      <c r="K23" s="107">
        <v>328998.32740000001</v>
      </c>
      <c r="L23" s="107">
        <v>350713.83590000001</v>
      </c>
      <c r="M23" s="107">
        <v>329624.08839999995</v>
      </c>
      <c r="N23" s="107">
        <v>294931.19809999998</v>
      </c>
    </row>
    <row r="24" spans="2:14" ht="32.25" customHeight="1" x14ac:dyDescent="0.2">
      <c r="B24" s="157" t="s">
        <v>178</v>
      </c>
      <c r="C24" s="107">
        <v>274561.56439999997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2" t="s">
        <v>180</v>
      </c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2"/>
    </row>
    <row r="6" spans="2:14" ht="21" customHeight="1" x14ac:dyDescent="0.2"/>
    <row r="7" spans="2:14" x14ac:dyDescent="0.2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" customHeight="1" x14ac:dyDescent="0.2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/>
      <c r="M8" s="107">
        <v>3298</v>
      </c>
      <c r="N8" s="107">
        <v>3866</v>
      </c>
    </row>
    <row r="9" spans="2:14" ht="39" customHeight="1" x14ac:dyDescent="0.2">
      <c r="B9" s="110" t="s">
        <v>173</v>
      </c>
      <c r="C9" s="107">
        <v>4094</v>
      </c>
      <c r="D9" s="107">
        <v>3691</v>
      </c>
      <c r="E9" s="107">
        <v>3917</v>
      </c>
      <c r="F9" s="107">
        <v>4785</v>
      </c>
      <c r="G9" s="107">
        <v>5213</v>
      </c>
      <c r="H9" s="107">
        <v>4103</v>
      </c>
      <c r="I9" s="107">
        <v>5622</v>
      </c>
      <c r="J9" s="107">
        <v>6568</v>
      </c>
      <c r="K9" s="107">
        <v>4813</v>
      </c>
      <c r="L9" s="107">
        <v>6088</v>
      </c>
      <c r="M9" s="107">
        <v>4819</v>
      </c>
      <c r="N9" s="107">
        <v>5252</v>
      </c>
    </row>
    <row r="10" spans="2:14" ht="36" customHeight="1" x14ac:dyDescent="0.2">
      <c r="B10" s="115" t="s">
        <v>174</v>
      </c>
      <c r="C10" s="107">
        <v>5132</v>
      </c>
      <c r="D10" s="107">
        <v>4589</v>
      </c>
      <c r="E10" s="107">
        <v>6190</v>
      </c>
      <c r="F10" s="107">
        <v>6170</v>
      </c>
      <c r="G10" s="107">
        <v>5980</v>
      </c>
      <c r="H10" s="107">
        <v>6097.8</v>
      </c>
      <c r="I10" s="107">
        <v>7050</v>
      </c>
      <c r="J10" s="107">
        <v>8050</v>
      </c>
      <c r="K10" s="107">
        <v>6678</v>
      </c>
      <c r="L10" s="107">
        <v>6859</v>
      </c>
      <c r="M10" s="107">
        <v>5960</v>
      </c>
      <c r="N10" s="107">
        <v>5210.0999999999985</v>
      </c>
    </row>
    <row r="11" spans="2:14" ht="36.75" customHeight="1" x14ac:dyDescent="0.2">
      <c r="B11" s="111" t="s">
        <v>175</v>
      </c>
      <c r="C11" s="107">
        <v>5598.9000000000015</v>
      </c>
      <c r="D11" s="107">
        <v>5297</v>
      </c>
      <c r="E11" s="107">
        <v>5857</v>
      </c>
      <c r="F11" s="107">
        <v>6284</v>
      </c>
      <c r="G11" s="107">
        <v>5500</v>
      </c>
      <c r="H11" s="107">
        <v>5583.8000000000029</v>
      </c>
      <c r="I11" s="107">
        <v>6266.8999999999942</v>
      </c>
      <c r="J11" s="107">
        <v>6178.3000000000029</v>
      </c>
      <c r="K11" s="107">
        <v>6144.5</v>
      </c>
      <c r="L11" s="107">
        <v>6117.5</v>
      </c>
      <c r="M11" s="107">
        <v>5023</v>
      </c>
      <c r="N11" s="107">
        <v>4767.8</v>
      </c>
    </row>
    <row r="12" spans="2:14" ht="33.75" customHeight="1" x14ac:dyDescent="0.2">
      <c r="B12" s="122" t="s">
        <v>176</v>
      </c>
      <c r="C12" s="107">
        <v>5044.8</v>
      </c>
      <c r="D12" s="107">
        <v>5061</v>
      </c>
      <c r="E12" s="107">
        <v>5504</v>
      </c>
      <c r="F12" s="107">
        <v>5372.2999999999993</v>
      </c>
      <c r="G12" s="107">
        <v>4507.2999999999993</v>
      </c>
      <c r="H12" s="107">
        <v>5269.2000000000044</v>
      </c>
      <c r="I12" s="107">
        <v>5509.1999999999971</v>
      </c>
      <c r="J12" s="107">
        <v>5601</v>
      </c>
      <c r="K12" s="107">
        <v>5387</v>
      </c>
      <c r="L12" s="107">
        <v>6051</v>
      </c>
      <c r="M12" s="107">
        <v>5532</v>
      </c>
      <c r="N12" s="107">
        <v>5565.1999999999971</v>
      </c>
    </row>
    <row r="13" spans="2:14" ht="33.75" customHeight="1" x14ac:dyDescent="0.2">
      <c r="B13" s="154" t="s">
        <v>177</v>
      </c>
      <c r="C13" s="107">
        <v>5763.4000000000087</v>
      </c>
      <c r="D13" s="107">
        <v>5632.3999999999942</v>
      </c>
      <c r="E13" s="107">
        <v>3058.6999999999971</v>
      </c>
      <c r="F13" s="107">
        <v>714.5</v>
      </c>
      <c r="G13" s="107">
        <v>439.80000000000291</v>
      </c>
      <c r="H13" s="107">
        <v>1383.3999999999942</v>
      </c>
      <c r="I13" s="107">
        <v>3491.8000000000029</v>
      </c>
      <c r="J13" s="107">
        <v>2618.6999999999971</v>
      </c>
      <c r="K13" s="107">
        <v>1829.7000000000116</v>
      </c>
      <c r="L13" s="107">
        <v>3000</v>
      </c>
      <c r="M13" s="107">
        <v>1896</v>
      </c>
      <c r="N13" s="107">
        <v>1780.5999999999913</v>
      </c>
    </row>
    <row r="14" spans="2:14" ht="33.75" customHeight="1" x14ac:dyDescent="0.2">
      <c r="B14" s="157" t="s">
        <v>178</v>
      </c>
      <c r="C14" s="107">
        <v>2083.1999999999971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 x14ac:dyDescent="0.35">
      <c r="C15" s="435" t="s">
        <v>181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5" ht="18" customHeight="1" x14ac:dyDescent="0.2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5" ht="30" customHeight="1" x14ac:dyDescent="0.2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/>
      <c r="M18" s="107">
        <v>43165.84</v>
      </c>
      <c r="N18" s="107">
        <v>50595.28</v>
      </c>
    </row>
    <row r="19" spans="2:15" ht="31.5" customHeight="1" x14ac:dyDescent="0.2">
      <c r="B19" s="110" t="s">
        <v>173</v>
      </c>
      <c r="C19" s="107">
        <v>53565.520000000004</v>
      </c>
      <c r="D19" s="107">
        <v>48294.28</v>
      </c>
      <c r="E19" s="107">
        <v>51250.36</v>
      </c>
      <c r="F19" s="107">
        <v>62603.8</v>
      </c>
      <c r="G19" s="107">
        <v>68202.040000000008</v>
      </c>
      <c r="H19" s="107">
        <v>53683.240000000005</v>
      </c>
      <c r="I19" s="107">
        <v>73551.760000000009</v>
      </c>
      <c r="J19" s="107">
        <v>85925.440000000002</v>
      </c>
      <c r="K19" s="107">
        <v>57158.52</v>
      </c>
      <c r="L19" s="107">
        <v>67234.52</v>
      </c>
      <c r="M19" s="107">
        <v>53224.76</v>
      </c>
      <c r="N19" s="107">
        <v>58005.08</v>
      </c>
    </row>
    <row r="20" spans="2:15" ht="34.5" customHeight="1" x14ac:dyDescent="0.2">
      <c r="B20" s="115" t="s">
        <v>174</v>
      </c>
      <c r="C20" s="107">
        <v>56680.28</v>
      </c>
      <c r="D20" s="107">
        <v>50685.56</v>
      </c>
      <c r="E20" s="107">
        <v>68360.600000000006</v>
      </c>
      <c r="F20" s="107">
        <v>68139.8</v>
      </c>
      <c r="G20" s="107">
        <v>66042.2</v>
      </c>
      <c r="H20" s="107">
        <v>67342.712</v>
      </c>
      <c r="I20" s="107">
        <v>77855</v>
      </c>
      <c r="J20" s="107">
        <v>88895</v>
      </c>
      <c r="K20" s="107">
        <v>73748.12</v>
      </c>
      <c r="L20" s="107">
        <v>75746.36</v>
      </c>
      <c r="M20" s="107">
        <v>65821.399999999994</v>
      </c>
      <c r="N20" s="107">
        <v>57542.503999999986</v>
      </c>
    </row>
    <row r="21" spans="2:15" ht="36" customHeight="1" x14ac:dyDescent="0.2">
      <c r="B21" s="111" t="s">
        <v>175</v>
      </c>
      <c r="C21" s="107">
        <v>61834.856000000014</v>
      </c>
      <c r="D21" s="107">
        <v>58501.880000000005</v>
      </c>
      <c r="E21" s="107">
        <v>64684.28</v>
      </c>
      <c r="F21" s="107">
        <v>69398.36</v>
      </c>
      <c r="G21" s="107">
        <v>60743</v>
      </c>
      <c r="H21" s="107">
        <v>61668.152000000031</v>
      </c>
      <c r="I21" s="107">
        <v>69209.575999999943</v>
      </c>
      <c r="J21" s="107">
        <v>68231.43200000003</v>
      </c>
      <c r="K21" s="107">
        <v>67858.28</v>
      </c>
      <c r="L21" s="107">
        <v>67560.2</v>
      </c>
      <c r="M21" s="107">
        <v>55476.92</v>
      </c>
      <c r="N21" s="107">
        <v>52659.512000000002</v>
      </c>
    </row>
    <row r="22" spans="2:15" ht="32.25" customHeight="1" x14ac:dyDescent="0.2">
      <c r="B22" s="122" t="s">
        <v>176</v>
      </c>
      <c r="C22" s="107">
        <v>55717.592000000004</v>
      </c>
      <c r="D22" s="107">
        <v>57718.399999999994</v>
      </c>
      <c r="E22" s="107">
        <v>62768.599999999991</v>
      </c>
      <c r="F22" s="107">
        <v>61267.219999999987</v>
      </c>
      <c r="G22" s="107">
        <v>51406.219999999987</v>
      </c>
      <c r="H22" s="107">
        <v>60091.880000000041</v>
      </c>
      <c r="I22" s="107">
        <v>62827.879999999961</v>
      </c>
      <c r="J22" s="107">
        <v>63874.400000000001</v>
      </c>
      <c r="K22" s="107">
        <v>61434.799999999996</v>
      </c>
      <c r="L22" s="107">
        <v>69004.399999999994</v>
      </c>
      <c r="M22" s="107">
        <v>63087.799999999996</v>
      </c>
      <c r="N22" s="107">
        <v>63466.279999999962</v>
      </c>
    </row>
    <row r="23" spans="2:15" ht="32.25" customHeight="1" x14ac:dyDescent="0.2">
      <c r="B23" s="154" t="s">
        <v>177</v>
      </c>
      <c r="C23" s="107">
        <v>65725.760000000097</v>
      </c>
      <c r="D23" s="107">
        <v>64232.359999999928</v>
      </c>
      <c r="E23" s="107">
        <v>34892.179999999964</v>
      </c>
      <c r="F23" s="107">
        <v>8168.2999999999993</v>
      </c>
      <c r="G23" s="107">
        <v>5036.7200000000321</v>
      </c>
      <c r="H23" s="107">
        <v>15793.759999999933</v>
      </c>
      <c r="I23" s="107">
        <v>39829.519999999997</v>
      </c>
      <c r="J23" s="107">
        <v>29876.179999999964</v>
      </c>
      <c r="K23" s="107">
        <v>20881.580000000129</v>
      </c>
      <c r="L23" s="107">
        <v>34223</v>
      </c>
      <c r="M23" s="107">
        <v>21637.4</v>
      </c>
      <c r="N23" s="107">
        <v>20321.839999999898</v>
      </c>
    </row>
    <row r="24" spans="2:15" ht="32.25" customHeight="1" x14ac:dyDescent="0.2">
      <c r="B24" s="157" t="s">
        <v>178</v>
      </c>
      <c r="C24" s="107">
        <v>23771.479999999963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2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3.25" customHeight="1" x14ac:dyDescent="0.2"/>
    <row r="7" spans="2:14" x14ac:dyDescent="0.2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.75" customHeight="1" x14ac:dyDescent="0.2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19365</v>
      </c>
      <c r="M8" s="107">
        <v>21235</v>
      </c>
      <c r="N8" s="107">
        <v>34053</v>
      </c>
    </row>
    <row r="9" spans="2:14" ht="35.25" customHeight="1" x14ac:dyDescent="0.2">
      <c r="B9" s="110" t="s">
        <v>173</v>
      </c>
      <c r="C9" s="107">
        <v>23598</v>
      </c>
      <c r="D9" s="107">
        <v>28302</v>
      </c>
      <c r="E9" s="107">
        <v>23000</v>
      </c>
      <c r="F9" s="107">
        <v>28601</v>
      </c>
      <c r="G9" s="107">
        <v>24612</v>
      </c>
      <c r="H9" s="107">
        <v>16695</v>
      </c>
      <c r="I9" s="107">
        <v>10756</v>
      </c>
      <c r="J9" s="107">
        <v>14749</v>
      </c>
      <c r="K9" s="107">
        <v>18297</v>
      </c>
      <c r="L9" s="107">
        <v>20801</v>
      </c>
      <c r="M9" s="107">
        <v>22927</v>
      </c>
      <c r="N9" s="107">
        <v>38265</v>
      </c>
    </row>
    <row r="10" spans="2:14" ht="32.25" customHeight="1" x14ac:dyDescent="0.2">
      <c r="B10" s="115" t="s">
        <v>174</v>
      </c>
      <c r="C10" s="107">
        <v>39843</v>
      </c>
      <c r="D10" s="107">
        <v>27644</v>
      </c>
      <c r="E10" s="107">
        <v>31207</v>
      </c>
      <c r="F10" s="107">
        <v>34231</v>
      </c>
      <c r="G10" s="107">
        <v>21149.420000000002</v>
      </c>
      <c r="H10" s="107">
        <v>19502</v>
      </c>
      <c r="I10" s="107">
        <v>22293</v>
      </c>
      <c r="J10" s="107">
        <v>21244</v>
      </c>
      <c r="K10" s="107">
        <v>20201</v>
      </c>
      <c r="L10" s="107">
        <v>21000</v>
      </c>
      <c r="M10" s="107">
        <v>30135</v>
      </c>
      <c r="N10" s="107">
        <v>28841</v>
      </c>
    </row>
    <row r="11" spans="2:14" ht="34.5" customHeight="1" x14ac:dyDescent="0.2">
      <c r="B11" s="111" t="s">
        <v>175</v>
      </c>
      <c r="C11" s="107">
        <v>33210.620000000003</v>
      </c>
      <c r="D11" s="107">
        <v>27328.669000000002</v>
      </c>
      <c r="E11" s="107">
        <v>22296.292000000001</v>
      </c>
      <c r="F11" s="107">
        <v>18205.006000000001</v>
      </c>
      <c r="G11" s="107">
        <v>16641.811000000002</v>
      </c>
      <c r="H11" s="107">
        <v>17087.758000000002</v>
      </c>
      <c r="I11" s="107">
        <v>13220.239000000001</v>
      </c>
      <c r="J11" s="107">
        <v>15457.909000000001</v>
      </c>
      <c r="K11" s="107">
        <v>10651.944000000001</v>
      </c>
      <c r="L11" s="107">
        <v>13951.846000000001</v>
      </c>
      <c r="M11" s="107">
        <v>24676.263000000003</v>
      </c>
      <c r="N11" s="107">
        <v>21781.575000000001</v>
      </c>
    </row>
    <row r="12" spans="2:14" ht="36.75" customHeight="1" x14ac:dyDescent="0.2">
      <c r="B12" s="122" t="s">
        <v>176</v>
      </c>
      <c r="C12" s="107">
        <v>26669.535</v>
      </c>
      <c r="D12" s="107">
        <v>26601.294000000002</v>
      </c>
      <c r="E12" s="107">
        <v>23114.126</v>
      </c>
      <c r="F12" s="107">
        <v>20873.811000000002</v>
      </c>
      <c r="G12" s="107">
        <v>14596.168000000001</v>
      </c>
      <c r="H12" s="107">
        <v>10659.35</v>
      </c>
      <c r="I12" s="107">
        <v>18584.299000000003</v>
      </c>
      <c r="J12" s="107">
        <v>10559.897999999999</v>
      </c>
      <c r="K12" s="107">
        <v>8546.5240000000013</v>
      </c>
      <c r="L12" s="107">
        <v>17517.306</v>
      </c>
      <c r="M12" s="107">
        <v>20452.198</v>
      </c>
      <c r="N12" s="107">
        <v>27341.365000000002</v>
      </c>
    </row>
    <row r="13" spans="2:14" ht="36.75" customHeight="1" x14ac:dyDescent="0.2">
      <c r="B13" s="154" t="s">
        <v>177</v>
      </c>
      <c r="C13" s="107">
        <v>30735.958000000002</v>
      </c>
      <c r="D13" s="107">
        <v>21724.442999999999</v>
      </c>
      <c r="E13" s="107">
        <v>11128.573</v>
      </c>
      <c r="F13" s="107">
        <v>4506.0219999999999</v>
      </c>
      <c r="G13" s="107">
        <v>0</v>
      </c>
      <c r="H13" s="107">
        <v>2998.3720000000003</v>
      </c>
      <c r="I13" s="107">
        <v>8663.5590000000011</v>
      </c>
      <c r="J13" s="107">
        <v>4731.9050000000007</v>
      </c>
      <c r="K13" s="107">
        <v>4832.415</v>
      </c>
      <c r="L13" s="107">
        <v>13092.221000000001</v>
      </c>
      <c r="M13" s="107">
        <v>17284.017</v>
      </c>
      <c r="N13" s="107">
        <v>16432.856</v>
      </c>
    </row>
    <row r="14" spans="2:14" ht="36.75" customHeight="1" x14ac:dyDescent="0.2">
      <c r="B14" s="157" t="s">
        <v>178</v>
      </c>
      <c r="C14" s="107">
        <v>16222.314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 x14ac:dyDescent="0.35">
      <c r="C15" s="435" t="s">
        <v>183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 ht="17.25" customHeight="1" x14ac:dyDescent="0.2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30" customHeight="1" x14ac:dyDescent="0.2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222503.85</v>
      </c>
      <c r="M18" s="107">
        <v>248385.8</v>
      </c>
      <c r="N18" s="107">
        <v>412790.47</v>
      </c>
    </row>
    <row r="19" spans="2:14" ht="30" customHeight="1" x14ac:dyDescent="0.2">
      <c r="B19" s="110" t="s">
        <v>173</v>
      </c>
      <c r="C19" s="107">
        <v>281335.36</v>
      </c>
      <c r="D19" s="107">
        <v>329491.88</v>
      </c>
      <c r="E19" s="112">
        <v>263166</v>
      </c>
      <c r="F19" s="107">
        <v>334402.89</v>
      </c>
      <c r="G19" s="107">
        <v>287763.5</v>
      </c>
      <c r="H19" s="107">
        <v>200206.44</v>
      </c>
      <c r="I19" s="107">
        <v>128985.95</v>
      </c>
      <c r="J19" s="107">
        <v>174687.16</v>
      </c>
      <c r="K19" s="107">
        <v>221708.41</v>
      </c>
      <c r="L19" s="107">
        <v>257125.33</v>
      </c>
      <c r="M19" s="107">
        <v>290283.33</v>
      </c>
      <c r="N19" s="107">
        <v>491751.17</v>
      </c>
    </row>
    <row r="20" spans="2:14" ht="38.25" customHeight="1" x14ac:dyDescent="0.2">
      <c r="B20" s="115" t="s">
        <v>174</v>
      </c>
      <c r="C20" s="107">
        <v>534222.91</v>
      </c>
      <c r="D20" s="107">
        <v>397841.39</v>
      </c>
      <c r="E20" s="112">
        <v>463317.85</v>
      </c>
      <c r="F20" s="107">
        <v>473982.96</v>
      </c>
      <c r="G20" s="107">
        <v>288617.67497200001</v>
      </c>
      <c r="H20" s="107">
        <v>262138.08</v>
      </c>
      <c r="I20" s="107">
        <v>290959.32</v>
      </c>
      <c r="J20" s="107">
        <v>277268.19</v>
      </c>
      <c r="K20" s="107">
        <v>269109.64</v>
      </c>
      <c r="L20" s="107">
        <v>279753.59999999998</v>
      </c>
      <c r="M20" s="107">
        <v>411233.26</v>
      </c>
      <c r="N20" s="107">
        <v>393575.4632766</v>
      </c>
    </row>
    <row r="21" spans="2:14" ht="36" customHeight="1" x14ac:dyDescent="0.2">
      <c r="B21" s="111" t="s">
        <v>175</v>
      </c>
      <c r="C21" s="107">
        <v>433913.35561000003</v>
      </c>
      <c r="D21" s="107">
        <v>365261.32551950007</v>
      </c>
      <c r="E21" s="107">
        <v>291312.20312600001</v>
      </c>
      <c r="F21" s="107">
        <v>213834.17997540004</v>
      </c>
      <c r="G21" s="107">
        <v>197886.11041990001</v>
      </c>
      <c r="H21" s="107">
        <v>143537.16720000003</v>
      </c>
      <c r="I21" s="107">
        <v>111050.00760000001</v>
      </c>
      <c r="J21" s="107">
        <v>129846.43560000001</v>
      </c>
      <c r="K21" s="107">
        <v>97997.8848</v>
      </c>
      <c r="L21" s="107">
        <v>117195.50640000001</v>
      </c>
      <c r="M21" s="107">
        <v>207280.60920000004</v>
      </c>
      <c r="N21" s="107">
        <v>182965.23</v>
      </c>
    </row>
    <row r="22" spans="2:14" ht="36.75" customHeight="1" x14ac:dyDescent="0.2">
      <c r="B22" s="122" t="s">
        <v>176</v>
      </c>
      <c r="C22" s="107">
        <v>224024.09400000001</v>
      </c>
      <c r="D22" s="107">
        <v>223450.86960000003</v>
      </c>
      <c r="E22" s="107">
        <v>209182.84030000001</v>
      </c>
      <c r="F22" s="107">
        <v>188907.98955000003</v>
      </c>
      <c r="G22" s="107">
        <v>129176.0868</v>
      </c>
      <c r="H22" s="107">
        <v>94335.247499999998</v>
      </c>
      <c r="I22" s="107">
        <v>144957.53220000002</v>
      </c>
      <c r="J22" s="107">
        <v>77405.108330000003</v>
      </c>
      <c r="K22" s="107">
        <v>62646.875572400008</v>
      </c>
      <c r="L22" s="107">
        <v>128403.6047106</v>
      </c>
      <c r="M22" s="107">
        <v>149916.6565598</v>
      </c>
      <c r="N22" s="107">
        <v>217831.38909150002</v>
      </c>
    </row>
    <row r="23" spans="2:14" ht="36.75" customHeight="1" x14ac:dyDescent="0.2">
      <c r="B23" s="154" t="s">
        <v>177</v>
      </c>
      <c r="C23" s="107">
        <v>244876.45098180004</v>
      </c>
      <c r="D23" s="107">
        <v>193260.64492800002</v>
      </c>
      <c r="E23" s="107">
        <v>87871.212408000007</v>
      </c>
      <c r="F23" s="107">
        <v>35579.549712</v>
      </c>
      <c r="G23" s="107">
        <v>0</v>
      </c>
      <c r="H23" s="107">
        <v>23675.145312000001</v>
      </c>
      <c r="I23" s="107">
        <v>72782.559159000011</v>
      </c>
      <c r="J23" s="107">
        <v>40462.519659999998</v>
      </c>
      <c r="K23" s="107">
        <v>41321.980665000003</v>
      </c>
      <c r="L23" s="107">
        <v>111951.58177100001</v>
      </c>
      <c r="M23" s="107">
        <v>151252.43276699999</v>
      </c>
      <c r="N23" s="107">
        <v>147090.494056</v>
      </c>
    </row>
    <row r="24" spans="2:14" ht="36.75" customHeight="1" x14ac:dyDescent="0.2">
      <c r="B24" s="157" t="s">
        <v>178</v>
      </c>
      <c r="C24" s="107">
        <v>175249.65814200003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2023-02-20T12:22:09Z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