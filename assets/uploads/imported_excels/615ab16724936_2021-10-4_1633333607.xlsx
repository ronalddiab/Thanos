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W7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E2" i="9"/>
  <c r="Q38" i="7"/>
  <c r="AO7" i="7"/>
  <c r="Z38" i="7"/>
  <c r="J2" i="9"/>
  <c r="V38" i="7"/>
  <c r="I2" i="9"/>
  <c r="U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K38" i="7" s="1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AH38" i="7" s="1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L38" i="7"/>
  <c r="AJ38" i="7"/>
  <c r="AI38" i="7"/>
  <c r="AR38" i="7"/>
  <c r="AP38" i="7"/>
  <c r="AO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<sst xmlns="http://schemas.openxmlformats.org/spreadsheetml/2006/main" count="128" uniqueCount="49">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</sst>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58620</v>
      </c>
      <c r="F2" s="11">
        <v>5.0000000000000001E-3</v>
      </c>
      <c r="G2" s="12">
        <f>Submetering!R2</f>
        <v>691.21586600000001</v>
      </c>
      <c r="H2" s="11">
        <v>0.52800000000000002</v>
      </c>
      <c r="I2" s="12">
        <f>Hotel!B7</f>
        <v>151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72480</v>
      </c>
      <c r="F3" s="11">
        <v>5.0000000000000001E-3</v>
      </c>
      <c r="G3" s="12">
        <f>Submetering!R3</f>
        <v>952.78769699999998</v>
      </c>
      <c r="H3" s="11">
        <v>0.52800000000000002</v>
      </c>
      <c r="I3" s="12">
        <f>Hotel!B8</f>
        <v>92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62910</v>
      </c>
      <c r="F4" s="11">
        <v>5.0000000000000001E-3</v>
      </c>
      <c r="G4" s="12">
        <f>Submetering!R4</f>
        <v>928.93961399999989</v>
      </c>
      <c r="H4" s="11">
        <v>0.52800000000000002</v>
      </c>
      <c r="I4" s="12">
        <f>Hotel!B9</f>
        <v>129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2021</v>
      </c>
      <c r="E2" s="4">
        <f>Hotel!Q7</f>
        <v>7970</v>
      </c>
      <c r="F2" s="4">
        <f>Hotel!R7</f>
        <v>10930</v>
      </c>
      <c r="G2" s="4">
        <f>Hotel!S7</f>
        <v>110</v>
      </c>
      <c r="H2" s="4">
        <f>Hotel!T7</f>
        <v>1440</v>
      </c>
      <c r="I2" s="4">
        <f>Hotel!U7</f>
        <v>4030</v>
      </c>
      <c r="J2" s="4">
        <f>Hotel!V7</f>
        <v>3380</v>
      </c>
      <c r="K2" s="4">
        <f>Hotel!W7</f>
        <v>1880</v>
      </c>
      <c r="L2" s="4">
        <f>Hotel!X7</f>
        <v>4180</v>
      </c>
      <c r="M2" s="4">
        <f>Hotel!Y7</f>
        <v>4970</v>
      </c>
      <c r="N2" s="4">
        <f>Hotel!Z7</f>
        <v>2390</v>
      </c>
      <c r="O2" s="4">
        <f>Hotel!AA7</f>
        <v>2950</v>
      </c>
      <c r="P2" s="4">
        <f>Hotel!AB7</f>
        <v>6150</v>
      </c>
      <c r="Q2" s="4">
        <f>Hotel!AC7</f>
        <v>8240</v>
      </c>
      <c r="R2" s="4">
        <f>Hotel!AV7*0.00378541*100</f>
        <v>691.21586600000001</v>
      </c>
      <c r="S2" s="4">
        <f>Hotel!B7</f>
        <v>151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2021</v>
      </c>
      <c r="E3" s="4">
        <f>Hotel!Q8</f>
        <v>10150</v>
      </c>
      <c r="F3" s="4">
        <f>Hotel!R8</f>
        <v>13180</v>
      </c>
      <c r="G3" s="4">
        <f>Hotel!S8</f>
        <v>120</v>
      </c>
      <c r="H3" s="4">
        <f>Hotel!T8</f>
        <v>1760</v>
      </c>
      <c r="I3" s="4">
        <f>Hotel!U8</f>
        <v>4870</v>
      </c>
      <c r="J3" s="4">
        <f>Hotel!V8</f>
        <v>4000</v>
      </c>
      <c r="K3" s="4">
        <f>Hotel!W8</f>
        <v>2340</v>
      </c>
      <c r="L3" s="4">
        <f>Hotel!X8</f>
        <v>4680</v>
      </c>
      <c r="M3" s="4">
        <f>Hotel!Y8</f>
        <v>5880</v>
      </c>
      <c r="N3" s="4">
        <f>Hotel!Z8</f>
        <v>2790</v>
      </c>
      <c r="O3" s="4">
        <f>Hotel!AA8</f>
        <v>3410</v>
      </c>
      <c r="P3" s="4">
        <f>Hotel!AB8</f>
        <v>7490</v>
      </c>
      <c r="Q3" s="4">
        <f>Hotel!AC8</f>
        <v>11810</v>
      </c>
      <c r="R3" s="4">
        <f>Hotel!AV8*0.00378541*100</f>
        <v>952.78769699999998</v>
      </c>
      <c r="S3" s="4">
        <f>Hotel!B8</f>
        <v>92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2021</v>
      </c>
      <c r="E4" s="4">
        <f>Hotel!Q9</f>
        <v>9210</v>
      </c>
      <c r="F4" s="4">
        <f>Hotel!R9</f>
        <v>11800</v>
      </c>
      <c r="G4" s="4">
        <f>Hotel!S9</f>
        <v>110</v>
      </c>
      <c r="H4" s="4">
        <f>Hotel!T9</f>
        <v>1580</v>
      </c>
      <c r="I4" s="4">
        <f>Hotel!U9</f>
        <v>4000</v>
      </c>
      <c r="J4" s="4">
        <f>Hotel!V9</f>
        <v>3160</v>
      </c>
      <c r="K4" s="4">
        <f>Hotel!W9</f>
        <v>2080</v>
      </c>
      <c r="L4" s="4">
        <f>Hotel!X9</f>
        <v>3950</v>
      </c>
      <c r="M4" s="4">
        <f>Hotel!Y9</f>
        <v>4960</v>
      </c>
      <c r="N4" s="4">
        <f>Hotel!Z9</f>
        <v>2410</v>
      </c>
      <c r="O4" s="4">
        <f>Hotel!AA9</f>
        <v>2980</v>
      </c>
      <c r="P4" s="4">
        <f>Hotel!AB9</f>
        <v>6580</v>
      </c>
      <c r="Q4" s="4">
        <f>Hotel!AC9</f>
        <v>10090</v>
      </c>
      <c r="R4" s="4">
        <f>Hotel!AV9*0.00378541*100</f>
        <v>928.93961399999989</v>
      </c>
      <c r="S4" s="4">
        <f>Hotel!B9</f>
        <v>129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2021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2021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K23" sqref="AK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44469</v>
      </c>
      <c r="B2" s="40">
        <v>133</v>
      </c>
      <c r="C2" s="24">
        <v>7086550</v>
      </c>
      <c r="D2" s="24">
        <v>17191060</v>
      </c>
      <c r="E2" s="24">
        <v>3057000</v>
      </c>
      <c r="F2" s="24">
        <v>3677390</v>
      </c>
      <c r="G2" s="24">
        <v>10863320</v>
      </c>
      <c r="H2" s="24">
        <v>5913660</v>
      </c>
      <c r="I2" s="24">
        <v>5346370</v>
      </c>
      <c r="J2" s="52">
        <v>6392190</v>
      </c>
      <c r="K2" s="24">
        <v>9788050</v>
      </c>
      <c r="L2" s="24">
        <v>4125950</v>
      </c>
      <c r="M2" s="24">
        <v>8250320</v>
      </c>
      <c r="N2" s="24">
        <v>12848170</v>
      </c>
      <c r="O2" s="24">
        <v>17711620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268829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268829</v>
      </c>
    </row>
    <row r="7" spans="1:49" x14ac:dyDescent="0.25">
      <c r="A7" s="23">
        <v>44470</v>
      </c>
      <c r="B7" s="40">
        <v>151</v>
      </c>
      <c r="C7" s="24">
        <v>7094520</v>
      </c>
      <c r="D7" s="24">
        <v>17201990</v>
      </c>
      <c r="E7" s="24">
        <v>3057110</v>
      </c>
      <c r="F7" s="24">
        <v>3678830</v>
      </c>
      <c r="G7" s="24">
        <v>10867350</v>
      </c>
      <c r="H7" s="24">
        <v>5917040</v>
      </c>
      <c r="I7" s="24">
        <v>5348250</v>
      </c>
      <c r="J7" s="24">
        <v>6396370</v>
      </c>
      <c r="K7" s="24">
        <v>9793020</v>
      </c>
      <c r="L7" s="24">
        <v>4128340</v>
      </c>
      <c r="M7" s="24">
        <v>8253270</v>
      </c>
      <c r="N7" s="24">
        <v>12854320</v>
      </c>
      <c r="O7" s="24">
        <v>17719860</v>
      </c>
      <c r="Q7" s="37">
        <f>IF((C7-C2&lt;0), "0",C7-C2)</f>
        <v>7970</v>
      </c>
      <c r="R7" s="37">
        <f t="shared" ref="R7:AC7" si="0">IF((D7-D2&lt;0), "0",D7-D2)</f>
        <v>10930</v>
      </c>
      <c r="S7" s="37">
        <f>IF((E7-E2&lt;0), "0",E7-E2)</f>
        <v>110</v>
      </c>
      <c r="T7" s="37">
        <f t="shared" si="0"/>
        <v>1440</v>
      </c>
      <c r="U7" s="37">
        <f t="shared" si="0"/>
        <v>4030</v>
      </c>
      <c r="V7" s="37">
        <f t="shared" si="0"/>
        <v>3380</v>
      </c>
      <c r="W7" s="37">
        <f t="shared" si="0"/>
        <v>1880</v>
      </c>
      <c r="X7" s="37">
        <f t="shared" si="0"/>
        <v>4180</v>
      </c>
      <c r="Y7" s="37">
        <f t="shared" si="0"/>
        <v>4970</v>
      </c>
      <c r="Z7" s="37">
        <f t="shared" si="0"/>
        <v>2390</v>
      </c>
      <c r="AA7" s="37">
        <f t="shared" si="0"/>
        <v>2950</v>
      </c>
      <c r="AB7" s="37">
        <f t="shared" si="0"/>
        <v>6150</v>
      </c>
      <c r="AC7" s="37">
        <f t="shared" si="0"/>
        <v>8240</v>
      </c>
      <c r="AD7" s="34">
        <f>SUM(Q7:AC7)</f>
        <v>58620</v>
      </c>
      <c r="AF7" s="20">
        <f t="shared" ref="AF7:AF36" si="1">Q7*$D$39</f>
        <v>39.85</v>
      </c>
      <c r="AG7" s="20">
        <f t="shared" ref="AG7:AG36" si="2">R7*$D$39</f>
        <v>54.65</v>
      </c>
      <c r="AH7" s="20">
        <f t="shared" ref="AH7:AH36" si="3">S7*$D$39</f>
        <v>0.55000000000000004</v>
      </c>
      <c r="AI7" s="20">
        <f t="shared" ref="AI7:AI36" si="4">T7*$D$39</f>
        <v>7.2</v>
      </c>
      <c r="AJ7" s="20">
        <f t="shared" ref="AJ7:AJ36" si="5">U7*$D$39</f>
        <v>20.150000000000002</v>
      </c>
      <c r="AK7" s="20">
        <f t="shared" ref="AK7:AK36" si="6">V7*$D$39</f>
        <v>16.899999999999999</v>
      </c>
      <c r="AL7" s="20">
        <f t="shared" ref="AL7:AL36" si="7">W7*$D$39</f>
        <v>9.4</v>
      </c>
      <c r="AM7" s="20">
        <f t="shared" ref="AM7:AM36" si="8">X7*$D$39</f>
        <v>20.900000000000002</v>
      </c>
      <c r="AN7" s="20">
        <f t="shared" ref="AN7:AN36" si="9">Y7*$D$39</f>
        <v>24.85</v>
      </c>
      <c r="AO7" s="20">
        <f t="shared" ref="AO7:AO36" si="10">Z7*$D$39</f>
        <v>11.950000000000001</v>
      </c>
      <c r="AP7" s="20">
        <f t="shared" ref="AP7:AP36" si="11">AA7*$D$39</f>
        <v>14.75</v>
      </c>
      <c r="AQ7" s="20">
        <f t="shared" ref="AQ7:AQ36" si="12">AB7*$D$39</f>
        <v>30.75</v>
      </c>
      <c r="AR7" s="20">
        <f t="shared" ref="AR7:AR36" si="13">AC7*$D$39</f>
        <v>41.2</v>
      </c>
      <c r="AS7" s="35">
        <f>SUM(AF7:AR7)</f>
        <v>293.10000000000002</v>
      </c>
      <c r="AU7" s="47">
        <v>270655</v>
      </c>
      <c r="AV7" s="37">
        <f>IF((AU7-AU6&lt;0),"0",AU7-AU6)</f>
        <v>1826</v>
      </c>
      <c r="AW7" s="35">
        <f t="shared" ref="AW7:AW35" si="14">AV7*$D$40</f>
        <v>3.6520000000000001</v>
      </c>
    </row>
    <row r="8" spans="1:49" x14ac:dyDescent="0.25">
      <c r="A8" s="23">
        <v>44471</v>
      </c>
      <c r="B8" s="40">
        <v>92</v>
      </c>
      <c r="C8" s="24">
        <v>7104670</v>
      </c>
      <c r="D8" s="24">
        <v>17215170</v>
      </c>
      <c r="E8" s="24">
        <v>3057230</v>
      </c>
      <c r="F8" s="24">
        <v>3680590</v>
      </c>
      <c r="G8" s="24">
        <v>10872220</v>
      </c>
      <c r="H8" s="24">
        <v>5921040</v>
      </c>
      <c r="I8" s="24">
        <v>5350590</v>
      </c>
      <c r="J8" s="24">
        <v>6401050</v>
      </c>
      <c r="K8" s="24">
        <v>9798900</v>
      </c>
      <c r="L8" s="24">
        <v>4131130</v>
      </c>
      <c r="M8" s="24">
        <v>8256680</v>
      </c>
      <c r="N8" s="24">
        <v>12861810</v>
      </c>
      <c r="O8" s="24">
        <v>17731670</v>
      </c>
      <c r="Q8" s="37">
        <f>IF((C8-C7&lt;0), "0",C8-C7)</f>
        <v>10150</v>
      </c>
      <c r="R8" s="37">
        <f t="shared" ref="R8:AC8" si="15">IF((D8-D7&lt;0), "0",D8-D7)</f>
        <v>13180</v>
      </c>
      <c r="S8" s="37">
        <f t="shared" ref="S8:S35" si="16">IF((E8-E7&lt;0), "0",E8-E7)</f>
        <v>120</v>
      </c>
      <c r="T8" s="37">
        <f t="shared" si="15"/>
        <v>1760</v>
      </c>
      <c r="U8" s="37">
        <f t="shared" si="15"/>
        <v>4870</v>
      </c>
      <c r="V8" s="37">
        <f t="shared" si="15"/>
        <v>4000</v>
      </c>
      <c r="W8" s="37">
        <f t="shared" si="15"/>
        <v>2340</v>
      </c>
      <c r="X8" s="37">
        <f t="shared" si="15"/>
        <v>4680</v>
      </c>
      <c r="Y8" s="37">
        <f t="shared" si="15"/>
        <v>5880</v>
      </c>
      <c r="Z8" s="37">
        <f t="shared" si="15"/>
        <v>2790</v>
      </c>
      <c r="AA8" s="37">
        <f t="shared" si="15"/>
        <v>3410</v>
      </c>
      <c r="AB8" s="37">
        <f t="shared" si="15"/>
        <v>7490</v>
      </c>
      <c r="AC8" s="37">
        <f t="shared" si="15"/>
        <v>11810</v>
      </c>
      <c r="AD8" s="35">
        <f>SUM(Q8:AC8)</f>
        <v>72480</v>
      </c>
      <c r="AF8" s="20">
        <f t="shared" si="1"/>
        <v>50.75</v>
      </c>
      <c r="AG8" s="20">
        <f t="shared" si="2"/>
        <v>65.900000000000006</v>
      </c>
      <c r="AH8" s="20">
        <f t="shared" si="3"/>
        <v>0.6</v>
      </c>
      <c r="AI8" s="20">
        <f t="shared" si="4"/>
        <v>8.8000000000000007</v>
      </c>
      <c r="AJ8" s="20">
        <f t="shared" si="5"/>
        <v>24.35</v>
      </c>
      <c r="AK8" s="20">
        <f t="shared" si="6"/>
        <v>20</v>
      </c>
      <c r="AL8" s="20">
        <f t="shared" si="7"/>
        <v>11.700000000000001</v>
      </c>
      <c r="AM8" s="20">
        <f t="shared" si="8"/>
        <v>23.400000000000002</v>
      </c>
      <c r="AN8" s="20">
        <f t="shared" si="9"/>
        <v>29.400000000000002</v>
      </c>
      <c r="AO8" s="20">
        <f t="shared" si="10"/>
        <v>13.950000000000001</v>
      </c>
      <c r="AP8" s="20">
        <f t="shared" si="11"/>
        <v>17.05</v>
      </c>
      <c r="AQ8" s="20">
        <f t="shared" si="12"/>
        <v>37.450000000000003</v>
      </c>
      <c r="AR8" s="20">
        <f t="shared" si="13"/>
        <v>59.050000000000004</v>
      </c>
      <c r="AS8" s="35">
        <f>SUM(AF8:AR8)</f>
        <v>362.4</v>
      </c>
      <c r="AU8" s="47">
        <v>273172</v>
      </c>
      <c r="AV8" s="37">
        <f>IF((AU8-AU7&lt;0),"0",AU8-AU7)</f>
        <v>2517</v>
      </c>
      <c r="AW8" s="35">
        <f t="shared" si="14"/>
        <v>5.0339999999999998</v>
      </c>
    </row>
    <row r="9" spans="1:49" x14ac:dyDescent="0.25">
      <c r="A9" s="23">
        <v>44472</v>
      </c>
      <c r="B9" s="40">
        <v>129</v>
      </c>
      <c r="C9" s="24">
        <v>7113880</v>
      </c>
      <c r="D9" s="24">
        <v>17226970</v>
      </c>
      <c r="E9" s="24">
        <v>3057340</v>
      </c>
      <c r="F9" s="24">
        <v>3682170</v>
      </c>
      <c r="G9" s="24">
        <v>10876220</v>
      </c>
      <c r="H9" s="24">
        <v>5924200</v>
      </c>
      <c r="I9" s="24">
        <v>5352670</v>
      </c>
      <c r="J9" s="24">
        <v>6405000</v>
      </c>
      <c r="K9" s="24">
        <v>9803860</v>
      </c>
      <c r="L9" s="24">
        <v>4133540</v>
      </c>
      <c r="M9" s="24">
        <v>8259660</v>
      </c>
      <c r="N9" s="24">
        <v>12868390</v>
      </c>
      <c r="O9" s="24">
        <v>17741760</v>
      </c>
      <c r="Q9" s="37">
        <f t="shared" ref="Q9:Q30" si="17">IF((C9-C8&lt;0), "0",C9-C8)</f>
        <v>9210</v>
      </c>
      <c r="R9" s="37">
        <f t="shared" ref="R9:R35" si="18">IF((D9-D8&lt;0), "0",D9-D8)</f>
        <v>11800</v>
      </c>
      <c r="S9" s="37">
        <f t="shared" si="16"/>
        <v>110</v>
      </c>
      <c r="T9" s="37">
        <f t="shared" ref="T9:T35" si="19">IF((F9-F8&lt;0), "0",F9-F8)</f>
        <v>1580</v>
      </c>
      <c r="U9" s="37">
        <f t="shared" ref="U9:U35" si="20">IF((G9-G8&lt;0), "0",G9-G8)</f>
        <v>4000</v>
      </c>
      <c r="V9" s="37">
        <f t="shared" ref="V9:V35" si="21">IF((H9-H8&lt;0), "0",H9-H8)</f>
        <v>3160</v>
      </c>
      <c r="W9" s="37">
        <f t="shared" ref="W9:W35" si="22">IF((I9-I8&lt;0), "0",I9-I8)</f>
        <v>2080</v>
      </c>
      <c r="X9" s="37">
        <f t="shared" ref="X9:X35" si="23">IF((J9-J8&lt;0), "0",J9-J8)</f>
        <v>3950</v>
      </c>
      <c r="Y9" s="37">
        <f t="shared" ref="Y9:Y35" si="24">IF((K9-K8&lt;0), "0",K9-K8)</f>
        <v>4960</v>
      </c>
      <c r="Z9" s="37">
        <f t="shared" ref="Z9:Z35" si="25">IF((L9-L8&lt;0), "0",L9-L8)</f>
        <v>2410</v>
      </c>
      <c r="AA9" s="37">
        <f t="shared" ref="AA9:AA35" si="26">IF((M9-M8&lt;0), "0",M9-M8)</f>
        <v>2980</v>
      </c>
      <c r="AB9" s="37">
        <f t="shared" ref="AB9:AB37" si="27">IF((N9-N8&lt;0), "0",N9-N8)</f>
        <v>6580</v>
      </c>
      <c r="AC9" s="37">
        <f t="shared" ref="AC9:AC37" si="28">IF((O9-O8&lt;0), "0",O9-O8)</f>
        <v>10090</v>
      </c>
      <c r="AD9" s="35">
        <f t="shared" ref="AD9:AD37" si="29">SUM(Q9:AC9)</f>
        <v>62910</v>
      </c>
      <c r="AF9" s="20">
        <f t="shared" si="1"/>
        <v>46.050000000000004</v>
      </c>
      <c r="AG9" s="20">
        <f t="shared" si="2"/>
        <v>59</v>
      </c>
      <c r="AH9" s="20">
        <f t="shared" si="3"/>
        <v>0.55000000000000004</v>
      </c>
      <c r="AI9" s="20">
        <f t="shared" si="4"/>
        <v>7.9</v>
      </c>
      <c r="AJ9" s="20">
        <f t="shared" si="5"/>
        <v>20</v>
      </c>
      <c r="AK9" s="20">
        <f t="shared" si="6"/>
        <v>15.8</v>
      </c>
      <c r="AL9" s="20">
        <f t="shared" si="7"/>
        <v>10.4</v>
      </c>
      <c r="AM9" s="20">
        <f t="shared" si="8"/>
        <v>19.75</v>
      </c>
      <c r="AN9" s="20">
        <f t="shared" si="9"/>
        <v>24.8</v>
      </c>
      <c r="AO9" s="20">
        <f t="shared" si="10"/>
        <v>12.05</v>
      </c>
      <c r="AP9" s="20">
        <f t="shared" si="11"/>
        <v>14.9</v>
      </c>
      <c r="AQ9" s="20">
        <f t="shared" si="12"/>
        <v>32.9</v>
      </c>
      <c r="AR9" s="20">
        <f t="shared" si="13"/>
        <v>50.45</v>
      </c>
      <c r="AS9" s="35">
        <f t="shared" ref="AS9:AS33" si="30">SUM(AF9:AR9)</f>
        <v>314.55</v>
      </c>
      <c r="AU9" s="47">
        <v>275626</v>
      </c>
      <c r="AV9" s="37">
        <f>IF((AU9-AU8&lt;0),"0",AU9-AU8)</f>
        <v>2454</v>
      </c>
      <c r="AW9" s="35">
        <f t="shared" si="14"/>
        <v>4.9080000000000004</v>
      </c>
    </row>
    <row r="10" spans="1:49" x14ac:dyDescent="0.25">
      <c r="A10" s="23">
        <v>44473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 t="str">
        <f t="shared" si="17"/>
        <v>0</v>
      </c>
      <c r="R10" s="37" t="str">
        <f t="shared" si="18"/>
        <v>0</v>
      </c>
      <c r="S10" s="37" t="str">
        <f t="shared" si="16"/>
        <v>0</v>
      </c>
      <c r="T10" s="37" t="str">
        <f t="shared" si="19"/>
        <v>0</v>
      </c>
      <c r="U10" s="37" t="str">
        <f t="shared" si="20"/>
        <v>0</v>
      </c>
      <c r="V10" s="37" t="str">
        <f t="shared" si="21"/>
        <v>0</v>
      </c>
      <c r="W10" s="37" t="str">
        <f t="shared" si="22"/>
        <v>0</v>
      </c>
      <c r="X10" s="37" t="str">
        <f t="shared" si="23"/>
        <v>0</v>
      </c>
      <c r="Y10" s="37" t="str">
        <f t="shared" si="24"/>
        <v>0</v>
      </c>
      <c r="Z10" s="37" t="str">
        <f t="shared" si="25"/>
        <v>0</v>
      </c>
      <c r="AA10" s="37" t="str">
        <f t="shared" si="26"/>
        <v>0</v>
      </c>
      <c r="AB10" s="37" t="str">
        <f t="shared" si="27"/>
        <v>0</v>
      </c>
      <c r="AC10" s="37" t="str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47"/>
      <c r="AV10" s="37" t="str">
        <f t="shared" ref="AV10:AV26" si="31">IF((AU10-AU9&lt;0),"0",AU10-AU9)</f>
        <v>0</v>
      </c>
      <c r="AW10" s="35">
        <f t="shared" si="14"/>
        <v>0</v>
      </c>
    </row>
    <row r="11" spans="1:49" x14ac:dyDescent="0.25">
      <c r="A11" s="23">
        <v>44474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47"/>
      <c r="AV11" s="37">
        <f t="shared" si="31"/>
        <v>0</v>
      </c>
      <c r="AW11" s="35">
        <f t="shared" si="14"/>
        <v>0</v>
      </c>
    </row>
    <row r="12" spans="1:49" x14ac:dyDescent="0.25">
      <c r="A12" s="23">
        <v>44475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>
        <f t="shared" si="31"/>
        <v>0</v>
      </c>
      <c r="AW12" s="35">
        <f t="shared" si="14"/>
        <v>0</v>
      </c>
    </row>
    <row r="13" spans="1:49" x14ac:dyDescent="0.25">
      <c r="A13" s="23">
        <v>44476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5">
        <f t="shared" si="14"/>
        <v>0</v>
      </c>
    </row>
    <row r="14" spans="1:49" x14ac:dyDescent="0.25">
      <c r="A14" s="23">
        <v>44477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5">
        <f t="shared" si="14"/>
        <v>0</v>
      </c>
    </row>
    <row r="15" spans="1:49" x14ac:dyDescent="0.25">
      <c r="A15" s="23">
        <v>44478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44479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44480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44481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44482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44483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44484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44485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44486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44487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44488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44489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44490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44491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44492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44493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44497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44499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44500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27330</v>
      </c>
      <c r="R38" s="38">
        <f t="shared" ref="R38:AD38" si="62">SUM(R7:R37)</f>
        <v>35910</v>
      </c>
      <c r="S38" s="38">
        <f t="shared" si="62"/>
        <v>340</v>
      </c>
      <c r="T38" s="38">
        <f t="shared" si="62"/>
        <v>4780</v>
      </c>
      <c r="U38" s="38">
        <f t="shared" si="62"/>
        <v>12900</v>
      </c>
      <c r="V38" s="38">
        <f t="shared" si="62"/>
        <v>10540</v>
      </c>
      <c r="W38" s="38">
        <f t="shared" si="62"/>
        <v>6300</v>
      </c>
      <c r="X38" s="38">
        <f t="shared" si="62"/>
        <v>12810</v>
      </c>
      <c r="Y38" s="38">
        <f t="shared" si="62"/>
        <v>15810</v>
      </c>
      <c r="Z38" s="38">
        <f t="shared" si="62"/>
        <v>7590</v>
      </c>
      <c r="AA38" s="38">
        <f t="shared" si="62"/>
        <v>9340</v>
      </c>
      <c r="AB38" s="38">
        <f t="shared" si="62"/>
        <v>20220</v>
      </c>
      <c r="AC38" s="38">
        <f t="shared" si="62"/>
        <v>30140</v>
      </c>
      <c r="AD38" s="38">
        <f t="shared" si="62"/>
        <v>194010</v>
      </c>
      <c r="AF38" s="35">
        <f>SUM(AF7:AF37)</f>
        <v>136.65</v>
      </c>
      <c r="AG38" s="35">
        <f t="shared" ref="AG38:AS38" si="63">SUM(AG7:AG37)</f>
        <v>179.55</v>
      </c>
      <c r="AH38" s="35">
        <f t="shared" si="63"/>
        <v>1.7</v>
      </c>
      <c r="AI38" s="35">
        <f t="shared" si="63"/>
        <v>23.9</v>
      </c>
      <c r="AJ38" s="35">
        <f t="shared" si="63"/>
        <v>64.5</v>
      </c>
      <c r="AK38" s="35">
        <f t="shared" si="63"/>
        <v>52.7</v>
      </c>
      <c r="AL38" s="35">
        <f t="shared" si="63"/>
        <v>31.5</v>
      </c>
      <c r="AM38" s="35">
        <f t="shared" si="63"/>
        <v>64.050000000000011</v>
      </c>
      <c r="AN38" s="35">
        <f t="shared" si="63"/>
        <v>79.05</v>
      </c>
      <c r="AO38" s="35">
        <f t="shared" si="63"/>
        <v>37.950000000000003</v>
      </c>
      <c r="AP38" s="35">
        <f t="shared" si="63"/>
        <v>46.7</v>
      </c>
      <c r="AQ38" s="35">
        <f t="shared" si="63"/>
        <v>101.1</v>
      </c>
      <c r="AR38" s="35">
        <f t="shared" si="63"/>
        <v>150.69999999999999</v>
      </c>
      <c r="AS38" s="35">
        <f t="shared" si="63"/>
        <v>970.05</v>
      </c>
      <c r="AU38" s="48"/>
      <c r="AV38" s="35">
        <f>SUM(AV7:AV34)</f>
        <v>6797</v>
      </c>
      <c r="AW38" s="35">
        <f>SUM(AW7:AW34)</f>
        <v>13.594000000000001</v>
      </c>
    </row>
    <row r="39" spans="1:49" x14ac:dyDescent="0.25">
      <c r="D39">
        <v>5.0000000000000001E-3</v>
      </c>
      <c r="AV39" s="36">
        <f>AV38*0.00378541*1000</f>
        <v>25729.431769999999</v>
      </c>
    </row>
    <row r="40" spans="1:49" x14ac:dyDescent="0.25">
      <c r="D40">
        <v>2E-3</v>
      </c>
      <c r="AV40">
        <f>AV39/31</f>
        <v>829.98167000000001</v>
      </c>
    </row>
    <row r="41" spans="1:49" x14ac:dyDescent="0.25">
      <c r="AV41">
        <f>AV38*0.00378541</f>
        <v>25.729431769999998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2021-10-04T07:46:17Z</dcterms:modified>
</cp:coreProperties>
</file>