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9090" tabRatio="579" firstSheet="1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AD14" i="1" l="1"/>
  <c r="N14" i="2"/>
  <c r="W11" i="76" l="1"/>
  <c r="V28" i="76" s="1"/>
  <c r="W10" i="76"/>
  <c r="V27" i="76" s="1"/>
  <c r="W9" i="76"/>
  <c r="V26" i="76" s="1"/>
  <c r="V11" i="76"/>
  <c r="V10" i="76"/>
  <c r="V9" i="76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W5" i="5"/>
  <c r="AU5" i="5"/>
  <c r="AT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P3" i="2"/>
  <c r="L3" i="2"/>
  <c r="J3" i="2"/>
  <c r="H3" i="2"/>
  <c r="F3" i="2"/>
  <c r="D3" i="2"/>
  <c r="C15" i="77"/>
  <c r="C16" i="77"/>
  <c r="C17" i="77"/>
  <c r="C18" i="77"/>
  <c r="C19" i="77"/>
  <c r="C20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X15" i="76"/>
  <c r="Y15" i="76"/>
  <c r="W15" i="76"/>
  <c r="W16" i="76"/>
  <c r="W17" i="76"/>
  <c r="AB19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X10" i="76"/>
  <c r="Y10" i="76"/>
  <c r="Z10" i="76"/>
  <c r="AA10" i="76"/>
  <c r="AB10" i="76"/>
  <c r="AC10" i="76"/>
  <c r="AD10" i="76"/>
  <c r="AE10" i="76"/>
  <c r="AF10" i="76"/>
  <c r="X11" i="76"/>
  <c r="Y11" i="76"/>
  <c r="Z11" i="76"/>
  <c r="AA11" i="76"/>
  <c r="AB11" i="76"/>
  <c r="AC11" i="76"/>
  <c r="AD11" i="76"/>
  <c r="AE11" i="76"/>
  <c r="AF11" i="76"/>
  <c r="X9" i="76"/>
  <c r="Y9" i="76"/>
  <c r="Z9" i="76"/>
  <c r="AA9" i="76"/>
  <c r="AB9" i="76"/>
  <c r="AC9" i="76"/>
  <c r="AD9" i="76"/>
  <c r="AE9" i="76"/>
  <c r="AF9" i="76"/>
  <c r="W4" i="76"/>
  <c r="A3" i="76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R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A2" i="3"/>
  <c r="AX8" i="5"/>
  <c r="AX10" i="5" s="1"/>
  <c r="AX11" i="5" s="1"/>
  <c r="AX12" i="5" s="1"/>
  <c r="AX13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V8" i="5"/>
  <c r="AV10" i="5" s="1"/>
  <c r="AV11" i="5" s="1"/>
  <c r="AV13" i="5" s="1"/>
  <c r="AV15" i="5" s="1"/>
  <c r="AV16" i="5" s="1"/>
  <c r="AV17" i="5" s="1"/>
  <c r="AV18" i="5" s="1"/>
  <c r="AV19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T8" i="5"/>
  <c r="AT9" i="5" s="1"/>
  <c r="AT10" i="5" s="1"/>
  <c r="AT11" i="5" s="1"/>
  <c r="AT12" i="5" s="1"/>
  <c r="AT13" i="5" s="1"/>
  <c r="AT16" i="5" s="1"/>
  <c r="AT17" i="5" s="1"/>
  <c r="AT18" i="5" s="1"/>
  <c r="AT19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AY5" i="5"/>
  <c r="BA5" i="5"/>
  <c r="BB5" i="5"/>
  <c r="BD5" i="5"/>
  <c r="AS5" i="5"/>
  <c r="AR5" i="5"/>
  <c r="A5" i="5"/>
  <c r="AE5" i="1"/>
  <c r="AE6" i="1" s="1"/>
  <c r="AE7" i="1" s="1"/>
  <c r="AE8" i="1" s="1"/>
  <c r="AE9" i="1" s="1"/>
  <c r="AE10" i="1" s="1"/>
  <c r="AE11" i="1" s="1"/>
  <c r="AE12" i="1" s="1"/>
  <c r="AE13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P6" i="2"/>
  <c r="P8" i="2" s="1"/>
  <c r="P9" i="2" s="1"/>
  <c r="P11" i="2" s="1"/>
  <c r="P15" i="2" s="1"/>
  <c r="P16" i="2" s="1"/>
  <c r="P17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E3" i="2"/>
  <c r="G3" i="2"/>
  <c r="I3" i="2"/>
  <c r="K3" i="2"/>
  <c r="M3" i="2"/>
  <c r="N3" i="2"/>
  <c r="O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3" i="2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AC19" i="76"/>
  <c r="F4" i="76"/>
  <c r="F5" i="76" s="1"/>
  <c r="F6" i="76" s="1"/>
  <c r="F7" i="76" s="1"/>
  <c r="F8" i="76" s="1"/>
  <c r="F9" i="76" s="1"/>
  <c r="F10" i="76" s="1"/>
  <c r="F11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H5" i="76"/>
  <c r="H6" i="76" s="1"/>
  <c r="H7" i="76" s="1"/>
  <c r="H8" i="76" s="1"/>
  <c r="H9" i="76" s="1"/>
  <c r="H10" i="76" s="1"/>
  <c r="H11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B5" i="76"/>
  <c r="B6" i="76" s="1"/>
  <c r="B7" i="76" s="1"/>
  <c r="B8" i="76" s="1"/>
  <c r="B9" i="76" s="1"/>
  <c r="B10" i="76" s="1"/>
  <c r="B11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B5" i="3"/>
  <c r="B7" i="3" s="1"/>
  <c r="B8" i="3" s="1"/>
  <c r="B10" i="3" s="1"/>
  <c r="B14" i="3" s="1"/>
  <c r="B15" i="3" s="1"/>
  <c r="B16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AT6" i="5"/>
  <c r="V6" i="5"/>
  <c r="G6" i="5"/>
  <c r="G7" i="5" s="1"/>
  <c r="G8" i="5" s="1"/>
  <c r="G10" i="5" s="1"/>
  <c r="G11" i="5" s="1"/>
  <c r="G12" i="5" s="1"/>
  <c r="G13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5" i="1"/>
  <c r="AC6" i="1" s="1"/>
  <c r="AC8" i="1" s="1"/>
  <c r="AC9" i="1" s="1"/>
  <c r="AC10" i="1" s="1"/>
  <c r="AC11" i="1" s="1"/>
  <c r="AC12" i="1" s="1"/>
  <c r="AC13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H5" i="1"/>
  <c r="H6" i="1" s="1"/>
  <c r="H7" i="1" s="1"/>
  <c r="H8" i="1" s="1"/>
  <c r="H9" i="1" s="1"/>
  <c r="H10" i="1" s="1"/>
  <c r="H11" i="1" s="1"/>
  <c r="H12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5" i="1"/>
  <c r="F7" i="1" s="1"/>
  <c r="F8" i="1" s="1"/>
  <c r="F9" i="1" s="1"/>
  <c r="F10" i="1" s="1"/>
  <c r="F11" i="1" s="1"/>
  <c r="F12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C7" i="1"/>
  <c r="C9" i="1" s="1"/>
  <c r="C10" i="1" s="1"/>
  <c r="C12" i="1" s="1"/>
  <c r="C16" i="1" s="1"/>
  <c r="C17" i="1" s="1"/>
  <c r="C18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6" i="1"/>
  <c r="M7" i="1" s="1"/>
  <c r="M8" i="1" s="1"/>
  <c r="M9" i="1" s="1"/>
  <c r="M10" i="1" s="1"/>
  <c r="M11" i="1" s="1"/>
  <c r="M12" i="1" s="1"/>
  <c r="M13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P5" i="1"/>
  <c r="P7" i="1" s="1"/>
  <c r="P9" i="1" s="1"/>
  <c r="P10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7" i="1"/>
  <c r="Q9" i="1" s="1"/>
  <c r="Q10" i="1" s="1"/>
  <c r="Q12" i="1" s="1"/>
  <c r="Q13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X5" i="1"/>
  <c r="X6" i="1" s="1"/>
  <c r="X7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N5" i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7" i="1"/>
  <c r="B9" i="1" s="1"/>
  <c r="B10" i="1" s="1"/>
  <c r="B12" i="1" s="1"/>
  <c r="B16" i="1" s="1"/>
  <c r="B17" i="1" s="1"/>
  <c r="B18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L6" i="2"/>
  <c r="L8" i="2" s="1"/>
  <c r="L9" i="2" s="1"/>
  <c r="L11" i="2" s="1"/>
  <c r="L15" i="2" s="1"/>
  <c r="L16" i="2" s="1"/>
  <c r="L17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F6" i="2"/>
  <c r="F8" i="2" s="1"/>
  <c r="F9" i="2" s="1"/>
  <c r="F11" i="2" s="1"/>
  <c r="F15" i="2" s="1"/>
  <c r="F16" i="2" s="1"/>
  <c r="F17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H6" i="2"/>
  <c r="H8" i="2" s="1"/>
  <c r="H9" i="2" s="1"/>
  <c r="H11" i="2" s="1"/>
  <c r="H15" i="2" s="1"/>
  <c r="H16" i="2" s="1"/>
  <c r="H17" i="2" s="1"/>
  <c r="H19" i="2" s="1"/>
  <c r="H20" i="2" s="1"/>
  <c r="H21" i="2" s="1"/>
  <c r="J6" i="2"/>
  <c r="J8" i="2" s="1"/>
  <c r="J9" i="2" s="1"/>
  <c r="J11" i="2" s="1"/>
  <c r="J15" i="2" s="1"/>
  <c r="J16" i="2" s="1"/>
  <c r="J17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D6" i="2"/>
  <c r="D8" i="2" s="1"/>
  <c r="D9" i="2" s="1"/>
  <c r="D11" i="2" s="1"/>
  <c r="D15" i="2" s="1"/>
  <c r="D16" i="2" s="1"/>
  <c r="D17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H22" i="2" l="1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H23" i="2" l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I22" i="2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s="1"/>
  <c r="Z34" i="7"/>
  <c r="AI31" i="3" l="1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U7" i="5" l="1"/>
  <c r="AZ7" i="5" s="1"/>
  <c r="AZ6" i="5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D22" i="73"/>
  <c r="BA23" i="7" s="1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E12" i="82" s="1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AR36" i="7" l="1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Z21" i="5" l="1"/>
  <c r="BC21" i="5" s="1"/>
  <c r="AR11" i="7"/>
  <c r="AS11" i="7" s="1"/>
  <c r="AR13" i="7"/>
  <c r="AS14" i="7" s="1"/>
  <c r="C16" i="3"/>
  <c r="AS10" i="7"/>
  <c r="AS9" i="7"/>
  <c r="AR6" i="7"/>
  <c r="AS6" i="7" s="1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C20" i="3" l="1"/>
  <c r="AS18" i="7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AS19" i="7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AS20" i="7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E22" i="3" l="1"/>
  <c r="F22" i="3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3" i="3" s="1"/>
  <c r="F23" i="3" s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F14" i="1" l="1"/>
  <c r="AH14" i="1" s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F15" i="1"/>
  <c r="AH15" i="1" s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F16" i="1"/>
  <c r="AH16" i="1" s="1"/>
  <c r="AM16" i="1" l="1"/>
  <c r="F17" i="75" s="1"/>
  <c r="G17" i="75" s="1"/>
  <c r="AG16" i="1"/>
  <c r="C16" i="65"/>
  <c r="E16" i="65" s="1"/>
  <c r="AI16" i="1"/>
  <c r="AW17" i="7" s="1"/>
  <c r="AD17" i="1"/>
  <c r="AF17" i="1"/>
  <c r="AH17" i="1" s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AB23" i="3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W32" i="76" s="1"/>
  <c r="AL33" i="3"/>
  <c r="AL34" i="3" s="1"/>
  <c r="B19" i="77" s="1"/>
  <c r="AE33" i="3"/>
  <c r="AF33" i="3" s="1"/>
  <c r="AK33" i="3"/>
  <c r="AG32" i="3"/>
  <c r="BK35" i="7"/>
  <c r="AG33" i="3" l="1"/>
  <c r="BK36" i="7"/>
  <c r="F18" i="77"/>
  <c r="X32" i="76"/>
  <c r="Y32" i="76" s="1"/>
  <c r="B20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A10" i="2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8" i="5" s="1"/>
  <c r="AB9" i="5" s="1"/>
  <c r="AB10" i="5" s="1"/>
  <c r="AB11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C10" i="2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10" i="3" l="1"/>
  <c r="AB10" i="3" s="1"/>
  <c r="F18" i="3" l="1"/>
  <c r="AB18" i="3" s="1"/>
  <c r="F24" i="3" l="1"/>
  <c r="AB24" i="3" s="1"/>
  <c r="F25" i="3" l="1"/>
  <c r="AB25" i="3" s="1"/>
  <c r="F30" i="3" l="1"/>
  <c r="AB30" i="3" s="1"/>
  <c r="F31" i="3" l="1"/>
  <c r="AB31" i="3" s="1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E12" i="5" l="1"/>
  <c r="AF11" i="5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E33" i="5" l="1"/>
  <c r="AF32" i="5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O29" i="76" s="1"/>
  <c r="P29" i="76" s="1"/>
  <c r="R29" i="76" s="1"/>
  <c r="T29" i="76" s="1"/>
  <c r="F27" i="81" s="1"/>
  <c r="W9" i="2"/>
  <c r="X8" i="2"/>
  <c r="Y9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8" i="76" l="1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4" i="76"/>
  <c r="P4" i="76" s="1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W10" i="2"/>
  <c r="X9" i="2"/>
  <c r="Y10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Y14" i="2" l="1"/>
  <c r="Z13" i="2"/>
  <c r="W14" i="2"/>
  <c r="X13" i="2"/>
  <c r="Y15" i="2" l="1"/>
  <c r="Z14" i="2"/>
  <c r="AC6" i="5"/>
  <c r="W15" i="2"/>
  <c r="X14" i="2"/>
  <c r="Y16" i="2" l="1"/>
  <c r="Z15" i="2"/>
  <c r="AC8" i="5"/>
  <c r="AD7" i="5"/>
  <c r="W16" i="2"/>
  <c r="X15" i="2"/>
  <c r="Y17" i="2" l="1"/>
  <c r="Z16" i="2"/>
  <c r="AC9" i="5"/>
  <c r="AD8" i="5"/>
  <c r="W17" i="2"/>
  <c r="X16" i="2"/>
  <c r="Z17" i="2" l="1"/>
  <c r="Y18" i="2"/>
  <c r="AC10" i="5"/>
  <c r="AD9" i="5"/>
  <c r="W18" i="2"/>
  <c r="X17" i="2"/>
  <c r="AC11" i="5" l="1"/>
  <c r="AD10" i="5"/>
  <c r="Y19" i="2"/>
  <c r="Z18" i="2"/>
  <c r="W19" i="2"/>
  <c r="X18" i="2"/>
  <c r="Y20" i="2" l="1"/>
  <c r="Z19" i="2"/>
  <c r="AC12" i="5"/>
  <c r="AD11" i="5"/>
  <c r="W20" i="2"/>
  <c r="X19" i="2"/>
  <c r="AC13" i="5" l="1"/>
  <c r="AD12" i="5"/>
  <c r="Y21" i="2"/>
  <c r="Z20" i="2"/>
  <c r="W21" i="2"/>
  <c r="X20" i="2"/>
  <c r="W22" i="2" l="1"/>
  <c r="X21" i="2"/>
  <c r="AC14" i="5"/>
  <c r="AD13" i="5"/>
  <c r="Y22" i="2"/>
  <c r="Z21" i="2"/>
  <c r="Y23" i="2" l="1"/>
  <c r="Z22" i="2"/>
  <c r="W23" i="2"/>
  <c r="X22" i="2"/>
  <c r="AC15" i="5"/>
  <c r="AD14" i="5"/>
  <c r="Y24" i="2" l="1"/>
  <c r="Z23" i="2"/>
  <c r="W24" i="2"/>
  <c r="X23" i="2"/>
  <c r="AC16" i="5"/>
  <c r="AD15" i="5"/>
  <c r="Y25" i="2" l="1"/>
  <c r="Z24" i="2"/>
  <c r="W25" i="2"/>
  <c r="X24" i="2"/>
  <c r="AC17" i="5"/>
  <c r="AD16" i="5"/>
  <c r="W26" i="2" l="1"/>
  <c r="X25" i="2"/>
  <c r="Y26" i="2"/>
  <c r="Z25" i="2"/>
  <c r="AC18" i="5"/>
  <c r="AD17" i="5"/>
  <c r="W27" i="2" l="1"/>
  <c r="X26" i="2"/>
  <c r="Z26" i="2"/>
  <c r="Y27" i="2"/>
  <c r="AC19" i="5"/>
  <c r="AD18" i="5"/>
  <c r="W28" i="2" l="1"/>
  <c r="X27" i="2"/>
  <c r="Y28" i="2"/>
  <c r="Z27" i="2"/>
  <c r="AC20" i="5"/>
  <c r="AD19" i="5"/>
  <c r="W29" i="2" l="1"/>
  <c r="X28" i="2"/>
  <c r="Y29" i="2"/>
  <c r="Z28" i="2"/>
  <c r="AC21" i="5"/>
  <c r="AD20" i="5"/>
  <c r="Y30" i="2" l="1"/>
  <c r="Z29" i="2"/>
  <c r="W30" i="2"/>
  <c r="X29" i="2"/>
  <c r="AC22" i="5"/>
  <c r="AD21" i="5"/>
  <c r="Y31" i="2" l="1"/>
  <c r="Z30" i="2"/>
  <c r="W31" i="2"/>
  <c r="X30" i="2"/>
  <c r="AC23" i="5"/>
  <c r="AD22" i="5"/>
  <c r="Y32" i="2" l="1"/>
  <c r="Z31" i="2"/>
  <c r="W32" i="2"/>
  <c r="X31" i="2"/>
  <c r="AC24" i="5"/>
  <c r="AD23" i="5"/>
  <c r="Y33" i="2" l="1"/>
  <c r="Z32" i="2"/>
  <c r="W33" i="2"/>
  <c r="X32" i="2"/>
  <c r="AC25" i="5"/>
  <c r="AD24" i="5"/>
  <c r="Z33" i="2" l="1"/>
  <c r="Y34" i="2"/>
  <c r="Z34" i="2" s="1"/>
  <c r="X33" i="2"/>
  <c r="W34" i="2"/>
  <c r="X34" i="2" s="1"/>
  <c r="AC26" i="5"/>
  <c r="AD25" i="5"/>
  <c r="AC27" i="5" l="1"/>
  <c r="AD26" i="5"/>
  <c r="AC28" i="5" l="1"/>
  <c r="AD27" i="5"/>
  <c r="AC29" i="5" l="1"/>
  <c r="AD28" i="5"/>
  <c r="AC30" i="5" l="1"/>
  <c r="AD29" i="5"/>
  <c r="AC31" i="5" l="1"/>
  <c r="AD30" i="5"/>
  <c r="AC32" i="5" l="1"/>
  <c r="AD31" i="5"/>
  <c r="AC33" i="5" l="1"/>
  <c r="AD32" i="5"/>
  <c r="AC34" i="5" l="1"/>
  <c r="AD33" i="5"/>
  <c r="AC35" i="5" l="1"/>
  <c r="AD34" i="5"/>
  <c r="AC36" i="5" l="1"/>
  <c r="AD36" i="5" s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M9" i="5"/>
  <c r="N8" i="5"/>
  <c r="V28" i="2"/>
  <c r="AF28" i="2" s="1"/>
  <c r="U29" i="2"/>
  <c r="P8" i="5"/>
  <c r="O9" i="5"/>
  <c r="Q7" i="5"/>
  <c r="M10" i="5" l="1"/>
  <c r="N9" i="5"/>
  <c r="BB12" i="5"/>
  <c r="BE12" i="5" s="1"/>
  <c r="AS13" i="5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3" i="5"/>
  <c r="BB13" i="5" s="1"/>
  <c r="BE13" i="5" s="1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AY14" i="5"/>
  <c r="BB14" i="5" s="1"/>
  <c r="BE14" i="5" s="1"/>
  <c r="AS15" i="5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AY15" i="5"/>
  <c r="BB15" i="5" s="1"/>
  <c r="BE15" i="5" s="1"/>
  <c r="AS16" i="5"/>
  <c r="A29" i="63"/>
  <c r="AE31" i="2"/>
  <c r="AG31" i="2" s="1"/>
  <c r="T32" i="2"/>
  <c r="AE32" i="2" s="1"/>
  <c r="AG32" i="2" s="1"/>
  <c r="S33" i="2"/>
  <c r="Q11" i="5"/>
  <c r="M7" i="81" l="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AY16" i="5"/>
  <c r="BB16" i="5" s="1"/>
  <c r="BE16" i="5" s="1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BB17" i="5" s="1"/>
  <c r="BE17" i="5" s="1"/>
  <c r="P14" i="5"/>
  <c r="O15" i="5"/>
  <c r="N14" i="5"/>
  <c r="M15" i="5"/>
  <c r="Q14" i="5" l="1"/>
  <c r="M10" i="81" s="1"/>
  <c r="AS19" i="5"/>
  <c r="AY18" i="5"/>
  <c r="BB18" i="5" s="1"/>
  <c r="BE18" i="5" s="1"/>
  <c r="I13" i="63"/>
  <c r="BF17" i="5"/>
  <c r="BG17" i="5" s="1"/>
  <c r="G17" i="65" s="1"/>
  <c r="P15" i="5"/>
  <c r="O16" i="5"/>
  <c r="N15" i="5"/>
  <c r="M16" i="5"/>
  <c r="Q15" i="5" l="1"/>
  <c r="M11" i="81" s="1"/>
  <c r="I14" i="63"/>
  <c r="BF18" i="5"/>
  <c r="BG18" i="5" s="1"/>
  <c r="G18" i="65" s="1"/>
  <c r="AS20" i="5"/>
  <c r="AY19" i="5"/>
  <c r="BB19" i="5" s="1"/>
  <c r="BE19" i="5" s="1"/>
  <c r="O17" i="5"/>
  <c r="P16" i="5"/>
  <c r="M17" i="5"/>
  <c r="N16" i="5"/>
  <c r="Q16" i="5" l="1"/>
  <c r="M12" i="81" s="1"/>
  <c r="AY20" i="5"/>
  <c r="BB20" i="5" s="1"/>
  <c r="BE20" i="5" s="1"/>
  <c r="AS21" i="5"/>
  <c r="I15" i="63"/>
  <c r="BF19" i="5"/>
  <c r="BG19" i="5" s="1"/>
  <c r="G19" i="65" s="1"/>
  <c r="O18" i="5"/>
  <c r="P17" i="5"/>
  <c r="M18" i="5"/>
  <c r="N17" i="5"/>
  <c r="L3" i="3"/>
  <c r="Q17" i="5" l="1"/>
  <c r="M13" i="81" s="1"/>
  <c r="M3" i="3"/>
  <c r="L4" i="3"/>
  <c r="I16" i="63"/>
  <c r="BF20" i="5"/>
  <c r="BG20" i="5" s="1"/>
  <c r="G20" i="65" s="1"/>
  <c r="AS22" i="5"/>
  <c r="AY21" i="5"/>
  <c r="BB21" i="5" s="1"/>
  <c r="BE21" i="5" s="1"/>
  <c r="P18" i="5"/>
  <c r="O19" i="5"/>
  <c r="M19" i="5"/>
  <c r="N18" i="5"/>
  <c r="M20" i="5" l="1"/>
  <c r="N19" i="5"/>
  <c r="M4" i="3"/>
  <c r="L5" i="3"/>
  <c r="AS23" i="5"/>
  <c r="AY22" i="5"/>
  <c r="BB22" i="5" s="1"/>
  <c r="BE22" i="5" s="1"/>
  <c r="I17" i="63"/>
  <c r="BF21" i="5"/>
  <c r="BG21" i="5" s="1"/>
  <c r="G21" i="65" s="1"/>
  <c r="P19" i="5"/>
  <c r="O20" i="5"/>
  <c r="Q18" i="5"/>
  <c r="M14" i="81" s="1"/>
  <c r="Q19" i="5" l="1"/>
  <c r="M15" i="81" s="1"/>
  <c r="N20" i="5"/>
  <c r="M21" i="5"/>
  <c r="P20" i="5"/>
  <c r="O21" i="5"/>
  <c r="L6" i="3"/>
  <c r="M5" i="3"/>
  <c r="AY23" i="5"/>
  <c r="BB23" i="5" s="1"/>
  <c r="BE23" i="5" s="1"/>
  <c r="AS24" i="5"/>
  <c r="BF22" i="5"/>
  <c r="BG22" i="5" s="1"/>
  <c r="G22" i="65" s="1"/>
  <c r="I18" i="63"/>
  <c r="N21" i="5" l="1"/>
  <c r="M22" i="5"/>
  <c r="L7" i="3"/>
  <c r="M6" i="3"/>
  <c r="P21" i="5"/>
  <c r="O22" i="5"/>
  <c r="I19" i="63"/>
  <c r="BF23" i="5"/>
  <c r="BG23" i="5" s="1"/>
  <c r="G23" i="65" s="1"/>
  <c r="AY24" i="5"/>
  <c r="BB24" i="5" s="1"/>
  <c r="BE24" i="5" s="1"/>
  <c r="AS25" i="5"/>
  <c r="Q20" i="5"/>
  <c r="M16" i="81" s="1"/>
  <c r="I20" i="63" l="1"/>
  <c r="BF24" i="5"/>
  <c r="BG24" i="5" s="1"/>
  <c r="G24" i="65" s="1"/>
  <c r="AY25" i="5"/>
  <c r="BB25" i="5" s="1"/>
  <c r="BE25" i="5" s="1"/>
  <c r="AS26" i="5"/>
  <c r="M7" i="3"/>
  <c r="L8" i="3"/>
  <c r="P22" i="5"/>
  <c r="O23" i="5"/>
  <c r="Q21" i="5"/>
  <c r="M17" i="81" s="1"/>
  <c r="N22" i="5"/>
  <c r="M23" i="5"/>
  <c r="N23" i="5" l="1"/>
  <c r="M24" i="5"/>
  <c r="AS27" i="5"/>
  <c r="AY26" i="5"/>
  <c r="BB26" i="5" s="1"/>
  <c r="BE26" i="5" s="1"/>
  <c r="BF25" i="5"/>
  <c r="BG25" i="5" s="1"/>
  <c r="G25" i="65" s="1"/>
  <c r="I21" i="63"/>
  <c r="M8" i="3"/>
  <c r="L9" i="3"/>
  <c r="O24" i="5"/>
  <c r="P23" i="5"/>
  <c r="Q22" i="5"/>
  <c r="M18" i="81" s="1"/>
  <c r="M25" i="5" l="1"/>
  <c r="N24" i="5"/>
  <c r="P24" i="5"/>
  <c r="O25" i="5"/>
  <c r="AS28" i="5"/>
  <c r="AY27" i="5"/>
  <c r="BB27" i="5" s="1"/>
  <c r="BE27" i="5" s="1"/>
  <c r="I22" i="63"/>
  <c r="BF26" i="5"/>
  <c r="BG26" i="5" s="1"/>
  <c r="G26" i="65" s="1"/>
  <c r="Q23" i="5"/>
  <c r="M19" i="81" s="1"/>
  <c r="M9" i="3"/>
  <c r="L10" i="3"/>
  <c r="Q24" i="5" l="1"/>
  <c r="M20" i="81" s="1"/>
  <c r="M26" i="5"/>
  <c r="N25" i="5"/>
  <c r="L11" i="3"/>
  <c r="M10" i="3"/>
  <c r="P25" i="5"/>
  <c r="O26" i="5"/>
  <c r="AS29" i="5"/>
  <c r="AY28" i="5"/>
  <c r="BB28" i="5" s="1"/>
  <c r="BE28" i="5" s="1"/>
  <c r="I23" i="63"/>
  <c r="BF27" i="5"/>
  <c r="BG27" i="5" s="1"/>
  <c r="G27" i="65" s="1"/>
  <c r="M11" i="3" l="1"/>
  <c r="L12" i="3"/>
  <c r="N26" i="5"/>
  <c r="M27" i="5"/>
  <c r="O27" i="5"/>
  <c r="P26" i="5"/>
  <c r="AY29" i="5"/>
  <c r="BB29" i="5" s="1"/>
  <c r="BE29" i="5" s="1"/>
  <c r="AS30" i="5"/>
  <c r="Q25" i="5"/>
  <c r="M21" i="81" s="1"/>
  <c r="BF28" i="5"/>
  <c r="BG28" i="5" s="1"/>
  <c r="G28" i="65" s="1"/>
  <c r="I24" i="63"/>
  <c r="M28" i="5" l="1"/>
  <c r="N27" i="5"/>
  <c r="P27" i="5"/>
  <c r="O28" i="5"/>
  <c r="BF29" i="5"/>
  <c r="BG29" i="5" s="1"/>
  <c r="G29" i="65" s="1"/>
  <c r="I25" i="63"/>
  <c r="M12" i="3"/>
  <c r="L13" i="3"/>
  <c r="AS31" i="5"/>
  <c r="AY30" i="5"/>
  <c r="BB30" i="5" s="1"/>
  <c r="BE30" i="5" s="1"/>
  <c r="Q26" i="5"/>
  <c r="M22" i="81" s="1"/>
  <c r="BF30" i="5" l="1"/>
  <c r="BG30" i="5" s="1"/>
  <c r="G30" i="65" s="1"/>
  <c r="I26" i="63"/>
  <c r="Q27" i="5"/>
  <c r="M23" i="81" s="1"/>
  <c r="M13" i="3"/>
  <c r="L14" i="3"/>
  <c r="AY31" i="5"/>
  <c r="BB31" i="5" s="1"/>
  <c r="BE31" i="5" s="1"/>
  <c r="AS32" i="5"/>
  <c r="N28" i="5"/>
  <c r="M29" i="5"/>
  <c r="O29" i="5"/>
  <c r="P28" i="5"/>
  <c r="Q28" i="5" l="1"/>
  <c r="M24" i="81" s="1"/>
  <c r="N29" i="5"/>
  <c r="M30" i="5"/>
  <c r="P29" i="5"/>
  <c r="O30" i="5"/>
  <c r="M14" i="3"/>
  <c r="L15" i="3"/>
  <c r="AY32" i="5"/>
  <c r="BB32" i="5" s="1"/>
  <c r="BE32" i="5" s="1"/>
  <c r="AS33" i="5"/>
  <c r="I27" i="63"/>
  <c r="BF31" i="5"/>
  <c r="BG31" i="5" s="1"/>
  <c r="G31" i="65" s="1"/>
  <c r="N30" i="5" l="1"/>
  <c r="M31" i="5"/>
  <c r="Q29" i="5"/>
  <c r="M25" i="81" s="1"/>
  <c r="P30" i="5"/>
  <c r="O31" i="5"/>
  <c r="M15" i="3"/>
  <c r="L16" i="3"/>
  <c r="BF32" i="5"/>
  <c r="BG32" i="5" s="1"/>
  <c r="G32" i="65" s="1"/>
  <c r="I28" i="63"/>
  <c r="AY33" i="5"/>
  <c r="BB33" i="5" s="1"/>
  <c r="BE33" i="5" s="1"/>
  <c r="AS34" i="5"/>
  <c r="BF33" i="5" l="1"/>
  <c r="BG33" i="5" s="1"/>
  <c r="G33" i="65" s="1"/>
  <c r="I29" i="63"/>
  <c r="M32" i="5"/>
  <c r="N31" i="5"/>
  <c r="AY34" i="5"/>
  <c r="BB34" i="5" s="1"/>
  <c r="BE34" i="5" s="1"/>
  <c r="BF34" i="5" s="1"/>
  <c r="BG34" i="5" s="1"/>
  <c r="AS35" i="5"/>
  <c r="O32" i="5"/>
  <c r="P31" i="5"/>
  <c r="Q30" i="5"/>
  <c r="M26" i="81" s="1"/>
  <c r="M16" i="3"/>
  <c r="L17" i="3"/>
  <c r="M17" i="3" l="1"/>
  <c r="L18" i="3"/>
  <c r="M33" i="5"/>
  <c r="N32" i="5"/>
  <c r="O33" i="5"/>
  <c r="P32" i="5"/>
  <c r="AS36" i="5"/>
  <c r="AY36" i="5" s="1"/>
  <c r="AY35" i="5"/>
  <c r="BB35" i="5" s="1"/>
  <c r="BE35" i="5" s="1"/>
  <c r="BF35" i="5" s="1"/>
  <c r="BG35" i="5" s="1"/>
  <c r="Q31" i="5"/>
  <c r="M27" i="81" s="1"/>
  <c r="M18" i="3" l="1"/>
  <c r="L19" i="3"/>
  <c r="M34" i="5"/>
  <c r="N33" i="5"/>
  <c r="O34" i="5"/>
  <c r="P33" i="5"/>
  <c r="Q32" i="5"/>
  <c r="M28" i="81" s="1"/>
  <c r="BB36" i="5"/>
  <c r="BE36" i="5" s="1"/>
  <c r="BF36" i="5" s="1"/>
  <c r="BG36" i="5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AA22" i="3" s="1"/>
  <c r="AC22" i="3" s="1"/>
  <c r="AH22" i="3" s="1"/>
  <c r="L23" i="3"/>
  <c r="D3" i="3"/>
  <c r="M23" i="3" l="1"/>
  <c r="AA23" i="3" s="1"/>
  <c r="AC23" i="3" s="1"/>
  <c r="AH23" i="3" s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s="1"/>
  <c r="AC10" i="3" s="1"/>
  <c r="AH10" i="3" s="1"/>
  <c r="D12" i="3" l="1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s="1"/>
  <c r="AC18" i="3" s="1"/>
  <c r="AH18" i="3" s="1"/>
  <c r="D20" i="3" l="1"/>
  <c r="E19" i="3"/>
  <c r="AA19" i="3" l="1"/>
  <c r="AC19" i="3" s="1"/>
  <c r="AH19" i="3" s="1"/>
  <c r="F19" i="3"/>
  <c r="AB19" i="3" s="1"/>
  <c r="D21" i="3"/>
  <c r="E20" i="3"/>
  <c r="AA20" i="3" l="1"/>
  <c r="AC20" i="3" s="1"/>
  <c r="AH20" i="3" s="1"/>
  <c r="F20" i="3"/>
  <c r="AB20" i="3" s="1"/>
  <c r="D22" i="3"/>
  <c r="D23" i="3" s="1"/>
  <c r="D24" i="3" s="1"/>
  <c r="E21" i="3"/>
  <c r="AA21" i="3" l="1"/>
  <c r="AC21" i="3" s="1"/>
  <c r="AH21" i="3" s="1"/>
  <c r="F21" i="3"/>
  <c r="AB21" i="3" s="1"/>
  <c r="D25" i="3"/>
  <c r="E24" i="3"/>
  <c r="AA24" i="3" s="1"/>
  <c r="AC24" i="3" s="1"/>
  <c r="AH24" i="3" s="1"/>
  <c r="D26" i="3" l="1"/>
  <c r="E25" i="3"/>
  <c r="AA25" i="3" s="1"/>
  <c r="AC25" i="3" s="1"/>
  <c r="AH25" i="3" s="1"/>
  <c r="D27" i="3" l="1"/>
  <c r="E26" i="3"/>
  <c r="AA26" i="3" l="1"/>
  <c r="AC26" i="3" s="1"/>
  <c r="AH26" i="3" s="1"/>
  <c r="F26" i="3"/>
  <c r="AB26" i="3" s="1"/>
  <c r="D28" i="3"/>
  <c r="E27" i="3"/>
  <c r="AA27" i="3" l="1"/>
  <c r="AC27" i="3" s="1"/>
  <c r="AH27" i="3" s="1"/>
  <c r="F27" i="3"/>
  <c r="AB27" i="3" s="1"/>
  <c r="D29" i="3"/>
  <c r="E28" i="3"/>
  <c r="AA28" i="3" l="1"/>
  <c r="AC28" i="3" s="1"/>
  <c r="AH28" i="3" s="1"/>
  <c r="F28" i="3"/>
  <c r="AB28" i="3" s="1"/>
  <c r="D30" i="3"/>
  <c r="E29" i="3"/>
  <c r="AA29" i="3" l="1"/>
  <c r="AC29" i="3" s="1"/>
  <c r="AH29" i="3" s="1"/>
  <c r="F29" i="3"/>
  <c r="AB29" i="3" s="1"/>
  <c r="D31" i="3"/>
  <c r="E30" i="3"/>
  <c r="AA30" i="3" s="1"/>
  <c r="AC30" i="3" s="1"/>
  <c r="AH30" i="3" s="1"/>
  <c r="D32" i="3" l="1"/>
  <c r="E31" i="3"/>
  <c r="AA31" i="3" s="1"/>
  <c r="AC31" i="3" s="1"/>
  <c r="AH31" i="3" s="1"/>
  <c r="D33" i="3" l="1"/>
  <c r="E33" i="3" s="1"/>
  <c r="AA33" i="3" s="1"/>
  <c r="AC33" i="3" s="1"/>
  <c r="AH33" i="3" s="1"/>
  <c r="E32" i="3"/>
  <c r="AA32" i="3" s="1"/>
  <c r="AC32" i="3" s="1"/>
  <c r="AH32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AZ5" i="5" l="1"/>
  <c r="BC6" i="5" s="1"/>
  <c r="I3" i="63" l="1"/>
  <c r="BE6" i="5"/>
  <c r="BF6" i="5" s="1"/>
  <c r="BG6" i="5" s="1"/>
  <c r="G6" i="65" s="1"/>
  <c r="BC5" i="5"/>
  <c r="I2" i="63" l="1"/>
  <c r="BE5" i="5" l="1"/>
  <c r="BG5" i="5" l="1"/>
  <c r="G5" i="65" s="1"/>
  <c r="BF5" i="5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<sst xmlns="http://schemas.openxmlformats.org/spreadsheetml/2006/main" count="666" uniqueCount="418">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</sst>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965256"/>
        <c:axId val="394963296"/>
      </c:lineChart>
      <c:catAx>
        <c:axId val="394965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3296"/>
        <c:crosses val="autoZero"/>
        <c:auto val="1"/>
        <c:lblAlgn val="ctr"/>
        <c:lblOffset val="100"/>
        <c:noMultiLvlLbl val="0"/>
      </c:catAx>
      <c:valAx>
        <c:axId val="394963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5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969960"/>
        <c:axId val="394962512"/>
      </c:lineChart>
      <c:catAx>
        <c:axId val="394969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2512"/>
        <c:crosses val="autoZero"/>
        <c:auto val="1"/>
        <c:lblAlgn val="ctr"/>
        <c:lblOffset val="100"/>
        <c:noMultiLvlLbl val="0"/>
      </c:catAx>
      <c:valAx>
        <c:axId val="394962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9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14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19"/>
          <c:w val="0.77663126001869909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966432"/>
        <c:axId val="394965648"/>
      </c:lineChart>
      <c:catAx>
        <c:axId val="39496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5648"/>
        <c:crosses val="autoZero"/>
        <c:auto val="1"/>
        <c:lblAlgn val="ctr"/>
        <c:lblOffset val="100"/>
        <c:noMultiLvlLbl val="0"/>
      </c:catAx>
      <c:valAx>
        <c:axId val="39496564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966824"/>
        <c:axId val="394967608"/>
      </c:lineChart>
      <c:catAx>
        <c:axId val="394966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7608"/>
        <c:crosses val="autoZero"/>
        <c:auto val="1"/>
        <c:lblAlgn val="ctr"/>
        <c:lblOffset val="100"/>
        <c:noMultiLvlLbl val="0"/>
      </c:catAx>
      <c:valAx>
        <c:axId val="3949676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6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26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968784"/>
        <c:axId val="394969568"/>
      </c:lineChart>
      <c:catAx>
        <c:axId val="39496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9568"/>
        <c:crosses val="autoZero"/>
        <c:auto val="1"/>
        <c:lblAlgn val="ctr"/>
        <c:lblOffset val="100"/>
        <c:noMultiLvlLbl val="0"/>
      </c:catAx>
      <c:valAx>
        <c:axId val="3949695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71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067680"/>
        <c:axId val="393064544"/>
      </c:lineChart>
      <c:catAx>
        <c:axId val="39306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4544"/>
        <c:crosses val="autoZero"/>
        <c:auto val="1"/>
        <c:lblAlgn val="ctr"/>
        <c:lblOffset val="100"/>
        <c:noMultiLvlLbl val="0"/>
      </c:catAx>
      <c:valAx>
        <c:axId val="393064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066112"/>
        <c:axId val="393063760"/>
      </c:lineChart>
      <c:catAx>
        <c:axId val="39306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3760"/>
        <c:crosses val="autoZero"/>
        <c:auto val="1"/>
        <c:lblAlgn val="ctr"/>
        <c:lblOffset val="100"/>
        <c:noMultiLvlLbl val="0"/>
      </c:catAx>
      <c:valAx>
        <c:axId val="393063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064936"/>
        <c:axId val="393065328"/>
      </c:lineChart>
      <c:catAx>
        <c:axId val="393064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5328"/>
        <c:crosses val="autoZero"/>
        <c:auto val="1"/>
        <c:lblAlgn val="ctr"/>
        <c:lblOffset val="100"/>
        <c:noMultiLvlLbl val="0"/>
      </c:catAx>
      <c:valAx>
        <c:axId val="39306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4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066504"/>
        <c:axId val="393066896"/>
      </c:lineChart>
      <c:catAx>
        <c:axId val="393066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6896"/>
        <c:crosses val="autoZero"/>
        <c:auto val="1"/>
        <c:lblAlgn val="ctr"/>
        <c:lblOffset val="100"/>
        <c:noMultiLvlLbl val="0"/>
      </c:catAx>
      <c:valAx>
        <c:axId val="3930668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6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7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062192"/>
        <c:axId val="393068072"/>
      </c:lineChart>
      <c:catAx>
        <c:axId val="39306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8072"/>
        <c:crosses val="autoZero"/>
        <c:auto val="1"/>
        <c:lblAlgn val="ctr"/>
        <c:lblOffset val="100"/>
        <c:noMultiLvlLbl val="0"/>
      </c:catAx>
      <c:valAx>
        <c:axId val="393068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060624"/>
        <c:axId val="393061408"/>
      </c:lineChart>
      <c:catAx>
        <c:axId val="39306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1408"/>
        <c:crosses val="autoZero"/>
        <c:auto val="1"/>
        <c:lblAlgn val="ctr"/>
        <c:lblOffset val="100"/>
        <c:noMultiLvlLbl val="0"/>
      </c:catAx>
      <c:valAx>
        <c:axId val="39306140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294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064152"/>
        <c:axId val="394962904"/>
      </c:lineChart>
      <c:catAx>
        <c:axId val="393064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2904"/>
        <c:crosses val="autoZero"/>
        <c:auto val="1"/>
        <c:lblAlgn val="ctr"/>
        <c:lblOffset val="100"/>
        <c:noMultiLvlLbl val="0"/>
      </c:catAx>
      <c:valAx>
        <c:axId val="394962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3064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43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82</c:v>
                </c:pt>
                <c:pt idx="1">
                  <c:v>113</c:v>
                </c:pt>
                <c:pt idx="2">
                  <c:v>33</c:v>
                </c:pt>
                <c:pt idx="3">
                  <c:v>0</c:v>
                </c:pt>
                <c:pt idx="4">
                  <c:v>135</c:v>
                </c:pt>
                <c:pt idx="5">
                  <c:v>0</c:v>
                </c:pt>
                <c:pt idx="6">
                  <c:v>0</c:v>
                </c:pt>
                <c:pt idx="7">
                  <c:v>84</c:v>
                </c:pt>
                <c:pt idx="8">
                  <c:v>0</c:v>
                </c:pt>
                <c:pt idx="9">
                  <c:v>184</c:v>
                </c:pt>
                <c:pt idx="10">
                  <c:v>177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967216"/>
        <c:axId val="394968000"/>
      </c:lineChart>
      <c:catAx>
        <c:axId val="39496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8000"/>
        <c:crosses val="autoZero"/>
        <c:auto val="1"/>
        <c:lblAlgn val="ctr"/>
        <c:lblOffset val="100"/>
        <c:noMultiLvlLbl val="0"/>
      </c:catAx>
      <c:valAx>
        <c:axId val="394968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496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6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971000"/>
        <c:axId val="396971392"/>
      </c:lineChart>
      <c:catAx>
        <c:axId val="396971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71392"/>
        <c:crosses val="autoZero"/>
        <c:auto val="1"/>
        <c:lblAlgn val="ctr"/>
        <c:lblOffset val="100"/>
        <c:noMultiLvlLbl val="0"/>
      </c:catAx>
      <c:valAx>
        <c:axId val="3969713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71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972568"/>
        <c:axId val="396975312"/>
      </c:lineChart>
      <c:catAx>
        <c:axId val="396972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75312"/>
        <c:crosses val="autoZero"/>
        <c:auto val="1"/>
        <c:lblAlgn val="ctr"/>
        <c:lblOffset val="100"/>
        <c:noMultiLvlLbl val="0"/>
      </c:catAx>
      <c:valAx>
        <c:axId val="3969753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72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972960"/>
        <c:axId val="396971784"/>
      </c:lineChart>
      <c:catAx>
        <c:axId val="39697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71784"/>
        <c:crosses val="autoZero"/>
        <c:auto val="1"/>
        <c:lblAlgn val="ctr"/>
        <c:lblOffset val="100"/>
        <c:noMultiLvlLbl val="0"/>
      </c:catAx>
      <c:valAx>
        <c:axId val="396971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7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6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973352"/>
        <c:axId val="396973744"/>
      </c:lineChart>
      <c:catAx>
        <c:axId val="396973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73744"/>
        <c:crosses val="autoZero"/>
        <c:auto val="1"/>
        <c:lblAlgn val="ctr"/>
        <c:lblOffset val="100"/>
        <c:noMultiLvlLbl val="0"/>
      </c:catAx>
      <c:valAx>
        <c:axId val="3969737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73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586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-313.16129032257595</c:v>
                </c:pt>
                <c:pt idx="1">
                  <c:v>-1226.7096774193487</c:v>
                </c:pt>
                <c:pt idx="2">
                  <c:v>0</c:v>
                </c:pt>
                <c:pt idx="3">
                  <c:v>-1226.7096774193487</c:v>
                </c:pt>
                <c:pt idx="4">
                  <c:v>0</c:v>
                </c:pt>
                <c:pt idx="5">
                  <c:v>0</c:v>
                </c:pt>
                <c:pt idx="6">
                  <c:v>-920.03225806452974</c:v>
                </c:pt>
                <c:pt idx="7">
                  <c:v>0</c:v>
                </c:pt>
                <c:pt idx="8">
                  <c:v>-1463.3870967741968</c:v>
                </c:pt>
                <c:pt idx="9">
                  <c:v>-1226.7096774193342</c:v>
                </c:pt>
                <c:pt idx="10">
                  <c:v>11653.741935483849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-1296.7096774193487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974136"/>
        <c:axId val="396968648"/>
      </c:lineChart>
      <c:catAx>
        <c:axId val="396974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68648"/>
        <c:crosses val="autoZero"/>
        <c:auto val="1"/>
        <c:lblAlgn val="ctr"/>
        <c:lblOffset val="100"/>
        <c:noMultiLvlLbl val="0"/>
      </c:catAx>
      <c:valAx>
        <c:axId val="39696864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74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969432"/>
        <c:axId val="396969824"/>
      </c:lineChart>
      <c:catAx>
        <c:axId val="396969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69824"/>
        <c:crosses val="autoZero"/>
        <c:auto val="1"/>
        <c:lblAlgn val="ctr"/>
        <c:lblOffset val="100"/>
        <c:noMultiLvlLbl val="0"/>
      </c:catAx>
      <c:valAx>
        <c:axId val="396969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69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595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970608"/>
        <c:axId val="397506336"/>
      </c:lineChart>
      <c:catAx>
        <c:axId val="39697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6336"/>
        <c:crosses val="autoZero"/>
        <c:auto val="1"/>
        <c:lblAlgn val="ctr"/>
        <c:lblOffset val="100"/>
        <c:noMultiLvlLbl val="0"/>
      </c:catAx>
      <c:valAx>
        <c:axId val="39750633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97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501240"/>
        <c:axId val="397500456"/>
      </c:lineChart>
      <c:catAx>
        <c:axId val="397501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0456"/>
        <c:crosses val="autoZero"/>
        <c:auto val="1"/>
        <c:lblAlgn val="ctr"/>
        <c:lblOffset val="100"/>
        <c:noMultiLvlLbl val="0"/>
      </c:catAx>
      <c:valAx>
        <c:axId val="3975004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1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501632"/>
        <c:axId val="397500848"/>
      </c:lineChart>
      <c:catAx>
        <c:axId val="397501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0848"/>
        <c:crosses val="autoZero"/>
        <c:auto val="1"/>
        <c:lblAlgn val="ctr"/>
        <c:lblOffset val="100"/>
        <c:noMultiLvlLbl val="0"/>
      </c:catAx>
      <c:valAx>
        <c:axId val="397500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577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505944"/>
        <c:axId val="397504768"/>
      </c:lineChart>
      <c:catAx>
        <c:axId val="397505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4768"/>
        <c:crosses val="autoZero"/>
        <c:auto val="1"/>
        <c:lblAlgn val="ctr"/>
        <c:lblOffset val="100"/>
        <c:noMultiLvlLbl val="0"/>
      </c:catAx>
      <c:valAx>
        <c:axId val="397504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5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502024"/>
        <c:axId val="397502416"/>
      </c:lineChart>
      <c:catAx>
        <c:axId val="397502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2416"/>
        <c:crosses val="autoZero"/>
        <c:auto val="1"/>
        <c:lblAlgn val="ctr"/>
        <c:lblOffset val="100"/>
        <c:noMultiLvlLbl val="0"/>
      </c:catAx>
      <c:valAx>
        <c:axId val="39750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2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26"/>
          <c:w val="0.12343118198094753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506728"/>
        <c:axId val="397505160"/>
      </c:lineChart>
      <c:catAx>
        <c:axId val="397506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5160"/>
        <c:crosses val="autoZero"/>
        <c:auto val="1"/>
        <c:lblAlgn val="ctr"/>
        <c:lblOffset val="100"/>
        <c:noMultiLvlLbl val="0"/>
      </c:catAx>
      <c:valAx>
        <c:axId val="39750516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6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87"/>
          <c:w val="0.15690398532824967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507120"/>
        <c:axId val="397502808"/>
      </c:lineChart>
      <c:catAx>
        <c:axId val="39750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2808"/>
        <c:crosses val="autoZero"/>
        <c:auto val="1"/>
        <c:lblAlgn val="ctr"/>
        <c:lblOffset val="100"/>
        <c:noMultiLvlLbl val="0"/>
      </c:catAx>
      <c:valAx>
        <c:axId val="3975028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50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9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847736"/>
        <c:axId val="397844992"/>
      </c:lineChart>
      <c:catAx>
        <c:axId val="397847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844992"/>
        <c:crosses val="autoZero"/>
        <c:auto val="1"/>
        <c:lblAlgn val="ctr"/>
        <c:lblOffset val="100"/>
        <c:noMultiLvlLbl val="0"/>
      </c:catAx>
      <c:valAx>
        <c:axId val="397844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847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850480"/>
        <c:axId val="397845776"/>
      </c:lineChart>
      <c:catAx>
        <c:axId val="397850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845776"/>
        <c:crosses val="autoZero"/>
        <c:auto val="1"/>
        <c:lblAlgn val="ctr"/>
        <c:lblOffset val="100"/>
        <c:noMultiLvlLbl val="0"/>
      </c:catAx>
      <c:valAx>
        <c:axId val="39784577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785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87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44773</v>
          </cell>
          <cell r="D34">
            <v>339450</v>
          </cell>
          <cell r="E34">
            <v>630</v>
          </cell>
          <cell r="F34">
            <v>4150571</v>
          </cell>
          <cell r="G34">
            <v>560</v>
          </cell>
          <cell r="H34">
            <v>18066022</v>
          </cell>
          <cell r="I34">
            <v>648</v>
          </cell>
          <cell r="J34">
            <v>29828258</v>
          </cell>
          <cell r="K34">
            <v>804</v>
          </cell>
          <cell r="L34">
            <v>24633366</v>
          </cell>
          <cell r="M34">
            <v>1564</v>
          </cell>
          <cell r="N34">
            <v>4206</v>
          </cell>
          <cell r="O34">
            <v>0</v>
          </cell>
          <cell r="P34">
            <v>19396.538</v>
          </cell>
          <cell r="Q34">
            <v>4695.9999999999127</v>
          </cell>
          <cell r="R34">
            <v>-489.99999999991269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44773</v>
          </cell>
          <cell r="B35">
            <v>219</v>
          </cell>
          <cell r="C35">
            <v>226</v>
          </cell>
          <cell r="D35">
            <v>4</v>
          </cell>
          <cell r="E35">
            <v>33.520000000000003</v>
          </cell>
          <cell r="F35">
            <v>2260</v>
          </cell>
          <cell r="G35">
            <v>0</v>
          </cell>
          <cell r="H35">
            <v>44849</v>
          </cell>
          <cell r="I35">
            <v>0</v>
          </cell>
          <cell r="J35">
            <v>0</v>
          </cell>
          <cell r="K35">
            <v>2450</v>
          </cell>
          <cell r="L35">
            <v>1</v>
          </cell>
          <cell r="M35">
            <v>182120</v>
          </cell>
          <cell r="N35">
            <v>82</v>
          </cell>
          <cell r="O35">
            <v>1869</v>
          </cell>
          <cell r="P35">
            <v>2222</v>
          </cell>
          <cell r="Q35">
            <v>185751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82</v>
          </cell>
          <cell r="W35"/>
          <cell r="X35">
            <v>2489</v>
          </cell>
          <cell r="Y35">
            <v>0</v>
          </cell>
          <cell r="Z35">
            <v>140626</v>
          </cell>
          <cell r="AA35">
            <v>0</v>
          </cell>
          <cell r="AB35">
            <v>0</v>
          </cell>
          <cell r="AC35">
            <v>1947</v>
          </cell>
          <cell r="AD35">
            <v>0</v>
          </cell>
          <cell r="AE35">
            <v>366543</v>
          </cell>
          <cell r="AF35">
            <v>0</v>
          </cell>
          <cell r="AG35">
            <v>0</v>
          </cell>
          <cell r="AH35">
            <v>0</v>
          </cell>
          <cell r="AI35">
            <v>82</v>
          </cell>
          <cell r="AJ35">
            <v>82</v>
          </cell>
          <cell r="AK35">
            <v>0</v>
          </cell>
          <cell r="AL35">
            <v>1</v>
          </cell>
          <cell r="AM35">
            <v>0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44773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629805</v>
          </cell>
          <cell r="H36">
            <v>196</v>
          </cell>
          <cell r="I36">
            <v>196</v>
          </cell>
          <cell r="J36">
            <v>1.2343647136273865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5189</v>
          </cell>
          <cell r="U36">
            <v>1</v>
          </cell>
          <cell r="V36">
            <v>497</v>
          </cell>
          <cell r="W36">
            <v>0</v>
          </cell>
          <cell r="X36">
            <v>155747</v>
          </cell>
          <cell r="Y36">
            <v>0</v>
          </cell>
          <cell r="Z36">
            <v>99558</v>
          </cell>
          <cell r="AA36">
            <v>0</v>
          </cell>
          <cell r="AB36">
            <v>219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28.5</v>
          </cell>
          <cell r="AN36">
            <v>0</v>
          </cell>
          <cell r="AO36"/>
          <cell r="AP36">
            <v>0</v>
          </cell>
          <cell r="AR36">
            <v>44773</v>
          </cell>
          <cell r="AS36">
            <v>0.9</v>
          </cell>
          <cell r="AT36">
            <v>125</v>
          </cell>
          <cell r="AU36">
            <v>1.1000000000000001</v>
          </cell>
          <cell r="AW36">
            <v>2.9</v>
          </cell>
          <cell r="AY36">
            <v>112.5</v>
          </cell>
          <cell r="AZ36">
            <v>133.10000000000002</v>
          </cell>
          <cell r="BA36">
            <v>330.59999999999997</v>
          </cell>
          <cell r="BB36">
            <v>52.199999999999996</v>
          </cell>
          <cell r="BC36">
            <v>0</v>
          </cell>
          <cell r="BD36">
            <v>0</v>
          </cell>
          <cell r="BE36">
            <v>52.199999999999996</v>
          </cell>
          <cell r="BF36">
            <v>143.80000000000001</v>
          </cell>
          <cell r="BG36">
            <v>52.199999999999989</v>
          </cell>
        </row>
      </sheetData>
      <sheetData sheetId="5">
        <row r="33">
          <cell r="A33">
            <v>44773</v>
          </cell>
          <cell r="B33">
            <v>626</v>
          </cell>
          <cell r="C33">
            <v>18</v>
          </cell>
          <cell r="D33">
            <v>724531</v>
          </cell>
          <cell r="E33">
            <v>1530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117</v>
          </cell>
          <cell r="K33">
            <v>1</v>
          </cell>
          <cell r="L33">
            <v>386191</v>
          </cell>
          <cell r="M33">
            <v>250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/>
          <cell r="X33">
            <v>14413</v>
          </cell>
          <cell r="Y33" t="str">
            <v>ok</v>
          </cell>
          <cell r="Z33">
            <v>19</v>
          </cell>
          <cell r="AA33">
            <v>1780</v>
          </cell>
          <cell r="AB33">
            <v>585</v>
          </cell>
          <cell r="AC33">
            <v>93.684210526315795</v>
          </cell>
          <cell r="AD33">
            <v>4695.9999999999127</v>
          </cell>
          <cell r="AE33">
            <v>247.15789473683751</v>
          </cell>
          <cell r="AF33">
            <v>0.15447368421052343</v>
          </cell>
          <cell r="AG33">
            <v>9.654605263157715E-5</v>
          </cell>
          <cell r="AH33">
            <v>93.684113980263163</v>
          </cell>
          <cell r="AI33">
            <v>1208.6751054852098</v>
          </cell>
          <cell r="AJ33">
            <v>0.25738396624472576</v>
          </cell>
          <cell r="AK33">
            <v>63.614479236063673</v>
          </cell>
          <cell r="AL33">
            <v>1</v>
          </cell>
        </row>
      </sheetData>
      <sheetData sheetId="6">
        <row r="36">
          <cell r="A36">
            <v>44773</v>
          </cell>
          <cell r="B36">
            <v>219</v>
          </cell>
          <cell r="C36">
            <v>4712.0322580645161</v>
          </cell>
          <cell r="D36">
            <v>219</v>
          </cell>
          <cell r="E36">
            <v>4712.0322580645161</v>
          </cell>
          <cell r="F36">
            <v>219</v>
          </cell>
          <cell r="G36">
            <v>4712.0322580645161</v>
          </cell>
          <cell r="H36">
            <v>219</v>
          </cell>
          <cell r="I36">
            <v>4712.0322580645161</v>
          </cell>
          <cell r="J36">
            <v>219</v>
          </cell>
          <cell r="K36">
            <v>4712.0322580645161</v>
          </cell>
          <cell r="L36">
            <v>219</v>
          </cell>
          <cell r="M36">
            <v>4712.0322580645161</v>
          </cell>
          <cell r="N36">
            <v>219</v>
          </cell>
          <cell r="O36">
            <v>4712.0322580645161</v>
          </cell>
          <cell r="P36">
            <v>219</v>
          </cell>
          <cell r="Q36">
            <v>4712.0322580645161</v>
          </cell>
          <cell r="R36">
            <v>219</v>
          </cell>
          <cell r="S36">
            <v>4712.0322580645161</v>
          </cell>
          <cell r="T36">
            <v>219</v>
          </cell>
          <cell r="U36">
            <v>4712.0322580645161</v>
          </cell>
          <cell r="V36">
            <v>219</v>
          </cell>
          <cell r="W36">
            <v>4712.0322580645161</v>
          </cell>
          <cell r="X36">
            <v>0.70645161290322578</v>
          </cell>
          <cell r="Y36">
            <v>51832.354838709674</v>
          </cell>
          <cell r="Z36">
            <v>226</v>
          </cell>
          <cell r="AA36">
            <v>2260</v>
          </cell>
          <cell r="AB36">
            <v>226</v>
          </cell>
          <cell r="AC36">
            <v>2260</v>
          </cell>
          <cell r="AD36">
            <v>226</v>
          </cell>
          <cell r="AE36">
            <v>2260</v>
          </cell>
          <cell r="AF36">
            <v>226</v>
          </cell>
          <cell r="AG36">
            <v>2260</v>
          </cell>
          <cell r="AH36">
            <v>226</v>
          </cell>
          <cell r="AI36">
            <v>2260</v>
          </cell>
          <cell r="AJ36">
            <v>226</v>
          </cell>
          <cell r="AK36">
            <v>2260</v>
          </cell>
          <cell r="AL36">
            <v>226</v>
          </cell>
          <cell r="AM36">
            <v>2260</v>
          </cell>
          <cell r="AN36">
            <v>0.80714285714285716</v>
          </cell>
          <cell r="AO36">
            <v>15820</v>
          </cell>
          <cell r="AQ36">
            <v>0.72767941097891431</v>
          </cell>
          <cell r="AR36">
            <v>67652.354838709667</v>
          </cell>
          <cell r="AS36">
            <v>-1226.7096774193633</v>
          </cell>
          <cell r="AT36"/>
          <cell r="AU36"/>
          <cell r="AV36">
            <v>1.085</v>
          </cell>
          <cell r="AW36">
            <v>-82</v>
          </cell>
          <cell r="AX36">
            <v>-1144.7096774193633</v>
          </cell>
          <cell r="AY36">
            <v>-1226.7096774193633</v>
          </cell>
          <cell r="AZ36">
            <v>0</v>
          </cell>
          <cell r="BA36">
            <v>28.5</v>
          </cell>
          <cell r="BB36">
            <v>0.67</v>
          </cell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>
        <row r="21">
          <cell r="W21">
            <v>44764</v>
          </cell>
        </row>
        <row r="26">
          <cell r="V26">
            <v>401730</v>
          </cell>
          <cell r="W26">
            <v>401847</v>
          </cell>
          <cell r="X26" t="str">
            <v>Night</v>
          </cell>
          <cell r="Y26">
            <v>80</v>
          </cell>
          <cell r="Z26">
            <v>1</v>
          </cell>
          <cell r="AA26">
            <v>117</v>
          </cell>
          <cell r="AB26">
            <v>9360</v>
          </cell>
          <cell r="AC26">
            <v>1033333</v>
          </cell>
          <cell r="AD26">
            <v>0.17567567567567569</v>
          </cell>
        </row>
        <row r="27">
          <cell r="V27">
            <v>559523</v>
          </cell>
          <cell r="W27">
            <v>560074</v>
          </cell>
          <cell r="X27" t="str">
            <v>day</v>
          </cell>
          <cell r="Y27">
            <v>112</v>
          </cell>
          <cell r="Z27">
            <v>1</v>
          </cell>
          <cell r="AA27">
            <v>551</v>
          </cell>
          <cell r="AB27">
            <v>61712</v>
          </cell>
          <cell r="AC27">
            <v>6200000</v>
          </cell>
          <cell r="AD27">
            <v>0.82732732732732728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668</v>
          </cell>
          <cell r="AB29">
            <v>71072</v>
          </cell>
          <cell r="AC29">
            <v>7234333</v>
          </cell>
        </row>
        <row r="30">
          <cell r="AA30"/>
          <cell r="AB30">
            <v>7305405</v>
          </cell>
          <cell r="AC30"/>
        </row>
        <row r="31">
          <cell r="AA31"/>
          <cell r="AB31"/>
          <cell r="AC31"/>
        </row>
        <row r="32">
          <cell r="W32">
            <v>216</v>
          </cell>
          <cell r="X32">
            <v>216</v>
          </cell>
          <cell r="Y32">
            <v>216</v>
          </cell>
          <cell r="AA32"/>
          <cell r="AB32"/>
          <cell r="AC32"/>
        </row>
        <row r="33">
          <cell r="W33"/>
          <cell r="AA33">
            <v>0.11</v>
          </cell>
          <cell r="AB33">
            <v>803594.55</v>
          </cell>
          <cell r="AC33">
            <v>7234333</v>
          </cell>
        </row>
        <row r="34">
          <cell r="A34">
            <v>44773</v>
          </cell>
          <cell r="B34">
            <v>1123330</v>
          </cell>
          <cell r="C34">
            <v>666</v>
          </cell>
          <cell r="D34">
            <v>668</v>
          </cell>
          <cell r="E34">
            <v>1123332</v>
          </cell>
          <cell r="F34">
            <v>161410</v>
          </cell>
          <cell r="G34">
            <v>0</v>
          </cell>
          <cell r="H34">
            <v>560074</v>
          </cell>
          <cell r="I34">
            <v>551</v>
          </cell>
          <cell r="J34">
            <v>401847</v>
          </cell>
          <cell r="K34">
            <v>117</v>
          </cell>
          <cell r="L34">
            <v>0</v>
          </cell>
          <cell r="M34">
            <v>40.936650082918739</v>
          </cell>
          <cell r="N34">
            <v>6.2089552238805972</v>
          </cell>
          <cell r="O34">
            <v>154.80303857058792</v>
          </cell>
          <cell r="P34">
            <v>201.94864387738727</v>
          </cell>
          <cell r="Q34">
            <v>1325.0014516129129</v>
          </cell>
          <cell r="R34">
            <v>1526.9500954903001</v>
          </cell>
          <cell r="S34">
            <v>4206</v>
          </cell>
          <cell r="T34">
            <v>0.36304091666436045</v>
          </cell>
          <cell r="AA34"/>
          <cell r="AB34">
            <v>8108999.5499999998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4846.039800995025</v>
          </cell>
        </row>
      </sheetData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  <cell r="AC36"/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</row>
        <row r="15">
          <cell r="B15">
            <v>-18.3</v>
          </cell>
        </row>
        <row r="16">
          <cell r="B16">
            <v>33.615384615384613</v>
          </cell>
        </row>
        <row r="17">
          <cell r="B17">
            <v>0</v>
          </cell>
        </row>
        <row r="18">
          <cell r="B18">
            <v>337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8</v>
      </c>
      <c r="D2">
        <v>2022</v>
      </c>
      <c r="E2" s="203">
        <f>ELEC!N4</f>
        <v>3394</v>
      </c>
      <c r="F2" s="315">
        <f>SUM('EDl log'!T4)</f>
        <v>0.11559970548534575</v>
      </c>
      <c r="G2" s="203">
        <f>-tanks!AW6</f>
        <v>113</v>
      </c>
      <c r="H2" s="315">
        <f>tanks!AV6</f>
        <v>1.0780000000000001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8</v>
      </c>
      <c r="D3">
        <f>D2</f>
        <v>2022</v>
      </c>
      <c r="E3" s="203">
        <f>ELEC!N5</f>
        <v>4589</v>
      </c>
      <c r="F3" s="315">
        <f>SUM('EDl log'!T5)</f>
        <v>0.31414732421630986</v>
      </c>
      <c r="G3" s="203">
        <f>-tanks!AW7</f>
        <v>33</v>
      </c>
      <c r="H3" s="315">
        <f>tanks!AV7</f>
        <v>1.0780000000000001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8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1.0780000000000001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8</v>
      </c>
      <c r="D5">
        <f t="shared" si="1"/>
        <v>2022</v>
      </c>
      <c r="E5" s="203">
        <f>ELEC!N7</f>
        <v>2188</v>
      </c>
      <c r="F5" s="315">
        <f>SUM('EDl log'!T7)</f>
        <v>0.60862251866025863</v>
      </c>
      <c r="G5" s="203">
        <f>-tanks!AW9</f>
        <v>135</v>
      </c>
      <c r="H5" s="315">
        <f>tanks!AV9</f>
        <v>1.0780000000000001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8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1.0780000000000001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8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1.0780000000000001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8</v>
      </c>
      <c r="D8">
        <f t="shared" si="1"/>
        <v>2022</v>
      </c>
      <c r="E8" s="203">
        <f>ELEC!N10</f>
        <v>3848</v>
      </c>
      <c r="F8" s="315">
        <f>SUM('EDl log'!T10)</f>
        <v>0.27444018003226384</v>
      </c>
      <c r="G8" s="203">
        <f>-tanks!AW12</f>
        <v>84</v>
      </c>
      <c r="H8" s="315">
        <f>tanks!AV12</f>
        <v>1.0780000000000001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8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1.0780000000000001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8</v>
      </c>
      <c r="D10">
        <f t="shared" si="1"/>
        <v>2022</v>
      </c>
      <c r="E10" s="203">
        <f>ELEC!N12</f>
        <v>2181</v>
      </c>
      <c r="F10" s="315">
        <f>SUM('EDl log'!T12)</f>
        <v>0.70746081933491856</v>
      </c>
      <c r="G10" s="203">
        <f>-tanks!AW14</f>
        <v>184</v>
      </c>
      <c r="H10" s="315">
        <f>tanks!AV14</f>
        <v>1.0780000000000001</v>
      </c>
      <c r="I10" s="10">
        <f>('B5'!AU13)*0.51</f>
        <v>0</v>
      </c>
      <c r="J10" s="296">
        <f>'B5'!AX13/0.51</f>
        <v>1.5686274509803921</v>
      </c>
      <c r="K10" s="203">
        <f>WATER!I14</f>
        <v>49</v>
      </c>
      <c r="L10" s="316">
        <f>SUM(WATER!J14)</f>
        <v>4.9374588545095461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8</v>
      </c>
      <c r="D11">
        <f t="shared" si="1"/>
        <v>2022</v>
      </c>
      <c r="E11" s="203">
        <f>ELEC!N13</f>
        <v>3119</v>
      </c>
      <c r="F11" s="315">
        <f>SUM('EDl log'!T13)</f>
        <v>0.41243670113133385</v>
      </c>
      <c r="G11" s="203">
        <f>-tanks!AW15</f>
        <v>177</v>
      </c>
      <c r="H11" s="315">
        <f>tanks!AV15</f>
        <v>1.0780000000000001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8</v>
      </c>
      <c r="D12">
        <f t="shared" si="1"/>
        <v>2022</v>
      </c>
      <c r="E12" s="203">
        <f>ELEC!N14</f>
        <v>2990</v>
      </c>
      <c r="F12" s="315">
        <f>SUM('EDl log'!T14)</f>
        <v>-4.1584624641742485</v>
      </c>
      <c r="G12" s="203">
        <f>-tanks!AW16</f>
        <v>24</v>
      </c>
      <c r="H12" s="315">
        <f>tanks!AV16</f>
        <v>1.0780000000000001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8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1.0780000000000001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8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1.0780000000000001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8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1.0780000000000001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8</v>
      </c>
      <c r="D16">
        <f t="shared" si="1"/>
        <v>2022</v>
      </c>
      <c r="E16" s="203">
        <f>ELEC!N18</f>
        <v>2947</v>
      </c>
      <c r="F16" s="315">
        <f>SUM('EDl log'!T18)</f>
        <v>0.52685988151633723</v>
      </c>
      <c r="G16" s="203">
        <f>-tanks!AW20</f>
        <v>0</v>
      </c>
      <c r="H16" s="315">
        <f>tanks!AV20</f>
        <v>1.0780000000000001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8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1.0780000000000001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8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1.0780000000000001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8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1.0780000000000001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8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1.0780000000000001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8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1.0780000000000001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8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1.0780000000000001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8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8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8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8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8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8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8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8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8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8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workbookViewId="0">
      <selection activeCell="F36" sqref="F3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8</v>
      </c>
      <c r="D2">
        <v>2022</v>
      </c>
      <c r="E2" s="203">
        <f>ELEC!M4</f>
        <v>1104</v>
      </c>
      <c r="F2" s="203">
        <f>ELEC!K4</f>
        <v>548</v>
      </c>
      <c r="G2" s="203">
        <f>ELEC!I4</f>
        <v>444</v>
      </c>
      <c r="H2" s="203">
        <f>ELEC!E4</f>
        <v>840</v>
      </c>
      <c r="I2" s="203">
        <f>ELEC!G4</f>
        <v>458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8</v>
      </c>
      <c r="D3">
        <v>2022</v>
      </c>
      <c r="E3" s="203">
        <f>ELEC!M5</f>
        <v>1316</v>
      </c>
      <c r="F3" s="203">
        <f>ELEC!K5</f>
        <v>1108</v>
      </c>
      <c r="G3" s="203">
        <f>ELEC!I5</f>
        <v>564</v>
      </c>
      <c r="H3" s="203">
        <f>ELEC!E5</f>
        <v>1110</v>
      </c>
      <c r="I3" s="203">
        <f>ELEC!G5</f>
        <v>491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8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8</v>
      </c>
      <c r="D5">
        <v>2022</v>
      </c>
      <c r="E5" s="203">
        <f>ELEC!M7</f>
        <v>570</v>
      </c>
      <c r="F5" s="203">
        <f>ELEC!K7</f>
        <v>584</v>
      </c>
      <c r="G5" s="203">
        <f>ELEC!I7</f>
        <v>316</v>
      </c>
      <c r="H5" s="203">
        <f>ELEC!E7</f>
        <v>480</v>
      </c>
      <c r="I5" s="203">
        <f>ELEC!G7</f>
        <v>238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8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8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8</v>
      </c>
      <c r="D8">
        <v>2022</v>
      </c>
      <c r="E8" s="203">
        <f>ELEC!M10</f>
        <v>986</v>
      </c>
      <c r="F8" s="203">
        <f>ELEC!K10</f>
        <v>1082</v>
      </c>
      <c r="G8" s="203">
        <f>ELEC!I10</f>
        <v>530</v>
      </c>
      <c r="H8" s="203">
        <f>ELEC!E10</f>
        <v>810</v>
      </c>
      <c r="I8" s="203">
        <f>ELEC!G10</f>
        <v>440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8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8</v>
      </c>
      <c r="D10">
        <v>2022</v>
      </c>
      <c r="E10" s="203">
        <f>ELEC!M12</f>
        <v>560</v>
      </c>
      <c r="F10" s="203">
        <f>ELEC!K12</f>
        <v>606</v>
      </c>
      <c r="G10" s="203">
        <f>ELEC!I12</f>
        <v>310</v>
      </c>
      <c r="H10" s="203">
        <f>ELEC!E12</f>
        <v>440</v>
      </c>
      <c r="I10" s="203">
        <f>ELEC!G12</f>
        <v>265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8</v>
      </c>
      <c r="D11">
        <v>2022</v>
      </c>
      <c r="E11" s="203">
        <f>ELEC!M13</f>
        <v>804</v>
      </c>
      <c r="F11" s="203">
        <f>ELEC!K13</f>
        <v>864</v>
      </c>
      <c r="G11" s="203">
        <f>ELEC!I13</f>
        <v>428</v>
      </c>
      <c r="H11" s="203">
        <f>ELEC!E13</f>
        <v>660</v>
      </c>
      <c r="I11" s="203">
        <f>ELEC!G13</f>
        <v>363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8</v>
      </c>
      <c r="D12">
        <v>2022</v>
      </c>
      <c r="E12" s="203">
        <f>ELEC!M14</f>
        <v>852</v>
      </c>
      <c r="F12" s="203">
        <f>ELEC!K14</f>
        <v>752</v>
      </c>
      <c r="G12" s="203">
        <f>ELEC!I14</f>
        <v>388</v>
      </c>
      <c r="H12" s="203">
        <f>ELEC!E14</f>
        <v>650</v>
      </c>
      <c r="I12" s="203">
        <f>ELEC!G14</f>
        <v>348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8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8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8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8</v>
      </c>
      <c r="D16">
        <v>2022</v>
      </c>
      <c r="E16" s="203">
        <f>ELEC!M18</f>
        <v>932</v>
      </c>
      <c r="F16" s="203">
        <f>ELEC!K18</f>
        <v>572</v>
      </c>
      <c r="G16" s="203">
        <f>ELEC!I18</f>
        <v>412</v>
      </c>
      <c r="H16" s="203">
        <f>ELEC!E18</f>
        <v>630</v>
      </c>
      <c r="I16" s="203">
        <f>ELEC!G18</f>
        <v>401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8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8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8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8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8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8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8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8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8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8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8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8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8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8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8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8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topLeftCell="E1" zoomScale="70" zoomScaleNormal="70" zoomScaleSheetLayoutView="100" workbookViewId="0">
      <pane ySplit="2" topLeftCell="A3" activePane="bottomLeft" state="frozen"/>
      <selection activeCell="C1" sqref="C1"/>
      <selection pane="bottomLeft" activeCell="X18" sqref="X1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44773</v>
      </c>
      <c r="D3" s="586">
        <f>[2]ELEC!D34</f>
        <v>339450</v>
      </c>
      <c r="E3" s="586">
        <f>[2]ELEC!E34</f>
        <v>630</v>
      </c>
      <c r="F3" s="586">
        <f>[2]ELEC!F34</f>
        <v>4150571</v>
      </c>
      <c r="G3" s="586">
        <f>[2]ELEC!G34</f>
        <v>560</v>
      </c>
      <c r="H3" s="586">
        <f>[2]ELEC!H34</f>
        <v>18066022</v>
      </c>
      <c r="I3" s="586">
        <f>[2]ELEC!I34</f>
        <v>648</v>
      </c>
      <c r="J3" s="586">
        <f>[2]ELEC!J34</f>
        <v>29828258</v>
      </c>
      <c r="K3" s="586">
        <f>[2]ELEC!K34</f>
        <v>804</v>
      </c>
      <c r="L3" s="586">
        <f>[2]ELEC!L34</f>
        <v>24633366</v>
      </c>
      <c r="M3" s="586">
        <f>[2]ELEC!M34</f>
        <v>1564</v>
      </c>
      <c r="N3" s="586">
        <f>[2]ELEC!N34</f>
        <v>4206</v>
      </c>
      <c r="O3" s="586">
        <f>[2]ELEC!O34</f>
        <v>0</v>
      </c>
      <c r="P3" s="586">
        <f>[2]ELEC!P34</f>
        <v>19396.538</v>
      </c>
      <c r="Q3" s="586">
        <f>[2]ELEC!Q34</f>
        <v>4695.9999999999127</v>
      </c>
      <c r="R3" s="586">
        <f>[2]ELEC!R34</f>
        <v>-489.99999999991269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33484</v>
      </c>
      <c r="X3" s="586">
        <f>[2]ELEC!X34</f>
        <v>0</v>
      </c>
      <c r="Y3" s="586">
        <f>[2]ELEC!Y34</f>
        <v>996900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44774</v>
      </c>
      <c r="D4" s="587">
        <v>340290</v>
      </c>
      <c r="E4" s="575">
        <f>D4-D3</f>
        <v>840</v>
      </c>
      <c r="F4" s="567">
        <v>4151029</v>
      </c>
      <c r="G4" s="576">
        <f>F4-F3</f>
        <v>458</v>
      </c>
      <c r="H4" s="426">
        <v>18066466</v>
      </c>
      <c r="I4" s="576">
        <f>H4-H3</f>
        <v>444</v>
      </c>
      <c r="J4" s="426">
        <v>29828806</v>
      </c>
      <c r="K4" s="576">
        <f>J4-J3</f>
        <v>548</v>
      </c>
      <c r="L4" s="426">
        <v>24634470</v>
      </c>
      <c r="M4" s="576">
        <f>L4-L3</f>
        <v>1104</v>
      </c>
      <c r="N4" s="427">
        <f>M4+K4+I4+G4+E4</f>
        <v>3394</v>
      </c>
      <c r="O4" s="438">
        <f t="shared" ref="O4:O10" si="0">IF(B4&gt;0,N4/B4,0)</f>
        <v>0</v>
      </c>
      <c r="P4" s="561">
        <v>19399.374</v>
      </c>
      <c r="Q4" s="446">
        <f t="shared" ref="Q4:Q31" si="1">(P4-P3)*1000</f>
        <v>2835.9999999993306</v>
      </c>
      <c r="R4" s="545">
        <f>+N4-Q4</f>
        <v>558.00000000066939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44775</v>
      </c>
      <c r="D5" s="587">
        <v>341400</v>
      </c>
      <c r="E5" s="575">
        <f t="shared" ref="E5:E34" si="7">D5-D4</f>
        <v>1110</v>
      </c>
      <c r="F5" s="567">
        <v>4151520</v>
      </c>
      <c r="G5" s="449">
        <f>F5-F4</f>
        <v>491</v>
      </c>
      <c r="H5" s="426">
        <v>18067030</v>
      </c>
      <c r="I5" s="449">
        <f>H5-H4</f>
        <v>564</v>
      </c>
      <c r="J5" s="426">
        <v>29829914</v>
      </c>
      <c r="K5" s="449">
        <f>J5-J4</f>
        <v>1108</v>
      </c>
      <c r="L5" s="426">
        <v>24635786</v>
      </c>
      <c r="M5" s="449">
        <f>L5-L4</f>
        <v>1316</v>
      </c>
      <c r="N5" s="297">
        <f>M5+K5+I5+G5+E5</f>
        <v>4589</v>
      </c>
      <c r="O5" s="445">
        <f t="shared" si="0"/>
        <v>0</v>
      </c>
      <c r="P5" s="561">
        <v>19403.833999999999</v>
      </c>
      <c r="Q5" s="446">
        <f t="shared" si="1"/>
        <v>4459.9999999991269</v>
      </c>
      <c r="R5" s="428">
        <f>N5-Q5</f>
        <v>129.00000000087311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44776</v>
      </c>
      <c r="D6" s="587">
        <f t="shared" ref="D6:D34" si="15">D5</f>
        <v>341400</v>
      </c>
      <c r="E6" s="575">
        <f t="shared" ref="E6:E7" si="16">D6-D5</f>
        <v>0</v>
      </c>
      <c r="F6" s="567">
        <f t="shared" ref="F6:F34" si="17">F5</f>
        <v>4151520</v>
      </c>
      <c r="G6" s="449">
        <f t="shared" ref="G6:G7" si="18">F6-F5</f>
        <v>0</v>
      </c>
      <c r="H6" s="426">
        <f t="shared" ref="H6:H34" si="19">H5</f>
        <v>18067030</v>
      </c>
      <c r="I6" s="449">
        <f t="shared" ref="I6:I7" si="20">H6-H5</f>
        <v>0</v>
      </c>
      <c r="J6" s="426">
        <f t="shared" ref="J6:J34" si="21">J5</f>
        <v>29829914</v>
      </c>
      <c r="K6" s="449">
        <f t="shared" ref="K6:K7" si="22">J6-J5</f>
        <v>0</v>
      </c>
      <c r="L6" s="426">
        <f t="shared" ref="L6:L34" si="23">L5</f>
        <v>24635786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1">
        <f t="shared" ref="P6:P34" si="27">P5</f>
        <v>19403.833999999999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44777</v>
      </c>
      <c r="D7" s="587">
        <v>341880</v>
      </c>
      <c r="E7" s="575">
        <f t="shared" si="16"/>
        <v>480</v>
      </c>
      <c r="F7" s="567">
        <v>4151758</v>
      </c>
      <c r="G7" s="449">
        <f t="shared" si="18"/>
        <v>238</v>
      </c>
      <c r="H7" s="426">
        <v>18067346</v>
      </c>
      <c r="I7" s="449">
        <f t="shared" si="20"/>
        <v>316</v>
      </c>
      <c r="J7" s="426">
        <v>29830498</v>
      </c>
      <c r="K7" s="449">
        <f t="shared" si="22"/>
        <v>584</v>
      </c>
      <c r="L7" s="426">
        <v>24636356</v>
      </c>
      <c r="M7" s="449">
        <f t="shared" si="24"/>
        <v>570</v>
      </c>
      <c r="N7" s="297">
        <f t="shared" si="25"/>
        <v>2188</v>
      </c>
      <c r="O7" s="445">
        <f t="shared" si="26"/>
        <v>0</v>
      </c>
      <c r="P7" s="561">
        <v>19406.072</v>
      </c>
      <c r="Q7" s="446">
        <f t="shared" si="28"/>
        <v>2238.0000000011933</v>
      </c>
      <c r="R7" s="428">
        <f t="shared" ref="R7:R18" si="32">N7-Q7</f>
        <v>-50.000000001193257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44778</v>
      </c>
      <c r="D8" s="587">
        <f t="shared" si="15"/>
        <v>341880</v>
      </c>
      <c r="E8" s="575">
        <f t="shared" si="7"/>
        <v>0</v>
      </c>
      <c r="F8" s="567">
        <f t="shared" si="17"/>
        <v>4151758</v>
      </c>
      <c r="G8" s="449">
        <f t="shared" ref="G8:G34" si="34">F8-F7</f>
        <v>0</v>
      </c>
      <c r="H8" s="426">
        <f t="shared" si="19"/>
        <v>18067346</v>
      </c>
      <c r="I8" s="449">
        <f t="shared" ref="I8:I34" si="35">H8-H7</f>
        <v>0</v>
      </c>
      <c r="J8" s="426">
        <f t="shared" si="21"/>
        <v>29830498</v>
      </c>
      <c r="K8" s="449">
        <f t="shared" ref="K8:K34" si="36">J8-J7</f>
        <v>0</v>
      </c>
      <c r="L8" s="426">
        <f t="shared" si="23"/>
        <v>24636356</v>
      </c>
      <c r="M8" s="449">
        <f t="shared" ref="M8:M31" si="37">L8-L7</f>
        <v>0</v>
      </c>
      <c r="N8" s="297">
        <f t="shared" ref="N8:N31" si="38">M8+K8+I8+G8+E8</f>
        <v>0</v>
      </c>
      <c r="O8" s="445">
        <f t="shared" si="0"/>
        <v>0</v>
      </c>
      <c r="P8" s="561">
        <f t="shared" si="27"/>
        <v>19406.072</v>
      </c>
      <c r="Q8" s="446">
        <f t="shared" si="1"/>
        <v>0</v>
      </c>
      <c r="R8" s="428">
        <f t="shared" si="32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44779</v>
      </c>
      <c r="D9" s="587">
        <f t="shared" si="15"/>
        <v>341880</v>
      </c>
      <c r="E9" s="575">
        <f t="shared" si="7"/>
        <v>0</v>
      </c>
      <c r="F9" s="567">
        <f t="shared" si="17"/>
        <v>4151758</v>
      </c>
      <c r="G9" s="449">
        <f t="shared" si="34"/>
        <v>0</v>
      </c>
      <c r="H9" s="426">
        <f t="shared" si="19"/>
        <v>18067346</v>
      </c>
      <c r="I9" s="449">
        <f t="shared" si="35"/>
        <v>0</v>
      </c>
      <c r="J9" s="426">
        <f t="shared" si="21"/>
        <v>29830498</v>
      </c>
      <c r="K9" s="449">
        <f t="shared" si="36"/>
        <v>0</v>
      </c>
      <c r="L9" s="426">
        <f t="shared" si="23"/>
        <v>24636356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1">
        <f t="shared" si="27"/>
        <v>19406.072</v>
      </c>
      <c r="Q9" s="446">
        <f t="shared" si="1"/>
        <v>0</v>
      </c>
      <c r="R9" s="428">
        <f t="shared" si="32"/>
        <v>0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44780</v>
      </c>
      <c r="D10" s="587">
        <v>342690</v>
      </c>
      <c r="E10" s="575">
        <f t="shared" si="7"/>
        <v>810</v>
      </c>
      <c r="F10" s="567">
        <v>4152198</v>
      </c>
      <c r="G10" s="449">
        <f t="shared" si="34"/>
        <v>440</v>
      </c>
      <c r="H10" s="426">
        <v>18067876</v>
      </c>
      <c r="I10" s="449">
        <f t="shared" si="35"/>
        <v>530</v>
      </c>
      <c r="J10" s="426">
        <v>29831580</v>
      </c>
      <c r="K10" s="449">
        <f t="shared" si="36"/>
        <v>1082</v>
      </c>
      <c r="L10" s="426">
        <v>24637342</v>
      </c>
      <c r="M10" s="449">
        <f t="shared" si="37"/>
        <v>986</v>
      </c>
      <c r="N10" s="297">
        <f t="shared" si="38"/>
        <v>3848</v>
      </c>
      <c r="O10" s="445">
        <f t="shared" si="0"/>
        <v>0</v>
      </c>
      <c r="P10" s="561">
        <v>19410.064999999999</v>
      </c>
      <c r="Q10" s="446">
        <f t="shared" si="1"/>
        <v>3992.9999999985739</v>
      </c>
      <c r="R10" s="428">
        <f t="shared" si="32"/>
        <v>-144.99999999857391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44781</v>
      </c>
      <c r="D11" s="587">
        <f t="shared" si="15"/>
        <v>342690</v>
      </c>
      <c r="E11" s="575">
        <f t="shared" si="7"/>
        <v>0</v>
      </c>
      <c r="F11" s="567">
        <f t="shared" si="17"/>
        <v>4152198</v>
      </c>
      <c r="G11" s="449">
        <f t="shared" si="34"/>
        <v>0</v>
      </c>
      <c r="H11" s="426">
        <f t="shared" si="19"/>
        <v>18067876</v>
      </c>
      <c r="I11" s="449">
        <f t="shared" si="35"/>
        <v>0</v>
      </c>
      <c r="J11" s="426">
        <f t="shared" si="21"/>
        <v>29831580</v>
      </c>
      <c r="K11" s="449">
        <f t="shared" si="36"/>
        <v>0</v>
      </c>
      <c r="L11" s="426">
        <f t="shared" si="23"/>
        <v>24637342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27"/>
        <v>19410.064999999999</v>
      </c>
      <c r="Q11" s="446">
        <f t="shared" si="1"/>
        <v>0</v>
      </c>
      <c r="R11" s="428">
        <f t="shared" si="3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44782</v>
      </c>
      <c r="D12" s="587">
        <v>343130</v>
      </c>
      <c r="E12" s="575">
        <f>D12-D11</f>
        <v>440</v>
      </c>
      <c r="F12" s="567">
        <v>4152463</v>
      </c>
      <c r="G12" s="449">
        <f t="shared" si="34"/>
        <v>265</v>
      </c>
      <c r="H12" s="426">
        <v>18068186</v>
      </c>
      <c r="I12" s="449">
        <f t="shared" si="35"/>
        <v>310</v>
      </c>
      <c r="J12" s="426">
        <v>29832186</v>
      </c>
      <c r="K12" s="449">
        <f t="shared" si="36"/>
        <v>606</v>
      </c>
      <c r="L12" s="426">
        <v>24637902</v>
      </c>
      <c r="M12" s="449">
        <f t="shared" si="37"/>
        <v>560</v>
      </c>
      <c r="N12" s="297">
        <f>M12+K12+I12+G12+E12</f>
        <v>2181</v>
      </c>
      <c r="O12" s="445">
        <f t="shared" si="40"/>
        <v>0</v>
      </c>
      <c r="P12" s="561">
        <v>19412.120999999999</v>
      </c>
      <c r="Q12" s="446">
        <f t="shared" si="1"/>
        <v>2056.0000000004948</v>
      </c>
      <c r="R12" s="588">
        <f>N12-Q12</f>
        <v>124.99999999950523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44783</v>
      </c>
      <c r="D13" s="587">
        <v>343790</v>
      </c>
      <c r="E13" s="575">
        <f t="shared" si="7"/>
        <v>660</v>
      </c>
      <c r="F13" s="567">
        <v>4152826</v>
      </c>
      <c r="G13" s="449">
        <f t="shared" si="34"/>
        <v>363</v>
      </c>
      <c r="H13" s="426">
        <v>18068614</v>
      </c>
      <c r="I13" s="449">
        <f t="shared" si="35"/>
        <v>428</v>
      </c>
      <c r="J13" s="426">
        <v>29833050</v>
      </c>
      <c r="K13" s="449">
        <f t="shared" si="36"/>
        <v>864</v>
      </c>
      <c r="L13" s="426">
        <v>24638706</v>
      </c>
      <c r="M13" s="449">
        <f t="shared" si="37"/>
        <v>804</v>
      </c>
      <c r="N13" s="297">
        <f>M13+K13+I13+G13+E13</f>
        <v>3119</v>
      </c>
      <c r="O13" s="445">
        <f t="shared" si="40"/>
        <v>0</v>
      </c>
      <c r="P13" s="561">
        <v>19415.295999999998</v>
      </c>
      <c r="Q13" s="446">
        <f t="shared" si="1"/>
        <v>3174.9999999992724</v>
      </c>
      <c r="R13" s="428">
        <f t="shared" si="32"/>
        <v>-55.999999999272404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44784</v>
      </c>
      <c r="D14" s="587">
        <v>344440</v>
      </c>
      <c r="E14" s="575">
        <f t="shared" si="7"/>
        <v>650</v>
      </c>
      <c r="F14" s="567">
        <v>4153174</v>
      </c>
      <c r="G14" s="449">
        <f t="shared" si="34"/>
        <v>348</v>
      </c>
      <c r="H14" s="426">
        <v>18069002</v>
      </c>
      <c r="I14" s="449">
        <f t="shared" si="35"/>
        <v>388</v>
      </c>
      <c r="J14" s="426">
        <v>29833802</v>
      </c>
      <c r="K14" s="449">
        <f t="shared" si="36"/>
        <v>752</v>
      </c>
      <c r="L14" s="426">
        <v>24639558</v>
      </c>
      <c r="M14" s="449">
        <f t="shared" si="37"/>
        <v>852</v>
      </c>
      <c r="N14" s="297">
        <f>M14+K14+I14+G14+E14</f>
        <v>2990</v>
      </c>
      <c r="O14" s="445">
        <f t="shared" si="40"/>
        <v>0</v>
      </c>
      <c r="P14" s="561">
        <v>19418.342000000001</v>
      </c>
      <c r="Q14" s="446">
        <f t="shared" si="1"/>
        <v>3046.0000000020955</v>
      </c>
      <c r="R14" s="428">
        <f t="shared" si="32"/>
        <v>-56.000000002095476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44785</v>
      </c>
      <c r="D15" s="587">
        <f t="shared" si="15"/>
        <v>344440</v>
      </c>
      <c r="E15" s="575">
        <f t="shared" si="7"/>
        <v>0</v>
      </c>
      <c r="F15" s="567">
        <f t="shared" si="17"/>
        <v>4153174</v>
      </c>
      <c r="G15" s="449">
        <f t="shared" si="34"/>
        <v>0</v>
      </c>
      <c r="H15" s="426">
        <f t="shared" si="19"/>
        <v>18069002</v>
      </c>
      <c r="I15" s="449">
        <f t="shared" si="35"/>
        <v>0</v>
      </c>
      <c r="J15" s="426">
        <f t="shared" si="21"/>
        <v>29833802</v>
      </c>
      <c r="K15" s="449">
        <f t="shared" si="36"/>
        <v>0</v>
      </c>
      <c r="L15" s="426">
        <f t="shared" si="23"/>
        <v>24639558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27"/>
        <v>19418.342000000001</v>
      </c>
      <c r="Q15" s="446">
        <f t="shared" si="1"/>
        <v>0</v>
      </c>
      <c r="R15" s="588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44786</v>
      </c>
      <c r="D16" s="587">
        <f t="shared" si="15"/>
        <v>344440</v>
      </c>
      <c r="E16" s="575">
        <f t="shared" si="7"/>
        <v>0</v>
      </c>
      <c r="F16" s="567">
        <f t="shared" si="17"/>
        <v>4153174</v>
      </c>
      <c r="G16" s="449">
        <f t="shared" si="34"/>
        <v>0</v>
      </c>
      <c r="H16" s="426">
        <f t="shared" si="19"/>
        <v>18069002</v>
      </c>
      <c r="I16" s="449">
        <f t="shared" si="35"/>
        <v>0</v>
      </c>
      <c r="J16" s="426">
        <f t="shared" si="21"/>
        <v>29833802</v>
      </c>
      <c r="K16" s="449">
        <f t="shared" si="36"/>
        <v>0</v>
      </c>
      <c r="L16" s="426">
        <f t="shared" si="23"/>
        <v>24639558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27"/>
        <v>19418.342000000001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44787</v>
      </c>
      <c r="D17" s="587">
        <f t="shared" si="15"/>
        <v>344440</v>
      </c>
      <c r="E17" s="575">
        <f t="shared" si="7"/>
        <v>0</v>
      </c>
      <c r="F17" s="567">
        <f t="shared" si="17"/>
        <v>4153174</v>
      </c>
      <c r="G17" s="449">
        <f t="shared" si="34"/>
        <v>0</v>
      </c>
      <c r="H17" s="426">
        <f t="shared" si="19"/>
        <v>18069002</v>
      </c>
      <c r="I17" s="449">
        <f t="shared" si="35"/>
        <v>0</v>
      </c>
      <c r="J17" s="426">
        <f t="shared" si="21"/>
        <v>29833802</v>
      </c>
      <c r="K17" s="449">
        <f t="shared" si="36"/>
        <v>0</v>
      </c>
      <c r="L17" s="426">
        <f t="shared" si="23"/>
        <v>24639558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27"/>
        <v>19418.342000000001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44788</v>
      </c>
      <c r="D18" s="587">
        <v>345070</v>
      </c>
      <c r="E18" s="575">
        <f t="shared" si="7"/>
        <v>630</v>
      </c>
      <c r="F18" s="567">
        <v>4153575</v>
      </c>
      <c r="G18" s="449">
        <f t="shared" si="34"/>
        <v>401</v>
      </c>
      <c r="H18" s="426">
        <v>18069414</v>
      </c>
      <c r="I18" s="449">
        <f t="shared" si="35"/>
        <v>412</v>
      </c>
      <c r="J18" s="426">
        <v>29834374</v>
      </c>
      <c r="K18" s="449">
        <f t="shared" si="36"/>
        <v>572</v>
      </c>
      <c r="L18" s="426">
        <v>24640490</v>
      </c>
      <c r="M18" s="449">
        <f t="shared" si="37"/>
        <v>932</v>
      </c>
      <c r="N18" s="297">
        <f>M18+K18+I18+G18+E18</f>
        <v>2947</v>
      </c>
      <c r="O18" s="445">
        <f t="shared" si="40"/>
        <v>0</v>
      </c>
      <c r="P18" s="561">
        <v>19421.418000000001</v>
      </c>
      <c r="Q18" s="446">
        <f t="shared" si="1"/>
        <v>3076.0000000009313</v>
      </c>
      <c r="R18" s="428">
        <f t="shared" si="32"/>
        <v>-129.00000000093132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44789</v>
      </c>
      <c r="D19" s="587">
        <f t="shared" si="15"/>
        <v>345070</v>
      </c>
      <c r="E19" s="575">
        <f t="shared" si="7"/>
        <v>0</v>
      </c>
      <c r="F19" s="567">
        <f t="shared" si="17"/>
        <v>4153575</v>
      </c>
      <c r="G19" s="449">
        <f t="shared" si="34"/>
        <v>0</v>
      </c>
      <c r="H19" s="426">
        <f t="shared" si="19"/>
        <v>18069414</v>
      </c>
      <c r="I19" s="449">
        <f t="shared" si="35"/>
        <v>0</v>
      </c>
      <c r="J19" s="426">
        <f t="shared" si="21"/>
        <v>29834374</v>
      </c>
      <c r="K19" s="449">
        <f t="shared" si="36"/>
        <v>0</v>
      </c>
      <c r="L19" s="426">
        <f t="shared" si="23"/>
        <v>24640490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27"/>
        <v>19421.418000000001</v>
      </c>
      <c r="Q19" s="446">
        <f>(P19-P18)*1000</f>
        <v>0</v>
      </c>
      <c r="R19" s="588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44790</v>
      </c>
      <c r="D20" s="587">
        <f t="shared" si="15"/>
        <v>345070</v>
      </c>
      <c r="E20" s="575">
        <f t="shared" si="7"/>
        <v>0</v>
      </c>
      <c r="F20" s="567">
        <f t="shared" si="17"/>
        <v>4153575</v>
      </c>
      <c r="G20" s="449">
        <f t="shared" si="34"/>
        <v>0</v>
      </c>
      <c r="H20" s="426">
        <f t="shared" si="19"/>
        <v>18069414</v>
      </c>
      <c r="I20" s="449">
        <f t="shared" si="35"/>
        <v>0</v>
      </c>
      <c r="J20" s="426">
        <f t="shared" si="21"/>
        <v>29834374</v>
      </c>
      <c r="K20" s="449">
        <f t="shared" si="36"/>
        <v>0</v>
      </c>
      <c r="L20" s="426">
        <f t="shared" si="23"/>
        <v>24640490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27"/>
        <v>19421.418000000001</v>
      </c>
      <c r="Q20" s="446">
        <f>(P20-P19)*1000</f>
        <v>0</v>
      </c>
      <c r="R20" s="588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44791</v>
      </c>
      <c r="D21" s="587">
        <f t="shared" si="15"/>
        <v>345070</v>
      </c>
      <c r="E21" s="575">
        <f t="shared" si="7"/>
        <v>0</v>
      </c>
      <c r="F21" s="567">
        <f t="shared" si="17"/>
        <v>4153575</v>
      </c>
      <c r="G21" s="449">
        <f t="shared" si="34"/>
        <v>0</v>
      </c>
      <c r="H21" s="426">
        <f t="shared" si="19"/>
        <v>18069414</v>
      </c>
      <c r="I21" s="449">
        <f t="shared" si="35"/>
        <v>0</v>
      </c>
      <c r="J21" s="426">
        <f t="shared" si="21"/>
        <v>29834374</v>
      </c>
      <c r="K21" s="449">
        <f t="shared" si="36"/>
        <v>0</v>
      </c>
      <c r="L21" s="426">
        <f t="shared" si="23"/>
        <v>24640490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1">
        <f t="shared" si="27"/>
        <v>19421.418000000001</v>
      </c>
      <c r="Q21" s="446">
        <f t="shared" si="1"/>
        <v>0</v>
      </c>
      <c r="R21" s="588">
        <f t="shared" ref="R21:R31" si="43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f t="shared" si="10"/>
        <v>33484</v>
      </c>
      <c r="X21" s="428">
        <f t="shared" si="39"/>
        <v>0</v>
      </c>
      <c r="Y21" s="426">
        <f t="shared" si="11"/>
        <v>996900</v>
      </c>
      <c r="Z21" s="428">
        <f t="shared" si="33"/>
        <v>0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0</v>
      </c>
      <c r="AF21" s="451">
        <f t="shared" si="4"/>
        <v>0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44792</v>
      </c>
      <c r="D22" s="587">
        <f t="shared" si="15"/>
        <v>345070</v>
      </c>
      <c r="E22" s="575">
        <f t="shared" ref="E22" si="44">D22-D21</f>
        <v>0</v>
      </c>
      <c r="F22" s="567">
        <f t="shared" si="17"/>
        <v>4153575</v>
      </c>
      <c r="G22" s="449">
        <f t="shared" ref="G22" si="45">F22-F21</f>
        <v>0</v>
      </c>
      <c r="H22" s="426">
        <f t="shared" si="19"/>
        <v>18069414</v>
      </c>
      <c r="I22" s="449">
        <f t="shared" si="35"/>
        <v>0</v>
      </c>
      <c r="J22" s="426">
        <f t="shared" si="21"/>
        <v>29834374</v>
      </c>
      <c r="K22" s="449">
        <f t="shared" ref="K22" si="46">J22-J21</f>
        <v>0</v>
      </c>
      <c r="L22" s="426">
        <f t="shared" si="23"/>
        <v>24640490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27"/>
        <v>19421.418000000001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33484</v>
      </c>
      <c r="X22" s="428">
        <f t="shared" si="39"/>
        <v>0</v>
      </c>
      <c r="Y22" s="426">
        <f t="shared" si="11"/>
        <v>996900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44793</v>
      </c>
      <c r="D23" s="587">
        <f t="shared" si="15"/>
        <v>345070</v>
      </c>
      <c r="E23" s="575">
        <f t="shared" si="7"/>
        <v>0</v>
      </c>
      <c r="F23" s="567">
        <f t="shared" si="17"/>
        <v>4153575</v>
      </c>
      <c r="G23" s="449">
        <f t="shared" si="34"/>
        <v>0</v>
      </c>
      <c r="H23" s="426">
        <f t="shared" si="19"/>
        <v>18069414</v>
      </c>
      <c r="I23" s="449">
        <f t="shared" si="35"/>
        <v>0</v>
      </c>
      <c r="J23" s="426">
        <f t="shared" si="21"/>
        <v>29834374</v>
      </c>
      <c r="K23" s="449">
        <f t="shared" si="36"/>
        <v>0</v>
      </c>
      <c r="L23" s="426">
        <f t="shared" si="23"/>
        <v>24640490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27"/>
        <v>19421.418000000001</v>
      </c>
      <c r="Q23" s="446">
        <f t="shared" si="1"/>
        <v>0</v>
      </c>
      <c r="R23" s="588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33484</v>
      </c>
      <c r="X23" s="428">
        <f t="shared" si="39"/>
        <v>0</v>
      </c>
      <c r="Y23" s="426">
        <f t="shared" si="11"/>
        <v>996900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44794</v>
      </c>
      <c r="D24" s="587">
        <f t="shared" si="15"/>
        <v>345070</v>
      </c>
      <c r="E24" s="575">
        <f t="shared" si="7"/>
        <v>0</v>
      </c>
      <c r="F24" s="567">
        <f t="shared" si="17"/>
        <v>4153575</v>
      </c>
      <c r="G24" s="449">
        <f t="shared" si="34"/>
        <v>0</v>
      </c>
      <c r="H24" s="426">
        <f t="shared" si="19"/>
        <v>18069414</v>
      </c>
      <c r="I24" s="591">
        <f t="shared" si="35"/>
        <v>0</v>
      </c>
      <c r="J24" s="426">
        <f t="shared" si="21"/>
        <v>29834374</v>
      </c>
      <c r="K24" s="449">
        <f t="shared" si="36"/>
        <v>0</v>
      </c>
      <c r="L24" s="426">
        <f t="shared" si="23"/>
        <v>24640490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1">
        <f t="shared" si="27"/>
        <v>19421.418000000001</v>
      </c>
      <c r="Q24" s="446">
        <f t="shared" si="1"/>
        <v>0</v>
      </c>
      <c r="R24" s="588">
        <f t="shared" si="43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33484</v>
      </c>
      <c r="X24" s="428">
        <f t="shared" si="39"/>
        <v>0</v>
      </c>
      <c r="Y24" s="426">
        <f t="shared" si="11"/>
        <v>996900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44795</v>
      </c>
      <c r="D25" s="587">
        <f t="shared" si="15"/>
        <v>345070</v>
      </c>
      <c r="E25" s="575">
        <f t="shared" si="7"/>
        <v>0</v>
      </c>
      <c r="F25" s="567">
        <f t="shared" si="17"/>
        <v>4153575</v>
      </c>
      <c r="G25" s="449">
        <f t="shared" si="34"/>
        <v>0</v>
      </c>
      <c r="H25" s="426">
        <f t="shared" si="19"/>
        <v>18069414</v>
      </c>
      <c r="I25" s="449">
        <f t="shared" si="35"/>
        <v>0</v>
      </c>
      <c r="J25" s="426">
        <f t="shared" si="21"/>
        <v>29834374</v>
      </c>
      <c r="K25" s="449">
        <f t="shared" si="36"/>
        <v>0</v>
      </c>
      <c r="L25" s="426">
        <f t="shared" si="23"/>
        <v>24640490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27"/>
        <v>19421.418000000001</v>
      </c>
      <c r="Q25" s="446">
        <f t="shared" si="1"/>
        <v>0</v>
      </c>
      <c r="R25" s="588">
        <f t="shared" si="43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33484</v>
      </c>
      <c r="X25" s="428">
        <f t="shared" si="39"/>
        <v>0</v>
      </c>
      <c r="Y25" s="426">
        <f t="shared" si="11"/>
        <v>996900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44796</v>
      </c>
      <c r="D26" s="587">
        <f t="shared" si="15"/>
        <v>345070</v>
      </c>
      <c r="E26" s="575">
        <f t="shared" si="7"/>
        <v>0</v>
      </c>
      <c r="F26" s="567">
        <f t="shared" si="17"/>
        <v>4153575</v>
      </c>
      <c r="G26" s="449">
        <f t="shared" si="34"/>
        <v>0</v>
      </c>
      <c r="H26" s="426">
        <f t="shared" si="19"/>
        <v>18069414</v>
      </c>
      <c r="I26" s="449">
        <f t="shared" si="35"/>
        <v>0</v>
      </c>
      <c r="J26" s="426">
        <f t="shared" si="21"/>
        <v>29834374</v>
      </c>
      <c r="K26" s="449">
        <f t="shared" si="36"/>
        <v>0</v>
      </c>
      <c r="L26" s="426">
        <f t="shared" si="23"/>
        <v>24640490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27"/>
        <v>19421.418000000001</v>
      </c>
      <c r="Q26" s="446">
        <f t="shared" si="1"/>
        <v>0</v>
      </c>
      <c r="R26" s="588">
        <f t="shared" si="43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33484</v>
      </c>
      <c r="X26" s="428">
        <f t="shared" si="39"/>
        <v>0</v>
      </c>
      <c r="Y26" s="426">
        <f t="shared" si="11"/>
        <v>996900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44797</v>
      </c>
      <c r="D27" s="587">
        <f t="shared" si="15"/>
        <v>345070</v>
      </c>
      <c r="E27" s="575">
        <f t="shared" si="7"/>
        <v>0</v>
      </c>
      <c r="F27" s="567">
        <f t="shared" si="17"/>
        <v>4153575</v>
      </c>
      <c r="G27" s="449">
        <f t="shared" si="34"/>
        <v>0</v>
      </c>
      <c r="H27" s="426">
        <f t="shared" si="19"/>
        <v>18069414</v>
      </c>
      <c r="I27" s="449">
        <f t="shared" si="35"/>
        <v>0</v>
      </c>
      <c r="J27" s="426">
        <f t="shared" si="21"/>
        <v>29834374</v>
      </c>
      <c r="K27" s="449">
        <f t="shared" si="36"/>
        <v>0</v>
      </c>
      <c r="L27" s="426">
        <f t="shared" si="23"/>
        <v>24640490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27"/>
        <v>19421.418000000001</v>
      </c>
      <c r="Q27" s="446">
        <f t="shared" si="1"/>
        <v>0</v>
      </c>
      <c r="R27" s="588">
        <f t="shared" si="43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33484</v>
      </c>
      <c r="X27" s="428">
        <f t="shared" si="39"/>
        <v>0</v>
      </c>
      <c r="Y27" s="426">
        <f t="shared" si="11"/>
        <v>996900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44798</v>
      </c>
      <c r="D28" s="587">
        <f t="shared" si="15"/>
        <v>345070</v>
      </c>
      <c r="E28" s="575">
        <f t="shared" si="7"/>
        <v>0</v>
      </c>
      <c r="F28" s="567">
        <f t="shared" si="17"/>
        <v>4153575</v>
      </c>
      <c r="G28" s="449">
        <f>F28-F27</f>
        <v>0</v>
      </c>
      <c r="H28" s="426">
        <f t="shared" si="19"/>
        <v>18069414</v>
      </c>
      <c r="I28" s="449">
        <f t="shared" si="35"/>
        <v>0</v>
      </c>
      <c r="J28" s="426">
        <f t="shared" si="21"/>
        <v>29834374</v>
      </c>
      <c r="K28" s="449">
        <f t="shared" si="36"/>
        <v>0</v>
      </c>
      <c r="L28" s="426">
        <f t="shared" si="23"/>
        <v>24640490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27"/>
        <v>19421.418000000001</v>
      </c>
      <c r="Q28" s="446">
        <f t="shared" si="1"/>
        <v>0</v>
      </c>
      <c r="R28" s="588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33484</v>
      </c>
      <c r="X28" s="428">
        <f t="shared" si="39"/>
        <v>0</v>
      </c>
      <c r="Y28" s="426">
        <f t="shared" si="11"/>
        <v>996900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44799</v>
      </c>
      <c r="D29" s="587">
        <f t="shared" si="15"/>
        <v>345070</v>
      </c>
      <c r="E29" s="575">
        <f t="shared" si="7"/>
        <v>0</v>
      </c>
      <c r="F29" s="567">
        <f t="shared" si="17"/>
        <v>4153575</v>
      </c>
      <c r="G29" s="449">
        <f>F29-F28</f>
        <v>0</v>
      </c>
      <c r="H29" s="426">
        <f t="shared" si="19"/>
        <v>18069414</v>
      </c>
      <c r="I29" s="449">
        <f>H29-H28</f>
        <v>0</v>
      </c>
      <c r="J29" s="426">
        <f t="shared" si="21"/>
        <v>29834374</v>
      </c>
      <c r="K29" s="449">
        <f>J29-J28</f>
        <v>0</v>
      </c>
      <c r="L29" s="426">
        <f t="shared" si="23"/>
        <v>24640490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27"/>
        <v>19421.418000000001</v>
      </c>
      <c r="Q29" s="446">
        <f>(P29-P28)*1000</f>
        <v>0</v>
      </c>
      <c r="R29" s="588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44800</v>
      </c>
      <c r="D30" s="587">
        <f t="shared" si="15"/>
        <v>345070</v>
      </c>
      <c r="E30" s="575">
        <f t="shared" si="7"/>
        <v>0</v>
      </c>
      <c r="F30" s="567">
        <f t="shared" si="17"/>
        <v>4153575</v>
      </c>
      <c r="G30" s="449">
        <f t="shared" si="34"/>
        <v>0</v>
      </c>
      <c r="H30" s="426">
        <f t="shared" si="19"/>
        <v>18069414</v>
      </c>
      <c r="I30" s="449">
        <f t="shared" si="35"/>
        <v>0</v>
      </c>
      <c r="J30" s="426">
        <f t="shared" si="21"/>
        <v>29834374</v>
      </c>
      <c r="K30" s="449">
        <f t="shared" si="36"/>
        <v>0</v>
      </c>
      <c r="L30" s="426">
        <f t="shared" si="23"/>
        <v>24640490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27"/>
        <v>19421.418000000001</v>
      </c>
      <c r="Q30" s="446">
        <f t="shared" si="1"/>
        <v>0</v>
      </c>
      <c r="R30" s="588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33484</v>
      </c>
      <c r="X30" s="428">
        <f t="shared" si="39"/>
        <v>0</v>
      </c>
      <c r="Y30" s="426">
        <f t="shared" si="11"/>
        <v>996900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44801</v>
      </c>
      <c r="D31" s="587">
        <f t="shared" si="15"/>
        <v>345070</v>
      </c>
      <c r="E31" s="575">
        <f t="shared" si="7"/>
        <v>0</v>
      </c>
      <c r="F31" s="567">
        <f t="shared" si="17"/>
        <v>4153575</v>
      </c>
      <c r="G31" s="449">
        <f t="shared" si="34"/>
        <v>0</v>
      </c>
      <c r="H31" s="426">
        <f t="shared" si="19"/>
        <v>18069414</v>
      </c>
      <c r="I31" s="449">
        <f t="shared" si="35"/>
        <v>0</v>
      </c>
      <c r="J31" s="426">
        <f t="shared" si="21"/>
        <v>29834374</v>
      </c>
      <c r="K31" s="449">
        <f t="shared" si="36"/>
        <v>0</v>
      </c>
      <c r="L31" s="426">
        <f t="shared" si="23"/>
        <v>24640490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27"/>
        <v>19421.418000000001</v>
      </c>
      <c r="Q31" s="446">
        <f t="shared" si="1"/>
        <v>0</v>
      </c>
      <c r="R31" s="588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9"/>
        <v>0</v>
      </c>
      <c r="Y31" s="426">
        <f t="shared" si="11"/>
        <v>996900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44802</v>
      </c>
      <c r="D32" s="587">
        <f t="shared" si="15"/>
        <v>345070</v>
      </c>
      <c r="E32" s="575">
        <f t="shared" si="7"/>
        <v>0</v>
      </c>
      <c r="F32" s="567">
        <f t="shared" si="17"/>
        <v>4153575</v>
      </c>
      <c r="G32" s="449">
        <f t="shared" si="34"/>
        <v>0</v>
      </c>
      <c r="H32" s="426">
        <f t="shared" si="19"/>
        <v>18069414</v>
      </c>
      <c r="I32" s="449">
        <f t="shared" si="35"/>
        <v>0</v>
      </c>
      <c r="J32" s="426">
        <f t="shared" si="21"/>
        <v>29834374</v>
      </c>
      <c r="K32" s="449">
        <f t="shared" si="36"/>
        <v>0</v>
      </c>
      <c r="L32" s="426">
        <f t="shared" si="23"/>
        <v>24640490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27"/>
        <v>19421.418000000001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8">W32-W31</f>
        <v>0</v>
      </c>
      <c r="Y32" s="426">
        <f t="shared" si="11"/>
        <v>996900</v>
      </c>
      <c r="Z32" s="428">
        <f t="shared" ref="Z32:Z34" si="59">Y32-Y31</f>
        <v>0</v>
      </c>
      <c r="AA32" s="426">
        <f t="shared" si="12"/>
        <v>36796</v>
      </c>
      <c r="AB32" s="428">
        <f t="shared" ref="AB32:AB34" si="60">AA32-AA31</f>
        <v>0</v>
      </c>
      <c r="AC32" s="426">
        <f t="shared" si="13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44803</v>
      </c>
      <c r="D33" s="587">
        <f t="shared" si="15"/>
        <v>345070</v>
      </c>
      <c r="E33" s="575">
        <f t="shared" si="7"/>
        <v>0</v>
      </c>
      <c r="F33" s="567">
        <f t="shared" si="17"/>
        <v>4153575</v>
      </c>
      <c r="G33" s="449">
        <f t="shared" si="34"/>
        <v>0</v>
      </c>
      <c r="H33" s="426">
        <f t="shared" si="19"/>
        <v>18069414</v>
      </c>
      <c r="I33" s="449">
        <f t="shared" si="35"/>
        <v>0</v>
      </c>
      <c r="J33" s="426">
        <f t="shared" si="21"/>
        <v>29834374</v>
      </c>
      <c r="K33" s="449">
        <f t="shared" si="36"/>
        <v>0</v>
      </c>
      <c r="L33" s="426">
        <f t="shared" si="23"/>
        <v>24640490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27"/>
        <v>19421.418000000001</v>
      </c>
      <c r="Q33" s="446">
        <f t="shared" si="56"/>
        <v>0</v>
      </c>
      <c r="R33" s="588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4">U33-U32</f>
        <v>0</v>
      </c>
      <c r="W33" s="426">
        <f t="shared" si="10"/>
        <v>33484</v>
      </c>
      <c r="X33" s="448">
        <f t="shared" si="58"/>
        <v>0</v>
      </c>
      <c r="Y33" s="426">
        <f t="shared" si="11"/>
        <v>996900</v>
      </c>
      <c r="Z33" s="428">
        <f t="shared" si="59"/>
        <v>0</v>
      </c>
      <c r="AA33" s="426">
        <f t="shared" si="12"/>
        <v>36796</v>
      </c>
      <c r="AB33" s="428">
        <f t="shared" si="60"/>
        <v>0</v>
      </c>
      <c r="AC33" s="426">
        <f t="shared" si="13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44804</v>
      </c>
      <c r="D34" s="587">
        <f t="shared" si="15"/>
        <v>345070</v>
      </c>
      <c r="E34" s="575">
        <f t="shared" si="7"/>
        <v>0</v>
      </c>
      <c r="F34" s="567">
        <f t="shared" si="17"/>
        <v>4153575</v>
      </c>
      <c r="G34" s="449">
        <f t="shared" si="34"/>
        <v>0</v>
      </c>
      <c r="H34" s="426">
        <f t="shared" si="19"/>
        <v>18069414</v>
      </c>
      <c r="I34" s="449">
        <f t="shared" si="35"/>
        <v>0</v>
      </c>
      <c r="J34" s="426">
        <f t="shared" si="21"/>
        <v>29834374</v>
      </c>
      <c r="K34" s="449">
        <f t="shared" si="36"/>
        <v>0</v>
      </c>
      <c r="L34" s="426">
        <f t="shared" si="23"/>
        <v>24640490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27"/>
        <v>19421.418000000001</v>
      </c>
      <c r="Q34" s="446">
        <f t="shared" si="56"/>
        <v>0</v>
      </c>
      <c r="R34" s="588">
        <f t="shared" si="57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8"/>
        <v>0</v>
      </c>
      <c r="Y34" s="426">
        <f t="shared" si="11"/>
        <v>996900</v>
      </c>
      <c r="Z34" s="428">
        <f t="shared" si="59"/>
        <v>0</v>
      </c>
      <c r="AA34" s="426">
        <f t="shared" si="12"/>
        <v>36796</v>
      </c>
      <c r="AB34" s="428">
        <f t="shared" si="60"/>
        <v>0</v>
      </c>
      <c r="AC34" s="426">
        <f t="shared" si="13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A19" sqref="A1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6" t="s">
        <v>2</v>
      </c>
      <c r="G1" s="617"/>
      <c r="H1" s="617"/>
      <c r="I1" s="618"/>
      <c r="J1" s="271">
        <f>J36</f>
        <v>48.111111111111114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381"/>
      <c r="V1" s="27" t="s">
        <v>104</v>
      </c>
      <c r="W1" s="382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44773</v>
      </c>
      <c r="B4" s="379">
        <f>[2]B5!B35</f>
        <v>219</v>
      </c>
      <c r="C4" s="379">
        <f>[2]B5!C35</f>
        <v>226</v>
      </c>
      <c r="D4" s="379">
        <f>[2]B5!D35</f>
        <v>4</v>
      </c>
      <c r="E4" s="379">
        <f>[2]B5!E35</f>
        <v>33.520000000000003</v>
      </c>
      <c r="F4" s="379">
        <f>[2]B5!F35</f>
        <v>2260</v>
      </c>
      <c r="G4" s="379">
        <f>[2]B5!G35</f>
        <v>0</v>
      </c>
      <c r="H4" s="379">
        <f>[2]B5!H35</f>
        <v>44849</v>
      </c>
      <c r="I4" s="379">
        <f>[2]B5!I35</f>
        <v>0</v>
      </c>
      <c r="J4" s="379">
        <f>[2]B5!J35</f>
        <v>0</v>
      </c>
      <c r="K4" s="379">
        <f>[2]B5!K35</f>
        <v>2450</v>
      </c>
      <c r="L4" s="379">
        <f>[2]B5!L35</f>
        <v>1</v>
      </c>
      <c r="M4" s="379">
        <f>[2]B5!M35</f>
        <v>182120</v>
      </c>
      <c r="N4" s="379">
        <f>[2]B5!N35</f>
        <v>82</v>
      </c>
      <c r="O4" s="379">
        <f>[2]B5!O35</f>
        <v>1869</v>
      </c>
      <c r="P4" s="379">
        <f>[2]B5!P35</f>
        <v>2222</v>
      </c>
      <c r="Q4" s="379">
        <f>[2]B5!Q35</f>
        <v>185751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82</v>
      </c>
      <c r="W4" s="379">
        <f>[2]B5!W35</f>
        <v>0</v>
      </c>
      <c r="X4" s="379">
        <f>[2]B5!X35</f>
        <v>2489</v>
      </c>
      <c r="Y4" s="379">
        <f>[2]B5!Y35</f>
        <v>0</v>
      </c>
      <c r="Z4" s="379">
        <f>[2]B5!Z35</f>
        <v>140626</v>
      </c>
      <c r="AA4" s="379">
        <f>[2]B5!AA35</f>
        <v>0</v>
      </c>
      <c r="AB4" s="379">
        <f>[2]B5!AB35</f>
        <v>0</v>
      </c>
      <c r="AC4" s="379">
        <f>[2]B5!AC35</f>
        <v>1947</v>
      </c>
      <c r="AD4" s="379">
        <f>[2]B5!AD35</f>
        <v>0</v>
      </c>
      <c r="AE4" s="379">
        <f>[2]B5!AE35</f>
        <v>366543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82</v>
      </c>
      <c r="AJ4" s="379">
        <f>[2]B5!AJ35</f>
        <v>82</v>
      </c>
      <c r="AK4" s="379">
        <f>[2]B5!AK35</f>
        <v>0</v>
      </c>
      <c r="AL4" s="379">
        <f>[2]B5!AL35</f>
        <v>1</v>
      </c>
      <c r="AM4" s="379">
        <f>[2]B5!AM35</f>
        <v>0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44774</v>
      </c>
      <c r="B5" s="535">
        <v>235</v>
      </c>
      <c r="C5" s="535">
        <v>241</v>
      </c>
      <c r="D5" s="45">
        <f>C4-C5</f>
        <v>-15</v>
      </c>
      <c r="E5" s="45">
        <f>D5*8.38</f>
        <v>-125.70000000000002</v>
      </c>
      <c r="F5" s="535">
        <f>F4</f>
        <v>2260</v>
      </c>
      <c r="G5" s="52">
        <f t="shared" ref="G5:G32" si="0">F5-F4</f>
        <v>0</v>
      </c>
      <c r="H5" s="535">
        <f>H4</f>
        <v>44849</v>
      </c>
      <c r="I5" s="380">
        <f t="shared" ref="I5:I32" si="1">SUM(H5-H4)</f>
        <v>0</v>
      </c>
      <c r="J5" s="66">
        <v>1</v>
      </c>
      <c r="K5" s="535">
        <v>2451</v>
      </c>
      <c r="L5" s="52">
        <f>K5-K4</f>
        <v>1</v>
      </c>
      <c r="M5" s="535">
        <v>182196</v>
      </c>
      <c r="N5" s="380">
        <f t="shared" ref="N5:N32" si="2">M5-M4</f>
        <v>76</v>
      </c>
      <c r="O5" s="64">
        <f t="shared" ref="O5:Q17" si="3">O4</f>
        <v>1869</v>
      </c>
      <c r="P5" s="535">
        <f>P4</f>
        <v>2222</v>
      </c>
      <c r="Q5" s="535">
        <v>185788</v>
      </c>
      <c r="R5" s="379">
        <f t="shared" ref="R5:R10" si="4">Q5-Q4</f>
        <v>37</v>
      </c>
      <c r="S5" s="52">
        <f t="shared" ref="S5:S32" si="5">SUM(P5-P4)</f>
        <v>0</v>
      </c>
      <c r="T5" s="67">
        <f>SUM(S5*$T$2)</f>
        <v>0</v>
      </c>
      <c r="U5" s="386">
        <f>SUM(G5+L5+S5)</f>
        <v>1</v>
      </c>
      <c r="V5" s="62">
        <f>R5+N5+I5:I5</f>
        <v>113</v>
      </c>
      <c r="W5" s="384">
        <f>SUM(V5/U5)</f>
        <v>113</v>
      </c>
      <c r="X5" s="535">
        <f>X4</f>
        <v>2489</v>
      </c>
      <c r="Y5" s="52">
        <f>X5-X4</f>
        <v>0</v>
      </c>
      <c r="Z5" s="535">
        <f>Z4</f>
        <v>140626</v>
      </c>
      <c r="AA5" s="65">
        <f t="shared" ref="AA5:AA32" si="6">Z5-Z4</f>
        <v>0</v>
      </c>
      <c r="AB5" s="273">
        <f>SUM(Y5*$AB$2)</f>
        <v>0</v>
      </c>
      <c r="AC5" s="535">
        <f>AC4</f>
        <v>1947</v>
      </c>
      <c r="AD5" s="45">
        <f t="shared" ref="AD5:AD32" si="7">AC5-AC4</f>
        <v>0</v>
      </c>
      <c r="AE5" s="535">
        <f>AE4</f>
        <v>366543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113</v>
      </c>
      <c r="AJ5" s="303">
        <f>-tanks!AW6</f>
        <v>113</v>
      </c>
      <c r="AK5" s="303">
        <f>SUM(AJ5-AI5)</f>
        <v>0</v>
      </c>
      <c r="AL5" s="303">
        <f t="shared" ref="AL5:AL32" si="8">S5+L5+G5</f>
        <v>1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44775</v>
      </c>
      <c r="B6" s="535">
        <v>231</v>
      </c>
      <c r="C6" s="535">
        <v>237</v>
      </c>
      <c r="D6" s="45">
        <f>C5-C6</f>
        <v>4</v>
      </c>
      <c r="E6" s="45">
        <f t="shared" ref="E6:E32" si="9">D6*8.38</f>
        <v>33.520000000000003</v>
      </c>
      <c r="F6" s="535">
        <v>2260</v>
      </c>
      <c r="G6" s="52">
        <f t="shared" si="0"/>
        <v>0</v>
      </c>
      <c r="H6" s="535">
        <f t="shared" ref="H6:H35" si="10">H5</f>
        <v>44849</v>
      </c>
      <c r="I6" s="380">
        <f t="shared" si="1"/>
        <v>0</v>
      </c>
      <c r="J6" s="66">
        <f t="shared" ref="J6:J32" si="11">IF(G6&gt;0,I6/G6,0)</f>
        <v>0</v>
      </c>
      <c r="K6" s="535">
        <f t="shared" ref="K6:K35" si="12">K5</f>
        <v>2451</v>
      </c>
      <c r="L6" s="52">
        <f t="shared" ref="L6:L32" si="13">K6-K5</f>
        <v>0</v>
      </c>
      <c r="M6" s="535">
        <f t="shared" ref="M6:M35" si="14">M5</f>
        <v>182196</v>
      </c>
      <c r="N6" s="380">
        <f t="shared" si="2"/>
        <v>0</v>
      </c>
      <c r="O6" s="64">
        <f t="shared" si="3"/>
        <v>1869</v>
      </c>
      <c r="P6" s="535">
        <v>2223</v>
      </c>
      <c r="Q6" s="535">
        <v>185821</v>
      </c>
      <c r="R6" s="379">
        <f t="shared" si="4"/>
        <v>33</v>
      </c>
      <c r="S6" s="52">
        <f t="shared" si="5"/>
        <v>1</v>
      </c>
      <c r="T6" s="67">
        <f>SUM(S6*$T$2)</f>
        <v>0</v>
      </c>
      <c r="U6" s="386">
        <f t="shared" ref="U6:U32" si="15">SUM(G6+L6+S6)</f>
        <v>1</v>
      </c>
      <c r="V6" s="62">
        <f t="shared" ref="V6:V32" si="16">R6+N6+I6:I6</f>
        <v>33</v>
      </c>
      <c r="W6" s="384">
        <f t="shared" ref="W6:W16" si="17">SUM(V6/U6)</f>
        <v>33</v>
      </c>
      <c r="X6" s="535">
        <f t="shared" ref="X6:X35" si="18">X5</f>
        <v>2489</v>
      </c>
      <c r="Y6" s="52">
        <f t="shared" ref="Y6:Y32" si="19">X6-X5</f>
        <v>0</v>
      </c>
      <c r="Z6" s="535">
        <f t="shared" ref="Z6:Z35" si="20">Z5</f>
        <v>140626</v>
      </c>
      <c r="AA6" s="65">
        <f t="shared" si="6"/>
        <v>0</v>
      </c>
      <c r="AB6" s="273">
        <f>SUM(Y6*$AB$2)</f>
        <v>0</v>
      </c>
      <c r="AC6" s="535">
        <f t="shared" ref="AC6:AC35" si="21">AC5</f>
        <v>1947</v>
      </c>
      <c r="AD6" s="45">
        <f t="shared" si="7"/>
        <v>0</v>
      </c>
      <c r="AE6" s="535">
        <f t="shared" ref="AE6:AE35" si="22">AE5</f>
        <v>366543</v>
      </c>
      <c r="AF6" s="293">
        <f t="shared" ref="AF6:AF32" si="23">AE6-AE5</f>
        <v>0</v>
      </c>
      <c r="AG6" s="209">
        <f>IF(AD6&gt;0,AF6/AD6,0)</f>
        <v>0</v>
      </c>
      <c r="AH6" s="62">
        <f>AF6+AA6</f>
        <v>0</v>
      </c>
      <c r="AI6" s="303">
        <f t="shared" ref="AI6:AI32" si="24">SUM(AH6+V6)</f>
        <v>33</v>
      </c>
      <c r="AJ6" s="303">
        <f>-tanks!AW7</f>
        <v>33</v>
      </c>
      <c r="AK6" s="303">
        <f t="shared" ref="AK6:AK32" si="25">SUM(AJ6-AI6)</f>
        <v>0</v>
      </c>
      <c r="AL6" s="303">
        <f t="shared" si="8"/>
        <v>1</v>
      </c>
      <c r="AM6" s="303">
        <f t="shared" ref="AM6:AM32" si="26">Y6+AD6</f>
        <v>0</v>
      </c>
      <c r="AN6" s="535">
        <f t="shared" ref="AN6:AN35" si="27">AN5</f>
        <v>66</v>
      </c>
      <c r="AO6" s="305">
        <f t="shared" ref="AO6:AO35" si="28">(AN6/100)*3000</f>
        <v>1980</v>
      </c>
      <c r="AP6" s="535">
        <f t="shared" ref="AP6:AP35" si="29">AP5</f>
        <v>31</v>
      </c>
      <c r="AQ6" s="305">
        <f t="shared" ref="AQ6:AQ24" si="30">(AP6/100)*3000</f>
        <v>930</v>
      </c>
      <c r="AR6" s="535">
        <f t="shared" ref="AR6:AR35" si="31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44776</v>
      </c>
      <c r="B7" s="535">
        <f t="shared" ref="B7:B35" si="33">B6</f>
        <v>231</v>
      </c>
      <c r="C7" s="535">
        <f t="shared" ref="C7:C35" si="34">C6</f>
        <v>237</v>
      </c>
      <c r="D7" s="45">
        <f t="shared" ref="D7:D19" si="35">C6-C7</f>
        <v>0</v>
      </c>
      <c r="E7" s="45">
        <f t="shared" si="9"/>
        <v>0</v>
      </c>
      <c r="F7" s="535">
        <f t="shared" ref="F7:F35" si="36">F6</f>
        <v>2260</v>
      </c>
      <c r="G7" s="52">
        <f t="shared" si="0"/>
        <v>0</v>
      </c>
      <c r="H7" s="535">
        <f t="shared" si="10"/>
        <v>44849</v>
      </c>
      <c r="I7" s="380">
        <f t="shared" si="1"/>
        <v>0</v>
      </c>
      <c r="J7" s="66">
        <f t="shared" si="11"/>
        <v>0</v>
      </c>
      <c r="K7" s="535">
        <f t="shared" si="12"/>
        <v>2451</v>
      </c>
      <c r="L7" s="52">
        <f t="shared" si="13"/>
        <v>0</v>
      </c>
      <c r="M7" s="535">
        <f t="shared" si="14"/>
        <v>182196</v>
      </c>
      <c r="N7" s="380">
        <f t="shared" si="2"/>
        <v>0</v>
      </c>
      <c r="O7" s="64">
        <f t="shared" si="3"/>
        <v>1869</v>
      </c>
      <c r="P7" s="535">
        <f t="shared" si="3"/>
        <v>2223</v>
      </c>
      <c r="Q7" s="535">
        <f t="shared" si="3"/>
        <v>185821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5"/>
        <v>0</v>
      </c>
      <c r="V7" s="62">
        <f>R7+N7+I7:I7</f>
        <v>0</v>
      </c>
      <c r="W7" s="384" t="e">
        <f t="shared" si="17"/>
        <v>#DIV/0!</v>
      </c>
      <c r="X7" s="535">
        <f t="shared" si="18"/>
        <v>2489</v>
      </c>
      <c r="Y7" s="52">
        <f t="shared" si="19"/>
        <v>0</v>
      </c>
      <c r="Z7" s="535">
        <f t="shared" si="20"/>
        <v>140626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0</v>
      </c>
      <c r="AE7" s="535">
        <f t="shared" si="22"/>
        <v>366543</v>
      </c>
      <c r="AF7" s="293">
        <f t="shared" si="23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4"/>
        <v>0</v>
      </c>
      <c r="AJ7" s="303">
        <f>-tanks!AW8</f>
        <v>0</v>
      </c>
      <c r="AK7" s="303">
        <f t="shared" si="25"/>
        <v>0</v>
      </c>
      <c r="AL7" s="303">
        <f t="shared" si="8"/>
        <v>0</v>
      </c>
      <c r="AM7" s="303">
        <f t="shared" si="26"/>
        <v>0</v>
      </c>
      <c r="AN7" s="535">
        <f t="shared" si="27"/>
        <v>66</v>
      </c>
      <c r="AO7" s="305">
        <f t="shared" si="28"/>
        <v>1980</v>
      </c>
      <c r="AP7" s="535">
        <f t="shared" si="29"/>
        <v>31</v>
      </c>
      <c r="AQ7" s="305">
        <f t="shared" si="30"/>
        <v>930</v>
      </c>
      <c r="AR7" s="535">
        <f t="shared" si="31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44777</v>
      </c>
      <c r="B8" s="535">
        <v>227</v>
      </c>
      <c r="C8" s="535">
        <v>233</v>
      </c>
      <c r="D8" s="45">
        <f t="shared" si="35"/>
        <v>4</v>
      </c>
      <c r="E8" s="45">
        <f t="shared" si="9"/>
        <v>33.520000000000003</v>
      </c>
      <c r="F8" s="535">
        <f t="shared" si="36"/>
        <v>2260</v>
      </c>
      <c r="G8" s="52">
        <f t="shared" si="0"/>
        <v>0</v>
      </c>
      <c r="H8" s="535">
        <f t="shared" si="10"/>
        <v>44849</v>
      </c>
      <c r="I8" s="380">
        <f t="shared" si="1"/>
        <v>0</v>
      </c>
      <c r="J8" s="66">
        <f t="shared" si="11"/>
        <v>0</v>
      </c>
      <c r="K8" s="535">
        <f t="shared" si="12"/>
        <v>2451</v>
      </c>
      <c r="L8" s="52">
        <f t="shared" si="13"/>
        <v>0</v>
      </c>
      <c r="M8" s="535">
        <f t="shared" si="14"/>
        <v>182196</v>
      </c>
      <c r="N8" s="380">
        <f t="shared" si="2"/>
        <v>0</v>
      </c>
      <c r="O8" s="64">
        <f t="shared" si="3"/>
        <v>1869</v>
      </c>
      <c r="P8" s="535">
        <v>2225</v>
      </c>
      <c r="Q8" s="535">
        <v>185956</v>
      </c>
      <c r="R8" s="379">
        <f t="shared" si="4"/>
        <v>135</v>
      </c>
      <c r="S8" s="52">
        <f t="shared" si="5"/>
        <v>2</v>
      </c>
      <c r="T8" s="67">
        <f t="shared" si="37"/>
        <v>0</v>
      </c>
      <c r="U8" s="386">
        <f t="shared" si="15"/>
        <v>2</v>
      </c>
      <c r="V8" s="62">
        <f>R8+N8+I8:I8</f>
        <v>135</v>
      </c>
      <c r="W8" s="384">
        <f t="shared" si="17"/>
        <v>67.5</v>
      </c>
      <c r="X8" s="535">
        <v>2490</v>
      </c>
      <c r="Y8" s="52">
        <f t="shared" si="19"/>
        <v>1</v>
      </c>
      <c r="Z8" s="535">
        <f t="shared" si="20"/>
        <v>140626</v>
      </c>
      <c r="AA8" s="65">
        <f t="shared" si="6"/>
        <v>0</v>
      </c>
      <c r="AB8" s="273">
        <f t="shared" si="38"/>
        <v>0</v>
      </c>
      <c r="AC8" s="535">
        <f t="shared" si="21"/>
        <v>1947</v>
      </c>
      <c r="AD8" s="45">
        <f t="shared" si="7"/>
        <v>0</v>
      </c>
      <c r="AE8" s="535">
        <f t="shared" si="22"/>
        <v>366543</v>
      </c>
      <c r="AF8" s="293">
        <f t="shared" si="23"/>
        <v>0</v>
      </c>
      <c r="AG8" s="209">
        <f t="shared" si="39"/>
        <v>0</v>
      </c>
      <c r="AH8" s="62">
        <f t="shared" si="40"/>
        <v>0</v>
      </c>
      <c r="AI8" s="303">
        <f t="shared" si="24"/>
        <v>135</v>
      </c>
      <c r="AJ8" s="303">
        <f>-tanks!AW9</f>
        <v>135</v>
      </c>
      <c r="AK8" s="303">
        <f t="shared" si="25"/>
        <v>0</v>
      </c>
      <c r="AL8" s="303">
        <f t="shared" si="8"/>
        <v>2</v>
      </c>
      <c r="AM8" s="303">
        <f t="shared" si="26"/>
        <v>1</v>
      </c>
      <c r="AN8" s="535">
        <f t="shared" si="27"/>
        <v>66</v>
      </c>
      <c r="AO8" s="305">
        <f t="shared" si="28"/>
        <v>1980</v>
      </c>
      <c r="AP8" s="535">
        <f t="shared" si="29"/>
        <v>31</v>
      </c>
      <c r="AQ8" s="305">
        <f t="shared" si="30"/>
        <v>930</v>
      </c>
      <c r="AR8" s="535">
        <f t="shared" si="31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44778</v>
      </c>
      <c r="B9" s="535">
        <f t="shared" si="33"/>
        <v>227</v>
      </c>
      <c r="C9" s="535">
        <f t="shared" si="34"/>
        <v>233</v>
      </c>
      <c r="D9" s="45">
        <f t="shared" si="35"/>
        <v>0</v>
      </c>
      <c r="E9" s="45">
        <f t="shared" si="9"/>
        <v>0</v>
      </c>
      <c r="F9" s="535">
        <f t="shared" si="36"/>
        <v>2260</v>
      </c>
      <c r="G9" s="52">
        <f t="shared" si="0"/>
        <v>0</v>
      </c>
      <c r="H9" s="535">
        <f t="shared" si="10"/>
        <v>44849</v>
      </c>
      <c r="I9" s="380">
        <f t="shared" si="1"/>
        <v>0</v>
      </c>
      <c r="J9" s="66">
        <f t="shared" si="11"/>
        <v>0</v>
      </c>
      <c r="K9" s="535">
        <f t="shared" si="12"/>
        <v>2451</v>
      </c>
      <c r="L9" s="52">
        <f t="shared" si="13"/>
        <v>0</v>
      </c>
      <c r="M9" s="535">
        <f t="shared" si="14"/>
        <v>182196</v>
      </c>
      <c r="N9" s="380">
        <f t="shared" si="2"/>
        <v>0</v>
      </c>
      <c r="O9" s="64">
        <f t="shared" si="3"/>
        <v>1869</v>
      </c>
      <c r="P9" s="535">
        <f t="shared" si="3"/>
        <v>2225</v>
      </c>
      <c r="Q9" s="535">
        <f t="shared" si="3"/>
        <v>185956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5"/>
        <v>0</v>
      </c>
      <c r="V9" s="62">
        <f t="shared" si="16"/>
        <v>0</v>
      </c>
      <c r="W9" s="384" t="e">
        <f t="shared" si="17"/>
        <v>#DIV/0!</v>
      </c>
      <c r="X9" s="535">
        <f t="shared" si="18"/>
        <v>2490</v>
      </c>
      <c r="Y9" s="52">
        <f t="shared" si="19"/>
        <v>0</v>
      </c>
      <c r="Z9" s="535">
        <f t="shared" si="20"/>
        <v>140626</v>
      </c>
      <c r="AA9" s="65">
        <f t="shared" si="6"/>
        <v>0</v>
      </c>
      <c r="AB9" s="273">
        <f t="shared" si="38"/>
        <v>0</v>
      </c>
      <c r="AC9" s="535">
        <f t="shared" si="21"/>
        <v>1947</v>
      </c>
      <c r="AD9" s="45">
        <f t="shared" si="7"/>
        <v>0</v>
      </c>
      <c r="AE9" s="535">
        <f t="shared" si="22"/>
        <v>366543</v>
      </c>
      <c r="AF9" s="293">
        <f t="shared" si="23"/>
        <v>0</v>
      </c>
      <c r="AG9" s="209">
        <f t="shared" si="39"/>
        <v>0</v>
      </c>
      <c r="AH9" s="62">
        <f t="shared" si="40"/>
        <v>0</v>
      </c>
      <c r="AI9" s="303">
        <f t="shared" si="24"/>
        <v>0</v>
      </c>
      <c r="AJ9" s="303">
        <f>-tanks!AW10</f>
        <v>0</v>
      </c>
      <c r="AK9" s="303">
        <f t="shared" si="25"/>
        <v>0</v>
      </c>
      <c r="AL9" s="303">
        <f t="shared" si="8"/>
        <v>0</v>
      </c>
      <c r="AM9" s="303">
        <f t="shared" si="26"/>
        <v>0</v>
      </c>
      <c r="AN9" s="535">
        <f t="shared" si="27"/>
        <v>66</v>
      </c>
      <c r="AO9" s="305">
        <f t="shared" si="28"/>
        <v>1980</v>
      </c>
      <c r="AP9" s="535">
        <f t="shared" si="29"/>
        <v>31</v>
      </c>
      <c r="AQ9" s="305">
        <f t="shared" si="30"/>
        <v>930</v>
      </c>
      <c r="AR9" s="535">
        <f t="shared" si="31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44779</v>
      </c>
      <c r="B10" s="535">
        <f t="shared" si="33"/>
        <v>227</v>
      </c>
      <c r="C10" s="535">
        <f t="shared" si="34"/>
        <v>233</v>
      </c>
      <c r="D10" s="45">
        <f t="shared" si="35"/>
        <v>0</v>
      </c>
      <c r="E10" s="45">
        <f t="shared" si="9"/>
        <v>0</v>
      </c>
      <c r="F10" s="535">
        <f t="shared" si="36"/>
        <v>2260</v>
      </c>
      <c r="G10" s="52">
        <f t="shared" si="0"/>
        <v>0</v>
      </c>
      <c r="H10" s="535">
        <f t="shared" si="10"/>
        <v>44849</v>
      </c>
      <c r="I10" s="380">
        <f t="shared" si="1"/>
        <v>0</v>
      </c>
      <c r="J10" s="66">
        <f t="shared" si="11"/>
        <v>0</v>
      </c>
      <c r="K10" s="535">
        <f t="shared" si="12"/>
        <v>2451</v>
      </c>
      <c r="L10" s="52">
        <f t="shared" si="13"/>
        <v>0</v>
      </c>
      <c r="M10" s="535">
        <f t="shared" si="14"/>
        <v>182196</v>
      </c>
      <c r="N10" s="380">
        <f t="shared" si="2"/>
        <v>0</v>
      </c>
      <c r="O10" s="64">
        <f t="shared" si="3"/>
        <v>1869</v>
      </c>
      <c r="P10" s="535">
        <f t="shared" si="3"/>
        <v>2225</v>
      </c>
      <c r="Q10" s="535">
        <f t="shared" si="3"/>
        <v>185956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5"/>
        <v>0</v>
      </c>
      <c r="V10" s="62">
        <f t="shared" si="16"/>
        <v>0</v>
      </c>
      <c r="W10" s="384" t="e">
        <f t="shared" si="17"/>
        <v>#DIV/0!</v>
      </c>
      <c r="X10" s="535">
        <f t="shared" si="18"/>
        <v>2490</v>
      </c>
      <c r="Y10" s="52">
        <f t="shared" si="19"/>
        <v>0</v>
      </c>
      <c r="Z10" s="535">
        <f t="shared" si="20"/>
        <v>140626</v>
      </c>
      <c r="AA10" s="65">
        <f t="shared" si="6"/>
        <v>0</v>
      </c>
      <c r="AB10" s="273">
        <f t="shared" si="38"/>
        <v>0</v>
      </c>
      <c r="AC10" s="535">
        <f t="shared" si="21"/>
        <v>1947</v>
      </c>
      <c r="AD10" s="45">
        <f t="shared" si="7"/>
        <v>0</v>
      </c>
      <c r="AE10" s="535">
        <f t="shared" si="22"/>
        <v>366543</v>
      </c>
      <c r="AF10" s="293">
        <f t="shared" si="23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25"/>
        <v>0</v>
      </c>
      <c r="AL10" s="303">
        <f t="shared" si="8"/>
        <v>0</v>
      </c>
      <c r="AM10" s="303">
        <f t="shared" si="26"/>
        <v>0</v>
      </c>
      <c r="AN10" s="535">
        <f t="shared" si="27"/>
        <v>66</v>
      </c>
      <c r="AO10" s="305">
        <f t="shared" si="28"/>
        <v>1980</v>
      </c>
      <c r="AP10" s="535">
        <f t="shared" si="29"/>
        <v>31</v>
      </c>
      <c r="AQ10" s="305">
        <f t="shared" si="30"/>
        <v>930</v>
      </c>
      <c r="AR10" s="535">
        <f t="shared" si="31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44780</v>
      </c>
      <c r="B11" s="535">
        <v>224</v>
      </c>
      <c r="C11" s="535">
        <v>230</v>
      </c>
      <c r="D11" s="45">
        <f t="shared" si="35"/>
        <v>3</v>
      </c>
      <c r="E11" s="45">
        <f t="shared" si="9"/>
        <v>25.14</v>
      </c>
      <c r="F11" s="535">
        <f t="shared" si="36"/>
        <v>2260</v>
      </c>
      <c r="G11" s="52">
        <f t="shared" si="0"/>
        <v>0</v>
      </c>
      <c r="H11" s="535">
        <f t="shared" si="10"/>
        <v>44849</v>
      </c>
      <c r="I11" s="380">
        <f t="shared" si="1"/>
        <v>0</v>
      </c>
      <c r="J11" s="66">
        <f t="shared" si="11"/>
        <v>0</v>
      </c>
      <c r="K11" s="535">
        <f t="shared" si="12"/>
        <v>2451</v>
      </c>
      <c r="L11" s="52">
        <f t="shared" si="13"/>
        <v>0</v>
      </c>
      <c r="M11" s="535">
        <f t="shared" si="14"/>
        <v>182196</v>
      </c>
      <c r="N11" s="380">
        <f t="shared" si="2"/>
        <v>0</v>
      </c>
      <c r="O11" s="64">
        <f t="shared" si="3"/>
        <v>1869</v>
      </c>
      <c r="P11" s="535">
        <v>2226</v>
      </c>
      <c r="Q11" s="535">
        <v>186040</v>
      </c>
      <c r="R11" s="379">
        <f t="shared" ref="R11:R32" si="44">Q11-Q10</f>
        <v>84</v>
      </c>
      <c r="S11" s="52">
        <f t="shared" si="5"/>
        <v>1</v>
      </c>
      <c r="T11" s="67">
        <f t="shared" si="37"/>
        <v>0</v>
      </c>
      <c r="U11" s="386">
        <f t="shared" si="15"/>
        <v>1</v>
      </c>
      <c r="V11" s="62">
        <f t="shared" si="16"/>
        <v>84</v>
      </c>
      <c r="W11" s="384">
        <f t="shared" si="17"/>
        <v>84</v>
      </c>
      <c r="X11" s="535">
        <f t="shared" si="18"/>
        <v>2490</v>
      </c>
      <c r="Y11" s="52">
        <f t="shared" si="19"/>
        <v>0</v>
      </c>
      <c r="Z11" s="535">
        <f t="shared" si="20"/>
        <v>140626</v>
      </c>
      <c r="AA11" s="65">
        <f t="shared" si="6"/>
        <v>0</v>
      </c>
      <c r="AB11" s="273">
        <f t="shared" si="38"/>
        <v>0</v>
      </c>
      <c r="AC11" s="535">
        <f t="shared" si="21"/>
        <v>1947</v>
      </c>
      <c r="AD11" s="45">
        <f t="shared" si="7"/>
        <v>0</v>
      </c>
      <c r="AE11" s="535">
        <f t="shared" si="22"/>
        <v>366543</v>
      </c>
      <c r="AF11" s="293">
        <f t="shared" si="23"/>
        <v>0</v>
      </c>
      <c r="AG11" s="209">
        <f t="shared" si="39"/>
        <v>0</v>
      </c>
      <c r="AH11" s="62">
        <f>AF11+AA11</f>
        <v>0</v>
      </c>
      <c r="AI11" s="303">
        <f>SUM(AH11+V11)</f>
        <v>84</v>
      </c>
      <c r="AJ11" s="303">
        <f>-tanks!AW12</f>
        <v>84</v>
      </c>
      <c r="AK11" s="303">
        <f t="shared" si="25"/>
        <v>0</v>
      </c>
      <c r="AL11" s="303">
        <f t="shared" si="8"/>
        <v>1</v>
      </c>
      <c r="AM11" s="303">
        <f t="shared" si="26"/>
        <v>0</v>
      </c>
      <c r="AN11" s="535">
        <f t="shared" si="27"/>
        <v>66</v>
      </c>
      <c r="AO11" s="305">
        <f t="shared" si="28"/>
        <v>1980</v>
      </c>
      <c r="AP11" s="535">
        <f t="shared" si="29"/>
        <v>31</v>
      </c>
      <c r="AQ11" s="305">
        <f t="shared" si="30"/>
        <v>930</v>
      </c>
      <c r="AR11" s="535">
        <f t="shared" si="31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2"/>
        <v>0.8</v>
      </c>
    </row>
    <row r="12" spans="1:52">
      <c r="A12" s="63">
        <f>ELEC!C11</f>
        <v>44781</v>
      </c>
      <c r="B12" s="535">
        <f t="shared" si="33"/>
        <v>224</v>
      </c>
      <c r="C12" s="535">
        <f t="shared" si="34"/>
        <v>230</v>
      </c>
      <c r="D12" s="45">
        <f t="shared" si="35"/>
        <v>0</v>
      </c>
      <c r="E12" s="45">
        <f t="shared" si="9"/>
        <v>0</v>
      </c>
      <c r="F12" s="535">
        <f t="shared" si="36"/>
        <v>2260</v>
      </c>
      <c r="G12" s="52">
        <f t="shared" si="0"/>
        <v>0</v>
      </c>
      <c r="H12" s="535">
        <f t="shared" si="10"/>
        <v>44849</v>
      </c>
      <c r="I12" s="380">
        <f t="shared" si="1"/>
        <v>0</v>
      </c>
      <c r="J12" s="66">
        <f t="shared" si="11"/>
        <v>0</v>
      </c>
      <c r="K12" s="535">
        <f t="shared" si="12"/>
        <v>2451</v>
      </c>
      <c r="L12" s="52">
        <f t="shared" si="13"/>
        <v>0</v>
      </c>
      <c r="M12" s="535">
        <f t="shared" si="14"/>
        <v>182196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5"/>
        <v>0</v>
      </c>
      <c r="V12" s="62">
        <f t="shared" si="16"/>
        <v>0</v>
      </c>
      <c r="W12" s="384" t="e">
        <f t="shared" si="17"/>
        <v>#DIV/0!</v>
      </c>
      <c r="X12" s="535">
        <f t="shared" si="18"/>
        <v>2490</v>
      </c>
      <c r="Y12" s="52">
        <f t="shared" si="19"/>
        <v>0</v>
      </c>
      <c r="Z12" s="535">
        <f t="shared" si="20"/>
        <v>140626</v>
      </c>
      <c r="AA12" s="65">
        <f t="shared" si="6"/>
        <v>0</v>
      </c>
      <c r="AB12" s="273">
        <f t="shared" si="38"/>
        <v>0</v>
      </c>
      <c r="AC12" s="535">
        <f t="shared" si="21"/>
        <v>1947</v>
      </c>
      <c r="AD12" s="45">
        <f t="shared" si="7"/>
        <v>0</v>
      </c>
      <c r="AE12" s="535">
        <f t="shared" si="22"/>
        <v>366543</v>
      </c>
      <c r="AF12" s="293">
        <f t="shared" si="23"/>
        <v>0</v>
      </c>
      <c r="AG12" s="209">
        <f t="shared" si="39"/>
        <v>0</v>
      </c>
      <c r="AH12" s="62">
        <f t="shared" si="40"/>
        <v>0</v>
      </c>
      <c r="AI12" s="303">
        <f t="shared" si="24"/>
        <v>0</v>
      </c>
      <c r="AJ12" s="303">
        <f>-tanks!AW13</f>
        <v>0</v>
      </c>
      <c r="AK12" s="303">
        <f t="shared" si="25"/>
        <v>0</v>
      </c>
      <c r="AL12" s="303">
        <f t="shared" si="8"/>
        <v>0</v>
      </c>
      <c r="AM12" s="303">
        <f t="shared" si="26"/>
        <v>0</v>
      </c>
      <c r="AN12" s="535">
        <f t="shared" si="27"/>
        <v>66</v>
      </c>
      <c r="AO12" s="305">
        <f t="shared" si="28"/>
        <v>1980</v>
      </c>
      <c r="AP12" s="535">
        <f t="shared" si="29"/>
        <v>31</v>
      </c>
      <c r="AQ12" s="305">
        <f t="shared" si="30"/>
        <v>930</v>
      </c>
      <c r="AR12" s="535">
        <f t="shared" si="31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44782</v>
      </c>
      <c r="B13" s="535">
        <v>219</v>
      </c>
      <c r="C13" s="535">
        <v>226</v>
      </c>
      <c r="D13" s="45">
        <f t="shared" si="35"/>
        <v>4</v>
      </c>
      <c r="E13" s="45">
        <f t="shared" si="9"/>
        <v>33.520000000000003</v>
      </c>
      <c r="F13" s="535">
        <v>2263</v>
      </c>
      <c r="G13" s="52">
        <f t="shared" si="0"/>
        <v>3</v>
      </c>
      <c r="H13" s="535">
        <v>45033</v>
      </c>
      <c r="I13" s="380">
        <f t="shared" si="1"/>
        <v>184</v>
      </c>
      <c r="J13" s="66">
        <f t="shared" si="11"/>
        <v>61.333333333333336</v>
      </c>
      <c r="K13" s="535">
        <f t="shared" si="12"/>
        <v>2451</v>
      </c>
      <c r="L13" s="52">
        <f t="shared" si="13"/>
        <v>0</v>
      </c>
      <c r="M13" s="535">
        <f t="shared" si="14"/>
        <v>182196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5"/>
        <v>3</v>
      </c>
      <c r="V13" s="62">
        <f t="shared" si="16"/>
        <v>184</v>
      </c>
      <c r="W13" s="384">
        <f t="shared" si="17"/>
        <v>61.333333333333336</v>
      </c>
      <c r="X13" s="535">
        <f t="shared" si="18"/>
        <v>2490</v>
      </c>
      <c r="Y13" s="52">
        <f t="shared" si="19"/>
        <v>0</v>
      </c>
      <c r="Z13" s="535">
        <f t="shared" si="20"/>
        <v>140626</v>
      </c>
      <c r="AA13" s="273">
        <f t="shared" si="6"/>
        <v>0</v>
      </c>
      <c r="AB13" s="273">
        <f t="shared" si="38"/>
        <v>0</v>
      </c>
      <c r="AC13" s="535">
        <f t="shared" si="21"/>
        <v>1947</v>
      </c>
      <c r="AD13" s="45">
        <f t="shared" si="7"/>
        <v>0</v>
      </c>
      <c r="AE13" s="535">
        <f t="shared" si="22"/>
        <v>366543</v>
      </c>
      <c r="AF13" s="293">
        <f t="shared" si="23"/>
        <v>0</v>
      </c>
      <c r="AG13" s="209">
        <f t="shared" si="39"/>
        <v>0</v>
      </c>
      <c r="AH13" s="62">
        <f t="shared" si="40"/>
        <v>0</v>
      </c>
      <c r="AI13" s="303">
        <f t="shared" si="24"/>
        <v>184</v>
      </c>
      <c r="AJ13" s="303">
        <f>-tanks!AW14</f>
        <v>184</v>
      </c>
      <c r="AK13" s="303">
        <f t="shared" si="25"/>
        <v>0</v>
      </c>
      <c r="AL13" s="303">
        <f t="shared" si="8"/>
        <v>3</v>
      </c>
      <c r="AM13" s="303">
        <f t="shared" si="26"/>
        <v>0</v>
      </c>
      <c r="AN13" s="535">
        <f t="shared" si="27"/>
        <v>66</v>
      </c>
      <c r="AO13" s="305">
        <f t="shared" si="28"/>
        <v>1980</v>
      </c>
      <c r="AP13" s="535">
        <f t="shared" si="29"/>
        <v>31</v>
      </c>
      <c r="AQ13" s="305">
        <f t="shared" si="30"/>
        <v>930</v>
      </c>
      <c r="AR13" s="535">
        <f t="shared" si="31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2"/>
        <v>0.8</v>
      </c>
    </row>
    <row r="14" spans="1:52">
      <c r="A14" s="63">
        <f>ELEC!C13</f>
        <v>44783</v>
      </c>
      <c r="B14" s="535">
        <v>215</v>
      </c>
      <c r="C14" s="535">
        <v>222</v>
      </c>
      <c r="D14" s="45">
        <f t="shared" si="35"/>
        <v>4</v>
      </c>
      <c r="E14" s="45">
        <f t="shared" si="9"/>
        <v>33.520000000000003</v>
      </c>
      <c r="F14" s="535">
        <v>2264</v>
      </c>
      <c r="G14" s="52">
        <f t="shared" si="0"/>
        <v>1</v>
      </c>
      <c r="H14" s="535">
        <v>45115</v>
      </c>
      <c r="I14" s="380">
        <f t="shared" si="1"/>
        <v>82</v>
      </c>
      <c r="J14" s="66">
        <f t="shared" si="11"/>
        <v>82</v>
      </c>
      <c r="K14" s="535">
        <f t="shared" si="12"/>
        <v>2451</v>
      </c>
      <c r="L14" s="52">
        <f t="shared" si="13"/>
        <v>0</v>
      </c>
      <c r="M14" s="535">
        <v>182197</v>
      </c>
      <c r="N14" s="380">
        <f t="shared" si="2"/>
        <v>1</v>
      </c>
      <c r="O14" s="64">
        <f t="shared" si="3"/>
        <v>1869</v>
      </c>
      <c r="P14" s="535">
        <f t="shared" si="3"/>
        <v>2226</v>
      </c>
      <c r="Q14" s="535">
        <v>186049</v>
      </c>
      <c r="R14" s="379">
        <f t="shared" si="44"/>
        <v>9</v>
      </c>
      <c r="S14" s="52">
        <f t="shared" si="5"/>
        <v>0</v>
      </c>
      <c r="T14" s="67">
        <f t="shared" si="37"/>
        <v>0</v>
      </c>
      <c r="U14" s="386">
        <f t="shared" si="15"/>
        <v>1</v>
      </c>
      <c r="V14" s="62">
        <f t="shared" si="16"/>
        <v>92</v>
      </c>
      <c r="W14" s="384">
        <f t="shared" si="17"/>
        <v>92</v>
      </c>
      <c r="X14" s="535">
        <f t="shared" si="18"/>
        <v>2490</v>
      </c>
      <c r="Y14" s="52">
        <f t="shared" si="19"/>
        <v>0</v>
      </c>
      <c r="Z14" s="535">
        <f t="shared" si="20"/>
        <v>140626</v>
      </c>
      <c r="AA14" s="65">
        <f t="shared" si="6"/>
        <v>0</v>
      </c>
      <c r="AB14" s="273">
        <f t="shared" si="38"/>
        <v>0</v>
      </c>
      <c r="AC14" s="535">
        <v>1948</v>
      </c>
      <c r="AD14" s="45">
        <f t="shared" si="7"/>
        <v>1</v>
      </c>
      <c r="AE14" s="535">
        <v>366628</v>
      </c>
      <c r="AF14" s="293">
        <f>AE14-AE13</f>
        <v>85</v>
      </c>
      <c r="AG14" s="209">
        <f t="shared" si="39"/>
        <v>85</v>
      </c>
      <c r="AH14" s="62">
        <f>AF14+AA14</f>
        <v>85</v>
      </c>
      <c r="AI14" s="303">
        <f>SUM(AH14+V14)</f>
        <v>177</v>
      </c>
      <c r="AJ14" s="303">
        <f>-tanks!AW15</f>
        <v>177</v>
      </c>
      <c r="AK14" s="303">
        <f t="shared" si="25"/>
        <v>0</v>
      </c>
      <c r="AL14" s="303">
        <f t="shared" si="8"/>
        <v>1</v>
      </c>
      <c r="AM14" s="303">
        <f t="shared" si="26"/>
        <v>1</v>
      </c>
      <c r="AN14" s="535">
        <f t="shared" si="27"/>
        <v>66</v>
      </c>
      <c r="AO14" s="305">
        <f t="shared" si="28"/>
        <v>1980</v>
      </c>
      <c r="AP14" s="535">
        <f t="shared" si="29"/>
        <v>31</v>
      </c>
      <c r="AQ14" s="305">
        <f t="shared" si="30"/>
        <v>930</v>
      </c>
      <c r="AR14" s="535">
        <f t="shared" si="31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44784</v>
      </c>
      <c r="B15" s="535">
        <v>253</v>
      </c>
      <c r="C15" s="535">
        <v>260</v>
      </c>
      <c r="D15" s="45">
        <f t="shared" si="35"/>
        <v>-38</v>
      </c>
      <c r="E15" s="45">
        <f t="shared" si="9"/>
        <v>-318.44000000000005</v>
      </c>
      <c r="F15" s="535">
        <f t="shared" si="36"/>
        <v>2264</v>
      </c>
      <c r="G15" s="52">
        <f t="shared" si="0"/>
        <v>0</v>
      </c>
      <c r="H15" s="535">
        <v>45139</v>
      </c>
      <c r="I15" s="380">
        <f t="shared" si="1"/>
        <v>24</v>
      </c>
      <c r="J15" s="66">
        <f t="shared" si="11"/>
        <v>0</v>
      </c>
      <c r="K15" s="535">
        <f t="shared" si="12"/>
        <v>2451</v>
      </c>
      <c r="L15" s="52">
        <f t="shared" si="13"/>
        <v>0</v>
      </c>
      <c r="M15" s="535">
        <f t="shared" si="14"/>
        <v>182197</v>
      </c>
      <c r="N15" s="380">
        <f t="shared" si="2"/>
        <v>0</v>
      </c>
      <c r="O15" s="64">
        <f t="shared" si="3"/>
        <v>1869</v>
      </c>
      <c r="P15" s="535">
        <f t="shared" si="3"/>
        <v>2226</v>
      </c>
      <c r="Q15" s="535">
        <f t="shared" si="3"/>
        <v>186049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5"/>
        <v>0</v>
      </c>
      <c r="V15" s="62">
        <f t="shared" si="16"/>
        <v>24</v>
      </c>
      <c r="W15" s="384" t="e">
        <f t="shared" si="17"/>
        <v>#DIV/0!</v>
      </c>
      <c r="X15" s="535">
        <f t="shared" si="18"/>
        <v>2490</v>
      </c>
      <c r="Y15" s="52">
        <f t="shared" si="19"/>
        <v>0</v>
      </c>
      <c r="Z15" s="535">
        <f t="shared" si="20"/>
        <v>140626</v>
      </c>
      <c r="AA15" s="65">
        <f t="shared" si="6"/>
        <v>0</v>
      </c>
      <c r="AB15" s="273">
        <f t="shared" si="38"/>
        <v>0</v>
      </c>
      <c r="AC15" s="535">
        <f t="shared" si="21"/>
        <v>1948</v>
      </c>
      <c r="AD15" s="45">
        <f t="shared" si="7"/>
        <v>0</v>
      </c>
      <c r="AE15" s="535">
        <f t="shared" si="22"/>
        <v>366628</v>
      </c>
      <c r="AF15" s="293">
        <f t="shared" si="23"/>
        <v>0</v>
      </c>
      <c r="AG15" s="209">
        <f t="shared" si="39"/>
        <v>0</v>
      </c>
      <c r="AH15" s="62">
        <f t="shared" si="40"/>
        <v>0</v>
      </c>
      <c r="AI15" s="303">
        <f t="shared" si="24"/>
        <v>24</v>
      </c>
      <c r="AJ15" s="303">
        <f>-tanks!AW16</f>
        <v>24</v>
      </c>
      <c r="AK15" s="303">
        <f t="shared" si="25"/>
        <v>0</v>
      </c>
      <c r="AL15" s="303">
        <f t="shared" si="8"/>
        <v>0</v>
      </c>
      <c r="AM15" s="303">
        <f t="shared" si="26"/>
        <v>0</v>
      </c>
      <c r="AN15" s="535">
        <f t="shared" si="27"/>
        <v>66</v>
      </c>
      <c r="AO15" s="305">
        <f t="shared" si="28"/>
        <v>1980</v>
      </c>
      <c r="AP15" s="535">
        <f t="shared" si="29"/>
        <v>31</v>
      </c>
      <c r="AQ15" s="305">
        <f t="shared" si="30"/>
        <v>930</v>
      </c>
      <c r="AR15" s="535">
        <f t="shared" si="31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44785</v>
      </c>
      <c r="B16" s="535">
        <f t="shared" si="33"/>
        <v>253</v>
      </c>
      <c r="C16" s="535">
        <f t="shared" si="34"/>
        <v>260</v>
      </c>
      <c r="D16" s="45">
        <f t="shared" si="35"/>
        <v>0</v>
      </c>
      <c r="E16" s="45">
        <f t="shared" si="9"/>
        <v>0</v>
      </c>
      <c r="F16" s="535">
        <f t="shared" si="36"/>
        <v>2264</v>
      </c>
      <c r="G16" s="52">
        <f t="shared" si="0"/>
        <v>0</v>
      </c>
      <c r="H16" s="535">
        <f t="shared" si="10"/>
        <v>45139</v>
      </c>
      <c r="I16" s="380">
        <f t="shared" si="1"/>
        <v>0</v>
      </c>
      <c r="J16" s="66">
        <f t="shared" si="11"/>
        <v>0</v>
      </c>
      <c r="K16" s="535">
        <f t="shared" si="12"/>
        <v>2451</v>
      </c>
      <c r="L16" s="52">
        <f t="shared" si="13"/>
        <v>0</v>
      </c>
      <c r="M16" s="535">
        <f t="shared" si="14"/>
        <v>182197</v>
      </c>
      <c r="N16" s="380">
        <f t="shared" si="2"/>
        <v>0</v>
      </c>
      <c r="O16" s="64">
        <f t="shared" si="3"/>
        <v>1869</v>
      </c>
      <c r="P16" s="535">
        <f t="shared" si="3"/>
        <v>2226</v>
      </c>
      <c r="Q16" s="535">
        <f t="shared" si="3"/>
        <v>186049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5"/>
        <v>0</v>
      </c>
      <c r="V16" s="62">
        <f t="shared" si="16"/>
        <v>0</v>
      </c>
      <c r="W16" s="384" t="e">
        <f t="shared" si="17"/>
        <v>#DIV/0!</v>
      </c>
      <c r="X16" s="535">
        <f t="shared" si="18"/>
        <v>2490</v>
      </c>
      <c r="Y16" s="52">
        <f t="shared" si="19"/>
        <v>0</v>
      </c>
      <c r="Z16" s="535">
        <f t="shared" si="20"/>
        <v>140626</v>
      </c>
      <c r="AA16" s="65">
        <f t="shared" si="6"/>
        <v>0</v>
      </c>
      <c r="AB16" s="273">
        <f t="shared" si="38"/>
        <v>0</v>
      </c>
      <c r="AC16" s="535">
        <f t="shared" si="21"/>
        <v>1948</v>
      </c>
      <c r="AD16" s="45">
        <f t="shared" si="7"/>
        <v>0</v>
      </c>
      <c r="AE16" s="535">
        <f t="shared" si="22"/>
        <v>366628</v>
      </c>
      <c r="AF16" s="293">
        <f t="shared" si="23"/>
        <v>0</v>
      </c>
      <c r="AG16" s="209">
        <f t="shared" si="39"/>
        <v>0</v>
      </c>
      <c r="AH16" s="62">
        <f t="shared" si="40"/>
        <v>0</v>
      </c>
      <c r="AI16" s="303">
        <f t="shared" si="24"/>
        <v>0</v>
      </c>
      <c r="AJ16" s="303">
        <f>-tanks!AW17</f>
        <v>0</v>
      </c>
      <c r="AK16" s="303">
        <f t="shared" si="25"/>
        <v>0</v>
      </c>
      <c r="AL16" s="303">
        <f t="shared" si="8"/>
        <v>0</v>
      </c>
      <c r="AM16" s="303">
        <f t="shared" si="26"/>
        <v>0</v>
      </c>
      <c r="AN16" s="535">
        <f t="shared" si="27"/>
        <v>66</v>
      </c>
      <c r="AO16" s="305">
        <f t="shared" si="28"/>
        <v>1980</v>
      </c>
      <c r="AP16" s="535">
        <f t="shared" si="29"/>
        <v>31</v>
      </c>
      <c r="AQ16" s="305">
        <f t="shared" si="30"/>
        <v>930</v>
      </c>
      <c r="AR16" s="535">
        <f t="shared" si="31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44786</v>
      </c>
      <c r="B17" s="535">
        <f t="shared" si="33"/>
        <v>253</v>
      </c>
      <c r="C17" s="535">
        <f t="shared" si="34"/>
        <v>260</v>
      </c>
      <c r="D17" s="45">
        <f t="shared" si="35"/>
        <v>0</v>
      </c>
      <c r="E17" s="45">
        <f t="shared" si="9"/>
        <v>0</v>
      </c>
      <c r="F17" s="535">
        <f t="shared" si="36"/>
        <v>2264</v>
      </c>
      <c r="G17" s="52">
        <f t="shared" si="0"/>
        <v>0</v>
      </c>
      <c r="H17" s="535">
        <f t="shared" si="10"/>
        <v>45139</v>
      </c>
      <c r="I17" s="380">
        <f t="shared" si="1"/>
        <v>0</v>
      </c>
      <c r="J17" s="66">
        <f t="shared" si="11"/>
        <v>0</v>
      </c>
      <c r="K17" s="535">
        <f t="shared" si="12"/>
        <v>2451</v>
      </c>
      <c r="L17" s="52">
        <f t="shared" si="13"/>
        <v>0</v>
      </c>
      <c r="M17" s="535">
        <f t="shared" si="14"/>
        <v>182197</v>
      </c>
      <c r="N17" s="380">
        <f t="shared" si="2"/>
        <v>0</v>
      </c>
      <c r="O17" s="64">
        <f t="shared" si="3"/>
        <v>1869</v>
      </c>
      <c r="P17" s="535">
        <f t="shared" si="3"/>
        <v>2226</v>
      </c>
      <c r="Q17" s="535">
        <f t="shared" si="3"/>
        <v>186049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5"/>
        <v>0</v>
      </c>
      <c r="V17" s="62">
        <f t="shared" si="16"/>
        <v>0</v>
      </c>
      <c r="W17" s="384"/>
      <c r="X17" s="535">
        <f t="shared" si="18"/>
        <v>2490</v>
      </c>
      <c r="Y17" s="52">
        <f t="shared" si="19"/>
        <v>0</v>
      </c>
      <c r="Z17" s="535">
        <f t="shared" si="20"/>
        <v>140626</v>
      </c>
      <c r="AA17" s="65">
        <f t="shared" si="6"/>
        <v>0</v>
      </c>
      <c r="AB17" s="273">
        <f t="shared" si="38"/>
        <v>0</v>
      </c>
      <c r="AC17" s="535">
        <f t="shared" si="21"/>
        <v>1948</v>
      </c>
      <c r="AD17" s="45">
        <f t="shared" si="7"/>
        <v>0</v>
      </c>
      <c r="AE17" s="535">
        <f t="shared" si="22"/>
        <v>366628</v>
      </c>
      <c r="AF17" s="293">
        <f t="shared" si="23"/>
        <v>0</v>
      </c>
      <c r="AG17" s="209">
        <f t="shared" si="39"/>
        <v>0</v>
      </c>
      <c r="AH17" s="62">
        <f t="shared" si="40"/>
        <v>0</v>
      </c>
      <c r="AI17" s="303">
        <f t="shared" si="24"/>
        <v>0</v>
      </c>
      <c r="AJ17" s="303">
        <f>-tanks!AW18</f>
        <v>0</v>
      </c>
      <c r="AK17" s="303">
        <f t="shared" si="25"/>
        <v>0</v>
      </c>
      <c r="AL17" s="303">
        <f t="shared" si="8"/>
        <v>0</v>
      </c>
      <c r="AM17" s="303">
        <f t="shared" si="26"/>
        <v>0</v>
      </c>
      <c r="AN17" s="535">
        <f t="shared" si="27"/>
        <v>66</v>
      </c>
      <c r="AO17" s="305">
        <f t="shared" si="28"/>
        <v>1980</v>
      </c>
      <c r="AP17" s="535">
        <f t="shared" si="29"/>
        <v>31</v>
      </c>
      <c r="AQ17" s="305">
        <f t="shared" si="30"/>
        <v>930</v>
      </c>
      <c r="AR17" s="535">
        <f t="shared" si="31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44787</v>
      </c>
      <c r="B18" s="535">
        <f t="shared" si="33"/>
        <v>253</v>
      </c>
      <c r="C18" s="535">
        <f t="shared" si="34"/>
        <v>260</v>
      </c>
      <c r="D18" s="45">
        <f t="shared" si="35"/>
        <v>0</v>
      </c>
      <c r="E18" s="45">
        <f t="shared" si="9"/>
        <v>0</v>
      </c>
      <c r="F18" s="535">
        <f t="shared" si="36"/>
        <v>2264</v>
      </c>
      <c r="G18" s="52">
        <f t="shared" si="0"/>
        <v>0</v>
      </c>
      <c r="H18" s="535">
        <f t="shared" si="10"/>
        <v>45139</v>
      </c>
      <c r="I18" s="380">
        <f t="shared" si="1"/>
        <v>0</v>
      </c>
      <c r="J18" s="66">
        <f t="shared" si="11"/>
        <v>0</v>
      </c>
      <c r="K18" s="535">
        <f t="shared" si="12"/>
        <v>2451</v>
      </c>
      <c r="L18" s="52">
        <f t="shared" si="13"/>
        <v>0</v>
      </c>
      <c r="M18" s="535">
        <f t="shared" si="14"/>
        <v>182197</v>
      </c>
      <c r="N18" s="380">
        <f t="shared" si="2"/>
        <v>0</v>
      </c>
      <c r="O18" s="64">
        <v>1869</v>
      </c>
      <c r="P18" s="535">
        <f t="shared" ref="P18:P35" si="45">P17</f>
        <v>2226</v>
      </c>
      <c r="Q18" s="535">
        <f t="shared" ref="Q18:Q35" si="46">Q17</f>
        <v>186049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5"/>
        <v>0</v>
      </c>
      <c r="V18" s="62">
        <f t="shared" si="16"/>
        <v>0</v>
      </c>
      <c r="W18" s="384"/>
      <c r="X18" s="535">
        <f t="shared" si="18"/>
        <v>2490</v>
      </c>
      <c r="Y18" s="52">
        <f t="shared" si="19"/>
        <v>0</v>
      </c>
      <c r="Z18" s="535">
        <f t="shared" si="20"/>
        <v>140626</v>
      </c>
      <c r="AA18" s="65">
        <f t="shared" si="6"/>
        <v>0</v>
      </c>
      <c r="AB18" s="273">
        <f t="shared" ref="AB18:AB23" si="47">SUM(Y18*$AB$2)</f>
        <v>0</v>
      </c>
      <c r="AC18" s="535">
        <f t="shared" si="21"/>
        <v>1948</v>
      </c>
      <c r="AD18" s="45">
        <f t="shared" si="7"/>
        <v>0</v>
      </c>
      <c r="AE18" s="535">
        <f t="shared" si="22"/>
        <v>366628</v>
      </c>
      <c r="AF18" s="293">
        <f t="shared" si="23"/>
        <v>0</v>
      </c>
      <c r="AG18" s="209">
        <f t="shared" si="39"/>
        <v>0</v>
      </c>
      <c r="AH18" s="62">
        <f t="shared" si="40"/>
        <v>0</v>
      </c>
      <c r="AI18" s="303">
        <f t="shared" si="24"/>
        <v>0</v>
      </c>
      <c r="AJ18" s="303">
        <f>-tanks!AW19</f>
        <v>0</v>
      </c>
      <c r="AK18" s="303">
        <f t="shared" si="25"/>
        <v>0</v>
      </c>
      <c r="AL18" s="303">
        <f t="shared" si="8"/>
        <v>0</v>
      </c>
      <c r="AM18" s="303">
        <f t="shared" si="26"/>
        <v>0</v>
      </c>
      <c r="AN18" s="535">
        <f t="shared" si="27"/>
        <v>66</v>
      </c>
      <c r="AO18" s="305">
        <f t="shared" si="28"/>
        <v>1980</v>
      </c>
      <c r="AP18" s="535">
        <f t="shared" si="29"/>
        <v>31</v>
      </c>
      <c r="AQ18" s="305">
        <f t="shared" si="30"/>
        <v>930</v>
      </c>
      <c r="AR18" s="535">
        <f t="shared" si="31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44788</v>
      </c>
      <c r="B19" s="535">
        <v>249</v>
      </c>
      <c r="C19" s="535">
        <v>255</v>
      </c>
      <c r="D19" s="45">
        <f t="shared" si="35"/>
        <v>5</v>
      </c>
      <c r="E19" s="45">
        <f t="shared" si="9"/>
        <v>41.900000000000006</v>
      </c>
      <c r="F19" s="535">
        <f t="shared" si="36"/>
        <v>2264</v>
      </c>
      <c r="G19" s="52">
        <f t="shared" si="0"/>
        <v>0</v>
      </c>
      <c r="H19" s="535">
        <f t="shared" si="10"/>
        <v>45139</v>
      </c>
      <c r="I19" s="380">
        <f t="shared" si="1"/>
        <v>0</v>
      </c>
      <c r="J19" s="66">
        <f t="shared" si="11"/>
        <v>0</v>
      </c>
      <c r="K19" s="535">
        <f t="shared" si="12"/>
        <v>2451</v>
      </c>
      <c r="L19" s="52">
        <f t="shared" si="13"/>
        <v>0</v>
      </c>
      <c r="M19" s="535">
        <f t="shared" si="14"/>
        <v>182197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2226</v>
      </c>
      <c r="Q19" s="535">
        <f t="shared" si="46"/>
        <v>186049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5"/>
        <v>0</v>
      </c>
      <c r="V19" s="62">
        <f t="shared" si="16"/>
        <v>0</v>
      </c>
      <c r="W19" s="384"/>
      <c r="X19" s="535">
        <f t="shared" si="18"/>
        <v>2490</v>
      </c>
      <c r="Y19" s="52">
        <f t="shared" si="19"/>
        <v>0</v>
      </c>
      <c r="Z19" s="535">
        <f t="shared" si="20"/>
        <v>140626</v>
      </c>
      <c r="AA19" s="65">
        <f t="shared" si="6"/>
        <v>0</v>
      </c>
      <c r="AB19" s="273">
        <f t="shared" si="47"/>
        <v>0</v>
      </c>
      <c r="AC19" s="535">
        <f t="shared" si="21"/>
        <v>1948</v>
      </c>
      <c r="AD19" s="45">
        <f t="shared" si="7"/>
        <v>0</v>
      </c>
      <c r="AE19" s="535">
        <f t="shared" si="22"/>
        <v>366628</v>
      </c>
      <c r="AF19" s="293">
        <f t="shared" si="23"/>
        <v>0</v>
      </c>
      <c r="AG19" s="209">
        <f t="shared" si="39"/>
        <v>0</v>
      </c>
      <c r="AH19" s="62">
        <f t="shared" si="40"/>
        <v>0</v>
      </c>
      <c r="AI19" s="303">
        <f t="shared" si="24"/>
        <v>0</v>
      </c>
      <c r="AJ19" s="303">
        <f>-tanks!AW20</f>
        <v>0</v>
      </c>
      <c r="AK19" s="303">
        <f t="shared" si="25"/>
        <v>0</v>
      </c>
      <c r="AL19" s="303">
        <f t="shared" si="8"/>
        <v>0</v>
      </c>
      <c r="AM19" s="303">
        <f t="shared" si="26"/>
        <v>0</v>
      </c>
      <c r="AN19" s="535">
        <f t="shared" si="27"/>
        <v>66</v>
      </c>
      <c r="AO19" s="305">
        <f t="shared" si="28"/>
        <v>1980</v>
      </c>
      <c r="AP19" s="535">
        <f t="shared" si="29"/>
        <v>31</v>
      </c>
      <c r="AQ19" s="305">
        <f t="shared" si="30"/>
        <v>930</v>
      </c>
      <c r="AR19" s="535">
        <f t="shared" si="31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44789</v>
      </c>
      <c r="B20" s="535">
        <f t="shared" si="33"/>
        <v>249</v>
      </c>
      <c r="C20" s="535">
        <f t="shared" si="34"/>
        <v>255</v>
      </c>
      <c r="D20" s="45">
        <f>C19-C20</f>
        <v>0</v>
      </c>
      <c r="E20" s="45">
        <f t="shared" si="9"/>
        <v>0</v>
      </c>
      <c r="F20" s="535">
        <f t="shared" si="36"/>
        <v>2264</v>
      </c>
      <c r="G20" s="52">
        <f t="shared" si="0"/>
        <v>0</v>
      </c>
      <c r="H20" s="535">
        <f t="shared" si="10"/>
        <v>45139</v>
      </c>
      <c r="I20" s="380">
        <f t="shared" si="1"/>
        <v>0</v>
      </c>
      <c r="J20" s="66">
        <f t="shared" si="11"/>
        <v>0</v>
      </c>
      <c r="K20" s="535">
        <f t="shared" si="12"/>
        <v>2451</v>
      </c>
      <c r="L20" s="52">
        <f t="shared" si="13"/>
        <v>0</v>
      </c>
      <c r="M20" s="535">
        <f t="shared" si="14"/>
        <v>182197</v>
      </c>
      <c r="N20" s="380">
        <f t="shared" si="2"/>
        <v>0</v>
      </c>
      <c r="O20" s="64">
        <f t="shared" si="48"/>
        <v>1869</v>
      </c>
      <c r="P20" s="535">
        <f t="shared" si="45"/>
        <v>2226</v>
      </c>
      <c r="Q20" s="535">
        <f t="shared" si="46"/>
        <v>186049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5"/>
        <v>0</v>
      </c>
      <c r="V20" s="62">
        <f t="shared" si="16"/>
        <v>0</v>
      </c>
      <c r="W20" s="384"/>
      <c r="X20" s="535">
        <f t="shared" si="18"/>
        <v>2490</v>
      </c>
      <c r="Y20" s="52">
        <f t="shared" si="19"/>
        <v>0</v>
      </c>
      <c r="Z20" s="535">
        <f t="shared" si="20"/>
        <v>140626</v>
      </c>
      <c r="AA20" s="65">
        <f t="shared" si="6"/>
        <v>0</v>
      </c>
      <c r="AB20" s="273">
        <f t="shared" si="47"/>
        <v>0</v>
      </c>
      <c r="AC20" s="535">
        <f t="shared" si="21"/>
        <v>1948</v>
      </c>
      <c r="AD20" s="45">
        <f t="shared" si="7"/>
        <v>0</v>
      </c>
      <c r="AE20" s="535">
        <f t="shared" si="22"/>
        <v>366628</v>
      </c>
      <c r="AF20" s="293">
        <f t="shared" si="23"/>
        <v>0</v>
      </c>
      <c r="AG20" s="209">
        <f t="shared" si="39"/>
        <v>0</v>
      </c>
      <c r="AH20" s="62">
        <f t="shared" si="40"/>
        <v>0</v>
      </c>
      <c r="AI20" s="303">
        <f t="shared" si="24"/>
        <v>0</v>
      </c>
      <c r="AJ20" s="303">
        <f>-tanks!AW21</f>
        <v>0</v>
      </c>
      <c r="AK20" s="303">
        <f t="shared" si="25"/>
        <v>0</v>
      </c>
      <c r="AL20" s="303">
        <f t="shared" si="8"/>
        <v>0</v>
      </c>
      <c r="AM20" s="303">
        <f t="shared" si="26"/>
        <v>0</v>
      </c>
      <c r="AN20" s="535">
        <f t="shared" si="27"/>
        <v>66</v>
      </c>
      <c r="AO20" s="305">
        <f t="shared" si="28"/>
        <v>1980</v>
      </c>
      <c r="AP20" s="535">
        <f t="shared" si="29"/>
        <v>31</v>
      </c>
      <c r="AQ20" s="305">
        <f t="shared" si="30"/>
        <v>930</v>
      </c>
      <c r="AR20" s="535">
        <f t="shared" si="31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44790</v>
      </c>
      <c r="B21" s="535">
        <f t="shared" si="33"/>
        <v>249</v>
      </c>
      <c r="C21" s="535">
        <f t="shared" si="34"/>
        <v>255</v>
      </c>
      <c r="D21" s="45">
        <f t="shared" ref="D21:D32" si="49">C20-C21</f>
        <v>0</v>
      </c>
      <c r="E21" s="45">
        <f t="shared" si="9"/>
        <v>0</v>
      </c>
      <c r="F21" s="535">
        <f t="shared" si="36"/>
        <v>2264</v>
      </c>
      <c r="G21" s="52">
        <f t="shared" si="0"/>
        <v>0</v>
      </c>
      <c r="H21" s="535">
        <f t="shared" si="10"/>
        <v>45139</v>
      </c>
      <c r="I21" s="380">
        <f t="shared" si="1"/>
        <v>0</v>
      </c>
      <c r="J21" s="66">
        <f t="shared" si="11"/>
        <v>0</v>
      </c>
      <c r="K21" s="535">
        <f t="shared" si="12"/>
        <v>2451</v>
      </c>
      <c r="L21" s="52">
        <f t="shared" si="13"/>
        <v>0</v>
      </c>
      <c r="M21" s="535">
        <f t="shared" si="14"/>
        <v>182197</v>
      </c>
      <c r="N21" s="380">
        <f t="shared" si="2"/>
        <v>0</v>
      </c>
      <c r="O21" s="64">
        <f t="shared" si="48"/>
        <v>1869</v>
      </c>
      <c r="P21" s="535">
        <f t="shared" si="45"/>
        <v>2226</v>
      </c>
      <c r="Q21" s="535">
        <f t="shared" si="46"/>
        <v>186049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5"/>
        <v>0</v>
      </c>
      <c r="V21" s="62">
        <f t="shared" si="16"/>
        <v>0</v>
      </c>
      <c r="W21" s="384"/>
      <c r="X21" s="535">
        <f t="shared" si="18"/>
        <v>2490</v>
      </c>
      <c r="Y21" s="52">
        <f t="shared" si="19"/>
        <v>0</v>
      </c>
      <c r="Z21" s="535">
        <f t="shared" si="20"/>
        <v>140626</v>
      </c>
      <c r="AA21" s="65">
        <f t="shared" si="6"/>
        <v>0</v>
      </c>
      <c r="AB21" s="273">
        <f t="shared" si="47"/>
        <v>0</v>
      </c>
      <c r="AC21" s="535">
        <f t="shared" si="21"/>
        <v>1948</v>
      </c>
      <c r="AD21" s="45">
        <f t="shared" si="7"/>
        <v>0</v>
      </c>
      <c r="AE21" s="535">
        <f t="shared" si="22"/>
        <v>366628</v>
      </c>
      <c r="AF21" s="293">
        <f t="shared" si="23"/>
        <v>0</v>
      </c>
      <c r="AG21" s="209">
        <f t="shared" si="39"/>
        <v>0</v>
      </c>
      <c r="AH21" s="62">
        <f t="shared" si="40"/>
        <v>0</v>
      </c>
      <c r="AI21" s="303">
        <f t="shared" si="24"/>
        <v>0</v>
      </c>
      <c r="AJ21" s="303">
        <f>-tanks!AW22</f>
        <v>0</v>
      </c>
      <c r="AK21" s="303">
        <f t="shared" si="25"/>
        <v>0</v>
      </c>
      <c r="AL21" s="303">
        <f t="shared" si="8"/>
        <v>0</v>
      </c>
      <c r="AM21" s="303">
        <f t="shared" si="26"/>
        <v>0</v>
      </c>
      <c r="AN21" s="535">
        <f t="shared" si="27"/>
        <v>66</v>
      </c>
      <c r="AO21" s="305">
        <f t="shared" si="28"/>
        <v>1980</v>
      </c>
      <c r="AP21" s="535">
        <f t="shared" si="29"/>
        <v>31</v>
      </c>
      <c r="AQ21" s="305">
        <f t="shared" si="30"/>
        <v>930</v>
      </c>
      <c r="AR21" s="535">
        <f t="shared" si="31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44791</v>
      </c>
      <c r="B22" s="535">
        <f t="shared" si="33"/>
        <v>249</v>
      </c>
      <c r="C22" s="535">
        <f t="shared" si="34"/>
        <v>255</v>
      </c>
      <c r="D22" s="45">
        <f t="shared" si="49"/>
        <v>0</v>
      </c>
      <c r="E22" s="45">
        <f t="shared" si="9"/>
        <v>0</v>
      </c>
      <c r="F22" s="535">
        <f t="shared" si="36"/>
        <v>2264</v>
      </c>
      <c r="G22" s="52">
        <f t="shared" si="0"/>
        <v>0</v>
      </c>
      <c r="H22" s="535">
        <f t="shared" si="10"/>
        <v>45139</v>
      </c>
      <c r="I22" s="380">
        <f t="shared" si="1"/>
        <v>0</v>
      </c>
      <c r="J22" s="66">
        <f t="shared" si="11"/>
        <v>0</v>
      </c>
      <c r="K22" s="535">
        <f t="shared" si="12"/>
        <v>2451</v>
      </c>
      <c r="L22" s="52">
        <f t="shared" si="13"/>
        <v>0</v>
      </c>
      <c r="M22" s="535">
        <f t="shared" si="14"/>
        <v>182197</v>
      </c>
      <c r="N22" s="380">
        <f t="shared" si="2"/>
        <v>0</v>
      </c>
      <c r="O22" s="64">
        <f t="shared" si="48"/>
        <v>1869</v>
      </c>
      <c r="P22" s="535">
        <f t="shared" si="45"/>
        <v>2226</v>
      </c>
      <c r="Q22" s="535">
        <f t="shared" si="46"/>
        <v>186049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5"/>
        <v>0</v>
      </c>
      <c r="V22" s="62">
        <f t="shared" si="16"/>
        <v>0</v>
      </c>
      <c r="W22" s="384"/>
      <c r="X22" s="535">
        <f t="shared" si="18"/>
        <v>2490</v>
      </c>
      <c r="Y22" s="52">
        <f t="shared" si="19"/>
        <v>0</v>
      </c>
      <c r="Z22" s="535">
        <f t="shared" si="20"/>
        <v>140626</v>
      </c>
      <c r="AA22" s="65">
        <f t="shared" si="6"/>
        <v>0</v>
      </c>
      <c r="AB22" s="273">
        <f t="shared" si="47"/>
        <v>0</v>
      </c>
      <c r="AC22" s="535">
        <f t="shared" si="21"/>
        <v>1948</v>
      </c>
      <c r="AD22" s="45">
        <f t="shared" si="7"/>
        <v>0</v>
      </c>
      <c r="AE22" s="535">
        <f t="shared" si="22"/>
        <v>366628</v>
      </c>
      <c r="AF22" s="293">
        <f t="shared" si="23"/>
        <v>0</v>
      </c>
      <c r="AG22" s="209">
        <f t="shared" si="39"/>
        <v>0</v>
      </c>
      <c r="AH22" s="62">
        <f t="shared" si="40"/>
        <v>0</v>
      </c>
      <c r="AI22" s="303">
        <f t="shared" si="24"/>
        <v>0</v>
      </c>
      <c r="AJ22" s="303">
        <f>-tanks!AW23</f>
        <v>0</v>
      </c>
      <c r="AK22" s="303">
        <f t="shared" si="25"/>
        <v>0</v>
      </c>
      <c r="AL22" s="303">
        <f t="shared" si="8"/>
        <v>0</v>
      </c>
      <c r="AM22" s="303">
        <f t="shared" si="26"/>
        <v>0</v>
      </c>
      <c r="AN22" s="535">
        <f t="shared" si="27"/>
        <v>66</v>
      </c>
      <c r="AO22" s="305">
        <f t="shared" si="28"/>
        <v>1980</v>
      </c>
      <c r="AP22" s="535">
        <f t="shared" si="29"/>
        <v>31</v>
      </c>
      <c r="AQ22" s="305">
        <f t="shared" si="30"/>
        <v>930</v>
      </c>
      <c r="AR22" s="535">
        <f t="shared" si="31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44792</v>
      </c>
      <c r="B23" s="535">
        <f t="shared" si="33"/>
        <v>249</v>
      </c>
      <c r="C23" s="535">
        <f t="shared" si="34"/>
        <v>255</v>
      </c>
      <c r="D23" s="45">
        <f t="shared" si="49"/>
        <v>0</v>
      </c>
      <c r="E23" s="45">
        <f t="shared" si="9"/>
        <v>0</v>
      </c>
      <c r="F23" s="535">
        <f t="shared" si="36"/>
        <v>2264</v>
      </c>
      <c r="G23" s="52">
        <f t="shared" si="0"/>
        <v>0</v>
      </c>
      <c r="H23" s="535">
        <f t="shared" si="10"/>
        <v>45139</v>
      </c>
      <c r="I23" s="380">
        <f t="shared" si="1"/>
        <v>0</v>
      </c>
      <c r="J23" s="66">
        <f t="shared" si="11"/>
        <v>0</v>
      </c>
      <c r="K23" s="535">
        <f t="shared" si="12"/>
        <v>2451</v>
      </c>
      <c r="L23" s="52">
        <f t="shared" si="13"/>
        <v>0</v>
      </c>
      <c r="M23" s="535">
        <f t="shared" si="14"/>
        <v>182197</v>
      </c>
      <c r="N23" s="380">
        <f t="shared" si="2"/>
        <v>0</v>
      </c>
      <c r="O23" s="64">
        <f t="shared" si="48"/>
        <v>1869</v>
      </c>
      <c r="P23" s="535">
        <f t="shared" si="45"/>
        <v>2226</v>
      </c>
      <c r="Q23" s="535">
        <f t="shared" si="46"/>
        <v>186049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5"/>
        <v>0</v>
      </c>
      <c r="V23" s="62">
        <f t="shared" si="16"/>
        <v>0</v>
      </c>
      <c r="W23" s="384"/>
      <c r="X23" s="535">
        <f t="shared" si="18"/>
        <v>2490</v>
      </c>
      <c r="Y23" s="52">
        <f t="shared" si="19"/>
        <v>0</v>
      </c>
      <c r="Z23" s="535">
        <f t="shared" si="20"/>
        <v>140626</v>
      </c>
      <c r="AA23" s="65">
        <f t="shared" si="6"/>
        <v>0</v>
      </c>
      <c r="AB23" s="273">
        <f t="shared" si="47"/>
        <v>0</v>
      </c>
      <c r="AC23" s="535">
        <f t="shared" si="21"/>
        <v>1948</v>
      </c>
      <c r="AD23" s="45">
        <f t="shared" si="7"/>
        <v>0</v>
      </c>
      <c r="AE23" s="535">
        <f t="shared" si="22"/>
        <v>366628</v>
      </c>
      <c r="AF23" s="293">
        <f t="shared" si="23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27"/>
        <v>66</v>
      </c>
      <c r="AO23" s="305">
        <f t="shared" si="28"/>
        <v>1980</v>
      </c>
      <c r="AP23" s="535">
        <f t="shared" si="29"/>
        <v>31</v>
      </c>
      <c r="AQ23" s="305">
        <f t="shared" si="30"/>
        <v>930</v>
      </c>
      <c r="AR23" s="535">
        <f t="shared" si="31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44793</v>
      </c>
      <c r="B24" s="535">
        <f t="shared" si="33"/>
        <v>249</v>
      </c>
      <c r="C24" s="535">
        <f t="shared" si="34"/>
        <v>255</v>
      </c>
      <c r="D24" s="45">
        <f t="shared" si="49"/>
        <v>0</v>
      </c>
      <c r="E24" s="45">
        <f t="shared" si="9"/>
        <v>0</v>
      </c>
      <c r="F24" s="535">
        <f t="shared" si="36"/>
        <v>2264</v>
      </c>
      <c r="G24" s="52">
        <f t="shared" si="0"/>
        <v>0</v>
      </c>
      <c r="H24" s="535">
        <f t="shared" si="10"/>
        <v>45139</v>
      </c>
      <c r="I24" s="380">
        <f t="shared" si="1"/>
        <v>0</v>
      </c>
      <c r="J24" s="66">
        <f t="shared" si="11"/>
        <v>0</v>
      </c>
      <c r="K24" s="535">
        <f t="shared" si="12"/>
        <v>2451</v>
      </c>
      <c r="L24" s="52">
        <f t="shared" si="13"/>
        <v>0</v>
      </c>
      <c r="M24" s="535">
        <f t="shared" si="14"/>
        <v>182197</v>
      </c>
      <c r="N24" s="380">
        <f t="shared" si="2"/>
        <v>0</v>
      </c>
      <c r="O24" s="64">
        <f t="shared" si="48"/>
        <v>1869</v>
      </c>
      <c r="P24" s="535">
        <f t="shared" si="45"/>
        <v>2226</v>
      </c>
      <c r="Q24" s="535">
        <f t="shared" si="46"/>
        <v>186049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5"/>
        <v>0</v>
      </c>
      <c r="V24" s="62">
        <f t="shared" si="16"/>
        <v>0</v>
      </c>
      <c r="W24" s="384"/>
      <c r="X24" s="535">
        <f t="shared" si="18"/>
        <v>2490</v>
      </c>
      <c r="Y24" s="52">
        <f t="shared" si="19"/>
        <v>0</v>
      </c>
      <c r="Z24" s="535">
        <f t="shared" si="20"/>
        <v>140626</v>
      </c>
      <c r="AA24" s="65">
        <f t="shared" si="6"/>
        <v>0</v>
      </c>
      <c r="AB24" s="273">
        <f t="shared" ref="AB24:AB32" si="50">SUM(Y24*$AB$2)</f>
        <v>0</v>
      </c>
      <c r="AC24" s="535">
        <f t="shared" si="21"/>
        <v>1948</v>
      </c>
      <c r="AD24" s="45">
        <f t="shared" si="7"/>
        <v>0</v>
      </c>
      <c r="AE24" s="535">
        <f t="shared" si="22"/>
        <v>366628</v>
      </c>
      <c r="AF24" s="293">
        <f t="shared" si="23"/>
        <v>0</v>
      </c>
      <c r="AG24" s="209">
        <f t="shared" si="39"/>
        <v>0</v>
      </c>
      <c r="AH24" s="62">
        <f t="shared" si="40"/>
        <v>0</v>
      </c>
      <c r="AI24" s="303">
        <f t="shared" si="24"/>
        <v>0</v>
      </c>
      <c r="AJ24" s="303">
        <f>-tanks!AW25</f>
        <v>0</v>
      </c>
      <c r="AK24" s="303">
        <f t="shared" si="25"/>
        <v>0</v>
      </c>
      <c r="AL24" s="303">
        <f t="shared" si="8"/>
        <v>0</v>
      </c>
      <c r="AM24" s="303">
        <f t="shared" si="26"/>
        <v>0</v>
      </c>
      <c r="AN24" s="535">
        <f t="shared" si="27"/>
        <v>66</v>
      </c>
      <c r="AO24" s="305">
        <f t="shared" si="28"/>
        <v>1980</v>
      </c>
      <c r="AP24" s="535">
        <f t="shared" si="29"/>
        <v>31</v>
      </c>
      <c r="AQ24" s="305">
        <f t="shared" si="30"/>
        <v>930</v>
      </c>
      <c r="AR24" s="535">
        <f t="shared" si="31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44794</v>
      </c>
      <c r="B25" s="535">
        <f t="shared" si="33"/>
        <v>249</v>
      </c>
      <c r="C25" s="535">
        <f t="shared" si="34"/>
        <v>255</v>
      </c>
      <c r="D25" s="45">
        <f t="shared" si="49"/>
        <v>0</v>
      </c>
      <c r="E25" s="45">
        <f t="shared" si="9"/>
        <v>0</v>
      </c>
      <c r="F25" s="535">
        <f t="shared" si="36"/>
        <v>2264</v>
      </c>
      <c r="G25" s="52">
        <f t="shared" si="0"/>
        <v>0</v>
      </c>
      <c r="H25" s="535">
        <f t="shared" si="10"/>
        <v>45139</v>
      </c>
      <c r="I25" s="380">
        <f t="shared" si="1"/>
        <v>0</v>
      </c>
      <c r="J25" s="66">
        <f t="shared" si="11"/>
        <v>0</v>
      </c>
      <c r="K25" s="535">
        <f t="shared" si="12"/>
        <v>2451</v>
      </c>
      <c r="L25" s="52">
        <f t="shared" si="13"/>
        <v>0</v>
      </c>
      <c r="M25" s="535">
        <f t="shared" si="14"/>
        <v>182197</v>
      </c>
      <c r="N25" s="380">
        <f t="shared" si="2"/>
        <v>0</v>
      </c>
      <c r="O25" s="64">
        <f t="shared" si="48"/>
        <v>1869</v>
      </c>
      <c r="P25" s="535">
        <f t="shared" si="45"/>
        <v>2226</v>
      </c>
      <c r="Q25" s="535">
        <f t="shared" si="46"/>
        <v>186049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5"/>
        <v>0</v>
      </c>
      <c r="V25" s="62">
        <f t="shared" si="16"/>
        <v>0</v>
      </c>
      <c r="W25" s="384"/>
      <c r="X25" s="535">
        <f t="shared" si="18"/>
        <v>2490</v>
      </c>
      <c r="Y25" s="52">
        <f t="shared" si="19"/>
        <v>0</v>
      </c>
      <c r="Z25" s="535">
        <f t="shared" si="20"/>
        <v>140626</v>
      </c>
      <c r="AA25" s="65">
        <f t="shared" si="6"/>
        <v>0</v>
      </c>
      <c r="AB25" s="273">
        <f t="shared" si="50"/>
        <v>0</v>
      </c>
      <c r="AC25" s="535">
        <f t="shared" si="21"/>
        <v>1948</v>
      </c>
      <c r="AD25" s="45">
        <f t="shared" si="7"/>
        <v>0</v>
      </c>
      <c r="AE25" s="535">
        <f t="shared" si="22"/>
        <v>366628</v>
      </c>
      <c r="AF25" s="293">
        <f t="shared" si="23"/>
        <v>0</v>
      </c>
      <c r="AG25" s="209">
        <f t="shared" si="39"/>
        <v>0</v>
      </c>
      <c r="AH25" s="62">
        <f t="shared" si="40"/>
        <v>0</v>
      </c>
      <c r="AI25" s="303">
        <f t="shared" si="24"/>
        <v>0</v>
      </c>
      <c r="AJ25" s="303">
        <f>-tanks!AW26</f>
        <v>0</v>
      </c>
      <c r="AK25" s="303">
        <f t="shared" si="25"/>
        <v>0</v>
      </c>
      <c r="AL25" s="303">
        <f t="shared" si="8"/>
        <v>0</v>
      </c>
      <c r="AM25" s="303">
        <f>Y25+AD25</f>
        <v>0</v>
      </c>
      <c r="AN25" s="535">
        <f t="shared" si="27"/>
        <v>66</v>
      </c>
      <c r="AO25" s="305">
        <f t="shared" si="28"/>
        <v>1980</v>
      </c>
      <c r="AP25" s="535">
        <f t="shared" si="29"/>
        <v>31</v>
      </c>
      <c r="AQ25" s="305">
        <f t="shared" ref="AQ25:AQ32" si="52">(AP25/100)*3000</f>
        <v>930</v>
      </c>
      <c r="AR25" s="535">
        <f t="shared" si="31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44795</v>
      </c>
      <c r="B26" s="535">
        <f t="shared" si="33"/>
        <v>249</v>
      </c>
      <c r="C26" s="535">
        <f t="shared" si="34"/>
        <v>255</v>
      </c>
      <c r="D26" s="45">
        <f t="shared" si="49"/>
        <v>0</v>
      </c>
      <c r="E26" s="45">
        <f t="shared" si="9"/>
        <v>0</v>
      </c>
      <c r="F26" s="535">
        <f t="shared" si="36"/>
        <v>2264</v>
      </c>
      <c r="G26" s="52">
        <f t="shared" si="0"/>
        <v>0</v>
      </c>
      <c r="H26" s="535">
        <f t="shared" si="10"/>
        <v>45139</v>
      </c>
      <c r="I26" s="380">
        <f t="shared" si="1"/>
        <v>0</v>
      </c>
      <c r="J26" s="66">
        <f t="shared" si="11"/>
        <v>0</v>
      </c>
      <c r="K26" s="535">
        <f t="shared" si="12"/>
        <v>2451</v>
      </c>
      <c r="L26" s="52">
        <f t="shared" si="13"/>
        <v>0</v>
      </c>
      <c r="M26" s="535">
        <f t="shared" si="14"/>
        <v>182197</v>
      </c>
      <c r="N26" s="380">
        <f t="shared" si="2"/>
        <v>0</v>
      </c>
      <c r="O26" s="64">
        <f t="shared" si="48"/>
        <v>1869</v>
      </c>
      <c r="P26" s="535">
        <f t="shared" si="45"/>
        <v>2226</v>
      </c>
      <c r="Q26" s="535">
        <f t="shared" si="46"/>
        <v>186049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5"/>
        <v>0</v>
      </c>
      <c r="V26" s="62">
        <f t="shared" si="16"/>
        <v>0</v>
      </c>
      <c r="W26" s="384"/>
      <c r="X26" s="535">
        <f t="shared" si="18"/>
        <v>2490</v>
      </c>
      <c r="Y26" s="52">
        <f t="shared" si="19"/>
        <v>0</v>
      </c>
      <c r="Z26" s="535">
        <f t="shared" si="20"/>
        <v>140626</v>
      </c>
      <c r="AA26" s="65">
        <f t="shared" si="6"/>
        <v>0</v>
      </c>
      <c r="AB26" s="273">
        <f t="shared" si="50"/>
        <v>0</v>
      </c>
      <c r="AC26" s="535">
        <f t="shared" si="21"/>
        <v>1948</v>
      </c>
      <c r="AD26" s="45">
        <f t="shared" si="7"/>
        <v>0</v>
      </c>
      <c r="AE26" s="535">
        <f t="shared" si="22"/>
        <v>366628</v>
      </c>
      <c r="AF26" s="293">
        <f t="shared" si="23"/>
        <v>0</v>
      </c>
      <c r="AG26" s="209">
        <f t="shared" si="39"/>
        <v>0</v>
      </c>
      <c r="AH26" s="62">
        <f t="shared" si="40"/>
        <v>0</v>
      </c>
      <c r="AI26" s="303">
        <f t="shared" si="24"/>
        <v>0</v>
      </c>
      <c r="AJ26" s="303">
        <f>-tanks!AW27</f>
        <v>0</v>
      </c>
      <c r="AK26" s="303">
        <f t="shared" si="25"/>
        <v>0</v>
      </c>
      <c r="AL26" s="303">
        <f t="shared" si="8"/>
        <v>0</v>
      </c>
      <c r="AM26" s="303">
        <f t="shared" si="26"/>
        <v>0</v>
      </c>
      <c r="AN26" s="535">
        <f t="shared" si="27"/>
        <v>66</v>
      </c>
      <c r="AO26" s="305">
        <f>(AN26/100)*3000</f>
        <v>1980</v>
      </c>
      <c r="AP26" s="535">
        <f t="shared" si="29"/>
        <v>31</v>
      </c>
      <c r="AQ26" s="305">
        <f t="shared" si="52"/>
        <v>930</v>
      </c>
      <c r="AR26" s="535">
        <f t="shared" si="31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2"/>
        <v>0.8</v>
      </c>
    </row>
    <row r="27" spans="1:50">
      <c r="A27" s="63">
        <f>ELEC!C26</f>
        <v>44796</v>
      </c>
      <c r="B27" s="535">
        <f t="shared" si="33"/>
        <v>249</v>
      </c>
      <c r="C27" s="535">
        <f t="shared" si="34"/>
        <v>255</v>
      </c>
      <c r="D27" s="45">
        <f t="shared" si="49"/>
        <v>0</v>
      </c>
      <c r="E27" s="45">
        <f t="shared" si="9"/>
        <v>0</v>
      </c>
      <c r="F27" s="535">
        <f t="shared" si="36"/>
        <v>2264</v>
      </c>
      <c r="G27" s="52">
        <f t="shared" si="0"/>
        <v>0</v>
      </c>
      <c r="H27" s="535">
        <f t="shared" si="10"/>
        <v>45139</v>
      </c>
      <c r="I27" s="380">
        <f t="shared" si="1"/>
        <v>0</v>
      </c>
      <c r="J27" s="66">
        <f t="shared" si="11"/>
        <v>0</v>
      </c>
      <c r="K27" s="535">
        <f t="shared" si="12"/>
        <v>2451</v>
      </c>
      <c r="L27" s="52">
        <f t="shared" si="13"/>
        <v>0</v>
      </c>
      <c r="M27" s="535">
        <f t="shared" si="14"/>
        <v>182197</v>
      </c>
      <c r="N27" s="380">
        <f t="shared" si="2"/>
        <v>0</v>
      </c>
      <c r="O27" s="64">
        <f t="shared" si="48"/>
        <v>1869</v>
      </c>
      <c r="P27" s="535">
        <f t="shared" si="45"/>
        <v>2226</v>
      </c>
      <c r="Q27" s="535">
        <f t="shared" si="46"/>
        <v>186049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5"/>
        <v>0</v>
      </c>
      <c r="V27" s="62">
        <f t="shared" si="16"/>
        <v>0</v>
      </c>
      <c r="W27" s="384"/>
      <c r="X27" s="535">
        <f t="shared" si="18"/>
        <v>2490</v>
      </c>
      <c r="Y27" s="52">
        <f t="shared" si="19"/>
        <v>0</v>
      </c>
      <c r="Z27" s="535">
        <f t="shared" si="20"/>
        <v>140626</v>
      </c>
      <c r="AA27" s="65">
        <f t="shared" si="6"/>
        <v>0</v>
      </c>
      <c r="AB27" s="273">
        <f t="shared" si="50"/>
        <v>0</v>
      </c>
      <c r="AC27" s="535">
        <f t="shared" si="21"/>
        <v>1948</v>
      </c>
      <c r="AD27" s="45">
        <f t="shared" si="7"/>
        <v>0</v>
      </c>
      <c r="AE27" s="535">
        <f t="shared" si="22"/>
        <v>366628</v>
      </c>
      <c r="AF27" s="293">
        <f t="shared" si="23"/>
        <v>0</v>
      </c>
      <c r="AG27" s="209">
        <f t="shared" si="39"/>
        <v>0</v>
      </c>
      <c r="AH27" s="62">
        <f t="shared" si="40"/>
        <v>0</v>
      </c>
      <c r="AI27" s="303">
        <f t="shared" si="24"/>
        <v>0</v>
      </c>
      <c r="AJ27" s="303">
        <f>-tanks!AW28</f>
        <v>0</v>
      </c>
      <c r="AK27" s="303">
        <f t="shared" si="25"/>
        <v>0</v>
      </c>
      <c r="AL27" s="303">
        <f t="shared" si="8"/>
        <v>0</v>
      </c>
      <c r="AM27" s="303">
        <f t="shared" si="26"/>
        <v>0</v>
      </c>
      <c r="AN27" s="535">
        <f t="shared" si="27"/>
        <v>66</v>
      </c>
      <c r="AO27" s="305">
        <f t="shared" si="28"/>
        <v>1980</v>
      </c>
      <c r="AP27" s="535">
        <f t="shared" si="29"/>
        <v>31</v>
      </c>
      <c r="AQ27" s="305">
        <f t="shared" si="52"/>
        <v>930</v>
      </c>
      <c r="AR27" s="535">
        <f t="shared" si="31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44797</v>
      </c>
      <c r="B28" s="535">
        <f t="shared" si="33"/>
        <v>249</v>
      </c>
      <c r="C28" s="535">
        <f t="shared" si="34"/>
        <v>255</v>
      </c>
      <c r="D28" s="45">
        <f t="shared" si="49"/>
        <v>0</v>
      </c>
      <c r="E28" s="45">
        <f t="shared" si="9"/>
        <v>0</v>
      </c>
      <c r="F28" s="535">
        <f t="shared" si="36"/>
        <v>2264</v>
      </c>
      <c r="G28" s="52">
        <f t="shared" si="0"/>
        <v>0</v>
      </c>
      <c r="H28" s="535">
        <f t="shared" si="10"/>
        <v>45139</v>
      </c>
      <c r="I28" s="380">
        <f t="shared" si="1"/>
        <v>0</v>
      </c>
      <c r="J28" s="66">
        <f t="shared" si="11"/>
        <v>0</v>
      </c>
      <c r="K28" s="535">
        <f t="shared" si="12"/>
        <v>2451</v>
      </c>
      <c r="L28" s="52">
        <f t="shared" si="13"/>
        <v>0</v>
      </c>
      <c r="M28" s="535">
        <f t="shared" si="14"/>
        <v>182197</v>
      </c>
      <c r="N28" s="380">
        <f t="shared" si="2"/>
        <v>0</v>
      </c>
      <c r="O28" s="64">
        <f t="shared" si="48"/>
        <v>1869</v>
      </c>
      <c r="P28" s="535">
        <f t="shared" si="45"/>
        <v>2226</v>
      </c>
      <c r="Q28" s="535">
        <f t="shared" si="46"/>
        <v>186049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5"/>
        <v>0</v>
      </c>
      <c r="V28" s="62">
        <f t="shared" si="16"/>
        <v>0</v>
      </c>
      <c r="W28" s="384"/>
      <c r="X28" s="535">
        <f t="shared" si="18"/>
        <v>2490</v>
      </c>
      <c r="Y28" s="52">
        <f t="shared" si="19"/>
        <v>0</v>
      </c>
      <c r="Z28" s="535">
        <f t="shared" si="20"/>
        <v>140626</v>
      </c>
      <c r="AA28" s="65">
        <f t="shared" si="6"/>
        <v>0</v>
      </c>
      <c r="AB28" s="273">
        <f t="shared" si="50"/>
        <v>0</v>
      </c>
      <c r="AC28" s="535">
        <f t="shared" si="21"/>
        <v>1948</v>
      </c>
      <c r="AD28" s="45">
        <f t="shared" si="7"/>
        <v>0</v>
      </c>
      <c r="AE28" s="535">
        <f t="shared" si="22"/>
        <v>366628</v>
      </c>
      <c r="AF28" s="293">
        <f t="shared" si="23"/>
        <v>0</v>
      </c>
      <c r="AG28" s="209">
        <f t="shared" si="39"/>
        <v>0</v>
      </c>
      <c r="AH28" s="62">
        <f t="shared" si="40"/>
        <v>0</v>
      </c>
      <c r="AI28" s="303">
        <f t="shared" si="24"/>
        <v>0</v>
      </c>
      <c r="AJ28" s="303">
        <f>-tanks!AW29</f>
        <v>0</v>
      </c>
      <c r="AK28" s="303">
        <f t="shared" si="25"/>
        <v>0</v>
      </c>
      <c r="AL28" s="303">
        <f t="shared" si="8"/>
        <v>0</v>
      </c>
      <c r="AM28" s="303">
        <f t="shared" si="26"/>
        <v>0</v>
      </c>
      <c r="AN28" s="535">
        <f t="shared" si="27"/>
        <v>66</v>
      </c>
      <c r="AO28" s="305">
        <f t="shared" si="28"/>
        <v>1980</v>
      </c>
      <c r="AP28" s="535">
        <f t="shared" si="29"/>
        <v>31</v>
      </c>
      <c r="AQ28" s="305">
        <f t="shared" si="52"/>
        <v>930</v>
      </c>
      <c r="AR28" s="535">
        <f t="shared" si="31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44798</v>
      </c>
      <c r="B29" s="535">
        <f t="shared" si="33"/>
        <v>249</v>
      </c>
      <c r="C29" s="535">
        <f t="shared" si="34"/>
        <v>255</v>
      </c>
      <c r="D29" s="45">
        <f t="shared" si="49"/>
        <v>0</v>
      </c>
      <c r="E29" s="45">
        <f t="shared" si="9"/>
        <v>0</v>
      </c>
      <c r="F29" s="535">
        <f t="shared" si="36"/>
        <v>2264</v>
      </c>
      <c r="G29" s="52">
        <f t="shared" si="0"/>
        <v>0</v>
      </c>
      <c r="H29" s="535">
        <f t="shared" si="10"/>
        <v>45139</v>
      </c>
      <c r="I29" s="380">
        <f t="shared" si="1"/>
        <v>0</v>
      </c>
      <c r="J29" s="66">
        <f t="shared" si="11"/>
        <v>0</v>
      </c>
      <c r="K29" s="535">
        <f t="shared" si="12"/>
        <v>2451</v>
      </c>
      <c r="L29" s="52">
        <f t="shared" si="13"/>
        <v>0</v>
      </c>
      <c r="M29" s="535">
        <f t="shared" si="14"/>
        <v>182197</v>
      </c>
      <c r="N29" s="380">
        <f t="shared" si="2"/>
        <v>0</v>
      </c>
      <c r="O29" s="64">
        <f t="shared" si="48"/>
        <v>1869</v>
      </c>
      <c r="P29" s="535">
        <f t="shared" si="45"/>
        <v>2226</v>
      </c>
      <c r="Q29" s="535">
        <f t="shared" si="46"/>
        <v>186049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5"/>
        <v>0</v>
      </c>
      <c r="V29" s="62">
        <f t="shared" si="16"/>
        <v>0</v>
      </c>
      <c r="W29" s="384"/>
      <c r="X29" s="535">
        <f t="shared" si="18"/>
        <v>2490</v>
      </c>
      <c r="Y29" s="52">
        <f t="shared" si="19"/>
        <v>0</v>
      </c>
      <c r="Z29" s="535">
        <f t="shared" si="20"/>
        <v>140626</v>
      </c>
      <c r="AA29" s="65">
        <f t="shared" si="6"/>
        <v>0</v>
      </c>
      <c r="AB29" s="273">
        <f t="shared" si="50"/>
        <v>0</v>
      </c>
      <c r="AC29" s="535">
        <f t="shared" si="21"/>
        <v>1948</v>
      </c>
      <c r="AD29" s="45">
        <f t="shared" si="7"/>
        <v>0</v>
      </c>
      <c r="AE29" s="535">
        <f t="shared" si="22"/>
        <v>366628</v>
      </c>
      <c r="AF29" s="293">
        <f t="shared" si="23"/>
        <v>0</v>
      </c>
      <c r="AG29" s="209">
        <f t="shared" si="39"/>
        <v>0</v>
      </c>
      <c r="AH29" s="62">
        <f t="shared" si="40"/>
        <v>0</v>
      </c>
      <c r="AI29" s="303">
        <f t="shared" si="24"/>
        <v>0</v>
      </c>
      <c r="AJ29" s="303">
        <f>-tanks!AW30</f>
        <v>0</v>
      </c>
      <c r="AK29" s="303">
        <f t="shared" si="25"/>
        <v>0</v>
      </c>
      <c r="AL29" s="303">
        <f t="shared" si="8"/>
        <v>0</v>
      </c>
      <c r="AM29" s="303">
        <f t="shared" si="26"/>
        <v>0</v>
      </c>
      <c r="AN29" s="535">
        <f t="shared" si="27"/>
        <v>66</v>
      </c>
      <c r="AO29" s="305">
        <f t="shared" si="28"/>
        <v>1980</v>
      </c>
      <c r="AP29" s="535">
        <f t="shared" si="29"/>
        <v>31</v>
      </c>
      <c r="AQ29" s="305">
        <f t="shared" si="52"/>
        <v>930</v>
      </c>
      <c r="AR29" s="535">
        <f t="shared" si="31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2"/>
        <v>0.8</v>
      </c>
    </row>
    <row r="30" spans="1:50">
      <c r="A30" s="63">
        <f>ELEC!C29</f>
        <v>44799</v>
      </c>
      <c r="B30" s="535">
        <f t="shared" si="33"/>
        <v>249</v>
      </c>
      <c r="C30" s="535">
        <f t="shared" si="34"/>
        <v>255</v>
      </c>
      <c r="D30" s="45">
        <f>C29-C30</f>
        <v>0</v>
      </c>
      <c r="E30" s="45">
        <f>D30*8.38</f>
        <v>0</v>
      </c>
      <c r="F30" s="535">
        <f t="shared" si="36"/>
        <v>2264</v>
      </c>
      <c r="G30" s="52">
        <f>F30-F29</f>
        <v>0</v>
      </c>
      <c r="H30" s="535">
        <f t="shared" si="10"/>
        <v>45139</v>
      </c>
      <c r="I30" s="380">
        <f>SUM(H30-H29)</f>
        <v>0</v>
      </c>
      <c r="J30" s="66">
        <f>IF(G30&gt;0,I30/G30,0)</f>
        <v>0</v>
      </c>
      <c r="K30" s="535">
        <f t="shared" si="12"/>
        <v>2451</v>
      </c>
      <c r="L30" s="52">
        <f>K30-K29</f>
        <v>0</v>
      </c>
      <c r="M30" s="535">
        <f t="shared" si="14"/>
        <v>182197</v>
      </c>
      <c r="N30" s="380">
        <f>M30-M29</f>
        <v>0</v>
      </c>
      <c r="O30" s="64">
        <f t="shared" si="48"/>
        <v>1869</v>
      </c>
      <c r="P30" s="535">
        <f t="shared" si="45"/>
        <v>2226</v>
      </c>
      <c r="Q30" s="535">
        <f t="shared" si="46"/>
        <v>186049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6"/>
        <v>0</v>
      </c>
      <c r="W30" s="384"/>
      <c r="X30" s="535">
        <f t="shared" si="18"/>
        <v>2490</v>
      </c>
      <c r="Y30" s="52">
        <f>X30-X29</f>
        <v>0</v>
      </c>
      <c r="Z30" s="535">
        <f t="shared" si="20"/>
        <v>140626</v>
      </c>
      <c r="AA30" s="65">
        <f>Z30-Z29</f>
        <v>0</v>
      </c>
      <c r="AB30" s="273">
        <f>SUM(Y30*$AB$2)</f>
        <v>0</v>
      </c>
      <c r="AC30" s="535">
        <f t="shared" si="21"/>
        <v>1948</v>
      </c>
      <c r="AD30" s="259">
        <f>AC30-AC29</f>
        <v>0</v>
      </c>
      <c r="AE30" s="535">
        <f t="shared" si="22"/>
        <v>366628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4"/>
        <v>0</v>
      </c>
      <c r="AJ30" s="303">
        <f>-tanks!AW31</f>
        <v>0</v>
      </c>
      <c r="AK30" s="303">
        <f t="shared" si="25"/>
        <v>0</v>
      </c>
      <c r="AL30" s="303">
        <f t="shared" si="8"/>
        <v>0</v>
      </c>
      <c r="AM30" s="303">
        <f t="shared" si="26"/>
        <v>0</v>
      </c>
      <c r="AN30" s="535">
        <f t="shared" si="27"/>
        <v>66</v>
      </c>
      <c r="AO30" s="305">
        <f t="shared" si="28"/>
        <v>1980</v>
      </c>
      <c r="AP30" s="535">
        <f t="shared" si="29"/>
        <v>31</v>
      </c>
      <c r="AQ30" s="305">
        <f t="shared" si="52"/>
        <v>930</v>
      </c>
      <c r="AR30" s="535">
        <f t="shared" si="31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44800</v>
      </c>
      <c r="B31" s="535">
        <f t="shared" si="33"/>
        <v>249</v>
      </c>
      <c r="C31" s="535">
        <f t="shared" si="34"/>
        <v>255</v>
      </c>
      <c r="D31" s="45">
        <f t="shared" si="49"/>
        <v>0</v>
      </c>
      <c r="E31" s="45">
        <f t="shared" si="9"/>
        <v>0</v>
      </c>
      <c r="F31" s="535">
        <f t="shared" si="36"/>
        <v>2264</v>
      </c>
      <c r="G31" s="52">
        <f t="shared" si="0"/>
        <v>0</v>
      </c>
      <c r="H31" s="535">
        <f t="shared" si="10"/>
        <v>45139</v>
      </c>
      <c r="I31" s="380">
        <f t="shared" si="1"/>
        <v>0</v>
      </c>
      <c r="J31" s="66">
        <f t="shared" si="11"/>
        <v>0</v>
      </c>
      <c r="K31" s="535">
        <f t="shared" si="12"/>
        <v>2451</v>
      </c>
      <c r="L31" s="52">
        <f t="shared" si="13"/>
        <v>0</v>
      </c>
      <c r="M31" s="535">
        <f t="shared" si="14"/>
        <v>182197</v>
      </c>
      <c r="N31" s="380">
        <f t="shared" si="2"/>
        <v>0</v>
      </c>
      <c r="O31" s="64">
        <f t="shared" si="48"/>
        <v>1869</v>
      </c>
      <c r="P31" s="535">
        <f t="shared" si="45"/>
        <v>2226</v>
      </c>
      <c r="Q31" s="535">
        <f t="shared" si="46"/>
        <v>186049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5"/>
        <v>0</v>
      </c>
      <c r="V31" s="62">
        <f t="shared" si="16"/>
        <v>0</v>
      </c>
      <c r="W31" s="384"/>
      <c r="X31" s="535">
        <f t="shared" si="18"/>
        <v>2490</v>
      </c>
      <c r="Y31" s="52">
        <f t="shared" si="19"/>
        <v>0</v>
      </c>
      <c r="Z31" s="535">
        <f t="shared" si="20"/>
        <v>140626</v>
      </c>
      <c r="AA31" s="65">
        <f t="shared" si="6"/>
        <v>0</v>
      </c>
      <c r="AB31" s="273">
        <f t="shared" si="50"/>
        <v>0</v>
      </c>
      <c r="AC31" s="535">
        <f t="shared" si="21"/>
        <v>1948</v>
      </c>
      <c r="AD31" s="259">
        <f t="shared" si="7"/>
        <v>0</v>
      </c>
      <c r="AE31" s="535">
        <f t="shared" si="22"/>
        <v>366628</v>
      </c>
      <c r="AF31" s="293">
        <f t="shared" si="23"/>
        <v>0</v>
      </c>
      <c r="AG31" s="209">
        <f t="shared" si="39"/>
        <v>0</v>
      </c>
      <c r="AH31" s="62">
        <f t="shared" si="40"/>
        <v>0</v>
      </c>
      <c r="AI31" s="303">
        <f t="shared" si="24"/>
        <v>0</v>
      </c>
      <c r="AJ31" s="303">
        <f>-tanks!AW32</f>
        <v>0</v>
      </c>
      <c r="AK31" s="303">
        <f t="shared" si="25"/>
        <v>0</v>
      </c>
      <c r="AL31" s="303">
        <f t="shared" si="8"/>
        <v>0</v>
      </c>
      <c r="AM31" s="303">
        <f t="shared" si="26"/>
        <v>0</v>
      </c>
      <c r="AN31" s="535">
        <f t="shared" si="27"/>
        <v>66</v>
      </c>
      <c r="AO31" s="305">
        <f t="shared" si="28"/>
        <v>1980</v>
      </c>
      <c r="AP31" s="535">
        <f t="shared" si="29"/>
        <v>31</v>
      </c>
      <c r="AQ31" s="305">
        <f t="shared" si="52"/>
        <v>930</v>
      </c>
      <c r="AR31" s="535">
        <f t="shared" si="31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44801</v>
      </c>
      <c r="B32" s="535">
        <f t="shared" si="33"/>
        <v>249</v>
      </c>
      <c r="C32" s="535">
        <f t="shared" si="34"/>
        <v>255</v>
      </c>
      <c r="D32" s="45">
        <f t="shared" si="49"/>
        <v>0</v>
      </c>
      <c r="E32" s="45">
        <f t="shared" si="9"/>
        <v>0</v>
      </c>
      <c r="F32" s="535">
        <f t="shared" si="36"/>
        <v>2264</v>
      </c>
      <c r="G32" s="52">
        <f t="shared" si="0"/>
        <v>0</v>
      </c>
      <c r="H32" s="535">
        <f t="shared" si="10"/>
        <v>45139</v>
      </c>
      <c r="I32" s="380">
        <f t="shared" si="1"/>
        <v>0</v>
      </c>
      <c r="J32" s="66">
        <f t="shared" si="11"/>
        <v>0</v>
      </c>
      <c r="K32" s="535">
        <f t="shared" si="12"/>
        <v>2451</v>
      </c>
      <c r="L32" s="52">
        <f t="shared" si="13"/>
        <v>0</v>
      </c>
      <c r="M32" s="535">
        <f t="shared" si="14"/>
        <v>182197</v>
      </c>
      <c r="N32" s="380">
        <f t="shared" si="2"/>
        <v>0</v>
      </c>
      <c r="O32" s="64">
        <f t="shared" si="48"/>
        <v>1869</v>
      </c>
      <c r="P32" s="535">
        <f t="shared" si="45"/>
        <v>2226</v>
      </c>
      <c r="Q32" s="535">
        <f t="shared" si="46"/>
        <v>186049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5"/>
        <v>0</v>
      </c>
      <c r="V32" s="62">
        <f t="shared" si="16"/>
        <v>0</v>
      </c>
      <c r="W32" s="384"/>
      <c r="X32" s="535">
        <f t="shared" si="18"/>
        <v>2490</v>
      </c>
      <c r="Y32" s="52">
        <f t="shared" si="19"/>
        <v>0</v>
      </c>
      <c r="Z32" s="535">
        <f t="shared" si="20"/>
        <v>140626</v>
      </c>
      <c r="AA32" s="65">
        <f t="shared" si="6"/>
        <v>0</v>
      </c>
      <c r="AB32" s="273">
        <f t="shared" si="50"/>
        <v>0</v>
      </c>
      <c r="AC32" s="535">
        <f t="shared" si="21"/>
        <v>1948</v>
      </c>
      <c r="AD32" s="259">
        <f t="shared" si="7"/>
        <v>0</v>
      </c>
      <c r="AE32" s="535">
        <f t="shared" si="22"/>
        <v>366628</v>
      </c>
      <c r="AF32" s="293">
        <f t="shared" si="23"/>
        <v>0</v>
      </c>
      <c r="AG32" s="209">
        <f t="shared" si="39"/>
        <v>0</v>
      </c>
      <c r="AH32" s="62">
        <f t="shared" si="40"/>
        <v>0</v>
      </c>
      <c r="AI32" s="303">
        <f t="shared" si="24"/>
        <v>0</v>
      </c>
      <c r="AJ32" s="303">
        <f>-tanks!AW33</f>
        <v>0</v>
      </c>
      <c r="AK32" s="303">
        <f t="shared" si="25"/>
        <v>0</v>
      </c>
      <c r="AL32" s="303">
        <f t="shared" si="8"/>
        <v>0</v>
      </c>
      <c r="AM32" s="303">
        <f t="shared" si="26"/>
        <v>0</v>
      </c>
      <c r="AN32" s="535">
        <f t="shared" si="27"/>
        <v>66</v>
      </c>
      <c r="AO32" s="305">
        <f t="shared" si="28"/>
        <v>1980</v>
      </c>
      <c r="AP32" s="535">
        <f t="shared" si="29"/>
        <v>31</v>
      </c>
      <c r="AQ32" s="305">
        <f t="shared" si="52"/>
        <v>930</v>
      </c>
      <c r="AR32" s="535">
        <f t="shared" si="31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44802</v>
      </c>
      <c r="B33" s="535">
        <f t="shared" si="33"/>
        <v>249</v>
      </c>
      <c r="C33" s="535">
        <f t="shared" si="34"/>
        <v>255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36"/>
        <v>2264</v>
      </c>
      <c r="G33" s="52">
        <f t="shared" ref="G33:G35" si="55">F33-F32</f>
        <v>0</v>
      </c>
      <c r="H33" s="535">
        <f t="shared" si="10"/>
        <v>45139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2"/>
        <v>2451</v>
      </c>
      <c r="L33" s="52">
        <f t="shared" ref="L33:L35" si="58">K33-K32</f>
        <v>0</v>
      </c>
      <c r="M33" s="535">
        <f t="shared" si="14"/>
        <v>182197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2226</v>
      </c>
      <c r="Q33" s="535">
        <f t="shared" si="46"/>
        <v>186049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18"/>
        <v>2490</v>
      </c>
      <c r="Y33" s="52">
        <f t="shared" ref="Y33:Y35" si="65">X33-X32</f>
        <v>0</v>
      </c>
      <c r="Z33" s="535">
        <f t="shared" si="20"/>
        <v>140626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1"/>
        <v>1948</v>
      </c>
      <c r="AD33" s="259">
        <f t="shared" ref="AD33:AD35" si="68">AC33-AC32</f>
        <v>0</v>
      </c>
      <c r="AE33" s="535">
        <f t="shared" si="22"/>
        <v>366628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27"/>
        <v>66</v>
      </c>
      <c r="AO33" s="305">
        <f t="shared" si="28"/>
        <v>1980</v>
      </c>
      <c r="AP33" s="535">
        <f t="shared" si="29"/>
        <v>31</v>
      </c>
      <c r="AQ33" s="305">
        <f t="shared" ref="AQ33:AQ35" si="76">(AP33/100)*3000</f>
        <v>930</v>
      </c>
      <c r="AR33" s="535">
        <f t="shared" si="31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44803</v>
      </c>
      <c r="B34" s="535">
        <f t="shared" si="33"/>
        <v>249</v>
      </c>
      <c r="C34" s="535">
        <f t="shared" si="34"/>
        <v>255</v>
      </c>
      <c r="D34" s="45">
        <f t="shared" si="53"/>
        <v>0</v>
      </c>
      <c r="E34" s="45">
        <f t="shared" si="54"/>
        <v>0</v>
      </c>
      <c r="F34" s="535">
        <f t="shared" si="36"/>
        <v>2264</v>
      </c>
      <c r="G34" s="52">
        <f t="shared" si="55"/>
        <v>0</v>
      </c>
      <c r="H34" s="535">
        <f t="shared" si="10"/>
        <v>45139</v>
      </c>
      <c r="I34" s="380">
        <f t="shared" si="56"/>
        <v>0</v>
      </c>
      <c r="J34" s="66">
        <f t="shared" si="57"/>
        <v>0</v>
      </c>
      <c r="K34" s="535">
        <f t="shared" si="12"/>
        <v>2451</v>
      </c>
      <c r="L34" s="52">
        <f t="shared" si="58"/>
        <v>0</v>
      </c>
      <c r="M34" s="535">
        <f t="shared" si="14"/>
        <v>182197</v>
      </c>
      <c r="N34" s="380">
        <f t="shared" si="59"/>
        <v>0</v>
      </c>
      <c r="O34" s="64">
        <f t="shared" si="48"/>
        <v>1869</v>
      </c>
      <c r="P34" s="535">
        <f t="shared" si="45"/>
        <v>2226</v>
      </c>
      <c r="Q34" s="535">
        <f t="shared" si="46"/>
        <v>186049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18"/>
        <v>2490</v>
      </c>
      <c r="Y34" s="52">
        <f t="shared" si="65"/>
        <v>0</v>
      </c>
      <c r="Z34" s="535">
        <f t="shared" si="20"/>
        <v>140626</v>
      </c>
      <c r="AA34" s="65">
        <f t="shared" si="66"/>
        <v>0</v>
      </c>
      <c r="AB34" s="273">
        <f t="shared" si="67"/>
        <v>0</v>
      </c>
      <c r="AC34" s="535">
        <f t="shared" si="21"/>
        <v>1948</v>
      </c>
      <c r="AD34" s="259">
        <f t="shared" si="68"/>
        <v>0</v>
      </c>
      <c r="AE34" s="535">
        <f t="shared" si="22"/>
        <v>366628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27"/>
        <v>66</v>
      </c>
      <c r="AO34" s="305">
        <f t="shared" si="28"/>
        <v>1980</v>
      </c>
      <c r="AP34" s="535">
        <f t="shared" si="29"/>
        <v>31</v>
      </c>
      <c r="AQ34" s="305">
        <f t="shared" si="76"/>
        <v>930</v>
      </c>
      <c r="AR34" s="535">
        <f t="shared" si="31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44804</v>
      </c>
      <c r="B35" s="535">
        <f t="shared" si="33"/>
        <v>249</v>
      </c>
      <c r="C35" s="535">
        <f t="shared" si="34"/>
        <v>255</v>
      </c>
      <c r="D35" s="45">
        <f t="shared" si="53"/>
        <v>0</v>
      </c>
      <c r="E35" s="45">
        <f t="shared" si="54"/>
        <v>0</v>
      </c>
      <c r="F35" s="535">
        <f t="shared" si="36"/>
        <v>2264</v>
      </c>
      <c r="G35" s="52">
        <f t="shared" si="55"/>
        <v>0</v>
      </c>
      <c r="H35" s="535">
        <f t="shared" si="10"/>
        <v>45139</v>
      </c>
      <c r="I35" s="380">
        <f t="shared" si="56"/>
        <v>0</v>
      </c>
      <c r="J35" s="66">
        <f t="shared" si="57"/>
        <v>0</v>
      </c>
      <c r="K35" s="535">
        <f t="shared" si="12"/>
        <v>2451</v>
      </c>
      <c r="L35" s="52">
        <f t="shared" si="58"/>
        <v>0</v>
      </c>
      <c r="M35" s="535">
        <f t="shared" si="14"/>
        <v>182197</v>
      </c>
      <c r="N35" s="380">
        <f t="shared" si="59"/>
        <v>0</v>
      </c>
      <c r="O35" s="64">
        <f t="shared" si="48"/>
        <v>1869</v>
      </c>
      <c r="P35" s="535">
        <f t="shared" si="45"/>
        <v>2226</v>
      </c>
      <c r="Q35" s="535">
        <f t="shared" si="46"/>
        <v>186049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18"/>
        <v>2490</v>
      </c>
      <c r="Y35" s="52">
        <f t="shared" si="65"/>
        <v>0</v>
      </c>
      <c r="Z35" s="535">
        <f t="shared" si="20"/>
        <v>140626</v>
      </c>
      <c r="AA35" s="65">
        <f t="shared" si="66"/>
        <v>0</v>
      </c>
      <c r="AB35" s="273">
        <f t="shared" si="67"/>
        <v>0</v>
      </c>
      <c r="AC35" s="535">
        <f t="shared" si="21"/>
        <v>1948</v>
      </c>
      <c r="AD35" s="259">
        <f t="shared" si="68"/>
        <v>0</v>
      </c>
      <c r="AE35" s="535">
        <f t="shared" si="22"/>
        <v>366628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27"/>
        <v>66</v>
      </c>
      <c r="AO35" s="305">
        <f t="shared" si="28"/>
        <v>1980</v>
      </c>
      <c r="AP35" s="535">
        <f t="shared" si="29"/>
        <v>31</v>
      </c>
      <c r="AQ35" s="305">
        <f t="shared" si="76"/>
        <v>930</v>
      </c>
      <c r="AR35" s="535">
        <f t="shared" si="31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48.111111111111114</v>
      </c>
      <c r="U36" s="70">
        <f>SUM(U5:U35)</f>
        <v>9</v>
      </c>
      <c r="V36" s="62">
        <f>SUM(V5:V35)</f>
        <v>665</v>
      </c>
      <c r="AE36" s="71" t="s">
        <v>379</v>
      </c>
      <c r="AG36" s="329"/>
      <c r="AH36" s="62">
        <f>SUM(AH5:AH35)</f>
        <v>85</v>
      </c>
      <c r="AL36" s="62">
        <f>SUM(AL5:AL35)</f>
        <v>9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73.888888888888886</v>
      </c>
      <c r="AH37" s="62">
        <f>AF37+AA37</f>
        <v>0</v>
      </c>
      <c r="AI37" s="306">
        <f>SUM(AI5:AI35)</f>
        <v>750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B1" zoomScale="90" zoomScaleNormal="90" workbookViewId="0">
      <pane ySplit="3" topLeftCell="A7" activePane="bottomLeft" state="frozen"/>
      <selection pane="bottomLeft" activeCell="AT17" sqref="AT1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8188102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2" t="s">
        <v>126</v>
      </c>
      <c r="AO3" s="623"/>
      <c r="AP3" s="62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44773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629805</v>
      </c>
      <c r="H5" s="393">
        <f>[2]WATER!H36</f>
        <v>196</v>
      </c>
      <c r="I5" s="393">
        <f>[2]WATER!I36</f>
        <v>196</v>
      </c>
      <c r="J5" s="393">
        <f>[2]WATER!J36</f>
        <v>1.2343647136273865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5189</v>
      </c>
      <c r="U5" s="393">
        <f>[2]WATER!U36</f>
        <v>1</v>
      </c>
      <c r="V5" s="393">
        <f>[2]WATER!V36</f>
        <v>497</v>
      </c>
      <c r="W5" s="393">
        <f>[2]WATER!W36</f>
        <v>0</v>
      </c>
      <c r="X5" s="393">
        <f>[2]WATER!X36</f>
        <v>155747</v>
      </c>
      <c r="Y5" s="393">
        <f>[2]WATER!Y36</f>
        <v>0</v>
      </c>
      <c r="Z5" s="393">
        <f>[2]WATER!Z36</f>
        <v>99558</v>
      </c>
      <c r="AA5" s="393">
        <f>[2]WATER!AA36</f>
        <v>0</v>
      </c>
      <c r="AB5" s="393">
        <f>[2]WATER!AB36</f>
        <v>219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28.5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44773</v>
      </c>
      <c r="AS5" s="393">
        <f>[2]WATER!AS36</f>
        <v>0.9</v>
      </c>
      <c r="AT5" s="393">
        <f>[2]WATER!AT36</f>
        <v>125</v>
      </c>
      <c r="AU5" s="393">
        <f>[2]WATER!AU36</f>
        <v>1.1000000000000001</v>
      </c>
      <c r="AV5" s="393">
        <v>118</v>
      </c>
      <c r="AW5" s="393">
        <f>[2]WATER!AW36</f>
        <v>2.9</v>
      </c>
      <c r="AX5" s="393">
        <v>112</v>
      </c>
      <c r="AY5" s="393">
        <f>[2]WATER!AY36</f>
        <v>112.5</v>
      </c>
      <c r="AZ5" s="393">
        <f>[2]WATER!AZ36</f>
        <v>133.10000000000002</v>
      </c>
      <c r="BA5" s="393">
        <f>[2]WATER!BA36</f>
        <v>330.59999999999997</v>
      </c>
      <c r="BB5" s="393">
        <f>[2]WATER!BB36</f>
        <v>52.199999999999996</v>
      </c>
      <c r="BC5" s="393">
        <f>[2]WATER!BC36</f>
        <v>0</v>
      </c>
      <c r="BD5" s="393">
        <f>[2]WATER!BD36</f>
        <v>0</v>
      </c>
      <c r="BE5" s="393">
        <f>[2]WATER!BE36</f>
        <v>52.199999999999996</v>
      </c>
      <c r="BF5" s="393">
        <f>[2]WATER!BF36</f>
        <v>143.80000000000001</v>
      </c>
      <c r="BG5" s="393">
        <f>[2]WATER!BG36</f>
        <v>52.199999999999989</v>
      </c>
    </row>
    <row r="6" spans="1:65" ht="15.75" thickBot="1">
      <c r="A6" s="6">
        <f>ELEC!C4</f>
        <v>44774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629805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5189</v>
      </c>
      <c r="U6" s="5">
        <f t="shared" ref="U6:U33" si="3">SUM(T6-T5)</f>
        <v>0</v>
      </c>
      <c r="V6" s="5">
        <f>V5</f>
        <v>497</v>
      </c>
      <c r="W6" s="309">
        <f>+V6-V5</f>
        <v>0</v>
      </c>
      <c r="X6" s="5">
        <f>X5</f>
        <v>155747</v>
      </c>
      <c r="Y6" s="309">
        <f>SUM(X6-X5)</f>
        <v>0</v>
      </c>
      <c r="Z6" s="5">
        <f>Z5</f>
        <v>99558</v>
      </c>
      <c r="AA6" s="83">
        <f>Z6-Z5</f>
        <v>0</v>
      </c>
      <c r="AB6" s="5">
        <f>AB5</f>
        <v>219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28.5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44774</v>
      </c>
      <c r="AS6" s="407">
        <f>AS5</f>
        <v>0.9</v>
      </c>
      <c r="AT6" s="201">
        <f>AT5</f>
        <v>125</v>
      </c>
      <c r="AU6" s="408">
        <f>AU5</f>
        <v>1.1000000000000001</v>
      </c>
      <c r="AV6" s="201">
        <v>116</v>
      </c>
      <c r="AW6" s="5">
        <v>2.9</v>
      </c>
      <c r="AX6" s="201">
        <v>111</v>
      </c>
      <c r="AY6" s="409">
        <f>AS6*AT6</f>
        <v>112.5</v>
      </c>
      <c r="AZ6" s="409">
        <f>AU6*AV6</f>
        <v>127.60000000000001</v>
      </c>
      <c r="BA6" s="409">
        <f>AW6*AX6</f>
        <v>321.89999999999998</v>
      </c>
      <c r="BB6" s="21">
        <f>AY6-AY5</f>
        <v>0</v>
      </c>
      <c r="BC6" s="21">
        <f>AZ6-AZ5</f>
        <v>-5.5000000000000142</v>
      </c>
      <c r="BD6" s="21">
        <f>BA6-BA5</f>
        <v>-8.6999999999999886</v>
      </c>
      <c r="BE6" s="24">
        <f>SUM(BB6:BD6)</f>
        <v>-14.200000000000003</v>
      </c>
      <c r="BF6" s="96">
        <f>SUM(I6-BE6)</f>
        <v>14.200000000000003</v>
      </c>
      <c r="BG6" s="82">
        <f t="shared" ref="BG6:BG33" si="4">SUM(I6-BF6)</f>
        <v>-14.200000000000003</v>
      </c>
      <c r="BI6" s="17"/>
      <c r="BJ6" s="17"/>
      <c r="BK6" s="17"/>
      <c r="BL6" s="17"/>
      <c r="BM6" s="17"/>
    </row>
    <row r="7" spans="1:65" ht="15.75" thickBot="1">
      <c r="A7" s="6">
        <f>ELEC!C5</f>
        <v>44775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629805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v>5183</v>
      </c>
      <c r="U7" s="5">
        <f t="shared" si="3"/>
        <v>-6</v>
      </c>
      <c r="V7" s="5">
        <v>497</v>
      </c>
      <c r="W7" s="309">
        <f t="shared" ref="W7:W33" si="14">+V7-V6</f>
        <v>0</v>
      </c>
      <c r="X7" s="5">
        <f t="shared" ref="X7:X36" si="15">X6</f>
        <v>155747</v>
      </c>
      <c r="Y7" s="309">
        <f>SUM(X7-X6)</f>
        <v>0</v>
      </c>
      <c r="Z7" s="5">
        <f t="shared" ref="Z7:Z36" si="16">Z6</f>
        <v>99558</v>
      </c>
      <c r="AA7" s="83">
        <f t="shared" ref="AA7:AA33" si="17">Z7-Z6</f>
        <v>0</v>
      </c>
      <c r="AB7" s="5">
        <v>219</v>
      </c>
      <c r="AC7" s="5">
        <v>730</v>
      </c>
      <c r="AD7" s="83">
        <f>AC7-AC6</f>
        <v>-60</v>
      </c>
      <c r="AE7" s="5">
        <f t="shared" ref="AE7:AE36" si="18">AE6</f>
        <v>244.4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1">
        <f t="shared" ref="AJ7:AJ33" si="23">+Z7-Z6</f>
        <v>0</v>
      </c>
      <c r="AK7" s="312">
        <f>SUM(Y7-L7)</f>
        <v>0</v>
      </c>
      <c r="AL7" s="312">
        <f t="shared" ref="AL7:AL33" si="24">SUM(AJ7-W7)</f>
        <v>0</v>
      </c>
      <c r="AM7" s="312">
        <f>'General information '!D6</f>
        <v>28.5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44775</v>
      </c>
      <c r="AS7" s="407">
        <f t="shared" ref="AS7:AT21" si="26">AS6</f>
        <v>0.9</v>
      </c>
      <c r="AT7" s="201">
        <v>114</v>
      </c>
      <c r="AU7" s="408">
        <f>AU6</f>
        <v>1.1000000000000001</v>
      </c>
      <c r="AV7" s="201">
        <v>116</v>
      </c>
      <c r="AW7" s="5">
        <v>2.9</v>
      </c>
      <c r="AX7" s="201">
        <v>110</v>
      </c>
      <c r="AY7" s="409">
        <f>AS7*AT7</f>
        <v>102.60000000000001</v>
      </c>
      <c r="AZ7" s="409">
        <f>AU7*AV7</f>
        <v>127.60000000000001</v>
      </c>
      <c r="BA7" s="409">
        <f>AW7*AX7</f>
        <v>319</v>
      </c>
      <c r="BB7" s="21">
        <f>AY7-AY6</f>
        <v>-9.8999999999999915</v>
      </c>
      <c r="BC7" s="21">
        <f t="shared" ref="BC7:BD21" si="27">AZ7-AZ6</f>
        <v>0</v>
      </c>
      <c r="BD7" s="21">
        <f t="shared" si="27"/>
        <v>-2.8999999999999773</v>
      </c>
      <c r="BE7" s="24">
        <f t="shared" ref="BE7:BE33" si="28">SUM(BB7:BD7)</f>
        <v>-12.799999999999969</v>
      </c>
      <c r="BF7" s="96">
        <f t="shared" ref="BF7:BF33" si="29">SUM(I7-BE7)</f>
        <v>12.799999999999969</v>
      </c>
      <c r="BG7" s="82">
        <f t="shared" si="4"/>
        <v>-12.799999999999969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44776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629805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ref="T8:T36" si="30">T7</f>
        <v>5183</v>
      </c>
      <c r="U8" s="5">
        <f t="shared" si="3"/>
        <v>0</v>
      </c>
      <c r="V8" s="5">
        <v>497</v>
      </c>
      <c r="W8" s="309">
        <f t="shared" si="14"/>
        <v>0</v>
      </c>
      <c r="X8" s="5">
        <f t="shared" si="15"/>
        <v>155747</v>
      </c>
      <c r="Y8" s="309">
        <f>SUM(X8-X7)</f>
        <v>0</v>
      </c>
      <c r="Z8" s="5">
        <f t="shared" si="16"/>
        <v>99558</v>
      </c>
      <c r="AA8" s="83">
        <f t="shared" si="17"/>
        <v>0</v>
      </c>
      <c r="AB8" s="5">
        <f t="shared" ref="AB8:AB36" si="31">AB7</f>
        <v>219</v>
      </c>
      <c r="AC8" s="5">
        <f t="shared" ref="AC8:AC36" si="32">AC7</f>
        <v>730</v>
      </c>
      <c r="AD8" s="83">
        <f t="shared" ref="AD8:AD33" si="33">AC8-AC7</f>
        <v>0</v>
      </c>
      <c r="AE8" s="5">
        <f t="shared" si="18"/>
        <v>244.4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1">
        <f t="shared" si="23"/>
        <v>0</v>
      </c>
      <c r="AK8" s="312">
        <f t="shared" ref="AK8:AK33" si="34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44776</v>
      </c>
      <c r="AS8" s="407">
        <f t="shared" si="26"/>
        <v>0.9</v>
      </c>
      <c r="AT8" s="201">
        <f t="shared" si="26"/>
        <v>114</v>
      </c>
      <c r="AU8" s="408">
        <v>1.1000000000000001</v>
      </c>
      <c r="AV8" s="201">
        <f t="shared" ref="AV8:AV36" si="35">AV7</f>
        <v>116</v>
      </c>
      <c r="AW8" s="5">
        <v>2.9</v>
      </c>
      <c r="AX8" s="201">
        <f t="shared" ref="AX8:AX36" si="36">AX7</f>
        <v>110</v>
      </c>
      <c r="AY8" s="409">
        <f t="shared" ref="AY8:AY33" si="37">AS8*AT8</f>
        <v>102.60000000000001</v>
      </c>
      <c r="AZ8" s="409">
        <f t="shared" ref="AZ8:AZ33" si="38">AU8*AV8</f>
        <v>127.60000000000001</v>
      </c>
      <c r="BA8" s="409">
        <f t="shared" ref="BA8:BA33" si="39">AW8*AX8</f>
        <v>319</v>
      </c>
      <c r="BB8" s="21">
        <f t="shared" ref="BB8:BB19" si="40">AY8-AY7</f>
        <v>0</v>
      </c>
      <c r="BC8" s="21">
        <f t="shared" si="27"/>
        <v>0</v>
      </c>
      <c r="BD8" s="21">
        <f t="shared" si="27"/>
        <v>0</v>
      </c>
      <c r="BE8" s="24">
        <f t="shared" si="28"/>
        <v>0</v>
      </c>
      <c r="BF8" s="96">
        <f t="shared" si="29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44777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v>629805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30"/>
        <v>5183</v>
      </c>
      <c r="U9" s="5">
        <f t="shared" si="3"/>
        <v>0</v>
      </c>
      <c r="V9" s="5">
        <v>497</v>
      </c>
      <c r="W9" s="309">
        <f t="shared" si="14"/>
        <v>0</v>
      </c>
      <c r="X9" s="5">
        <f t="shared" si="15"/>
        <v>155747</v>
      </c>
      <c r="Y9" s="309">
        <f t="shared" ref="Y9:Y33" si="42">SUM(X9-X8)</f>
        <v>0</v>
      </c>
      <c r="Z9" s="5">
        <f t="shared" si="16"/>
        <v>99558</v>
      </c>
      <c r="AA9" s="83">
        <f t="shared" si="17"/>
        <v>0</v>
      </c>
      <c r="AB9" s="5">
        <f t="shared" si="31"/>
        <v>219</v>
      </c>
      <c r="AC9" s="5">
        <f t="shared" si="32"/>
        <v>730</v>
      </c>
      <c r="AD9" s="83">
        <f t="shared" si="33"/>
        <v>0</v>
      </c>
      <c r="AE9" s="5">
        <f t="shared" si="18"/>
        <v>244.4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1">
        <f t="shared" si="23"/>
        <v>0</v>
      </c>
      <c r="AK9" s="312">
        <f t="shared" si="34"/>
        <v>0</v>
      </c>
      <c r="AL9" s="312">
        <f t="shared" si="24"/>
        <v>0</v>
      </c>
      <c r="AM9" s="312">
        <f>'General information '!D8</f>
        <v>28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44777</v>
      </c>
      <c r="AS9" s="407">
        <f t="shared" si="26"/>
        <v>0.9</v>
      </c>
      <c r="AT9" s="201">
        <f t="shared" si="26"/>
        <v>114</v>
      </c>
      <c r="AU9" s="408">
        <f t="shared" ref="AU9:AU36" si="43">AU8</f>
        <v>1.1000000000000001</v>
      </c>
      <c r="AV9" s="201">
        <v>114</v>
      </c>
      <c r="AW9" s="5">
        <v>2.9</v>
      </c>
      <c r="AX9" s="201">
        <v>106</v>
      </c>
      <c r="AY9" s="409">
        <f t="shared" si="37"/>
        <v>102.60000000000001</v>
      </c>
      <c r="AZ9" s="409">
        <f t="shared" si="38"/>
        <v>125.4</v>
      </c>
      <c r="BA9" s="409">
        <f t="shared" si="39"/>
        <v>307.39999999999998</v>
      </c>
      <c r="BB9" s="21">
        <f t="shared" si="40"/>
        <v>0</v>
      </c>
      <c r="BC9" s="21">
        <f t="shared" si="27"/>
        <v>-2.2000000000000028</v>
      </c>
      <c r="BD9" s="21">
        <f t="shared" si="27"/>
        <v>-11.600000000000023</v>
      </c>
      <c r="BE9" s="24">
        <f t="shared" si="28"/>
        <v>-13.800000000000026</v>
      </c>
      <c r="BF9" s="330">
        <f t="shared" si="29"/>
        <v>13.800000000000026</v>
      </c>
      <c r="BG9" s="82">
        <f t="shared" si="4"/>
        <v>-13.800000000000026</v>
      </c>
    </row>
    <row r="10" spans="1:65" ht="15.75" thickBot="1">
      <c r="A10" s="6">
        <f>ELEC!C8</f>
        <v>44778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629805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30"/>
        <v>5183</v>
      </c>
      <c r="U10" s="5">
        <f t="shared" si="3"/>
        <v>0</v>
      </c>
      <c r="V10" s="5">
        <v>497</v>
      </c>
      <c r="W10" s="309">
        <f t="shared" si="14"/>
        <v>0</v>
      </c>
      <c r="X10" s="5">
        <f t="shared" si="15"/>
        <v>155747</v>
      </c>
      <c r="Y10" s="309">
        <f t="shared" si="42"/>
        <v>0</v>
      </c>
      <c r="Z10" s="5">
        <f t="shared" si="16"/>
        <v>99558</v>
      </c>
      <c r="AA10" s="83">
        <f t="shared" si="17"/>
        <v>0</v>
      </c>
      <c r="AB10" s="5">
        <f t="shared" si="31"/>
        <v>219</v>
      </c>
      <c r="AC10" s="5">
        <f t="shared" si="32"/>
        <v>730</v>
      </c>
      <c r="AD10" s="83">
        <f t="shared" si="33"/>
        <v>0</v>
      </c>
      <c r="AE10" s="5">
        <f t="shared" si="18"/>
        <v>244.4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1">
        <f t="shared" si="23"/>
        <v>0</v>
      </c>
      <c r="AK10" s="312">
        <f>SUM(Y10-L10)</f>
        <v>0</v>
      </c>
      <c r="AL10" s="312">
        <f t="shared" si="24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44778</v>
      </c>
      <c r="AS10" s="407">
        <f t="shared" si="26"/>
        <v>0.9</v>
      </c>
      <c r="AT10" s="201">
        <f t="shared" si="26"/>
        <v>114</v>
      </c>
      <c r="AU10" s="408">
        <f t="shared" si="43"/>
        <v>1.1000000000000001</v>
      </c>
      <c r="AV10" s="201">
        <f t="shared" si="35"/>
        <v>114</v>
      </c>
      <c r="AW10" s="5">
        <v>2.9</v>
      </c>
      <c r="AX10" s="201">
        <f t="shared" si="36"/>
        <v>106</v>
      </c>
      <c r="AY10" s="409">
        <f t="shared" si="37"/>
        <v>102.60000000000001</v>
      </c>
      <c r="AZ10" s="409">
        <f t="shared" si="38"/>
        <v>125.4</v>
      </c>
      <c r="BA10" s="409">
        <f t="shared" si="39"/>
        <v>307.39999999999998</v>
      </c>
      <c r="BB10" s="21">
        <f t="shared" si="40"/>
        <v>0</v>
      </c>
      <c r="BC10" s="21">
        <f t="shared" si="27"/>
        <v>0</v>
      </c>
      <c r="BD10" s="21">
        <f t="shared" si="27"/>
        <v>0</v>
      </c>
      <c r="BE10" s="24">
        <f t="shared" si="28"/>
        <v>0</v>
      </c>
      <c r="BF10" s="96">
        <f t="shared" si="29"/>
        <v>0</v>
      </c>
      <c r="BG10" s="82">
        <f t="shared" si="4"/>
        <v>0</v>
      </c>
    </row>
    <row r="11" spans="1:65" ht="15.75" thickBot="1">
      <c r="A11" s="6">
        <f>ELEC!C9</f>
        <v>44779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629805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1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30"/>
        <v>5183</v>
      </c>
      <c r="U11" s="5">
        <f t="shared" si="3"/>
        <v>0</v>
      </c>
      <c r="V11" s="5">
        <v>497</v>
      </c>
      <c r="W11" s="309">
        <f t="shared" si="14"/>
        <v>0</v>
      </c>
      <c r="X11" s="5">
        <f t="shared" si="15"/>
        <v>155747</v>
      </c>
      <c r="Y11" s="309">
        <f t="shared" si="42"/>
        <v>0</v>
      </c>
      <c r="Z11" s="5">
        <f t="shared" si="16"/>
        <v>99558</v>
      </c>
      <c r="AA11" s="83">
        <f t="shared" si="17"/>
        <v>0</v>
      </c>
      <c r="AB11" s="5">
        <f t="shared" si="31"/>
        <v>219</v>
      </c>
      <c r="AC11" s="5">
        <f t="shared" si="32"/>
        <v>730</v>
      </c>
      <c r="AD11" s="83">
        <f t="shared" si="33"/>
        <v>0</v>
      </c>
      <c r="AE11" s="5">
        <f t="shared" si="18"/>
        <v>244.4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1">
        <f t="shared" si="23"/>
        <v>0</v>
      </c>
      <c r="AK11" s="312">
        <f t="shared" si="34"/>
        <v>0</v>
      </c>
      <c r="AL11" s="312">
        <f t="shared" si="24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44779</v>
      </c>
      <c r="AS11" s="407">
        <f t="shared" si="26"/>
        <v>0.9</v>
      </c>
      <c r="AT11" s="201">
        <f t="shared" si="26"/>
        <v>114</v>
      </c>
      <c r="AU11" s="408">
        <f t="shared" si="43"/>
        <v>1.1000000000000001</v>
      </c>
      <c r="AV11" s="201">
        <f t="shared" si="35"/>
        <v>114</v>
      </c>
      <c r="AW11" s="5">
        <v>2.9</v>
      </c>
      <c r="AX11" s="201">
        <f t="shared" si="36"/>
        <v>106</v>
      </c>
      <c r="AY11" s="409">
        <f t="shared" si="37"/>
        <v>102.60000000000001</v>
      </c>
      <c r="AZ11" s="409">
        <f t="shared" si="38"/>
        <v>125.4</v>
      </c>
      <c r="BA11" s="409">
        <f t="shared" si="39"/>
        <v>307.39999999999998</v>
      </c>
      <c r="BB11" s="21">
        <f t="shared" si="40"/>
        <v>0</v>
      </c>
      <c r="BC11" s="21">
        <f t="shared" si="27"/>
        <v>0</v>
      </c>
      <c r="BD11" s="21">
        <f t="shared" si="27"/>
        <v>0</v>
      </c>
      <c r="BE11" s="24">
        <f t="shared" si="28"/>
        <v>0</v>
      </c>
      <c r="BF11" s="96">
        <f t="shared" si="29"/>
        <v>0</v>
      </c>
      <c r="BG11" s="82">
        <f t="shared" si="4"/>
        <v>0</v>
      </c>
    </row>
    <row r="12" spans="1:65" ht="15.75" thickBot="1">
      <c r="A12" s="6">
        <f>ELEC!C10</f>
        <v>44780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629805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30"/>
        <v>5183</v>
      </c>
      <c r="U12" s="5">
        <f t="shared" si="3"/>
        <v>0</v>
      </c>
      <c r="V12" s="5">
        <v>497</v>
      </c>
      <c r="W12" s="309">
        <f t="shared" si="14"/>
        <v>0</v>
      </c>
      <c r="X12" s="5">
        <f t="shared" si="15"/>
        <v>155747</v>
      </c>
      <c r="Y12" s="309">
        <f t="shared" si="42"/>
        <v>0</v>
      </c>
      <c r="Z12" s="5">
        <f t="shared" si="16"/>
        <v>99558</v>
      </c>
      <c r="AA12" s="83">
        <f t="shared" si="17"/>
        <v>0</v>
      </c>
      <c r="AB12" s="5">
        <v>210</v>
      </c>
      <c r="AC12" s="5">
        <f t="shared" si="32"/>
        <v>730</v>
      </c>
      <c r="AD12" s="83">
        <f t="shared" si="33"/>
        <v>0</v>
      </c>
      <c r="AE12" s="5">
        <f t="shared" si="18"/>
        <v>244.4</v>
      </c>
      <c r="AF12" s="83">
        <f t="shared" si="19"/>
        <v>0</v>
      </c>
      <c r="AG12" s="5">
        <f t="shared" si="20"/>
        <v>2247.41</v>
      </c>
      <c r="AH12" s="83">
        <f t="shared" si="21"/>
        <v>0</v>
      </c>
      <c r="AI12" s="83">
        <f t="shared" si="22"/>
        <v>0</v>
      </c>
      <c r="AJ12" s="311">
        <f t="shared" si="23"/>
        <v>0</v>
      </c>
      <c r="AK12" s="312">
        <f t="shared" si="34"/>
        <v>0</v>
      </c>
      <c r="AL12" s="312">
        <f t="shared" si="24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44780</v>
      </c>
      <c r="AS12" s="407">
        <f t="shared" si="26"/>
        <v>0.9</v>
      </c>
      <c r="AT12" s="201">
        <f t="shared" si="26"/>
        <v>114</v>
      </c>
      <c r="AU12" s="408">
        <f t="shared" si="43"/>
        <v>1.1000000000000001</v>
      </c>
      <c r="AV12" s="201">
        <v>110</v>
      </c>
      <c r="AW12" s="5">
        <v>2.9</v>
      </c>
      <c r="AX12" s="201">
        <f t="shared" si="36"/>
        <v>106</v>
      </c>
      <c r="AY12" s="409">
        <v>106</v>
      </c>
      <c r="AZ12" s="409">
        <f t="shared" si="38"/>
        <v>121.00000000000001</v>
      </c>
      <c r="BA12" s="409">
        <f t="shared" si="39"/>
        <v>307.39999999999998</v>
      </c>
      <c r="BB12" s="21">
        <f t="shared" si="40"/>
        <v>3.3999999999999915</v>
      </c>
      <c r="BC12" s="21">
        <f t="shared" si="27"/>
        <v>-4.3999999999999915</v>
      </c>
      <c r="BD12" s="21">
        <f t="shared" si="27"/>
        <v>0</v>
      </c>
      <c r="BE12" s="24">
        <f t="shared" si="28"/>
        <v>-1</v>
      </c>
      <c r="BF12" s="96">
        <f t="shared" si="29"/>
        <v>1</v>
      </c>
      <c r="BG12" s="82">
        <f t="shared" si="4"/>
        <v>-1</v>
      </c>
    </row>
    <row r="13" spans="1:65" ht="15.75" thickBot="1">
      <c r="A13" s="6">
        <f>ELEC!C11</f>
        <v>44781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629805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30"/>
        <v>5183</v>
      </c>
      <c r="U13" s="5">
        <f t="shared" si="3"/>
        <v>0</v>
      </c>
      <c r="V13" s="5">
        <v>497</v>
      </c>
      <c r="W13" s="309">
        <f t="shared" si="14"/>
        <v>0</v>
      </c>
      <c r="X13" s="5">
        <f t="shared" si="15"/>
        <v>155747</v>
      </c>
      <c r="Y13" s="309">
        <f t="shared" si="42"/>
        <v>0</v>
      </c>
      <c r="Z13" s="5">
        <f t="shared" si="16"/>
        <v>99558</v>
      </c>
      <c r="AA13" s="83">
        <f t="shared" si="17"/>
        <v>0</v>
      </c>
      <c r="AB13" s="5">
        <f t="shared" si="31"/>
        <v>210</v>
      </c>
      <c r="AC13" s="5">
        <f t="shared" si="32"/>
        <v>730</v>
      </c>
      <c r="AD13" s="83">
        <f t="shared" si="33"/>
        <v>0</v>
      </c>
      <c r="AE13" s="5">
        <f t="shared" si="18"/>
        <v>244.4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1">
        <f t="shared" si="23"/>
        <v>0</v>
      </c>
      <c r="AK13" s="312">
        <f t="shared" si="34"/>
        <v>0</v>
      </c>
      <c r="AL13" s="312">
        <f t="shared" si="24"/>
        <v>0</v>
      </c>
      <c r="AM13" s="312">
        <f>'General information '!D12</f>
        <v>24.5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44781</v>
      </c>
      <c r="AS13" s="407">
        <f t="shared" si="26"/>
        <v>0.9</v>
      </c>
      <c r="AT13" s="201">
        <f t="shared" si="26"/>
        <v>114</v>
      </c>
      <c r="AU13" s="408">
        <f t="shared" si="43"/>
        <v>1.1000000000000001</v>
      </c>
      <c r="AV13" s="201">
        <f t="shared" si="35"/>
        <v>110</v>
      </c>
      <c r="AW13" s="5">
        <v>2.9</v>
      </c>
      <c r="AX13" s="201">
        <f t="shared" si="36"/>
        <v>106</v>
      </c>
      <c r="AY13" s="409">
        <f t="shared" si="37"/>
        <v>102.60000000000001</v>
      </c>
      <c r="AZ13" s="409">
        <f t="shared" si="38"/>
        <v>121.00000000000001</v>
      </c>
      <c r="BA13" s="409">
        <f t="shared" si="39"/>
        <v>307.39999999999998</v>
      </c>
      <c r="BB13" s="21">
        <f t="shared" si="40"/>
        <v>-3.3999999999999915</v>
      </c>
      <c r="BC13" s="21">
        <f t="shared" si="27"/>
        <v>0</v>
      </c>
      <c r="BD13" s="21">
        <f t="shared" si="27"/>
        <v>0</v>
      </c>
      <c r="BE13" s="24">
        <f t="shared" si="28"/>
        <v>-3.3999999999999915</v>
      </c>
      <c r="BF13" s="96">
        <f t="shared" si="29"/>
        <v>3.3999999999999915</v>
      </c>
      <c r="BG13" s="82">
        <f t="shared" si="4"/>
        <v>-3.3999999999999915</v>
      </c>
    </row>
    <row r="14" spans="1:65" ht="15.75" thickBot="1">
      <c r="A14" s="6">
        <f>ELEC!C12</f>
        <v>44782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v>629854</v>
      </c>
      <c r="H14" s="5">
        <f t="shared" si="9"/>
        <v>49</v>
      </c>
      <c r="I14" s="5">
        <f t="shared" si="10"/>
        <v>49</v>
      </c>
      <c r="J14" s="319">
        <f t="shared" si="0"/>
        <v>4.9374588545095461</v>
      </c>
      <c r="K14" s="5">
        <f t="shared" si="11"/>
        <v>7089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30"/>
        <v>5183</v>
      </c>
      <c r="U14" s="5">
        <f t="shared" si="3"/>
        <v>0</v>
      </c>
      <c r="V14" s="5">
        <v>497</v>
      </c>
      <c r="W14" s="309">
        <f t="shared" si="14"/>
        <v>0</v>
      </c>
      <c r="X14" s="5">
        <f t="shared" si="15"/>
        <v>155747</v>
      </c>
      <c r="Y14" s="309">
        <f t="shared" si="42"/>
        <v>0</v>
      </c>
      <c r="Z14" s="5">
        <f t="shared" si="16"/>
        <v>99558</v>
      </c>
      <c r="AA14" s="83">
        <f t="shared" si="17"/>
        <v>0</v>
      </c>
      <c r="AB14" s="5">
        <f t="shared" si="31"/>
        <v>210</v>
      </c>
      <c r="AC14" s="5">
        <f t="shared" si="32"/>
        <v>730</v>
      </c>
      <c r="AD14" s="83">
        <f t="shared" si="33"/>
        <v>0</v>
      </c>
      <c r="AE14" s="5">
        <f t="shared" si="18"/>
        <v>244.4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1">
        <f t="shared" si="23"/>
        <v>0</v>
      </c>
      <c r="AK14" s="312">
        <f t="shared" si="34"/>
        <v>0</v>
      </c>
      <c r="AL14" s="312">
        <f t="shared" si="24"/>
        <v>0</v>
      </c>
      <c r="AM14" s="312">
        <f>'General information '!D13</f>
        <v>28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44782</v>
      </c>
      <c r="AS14" s="407">
        <f t="shared" si="26"/>
        <v>0.9</v>
      </c>
      <c r="AT14" s="201">
        <v>146</v>
      </c>
      <c r="AU14" s="408">
        <f t="shared" si="43"/>
        <v>1.1000000000000001</v>
      </c>
      <c r="AV14" s="201">
        <v>99</v>
      </c>
      <c r="AW14" s="5">
        <v>2.9</v>
      </c>
      <c r="AX14" s="201">
        <v>102</v>
      </c>
      <c r="AY14" s="409">
        <f t="shared" si="37"/>
        <v>131.4</v>
      </c>
      <c r="AZ14" s="409">
        <f t="shared" si="38"/>
        <v>108.9</v>
      </c>
      <c r="BA14" s="409">
        <f t="shared" si="39"/>
        <v>295.8</v>
      </c>
      <c r="BB14" s="21">
        <f t="shared" si="40"/>
        <v>28.799999999999997</v>
      </c>
      <c r="BC14" s="21">
        <f t="shared" si="27"/>
        <v>-12.100000000000009</v>
      </c>
      <c r="BD14" s="21">
        <f t="shared" si="27"/>
        <v>-11.599999999999966</v>
      </c>
      <c r="BE14" s="24">
        <f t="shared" si="28"/>
        <v>5.1000000000000227</v>
      </c>
      <c r="BF14" s="96">
        <f t="shared" si="29"/>
        <v>43.899999999999977</v>
      </c>
      <c r="BG14" s="82">
        <f t="shared" si="4"/>
        <v>5.1000000000000227</v>
      </c>
    </row>
    <row r="15" spans="1:65" ht="16.5" customHeight="1" thickBot="1">
      <c r="A15" s="6">
        <f>ELEC!C13</f>
        <v>44783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629854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1"/>
        <v>0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30"/>
        <v>5183</v>
      </c>
      <c r="U15" s="5">
        <f t="shared" si="3"/>
        <v>0</v>
      </c>
      <c r="V15" s="5">
        <v>497</v>
      </c>
      <c r="W15" s="309">
        <f t="shared" si="14"/>
        <v>0</v>
      </c>
      <c r="X15" s="5">
        <f t="shared" si="15"/>
        <v>155747</v>
      </c>
      <c r="Y15" s="309">
        <f t="shared" si="42"/>
        <v>0</v>
      </c>
      <c r="Z15" s="5">
        <f t="shared" si="16"/>
        <v>99558</v>
      </c>
      <c r="AA15" s="83">
        <f t="shared" si="17"/>
        <v>0</v>
      </c>
      <c r="AB15" s="5">
        <f t="shared" si="31"/>
        <v>210</v>
      </c>
      <c r="AC15" s="5">
        <f t="shared" si="32"/>
        <v>730</v>
      </c>
      <c r="AD15" s="83">
        <f t="shared" si="33"/>
        <v>0</v>
      </c>
      <c r="AE15" s="5">
        <f t="shared" si="18"/>
        <v>244.4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1">
        <f t="shared" si="23"/>
        <v>0</v>
      </c>
      <c r="AK15" s="312">
        <f>SUM(Y15-L15)</f>
        <v>0</v>
      </c>
      <c r="AL15" s="312">
        <f t="shared" si="24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44783</v>
      </c>
      <c r="AS15" s="407">
        <f t="shared" si="26"/>
        <v>0.9</v>
      </c>
      <c r="AT15" s="201">
        <v>131</v>
      </c>
      <c r="AU15" s="408">
        <f t="shared" si="43"/>
        <v>1.1000000000000001</v>
      </c>
      <c r="AV15" s="201">
        <f t="shared" si="35"/>
        <v>99</v>
      </c>
      <c r="AW15" s="5">
        <v>2.9</v>
      </c>
      <c r="AX15" s="201">
        <f t="shared" si="36"/>
        <v>102</v>
      </c>
      <c r="AY15" s="409">
        <f t="shared" si="37"/>
        <v>117.9</v>
      </c>
      <c r="AZ15" s="409">
        <f t="shared" si="38"/>
        <v>108.9</v>
      </c>
      <c r="BA15" s="409">
        <f t="shared" si="39"/>
        <v>295.8</v>
      </c>
      <c r="BB15" s="21">
        <f t="shared" si="40"/>
        <v>-13.5</v>
      </c>
      <c r="BC15" s="21">
        <f t="shared" si="27"/>
        <v>0</v>
      </c>
      <c r="BD15" s="21">
        <f t="shared" si="27"/>
        <v>0</v>
      </c>
      <c r="BE15" s="24">
        <f t="shared" si="28"/>
        <v>-13.5</v>
      </c>
      <c r="BF15" s="96">
        <f t="shared" si="29"/>
        <v>13.5</v>
      </c>
      <c r="BG15" s="82">
        <f t="shared" si="4"/>
        <v>-13.5</v>
      </c>
    </row>
    <row r="16" spans="1:65" ht="15.75" thickBot="1">
      <c r="A16" s="6">
        <f>ELEC!C14</f>
        <v>44784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629854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30"/>
        <v>5183</v>
      </c>
      <c r="U16" s="5">
        <f t="shared" si="3"/>
        <v>0</v>
      </c>
      <c r="V16" s="5">
        <v>497</v>
      </c>
      <c r="W16" s="309">
        <f t="shared" si="14"/>
        <v>0</v>
      </c>
      <c r="X16" s="5">
        <f t="shared" si="15"/>
        <v>155747</v>
      </c>
      <c r="Y16" s="309">
        <f t="shared" si="42"/>
        <v>0</v>
      </c>
      <c r="Z16" s="5">
        <f t="shared" si="16"/>
        <v>99558</v>
      </c>
      <c r="AA16" s="83">
        <f t="shared" si="17"/>
        <v>0</v>
      </c>
      <c r="AB16" s="5">
        <f t="shared" si="31"/>
        <v>210</v>
      </c>
      <c r="AC16" s="5">
        <f t="shared" si="32"/>
        <v>730</v>
      </c>
      <c r="AD16" s="83">
        <f t="shared" si="33"/>
        <v>0</v>
      </c>
      <c r="AE16" s="5">
        <f t="shared" si="18"/>
        <v>244.4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1">
        <f t="shared" si="23"/>
        <v>0</v>
      </c>
      <c r="AK16" s="312">
        <f t="shared" si="34"/>
        <v>0</v>
      </c>
      <c r="AL16" s="312">
        <f t="shared" si="24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44784</v>
      </c>
      <c r="AS16" s="407">
        <f t="shared" si="26"/>
        <v>0.9</v>
      </c>
      <c r="AT16" s="201">
        <f t="shared" si="26"/>
        <v>131</v>
      </c>
      <c r="AU16" s="408">
        <f t="shared" si="43"/>
        <v>1.1000000000000001</v>
      </c>
      <c r="AV16" s="201">
        <f t="shared" si="35"/>
        <v>99</v>
      </c>
      <c r="AW16" s="5">
        <v>2.9</v>
      </c>
      <c r="AX16" s="201">
        <f t="shared" si="36"/>
        <v>102</v>
      </c>
      <c r="AY16" s="409">
        <f t="shared" si="37"/>
        <v>117.9</v>
      </c>
      <c r="AZ16" s="409">
        <f t="shared" si="38"/>
        <v>108.9</v>
      </c>
      <c r="BA16" s="409">
        <f t="shared" si="39"/>
        <v>295.8</v>
      </c>
      <c r="BB16" s="21">
        <f t="shared" si="40"/>
        <v>0</v>
      </c>
      <c r="BC16" s="21">
        <f t="shared" si="27"/>
        <v>0</v>
      </c>
      <c r="BD16" s="21">
        <f t="shared" si="27"/>
        <v>0</v>
      </c>
      <c r="BE16" s="24">
        <f t="shared" si="28"/>
        <v>0</v>
      </c>
      <c r="BF16" s="96">
        <f t="shared" si="29"/>
        <v>0</v>
      </c>
      <c r="BG16" s="82">
        <f t="shared" si="4"/>
        <v>0</v>
      </c>
    </row>
    <row r="17" spans="1:61" ht="15.75" thickBot="1">
      <c r="A17" s="6">
        <f>ELEC!C15</f>
        <v>44785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629854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30"/>
        <v>5183</v>
      </c>
      <c r="U17" s="5">
        <f t="shared" si="3"/>
        <v>0</v>
      </c>
      <c r="V17" s="5">
        <v>497</v>
      </c>
      <c r="W17" s="309">
        <f t="shared" si="14"/>
        <v>0</v>
      </c>
      <c r="X17" s="5">
        <f t="shared" si="15"/>
        <v>155747</v>
      </c>
      <c r="Y17" s="309">
        <f t="shared" si="42"/>
        <v>0</v>
      </c>
      <c r="Z17" s="5">
        <f t="shared" si="16"/>
        <v>99558</v>
      </c>
      <c r="AA17" s="83">
        <f t="shared" si="17"/>
        <v>0</v>
      </c>
      <c r="AB17" s="5">
        <f t="shared" si="31"/>
        <v>210</v>
      </c>
      <c r="AC17" s="5">
        <f t="shared" si="32"/>
        <v>730</v>
      </c>
      <c r="AD17" s="83">
        <f t="shared" si="33"/>
        <v>0</v>
      </c>
      <c r="AE17" s="5">
        <f t="shared" si="18"/>
        <v>244.4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1">
        <f t="shared" si="23"/>
        <v>0</v>
      </c>
      <c r="AK17" s="312">
        <f>SUM(Y17-L17)</f>
        <v>0</v>
      </c>
      <c r="AL17" s="312">
        <f t="shared" si="24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44785</v>
      </c>
      <c r="AS17" s="407">
        <f t="shared" si="26"/>
        <v>0.9</v>
      </c>
      <c r="AT17" s="201">
        <f t="shared" si="26"/>
        <v>131</v>
      </c>
      <c r="AU17" s="408">
        <f t="shared" si="43"/>
        <v>1.1000000000000001</v>
      </c>
      <c r="AV17" s="201">
        <f t="shared" si="35"/>
        <v>99</v>
      </c>
      <c r="AW17" s="5">
        <v>2.9</v>
      </c>
      <c r="AX17" s="201">
        <f t="shared" si="36"/>
        <v>102</v>
      </c>
      <c r="AY17" s="409">
        <f t="shared" si="37"/>
        <v>117.9</v>
      </c>
      <c r="AZ17" s="409">
        <f t="shared" si="38"/>
        <v>108.9</v>
      </c>
      <c r="BA17" s="409">
        <f t="shared" si="39"/>
        <v>295.8</v>
      </c>
      <c r="BB17" s="21">
        <f t="shared" si="40"/>
        <v>0</v>
      </c>
      <c r="BC17" s="21">
        <f t="shared" si="27"/>
        <v>0</v>
      </c>
      <c r="BD17" s="21">
        <f t="shared" si="27"/>
        <v>0</v>
      </c>
      <c r="BE17" s="24">
        <f t="shared" si="28"/>
        <v>0</v>
      </c>
      <c r="BF17" s="96">
        <f t="shared" si="29"/>
        <v>0</v>
      </c>
      <c r="BG17" s="82">
        <f t="shared" si="4"/>
        <v>0</v>
      </c>
    </row>
    <row r="18" spans="1:61" ht="15.75" thickBot="1">
      <c r="A18" s="6">
        <f>ELEC!C16</f>
        <v>44786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629854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30"/>
        <v>5183</v>
      </c>
      <c r="U18" s="5">
        <f t="shared" si="3"/>
        <v>0</v>
      </c>
      <c r="V18" s="5">
        <v>497</v>
      </c>
      <c r="W18" s="309">
        <f t="shared" si="14"/>
        <v>0</v>
      </c>
      <c r="X18" s="5">
        <f t="shared" si="15"/>
        <v>155747</v>
      </c>
      <c r="Y18" s="309">
        <f t="shared" si="42"/>
        <v>0</v>
      </c>
      <c r="Z18" s="5">
        <f t="shared" si="16"/>
        <v>99558</v>
      </c>
      <c r="AA18" s="83">
        <f t="shared" si="17"/>
        <v>0</v>
      </c>
      <c r="AB18" s="5">
        <f t="shared" si="31"/>
        <v>210</v>
      </c>
      <c r="AC18" s="5">
        <f t="shared" si="32"/>
        <v>730</v>
      </c>
      <c r="AD18" s="83">
        <f t="shared" si="33"/>
        <v>0</v>
      </c>
      <c r="AE18" s="5">
        <f t="shared" si="18"/>
        <v>244.4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1">
        <f t="shared" si="23"/>
        <v>0</v>
      </c>
      <c r="AK18" s="312">
        <f>SUM(Y18-L18)</f>
        <v>0</v>
      </c>
      <c r="AL18" s="312">
        <f t="shared" si="24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44786</v>
      </c>
      <c r="AS18" s="407">
        <f t="shared" si="26"/>
        <v>0.9</v>
      </c>
      <c r="AT18" s="201">
        <f t="shared" si="26"/>
        <v>131</v>
      </c>
      <c r="AU18" s="408">
        <f t="shared" si="43"/>
        <v>1.1000000000000001</v>
      </c>
      <c r="AV18" s="201">
        <f t="shared" si="35"/>
        <v>99</v>
      </c>
      <c r="AW18" s="5">
        <v>2.9</v>
      </c>
      <c r="AX18" s="201">
        <f t="shared" si="36"/>
        <v>102</v>
      </c>
      <c r="AY18" s="409">
        <f t="shared" si="37"/>
        <v>117.9</v>
      </c>
      <c r="AZ18" s="409">
        <f t="shared" si="38"/>
        <v>108.9</v>
      </c>
      <c r="BA18" s="409">
        <f t="shared" si="39"/>
        <v>295.8</v>
      </c>
      <c r="BB18" s="21">
        <f t="shared" si="40"/>
        <v>0</v>
      </c>
      <c r="BC18" s="21">
        <f t="shared" si="27"/>
        <v>0</v>
      </c>
      <c r="BD18" s="21">
        <f t="shared" si="27"/>
        <v>0</v>
      </c>
      <c r="BE18" s="24">
        <f t="shared" si="28"/>
        <v>0</v>
      </c>
      <c r="BF18" s="96">
        <f t="shared" si="29"/>
        <v>0</v>
      </c>
      <c r="BG18" s="82">
        <f t="shared" si="4"/>
        <v>0</v>
      </c>
    </row>
    <row r="19" spans="1:61" ht="15.75" thickBot="1">
      <c r="A19" s="6">
        <f>ELEC!C17</f>
        <v>44787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629854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30"/>
        <v>5183</v>
      </c>
      <c r="U19" s="5">
        <f t="shared" si="3"/>
        <v>0</v>
      </c>
      <c r="V19" s="5">
        <v>497</v>
      </c>
      <c r="W19" s="309">
        <f t="shared" si="14"/>
        <v>0</v>
      </c>
      <c r="X19" s="5">
        <f t="shared" si="15"/>
        <v>155747</v>
      </c>
      <c r="Y19" s="309">
        <f t="shared" si="42"/>
        <v>0</v>
      </c>
      <c r="Z19" s="5">
        <f t="shared" si="16"/>
        <v>99558</v>
      </c>
      <c r="AA19" s="83">
        <f t="shared" si="17"/>
        <v>0</v>
      </c>
      <c r="AB19" s="5">
        <f t="shared" si="31"/>
        <v>210</v>
      </c>
      <c r="AC19" s="5">
        <f t="shared" si="32"/>
        <v>730</v>
      </c>
      <c r="AD19" s="83">
        <f t="shared" si="33"/>
        <v>0</v>
      </c>
      <c r="AE19" s="5">
        <f t="shared" si="18"/>
        <v>244.4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1">
        <f t="shared" si="23"/>
        <v>0</v>
      </c>
      <c r="AK19" s="312">
        <f t="shared" si="34"/>
        <v>0</v>
      </c>
      <c r="AL19" s="312">
        <f t="shared" si="24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44787</v>
      </c>
      <c r="AS19" s="407">
        <f t="shared" si="26"/>
        <v>0.9</v>
      </c>
      <c r="AT19" s="201">
        <f t="shared" si="26"/>
        <v>131</v>
      </c>
      <c r="AU19" s="408">
        <f t="shared" si="43"/>
        <v>1.1000000000000001</v>
      </c>
      <c r="AV19" s="201">
        <f t="shared" si="35"/>
        <v>99</v>
      </c>
      <c r="AW19" s="5">
        <v>2.9</v>
      </c>
      <c r="AX19" s="201">
        <f t="shared" si="36"/>
        <v>102</v>
      </c>
      <c r="AY19" s="409">
        <f>AS19*AT19</f>
        <v>117.9</v>
      </c>
      <c r="AZ19" s="409">
        <f>AU19*AV19</f>
        <v>108.9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.75" thickBot="1">
      <c r="A20" s="6">
        <f>ELEC!C18</f>
        <v>44788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629854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30"/>
        <v>5183</v>
      </c>
      <c r="U20" s="5">
        <f t="shared" si="3"/>
        <v>0</v>
      </c>
      <c r="V20" s="5">
        <v>497</v>
      </c>
      <c r="W20" s="309">
        <f t="shared" si="14"/>
        <v>0</v>
      </c>
      <c r="X20" s="5">
        <f t="shared" si="15"/>
        <v>155747</v>
      </c>
      <c r="Y20" s="309">
        <f t="shared" si="42"/>
        <v>0</v>
      </c>
      <c r="Z20" s="5">
        <f t="shared" si="16"/>
        <v>99558</v>
      </c>
      <c r="AA20" s="83">
        <f t="shared" si="17"/>
        <v>0</v>
      </c>
      <c r="AB20" s="5">
        <f t="shared" si="31"/>
        <v>210</v>
      </c>
      <c r="AC20" s="5">
        <f t="shared" si="32"/>
        <v>730</v>
      </c>
      <c r="AD20" s="83">
        <f t="shared" si="33"/>
        <v>0</v>
      </c>
      <c r="AE20" s="5">
        <f t="shared" si="18"/>
        <v>244.4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1">
        <f t="shared" si="23"/>
        <v>0</v>
      </c>
      <c r="AK20" s="312">
        <f t="shared" si="34"/>
        <v>0</v>
      </c>
      <c r="AL20" s="312">
        <f t="shared" si="24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44788</v>
      </c>
      <c r="AS20" s="407">
        <f t="shared" si="26"/>
        <v>0.9</v>
      </c>
      <c r="AT20" s="201">
        <v>100</v>
      </c>
      <c r="AU20" s="408">
        <f t="shared" si="43"/>
        <v>1.1000000000000001</v>
      </c>
      <c r="AV20" s="201">
        <v>97</v>
      </c>
      <c r="AW20" s="5">
        <v>2.9</v>
      </c>
      <c r="AX20" s="201">
        <f t="shared" si="36"/>
        <v>102</v>
      </c>
      <c r="AY20" s="409">
        <f>AS20*AT20</f>
        <v>90</v>
      </c>
      <c r="AZ20" s="409">
        <f>AU20*AV20</f>
        <v>106.7</v>
      </c>
      <c r="BA20" s="409">
        <f>AW20*AX20</f>
        <v>295.8</v>
      </c>
      <c r="BB20" s="21">
        <f t="shared" si="47"/>
        <v>-27.900000000000006</v>
      </c>
      <c r="BC20" s="21">
        <f t="shared" si="47"/>
        <v>-2.2000000000000028</v>
      </c>
      <c r="BD20" s="21">
        <f t="shared" si="47"/>
        <v>0</v>
      </c>
      <c r="BE20" s="24">
        <f>SUM(BB20:BD20)</f>
        <v>-30.100000000000009</v>
      </c>
      <c r="BF20" s="96">
        <f t="shared" si="29"/>
        <v>30.100000000000009</v>
      </c>
      <c r="BG20" s="82">
        <f t="shared" si="4"/>
        <v>-30.100000000000009</v>
      </c>
    </row>
    <row r="21" spans="1:61" ht="15.75" thickBot="1">
      <c r="A21" s="6">
        <f>ELEC!C19</f>
        <v>44789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629854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30"/>
        <v>5183</v>
      </c>
      <c r="U21" s="5">
        <f t="shared" si="3"/>
        <v>0</v>
      </c>
      <c r="V21" s="5">
        <v>497</v>
      </c>
      <c r="W21" s="309">
        <f t="shared" si="14"/>
        <v>0</v>
      </c>
      <c r="X21" s="5">
        <f t="shared" si="15"/>
        <v>155747</v>
      </c>
      <c r="Y21" s="309">
        <f>SUM(X21-X20)</f>
        <v>0</v>
      </c>
      <c r="Z21" s="5">
        <f t="shared" si="16"/>
        <v>99558</v>
      </c>
      <c r="AA21" s="83">
        <f t="shared" si="17"/>
        <v>0</v>
      </c>
      <c r="AB21" s="5">
        <f t="shared" si="31"/>
        <v>210</v>
      </c>
      <c r="AC21" s="5">
        <f t="shared" si="32"/>
        <v>730</v>
      </c>
      <c r="AD21" s="83">
        <f t="shared" si="33"/>
        <v>0</v>
      </c>
      <c r="AE21" s="5">
        <f t="shared" si="18"/>
        <v>244.4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1">
        <f t="shared" si="23"/>
        <v>0</v>
      </c>
      <c r="AK21" s="312">
        <f>SUM(Y21-L21)</f>
        <v>0</v>
      </c>
      <c r="AL21" s="312">
        <f t="shared" si="24"/>
        <v>0</v>
      </c>
      <c r="AM21" s="312">
        <f>'General information '!D20</f>
        <v>28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44789</v>
      </c>
      <c r="AS21" s="407">
        <f t="shared" si="26"/>
        <v>0.9</v>
      </c>
      <c r="AT21" s="201">
        <f t="shared" si="26"/>
        <v>100</v>
      </c>
      <c r="AU21" s="408">
        <f t="shared" si="43"/>
        <v>1.1000000000000001</v>
      </c>
      <c r="AV21" s="201">
        <f t="shared" si="35"/>
        <v>97</v>
      </c>
      <c r="AW21" s="5">
        <v>2.9</v>
      </c>
      <c r="AX21" s="201">
        <f t="shared" si="36"/>
        <v>102</v>
      </c>
      <c r="AY21" s="409">
        <f>AS21*AT21</f>
        <v>90</v>
      </c>
      <c r="AZ21" s="409">
        <f>AU21*AV21</f>
        <v>106.7</v>
      </c>
      <c r="BA21" s="409">
        <f>AW21*AX21</f>
        <v>295.8</v>
      </c>
      <c r="BB21" s="21">
        <f t="shared" ref="BB21:BD33" si="48">AY21-AY20</f>
        <v>0</v>
      </c>
      <c r="BC21" s="21">
        <f t="shared" si="27"/>
        <v>0</v>
      </c>
      <c r="BD21" s="21">
        <f t="shared" si="27"/>
        <v>0</v>
      </c>
      <c r="BE21" s="24">
        <f t="shared" si="28"/>
        <v>0</v>
      </c>
      <c r="BF21" s="96">
        <f t="shared" si="29"/>
        <v>0</v>
      </c>
      <c r="BG21" s="82">
        <f t="shared" si="4"/>
        <v>0</v>
      </c>
    </row>
    <row r="22" spans="1:61" ht="15.75" thickBot="1">
      <c r="A22" s="6">
        <f>ELEC!C20</f>
        <v>44790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629854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30"/>
        <v>5183</v>
      </c>
      <c r="U22" s="5">
        <f t="shared" si="3"/>
        <v>0</v>
      </c>
      <c r="V22" s="5">
        <v>497</v>
      </c>
      <c r="W22" s="309">
        <f t="shared" si="14"/>
        <v>0</v>
      </c>
      <c r="X22" s="5">
        <f t="shared" si="15"/>
        <v>155747</v>
      </c>
      <c r="Y22" s="309">
        <f t="shared" si="42"/>
        <v>0</v>
      </c>
      <c r="Z22" s="5">
        <v>99558</v>
      </c>
      <c r="AA22" s="83">
        <f t="shared" si="17"/>
        <v>0</v>
      </c>
      <c r="AB22" s="5">
        <f t="shared" si="31"/>
        <v>210</v>
      </c>
      <c r="AC22" s="5">
        <f t="shared" si="32"/>
        <v>730</v>
      </c>
      <c r="AD22" s="83">
        <f t="shared" si="33"/>
        <v>0</v>
      </c>
      <c r="AE22" s="5">
        <f t="shared" si="18"/>
        <v>244.4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1">
        <f t="shared" si="23"/>
        <v>0</v>
      </c>
      <c r="AK22" s="312">
        <f t="shared" si="34"/>
        <v>0</v>
      </c>
      <c r="AL22" s="312">
        <f t="shared" si="24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44790</v>
      </c>
      <c r="AS22" s="407">
        <f t="shared" ref="AS22:AT33" si="49">AS21</f>
        <v>0.9</v>
      </c>
      <c r="AT22" s="201">
        <f t="shared" si="49"/>
        <v>100</v>
      </c>
      <c r="AU22" s="408">
        <f t="shared" si="43"/>
        <v>1.1000000000000001</v>
      </c>
      <c r="AV22" s="201">
        <f t="shared" si="35"/>
        <v>97</v>
      </c>
      <c r="AW22" s="5">
        <v>2.9</v>
      </c>
      <c r="AX22" s="201">
        <f t="shared" si="36"/>
        <v>102</v>
      </c>
      <c r="AY22" s="409">
        <f t="shared" si="37"/>
        <v>90</v>
      </c>
      <c r="AZ22" s="409">
        <f t="shared" si="38"/>
        <v>106.7</v>
      </c>
      <c r="BA22" s="409">
        <f t="shared" si="39"/>
        <v>295.8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28"/>
        <v>0</v>
      </c>
      <c r="BF22" s="96">
        <f t="shared" si="29"/>
        <v>0</v>
      </c>
      <c r="BG22" s="82">
        <f t="shared" si="4"/>
        <v>0</v>
      </c>
    </row>
    <row r="23" spans="1:61" ht="15.75" thickBot="1">
      <c r="A23" s="6">
        <f>ELEC!C21</f>
        <v>44791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629854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30"/>
        <v>5183</v>
      </c>
      <c r="U23" s="5">
        <f t="shared" si="3"/>
        <v>0</v>
      </c>
      <c r="V23" s="5">
        <v>497</v>
      </c>
      <c r="W23" s="309">
        <f t="shared" si="14"/>
        <v>0</v>
      </c>
      <c r="X23" s="5">
        <f t="shared" si="15"/>
        <v>155747</v>
      </c>
      <c r="Y23" s="309">
        <f t="shared" si="42"/>
        <v>0</v>
      </c>
      <c r="Z23" s="5">
        <f t="shared" si="16"/>
        <v>99558</v>
      </c>
      <c r="AA23" s="83">
        <f t="shared" si="17"/>
        <v>0</v>
      </c>
      <c r="AB23" s="5">
        <f t="shared" si="31"/>
        <v>210</v>
      </c>
      <c r="AC23" s="5">
        <f t="shared" si="32"/>
        <v>730</v>
      </c>
      <c r="AD23" s="83">
        <f t="shared" si="33"/>
        <v>0</v>
      </c>
      <c r="AE23" s="5">
        <f t="shared" si="18"/>
        <v>244.4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1">
        <f t="shared" si="23"/>
        <v>0</v>
      </c>
      <c r="AK23" s="312">
        <f t="shared" si="34"/>
        <v>0</v>
      </c>
      <c r="AL23" s="312">
        <f t="shared" si="24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44791</v>
      </c>
      <c r="AS23" s="407">
        <f t="shared" si="49"/>
        <v>0.9</v>
      </c>
      <c r="AT23" s="201">
        <f t="shared" si="49"/>
        <v>100</v>
      </c>
      <c r="AU23" s="408">
        <f t="shared" si="43"/>
        <v>1.1000000000000001</v>
      </c>
      <c r="AV23" s="201">
        <f t="shared" si="35"/>
        <v>97</v>
      </c>
      <c r="AW23" s="5">
        <v>2.9</v>
      </c>
      <c r="AX23" s="201">
        <f t="shared" si="36"/>
        <v>102</v>
      </c>
      <c r="AY23" s="409">
        <f t="shared" si="37"/>
        <v>90</v>
      </c>
      <c r="AZ23" s="409">
        <f t="shared" si="38"/>
        <v>106.7</v>
      </c>
      <c r="BA23" s="409">
        <f t="shared" si="39"/>
        <v>295.8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28"/>
        <v>0</v>
      </c>
      <c r="BF23" s="96">
        <f t="shared" si="29"/>
        <v>0</v>
      </c>
      <c r="BG23" s="82">
        <f t="shared" si="4"/>
        <v>0</v>
      </c>
    </row>
    <row r="24" spans="1:61" ht="15.75" thickBot="1">
      <c r="A24" s="6">
        <f>ELEC!C22</f>
        <v>44792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629854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30"/>
        <v>5183</v>
      </c>
      <c r="U24" s="5">
        <f t="shared" si="3"/>
        <v>0</v>
      </c>
      <c r="V24" s="5">
        <v>497</v>
      </c>
      <c r="W24" s="309">
        <f t="shared" si="14"/>
        <v>0</v>
      </c>
      <c r="X24" s="5">
        <f t="shared" si="15"/>
        <v>155747</v>
      </c>
      <c r="Y24" s="309">
        <f t="shared" si="42"/>
        <v>0</v>
      </c>
      <c r="Z24" s="5">
        <f t="shared" si="16"/>
        <v>99558</v>
      </c>
      <c r="AA24" s="83">
        <f t="shared" si="17"/>
        <v>0</v>
      </c>
      <c r="AB24" s="5">
        <f t="shared" si="31"/>
        <v>210</v>
      </c>
      <c r="AC24" s="5">
        <f t="shared" si="32"/>
        <v>730</v>
      </c>
      <c r="AD24" s="83">
        <f t="shared" si="33"/>
        <v>0</v>
      </c>
      <c r="AE24" s="5">
        <f t="shared" si="18"/>
        <v>244.4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1">
        <f t="shared" si="23"/>
        <v>0</v>
      </c>
      <c r="AK24" s="312">
        <f t="shared" si="34"/>
        <v>0</v>
      </c>
      <c r="AL24" s="312">
        <f t="shared" si="24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5"/>
        <v>44792</v>
      </c>
      <c r="AS24" s="407">
        <f t="shared" si="49"/>
        <v>0.9</v>
      </c>
      <c r="AT24" s="201">
        <f t="shared" si="49"/>
        <v>100</v>
      </c>
      <c r="AU24" s="408">
        <f t="shared" si="43"/>
        <v>1.1000000000000001</v>
      </c>
      <c r="AV24" s="201">
        <f t="shared" si="35"/>
        <v>97</v>
      </c>
      <c r="AW24" s="5">
        <v>2.9</v>
      </c>
      <c r="AX24" s="201">
        <f t="shared" si="36"/>
        <v>102</v>
      </c>
      <c r="AY24" s="409">
        <f t="shared" si="37"/>
        <v>90</v>
      </c>
      <c r="AZ24" s="409">
        <f t="shared" si="38"/>
        <v>106.7</v>
      </c>
      <c r="BA24" s="409">
        <f t="shared" si="39"/>
        <v>295.8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28"/>
        <v>0</v>
      </c>
      <c r="BF24" s="96">
        <f t="shared" si="29"/>
        <v>0</v>
      </c>
      <c r="BG24" s="82">
        <f t="shared" si="4"/>
        <v>0</v>
      </c>
      <c r="BI24" s="82"/>
    </row>
    <row r="25" spans="1:61" ht="15.75" thickBot="1">
      <c r="A25" s="6">
        <f>ELEC!C23</f>
        <v>44793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629854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30"/>
        <v>5183</v>
      </c>
      <c r="U25" s="5">
        <f t="shared" si="3"/>
        <v>0</v>
      </c>
      <c r="V25" s="5">
        <v>497</v>
      </c>
      <c r="W25" s="309">
        <f t="shared" si="14"/>
        <v>0</v>
      </c>
      <c r="X25" s="5">
        <f t="shared" si="15"/>
        <v>155747</v>
      </c>
      <c r="Y25" s="309">
        <f t="shared" si="42"/>
        <v>0</v>
      </c>
      <c r="Z25" s="5">
        <f t="shared" si="16"/>
        <v>99558</v>
      </c>
      <c r="AA25" s="83">
        <f t="shared" si="17"/>
        <v>0</v>
      </c>
      <c r="AB25" s="5">
        <f t="shared" si="31"/>
        <v>210</v>
      </c>
      <c r="AC25" s="5">
        <f t="shared" si="32"/>
        <v>730</v>
      </c>
      <c r="AD25" s="83">
        <f t="shared" si="33"/>
        <v>0</v>
      </c>
      <c r="AE25" s="5">
        <f t="shared" si="18"/>
        <v>244.4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1">
        <f t="shared" si="23"/>
        <v>0</v>
      </c>
      <c r="AK25" s="312">
        <f t="shared" si="34"/>
        <v>0</v>
      </c>
      <c r="AL25" s="312">
        <f t="shared" si="24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44793</v>
      </c>
      <c r="AS25" s="407">
        <f t="shared" si="49"/>
        <v>0.9</v>
      </c>
      <c r="AT25" s="201">
        <f t="shared" si="49"/>
        <v>100</v>
      </c>
      <c r="AU25" s="408">
        <f t="shared" si="43"/>
        <v>1.1000000000000001</v>
      </c>
      <c r="AV25" s="201">
        <f t="shared" si="35"/>
        <v>97</v>
      </c>
      <c r="AW25" s="5">
        <v>2.9</v>
      </c>
      <c r="AX25" s="201">
        <f t="shared" si="36"/>
        <v>102</v>
      </c>
      <c r="AY25" s="409">
        <f t="shared" si="37"/>
        <v>90</v>
      </c>
      <c r="AZ25" s="409">
        <f t="shared" si="38"/>
        <v>106.7</v>
      </c>
      <c r="BA25" s="409">
        <f t="shared" si="39"/>
        <v>295.8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28"/>
        <v>0</v>
      </c>
      <c r="BF25" s="96">
        <f t="shared" si="29"/>
        <v>0</v>
      </c>
      <c r="BG25" s="82">
        <f t="shared" si="4"/>
        <v>0</v>
      </c>
    </row>
    <row r="26" spans="1:61" ht="15.75" thickBot="1">
      <c r="A26" s="6">
        <f>ELEC!C24</f>
        <v>44794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629854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30"/>
        <v>5183</v>
      </c>
      <c r="U26" s="5">
        <f t="shared" si="3"/>
        <v>0</v>
      </c>
      <c r="V26" s="5">
        <v>497</v>
      </c>
      <c r="W26" s="309">
        <f t="shared" si="14"/>
        <v>0</v>
      </c>
      <c r="X26" s="5">
        <f t="shared" si="15"/>
        <v>155747</v>
      </c>
      <c r="Y26" s="309">
        <f t="shared" si="42"/>
        <v>0</v>
      </c>
      <c r="Z26" s="5">
        <f t="shared" si="16"/>
        <v>99558</v>
      </c>
      <c r="AA26" s="83">
        <f t="shared" si="17"/>
        <v>0</v>
      </c>
      <c r="AB26" s="5">
        <f t="shared" si="31"/>
        <v>210</v>
      </c>
      <c r="AC26" s="5">
        <f t="shared" si="32"/>
        <v>730</v>
      </c>
      <c r="AD26" s="83">
        <f t="shared" si="33"/>
        <v>0</v>
      </c>
      <c r="AE26" s="5">
        <f t="shared" si="18"/>
        <v>244.4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1">
        <f t="shared" si="23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44794</v>
      </c>
      <c r="AS26" s="407">
        <f t="shared" si="49"/>
        <v>0.9</v>
      </c>
      <c r="AT26" s="201">
        <f t="shared" si="49"/>
        <v>100</v>
      </c>
      <c r="AU26" s="408">
        <f t="shared" si="43"/>
        <v>1.1000000000000001</v>
      </c>
      <c r="AV26" s="201">
        <f t="shared" si="35"/>
        <v>97</v>
      </c>
      <c r="AW26" s="5">
        <v>2.9</v>
      </c>
      <c r="AX26" s="201">
        <f t="shared" si="36"/>
        <v>102</v>
      </c>
      <c r="AY26" s="409">
        <f t="shared" si="37"/>
        <v>90</v>
      </c>
      <c r="AZ26" s="409">
        <f t="shared" si="38"/>
        <v>106.7</v>
      </c>
      <c r="BA26" s="409">
        <f t="shared" si="39"/>
        <v>295.8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28"/>
        <v>0</v>
      </c>
      <c r="BF26" s="96">
        <f t="shared" si="29"/>
        <v>0</v>
      </c>
      <c r="BG26" s="82">
        <f t="shared" si="4"/>
        <v>0</v>
      </c>
    </row>
    <row r="27" spans="1:61" ht="15.75" thickBot="1">
      <c r="A27" s="6">
        <f>ELEC!C25</f>
        <v>44795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629854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30"/>
        <v>5183</v>
      </c>
      <c r="U27" s="5">
        <f t="shared" si="3"/>
        <v>0</v>
      </c>
      <c r="V27" s="5">
        <v>497</v>
      </c>
      <c r="W27" s="309">
        <f t="shared" si="14"/>
        <v>0</v>
      </c>
      <c r="X27" s="5">
        <f t="shared" si="15"/>
        <v>155747</v>
      </c>
      <c r="Y27" s="309">
        <f t="shared" si="42"/>
        <v>0</v>
      </c>
      <c r="Z27" s="5">
        <f t="shared" si="16"/>
        <v>99558</v>
      </c>
      <c r="AA27" s="83">
        <f t="shared" si="17"/>
        <v>0</v>
      </c>
      <c r="AB27" s="5">
        <f t="shared" si="31"/>
        <v>210</v>
      </c>
      <c r="AC27" s="5">
        <f t="shared" si="32"/>
        <v>730</v>
      </c>
      <c r="AD27" s="83">
        <f t="shared" si="33"/>
        <v>0</v>
      </c>
      <c r="AE27" s="5">
        <f t="shared" si="18"/>
        <v>244.4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1">
        <f t="shared" si="23"/>
        <v>0</v>
      </c>
      <c r="AK27" s="312">
        <f t="shared" si="34"/>
        <v>0</v>
      </c>
      <c r="AL27" s="312">
        <f t="shared" si="24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44795</v>
      </c>
      <c r="AS27" s="407">
        <f t="shared" si="49"/>
        <v>0.9</v>
      </c>
      <c r="AT27" s="201">
        <f t="shared" si="49"/>
        <v>100</v>
      </c>
      <c r="AU27" s="408">
        <f t="shared" si="43"/>
        <v>1.1000000000000001</v>
      </c>
      <c r="AV27" s="201">
        <f t="shared" si="35"/>
        <v>97</v>
      </c>
      <c r="AW27" s="5">
        <v>2.9</v>
      </c>
      <c r="AX27" s="201">
        <f t="shared" si="36"/>
        <v>102</v>
      </c>
      <c r="AY27" s="409">
        <f t="shared" si="37"/>
        <v>90</v>
      </c>
      <c r="AZ27" s="409">
        <f t="shared" si="38"/>
        <v>106.7</v>
      </c>
      <c r="BA27" s="409">
        <f t="shared" si="39"/>
        <v>295.8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.75" thickBot="1">
      <c r="A28" s="6">
        <f>ELEC!C26</f>
        <v>44796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629854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30"/>
        <v>5183</v>
      </c>
      <c r="U28" s="5">
        <f t="shared" si="3"/>
        <v>0</v>
      </c>
      <c r="V28" s="5">
        <v>497</v>
      </c>
      <c r="W28" s="309">
        <f t="shared" si="14"/>
        <v>0</v>
      </c>
      <c r="X28" s="5">
        <f t="shared" si="15"/>
        <v>155747</v>
      </c>
      <c r="Y28" s="309">
        <f t="shared" si="42"/>
        <v>0</v>
      </c>
      <c r="Z28" s="5">
        <f t="shared" si="16"/>
        <v>99558</v>
      </c>
      <c r="AA28" s="83">
        <f t="shared" si="17"/>
        <v>0</v>
      </c>
      <c r="AB28" s="5">
        <f t="shared" si="31"/>
        <v>210</v>
      </c>
      <c r="AC28" s="5">
        <f t="shared" si="32"/>
        <v>730</v>
      </c>
      <c r="AD28" s="83">
        <f t="shared" si="33"/>
        <v>0</v>
      </c>
      <c r="AE28" s="5">
        <f t="shared" si="18"/>
        <v>244.4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1">
        <f t="shared" si="23"/>
        <v>0</v>
      </c>
      <c r="AK28" s="312">
        <f t="shared" si="34"/>
        <v>0</v>
      </c>
      <c r="AL28" s="312">
        <f t="shared" si="24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44796</v>
      </c>
      <c r="AS28" s="407">
        <f t="shared" si="49"/>
        <v>0.9</v>
      </c>
      <c r="AT28" s="201">
        <f t="shared" si="49"/>
        <v>100</v>
      </c>
      <c r="AU28" s="408">
        <f t="shared" si="43"/>
        <v>1.1000000000000001</v>
      </c>
      <c r="AV28" s="201">
        <f t="shared" si="35"/>
        <v>97</v>
      </c>
      <c r="AW28" s="5">
        <v>2.9</v>
      </c>
      <c r="AX28" s="201">
        <f t="shared" si="36"/>
        <v>102</v>
      </c>
      <c r="AY28" s="409">
        <f t="shared" si="37"/>
        <v>90</v>
      </c>
      <c r="AZ28" s="409">
        <f t="shared" si="38"/>
        <v>106.7</v>
      </c>
      <c r="BA28" s="409">
        <f t="shared" si="39"/>
        <v>295.8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28"/>
        <v>0</v>
      </c>
      <c r="BF28" s="96">
        <f t="shared" si="29"/>
        <v>0</v>
      </c>
      <c r="BG28" s="82">
        <f t="shared" si="4"/>
        <v>0</v>
      </c>
    </row>
    <row r="29" spans="1:61" ht="15.75" thickBot="1">
      <c r="A29" s="6">
        <f>ELEC!C27</f>
        <v>44797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629854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30"/>
        <v>5183</v>
      </c>
      <c r="U29" s="5">
        <f t="shared" si="3"/>
        <v>0</v>
      </c>
      <c r="V29" s="5">
        <v>497</v>
      </c>
      <c r="W29" s="309">
        <f t="shared" si="14"/>
        <v>0</v>
      </c>
      <c r="X29" s="5">
        <f t="shared" si="15"/>
        <v>155747</v>
      </c>
      <c r="Y29" s="309">
        <f t="shared" si="42"/>
        <v>0</v>
      </c>
      <c r="Z29" s="5">
        <f t="shared" si="16"/>
        <v>99558</v>
      </c>
      <c r="AA29" s="83">
        <f t="shared" si="17"/>
        <v>0</v>
      </c>
      <c r="AB29" s="5">
        <f t="shared" si="31"/>
        <v>210</v>
      </c>
      <c r="AC29" s="5">
        <f t="shared" si="32"/>
        <v>730</v>
      </c>
      <c r="AD29" s="83">
        <f t="shared" si="33"/>
        <v>0</v>
      </c>
      <c r="AE29" s="5">
        <f t="shared" si="18"/>
        <v>244.4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1">
        <f t="shared" si="23"/>
        <v>0</v>
      </c>
      <c r="AK29" s="312">
        <f t="shared" si="34"/>
        <v>0</v>
      </c>
      <c r="AL29" s="312">
        <f t="shared" si="24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44797</v>
      </c>
      <c r="AS29" s="407">
        <f t="shared" si="49"/>
        <v>0.9</v>
      </c>
      <c r="AT29" s="201">
        <f t="shared" si="49"/>
        <v>100</v>
      </c>
      <c r="AU29" s="408">
        <f t="shared" si="43"/>
        <v>1.1000000000000001</v>
      </c>
      <c r="AV29" s="201">
        <f t="shared" si="35"/>
        <v>97</v>
      </c>
      <c r="AW29" s="5">
        <v>2.9</v>
      </c>
      <c r="AX29" s="201">
        <f t="shared" si="36"/>
        <v>102</v>
      </c>
      <c r="AY29" s="409">
        <f t="shared" si="37"/>
        <v>90</v>
      </c>
      <c r="AZ29" s="409">
        <f t="shared" si="38"/>
        <v>106.7</v>
      </c>
      <c r="BA29" s="409">
        <f t="shared" si="39"/>
        <v>295.8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28"/>
        <v>0</v>
      </c>
      <c r="BF29" s="96">
        <f t="shared" si="29"/>
        <v>0</v>
      </c>
      <c r="BG29" s="82">
        <f t="shared" si="4"/>
        <v>0</v>
      </c>
    </row>
    <row r="30" spans="1:61" ht="15.75" thickBot="1">
      <c r="A30" s="6">
        <f>ELEC!C28</f>
        <v>44798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629854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30"/>
        <v>5183</v>
      </c>
      <c r="U30" s="5">
        <f t="shared" si="3"/>
        <v>0</v>
      </c>
      <c r="V30" s="5">
        <v>497</v>
      </c>
      <c r="W30" s="309">
        <f t="shared" si="14"/>
        <v>0</v>
      </c>
      <c r="X30" s="5">
        <f t="shared" si="15"/>
        <v>155747</v>
      </c>
      <c r="Y30" s="309">
        <f t="shared" si="42"/>
        <v>0</v>
      </c>
      <c r="Z30" s="5">
        <f t="shared" si="16"/>
        <v>99558</v>
      </c>
      <c r="AA30" s="83">
        <f t="shared" si="17"/>
        <v>0</v>
      </c>
      <c r="AB30" s="5">
        <f t="shared" si="31"/>
        <v>210</v>
      </c>
      <c r="AC30" s="5">
        <f t="shared" si="32"/>
        <v>730</v>
      </c>
      <c r="AD30" s="83">
        <f t="shared" si="33"/>
        <v>0</v>
      </c>
      <c r="AE30" s="5">
        <f t="shared" si="18"/>
        <v>244.4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1">
        <f t="shared" si="23"/>
        <v>0</v>
      </c>
      <c r="AK30" s="312">
        <f t="shared" si="34"/>
        <v>0</v>
      </c>
      <c r="AL30" s="312">
        <f t="shared" si="24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44798</v>
      </c>
      <c r="AS30" s="407">
        <f t="shared" si="49"/>
        <v>0.9</v>
      </c>
      <c r="AT30" s="201">
        <f t="shared" si="49"/>
        <v>100</v>
      </c>
      <c r="AU30" s="408">
        <f t="shared" si="43"/>
        <v>1.1000000000000001</v>
      </c>
      <c r="AV30" s="201">
        <f t="shared" si="35"/>
        <v>97</v>
      </c>
      <c r="AW30" s="5">
        <v>2.9</v>
      </c>
      <c r="AX30" s="201">
        <f t="shared" si="36"/>
        <v>102</v>
      </c>
      <c r="AY30" s="409">
        <f t="shared" si="37"/>
        <v>90</v>
      </c>
      <c r="AZ30" s="409">
        <f t="shared" si="38"/>
        <v>106.7</v>
      </c>
      <c r="BA30" s="409">
        <f t="shared" si="39"/>
        <v>295.8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28"/>
        <v>0</v>
      </c>
      <c r="BF30" s="96">
        <f t="shared" si="29"/>
        <v>0</v>
      </c>
      <c r="BG30" s="82">
        <f t="shared" si="4"/>
        <v>0</v>
      </c>
    </row>
    <row r="31" spans="1:61" ht="15.75" thickBot="1">
      <c r="A31" s="6">
        <f>ELEC!C29</f>
        <v>44799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629854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30"/>
        <v>5183</v>
      </c>
      <c r="U31" s="5">
        <f t="shared" si="3"/>
        <v>0</v>
      </c>
      <c r="V31" s="5">
        <v>497</v>
      </c>
      <c r="W31" s="309">
        <f t="shared" si="14"/>
        <v>0</v>
      </c>
      <c r="X31" s="5">
        <f t="shared" si="15"/>
        <v>155747</v>
      </c>
      <c r="Y31" s="309">
        <f t="shared" si="42"/>
        <v>0</v>
      </c>
      <c r="Z31" s="5">
        <f t="shared" si="16"/>
        <v>99558</v>
      </c>
      <c r="AA31" s="83">
        <f t="shared" si="17"/>
        <v>0</v>
      </c>
      <c r="AB31" s="5">
        <f t="shared" si="31"/>
        <v>210</v>
      </c>
      <c r="AC31" s="5">
        <f t="shared" si="32"/>
        <v>730</v>
      </c>
      <c r="AD31" s="83">
        <f t="shared" si="33"/>
        <v>0</v>
      </c>
      <c r="AE31" s="5">
        <f t="shared" si="18"/>
        <v>244.4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1">
        <f t="shared" si="23"/>
        <v>0</v>
      </c>
      <c r="AK31" s="312">
        <f t="shared" si="34"/>
        <v>0</v>
      </c>
      <c r="AL31" s="312">
        <f t="shared" si="24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44799</v>
      </c>
      <c r="AS31" s="407">
        <f t="shared" si="49"/>
        <v>0.9</v>
      </c>
      <c r="AT31" s="201">
        <f t="shared" si="49"/>
        <v>100</v>
      </c>
      <c r="AU31" s="408">
        <f t="shared" si="43"/>
        <v>1.1000000000000001</v>
      </c>
      <c r="AV31" s="201">
        <f t="shared" si="35"/>
        <v>97</v>
      </c>
      <c r="AW31" s="5">
        <v>2.9</v>
      </c>
      <c r="AX31" s="201">
        <f t="shared" si="36"/>
        <v>102</v>
      </c>
      <c r="AY31" s="409">
        <f t="shared" si="37"/>
        <v>90</v>
      </c>
      <c r="AZ31" s="409">
        <f>AU31*AV31</f>
        <v>106.7</v>
      </c>
      <c r="BA31" s="409">
        <f t="shared" si="39"/>
        <v>295.8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.75" thickBot="1">
      <c r="A32" s="6">
        <f>ELEC!C30</f>
        <v>44800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629854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30"/>
        <v>5183</v>
      </c>
      <c r="U32" s="5">
        <f t="shared" si="3"/>
        <v>0</v>
      </c>
      <c r="V32" s="5">
        <v>497</v>
      </c>
      <c r="W32" s="309">
        <f t="shared" si="14"/>
        <v>0</v>
      </c>
      <c r="X32" s="5">
        <v>155747</v>
      </c>
      <c r="Y32" s="309">
        <f t="shared" si="42"/>
        <v>0</v>
      </c>
      <c r="Z32" s="5">
        <f t="shared" si="16"/>
        <v>99558</v>
      </c>
      <c r="AA32" s="83">
        <f t="shared" si="17"/>
        <v>0</v>
      </c>
      <c r="AB32" s="5">
        <f t="shared" si="31"/>
        <v>210</v>
      </c>
      <c r="AC32" s="5">
        <f t="shared" si="32"/>
        <v>730</v>
      </c>
      <c r="AD32" s="83">
        <f t="shared" si="33"/>
        <v>0</v>
      </c>
      <c r="AE32" s="5">
        <f t="shared" si="18"/>
        <v>244.4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1">
        <f t="shared" si="23"/>
        <v>0</v>
      </c>
      <c r="AK32" s="312">
        <f t="shared" si="34"/>
        <v>0</v>
      </c>
      <c r="AL32" s="312">
        <f t="shared" si="24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44800</v>
      </c>
      <c r="AS32" s="407">
        <f t="shared" si="49"/>
        <v>0.9</v>
      </c>
      <c r="AT32" s="201">
        <f t="shared" si="49"/>
        <v>100</v>
      </c>
      <c r="AU32" s="408">
        <f t="shared" si="43"/>
        <v>1.1000000000000001</v>
      </c>
      <c r="AV32" s="201">
        <f t="shared" si="35"/>
        <v>97</v>
      </c>
      <c r="AW32" s="5">
        <v>2.9</v>
      </c>
      <c r="AX32" s="201">
        <f t="shared" si="36"/>
        <v>102</v>
      </c>
      <c r="AY32" s="409">
        <f t="shared" si="37"/>
        <v>90</v>
      </c>
      <c r="AZ32" s="409">
        <f t="shared" si="38"/>
        <v>106.7</v>
      </c>
      <c r="BA32" s="409">
        <f t="shared" si="39"/>
        <v>295.8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.75" thickBot="1">
      <c r="A33" s="6">
        <f>ELEC!C31</f>
        <v>44801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629854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30"/>
        <v>5183</v>
      </c>
      <c r="U33" s="5">
        <f t="shared" si="3"/>
        <v>0</v>
      </c>
      <c r="V33" s="5">
        <v>497</v>
      </c>
      <c r="W33" s="309">
        <f t="shared" si="14"/>
        <v>0</v>
      </c>
      <c r="X33" s="5">
        <f t="shared" si="15"/>
        <v>155747</v>
      </c>
      <c r="Y33" s="309">
        <f t="shared" si="42"/>
        <v>0</v>
      </c>
      <c r="Z33" s="5">
        <f t="shared" si="16"/>
        <v>99558</v>
      </c>
      <c r="AA33" s="83">
        <f t="shared" si="17"/>
        <v>0</v>
      </c>
      <c r="AB33" s="5">
        <f t="shared" si="31"/>
        <v>210</v>
      </c>
      <c r="AC33" s="5">
        <f t="shared" si="32"/>
        <v>730</v>
      </c>
      <c r="AD33" s="83">
        <f t="shared" si="33"/>
        <v>0</v>
      </c>
      <c r="AE33" s="5">
        <f t="shared" si="18"/>
        <v>244.4</v>
      </c>
      <c r="AF33" s="83">
        <f>AE33-AE32</f>
        <v>0</v>
      </c>
      <c r="AG33" s="5">
        <f t="shared" si="20"/>
        <v>2247.41</v>
      </c>
      <c r="AH33" s="83">
        <f t="shared" si="21"/>
        <v>0</v>
      </c>
      <c r="AI33" s="83">
        <f t="shared" si="22"/>
        <v>0</v>
      </c>
      <c r="AJ33" s="311">
        <f t="shared" si="23"/>
        <v>0</v>
      </c>
      <c r="AK33" s="312">
        <f t="shared" si="34"/>
        <v>0</v>
      </c>
      <c r="AL33" s="312">
        <f t="shared" si="24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44801</v>
      </c>
      <c r="AS33" s="407">
        <f t="shared" si="49"/>
        <v>0.9</v>
      </c>
      <c r="AT33" s="201">
        <f t="shared" si="49"/>
        <v>100</v>
      </c>
      <c r="AU33" s="408">
        <f t="shared" si="43"/>
        <v>1.1000000000000001</v>
      </c>
      <c r="AV33" s="201">
        <f t="shared" si="35"/>
        <v>97</v>
      </c>
      <c r="AW33" s="5">
        <v>2.9</v>
      </c>
      <c r="AX33" s="201">
        <f t="shared" si="36"/>
        <v>102</v>
      </c>
      <c r="AY33" s="409">
        <f t="shared" si="37"/>
        <v>90</v>
      </c>
      <c r="AZ33" s="409">
        <f t="shared" si="38"/>
        <v>106.7</v>
      </c>
      <c r="BA33" s="409">
        <f t="shared" si="39"/>
        <v>295.8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.75" thickBot="1">
      <c r="A34" s="6">
        <f>ELEC!C32</f>
        <v>44802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629854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 t="shared" si="11"/>
        <v>7089</v>
      </c>
      <c r="L34" s="263">
        <f t="shared" ref="L34:L36" si="55">K34-K33</f>
        <v>0</v>
      </c>
      <c r="M34" s="393">
        <f t="shared" si="12"/>
        <v>457.44</v>
      </c>
      <c r="N34" s="482">
        <f t="shared" ref="N34:N36" si="56">SUM(M34-M33)</f>
        <v>0</v>
      </c>
      <c r="O34" s="393">
        <f t="shared" si="13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30"/>
        <v>5183</v>
      </c>
      <c r="U34" s="5">
        <f t="shared" ref="U34:U36" si="59">SUM(T34-T33)</f>
        <v>0</v>
      </c>
      <c r="V34" s="5">
        <v>497</v>
      </c>
      <c r="W34" s="309">
        <f t="shared" ref="W34:W36" si="60">+V34-V33</f>
        <v>0</v>
      </c>
      <c r="X34" s="5">
        <f t="shared" si="15"/>
        <v>155747</v>
      </c>
      <c r="Y34" s="309">
        <f t="shared" ref="Y34:Y36" si="61">SUM(X34-X33)</f>
        <v>0</v>
      </c>
      <c r="Z34" s="5">
        <f t="shared" si="16"/>
        <v>99558</v>
      </c>
      <c r="AA34" s="83">
        <f t="shared" ref="AA34:AA36" si="62">Z34-Z33</f>
        <v>0</v>
      </c>
      <c r="AB34" s="5">
        <f t="shared" si="31"/>
        <v>210</v>
      </c>
      <c r="AC34" s="5">
        <f t="shared" si="32"/>
        <v>730</v>
      </c>
      <c r="AD34" s="83">
        <f t="shared" ref="AD34:AD36" si="63">AC34-AC33</f>
        <v>0</v>
      </c>
      <c r="AE34" s="5">
        <f t="shared" si="18"/>
        <v>244.4</v>
      </c>
      <c r="AF34" s="83">
        <f t="shared" ref="AF34:AF36" si="64">AE34-AE33</f>
        <v>0</v>
      </c>
      <c r="AG34" s="5">
        <f t="shared" si="20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44802</v>
      </c>
      <c r="AS34" s="407">
        <f t="shared" ref="AS34:AT34" si="70">AS33</f>
        <v>0.9</v>
      </c>
      <c r="AT34" s="201">
        <f t="shared" si="70"/>
        <v>100</v>
      </c>
      <c r="AU34" s="408">
        <f t="shared" si="43"/>
        <v>1.1000000000000001</v>
      </c>
      <c r="AV34" s="201">
        <f t="shared" si="35"/>
        <v>97</v>
      </c>
      <c r="AW34" s="5">
        <v>2.9</v>
      </c>
      <c r="AX34" s="201">
        <f t="shared" si="36"/>
        <v>102</v>
      </c>
      <c r="AY34" s="409">
        <f t="shared" ref="AY34:AY36" si="71">AS34*AT34</f>
        <v>90</v>
      </c>
      <c r="AZ34" s="409">
        <f t="shared" ref="AZ34:AZ36" si="72">AU34*AV34</f>
        <v>106.7</v>
      </c>
      <c r="BA34" s="409">
        <f t="shared" ref="BA34:BA36" si="73">AW34*AX34</f>
        <v>295.8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44803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629854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 t="shared" si="11"/>
        <v>7089</v>
      </c>
      <c r="L35" s="263">
        <f t="shared" si="55"/>
        <v>0</v>
      </c>
      <c r="M35" s="393">
        <f t="shared" si="12"/>
        <v>457.44</v>
      </c>
      <c r="N35" s="482">
        <f t="shared" si="56"/>
        <v>0</v>
      </c>
      <c r="O35" s="393">
        <f t="shared" si="13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30"/>
        <v>5183</v>
      </c>
      <c r="U35" s="5">
        <f t="shared" si="59"/>
        <v>0</v>
      </c>
      <c r="V35" s="5">
        <v>497</v>
      </c>
      <c r="W35" s="309">
        <f t="shared" si="60"/>
        <v>0</v>
      </c>
      <c r="X35" s="5">
        <f t="shared" si="15"/>
        <v>155747</v>
      </c>
      <c r="Y35" s="309">
        <f t="shared" si="61"/>
        <v>0</v>
      </c>
      <c r="Z35" s="5">
        <f t="shared" si="16"/>
        <v>99558</v>
      </c>
      <c r="AA35" s="83">
        <f t="shared" si="62"/>
        <v>0</v>
      </c>
      <c r="AB35" s="5">
        <f t="shared" si="31"/>
        <v>210</v>
      </c>
      <c r="AC35" s="5">
        <f t="shared" si="32"/>
        <v>730</v>
      </c>
      <c r="AD35" s="83">
        <f t="shared" si="63"/>
        <v>0</v>
      </c>
      <c r="AE35" s="5">
        <f t="shared" si="18"/>
        <v>244.4</v>
      </c>
      <c r="AF35" s="83">
        <f t="shared" si="64"/>
        <v>0</v>
      </c>
      <c r="AG35" s="5">
        <f t="shared" si="20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44803</v>
      </c>
      <c r="AS35" s="407">
        <f t="shared" ref="AS35:AT35" si="81">AS34</f>
        <v>0.9</v>
      </c>
      <c r="AT35" s="201">
        <f t="shared" si="81"/>
        <v>100</v>
      </c>
      <c r="AU35" s="408">
        <f t="shared" si="43"/>
        <v>1.1000000000000001</v>
      </c>
      <c r="AV35" s="201">
        <f t="shared" si="35"/>
        <v>97</v>
      </c>
      <c r="AW35" s="5">
        <v>2.9</v>
      </c>
      <c r="AX35" s="201">
        <f t="shared" si="36"/>
        <v>102</v>
      </c>
      <c r="AY35" s="409">
        <f t="shared" si="71"/>
        <v>90</v>
      </c>
      <c r="AZ35" s="409">
        <f t="shared" si="72"/>
        <v>106.7</v>
      </c>
      <c r="BA35" s="409">
        <f t="shared" si="73"/>
        <v>295.8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44804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629854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 t="shared" si="11"/>
        <v>7089</v>
      </c>
      <c r="L36" s="263">
        <f t="shared" si="55"/>
        <v>0</v>
      </c>
      <c r="M36" s="393">
        <f t="shared" si="12"/>
        <v>457.44</v>
      </c>
      <c r="N36" s="482">
        <f t="shared" si="56"/>
        <v>0</v>
      </c>
      <c r="O36" s="393">
        <f t="shared" si="13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30"/>
        <v>5183</v>
      </c>
      <c r="U36" s="5">
        <f t="shared" si="59"/>
        <v>0</v>
      </c>
      <c r="V36" s="5">
        <v>497</v>
      </c>
      <c r="W36" s="309">
        <f t="shared" si="60"/>
        <v>0</v>
      </c>
      <c r="X36" s="5">
        <f t="shared" si="15"/>
        <v>155747</v>
      </c>
      <c r="Y36" s="309">
        <f t="shared" si="61"/>
        <v>0</v>
      </c>
      <c r="Z36" s="5">
        <f t="shared" si="16"/>
        <v>99558</v>
      </c>
      <c r="AA36" s="83">
        <f t="shared" si="62"/>
        <v>0</v>
      </c>
      <c r="AB36" s="5">
        <f t="shared" si="31"/>
        <v>210</v>
      </c>
      <c r="AC36" s="5">
        <f t="shared" si="32"/>
        <v>730</v>
      </c>
      <c r="AD36" s="83">
        <f t="shared" si="63"/>
        <v>0</v>
      </c>
      <c r="AE36" s="5">
        <f t="shared" si="18"/>
        <v>244.4</v>
      </c>
      <c r="AF36" s="83">
        <f t="shared" si="64"/>
        <v>0</v>
      </c>
      <c r="AG36" s="5">
        <f t="shared" si="20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44804</v>
      </c>
      <c r="AS36" s="407">
        <f t="shared" ref="AS36:AT36" si="82">AS35</f>
        <v>0.9</v>
      </c>
      <c r="AT36" s="201">
        <f t="shared" si="82"/>
        <v>100</v>
      </c>
      <c r="AU36" s="408">
        <f t="shared" si="43"/>
        <v>1.1000000000000001</v>
      </c>
      <c r="AV36" s="201">
        <f t="shared" si="35"/>
        <v>97</v>
      </c>
      <c r="AW36" s="5">
        <v>2.9</v>
      </c>
      <c r="AX36" s="201">
        <f t="shared" si="36"/>
        <v>102</v>
      </c>
      <c r="AY36" s="409">
        <f t="shared" si="71"/>
        <v>90</v>
      </c>
      <c r="AZ36" s="409">
        <f t="shared" si="72"/>
        <v>106.7</v>
      </c>
      <c r="BA36" s="409">
        <f t="shared" si="73"/>
        <v>295.8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49</v>
      </c>
      <c r="I37" s="395">
        <f>SUM(I6:I36)</f>
        <v>49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-6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49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49</v>
      </c>
      <c r="H39" s="1">
        <f>SUM(H38+C38)</f>
        <v>7500</v>
      </c>
      <c r="K39" s="1">
        <f>SUM(H39/G39)</f>
        <v>153.0612244897959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70" zoomScaleNormal="70" workbookViewId="0">
      <pane ySplit="1" topLeftCell="A2" activePane="bottomLeft" state="frozen"/>
      <selection pane="bottomLeft" activeCell="C17" sqref="C17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44773</v>
      </c>
      <c r="B2" s="260">
        <f>[2]GEN!B33</f>
        <v>626</v>
      </c>
      <c r="C2" s="260">
        <f>[2]GEN!C33</f>
        <v>18</v>
      </c>
      <c r="D2" s="260">
        <f>[2]GEN!D33</f>
        <v>724531</v>
      </c>
      <c r="E2" s="260">
        <f>[2]GEN!E33</f>
        <v>1530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117</v>
      </c>
      <c r="K2" s="260">
        <f>[2]GEN!K33</f>
        <v>1</v>
      </c>
      <c r="L2" s="260">
        <f>[2]GEN!L33</f>
        <v>386191</v>
      </c>
      <c r="M2" s="260">
        <f>[2]GEN!M33</f>
        <v>250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14413</v>
      </c>
      <c r="Y2" s="260" t="str">
        <f>[2]GEN!Y33</f>
        <v>ok</v>
      </c>
      <c r="Z2" s="260">
        <f>[2]GEN!Z33</f>
        <v>19</v>
      </c>
      <c r="AA2" s="260">
        <f>[2]GEN!AA33</f>
        <v>1780</v>
      </c>
      <c r="AB2" s="260">
        <f>[2]GEN!AB33</f>
        <v>585</v>
      </c>
      <c r="AC2" s="260">
        <f>[2]GEN!AC33</f>
        <v>93.684210526315795</v>
      </c>
      <c r="AD2" s="260">
        <f>[2]GEN!AD33</f>
        <v>4695.9999999999127</v>
      </c>
      <c r="AE2" s="260">
        <f>[2]GEN!AE33</f>
        <v>247.15789473683751</v>
      </c>
      <c r="AF2" s="260">
        <f>[2]GEN!AF33</f>
        <v>0.15447368421052343</v>
      </c>
      <c r="AG2" s="260">
        <f>[2]GEN!AG33</f>
        <v>9.654605263157715E-5</v>
      </c>
      <c r="AH2" s="260">
        <f>[2]GEN!AH33</f>
        <v>93.684113980263163</v>
      </c>
      <c r="AI2" s="260">
        <f>[2]GEN!AI33</f>
        <v>1208.6751054852098</v>
      </c>
      <c r="AJ2" s="260">
        <f>[2]GEN!AJ33</f>
        <v>0.25738396624472576</v>
      </c>
      <c r="AK2" s="260">
        <f>[2]GEN!AK33</f>
        <v>63.614479236063673</v>
      </c>
      <c r="AL2" s="260">
        <f>[2]GEN!AL33</f>
        <v>1</v>
      </c>
    </row>
    <row r="3" spans="1:38" ht="15.75" thickBot="1">
      <c r="A3" s="4">
        <f>ELEC!C4</f>
        <v>44774</v>
      </c>
      <c r="B3" s="500">
        <v>638</v>
      </c>
      <c r="C3" s="276">
        <f>B3-B2</f>
        <v>12</v>
      </c>
      <c r="D3" s="501">
        <f>D2+C3*250</f>
        <v>727531</v>
      </c>
      <c r="E3" s="276">
        <f>SUM(D3-D2)</f>
        <v>3000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117</v>
      </c>
      <c r="K3" s="276">
        <f t="shared" ref="K3:K33" si="2">J3-J2</f>
        <v>0</v>
      </c>
      <c r="L3" s="501">
        <f>L2</f>
        <v>386191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14413</v>
      </c>
      <c r="Y3" s="276" t="str">
        <f>IF(R3-X3&lt;=0,"ok","oil change")</f>
        <v>ok</v>
      </c>
      <c r="Z3" s="276">
        <f t="shared" ref="Z3:Z30" si="8">C3+K3+S3</f>
        <v>12</v>
      </c>
      <c r="AA3" s="276">
        <f>U3+M3+E3</f>
        <v>3000</v>
      </c>
      <c r="AB3" s="276">
        <f>V3+N3+F3</f>
        <v>750</v>
      </c>
      <c r="AC3" s="276">
        <f>IF(Z3&gt;0,AA3/Z3,0)</f>
        <v>250</v>
      </c>
      <c r="AD3" s="73">
        <f>ELEC!Q4</f>
        <v>2835.9999999993306</v>
      </c>
      <c r="AE3" s="73">
        <f>SUM(AD3/Z3)</f>
        <v>236.33333333327755</v>
      </c>
      <c r="AF3" s="387">
        <f>SUM(AE3/1600)</f>
        <v>0.14770833333329847</v>
      </c>
      <c r="AG3" s="388">
        <f>SUM(360*AF3)</f>
        <v>53.174999999987449</v>
      </c>
      <c r="AH3" s="388">
        <f>SUM(AC3-AG3)</f>
        <v>196.82500000001255</v>
      </c>
      <c r="AI3" s="73">
        <f>AD3*AJ3</f>
        <v>729.94092826986991</v>
      </c>
      <c r="AJ3" s="278">
        <f t="shared" ref="AJ3:AJ33" si="9">305/1185</f>
        <v>0.25738396624472576</v>
      </c>
      <c r="AK3" s="278">
        <f t="shared" ref="AK3:AK30" si="10">AI3/Z3</f>
        <v>60.828410689155824</v>
      </c>
      <c r="AL3">
        <f>IF(Z3=0,0,1)</f>
        <v>1</v>
      </c>
    </row>
    <row r="4" spans="1:38" ht="15.75" thickBot="1">
      <c r="A4" s="4">
        <f>ELEC!C5</f>
        <v>44775</v>
      </c>
      <c r="B4" s="500">
        <v>652</v>
      </c>
      <c r="C4" s="276">
        <f t="shared" ref="C4:C30" si="11">B4-B3</f>
        <v>14</v>
      </c>
      <c r="D4" s="501">
        <f>D3+C4*85</f>
        <v>728721</v>
      </c>
      <c r="E4" s="276">
        <f t="shared" ref="E4:E25" si="12">SUM(D4-D3)</f>
        <v>1190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0">
        <f t="shared" ref="J4:J33" si="14">J3</f>
        <v>117</v>
      </c>
      <c r="K4" s="276">
        <f t="shared" si="2"/>
        <v>0</v>
      </c>
      <c r="L4" s="501">
        <f t="shared" ref="L4:L5" si="15">L3</f>
        <v>386191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0">
        <f t="shared" ref="R4:R33" si="17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8">X3</f>
        <v>14413</v>
      </c>
      <c r="Y4" s="276" t="str">
        <f t="shared" ref="Y4:Y33" si="19">IF(R4-X4&lt;=0,"ok","oil change")</f>
        <v>ok</v>
      </c>
      <c r="Z4" s="276">
        <f t="shared" si="8"/>
        <v>14</v>
      </c>
      <c r="AA4" s="276">
        <f t="shared" ref="AA4:AA30" si="20">U4+M4+E4</f>
        <v>1190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4459.9999999991269</v>
      </c>
      <c r="AE4" s="73">
        <f>SUM(AD4/Z4)</f>
        <v>318.5714285713662</v>
      </c>
      <c r="AF4" s="387">
        <f>SUM(AE4/1600)</f>
        <v>0.19910714285710387</v>
      </c>
      <c r="AG4" s="388">
        <f>SUM(360*AF4)</f>
        <v>71.67857142855739</v>
      </c>
      <c r="AH4" s="388">
        <f t="shared" ref="AH4:AH30" si="23">SUM(AC4-AG4)</f>
        <v>13.32142857144261</v>
      </c>
      <c r="AI4" s="73">
        <f>AD4*AJ4</f>
        <v>1147.9324894512522</v>
      </c>
      <c r="AJ4" s="278">
        <f t="shared" si="9"/>
        <v>0.25738396624472576</v>
      </c>
      <c r="AK4" s="278">
        <f t="shared" si="10"/>
        <v>81.995177817946583</v>
      </c>
      <c r="AL4">
        <f t="shared" ref="AL4:AL30" si="24">IF(Z4=0,0,1)</f>
        <v>1</v>
      </c>
    </row>
    <row r="5" spans="1:38" ht="15.75" thickBot="1">
      <c r="A5" s="4">
        <f>ELEC!C6</f>
        <v>44776</v>
      </c>
      <c r="B5" s="500">
        <f t="shared" ref="B5:B33" si="25">B4</f>
        <v>652</v>
      </c>
      <c r="C5" s="276">
        <f t="shared" si="11"/>
        <v>0</v>
      </c>
      <c r="D5" s="501">
        <f t="shared" ref="D5:D33" si="26">D4+C5*85</f>
        <v>728721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0">
        <f t="shared" si="14"/>
        <v>117</v>
      </c>
      <c r="K5" s="276">
        <f t="shared" si="2"/>
        <v>0</v>
      </c>
      <c r="L5" s="501">
        <f t="shared" si="15"/>
        <v>386191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0">
        <f t="shared" si="17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8"/>
        <v>14413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44777</v>
      </c>
      <c r="B6" s="500">
        <v>660</v>
      </c>
      <c r="C6" s="276">
        <f>B6-B5</f>
        <v>8</v>
      </c>
      <c r="D6" s="501">
        <f t="shared" si="26"/>
        <v>729401</v>
      </c>
      <c r="E6" s="276">
        <f t="shared" si="12"/>
        <v>680</v>
      </c>
      <c r="F6" s="276">
        <f t="shared" si="0"/>
        <v>85</v>
      </c>
      <c r="G6" s="196"/>
      <c r="H6" s="260">
        <f t="shared" si="13"/>
        <v>12231</v>
      </c>
      <c r="I6" s="276" t="str">
        <f t="shared" si="1"/>
        <v>ok</v>
      </c>
      <c r="J6" s="500">
        <f t="shared" si="14"/>
        <v>117</v>
      </c>
      <c r="K6" s="276">
        <f t="shared" si="2"/>
        <v>0</v>
      </c>
      <c r="L6" s="501">
        <f>(K6*N5)+L5</f>
        <v>386191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0">
        <f t="shared" si="17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14593</v>
      </c>
      <c r="Y6" s="276" t="str">
        <f t="shared" si="19"/>
        <v>ok</v>
      </c>
      <c r="Z6" s="276">
        <f t="shared" si="8"/>
        <v>8</v>
      </c>
      <c r="AA6" s="276">
        <f t="shared" si="20"/>
        <v>680</v>
      </c>
      <c r="AB6" s="276">
        <f t="shared" si="21"/>
        <v>585</v>
      </c>
      <c r="AC6" s="276">
        <f t="shared" si="22"/>
        <v>85</v>
      </c>
      <c r="AD6" s="73">
        <f>ELEC!Q7</f>
        <v>2238.0000000011933</v>
      </c>
      <c r="AE6" s="73">
        <f>SUM(AD6/Z6)</f>
        <v>279.75000000014916</v>
      </c>
      <c r="AF6" s="387">
        <f t="shared" si="28"/>
        <v>0.17484375000009322</v>
      </c>
      <c r="AG6" s="388">
        <f>SUM(320*AF6)</f>
        <v>55.950000000029831</v>
      </c>
      <c r="AH6" s="388">
        <f t="shared" si="23"/>
        <v>29.049999999970169</v>
      </c>
      <c r="AI6" s="73">
        <f t="shared" si="29"/>
        <v>576.02531645600334</v>
      </c>
      <c r="AJ6" s="278">
        <f t="shared" si="9"/>
        <v>0.25738396624472576</v>
      </c>
      <c r="AK6" s="278">
        <f t="shared" si="10"/>
        <v>72.003164557000417</v>
      </c>
      <c r="AL6">
        <f t="shared" si="24"/>
        <v>1</v>
      </c>
    </row>
    <row r="7" spans="1:38" ht="15.75" thickBot="1">
      <c r="A7" s="4">
        <f>ELEC!C8</f>
        <v>44778</v>
      </c>
      <c r="B7" s="500">
        <f t="shared" si="25"/>
        <v>660</v>
      </c>
      <c r="C7" s="276">
        <f t="shared" si="11"/>
        <v>0</v>
      </c>
      <c r="D7" s="501">
        <f t="shared" si="26"/>
        <v>729401</v>
      </c>
      <c r="E7" s="276">
        <f t="shared" si="12"/>
        <v>0</v>
      </c>
      <c r="F7" s="276">
        <f t="shared" si="0"/>
        <v>0</v>
      </c>
      <c r="G7" s="196"/>
      <c r="H7" s="260">
        <f t="shared" si="13"/>
        <v>12231</v>
      </c>
      <c r="I7" s="276" t="str">
        <f t="shared" si="1"/>
        <v>ok</v>
      </c>
      <c r="J7" s="500">
        <f t="shared" si="14"/>
        <v>117</v>
      </c>
      <c r="K7" s="276"/>
      <c r="L7" s="501">
        <f t="shared" ref="L7:L33" si="30">(K7*N6)+L6</f>
        <v>386191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0">
        <f t="shared" si="17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8"/>
        <v>14593</v>
      </c>
      <c r="Y7" s="276" t="str">
        <f>IF(R7-X7&lt;=0,"ok","oil change")</f>
        <v>ok</v>
      </c>
      <c r="Z7" s="276">
        <f t="shared" si="8"/>
        <v>0</v>
      </c>
      <c r="AA7" s="276">
        <f>U7+M7+E7</f>
        <v>0</v>
      </c>
      <c r="AB7" s="276">
        <f t="shared" si="21"/>
        <v>500</v>
      </c>
      <c r="AC7" s="276">
        <f t="shared" si="22"/>
        <v>0</v>
      </c>
      <c r="AD7" s="73">
        <f>ELEC!Q8</f>
        <v>0</v>
      </c>
      <c r="AE7" s="73" t="e">
        <f t="shared" si="27"/>
        <v>#DIV/0!</v>
      </c>
      <c r="AF7" s="387" t="e">
        <f t="shared" si="28"/>
        <v>#DIV/0!</v>
      </c>
      <c r="AG7" s="387" t="e">
        <f t="shared" si="28"/>
        <v>#DIV/0!</v>
      </c>
      <c r="AH7" s="388" t="e">
        <f t="shared" si="23"/>
        <v>#DIV/0!</v>
      </c>
      <c r="AI7" s="73">
        <f t="shared" si="29"/>
        <v>0</v>
      </c>
      <c r="AJ7" s="278">
        <f t="shared" si="9"/>
        <v>0.25738396624472576</v>
      </c>
      <c r="AK7" s="278" t="e">
        <f t="shared" si="10"/>
        <v>#DIV/0!</v>
      </c>
      <c r="AL7">
        <f t="shared" si="24"/>
        <v>0</v>
      </c>
    </row>
    <row r="8" spans="1:38" ht="15.75" thickBot="1">
      <c r="A8" s="4">
        <f>ELEC!C9</f>
        <v>44779</v>
      </c>
      <c r="B8" s="500">
        <f t="shared" si="25"/>
        <v>660</v>
      </c>
      <c r="C8" s="276">
        <f t="shared" si="11"/>
        <v>0</v>
      </c>
      <c r="D8" s="501">
        <f t="shared" si="26"/>
        <v>729401</v>
      </c>
      <c r="E8" s="276">
        <f t="shared" si="12"/>
        <v>0</v>
      </c>
      <c r="F8" s="276">
        <f t="shared" si="0"/>
        <v>0</v>
      </c>
      <c r="G8" s="196"/>
      <c r="H8" s="260">
        <f t="shared" si="13"/>
        <v>12231</v>
      </c>
      <c r="I8" s="276" t="str">
        <f>IF(B8-H8&lt;=0,"ok","oil change")</f>
        <v>ok</v>
      </c>
      <c r="J8" s="500">
        <f t="shared" si="14"/>
        <v>117</v>
      </c>
      <c r="K8" s="276">
        <f t="shared" si="2"/>
        <v>0</v>
      </c>
      <c r="L8" s="501">
        <f t="shared" si="30"/>
        <v>386191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0">
        <f t="shared" si="17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14593</v>
      </c>
      <c r="Y8" s="276" t="str">
        <f t="shared" si="19"/>
        <v>ok</v>
      </c>
      <c r="Z8" s="276">
        <f t="shared" si="8"/>
        <v>0</v>
      </c>
      <c r="AA8" s="276">
        <f t="shared" si="20"/>
        <v>0</v>
      </c>
      <c r="AB8" s="276">
        <f t="shared" si="21"/>
        <v>500</v>
      </c>
      <c r="AC8" s="276">
        <f t="shared" si="22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3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4"/>
        <v>0</v>
      </c>
    </row>
    <row r="9" spans="1:38" ht="15.75" thickBot="1">
      <c r="A9" s="4">
        <f>ELEC!C10</f>
        <v>44780</v>
      </c>
      <c r="B9" s="500">
        <v>673</v>
      </c>
      <c r="C9" s="276">
        <f t="shared" si="11"/>
        <v>13</v>
      </c>
      <c r="D9" s="501">
        <f t="shared" si="26"/>
        <v>730506</v>
      </c>
      <c r="E9" s="276">
        <f t="shared" si="12"/>
        <v>1105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0">
        <f t="shared" si="14"/>
        <v>117</v>
      </c>
      <c r="K9" s="276">
        <f t="shared" si="2"/>
        <v>0</v>
      </c>
      <c r="L9" s="501">
        <f t="shared" si="30"/>
        <v>386191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0">
        <f t="shared" si="17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14593</v>
      </c>
      <c r="Y9" s="276" t="str">
        <f t="shared" si="19"/>
        <v>ok</v>
      </c>
      <c r="Z9" s="276">
        <f t="shared" si="8"/>
        <v>13</v>
      </c>
      <c r="AA9" s="276">
        <f t="shared" si="20"/>
        <v>1105</v>
      </c>
      <c r="AB9" s="276">
        <f t="shared" si="21"/>
        <v>585</v>
      </c>
      <c r="AC9" s="276">
        <f t="shared" si="22"/>
        <v>85</v>
      </c>
      <c r="AD9" s="73">
        <f>ELEC!Q10</f>
        <v>3992.9999999985739</v>
      </c>
      <c r="AE9" s="73">
        <f t="shared" si="27"/>
        <v>307.15384615373648</v>
      </c>
      <c r="AF9" s="387">
        <f t="shared" si="28"/>
        <v>0.19197115384608529</v>
      </c>
      <c r="AG9" s="387">
        <f t="shared" si="28"/>
        <v>1.1998197115380331E-4</v>
      </c>
      <c r="AH9" s="388">
        <f t="shared" si="23"/>
        <v>84.999880018028847</v>
      </c>
      <c r="AI9" s="73">
        <f t="shared" si="29"/>
        <v>1027.7341772148229</v>
      </c>
      <c r="AJ9" s="278">
        <f t="shared" si="9"/>
        <v>0.25738396624472576</v>
      </c>
      <c r="AK9" s="278">
        <f t="shared" si="10"/>
        <v>79.056475170370987</v>
      </c>
      <c r="AL9">
        <f t="shared" si="24"/>
        <v>1</v>
      </c>
    </row>
    <row r="10" spans="1:38" ht="15.75" thickBot="1">
      <c r="A10" s="4">
        <f>ELEC!C11</f>
        <v>44781</v>
      </c>
      <c r="B10" s="500">
        <f t="shared" si="25"/>
        <v>673</v>
      </c>
      <c r="C10" s="276">
        <f t="shared" si="11"/>
        <v>0</v>
      </c>
      <c r="D10" s="501">
        <f t="shared" si="26"/>
        <v>730506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0">
        <f t="shared" si="14"/>
        <v>117</v>
      </c>
      <c r="K10" s="276">
        <f t="shared" si="2"/>
        <v>0</v>
      </c>
      <c r="L10" s="501">
        <f t="shared" si="30"/>
        <v>386191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0">
        <f t="shared" si="17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14593</v>
      </c>
      <c r="Y10" s="276" t="str">
        <f t="shared" si="19"/>
        <v>ok</v>
      </c>
      <c r="Z10" s="276">
        <f t="shared" si="8"/>
        <v>0</v>
      </c>
      <c r="AA10" s="276">
        <f t="shared" si="20"/>
        <v>0</v>
      </c>
      <c r="AB10" s="276">
        <f t="shared" si="21"/>
        <v>500</v>
      </c>
      <c r="AC10" s="276">
        <f t="shared" si="22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3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4"/>
        <v>0</v>
      </c>
    </row>
    <row r="11" spans="1:38" ht="15.75" thickBot="1">
      <c r="A11" s="4">
        <f>ELEC!C12</f>
        <v>44782</v>
      </c>
      <c r="B11" s="500">
        <v>680</v>
      </c>
      <c r="C11" s="276">
        <f t="shared" si="11"/>
        <v>7</v>
      </c>
      <c r="D11" s="501">
        <f t="shared" si="26"/>
        <v>731101</v>
      </c>
      <c r="E11" s="276">
        <f t="shared" si="12"/>
        <v>595</v>
      </c>
      <c r="F11" s="276">
        <f>IF(C11&gt;0,E11/C11,0)</f>
        <v>85</v>
      </c>
      <c r="G11" s="196"/>
      <c r="H11" s="260">
        <f t="shared" si="13"/>
        <v>12231</v>
      </c>
      <c r="I11" s="276" t="str">
        <f t="shared" si="1"/>
        <v>ok</v>
      </c>
      <c r="J11" s="500">
        <f t="shared" si="14"/>
        <v>117</v>
      </c>
      <c r="K11" s="276">
        <f t="shared" si="2"/>
        <v>0</v>
      </c>
      <c r="L11" s="501">
        <f t="shared" si="30"/>
        <v>386191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0">
        <f t="shared" si="17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14593</v>
      </c>
      <c r="Y11" s="276" t="str">
        <f t="shared" si="19"/>
        <v>ok</v>
      </c>
      <c r="Z11" s="276">
        <f t="shared" si="8"/>
        <v>7</v>
      </c>
      <c r="AA11" s="276">
        <f t="shared" si="20"/>
        <v>595</v>
      </c>
      <c r="AB11" s="276">
        <f t="shared" si="21"/>
        <v>585</v>
      </c>
      <c r="AC11" s="276">
        <f t="shared" si="22"/>
        <v>85</v>
      </c>
      <c r="AD11" s="73">
        <f>ELEC!Q12</f>
        <v>2056.0000000004948</v>
      </c>
      <c r="AE11" s="73">
        <f t="shared" si="27"/>
        <v>293.71428571435638</v>
      </c>
      <c r="AF11" s="387">
        <f t="shared" si="28"/>
        <v>0.18357142857147274</v>
      </c>
      <c r="AG11" s="387">
        <f t="shared" si="28"/>
        <v>1.1473214285717047E-4</v>
      </c>
      <c r="AH11" s="388">
        <f t="shared" si="23"/>
        <v>84.999885267857138</v>
      </c>
      <c r="AI11" s="73">
        <f t="shared" si="29"/>
        <v>529.18143459928353</v>
      </c>
      <c r="AJ11" s="278">
        <f t="shared" si="9"/>
        <v>0.25738396624472576</v>
      </c>
      <c r="AK11" s="278">
        <f t="shared" si="10"/>
        <v>75.597347799897648</v>
      </c>
      <c r="AL11">
        <f t="shared" si="24"/>
        <v>1</v>
      </c>
    </row>
    <row r="12" spans="1:38" ht="15.75" thickBot="1">
      <c r="A12" s="4">
        <f>ELEC!C13</f>
        <v>44783</v>
      </c>
      <c r="B12" s="500">
        <v>691</v>
      </c>
      <c r="C12" s="276">
        <f t="shared" si="11"/>
        <v>11</v>
      </c>
      <c r="D12" s="501">
        <f t="shared" si="26"/>
        <v>732036</v>
      </c>
      <c r="E12" s="276">
        <f t="shared" si="12"/>
        <v>935</v>
      </c>
      <c r="F12" s="276">
        <f t="shared" si="0"/>
        <v>85</v>
      </c>
      <c r="G12" s="196"/>
      <c r="H12" s="260">
        <f t="shared" si="13"/>
        <v>12231</v>
      </c>
      <c r="I12" s="276" t="str">
        <f t="shared" si="1"/>
        <v>ok</v>
      </c>
      <c r="J12" s="500">
        <f t="shared" si="14"/>
        <v>117</v>
      </c>
      <c r="K12" s="276">
        <f t="shared" si="2"/>
        <v>0</v>
      </c>
      <c r="L12" s="501">
        <f t="shared" si="30"/>
        <v>386191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0">
        <f t="shared" si="17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14593</v>
      </c>
      <c r="Y12" s="276" t="str">
        <f t="shared" si="19"/>
        <v>ok</v>
      </c>
      <c r="Z12" s="276">
        <f t="shared" si="8"/>
        <v>11</v>
      </c>
      <c r="AA12" s="276">
        <f t="shared" si="20"/>
        <v>935</v>
      </c>
      <c r="AB12" s="276">
        <f t="shared" si="21"/>
        <v>585</v>
      </c>
      <c r="AC12" s="276">
        <f t="shared" si="22"/>
        <v>85</v>
      </c>
      <c r="AD12" s="73">
        <f>ELEC!Q13</f>
        <v>3174.9999999992724</v>
      </c>
      <c r="AE12" s="73">
        <f t="shared" si="27"/>
        <v>288.63636363629752</v>
      </c>
      <c r="AF12" s="387">
        <f t="shared" si="28"/>
        <v>0.18039772727268594</v>
      </c>
      <c r="AG12" s="387">
        <f t="shared" si="28"/>
        <v>1.1274857954542871E-4</v>
      </c>
      <c r="AH12" s="388">
        <f t="shared" si="23"/>
        <v>84.999887251420461</v>
      </c>
      <c r="AI12" s="73">
        <f t="shared" si="29"/>
        <v>817.19409282681704</v>
      </c>
      <c r="AJ12" s="278">
        <f t="shared" si="9"/>
        <v>0.25738396624472576</v>
      </c>
      <c r="AK12" s="278">
        <f t="shared" si="10"/>
        <v>74.29037207516518</v>
      </c>
      <c r="AL12">
        <f t="shared" si="24"/>
        <v>1</v>
      </c>
    </row>
    <row r="13" spans="1:38" ht="15.75" thickBot="1">
      <c r="A13" s="4">
        <f>ELEC!C14</f>
        <v>44784</v>
      </c>
      <c r="B13" s="500">
        <v>701</v>
      </c>
      <c r="C13" s="276">
        <f t="shared" si="11"/>
        <v>10</v>
      </c>
      <c r="D13" s="501">
        <f t="shared" si="26"/>
        <v>732886</v>
      </c>
      <c r="E13" s="276">
        <f t="shared" si="12"/>
        <v>850</v>
      </c>
      <c r="F13" s="276">
        <f t="shared" si="0"/>
        <v>85</v>
      </c>
      <c r="G13" s="196"/>
      <c r="H13" s="260">
        <f t="shared" si="13"/>
        <v>12231</v>
      </c>
      <c r="I13" s="276" t="str">
        <f t="shared" si="1"/>
        <v>ok</v>
      </c>
      <c r="J13" s="500">
        <f t="shared" si="14"/>
        <v>117</v>
      </c>
      <c r="K13" s="276">
        <f t="shared" si="2"/>
        <v>0</v>
      </c>
      <c r="L13" s="501">
        <f t="shared" si="30"/>
        <v>386191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0">
        <f t="shared" si="17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14593</v>
      </c>
      <c r="Y13" s="276" t="str">
        <f t="shared" si="19"/>
        <v>ok</v>
      </c>
      <c r="Z13" s="276">
        <f t="shared" si="8"/>
        <v>10</v>
      </c>
      <c r="AA13" s="276">
        <f t="shared" si="20"/>
        <v>850</v>
      </c>
      <c r="AB13" s="276">
        <f t="shared" si="21"/>
        <v>585</v>
      </c>
      <c r="AC13" s="276">
        <f t="shared" si="22"/>
        <v>85</v>
      </c>
      <c r="AD13" s="73">
        <f>ELEC!Q14</f>
        <v>3046.0000000020955</v>
      </c>
      <c r="AE13" s="73">
        <f t="shared" si="27"/>
        <v>304.60000000020955</v>
      </c>
      <c r="AF13" s="387">
        <f t="shared" si="28"/>
        <v>0.19037500000013097</v>
      </c>
      <c r="AG13" s="387">
        <f t="shared" si="28"/>
        <v>1.1898437500008186E-4</v>
      </c>
      <c r="AH13" s="388">
        <f t="shared" si="23"/>
        <v>84.999881015624993</v>
      </c>
      <c r="AI13" s="73">
        <f t="shared" si="29"/>
        <v>783.99156118197402</v>
      </c>
      <c r="AJ13" s="278">
        <f t="shared" si="9"/>
        <v>0.25738396624472576</v>
      </c>
      <c r="AK13" s="278">
        <f t="shared" si="10"/>
        <v>78.399156118197396</v>
      </c>
      <c r="AL13">
        <f t="shared" si="24"/>
        <v>1</v>
      </c>
    </row>
    <row r="14" spans="1:38" ht="15.75" thickBot="1">
      <c r="A14" s="4">
        <f>ELEC!C15</f>
        <v>44785</v>
      </c>
      <c r="B14" s="500">
        <f t="shared" si="25"/>
        <v>701</v>
      </c>
      <c r="C14" s="276">
        <f t="shared" si="11"/>
        <v>0</v>
      </c>
      <c r="D14" s="501">
        <f t="shared" si="26"/>
        <v>732886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0">
        <f t="shared" si="14"/>
        <v>117</v>
      </c>
      <c r="K14" s="276">
        <f t="shared" si="2"/>
        <v>0</v>
      </c>
      <c r="L14" s="501">
        <f t="shared" si="30"/>
        <v>386191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0">
        <f t="shared" si="17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14593</v>
      </c>
      <c r="Y14" s="276" t="str">
        <f t="shared" si="19"/>
        <v>ok</v>
      </c>
      <c r="Z14" s="276">
        <f t="shared" si="8"/>
        <v>0</v>
      </c>
      <c r="AA14" s="276">
        <f t="shared" si="20"/>
        <v>0</v>
      </c>
      <c r="AB14" s="276">
        <f t="shared" si="21"/>
        <v>500</v>
      </c>
      <c r="AC14" s="276">
        <f t="shared" si="22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3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44786</v>
      </c>
      <c r="B15" s="500">
        <f t="shared" si="25"/>
        <v>701</v>
      </c>
      <c r="C15" s="276">
        <f t="shared" si="11"/>
        <v>0</v>
      </c>
      <c r="D15" s="501">
        <f t="shared" si="26"/>
        <v>732886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0">
        <f t="shared" si="14"/>
        <v>117</v>
      </c>
      <c r="K15" s="276">
        <f t="shared" si="2"/>
        <v>0</v>
      </c>
      <c r="L15" s="501">
        <f t="shared" si="30"/>
        <v>386191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0">
        <f t="shared" si="17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14593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44787</v>
      </c>
      <c r="B16" s="500">
        <f t="shared" si="25"/>
        <v>701</v>
      </c>
      <c r="C16" s="276">
        <f t="shared" si="11"/>
        <v>0</v>
      </c>
      <c r="D16" s="501">
        <f t="shared" si="26"/>
        <v>732886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0">
        <f t="shared" si="14"/>
        <v>117</v>
      </c>
      <c r="K16" s="276">
        <f t="shared" si="2"/>
        <v>0</v>
      </c>
      <c r="L16" s="501">
        <f t="shared" si="30"/>
        <v>386191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0">
        <f t="shared" si="17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14593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44788</v>
      </c>
      <c r="B17" s="500">
        <v>712</v>
      </c>
      <c r="C17" s="276">
        <f t="shared" si="11"/>
        <v>11</v>
      </c>
      <c r="D17" s="501">
        <f t="shared" si="26"/>
        <v>733821</v>
      </c>
      <c r="E17" s="276">
        <f t="shared" si="12"/>
        <v>935</v>
      </c>
      <c r="F17" s="276">
        <f t="shared" si="0"/>
        <v>85</v>
      </c>
      <c r="G17" s="196"/>
      <c r="H17" s="260">
        <f t="shared" si="13"/>
        <v>12231</v>
      </c>
      <c r="I17" s="276" t="str">
        <f t="shared" si="1"/>
        <v>ok</v>
      </c>
      <c r="J17" s="500">
        <f t="shared" si="14"/>
        <v>117</v>
      </c>
      <c r="K17" s="276">
        <f t="shared" si="2"/>
        <v>0</v>
      </c>
      <c r="L17" s="501">
        <f t="shared" si="30"/>
        <v>386191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0">
        <f t="shared" si="17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14593</v>
      </c>
      <c r="Y17" s="276" t="str">
        <f t="shared" si="19"/>
        <v>ok</v>
      </c>
      <c r="Z17" s="276">
        <f t="shared" si="8"/>
        <v>11</v>
      </c>
      <c r="AA17" s="276">
        <f t="shared" si="20"/>
        <v>935</v>
      </c>
      <c r="AB17" s="276">
        <f t="shared" si="21"/>
        <v>585</v>
      </c>
      <c r="AC17" s="276">
        <f t="shared" si="22"/>
        <v>85</v>
      </c>
      <c r="AD17" s="73">
        <f>ELEC!Q18</f>
        <v>3076.0000000009313</v>
      </c>
      <c r="AE17" s="73">
        <f t="shared" si="27"/>
        <v>279.63636363644832</v>
      </c>
      <c r="AF17" s="387">
        <f t="shared" si="28"/>
        <v>0.1747727272727802</v>
      </c>
      <c r="AG17" s="387">
        <f t="shared" si="28"/>
        <v>1.0923295454548763E-4</v>
      </c>
      <c r="AH17" s="388">
        <f t="shared" si="23"/>
        <v>84.999890767045457</v>
      </c>
      <c r="AI17" s="73">
        <f t="shared" si="29"/>
        <v>791.71308016901617</v>
      </c>
      <c r="AJ17" s="278">
        <f t="shared" si="9"/>
        <v>0.25738396624472576</v>
      </c>
      <c r="AK17" s="278">
        <f t="shared" si="10"/>
        <v>71.973916379001466</v>
      </c>
      <c r="AL17">
        <f t="shared" si="24"/>
        <v>1</v>
      </c>
    </row>
    <row r="18" spans="1:38" ht="15.75" thickBot="1">
      <c r="A18" s="4">
        <f>ELEC!C19</f>
        <v>44789</v>
      </c>
      <c r="B18" s="500">
        <f t="shared" si="25"/>
        <v>712</v>
      </c>
      <c r="C18" s="276">
        <f t="shared" si="11"/>
        <v>0</v>
      </c>
      <c r="D18" s="501">
        <f t="shared" si="26"/>
        <v>733821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12231</v>
      </c>
      <c r="I18" s="276" t="str">
        <f t="shared" si="1"/>
        <v>ok</v>
      </c>
      <c r="J18" s="500">
        <f t="shared" si="14"/>
        <v>117</v>
      </c>
      <c r="K18" s="276">
        <f t="shared" si="2"/>
        <v>0</v>
      </c>
      <c r="L18" s="501">
        <f t="shared" si="30"/>
        <v>386191</v>
      </c>
      <c r="M18" s="276">
        <f t="shared" si="3"/>
        <v>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0">
        <f t="shared" si="17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14593</v>
      </c>
      <c r="Y18" s="276" t="str">
        <f t="shared" si="19"/>
        <v>ok</v>
      </c>
      <c r="Z18" s="276">
        <f t="shared" si="8"/>
        <v>0</v>
      </c>
      <c r="AA18" s="276">
        <f t="shared" si="20"/>
        <v>0</v>
      </c>
      <c r="AB18" s="276">
        <f t="shared" si="21"/>
        <v>500</v>
      </c>
      <c r="AC18" s="276">
        <f t="shared" si="22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3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44790</v>
      </c>
      <c r="B19" s="500">
        <f t="shared" si="25"/>
        <v>712</v>
      </c>
      <c r="C19" s="276">
        <f t="shared" si="11"/>
        <v>0</v>
      </c>
      <c r="D19" s="501">
        <f t="shared" si="26"/>
        <v>733821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12231</v>
      </c>
      <c r="I19" s="276" t="str">
        <f t="shared" si="1"/>
        <v>ok</v>
      </c>
      <c r="J19" s="500">
        <f t="shared" si="14"/>
        <v>117</v>
      </c>
      <c r="K19" s="276">
        <f t="shared" si="2"/>
        <v>0</v>
      </c>
      <c r="L19" s="501">
        <f t="shared" si="30"/>
        <v>386191</v>
      </c>
      <c r="M19" s="276">
        <f t="shared" si="3"/>
        <v>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0">
        <f t="shared" si="17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14593</v>
      </c>
      <c r="Y19" s="276" t="str">
        <f t="shared" si="19"/>
        <v>ok</v>
      </c>
      <c r="Z19" s="276">
        <f t="shared" si="8"/>
        <v>0</v>
      </c>
      <c r="AA19" s="276">
        <f t="shared" si="20"/>
        <v>0</v>
      </c>
      <c r="AB19" s="276">
        <f t="shared" si="21"/>
        <v>500</v>
      </c>
      <c r="AC19" s="276">
        <f t="shared" si="22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3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44791</v>
      </c>
      <c r="B20" s="500">
        <f t="shared" si="25"/>
        <v>712</v>
      </c>
      <c r="C20" s="276">
        <f>B20-B19</f>
        <v>0</v>
      </c>
      <c r="D20" s="501">
        <f t="shared" si="26"/>
        <v>733821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12231</v>
      </c>
      <c r="I20" s="276" t="str">
        <f t="shared" si="1"/>
        <v>ok</v>
      </c>
      <c r="J20" s="500">
        <f t="shared" si="14"/>
        <v>117</v>
      </c>
      <c r="K20" s="276">
        <f t="shared" si="2"/>
        <v>0</v>
      </c>
      <c r="L20" s="501">
        <f t="shared" si="30"/>
        <v>386191</v>
      </c>
      <c r="M20" s="276">
        <f t="shared" si="3"/>
        <v>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0">
        <f t="shared" si="17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14593</v>
      </c>
      <c r="Y20" s="276" t="str">
        <f t="shared" si="19"/>
        <v>ok</v>
      </c>
      <c r="Z20" s="276">
        <f t="shared" si="8"/>
        <v>0</v>
      </c>
      <c r="AA20" s="276">
        <f t="shared" si="20"/>
        <v>0</v>
      </c>
      <c r="AB20" s="276">
        <f t="shared" si="21"/>
        <v>500</v>
      </c>
      <c r="AC20" s="276">
        <f t="shared" si="22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3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44792</v>
      </c>
      <c r="B21" s="500">
        <f t="shared" si="25"/>
        <v>712</v>
      </c>
      <c r="C21" s="276">
        <f>B21-B20</f>
        <v>0</v>
      </c>
      <c r="D21" s="501">
        <f t="shared" si="26"/>
        <v>733821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0">
        <f t="shared" si="14"/>
        <v>117</v>
      </c>
      <c r="K21" s="276">
        <f t="shared" si="2"/>
        <v>0</v>
      </c>
      <c r="L21" s="501">
        <f t="shared" si="30"/>
        <v>386191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0">
        <f t="shared" si="17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14593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44793</v>
      </c>
      <c r="B22" s="500">
        <f t="shared" si="25"/>
        <v>712</v>
      </c>
      <c r="C22" s="276">
        <f t="shared" si="11"/>
        <v>0</v>
      </c>
      <c r="D22" s="501">
        <f t="shared" si="26"/>
        <v>733821</v>
      </c>
      <c r="E22" s="276">
        <f>150*C22</f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0">
        <f t="shared" si="14"/>
        <v>117</v>
      </c>
      <c r="K22" s="276">
        <f t="shared" si="2"/>
        <v>0</v>
      </c>
      <c r="L22" s="501">
        <f t="shared" si="30"/>
        <v>386191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0">
        <f t="shared" si="17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14593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44794</v>
      </c>
      <c r="B23" s="500">
        <f t="shared" si="25"/>
        <v>712</v>
      </c>
      <c r="C23" s="276">
        <f t="shared" si="11"/>
        <v>0</v>
      </c>
      <c r="D23" s="501">
        <f t="shared" si="26"/>
        <v>733821</v>
      </c>
      <c r="E23" s="276">
        <f>150*C23</f>
        <v>0</v>
      </c>
      <c r="F23" s="276">
        <f t="shared" si="0"/>
        <v>0</v>
      </c>
      <c r="G23" s="196"/>
      <c r="H23" s="260">
        <f t="shared" si="13"/>
        <v>12231</v>
      </c>
      <c r="I23" s="276" t="str">
        <f t="shared" si="1"/>
        <v>ok</v>
      </c>
      <c r="J23" s="500">
        <f t="shared" si="14"/>
        <v>117</v>
      </c>
      <c r="K23" s="276">
        <f t="shared" si="2"/>
        <v>0</v>
      </c>
      <c r="L23" s="501">
        <f t="shared" si="30"/>
        <v>386191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0">
        <f t="shared" si="17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14593</v>
      </c>
      <c r="Y23" s="276" t="str">
        <f t="shared" si="19"/>
        <v>ok</v>
      </c>
      <c r="Z23" s="276">
        <f t="shared" si="8"/>
        <v>0</v>
      </c>
      <c r="AA23" s="276">
        <f t="shared" si="20"/>
        <v>0</v>
      </c>
      <c r="AB23" s="276">
        <f t="shared" si="21"/>
        <v>500</v>
      </c>
      <c r="AC23" s="276">
        <f t="shared" si="22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3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44795</v>
      </c>
      <c r="B24" s="500">
        <f t="shared" si="25"/>
        <v>712</v>
      </c>
      <c r="C24" s="276">
        <f t="shared" si="11"/>
        <v>0</v>
      </c>
      <c r="D24" s="501">
        <f t="shared" si="26"/>
        <v>733821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0">
        <f t="shared" si="14"/>
        <v>117</v>
      </c>
      <c r="K24" s="276">
        <f t="shared" si="2"/>
        <v>0</v>
      </c>
      <c r="L24" s="501">
        <f t="shared" si="30"/>
        <v>386191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0">
        <f t="shared" si="17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14593</v>
      </c>
      <c r="Y24" s="276" t="str">
        <f t="shared" si="19"/>
        <v>ok</v>
      </c>
      <c r="Z24" s="276">
        <f t="shared" si="8"/>
        <v>0</v>
      </c>
      <c r="AA24" s="276">
        <f t="shared" si="20"/>
        <v>0</v>
      </c>
      <c r="AB24" s="276">
        <f t="shared" si="21"/>
        <v>500</v>
      </c>
      <c r="AC24" s="276">
        <f t="shared" si="22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3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44796</v>
      </c>
      <c r="B25" s="500">
        <f t="shared" si="25"/>
        <v>712</v>
      </c>
      <c r="C25" s="276">
        <f t="shared" si="11"/>
        <v>0</v>
      </c>
      <c r="D25" s="501">
        <f t="shared" si="26"/>
        <v>733821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0">
        <f t="shared" si="14"/>
        <v>117</v>
      </c>
      <c r="K25" s="276">
        <f t="shared" si="2"/>
        <v>0</v>
      </c>
      <c r="L25" s="501">
        <f t="shared" si="30"/>
        <v>386191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0">
        <f t="shared" si="17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14593</v>
      </c>
      <c r="Y25" s="276" t="str">
        <f t="shared" si="19"/>
        <v>ok</v>
      </c>
      <c r="Z25" s="276">
        <f t="shared" si="8"/>
        <v>0</v>
      </c>
      <c r="AA25" s="276">
        <f t="shared" si="20"/>
        <v>0</v>
      </c>
      <c r="AB25" s="276">
        <f t="shared" si="21"/>
        <v>500</v>
      </c>
      <c r="AC25" s="276">
        <f t="shared" si="22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3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44797</v>
      </c>
      <c r="B26" s="500">
        <f t="shared" si="25"/>
        <v>712</v>
      </c>
      <c r="C26" s="276">
        <f>B26-B25</f>
        <v>0</v>
      </c>
      <c r="D26" s="501">
        <f t="shared" si="26"/>
        <v>733821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0">
        <f t="shared" si="14"/>
        <v>117</v>
      </c>
      <c r="K26" s="276">
        <f t="shared" si="2"/>
        <v>0</v>
      </c>
      <c r="L26" s="501">
        <f t="shared" si="30"/>
        <v>386191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0">
        <f t="shared" si="17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14593</v>
      </c>
      <c r="Y26" s="276" t="str">
        <f t="shared" si="19"/>
        <v>ok</v>
      </c>
      <c r="Z26" s="276">
        <f t="shared" si="8"/>
        <v>0</v>
      </c>
      <c r="AA26" s="276">
        <f t="shared" si="20"/>
        <v>0</v>
      </c>
      <c r="AB26" s="276">
        <f t="shared" si="21"/>
        <v>500</v>
      </c>
      <c r="AC26" s="276">
        <f t="shared" si="22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3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44798</v>
      </c>
      <c r="B27" s="500">
        <f t="shared" si="25"/>
        <v>712</v>
      </c>
      <c r="C27" s="276">
        <f>B27-B26</f>
        <v>0</v>
      </c>
      <c r="D27" s="501">
        <f t="shared" si="26"/>
        <v>733821</v>
      </c>
      <c r="E27" s="276">
        <f>SUM(D27-D26)</f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0">
        <f t="shared" si="14"/>
        <v>117</v>
      </c>
      <c r="K27" s="276">
        <f t="shared" si="2"/>
        <v>0</v>
      </c>
      <c r="L27" s="501">
        <f t="shared" si="30"/>
        <v>386191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0">
        <f t="shared" si="17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14593</v>
      </c>
      <c r="Y27" s="276" t="str">
        <f t="shared" si="19"/>
        <v>ok</v>
      </c>
      <c r="Z27" s="276">
        <f t="shared" si="8"/>
        <v>0</v>
      </c>
      <c r="AA27" s="276">
        <f t="shared" si="20"/>
        <v>0</v>
      </c>
      <c r="AB27" s="276">
        <f t="shared" si="21"/>
        <v>500</v>
      </c>
      <c r="AC27" s="276">
        <f t="shared" si="22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3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44799</v>
      </c>
      <c r="B28" s="500">
        <f t="shared" si="25"/>
        <v>712</v>
      </c>
      <c r="C28" s="276">
        <f t="shared" si="11"/>
        <v>0</v>
      </c>
      <c r="D28" s="501">
        <f t="shared" si="26"/>
        <v>733821</v>
      </c>
      <c r="E28" s="276">
        <f>SUM(D28-D27)</f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0">
        <f t="shared" si="14"/>
        <v>117</v>
      </c>
      <c r="K28" s="276">
        <f t="shared" si="2"/>
        <v>0</v>
      </c>
      <c r="L28" s="501">
        <f t="shared" si="30"/>
        <v>386191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0">
        <f t="shared" si="17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14593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44800</v>
      </c>
      <c r="B29" s="500">
        <f t="shared" si="25"/>
        <v>712</v>
      </c>
      <c r="C29" s="276">
        <f t="shared" si="11"/>
        <v>0</v>
      </c>
      <c r="D29" s="501">
        <f t="shared" si="26"/>
        <v>733821</v>
      </c>
      <c r="E29" s="276">
        <f>SUM(D29-D28)</f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0">
        <f t="shared" si="14"/>
        <v>117</v>
      </c>
      <c r="K29" s="276">
        <f t="shared" si="2"/>
        <v>0</v>
      </c>
      <c r="L29" s="501">
        <f t="shared" si="30"/>
        <v>386191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0">
        <f t="shared" si="17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14593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44801</v>
      </c>
      <c r="B30" s="500">
        <f t="shared" si="25"/>
        <v>712</v>
      </c>
      <c r="C30" s="276">
        <f t="shared" si="11"/>
        <v>0</v>
      </c>
      <c r="D30" s="501">
        <f t="shared" si="26"/>
        <v>733821</v>
      </c>
      <c r="E30" s="276">
        <f>SUM(D30-D29)</f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0">
        <f t="shared" si="14"/>
        <v>117</v>
      </c>
      <c r="K30" s="276">
        <f t="shared" si="2"/>
        <v>0</v>
      </c>
      <c r="L30" s="501">
        <f t="shared" si="30"/>
        <v>386191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0">
        <f t="shared" si="17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14593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44802</v>
      </c>
      <c r="B31" s="500">
        <f t="shared" si="25"/>
        <v>712</v>
      </c>
      <c r="C31" s="276">
        <f t="shared" ref="C31:C33" si="34">B31-B30</f>
        <v>0</v>
      </c>
      <c r="D31" s="501">
        <f t="shared" si="26"/>
        <v>733821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0">
        <f t="shared" si="14"/>
        <v>117</v>
      </c>
      <c r="K31" s="276">
        <f t="shared" si="2"/>
        <v>0</v>
      </c>
      <c r="L31" s="501">
        <f t="shared" si="30"/>
        <v>386191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8">IF(J31-P31&lt;=0,"ok","oil change")</f>
        <v>ok</v>
      </c>
      <c r="R31" s="500">
        <f t="shared" si="17"/>
        <v>13908</v>
      </c>
      <c r="S31" s="276">
        <f t="shared" ref="S31:S33" si="39">R31-R30</f>
        <v>0</v>
      </c>
      <c r="T31" s="501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8"/>
        <v>14593</v>
      </c>
      <c r="Y31" s="276" t="str">
        <f t="shared" si="19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44803</v>
      </c>
      <c r="B32" s="500">
        <f t="shared" si="25"/>
        <v>712</v>
      </c>
      <c r="C32" s="276">
        <f t="shared" si="34"/>
        <v>0</v>
      </c>
      <c r="D32" s="501">
        <f t="shared" si="26"/>
        <v>733821</v>
      </c>
      <c r="E32" s="276">
        <f t="shared" si="35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0">
        <f t="shared" si="14"/>
        <v>117</v>
      </c>
      <c r="K32" s="276">
        <f t="shared" si="2"/>
        <v>0</v>
      </c>
      <c r="L32" s="501">
        <f t="shared" si="30"/>
        <v>386191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8"/>
        <v>ok</v>
      </c>
      <c r="R32" s="500">
        <f t="shared" si="17"/>
        <v>13908</v>
      </c>
      <c r="S32" s="276">
        <f t="shared" si="39"/>
        <v>0</v>
      </c>
      <c r="T32" s="501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8"/>
        <v>14593</v>
      </c>
      <c r="Y32" s="276" t="str">
        <f t="shared" si="19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44804</v>
      </c>
      <c r="B33" s="500">
        <f t="shared" si="25"/>
        <v>712</v>
      </c>
      <c r="C33" s="276">
        <f t="shared" si="34"/>
        <v>0</v>
      </c>
      <c r="D33" s="501">
        <f t="shared" si="26"/>
        <v>733821</v>
      </c>
      <c r="E33" s="276">
        <f t="shared" si="35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0">
        <f t="shared" si="14"/>
        <v>117</v>
      </c>
      <c r="K33" s="276">
        <f t="shared" si="2"/>
        <v>0</v>
      </c>
      <c r="L33" s="501">
        <f t="shared" si="30"/>
        <v>386191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8"/>
        <v>ok</v>
      </c>
      <c r="R33" s="500">
        <f t="shared" si="17"/>
        <v>13908</v>
      </c>
      <c r="S33" s="276">
        <f t="shared" si="39"/>
        <v>0</v>
      </c>
      <c r="T33" s="501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8"/>
        <v>14593</v>
      </c>
      <c r="Y33" s="276" t="str">
        <f t="shared" si="19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86</v>
      </c>
      <c r="V34" s="40"/>
      <c r="X34">
        <v>341</v>
      </c>
      <c r="Z34" s="404">
        <f>SUM(Z3:Z33)</f>
        <v>86</v>
      </c>
      <c r="AF34" s="387">
        <f>SUM(AE34/1600)</f>
        <v>0</v>
      </c>
      <c r="AL34">
        <f>SUM(AL3:AL33)</f>
        <v>8</v>
      </c>
    </row>
    <row r="35" spans="1:38">
      <c r="C35" s="40">
        <f>SUM(C3:C33)</f>
        <v>86</v>
      </c>
      <c r="K35" s="40">
        <f>SUM(K3:K33)</f>
        <v>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2">D42</f>
        <v>213</v>
      </c>
      <c r="T43">
        <v>8</v>
      </c>
    </row>
    <row r="44" spans="1:38" ht="15.75" thickBot="1">
      <c r="D44" s="500">
        <f t="shared" si="52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85" zoomScaleNormal="85" workbookViewId="0">
      <pane xSplit="1" topLeftCell="AO1" activePane="topRight" state="frozen"/>
      <selection pane="topRight" activeCell="AQ14" sqref="AQ1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231</v>
      </c>
      <c r="AT3" s="628" t="s">
        <v>299</v>
      </c>
      <c r="AU3" s="62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44773</v>
      </c>
      <c r="B5" s="497">
        <f>[2]tanks!B36</f>
        <v>219</v>
      </c>
      <c r="C5" s="497">
        <f>[2]tanks!C36</f>
        <v>4712.0322580645161</v>
      </c>
      <c r="D5" s="497">
        <f>[2]tanks!D36</f>
        <v>219</v>
      </c>
      <c r="E5" s="497">
        <f>[2]tanks!E36</f>
        <v>4712.0322580645161</v>
      </c>
      <c r="F5" s="497">
        <f>[2]tanks!F36</f>
        <v>219</v>
      </c>
      <c r="G5" s="497">
        <f>[2]tanks!G36</f>
        <v>4712.0322580645161</v>
      </c>
      <c r="H5" s="497">
        <f>[2]tanks!H36</f>
        <v>219</v>
      </c>
      <c r="I5" s="497">
        <f>[2]tanks!I36</f>
        <v>4712.0322580645161</v>
      </c>
      <c r="J5" s="497">
        <f>[2]tanks!J36</f>
        <v>219</v>
      </c>
      <c r="K5" s="497">
        <f>[2]tanks!K36</f>
        <v>4712.0322580645161</v>
      </c>
      <c r="L5" s="497">
        <f>[2]tanks!L36</f>
        <v>219</v>
      </c>
      <c r="M5" s="497">
        <f>[2]tanks!M36</f>
        <v>4712.0322580645161</v>
      </c>
      <c r="N5" s="497">
        <f>[2]tanks!N36</f>
        <v>219</v>
      </c>
      <c r="O5" s="497">
        <f>[2]tanks!O36</f>
        <v>4712.0322580645161</v>
      </c>
      <c r="P5" s="497">
        <f>[2]tanks!P36</f>
        <v>219</v>
      </c>
      <c r="Q5" s="497">
        <f>[2]tanks!Q36</f>
        <v>4712.0322580645161</v>
      </c>
      <c r="R5" s="497">
        <f>[2]tanks!R36</f>
        <v>219</v>
      </c>
      <c r="S5" s="497">
        <f>[2]tanks!S36</f>
        <v>4712.0322580645161</v>
      </c>
      <c r="T5" s="497">
        <f>[2]tanks!T36</f>
        <v>219</v>
      </c>
      <c r="U5" s="497">
        <f>[2]tanks!U36</f>
        <v>4712.0322580645161</v>
      </c>
      <c r="V5" s="497">
        <f>[2]tanks!V36</f>
        <v>219</v>
      </c>
      <c r="W5" s="497">
        <f>[2]tanks!W36</f>
        <v>4712.0322580645161</v>
      </c>
      <c r="X5" s="476">
        <f>[2]tanks!X36</f>
        <v>0.70645161290322578</v>
      </c>
      <c r="Y5" s="497">
        <f>[2]tanks!Y36</f>
        <v>51832.354838709674</v>
      </c>
      <c r="Z5" s="497">
        <f>[2]tanks!Z36</f>
        <v>226</v>
      </c>
      <c r="AA5" s="497">
        <f>[2]tanks!AA36</f>
        <v>2260</v>
      </c>
      <c r="AB5" s="497">
        <f>[2]tanks!AB36</f>
        <v>226</v>
      </c>
      <c r="AC5" s="497">
        <f>[2]tanks!AC36</f>
        <v>2260</v>
      </c>
      <c r="AD5" s="497">
        <f>[2]tanks!AD36</f>
        <v>226</v>
      </c>
      <c r="AE5" s="497">
        <f>[2]tanks!AE36</f>
        <v>2260</v>
      </c>
      <c r="AF5" s="497">
        <f>[2]tanks!AF36</f>
        <v>226</v>
      </c>
      <c r="AG5" s="497">
        <f>[2]tanks!AG36</f>
        <v>2260</v>
      </c>
      <c r="AH5" s="497">
        <f>[2]tanks!AH36</f>
        <v>226</v>
      </c>
      <c r="AI5" s="497">
        <f>[2]tanks!AI36</f>
        <v>2260</v>
      </c>
      <c r="AJ5" s="497">
        <f>[2]tanks!AJ36</f>
        <v>226</v>
      </c>
      <c r="AK5" s="497">
        <f>[2]tanks!AK36</f>
        <v>2260</v>
      </c>
      <c r="AL5" s="497">
        <f>[2]tanks!AL36</f>
        <v>226</v>
      </c>
      <c r="AM5" s="497">
        <f>[2]tanks!AM36</f>
        <v>2260</v>
      </c>
      <c r="AN5" s="476">
        <f>[2]tanks!AN36</f>
        <v>0.80714285714285716</v>
      </c>
      <c r="AO5" s="497">
        <f>[2]tanks!AO36</f>
        <v>15820</v>
      </c>
      <c r="AP5" s="497"/>
      <c r="AQ5" s="476">
        <f>[2]tanks!AQ36</f>
        <v>0.72767941097891431</v>
      </c>
      <c r="AR5" s="605">
        <f>[2]tanks!AR36</f>
        <v>67652.354838709667</v>
      </c>
      <c r="AS5" s="605">
        <f>[2]tanks!AS36</f>
        <v>-1226.7096774193633</v>
      </c>
      <c r="AT5" s="605">
        <f>[2]tanks!AT36</f>
        <v>0</v>
      </c>
      <c r="AU5" s="605">
        <f>[2]tanks!AU36</f>
        <v>0</v>
      </c>
      <c r="AV5" s="605">
        <f>[2]tanks!AV36</f>
        <v>1.085</v>
      </c>
      <c r="AW5" s="605">
        <f>[2]tanks!AW36</f>
        <v>-82</v>
      </c>
      <c r="AX5" s="605">
        <f>[2]tanks!AX36</f>
        <v>-1144.7096774193633</v>
      </c>
      <c r="AY5" s="605">
        <f>[2]tanks!AY36</f>
        <v>-1226.7096774193633</v>
      </c>
      <c r="AZ5" s="476">
        <f>[2]tanks!AZ36</f>
        <v>0</v>
      </c>
      <c r="BA5" s="605">
        <f>[2]tanks!BA36</f>
        <v>28.5</v>
      </c>
      <c r="BB5" s="476">
        <f>[2]tanks!BB36</f>
        <v>0.67</v>
      </c>
      <c r="BC5" s="605">
        <f>[2]tanks!BC36</f>
        <v>0</v>
      </c>
      <c r="BD5" s="605">
        <f>[2]tanks!BD36</f>
        <v>19225</v>
      </c>
      <c r="BE5" s="605" t="e">
        <f>[2]tanks!BE36</f>
        <v>#REF!</v>
      </c>
      <c r="BF5" s="605">
        <f>[2]tanks!BF36</f>
        <v>0</v>
      </c>
      <c r="BG5" s="605" t="e">
        <f>[2]tanks!BG36</f>
        <v>#REF!</v>
      </c>
      <c r="BH5" s="605">
        <f>[2]tanks!BH36</f>
        <v>0</v>
      </c>
      <c r="BI5" s="605">
        <f>[2]tanks!BI36</f>
        <v>23</v>
      </c>
    </row>
    <row r="6" spans="1:63">
      <c r="A6" s="425">
        <f>ELEC!C4</f>
        <v>44774</v>
      </c>
      <c r="B6" s="497">
        <f>'B5'!B5</f>
        <v>235</v>
      </c>
      <c r="C6" s="203">
        <f>B6*$B$4</f>
        <v>5056.2903225806449</v>
      </c>
      <c r="D6">
        <f>SUM(B6)</f>
        <v>235</v>
      </c>
      <c r="E6" s="203">
        <f>D6*$B$4</f>
        <v>5056.2903225806449</v>
      </c>
      <c r="F6">
        <f>SUM(D6)</f>
        <v>235</v>
      </c>
      <c r="G6" s="203">
        <f t="shared" ref="G6:G33" si="1">F6*$B$4</f>
        <v>5056.2903225806449</v>
      </c>
      <c r="H6" s="203">
        <f>SUM(F6)</f>
        <v>235</v>
      </c>
      <c r="I6" s="203">
        <f t="shared" ref="I6:I33" si="2">H6*$B$4</f>
        <v>5056.2903225806449</v>
      </c>
      <c r="J6" s="203">
        <f>SUM(H6)</f>
        <v>235</v>
      </c>
      <c r="K6" s="203">
        <f t="shared" ref="K6:K33" si="3">J6*$B$4</f>
        <v>5056.2903225806449</v>
      </c>
      <c r="L6" s="203">
        <f>SUM(J6)</f>
        <v>235</v>
      </c>
      <c r="M6" s="203">
        <f t="shared" ref="M6:M33" si="4">L6*$B$4</f>
        <v>5056.2903225806449</v>
      </c>
      <c r="N6" s="203">
        <f>SUM(L6)</f>
        <v>235</v>
      </c>
      <c r="O6" s="203">
        <f t="shared" ref="O6:O33" si="5">N6*$B$4</f>
        <v>5056.2903225806449</v>
      </c>
      <c r="P6" s="203">
        <f>SUM(N6)</f>
        <v>235</v>
      </c>
      <c r="Q6" s="203">
        <f t="shared" ref="Q6:Q33" si="6">P6*$B$4</f>
        <v>5056.2903225806449</v>
      </c>
      <c r="R6" s="203">
        <f>SUM(P6)</f>
        <v>235</v>
      </c>
      <c r="S6" s="203">
        <f t="shared" ref="S6:S33" si="7">R6*$B$4</f>
        <v>5056.2903225806449</v>
      </c>
      <c r="T6" s="203">
        <f>SUM(R6)</f>
        <v>235</v>
      </c>
      <c r="U6" s="203">
        <f t="shared" ref="U6:U33" si="8">T6*$B$4</f>
        <v>5056.2903225806449</v>
      </c>
      <c r="V6" s="203">
        <f>SUM(T6)</f>
        <v>235</v>
      </c>
      <c r="W6" s="203">
        <f t="shared" ref="W6:W33" si="9">V6*$B$4</f>
        <v>5056.2903225806449</v>
      </c>
      <c r="X6" s="35">
        <f t="shared" ref="X6:X29" si="10">SUM(Y6/73370)</f>
        <v>0.75806451612903214</v>
      </c>
      <c r="Y6" s="36">
        <f>SUM(C6+E6+G6+I6+K6+M6+O6+Q6+S6+U6+W6)</f>
        <v>55619.193548387091</v>
      </c>
      <c r="Z6" s="203">
        <f>'B5'!C5</f>
        <v>241</v>
      </c>
      <c r="AA6" s="203">
        <f>SUM(Z6*$Z$4)</f>
        <v>2410</v>
      </c>
      <c r="AB6" s="203">
        <f>SUM(Z6)</f>
        <v>241</v>
      </c>
      <c r="AC6" s="203">
        <f>SUM(AB6*$Z$4)</f>
        <v>2410</v>
      </c>
      <c r="AD6" s="203">
        <f>SUM(AB6)</f>
        <v>241</v>
      </c>
      <c r="AE6" s="203">
        <f t="shared" ref="AE6:AE33" si="11">SUM(AD6*$Z$4)</f>
        <v>2410</v>
      </c>
      <c r="AF6" s="203">
        <f>SUM(AD6)</f>
        <v>241</v>
      </c>
      <c r="AG6" s="203">
        <f t="shared" ref="AG6:AG33" si="12">SUM(AF6*$Z$4)</f>
        <v>2410</v>
      </c>
      <c r="AH6" s="203">
        <f>SUM(AF6)</f>
        <v>241</v>
      </c>
      <c r="AI6" s="203">
        <f t="shared" ref="AI6:AI33" si="13">SUM(AH6*$Z$4)</f>
        <v>2410</v>
      </c>
      <c r="AJ6" s="203">
        <f>SUM(AH6)</f>
        <v>241</v>
      </c>
      <c r="AK6" s="203">
        <f t="shared" ref="AK6:AK33" si="14">SUM(AJ6*$Z$4)</f>
        <v>2410</v>
      </c>
      <c r="AL6" s="203">
        <f>SUM(AJ6)</f>
        <v>241</v>
      </c>
      <c r="AM6" s="203">
        <f t="shared" ref="AM6:AM33" si="15">SUM(AL6*$Z$4)</f>
        <v>2410</v>
      </c>
      <c r="AN6" s="35">
        <f t="shared" ref="AN6:AN29" si="16">SUM(AO6/19600)</f>
        <v>0.86071428571428577</v>
      </c>
      <c r="AO6" s="36">
        <f>SUM(AA6+AC6+AE6+AG6+AI6+AK6+AM6)</f>
        <v>16870</v>
      </c>
      <c r="AQ6" s="223">
        <f>SUM(AR6/92970)</f>
        <v>0.77970521187896191</v>
      </c>
      <c r="AR6" s="38">
        <f>Y6+AO6</f>
        <v>72489.193548387091</v>
      </c>
      <c r="AS6" s="197">
        <f>SUM(AR6-AR5-AT6)</f>
        <v>-313.16129032257595</v>
      </c>
      <c r="AT6" s="340">
        <v>5150</v>
      </c>
      <c r="AU6" s="546">
        <v>1.0780000000000001</v>
      </c>
      <c r="AV6" s="485">
        <f>IF(AT6&gt;0,AU6,AV5)</f>
        <v>1.0780000000000001</v>
      </c>
      <c r="AW6" s="279">
        <f>-SUM('B5'!AI5)</f>
        <v>-113</v>
      </c>
      <c r="AX6" s="279">
        <f t="shared" ref="AX6:AX33" si="17">-SUM(AW6-AS6)</f>
        <v>-200.16129032257595</v>
      </c>
      <c r="AY6" s="37">
        <f>SUM(AX6+AW6)</f>
        <v>-313.16129032257595</v>
      </c>
      <c r="AZ6" s="100">
        <f>ELEC!A4</f>
        <v>0</v>
      </c>
      <c r="BA6" s="118">
        <f>'General information '!D5</f>
        <v>28.5</v>
      </c>
      <c r="BB6" s="269">
        <f>SUM('General information '!E5)</f>
        <v>0.68</v>
      </c>
      <c r="BC6" s="3">
        <f>IF(AR3&gt;=AR6,0,1)</f>
        <v>0</v>
      </c>
      <c r="BD6" s="102">
        <v>19222</v>
      </c>
      <c r="BE6" s="14">
        <f>(305/1185)*ELEC!Q5</f>
        <v>1147.9324894512522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-16.680107526881329</v>
      </c>
      <c r="BK6" s="536"/>
    </row>
    <row r="7" spans="1:63">
      <c r="A7" s="425">
        <f>ELEC!C5</f>
        <v>44775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237</v>
      </c>
      <c r="AA7" s="203">
        <f t="shared" ref="AA7:AC33" si="30">SUM(Z7*$Z$4)</f>
        <v>2370</v>
      </c>
      <c r="AB7" s="203">
        <f t="shared" ref="AB7:AB29" si="31">SUM(Z7)</f>
        <v>237</v>
      </c>
      <c r="AC7" s="203">
        <f t="shared" si="30"/>
        <v>2370</v>
      </c>
      <c r="AD7" s="203">
        <f t="shared" ref="AD7:AD29" si="32">SUM(AB7)</f>
        <v>237</v>
      </c>
      <c r="AE7" s="203">
        <f t="shared" si="11"/>
        <v>2370</v>
      </c>
      <c r="AF7" s="203">
        <f t="shared" ref="AF7:AF29" si="33">SUM(AD7)</f>
        <v>237</v>
      </c>
      <c r="AG7" s="203">
        <f t="shared" si="12"/>
        <v>2370</v>
      </c>
      <c r="AH7" s="203">
        <f t="shared" ref="AH7:AH29" si="34">SUM(AF7)</f>
        <v>237</v>
      </c>
      <c r="AI7" s="203">
        <f t="shared" si="13"/>
        <v>2370</v>
      </c>
      <c r="AJ7" s="203">
        <f t="shared" ref="AJ7:AJ29" si="35">SUM(AH7)</f>
        <v>237</v>
      </c>
      <c r="AK7" s="203">
        <f t="shared" si="14"/>
        <v>2370</v>
      </c>
      <c r="AL7" s="203">
        <f t="shared" ref="AL7:AL29" si="36">SUM(AJ7)</f>
        <v>237</v>
      </c>
      <c r="AM7" s="203">
        <f t="shared" si="15"/>
        <v>2370</v>
      </c>
      <c r="AN7" s="35">
        <f>SUM(AO7/19600)</f>
        <v>0.84642857142857142</v>
      </c>
      <c r="AO7" s="36">
        <f>SUM(AA7+AC7+AE7+AG7+AI7+AK7+AM7)</f>
        <v>16590</v>
      </c>
      <c r="AQ7" s="223">
        <f>SUM(AR7/92970)</f>
        <v>0.76651052889069315</v>
      </c>
      <c r="AR7" s="38">
        <f>Y7+AO7</f>
        <v>71262.483870967742</v>
      </c>
      <c r="AS7" s="197">
        <f>SUM(AR7-AR6-AT7)</f>
        <v>-1226.7096774193487</v>
      </c>
      <c r="AT7" s="340"/>
      <c r="AU7" s="546"/>
      <c r="AV7" s="485">
        <f>IF(AT7&gt;0,AU7,AV6)</f>
        <v>1.0780000000000001</v>
      </c>
      <c r="AW7" s="279">
        <f>-SUM('B5'!AI6)</f>
        <v>-33</v>
      </c>
      <c r="AX7" s="279">
        <f t="shared" si="17"/>
        <v>-1193.7096774193487</v>
      </c>
      <c r="AY7" s="37">
        <f t="shared" ref="AY7:AY33" si="37">SUM(AX7+AW7)</f>
        <v>-1226.7096774193487</v>
      </c>
      <c r="AZ7" s="100">
        <f>ELEC!A5</f>
        <v>0</v>
      </c>
      <c r="BA7" s="118">
        <f>'General information '!D6</f>
        <v>28.5</v>
      </c>
      <c r="BB7" s="378">
        <f>SUM('General information '!E6)</f>
        <v>0.71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-79.580645161289922</v>
      </c>
      <c r="BK7" s="536"/>
    </row>
    <row r="8" spans="1:63">
      <c r="A8" s="425">
        <f>ELEC!C6</f>
        <v>44776</v>
      </c>
      <c r="B8">
        <f>'B5'!B7</f>
        <v>231</v>
      </c>
      <c r="C8" s="203">
        <f t="shared" si="18"/>
        <v>4970.2258064516127</v>
      </c>
      <c r="D8">
        <f t="shared" si="19"/>
        <v>231</v>
      </c>
      <c r="E8" s="203">
        <f t="shared" si="18"/>
        <v>4970.2258064516127</v>
      </c>
      <c r="F8">
        <f t="shared" si="20"/>
        <v>231</v>
      </c>
      <c r="G8" s="203">
        <f t="shared" si="1"/>
        <v>4970.2258064516127</v>
      </c>
      <c r="H8" s="203">
        <f t="shared" si="21"/>
        <v>231</v>
      </c>
      <c r="I8" s="203">
        <f t="shared" si="2"/>
        <v>4970.2258064516127</v>
      </c>
      <c r="J8" s="203">
        <f t="shared" si="22"/>
        <v>231</v>
      </c>
      <c r="K8" s="203">
        <f t="shared" si="3"/>
        <v>4970.2258064516127</v>
      </c>
      <c r="L8" s="203">
        <f t="shared" si="23"/>
        <v>231</v>
      </c>
      <c r="M8" s="203">
        <f t="shared" si="4"/>
        <v>4970.2258064516127</v>
      </c>
      <c r="N8" s="203">
        <f t="shared" si="24"/>
        <v>231</v>
      </c>
      <c r="O8" s="203">
        <f t="shared" si="5"/>
        <v>4970.2258064516127</v>
      </c>
      <c r="P8" s="203">
        <f t="shared" si="25"/>
        <v>231</v>
      </c>
      <c r="Q8" s="203">
        <f t="shared" si="6"/>
        <v>4970.2258064516127</v>
      </c>
      <c r="R8" s="203">
        <f t="shared" si="26"/>
        <v>231</v>
      </c>
      <c r="S8" s="203">
        <f t="shared" si="7"/>
        <v>4970.2258064516127</v>
      </c>
      <c r="T8" s="203">
        <f t="shared" si="27"/>
        <v>231</v>
      </c>
      <c r="U8" s="203">
        <f t="shared" si="8"/>
        <v>4970.2258064516127</v>
      </c>
      <c r="V8" s="203">
        <f t="shared" si="28"/>
        <v>231</v>
      </c>
      <c r="W8" s="203">
        <f t="shared" si="9"/>
        <v>4970.2258064516127</v>
      </c>
      <c r="X8" s="35">
        <f t="shared" si="10"/>
        <v>0.74516129032258061</v>
      </c>
      <c r="Y8" s="36">
        <f t="shared" si="29"/>
        <v>54672.483870967742</v>
      </c>
      <c r="Z8" s="203">
        <f>'B5'!C7</f>
        <v>237</v>
      </c>
      <c r="AA8" s="203">
        <f t="shared" si="30"/>
        <v>2370</v>
      </c>
      <c r="AB8" s="203">
        <f t="shared" si="31"/>
        <v>237</v>
      </c>
      <c r="AC8" s="203">
        <f t="shared" si="30"/>
        <v>2370</v>
      </c>
      <c r="AD8" s="203">
        <f t="shared" si="32"/>
        <v>237</v>
      </c>
      <c r="AE8" s="203">
        <f t="shared" si="11"/>
        <v>2370</v>
      </c>
      <c r="AF8" s="203">
        <f t="shared" si="33"/>
        <v>237</v>
      </c>
      <c r="AG8" s="203">
        <f t="shared" si="12"/>
        <v>2370</v>
      </c>
      <c r="AH8" s="203">
        <f t="shared" si="34"/>
        <v>237</v>
      </c>
      <c r="AI8" s="203">
        <f t="shared" si="13"/>
        <v>2370</v>
      </c>
      <c r="AJ8" s="203">
        <f t="shared" si="35"/>
        <v>237</v>
      </c>
      <c r="AK8" s="203">
        <f t="shared" si="14"/>
        <v>2370</v>
      </c>
      <c r="AL8" s="203">
        <f t="shared" si="36"/>
        <v>237</v>
      </c>
      <c r="AM8" s="203">
        <f t="shared" si="15"/>
        <v>2370</v>
      </c>
      <c r="AN8" s="35">
        <f t="shared" si="16"/>
        <v>0.84642857142857142</v>
      </c>
      <c r="AO8" s="36">
        <f t="shared" ref="AO8:AO29" si="39">SUM(AA8+AC8+AE8+AG8+AI8+AK8+AM8)</f>
        <v>16590</v>
      </c>
      <c r="AQ8" s="223">
        <f t="shared" ref="AQ8:AQ33" si="40">SUM(AR8/92970)</f>
        <v>0.76651052889069315</v>
      </c>
      <c r="AR8" s="38">
        <f t="shared" ref="AR8:AR36" si="41">Y8+AO8</f>
        <v>71262.483870967742</v>
      </c>
      <c r="AS8" s="197">
        <f t="shared" ref="AS8:AS17" si="42">SUM(AR8-AR7-AT8)</f>
        <v>0</v>
      </c>
      <c r="AT8" s="340"/>
      <c r="AU8" s="546"/>
      <c r="AV8" s="485">
        <f t="shared" ref="AV8:AV31" si="43">IF(AT8&gt;0,AU8,AV7)</f>
        <v>1.0780000000000001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576.02531645600334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44777</v>
      </c>
      <c r="B9">
        <f>'B5'!B8</f>
        <v>227</v>
      </c>
      <c r="C9" s="203">
        <f t="shared" si="18"/>
        <v>4884.1612903225805</v>
      </c>
      <c r="D9">
        <f t="shared" si="19"/>
        <v>227</v>
      </c>
      <c r="E9" s="203">
        <f t="shared" si="18"/>
        <v>4884.1612903225805</v>
      </c>
      <c r="F9">
        <f t="shared" si="20"/>
        <v>227</v>
      </c>
      <c r="G9" s="203">
        <f t="shared" si="1"/>
        <v>4884.1612903225805</v>
      </c>
      <c r="H9" s="203">
        <f t="shared" si="21"/>
        <v>227</v>
      </c>
      <c r="I9" s="203">
        <f t="shared" si="2"/>
        <v>4884.1612903225805</v>
      </c>
      <c r="J9" s="203">
        <f t="shared" si="22"/>
        <v>227</v>
      </c>
      <c r="K9" s="203">
        <f t="shared" si="3"/>
        <v>4884.1612903225805</v>
      </c>
      <c r="L9" s="203">
        <f t="shared" si="23"/>
        <v>227</v>
      </c>
      <c r="M9" s="203">
        <f t="shared" si="4"/>
        <v>4884.1612903225805</v>
      </c>
      <c r="N9" s="203">
        <f t="shared" si="24"/>
        <v>227</v>
      </c>
      <c r="O9" s="203">
        <f t="shared" si="5"/>
        <v>4884.1612903225805</v>
      </c>
      <c r="P9" s="203">
        <f t="shared" si="25"/>
        <v>227</v>
      </c>
      <c r="Q9" s="203">
        <f t="shared" si="6"/>
        <v>4884.1612903225805</v>
      </c>
      <c r="R9" s="203">
        <f t="shared" si="26"/>
        <v>227</v>
      </c>
      <c r="S9" s="203">
        <f t="shared" si="7"/>
        <v>4884.1612903225805</v>
      </c>
      <c r="T9" s="203">
        <f t="shared" si="27"/>
        <v>227</v>
      </c>
      <c r="U9" s="203">
        <f t="shared" si="8"/>
        <v>4884.1612903225805</v>
      </c>
      <c r="V9" s="203">
        <f t="shared" si="28"/>
        <v>227</v>
      </c>
      <c r="W9" s="203">
        <f t="shared" si="9"/>
        <v>4884.1612903225805</v>
      </c>
      <c r="X9" s="35">
        <f t="shared" si="10"/>
        <v>0.73225806451612907</v>
      </c>
      <c r="Y9" s="36">
        <f t="shared" si="29"/>
        <v>53725.774193548394</v>
      </c>
      <c r="Z9" s="203">
        <f>'B5'!C8</f>
        <v>233</v>
      </c>
      <c r="AA9" s="203">
        <f t="shared" si="30"/>
        <v>2330</v>
      </c>
      <c r="AB9" s="203">
        <f t="shared" si="31"/>
        <v>233</v>
      </c>
      <c r="AC9" s="203">
        <f t="shared" si="30"/>
        <v>2330</v>
      </c>
      <c r="AD9" s="203">
        <f t="shared" si="32"/>
        <v>233</v>
      </c>
      <c r="AE9" s="203">
        <f t="shared" si="11"/>
        <v>2330</v>
      </c>
      <c r="AF9" s="203">
        <f t="shared" si="33"/>
        <v>233</v>
      </c>
      <c r="AG9" s="203">
        <f t="shared" si="12"/>
        <v>2330</v>
      </c>
      <c r="AH9" s="203">
        <f t="shared" si="34"/>
        <v>233</v>
      </c>
      <c r="AI9" s="203">
        <f t="shared" si="13"/>
        <v>2330</v>
      </c>
      <c r="AJ9" s="203">
        <f t="shared" si="35"/>
        <v>233</v>
      </c>
      <c r="AK9" s="203">
        <f t="shared" si="14"/>
        <v>2330</v>
      </c>
      <c r="AL9" s="203">
        <f t="shared" si="36"/>
        <v>233</v>
      </c>
      <c r="AM9" s="203">
        <f t="shared" si="15"/>
        <v>2330</v>
      </c>
      <c r="AN9" s="35">
        <f t="shared" si="16"/>
        <v>0.83214285714285718</v>
      </c>
      <c r="AO9" s="36">
        <f>SUM(AA9+AC9+AE9+AG9+AI9+AK9+AM9)</f>
        <v>16310</v>
      </c>
      <c r="AQ9" s="223">
        <f t="shared" si="40"/>
        <v>0.7533158459024244</v>
      </c>
      <c r="AR9" s="38">
        <f t="shared" si="41"/>
        <v>70035.774193548394</v>
      </c>
      <c r="AS9" s="197">
        <f>SUM(AR9-AR8-AT9)</f>
        <v>-1226.7096774193487</v>
      </c>
      <c r="AT9" s="340"/>
      <c r="AU9" s="546"/>
      <c r="AV9" s="485">
        <f t="shared" si="43"/>
        <v>1.0780000000000001</v>
      </c>
      <c r="AW9" s="279">
        <f>-SUM('B5'!AI8)</f>
        <v>-135</v>
      </c>
      <c r="AX9" s="279">
        <f t="shared" si="17"/>
        <v>-1091.7096774193487</v>
      </c>
      <c r="AY9" s="37">
        <f t="shared" si="37"/>
        <v>-1226.7096774193487</v>
      </c>
      <c r="AZ9" s="100">
        <f>ELEC!A7</f>
        <v>0</v>
      </c>
      <c r="BA9" s="118">
        <f>'General information '!D8</f>
        <v>28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-181.9516129032248</v>
      </c>
      <c r="BK9" s="536">
        <f>GEN!AF6</f>
        <v>0.17484375000009322</v>
      </c>
    </row>
    <row r="10" spans="1:63">
      <c r="A10" s="425">
        <f>ELEC!C8</f>
        <v>44778</v>
      </c>
      <c r="B10">
        <f>'B5'!B9</f>
        <v>227</v>
      </c>
      <c r="C10" s="203">
        <f t="shared" si="18"/>
        <v>4884.1612903225805</v>
      </c>
      <c r="D10">
        <f t="shared" si="19"/>
        <v>227</v>
      </c>
      <c r="E10" s="203">
        <f t="shared" si="18"/>
        <v>4884.1612903225805</v>
      </c>
      <c r="F10">
        <f t="shared" si="20"/>
        <v>227</v>
      </c>
      <c r="G10" s="203">
        <f t="shared" si="1"/>
        <v>4884.1612903225805</v>
      </c>
      <c r="H10" s="203">
        <f t="shared" si="21"/>
        <v>227</v>
      </c>
      <c r="I10" s="203">
        <f t="shared" si="2"/>
        <v>4884.1612903225805</v>
      </c>
      <c r="J10" s="203">
        <f t="shared" si="22"/>
        <v>227</v>
      </c>
      <c r="K10" s="203">
        <f t="shared" si="3"/>
        <v>4884.1612903225805</v>
      </c>
      <c r="L10" s="203">
        <f t="shared" si="23"/>
        <v>227</v>
      </c>
      <c r="M10" s="203">
        <f t="shared" si="4"/>
        <v>4884.1612903225805</v>
      </c>
      <c r="N10" s="203">
        <f t="shared" si="24"/>
        <v>227</v>
      </c>
      <c r="O10" s="203">
        <f t="shared" si="5"/>
        <v>4884.1612903225805</v>
      </c>
      <c r="P10" s="203">
        <f t="shared" si="25"/>
        <v>227</v>
      </c>
      <c r="Q10" s="203">
        <f t="shared" si="6"/>
        <v>4884.1612903225805</v>
      </c>
      <c r="R10" s="203">
        <f t="shared" si="26"/>
        <v>227</v>
      </c>
      <c r="S10" s="203">
        <f t="shared" si="7"/>
        <v>4884.1612903225805</v>
      </c>
      <c r="T10" s="203">
        <f t="shared" si="27"/>
        <v>227</v>
      </c>
      <c r="U10" s="203">
        <f t="shared" si="8"/>
        <v>4884.1612903225805</v>
      </c>
      <c r="V10" s="203">
        <f t="shared" si="28"/>
        <v>227</v>
      </c>
      <c r="W10" s="203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3">
        <f>'B5'!C9</f>
        <v>233</v>
      </c>
      <c r="AA10" s="203">
        <f t="shared" si="30"/>
        <v>2330</v>
      </c>
      <c r="AB10" s="203">
        <f t="shared" si="31"/>
        <v>233</v>
      </c>
      <c r="AC10" s="203">
        <f t="shared" si="30"/>
        <v>2330</v>
      </c>
      <c r="AD10" s="203">
        <f t="shared" si="32"/>
        <v>233</v>
      </c>
      <c r="AE10" s="203">
        <f t="shared" si="11"/>
        <v>2330</v>
      </c>
      <c r="AF10" s="203">
        <f t="shared" si="33"/>
        <v>233</v>
      </c>
      <c r="AG10" s="203">
        <f t="shared" si="12"/>
        <v>2330</v>
      </c>
      <c r="AH10" s="203">
        <f t="shared" si="34"/>
        <v>233</v>
      </c>
      <c r="AI10" s="203">
        <f t="shared" si="13"/>
        <v>2330</v>
      </c>
      <c r="AJ10" s="203">
        <f t="shared" si="35"/>
        <v>233</v>
      </c>
      <c r="AK10" s="203">
        <f t="shared" si="14"/>
        <v>2330</v>
      </c>
      <c r="AL10" s="203">
        <f t="shared" si="36"/>
        <v>233</v>
      </c>
      <c r="AM10" s="203">
        <f t="shared" si="15"/>
        <v>2330</v>
      </c>
      <c r="AN10" s="35">
        <f t="shared" si="16"/>
        <v>0.83214285714285718</v>
      </c>
      <c r="AO10" s="36">
        <f t="shared" si="39"/>
        <v>16310</v>
      </c>
      <c r="AQ10" s="223">
        <f t="shared" si="40"/>
        <v>0.7533158459024244</v>
      </c>
      <c r="AR10" s="38">
        <f t="shared" si="41"/>
        <v>70035.774193548394</v>
      </c>
      <c r="AS10" s="197">
        <f>SUM(AR10-AR9-AT10)</f>
        <v>0</v>
      </c>
      <c r="AT10" s="340"/>
      <c r="AU10" s="546"/>
      <c r="AV10" s="485">
        <f>IF(AT10&gt;0,AU10,AV9)</f>
        <v>1.0780000000000001</v>
      </c>
      <c r="AW10" s="279">
        <f>-SUM('B5'!AI9)</f>
        <v>0</v>
      </c>
      <c r="AX10" s="279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6" t="e">
        <f>GEN!AF7</f>
        <v>#DIV/0!</v>
      </c>
    </row>
    <row r="11" spans="1:63">
      <c r="A11" s="425">
        <f>ELEC!C9</f>
        <v>44779</v>
      </c>
      <c r="B11">
        <f>'B5'!B10</f>
        <v>227</v>
      </c>
      <c r="C11" s="203">
        <f t="shared" si="18"/>
        <v>4884.1612903225805</v>
      </c>
      <c r="D11">
        <f>SUM(B11)</f>
        <v>227</v>
      </c>
      <c r="E11" s="203">
        <f t="shared" si="18"/>
        <v>4884.1612903225805</v>
      </c>
      <c r="F11">
        <f>SUM(D11)</f>
        <v>227</v>
      </c>
      <c r="G11" s="203">
        <f t="shared" si="1"/>
        <v>4884.1612903225805</v>
      </c>
      <c r="H11" s="203">
        <f>SUM(F11)</f>
        <v>227</v>
      </c>
      <c r="I11" s="203">
        <f t="shared" si="2"/>
        <v>4884.1612903225805</v>
      </c>
      <c r="J11" s="203">
        <f>SUM(H11)</f>
        <v>227</v>
      </c>
      <c r="K11" s="203">
        <f t="shared" si="3"/>
        <v>4884.1612903225805</v>
      </c>
      <c r="L11" s="203">
        <f>SUM(J11)</f>
        <v>227</v>
      </c>
      <c r="M11" s="203">
        <f t="shared" si="4"/>
        <v>4884.1612903225805</v>
      </c>
      <c r="N11" s="203">
        <f>SUM(L11)</f>
        <v>227</v>
      </c>
      <c r="O11" s="203">
        <f t="shared" si="5"/>
        <v>4884.1612903225805</v>
      </c>
      <c r="P11" s="203">
        <f>SUM(N11)</f>
        <v>227</v>
      </c>
      <c r="Q11" s="203">
        <f t="shared" si="6"/>
        <v>4884.1612903225805</v>
      </c>
      <c r="R11" s="203">
        <f>SUM(P11)</f>
        <v>227</v>
      </c>
      <c r="S11" s="203">
        <f t="shared" si="7"/>
        <v>4884.1612903225805</v>
      </c>
      <c r="T11" s="203">
        <f>SUM(R11)</f>
        <v>227</v>
      </c>
      <c r="U11" s="203">
        <f t="shared" si="8"/>
        <v>4884.1612903225805</v>
      </c>
      <c r="V11" s="203">
        <f>SUM(T11)</f>
        <v>227</v>
      </c>
      <c r="W11" s="203">
        <f t="shared" si="9"/>
        <v>4884.1612903225805</v>
      </c>
      <c r="X11" s="35">
        <f>SUM(Y11/73370)</f>
        <v>0.73225806451612907</v>
      </c>
      <c r="Y11" s="36">
        <f>SUM(C11+E11+G11+I11+K11+M11+O11+Q11+S11+U11+W11)</f>
        <v>53725.774193548394</v>
      </c>
      <c r="Z11" s="203">
        <f>'B5'!C10</f>
        <v>233</v>
      </c>
      <c r="AA11" s="203">
        <f t="shared" si="30"/>
        <v>2330</v>
      </c>
      <c r="AB11" s="203">
        <f>SUM(Z11)</f>
        <v>233</v>
      </c>
      <c r="AC11" s="203">
        <f t="shared" si="30"/>
        <v>2330</v>
      </c>
      <c r="AD11" s="203">
        <f>SUM(AB11)</f>
        <v>233</v>
      </c>
      <c r="AE11" s="203">
        <f t="shared" si="11"/>
        <v>2330</v>
      </c>
      <c r="AF11" s="203">
        <f>SUM(AD11)</f>
        <v>233</v>
      </c>
      <c r="AG11" s="203">
        <f t="shared" si="12"/>
        <v>2330</v>
      </c>
      <c r="AH11" s="203">
        <f>SUM(AF11)</f>
        <v>233</v>
      </c>
      <c r="AI11" s="203">
        <f t="shared" si="13"/>
        <v>2330</v>
      </c>
      <c r="AJ11" s="203">
        <f>SUM(AH11)</f>
        <v>233</v>
      </c>
      <c r="AK11" s="203">
        <f t="shared" si="14"/>
        <v>2330</v>
      </c>
      <c r="AL11" s="203">
        <f>SUM(AJ11)</f>
        <v>233</v>
      </c>
      <c r="AM11" s="203">
        <f t="shared" si="15"/>
        <v>2330</v>
      </c>
      <c r="AN11" s="35">
        <f>SUM(AO11/19600)</f>
        <v>0.83214285714285718</v>
      </c>
      <c r="AO11" s="36">
        <f t="shared" si="39"/>
        <v>16310</v>
      </c>
      <c r="AP11" s="523"/>
      <c r="AQ11" s="223">
        <f t="shared" si="40"/>
        <v>0.7533158459024244</v>
      </c>
      <c r="AR11" s="38">
        <f>Y11+AO11</f>
        <v>70035.774193548394</v>
      </c>
      <c r="AS11" s="197">
        <f t="shared" si="42"/>
        <v>0</v>
      </c>
      <c r="AT11" s="340"/>
      <c r="AU11" s="546"/>
      <c r="AV11" s="485">
        <f>IF(AT11&gt;0,AU11,AV10)</f>
        <v>1.0780000000000001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1027.7341772148229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6"/>
    </row>
    <row r="12" spans="1:63">
      <c r="A12" s="425">
        <f>ELEC!C10</f>
        <v>44780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3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-920.03225806452974</v>
      </c>
      <c r="AT12" s="340"/>
      <c r="AU12" s="546"/>
      <c r="AV12" s="485">
        <f t="shared" si="43"/>
        <v>1.0780000000000001</v>
      </c>
      <c r="AW12" s="279">
        <f>-SUM('B5'!AI11)</f>
        <v>-84</v>
      </c>
      <c r="AX12" s="279">
        <f t="shared" si="17"/>
        <v>-836.03225806452974</v>
      </c>
      <c r="AY12" s="37">
        <f t="shared" si="37"/>
        <v>-920.03225806452974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-225.95466434172036</v>
      </c>
      <c r="BK12" s="536"/>
    </row>
    <row r="13" spans="1:63">
      <c r="A13" s="425">
        <f>ELEC!C11</f>
        <v>44781</v>
      </c>
      <c r="B13">
        <f>'B5'!B12</f>
        <v>224</v>
      </c>
      <c r="C13" s="203">
        <f t="shared" si="18"/>
        <v>4819.6129032258068</v>
      </c>
      <c r="D13">
        <f t="shared" si="19"/>
        <v>224</v>
      </c>
      <c r="E13" s="203">
        <f t="shared" si="18"/>
        <v>4819.6129032258068</v>
      </c>
      <c r="F13">
        <f t="shared" si="20"/>
        <v>224</v>
      </c>
      <c r="G13" s="203">
        <f t="shared" si="1"/>
        <v>4819.6129032258068</v>
      </c>
      <c r="H13" s="203">
        <f t="shared" si="21"/>
        <v>224</v>
      </c>
      <c r="I13" s="203">
        <f t="shared" si="2"/>
        <v>4819.6129032258068</v>
      </c>
      <c r="J13" s="203">
        <f t="shared" si="22"/>
        <v>224</v>
      </c>
      <c r="K13" s="203">
        <f t="shared" si="3"/>
        <v>4819.6129032258068</v>
      </c>
      <c r="L13" s="203">
        <f t="shared" si="23"/>
        <v>224</v>
      </c>
      <c r="M13" s="203">
        <f t="shared" si="4"/>
        <v>4819.6129032258068</v>
      </c>
      <c r="N13" s="203">
        <f t="shared" si="24"/>
        <v>224</v>
      </c>
      <c r="O13" s="203">
        <f t="shared" si="5"/>
        <v>4819.6129032258068</v>
      </c>
      <c r="P13" s="203">
        <f t="shared" si="25"/>
        <v>224</v>
      </c>
      <c r="Q13" s="203">
        <f t="shared" si="6"/>
        <v>4819.6129032258068</v>
      </c>
      <c r="R13" s="203">
        <f t="shared" si="26"/>
        <v>224</v>
      </c>
      <c r="S13" s="203">
        <f t="shared" si="7"/>
        <v>4819.6129032258068</v>
      </c>
      <c r="T13" s="203">
        <f t="shared" si="27"/>
        <v>224</v>
      </c>
      <c r="U13" s="203">
        <f t="shared" si="8"/>
        <v>4819.6129032258068</v>
      </c>
      <c r="V13" s="203">
        <f t="shared" si="28"/>
        <v>224</v>
      </c>
      <c r="W13" s="203">
        <f t="shared" si="9"/>
        <v>4819.6129032258068</v>
      </c>
      <c r="X13" s="35">
        <f t="shared" si="10"/>
        <v>0.72258064516129028</v>
      </c>
      <c r="Y13" s="36">
        <f t="shared" si="29"/>
        <v>53015.741935483864</v>
      </c>
      <c r="Z13" s="203">
        <f>'B5'!C12</f>
        <v>230</v>
      </c>
      <c r="AA13" s="203">
        <f t="shared" si="30"/>
        <v>2300</v>
      </c>
      <c r="AB13" s="203">
        <f t="shared" si="31"/>
        <v>230</v>
      </c>
      <c r="AC13" s="203">
        <f t="shared" si="30"/>
        <v>2300</v>
      </c>
      <c r="AD13" s="203">
        <f t="shared" si="32"/>
        <v>230</v>
      </c>
      <c r="AE13" s="203">
        <f t="shared" si="11"/>
        <v>2300</v>
      </c>
      <c r="AF13" s="203">
        <f t="shared" si="33"/>
        <v>230</v>
      </c>
      <c r="AG13" s="203">
        <f t="shared" si="12"/>
        <v>2300</v>
      </c>
      <c r="AH13" s="203">
        <f t="shared" si="34"/>
        <v>230</v>
      </c>
      <c r="AI13" s="203">
        <f t="shared" si="13"/>
        <v>2300</v>
      </c>
      <c r="AJ13" s="203">
        <f t="shared" si="35"/>
        <v>230</v>
      </c>
      <c r="AK13" s="203">
        <f t="shared" si="14"/>
        <v>2300</v>
      </c>
      <c r="AL13" s="203">
        <f t="shared" si="36"/>
        <v>230</v>
      </c>
      <c r="AM13" s="203">
        <f t="shared" si="15"/>
        <v>2300</v>
      </c>
      <c r="AN13" s="35">
        <f t="shared" si="16"/>
        <v>0.8214285714285714</v>
      </c>
      <c r="AO13" s="36">
        <f t="shared" si="39"/>
        <v>16100</v>
      </c>
      <c r="AP13" s="523"/>
      <c r="AQ13" s="223">
        <f t="shared" si="40"/>
        <v>0.74341983366122255</v>
      </c>
      <c r="AR13" s="38">
        <f>Y13+AO13</f>
        <v>69115.741935483864</v>
      </c>
      <c r="AS13" s="197">
        <f>SUM(AR13-AR12-AT13)</f>
        <v>0</v>
      </c>
      <c r="AT13" s="340"/>
      <c r="AU13" s="546"/>
      <c r="AV13" s="485">
        <f t="shared" si="43"/>
        <v>1.0780000000000001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24.5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529.18143459928353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44782</v>
      </c>
      <c r="B14">
        <f>'B5'!B13</f>
        <v>219</v>
      </c>
      <c r="C14" s="203">
        <f t="shared" si="18"/>
        <v>4712.0322580645161</v>
      </c>
      <c r="D14">
        <f t="shared" si="19"/>
        <v>219</v>
      </c>
      <c r="E14" s="203">
        <f t="shared" si="18"/>
        <v>4712.0322580645161</v>
      </c>
      <c r="F14">
        <f t="shared" si="20"/>
        <v>219</v>
      </c>
      <c r="G14" s="203">
        <f t="shared" si="1"/>
        <v>4712.0322580645161</v>
      </c>
      <c r="H14" s="203">
        <f t="shared" si="21"/>
        <v>219</v>
      </c>
      <c r="I14" s="203">
        <f t="shared" si="2"/>
        <v>4712.0322580645161</v>
      </c>
      <c r="J14" s="203">
        <f t="shared" si="22"/>
        <v>219</v>
      </c>
      <c r="K14" s="203">
        <f t="shared" si="3"/>
        <v>4712.0322580645161</v>
      </c>
      <c r="L14" s="203">
        <f t="shared" si="23"/>
        <v>219</v>
      </c>
      <c r="M14" s="203">
        <f t="shared" si="4"/>
        <v>4712.0322580645161</v>
      </c>
      <c r="N14" s="203">
        <f t="shared" si="24"/>
        <v>219</v>
      </c>
      <c r="O14" s="203">
        <f t="shared" si="5"/>
        <v>4712.0322580645161</v>
      </c>
      <c r="P14" s="203">
        <f t="shared" si="25"/>
        <v>219</v>
      </c>
      <c r="Q14" s="203">
        <f t="shared" si="6"/>
        <v>4712.0322580645161</v>
      </c>
      <c r="R14" s="203">
        <f t="shared" si="26"/>
        <v>219</v>
      </c>
      <c r="S14" s="203">
        <f t="shared" si="7"/>
        <v>4712.0322580645161</v>
      </c>
      <c r="T14" s="203">
        <f t="shared" si="27"/>
        <v>219</v>
      </c>
      <c r="U14" s="203">
        <f t="shared" si="8"/>
        <v>4712.0322580645161</v>
      </c>
      <c r="V14" s="203">
        <f t="shared" si="28"/>
        <v>219</v>
      </c>
      <c r="W14" s="203">
        <f t="shared" si="9"/>
        <v>4712.0322580645161</v>
      </c>
      <c r="X14" s="35">
        <f t="shared" si="10"/>
        <v>0.70645161290322578</v>
      </c>
      <c r="Y14" s="36">
        <f t="shared" si="29"/>
        <v>51832.354838709674</v>
      </c>
      <c r="Z14" s="203">
        <f>'B5'!C13</f>
        <v>226</v>
      </c>
      <c r="AA14" s="203">
        <f t="shared" si="30"/>
        <v>2260</v>
      </c>
      <c r="AB14" s="203">
        <f t="shared" si="31"/>
        <v>226</v>
      </c>
      <c r="AC14" s="203">
        <f t="shared" si="30"/>
        <v>2260</v>
      </c>
      <c r="AD14" s="203">
        <f t="shared" si="32"/>
        <v>226</v>
      </c>
      <c r="AE14" s="203">
        <f t="shared" si="11"/>
        <v>2260</v>
      </c>
      <c r="AF14" s="203">
        <f t="shared" si="33"/>
        <v>226</v>
      </c>
      <c r="AG14" s="203">
        <f t="shared" si="12"/>
        <v>2260</v>
      </c>
      <c r="AH14" s="203">
        <f t="shared" si="34"/>
        <v>226</v>
      </c>
      <c r="AI14" s="203">
        <f t="shared" si="13"/>
        <v>2260</v>
      </c>
      <c r="AJ14" s="203">
        <f t="shared" si="35"/>
        <v>226</v>
      </c>
      <c r="AK14" s="203">
        <f t="shared" si="14"/>
        <v>2260</v>
      </c>
      <c r="AL14" s="203">
        <f t="shared" si="36"/>
        <v>226</v>
      </c>
      <c r="AM14" s="203">
        <f t="shared" si="15"/>
        <v>2260</v>
      </c>
      <c r="AN14" s="35">
        <f t="shared" si="16"/>
        <v>0.80714285714285716</v>
      </c>
      <c r="AO14" s="36">
        <f t="shared" si="39"/>
        <v>15820</v>
      </c>
      <c r="AQ14" s="223">
        <f t="shared" si="40"/>
        <v>0.72767941097891431</v>
      </c>
      <c r="AR14" s="38">
        <f t="shared" si="41"/>
        <v>67652.354838709667</v>
      </c>
      <c r="AS14" s="197">
        <f>SUM(AR14-AR13-AT14)</f>
        <v>-1463.3870967741968</v>
      </c>
      <c r="AT14" s="340"/>
      <c r="AU14" s="546"/>
      <c r="AV14" s="485">
        <f t="shared" si="43"/>
        <v>1.0780000000000001</v>
      </c>
      <c r="AW14" s="279">
        <f>-SUM('B5'!AI13)</f>
        <v>-184</v>
      </c>
      <c r="AX14" s="279">
        <f t="shared" si="17"/>
        <v>-1279.3870967741968</v>
      </c>
      <c r="AY14" s="37">
        <f t="shared" si="37"/>
        <v>-1463.3870967741968</v>
      </c>
      <c r="AZ14" s="100">
        <f>ELEC!A12</f>
        <v>0</v>
      </c>
      <c r="BA14" s="118">
        <f>'General information '!D13</f>
        <v>28</v>
      </c>
      <c r="BB14" s="378">
        <f>SUM('General information '!E13)</f>
        <v>0.63</v>
      </c>
      <c r="BC14" s="3">
        <f t="shared" si="44"/>
        <v>0</v>
      </c>
      <c r="BD14" s="102">
        <v>19222</v>
      </c>
      <c r="BE14" s="14">
        <f>(305/1185)*ELEC!Q13</f>
        <v>817.19409282681704</v>
      </c>
      <c r="BF14" s="14"/>
      <c r="BG14" s="14" t="e">
        <f>#REF!-BE14</f>
        <v>#REF!</v>
      </c>
      <c r="BH14" s="11"/>
      <c r="BI14">
        <v>3</v>
      </c>
      <c r="BJ14">
        <f t="shared" si="38"/>
        <v>-426.46236559139896</v>
      </c>
      <c r="BK14" s="536">
        <f>GEN!AF11</f>
        <v>0.18357142857147274</v>
      </c>
    </row>
    <row r="15" spans="1:63" ht="13.5" customHeight="1">
      <c r="A15" s="425">
        <f>ELEC!C13</f>
        <v>44783</v>
      </c>
      <c r="B15">
        <f>'B5'!B14</f>
        <v>215</v>
      </c>
      <c r="C15" s="203">
        <f>B15*$B$4</f>
        <v>4625.9677419354839</v>
      </c>
      <c r="D15">
        <f t="shared" si="19"/>
        <v>215</v>
      </c>
      <c r="E15" s="203">
        <f t="shared" si="18"/>
        <v>4625.9677419354839</v>
      </c>
      <c r="F15">
        <f t="shared" si="20"/>
        <v>215</v>
      </c>
      <c r="G15" s="203">
        <f t="shared" si="1"/>
        <v>4625.9677419354839</v>
      </c>
      <c r="H15" s="203">
        <f t="shared" si="21"/>
        <v>215</v>
      </c>
      <c r="I15" s="203">
        <f t="shared" si="2"/>
        <v>4625.9677419354839</v>
      </c>
      <c r="J15" s="203">
        <f t="shared" si="22"/>
        <v>215</v>
      </c>
      <c r="K15" s="203">
        <f t="shared" si="3"/>
        <v>4625.9677419354839</v>
      </c>
      <c r="L15" s="203">
        <f t="shared" si="23"/>
        <v>215</v>
      </c>
      <c r="M15" s="203">
        <f t="shared" si="4"/>
        <v>4625.9677419354839</v>
      </c>
      <c r="N15" s="203">
        <f t="shared" si="24"/>
        <v>215</v>
      </c>
      <c r="O15" s="203">
        <f t="shared" si="5"/>
        <v>4625.9677419354839</v>
      </c>
      <c r="P15" s="203">
        <f t="shared" si="25"/>
        <v>215</v>
      </c>
      <c r="Q15" s="203">
        <f t="shared" si="6"/>
        <v>4625.9677419354839</v>
      </c>
      <c r="R15" s="203">
        <f t="shared" si="26"/>
        <v>215</v>
      </c>
      <c r="S15" s="203">
        <f t="shared" si="7"/>
        <v>4625.9677419354839</v>
      </c>
      <c r="T15" s="203">
        <f t="shared" si="27"/>
        <v>215</v>
      </c>
      <c r="U15" s="203">
        <f t="shared" si="8"/>
        <v>4625.9677419354839</v>
      </c>
      <c r="V15" s="203">
        <f t="shared" si="28"/>
        <v>215</v>
      </c>
      <c r="W15" s="203">
        <f t="shared" si="9"/>
        <v>4625.9677419354839</v>
      </c>
      <c r="X15" s="35">
        <f t="shared" si="10"/>
        <v>0.69354838709677424</v>
      </c>
      <c r="Y15" s="36">
        <f t="shared" si="29"/>
        <v>50885.645161290326</v>
      </c>
      <c r="Z15" s="203">
        <f>'B5'!C14</f>
        <v>222</v>
      </c>
      <c r="AA15" s="203">
        <f t="shared" si="30"/>
        <v>2220</v>
      </c>
      <c r="AB15" s="203">
        <f t="shared" si="31"/>
        <v>222</v>
      </c>
      <c r="AC15" s="203">
        <f t="shared" si="30"/>
        <v>2220</v>
      </c>
      <c r="AD15" s="203">
        <f t="shared" si="32"/>
        <v>222</v>
      </c>
      <c r="AE15" s="203">
        <f t="shared" si="11"/>
        <v>2220</v>
      </c>
      <c r="AF15" s="203">
        <f t="shared" si="33"/>
        <v>222</v>
      </c>
      <c r="AG15" s="203">
        <f t="shared" si="12"/>
        <v>2220</v>
      </c>
      <c r="AH15" s="203">
        <f t="shared" si="34"/>
        <v>222</v>
      </c>
      <c r="AI15" s="203">
        <f t="shared" si="13"/>
        <v>2220</v>
      </c>
      <c r="AJ15" s="203">
        <f t="shared" si="35"/>
        <v>222</v>
      </c>
      <c r="AK15" s="203">
        <f t="shared" si="14"/>
        <v>2220</v>
      </c>
      <c r="AL15" s="203">
        <f t="shared" si="36"/>
        <v>222</v>
      </c>
      <c r="AM15" s="203">
        <f t="shared" si="15"/>
        <v>2220</v>
      </c>
      <c r="AN15" s="35">
        <f t="shared" si="16"/>
        <v>0.79285714285714282</v>
      </c>
      <c r="AO15" s="36">
        <f t="shared" si="39"/>
        <v>15540</v>
      </c>
      <c r="AQ15" s="223">
        <f t="shared" si="40"/>
        <v>0.71448472799064577</v>
      </c>
      <c r="AR15" s="38">
        <f t="shared" si="41"/>
        <v>66425.645161290333</v>
      </c>
      <c r="AS15" s="197">
        <f t="shared" si="42"/>
        <v>-1226.7096774193342</v>
      </c>
      <c r="AT15" s="340"/>
      <c r="AU15" s="546"/>
      <c r="AV15" s="485">
        <f>IF(AT15&gt;0,AU15,AV14)</f>
        <v>1.0780000000000001</v>
      </c>
      <c r="AW15" s="279">
        <f>-SUM('B5'!AI14)</f>
        <v>-177</v>
      </c>
      <c r="AX15" s="279">
        <f t="shared" si="17"/>
        <v>-1049.7096774193342</v>
      </c>
      <c r="AY15" s="37">
        <f t="shared" si="37"/>
        <v>-1226.7096774193342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783.99156118197402</v>
      </c>
      <c r="BF15" s="14"/>
      <c r="BG15" s="14" t="e">
        <f>#REF!-BE15</f>
        <v>#REF!</v>
      </c>
      <c r="BH15" s="11"/>
      <c r="BI15">
        <v>4</v>
      </c>
      <c r="BJ15">
        <f t="shared" si="38"/>
        <v>-262.42741935483355</v>
      </c>
      <c r="BK15" s="536">
        <f>GEN!AF12</f>
        <v>0.18039772727268594</v>
      </c>
    </row>
    <row r="16" spans="1:63">
      <c r="A16" s="425">
        <f>ELEC!C14</f>
        <v>44784</v>
      </c>
      <c r="B16">
        <f>'B5'!B15</f>
        <v>253</v>
      </c>
      <c r="C16" s="203">
        <f t="shared" si="18"/>
        <v>5443.5806451612898</v>
      </c>
      <c r="D16">
        <f t="shared" si="19"/>
        <v>253</v>
      </c>
      <c r="E16" s="203">
        <f t="shared" si="18"/>
        <v>5443.5806451612898</v>
      </c>
      <c r="F16">
        <f t="shared" si="20"/>
        <v>253</v>
      </c>
      <c r="G16" s="203">
        <f t="shared" si="1"/>
        <v>5443.5806451612898</v>
      </c>
      <c r="H16" s="203">
        <f t="shared" si="21"/>
        <v>253</v>
      </c>
      <c r="I16" s="203">
        <f t="shared" si="2"/>
        <v>5443.5806451612898</v>
      </c>
      <c r="J16" s="203">
        <f t="shared" si="22"/>
        <v>253</v>
      </c>
      <c r="K16" s="203">
        <f t="shared" si="3"/>
        <v>5443.5806451612898</v>
      </c>
      <c r="L16" s="203">
        <f t="shared" si="23"/>
        <v>253</v>
      </c>
      <c r="M16" s="203">
        <f t="shared" si="4"/>
        <v>5443.5806451612898</v>
      </c>
      <c r="N16" s="203">
        <f t="shared" si="24"/>
        <v>253</v>
      </c>
      <c r="O16" s="203">
        <f t="shared" si="5"/>
        <v>5443.5806451612898</v>
      </c>
      <c r="P16" s="203">
        <f t="shared" si="25"/>
        <v>253</v>
      </c>
      <c r="Q16" s="203">
        <f t="shared" si="6"/>
        <v>5443.5806451612898</v>
      </c>
      <c r="R16" s="203">
        <f t="shared" si="26"/>
        <v>253</v>
      </c>
      <c r="S16" s="203">
        <f t="shared" si="7"/>
        <v>5443.5806451612898</v>
      </c>
      <c r="T16" s="203">
        <f t="shared" si="27"/>
        <v>253</v>
      </c>
      <c r="U16" s="203">
        <f t="shared" si="8"/>
        <v>5443.5806451612898</v>
      </c>
      <c r="V16" s="203">
        <f t="shared" si="28"/>
        <v>253</v>
      </c>
      <c r="W16" s="203">
        <f t="shared" si="9"/>
        <v>5443.5806451612898</v>
      </c>
      <c r="X16" s="35">
        <f t="shared" si="10"/>
        <v>0.81612903225806421</v>
      </c>
      <c r="Y16" s="36">
        <f t="shared" si="29"/>
        <v>59879.387096774175</v>
      </c>
      <c r="Z16" s="203">
        <f>'B5'!C15</f>
        <v>260</v>
      </c>
      <c r="AA16" s="203">
        <f t="shared" si="30"/>
        <v>2600</v>
      </c>
      <c r="AB16" s="203">
        <f t="shared" si="31"/>
        <v>260</v>
      </c>
      <c r="AC16" s="203">
        <f t="shared" si="30"/>
        <v>2600</v>
      </c>
      <c r="AD16" s="203">
        <f t="shared" si="32"/>
        <v>260</v>
      </c>
      <c r="AE16" s="203">
        <f t="shared" si="11"/>
        <v>2600</v>
      </c>
      <c r="AF16" s="203">
        <f t="shared" si="33"/>
        <v>260</v>
      </c>
      <c r="AG16" s="203">
        <f t="shared" si="12"/>
        <v>2600</v>
      </c>
      <c r="AH16" s="203">
        <f t="shared" si="34"/>
        <v>260</v>
      </c>
      <c r="AI16" s="203">
        <f t="shared" si="13"/>
        <v>2600</v>
      </c>
      <c r="AJ16" s="203">
        <f t="shared" si="35"/>
        <v>260</v>
      </c>
      <c r="AK16" s="203">
        <f t="shared" si="14"/>
        <v>2600</v>
      </c>
      <c r="AL16" s="203">
        <f t="shared" si="36"/>
        <v>260</v>
      </c>
      <c r="AM16" s="203">
        <f t="shared" si="15"/>
        <v>2600</v>
      </c>
      <c r="AN16" s="35">
        <f t="shared" si="16"/>
        <v>0.9285714285714286</v>
      </c>
      <c r="AO16" s="36">
        <f t="shared" si="39"/>
        <v>18200</v>
      </c>
      <c r="AQ16" s="223">
        <f t="shared" si="40"/>
        <v>0.83983421637919953</v>
      </c>
      <c r="AR16" s="38">
        <f>Y16+AO16</f>
        <v>78079.387096774182</v>
      </c>
      <c r="AS16" s="197">
        <f>SUM(AR16-AR15-AT16)</f>
        <v>11653.741935483849</v>
      </c>
      <c r="AT16" s="340"/>
      <c r="AU16" s="546"/>
      <c r="AV16" s="485">
        <f t="shared" ref="AV16:AV21" si="45">IF(AT16&gt;0,AU16,AV15)</f>
        <v>1.0780000000000001</v>
      </c>
      <c r="AW16" s="279">
        <f>-SUM('B5'!AI15)</f>
        <v>-24</v>
      </c>
      <c r="AX16" s="279">
        <f t="shared" si="17"/>
        <v>11677.741935483849</v>
      </c>
      <c r="AY16" s="37">
        <f t="shared" si="37"/>
        <v>11653.741935483849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1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3892.580645161283</v>
      </c>
      <c r="BK16" s="536">
        <f>GEN!AF13</f>
        <v>0.19037500000013097</v>
      </c>
    </row>
    <row r="17" spans="1:64">
      <c r="A17" s="425">
        <f>ELEC!C15</f>
        <v>44785</v>
      </c>
      <c r="B17">
        <f>'B5'!B16</f>
        <v>253</v>
      </c>
      <c r="C17" s="203">
        <f t="shared" si="18"/>
        <v>5443.5806451612898</v>
      </c>
      <c r="D17">
        <f t="shared" si="19"/>
        <v>253</v>
      </c>
      <c r="E17" s="203">
        <f t="shared" si="18"/>
        <v>5443.5806451612898</v>
      </c>
      <c r="F17">
        <f t="shared" si="20"/>
        <v>253</v>
      </c>
      <c r="G17" s="203">
        <f t="shared" si="1"/>
        <v>5443.5806451612898</v>
      </c>
      <c r="H17" s="203">
        <f t="shared" si="21"/>
        <v>253</v>
      </c>
      <c r="I17" s="203">
        <f t="shared" si="2"/>
        <v>5443.5806451612898</v>
      </c>
      <c r="J17" s="203">
        <f t="shared" si="22"/>
        <v>253</v>
      </c>
      <c r="K17" s="203">
        <f t="shared" si="3"/>
        <v>5443.5806451612898</v>
      </c>
      <c r="L17" s="203">
        <f t="shared" si="23"/>
        <v>253</v>
      </c>
      <c r="M17" s="203">
        <f t="shared" si="4"/>
        <v>5443.5806451612898</v>
      </c>
      <c r="N17" s="203">
        <f t="shared" si="24"/>
        <v>253</v>
      </c>
      <c r="O17" s="203">
        <f t="shared" si="5"/>
        <v>5443.5806451612898</v>
      </c>
      <c r="P17" s="203">
        <f t="shared" si="25"/>
        <v>253</v>
      </c>
      <c r="Q17" s="203">
        <f t="shared" si="6"/>
        <v>5443.5806451612898</v>
      </c>
      <c r="R17" s="203">
        <f t="shared" si="26"/>
        <v>253</v>
      </c>
      <c r="S17" s="203">
        <f t="shared" si="7"/>
        <v>5443.5806451612898</v>
      </c>
      <c r="T17" s="203">
        <f t="shared" si="27"/>
        <v>253</v>
      </c>
      <c r="U17" s="203">
        <f t="shared" si="8"/>
        <v>5443.5806451612898</v>
      </c>
      <c r="V17" s="203">
        <f t="shared" si="28"/>
        <v>253</v>
      </c>
      <c r="W17" s="203">
        <f t="shared" si="9"/>
        <v>5443.5806451612898</v>
      </c>
      <c r="X17" s="35">
        <f t="shared" si="10"/>
        <v>0.81612903225806421</v>
      </c>
      <c r="Y17" s="36">
        <f t="shared" si="29"/>
        <v>59879.387096774175</v>
      </c>
      <c r="Z17" s="203">
        <f>'B5'!C16</f>
        <v>260</v>
      </c>
      <c r="AA17" s="203">
        <f t="shared" si="30"/>
        <v>2600</v>
      </c>
      <c r="AB17" s="203">
        <f t="shared" si="31"/>
        <v>260</v>
      </c>
      <c r="AC17" s="203">
        <f t="shared" si="30"/>
        <v>2600</v>
      </c>
      <c r="AD17" s="203">
        <f t="shared" si="32"/>
        <v>260</v>
      </c>
      <c r="AE17" s="203">
        <f t="shared" si="11"/>
        <v>2600</v>
      </c>
      <c r="AF17" s="203">
        <f t="shared" si="33"/>
        <v>260</v>
      </c>
      <c r="AG17" s="203">
        <f t="shared" si="12"/>
        <v>2600</v>
      </c>
      <c r="AH17" s="203">
        <f t="shared" si="34"/>
        <v>260</v>
      </c>
      <c r="AI17" s="203">
        <f t="shared" si="13"/>
        <v>2600</v>
      </c>
      <c r="AJ17" s="203">
        <f t="shared" si="35"/>
        <v>260</v>
      </c>
      <c r="AK17" s="203">
        <f t="shared" si="14"/>
        <v>2600</v>
      </c>
      <c r="AL17" s="203">
        <f t="shared" si="36"/>
        <v>260</v>
      </c>
      <c r="AM17" s="203">
        <f t="shared" si="15"/>
        <v>2600</v>
      </c>
      <c r="AN17" s="35">
        <f t="shared" si="16"/>
        <v>0.9285714285714286</v>
      </c>
      <c r="AO17" s="36">
        <f>SUM(AA17+AC17+AE17+AG17+AI17+AK17+AM17)</f>
        <v>18200</v>
      </c>
      <c r="AQ17" s="223">
        <f t="shared" si="40"/>
        <v>0.83983421637919953</v>
      </c>
      <c r="AR17" s="38">
        <f t="shared" si="41"/>
        <v>78079.387096774182</v>
      </c>
      <c r="AS17" s="197">
        <f t="shared" si="42"/>
        <v>0</v>
      </c>
      <c r="AU17" s="3"/>
      <c r="AV17" s="485">
        <f t="shared" si="45"/>
        <v>1.0780000000000001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44786</v>
      </c>
      <c r="B18">
        <f>'B5'!B17</f>
        <v>253</v>
      </c>
      <c r="C18" s="203">
        <f t="shared" si="18"/>
        <v>5443.5806451612898</v>
      </c>
      <c r="D18">
        <f t="shared" si="19"/>
        <v>253</v>
      </c>
      <c r="E18" s="203">
        <f t="shared" si="18"/>
        <v>5443.5806451612898</v>
      </c>
      <c r="F18">
        <f t="shared" si="20"/>
        <v>253</v>
      </c>
      <c r="G18" s="203">
        <f t="shared" si="1"/>
        <v>5443.5806451612898</v>
      </c>
      <c r="H18" s="203">
        <f t="shared" si="21"/>
        <v>253</v>
      </c>
      <c r="I18" s="203">
        <f t="shared" si="2"/>
        <v>5443.5806451612898</v>
      </c>
      <c r="J18" s="203">
        <f t="shared" si="22"/>
        <v>253</v>
      </c>
      <c r="K18" s="203">
        <f t="shared" si="3"/>
        <v>5443.5806451612898</v>
      </c>
      <c r="L18" s="203">
        <f t="shared" si="23"/>
        <v>253</v>
      </c>
      <c r="M18" s="203">
        <f t="shared" si="4"/>
        <v>5443.5806451612898</v>
      </c>
      <c r="N18" s="203">
        <f t="shared" si="24"/>
        <v>253</v>
      </c>
      <c r="O18" s="203">
        <f t="shared" si="5"/>
        <v>5443.5806451612898</v>
      </c>
      <c r="P18" s="203">
        <f t="shared" si="25"/>
        <v>253</v>
      </c>
      <c r="Q18" s="203">
        <f t="shared" si="6"/>
        <v>5443.5806451612898</v>
      </c>
      <c r="R18" s="203">
        <f t="shared" si="26"/>
        <v>253</v>
      </c>
      <c r="S18" s="203">
        <f t="shared" si="7"/>
        <v>5443.5806451612898</v>
      </c>
      <c r="T18" s="203">
        <f t="shared" si="27"/>
        <v>253</v>
      </c>
      <c r="U18" s="203">
        <f t="shared" si="8"/>
        <v>5443.5806451612898</v>
      </c>
      <c r="V18" s="203">
        <f t="shared" si="28"/>
        <v>253</v>
      </c>
      <c r="W18" s="203">
        <f t="shared" si="9"/>
        <v>5443.5806451612898</v>
      </c>
      <c r="X18" s="35">
        <f t="shared" si="10"/>
        <v>0.81612903225806421</v>
      </c>
      <c r="Y18" s="36">
        <f t="shared" si="29"/>
        <v>59879.387096774175</v>
      </c>
      <c r="Z18" s="203">
        <f>'B5'!C17</f>
        <v>260</v>
      </c>
      <c r="AA18" s="203">
        <f t="shared" si="30"/>
        <v>2600</v>
      </c>
      <c r="AB18" s="203">
        <f t="shared" si="31"/>
        <v>260</v>
      </c>
      <c r="AC18" s="203">
        <f t="shared" si="30"/>
        <v>2600</v>
      </c>
      <c r="AD18" s="203">
        <f t="shared" si="32"/>
        <v>260</v>
      </c>
      <c r="AE18" s="203">
        <f t="shared" si="11"/>
        <v>2600</v>
      </c>
      <c r="AF18" s="203">
        <f t="shared" si="33"/>
        <v>260</v>
      </c>
      <c r="AG18" s="203">
        <f t="shared" si="12"/>
        <v>2600</v>
      </c>
      <c r="AH18" s="203">
        <f t="shared" si="34"/>
        <v>260</v>
      </c>
      <c r="AI18" s="203">
        <f t="shared" si="13"/>
        <v>2600</v>
      </c>
      <c r="AJ18" s="203">
        <f t="shared" si="35"/>
        <v>260</v>
      </c>
      <c r="AK18" s="203">
        <f t="shared" si="14"/>
        <v>2600</v>
      </c>
      <c r="AL18" s="203">
        <f t="shared" si="36"/>
        <v>260</v>
      </c>
      <c r="AM18" s="203">
        <f t="shared" si="15"/>
        <v>2600</v>
      </c>
      <c r="AN18" s="35">
        <f t="shared" si="16"/>
        <v>0.9285714285714286</v>
      </c>
      <c r="AO18" s="36">
        <f t="shared" si="39"/>
        <v>18200</v>
      </c>
      <c r="AQ18" s="223">
        <f t="shared" si="40"/>
        <v>0.83983421637919953</v>
      </c>
      <c r="AR18" s="38">
        <f t="shared" si="41"/>
        <v>78079.387096774182</v>
      </c>
      <c r="AS18" s="197">
        <f>SUM(AR18-AR17-AT18)</f>
        <v>0</v>
      </c>
      <c r="AT18" s="340"/>
      <c r="AU18" s="546"/>
      <c r="AV18" s="485">
        <f t="shared" si="45"/>
        <v>1.0780000000000001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44787</v>
      </c>
      <c r="B19">
        <f>'B5'!B18</f>
        <v>253</v>
      </c>
      <c r="C19" s="203">
        <f t="shared" si="18"/>
        <v>5443.5806451612898</v>
      </c>
      <c r="D19">
        <f t="shared" si="19"/>
        <v>253</v>
      </c>
      <c r="E19" s="203">
        <f t="shared" si="18"/>
        <v>5443.5806451612898</v>
      </c>
      <c r="F19">
        <f t="shared" si="20"/>
        <v>253</v>
      </c>
      <c r="G19" s="203">
        <f t="shared" si="1"/>
        <v>5443.5806451612898</v>
      </c>
      <c r="H19" s="203">
        <f t="shared" si="21"/>
        <v>253</v>
      </c>
      <c r="I19" s="203">
        <f t="shared" si="2"/>
        <v>5443.5806451612898</v>
      </c>
      <c r="J19" s="203">
        <f t="shared" si="22"/>
        <v>253</v>
      </c>
      <c r="K19" s="203">
        <f t="shared" si="3"/>
        <v>5443.5806451612898</v>
      </c>
      <c r="L19" s="203">
        <f t="shared" si="23"/>
        <v>253</v>
      </c>
      <c r="M19" s="203">
        <f t="shared" si="4"/>
        <v>5443.5806451612898</v>
      </c>
      <c r="N19" s="203">
        <f t="shared" si="24"/>
        <v>253</v>
      </c>
      <c r="O19" s="203">
        <f t="shared" si="5"/>
        <v>5443.5806451612898</v>
      </c>
      <c r="P19" s="203">
        <f t="shared" si="25"/>
        <v>253</v>
      </c>
      <c r="Q19" s="203">
        <f t="shared" si="6"/>
        <v>5443.5806451612898</v>
      </c>
      <c r="R19" s="203">
        <f t="shared" si="26"/>
        <v>253</v>
      </c>
      <c r="S19" s="203">
        <f t="shared" si="7"/>
        <v>5443.5806451612898</v>
      </c>
      <c r="T19" s="203">
        <f t="shared" si="27"/>
        <v>253</v>
      </c>
      <c r="U19" s="203">
        <f t="shared" si="8"/>
        <v>5443.5806451612898</v>
      </c>
      <c r="V19" s="203">
        <f t="shared" si="28"/>
        <v>253</v>
      </c>
      <c r="W19" s="203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3">
        <f>'B5'!C18</f>
        <v>260</v>
      </c>
      <c r="AA19" s="203">
        <f t="shared" si="30"/>
        <v>2600</v>
      </c>
      <c r="AB19" s="203">
        <f t="shared" si="31"/>
        <v>260</v>
      </c>
      <c r="AC19" s="203">
        <f t="shared" si="30"/>
        <v>2600</v>
      </c>
      <c r="AD19" s="203">
        <f t="shared" si="32"/>
        <v>260</v>
      </c>
      <c r="AE19" s="203">
        <f t="shared" si="11"/>
        <v>2600</v>
      </c>
      <c r="AF19" s="203">
        <f t="shared" si="33"/>
        <v>260</v>
      </c>
      <c r="AG19" s="203">
        <f t="shared" si="12"/>
        <v>2600</v>
      </c>
      <c r="AH19" s="203">
        <f t="shared" si="34"/>
        <v>260</v>
      </c>
      <c r="AI19" s="203">
        <f t="shared" si="13"/>
        <v>2600</v>
      </c>
      <c r="AJ19" s="203">
        <f t="shared" si="35"/>
        <v>260</v>
      </c>
      <c r="AK19" s="203">
        <f t="shared" si="14"/>
        <v>2600</v>
      </c>
      <c r="AL19" s="203">
        <f t="shared" si="36"/>
        <v>260</v>
      </c>
      <c r="AM19" s="203">
        <f t="shared" si="15"/>
        <v>2600</v>
      </c>
      <c r="AN19" s="35">
        <f t="shared" si="16"/>
        <v>0.9285714285714286</v>
      </c>
      <c r="AO19" s="36">
        <f t="shared" si="39"/>
        <v>18200</v>
      </c>
      <c r="AQ19" s="223">
        <f t="shared" si="40"/>
        <v>0.83983421637919953</v>
      </c>
      <c r="AR19" s="38">
        <f t="shared" si="41"/>
        <v>78079.387096774182</v>
      </c>
      <c r="AS19" s="197">
        <f t="shared" ref="AS19:AS32" si="47">SUM(AR19-AR18-AT19)</f>
        <v>0</v>
      </c>
      <c r="AT19" s="340"/>
      <c r="AU19" s="546"/>
      <c r="AV19" s="485">
        <f t="shared" si="45"/>
        <v>1.0780000000000001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791.71308016901617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44788</v>
      </c>
      <c r="B20">
        <f>'B5'!B19</f>
        <v>249</v>
      </c>
      <c r="C20" s="203">
        <f t="shared" si="18"/>
        <v>5357.5161290322576</v>
      </c>
      <c r="D20">
        <f t="shared" si="19"/>
        <v>249</v>
      </c>
      <c r="E20" s="203">
        <f t="shared" si="18"/>
        <v>5357.5161290322576</v>
      </c>
      <c r="F20">
        <f t="shared" si="20"/>
        <v>249</v>
      </c>
      <c r="G20" s="203">
        <f t="shared" si="1"/>
        <v>5357.5161290322576</v>
      </c>
      <c r="H20" s="203">
        <f t="shared" si="21"/>
        <v>249</v>
      </c>
      <c r="I20" s="203">
        <f t="shared" si="2"/>
        <v>5357.5161290322576</v>
      </c>
      <c r="J20" s="203">
        <f t="shared" si="22"/>
        <v>249</v>
      </c>
      <c r="K20" s="203">
        <f t="shared" si="3"/>
        <v>5357.5161290322576</v>
      </c>
      <c r="L20" s="203">
        <f t="shared" si="23"/>
        <v>249</v>
      </c>
      <c r="M20" s="203">
        <f t="shared" si="4"/>
        <v>5357.5161290322576</v>
      </c>
      <c r="N20" s="203">
        <f t="shared" si="24"/>
        <v>249</v>
      </c>
      <c r="O20" s="203">
        <f t="shared" si="5"/>
        <v>5357.5161290322576</v>
      </c>
      <c r="P20" s="203">
        <f t="shared" si="25"/>
        <v>249</v>
      </c>
      <c r="Q20" s="203">
        <f t="shared" si="6"/>
        <v>5357.5161290322576</v>
      </c>
      <c r="R20" s="203">
        <f t="shared" si="26"/>
        <v>249</v>
      </c>
      <c r="S20" s="203">
        <f t="shared" si="7"/>
        <v>5357.5161290322576</v>
      </c>
      <c r="T20" s="203">
        <f t="shared" si="27"/>
        <v>249</v>
      </c>
      <c r="U20" s="203">
        <f t="shared" si="8"/>
        <v>5357.5161290322576</v>
      </c>
      <c r="V20" s="203">
        <f t="shared" si="28"/>
        <v>249</v>
      </c>
      <c r="W20" s="203">
        <f t="shared" si="9"/>
        <v>5357.5161290322576</v>
      </c>
      <c r="X20" s="35">
        <f t="shared" si="10"/>
        <v>0.80322580645161279</v>
      </c>
      <c r="Y20" s="36">
        <f t="shared" si="29"/>
        <v>58932.677419354834</v>
      </c>
      <c r="Z20" s="203">
        <f>'B5'!C19</f>
        <v>255</v>
      </c>
      <c r="AA20" s="203">
        <f t="shared" si="30"/>
        <v>2550</v>
      </c>
      <c r="AB20" s="203">
        <f t="shared" si="31"/>
        <v>255</v>
      </c>
      <c r="AC20" s="203">
        <f t="shared" si="30"/>
        <v>2550</v>
      </c>
      <c r="AD20" s="203">
        <f t="shared" si="32"/>
        <v>255</v>
      </c>
      <c r="AE20" s="203">
        <f t="shared" si="11"/>
        <v>2550</v>
      </c>
      <c r="AF20" s="203">
        <f t="shared" si="33"/>
        <v>255</v>
      </c>
      <c r="AG20" s="203">
        <f t="shared" si="12"/>
        <v>2550</v>
      </c>
      <c r="AH20" s="203">
        <f t="shared" si="34"/>
        <v>255</v>
      </c>
      <c r="AI20" s="203">
        <f t="shared" si="13"/>
        <v>2550</v>
      </c>
      <c r="AJ20" s="203">
        <f t="shared" si="35"/>
        <v>255</v>
      </c>
      <c r="AK20" s="203">
        <f t="shared" si="14"/>
        <v>2550</v>
      </c>
      <c r="AL20" s="203">
        <f t="shared" si="36"/>
        <v>255</v>
      </c>
      <c r="AM20" s="203">
        <f t="shared" si="15"/>
        <v>2550</v>
      </c>
      <c r="AN20" s="35">
        <f t="shared" si="16"/>
        <v>0.9107142857142857</v>
      </c>
      <c r="AO20" s="36">
        <f t="shared" si="39"/>
        <v>17850</v>
      </c>
      <c r="AQ20" s="223">
        <f t="shared" si="40"/>
        <v>0.8258866023379029</v>
      </c>
      <c r="AR20" s="38">
        <f t="shared" si="41"/>
        <v>76782.677419354834</v>
      </c>
      <c r="AS20" s="197">
        <f>SUM(AR20-AR19-AT20)</f>
        <v>-1296.7096774193487</v>
      </c>
      <c r="AT20" s="340"/>
      <c r="AU20" s="546"/>
      <c r="AV20" s="485">
        <f t="shared" si="45"/>
        <v>1.0780000000000001</v>
      </c>
      <c r="AW20" s="279">
        <f>-SUM('B5'!AI19)</f>
        <v>0</v>
      </c>
      <c r="AX20" s="279">
        <f>-SUM(AW20-AS20)</f>
        <v>-1296.7096774193487</v>
      </c>
      <c r="AY20" s="37">
        <f t="shared" si="37"/>
        <v>-1296.7096774193487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-185.24423963133555</v>
      </c>
      <c r="BK20" s="536">
        <f>GEN!AF17</f>
        <v>0.1747727272727802</v>
      </c>
      <c r="BL20" s="203"/>
    </row>
    <row r="21" spans="1:64">
      <c r="A21" s="425">
        <f>ELEC!C19</f>
        <v>44789</v>
      </c>
      <c r="B21">
        <f>'B5'!B20</f>
        <v>249</v>
      </c>
      <c r="C21" s="203">
        <f t="shared" si="18"/>
        <v>5357.5161290322576</v>
      </c>
      <c r="D21">
        <f t="shared" si="19"/>
        <v>249</v>
      </c>
      <c r="E21" s="203">
        <f t="shared" si="18"/>
        <v>5357.5161290322576</v>
      </c>
      <c r="F21">
        <f t="shared" si="20"/>
        <v>249</v>
      </c>
      <c r="G21" s="203">
        <f t="shared" si="1"/>
        <v>5357.5161290322576</v>
      </c>
      <c r="H21" s="203">
        <f t="shared" si="21"/>
        <v>249</v>
      </c>
      <c r="I21" s="203">
        <f t="shared" si="2"/>
        <v>5357.5161290322576</v>
      </c>
      <c r="J21" s="203">
        <f t="shared" si="22"/>
        <v>249</v>
      </c>
      <c r="K21" s="203">
        <f t="shared" si="3"/>
        <v>5357.5161290322576</v>
      </c>
      <c r="L21" s="203">
        <f t="shared" si="23"/>
        <v>249</v>
      </c>
      <c r="M21" s="203">
        <f t="shared" si="4"/>
        <v>5357.5161290322576</v>
      </c>
      <c r="N21" s="203">
        <f t="shared" si="24"/>
        <v>249</v>
      </c>
      <c r="O21" s="203">
        <f t="shared" si="5"/>
        <v>5357.5161290322576</v>
      </c>
      <c r="P21" s="203">
        <f t="shared" si="25"/>
        <v>249</v>
      </c>
      <c r="Q21" s="203">
        <f t="shared" si="6"/>
        <v>5357.5161290322576</v>
      </c>
      <c r="R21" s="203">
        <f t="shared" si="26"/>
        <v>249</v>
      </c>
      <c r="S21" s="203">
        <f t="shared" si="7"/>
        <v>5357.5161290322576</v>
      </c>
      <c r="T21" s="203">
        <f t="shared" si="27"/>
        <v>249</v>
      </c>
      <c r="U21" s="203">
        <f t="shared" si="8"/>
        <v>5357.5161290322576</v>
      </c>
      <c r="V21" s="203">
        <f t="shared" si="28"/>
        <v>249</v>
      </c>
      <c r="W21" s="203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3">
        <f>'B5'!C20</f>
        <v>255</v>
      </c>
      <c r="AA21" s="203">
        <f t="shared" si="30"/>
        <v>2550</v>
      </c>
      <c r="AB21" s="203">
        <f t="shared" si="31"/>
        <v>255</v>
      </c>
      <c r="AC21" s="203">
        <f t="shared" si="30"/>
        <v>2550</v>
      </c>
      <c r="AD21" s="203">
        <f t="shared" si="32"/>
        <v>255</v>
      </c>
      <c r="AE21" s="203">
        <f t="shared" si="11"/>
        <v>2550</v>
      </c>
      <c r="AF21" s="203">
        <f t="shared" si="33"/>
        <v>255</v>
      </c>
      <c r="AG21" s="203">
        <f t="shared" si="12"/>
        <v>2550</v>
      </c>
      <c r="AH21" s="203">
        <f t="shared" si="34"/>
        <v>255</v>
      </c>
      <c r="AI21" s="203">
        <f t="shared" si="13"/>
        <v>2550</v>
      </c>
      <c r="AJ21" s="203">
        <f t="shared" si="35"/>
        <v>255</v>
      </c>
      <c r="AK21" s="203">
        <f t="shared" si="14"/>
        <v>2550</v>
      </c>
      <c r="AL21" s="203">
        <f t="shared" si="36"/>
        <v>255</v>
      </c>
      <c r="AM21" s="203">
        <f t="shared" si="15"/>
        <v>2550</v>
      </c>
      <c r="AN21" s="35">
        <f t="shared" si="16"/>
        <v>0.9107142857142857</v>
      </c>
      <c r="AO21" s="36">
        <f t="shared" si="39"/>
        <v>17850</v>
      </c>
      <c r="AQ21" s="223">
        <f t="shared" si="40"/>
        <v>0.8258866023379029</v>
      </c>
      <c r="AR21" s="38">
        <f t="shared" si="41"/>
        <v>76782.677419354834</v>
      </c>
      <c r="AS21" s="197">
        <f>SUM(AR21-AR20-AT21)</f>
        <v>0</v>
      </c>
      <c r="AT21" s="340"/>
      <c r="AU21" s="546"/>
      <c r="AV21" s="485">
        <f t="shared" si="45"/>
        <v>1.0780000000000001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28</v>
      </c>
      <c r="BB21" s="378">
        <f>SUM('General information '!E20)</f>
        <v>0.64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44790</v>
      </c>
      <c r="B22">
        <f>'B5'!B21</f>
        <v>249</v>
      </c>
      <c r="C22" s="203">
        <f t="shared" si="18"/>
        <v>5357.5161290322576</v>
      </c>
      <c r="D22">
        <f t="shared" si="19"/>
        <v>249</v>
      </c>
      <c r="E22" s="203">
        <f t="shared" si="18"/>
        <v>5357.5161290322576</v>
      </c>
      <c r="F22">
        <f t="shared" si="20"/>
        <v>249</v>
      </c>
      <c r="G22" s="203">
        <f t="shared" si="1"/>
        <v>5357.5161290322576</v>
      </c>
      <c r="H22" s="203">
        <f t="shared" si="21"/>
        <v>249</v>
      </c>
      <c r="I22" s="203">
        <f t="shared" si="2"/>
        <v>5357.5161290322576</v>
      </c>
      <c r="J22" s="203">
        <f t="shared" si="22"/>
        <v>249</v>
      </c>
      <c r="K22" s="203">
        <f t="shared" si="3"/>
        <v>5357.5161290322576</v>
      </c>
      <c r="L22" s="203">
        <f t="shared" si="23"/>
        <v>249</v>
      </c>
      <c r="M22" s="203">
        <f t="shared" si="4"/>
        <v>5357.5161290322576</v>
      </c>
      <c r="N22" s="203">
        <f t="shared" si="24"/>
        <v>249</v>
      </c>
      <c r="O22" s="203">
        <f t="shared" si="5"/>
        <v>5357.5161290322576</v>
      </c>
      <c r="P22" s="203">
        <f t="shared" si="25"/>
        <v>249</v>
      </c>
      <c r="Q22" s="203">
        <f t="shared" si="6"/>
        <v>5357.5161290322576</v>
      </c>
      <c r="R22" s="203">
        <f t="shared" si="26"/>
        <v>249</v>
      </c>
      <c r="S22" s="203">
        <f t="shared" si="7"/>
        <v>5357.5161290322576</v>
      </c>
      <c r="T22" s="203">
        <f t="shared" si="27"/>
        <v>249</v>
      </c>
      <c r="U22" s="203">
        <f t="shared" si="8"/>
        <v>5357.5161290322576</v>
      </c>
      <c r="V22" s="203">
        <f t="shared" si="28"/>
        <v>249</v>
      </c>
      <c r="W22" s="203">
        <f t="shared" si="9"/>
        <v>5357.5161290322576</v>
      </c>
      <c r="X22" s="35">
        <f t="shared" si="10"/>
        <v>0.80322580645161279</v>
      </c>
      <c r="Y22" s="36">
        <f t="shared" si="29"/>
        <v>58932.677419354834</v>
      </c>
      <c r="Z22" s="203">
        <f>'B5'!C21</f>
        <v>255</v>
      </c>
      <c r="AA22" s="203">
        <f t="shared" si="30"/>
        <v>2550</v>
      </c>
      <c r="AB22" s="203">
        <f t="shared" si="31"/>
        <v>255</v>
      </c>
      <c r="AC22" s="203">
        <f t="shared" si="30"/>
        <v>2550</v>
      </c>
      <c r="AD22" s="203">
        <f t="shared" si="32"/>
        <v>255</v>
      </c>
      <c r="AE22" s="203">
        <f t="shared" si="11"/>
        <v>2550</v>
      </c>
      <c r="AF22" s="203">
        <f t="shared" si="33"/>
        <v>255</v>
      </c>
      <c r="AG22" s="203">
        <f t="shared" si="12"/>
        <v>2550</v>
      </c>
      <c r="AH22" s="203">
        <f t="shared" si="34"/>
        <v>255</v>
      </c>
      <c r="AI22" s="203">
        <f t="shared" si="13"/>
        <v>2550</v>
      </c>
      <c r="AJ22" s="203">
        <f t="shared" si="35"/>
        <v>255</v>
      </c>
      <c r="AK22" s="203">
        <f t="shared" si="14"/>
        <v>2550</v>
      </c>
      <c r="AL22" s="203">
        <f t="shared" si="36"/>
        <v>255</v>
      </c>
      <c r="AM22" s="203">
        <f t="shared" si="15"/>
        <v>2550</v>
      </c>
      <c r="AN22" s="35">
        <f t="shared" si="16"/>
        <v>0.9107142857142857</v>
      </c>
      <c r="AO22" s="36">
        <f t="shared" si="39"/>
        <v>17850</v>
      </c>
      <c r="AQ22" s="223">
        <f t="shared" si="40"/>
        <v>0.8258866023379029</v>
      </c>
      <c r="AR22" s="38">
        <f t="shared" si="41"/>
        <v>76782.677419354834</v>
      </c>
      <c r="AS22" s="197">
        <f t="shared" si="47"/>
        <v>0</v>
      </c>
      <c r="AT22" s="340"/>
      <c r="AU22" s="546"/>
      <c r="AV22" s="485">
        <f t="shared" si="43"/>
        <v>1.0780000000000001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44791</v>
      </c>
      <c r="B23">
        <f>'B5'!B22</f>
        <v>249</v>
      </c>
      <c r="C23" s="203">
        <f t="shared" si="18"/>
        <v>5357.5161290322576</v>
      </c>
      <c r="D23">
        <f t="shared" si="19"/>
        <v>249</v>
      </c>
      <c r="E23" s="203">
        <f t="shared" si="18"/>
        <v>5357.5161290322576</v>
      </c>
      <c r="F23">
        <f t="shared" si="20"/>
        <v>249</v>
      </c>
      <c r="G23" s="203">
        <f t="shared" si="1"/>
        <v>5357.5161290322576</v>
      </c>
      <c r="H23" s="203">
        <f t="shared" si="21"/>
        <v>249</v>
      </c>
      <c r="I23" s="203">
        <f t="shared" si="2"/>
        <v>5357.5161290322576</v>
      </c>
      <c r="J23" s="203">
        <f t="shared" si="22"/>
        <v>249</v>
      </c>
      <c r="K23" s="203">
        <f t="shared" si="3"/>
        <v>5357.5161290322576</v>
      </c>
      <c r="L23" s="203">
        <f t="shared" si="23"/>
        <v>249</v>
      </c>
      <c r="M23" s="203">
        <f t="shared" si="4"/>
        <v>5357.5161290322576</v>
      </c>
      <c r="N23" s="203">
        <f t="shared" si="24"/>
        <v>249</v>
      </c>
      <c r="O23" s="203">
        <f t="shared" si="5"/>
        <v>5357.5161290322576</v>
      </c>
      <c r="P23" s="203">
        <f t="shared" si="25"/>
        <v>249</v>
      </c>
      <c r="Q23" s="203">
        <f t="shared" si="6"/>
        <v>5357.5161290322576</v>
      </c>
      <c r="R23" s="203">
        <f t="shared" si="26"/>
        <v>249</v>
      </c>
      <c r="S23" s="203">
        <f t="shared" si="7"/>
        <v>5357.5161290322576</v>
      </c>
      <c r="T23" s="203">
        <f t="shared" si="27"/>
        <v>249</v>
      </c>
      <c r="U23" s="203">
        <f t="shared" si="8"/>
        <v>5357.5161290322576</v>
      </c>
      <c r="V23" s="203">
        <f t="shared" si="28"/>
        <v>249</v>
      </c>
      <c r="W23" s="203">
        <f t="shared" si="9"/>
        <v>5357.5161290322576</v>
      </c>
      <c r="X23" s="35">
        <f t="shared" si="10"/>
        <v>0.80322580645161279</v>
      </c>
      <c r="Y23" s="36">
        <f t="shared" si="29"/>
        <v>58932.677419354834</v>
      </c>
      <c r="Z23" s="203">
        <f>'B5'!C22</f>
        <v>255</v>
      </c>
      <c r="AA23" s="203">
        <f t="shared" si="30"/>
        <v>2550</v>
      </c>
      <c r="AB23" s="203">
        <f t="shared" si="31"/>
        <v>255</v>
      </c>
      <c r="AC23" s="203">
        <f t="shared" si="30"/>
        <v>2550</v>
      </c>
      <c r="AD23" s="203">
        <f t="shared" si="32"/>
        <v>255</v>
      </c>
      <c r="AE23" s="203">
        <f t="shared" si="11"/>
        <v>2550</v>
      </c>
      <c r="AF23" s="203">
        <f t="shared" si="33"/>
        <v>255</v>
      </c>
      <c r="AG23" s="203">
        <f t="shared" si="12"/>
        <v>2550</v>
      </c>
      <c r="AH23" s="203">
        <f t="shared" si="34"/>
        <v>255</v>
      </c>
      <c r="AI23" s="203">
        <f t="shared" si="13"/>
        <v>2550</v>
      </c>
      <c r="AJ23" s="203">
        <f t="shared" si="35"/>
        <v>255</v>
      </c>
      <c r="AK23" s="203">
        <f t="shared" si="14"/>
        <v>2550</v>
      </c>
      <c r="AL23" s="203">
        <f t="shared" si="36"/>
        <v>255</v>
      </c>
      <c r="AM23" s="203">
        <f t="shared" si="15"/>
        <v>2550</v>
      </c>
      <c r="AN23" s="35">
        <f t="shared" si="16"/>
        <v>0.9107142857142857</v>
      </c>
      <c r="AO23" s="36">
        <f t="shared" si="39"/>
        <v>17850</v>
      </c>
      <c r="AQ23" s="223">
        <f t="shared" si="40"/>
        <v>0.8258866023379029</v>
      </c>
      <c r="AR23" s="38">
        <f t="shared" si="41"/>
        <v>76782.677419354834</v>
      </c>
      <c r="AS23" s="197">
        <f t="shared" si="47"/>
        <v>0</v>
      </c>
      <c r="AT23" s="340"/>
      <c r="AU23" s="546"/>
      <c r="AV23" s="485">
        <f t="shared" si="43"/>
        <v>1.0780000000000001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6" t="e">
        <f>GEN!AF20</f>
        <v>#DIV/0!</v>
      </c>
    </row>
    <row r="24" spans="1:64">
      <c r="A24" s="425">
        <f>ELEC!C22</f>
        <v>44792</v>
      </c>
      <c r="B24">
        <f>'B5'!B23</f>
        <v>249</v>
      </c>
      <c r="C24" s="203">
        <f t="shared" si="18"/>
        <v>5357.5161290322576</v>
      </c>
      <c r="D24">
        <f t="shared" si="19"/>
        <v>249</v>
      </c>
      <c r="E24" s="203">
        <f t="shared" si="18"/>
        <v>5357.5161290322576</v>
      </c>
      <c r="F24">
        <f t="shared" si="20"/>
        <v>249</v>
      </c>
      <c r="G24" s="203">
        <f t="shared" si="1"/>
        <v>5357.5161290322576</v>
      </c>
      <c r="H24" s="203">
        <f t="shared" si="21"/>
        <v>249</v>
      </c>
      <c r="I24" s="203">
        <f t="shared" si="2"/>
        <v>5357.5161290322576</v>
      </c>
      <c r="J24" s="203">
        <f t="shared" si="22"/>
        <v>249</v>
      </c>
      <c r="K24" s="203">
        <f t="shared" si="3"/>
        <v>5357.5161290322576</v>
      </c>
      <c r="L24" s="203">
        <f t="shared" si="23"/>
        <v>249</v>
      </c>
      <c r="M24" s="203">
        <f t="shared" si="4"/>
        <v>5357.5161290322576</v>
      </c>
      <c r="N24" s="203">
        <f t="shared" si="24"/>
        <v>249</v>
      </c>
      <c r="O24" s="203">
        <f t="shared" si="5"/>
        <v>5357.5161290322576</v>
      </c>
      <c r="P24" s="203">
        <f t="shared" si="25"/>
        <v>249</v>
      </c>
      <c r="Q24" s="203">
        <f t="shared" si="6"/>
        <v>5357.5161290322576</v>
      </c>
      <c r="R24" s="203">
        <f t="shared" si="26"/>
        <v>249</v>
      </c>
      <c r="S24" s="203">
        <f t="shared" si="7"/>
        <v>5357.5161290322576</v>
      </c>
      <c r="T24" s="203">
        <f t="shared" si="27"/>
        <v>249</v>
      </c>
      <c r="U24" s="203">
        <f t="shared" si="8"/>
        <v>5357.5161290322576</v>
      </c>
      <c r="V24" s="203">
        <f t="shared" si="28"/>
        <v>249</v>
      </c>
      <c r="W24" s="203">
        <f t="shared" si="9"/>
        <v>5357.5161290322576</v>
      </c>
      <c r="X24" s="35">
        <f t="shared" si="10"/>
        <v>0.80322580645161279</v>
      </c>
      <c r="Y24" s="36">
        <f t="shared" si="29"/>
        <v>58932.677419354834</v>
      </c>
      <c r="Z24" s="203">
        <f>'B5'!C23</f>
        <v>255</v>
      </c>
      <c r="AA24" s="203">
        <f t="shared" si="30"/>
        <v>2550</v>
      </c>
      <c r="AB24" s="203">
        <f t="shared" si="31"/>
        <v>255</v>
      </c>
      <c r="AC24" s="203">
        <f t="shared" si="30"/>
        <v>2550</v>
      </c>
      <c r="AD24" s="203">
        <f t="shared" si="32"/>
        <v>255</v>
      </c>
      <c r="AE24" s="203">
        <f t="shared" si="11"/>
        <v>2550</v>
      </c>
      <c r="AF24" s="203">
        <f t="shared" si="33"/>
        <v>255</v>
      </c>
      <c r="AG24" s="203">
        <f t="shared" si="12"/>
        <v>2550</v>
      </c>
      <c r="AH24" s="203">
        <f t="shared" si="34"/>
        <v>255</v>
      </c>
      <c r="AI24" s="203">
        <f t="shared" si="13"/>
        <v>2550</v>
      </c>
      <c r="AJ24" s="203">
        <f t="shared" si="35"/>
        <v>255</v>
      </c>
      <c r="AK24" s="203">
        <f t="shared" si="14"/>
        <v>2550</v>
      </c>
      <c r="AL24" s="203">
        <f t="shared" si="36"/>
        <v>255</v>
      </c>
      <c r="AM24" s="203">
        <f t="shared" si="15"/>
        <v>2550</v>
      </c>
      <c r="AN24" s="35">
        <f t="shared" si="16"/>
        <v>0.9107142857142857</v>
      </c>
      <c r="AO24" s="36">
        <f t="shared" si="39"/>
        <v>17850</v>
      </c>
      <c r="AQ24" s="223">
        <f t="shared" si="40"/>
        <v>0.8258866023379029</v>
      </c>
      <c r="AR24" s="38">
        <f t="shared" si="41"/>
        <v>76782.677419354834</v>
      </c>
      <c r="AS24" s="197">
        <f t="shared" si="47"/>
        <v>0</v>
      </c>
      <c r="AT24" s="340"/>
      <c r="AU24" s="546"/>
      <c r="AV24" s="485">
        <f t="shared" si="43"/>
        <v>1.0780000000000001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44793</v>
      </c>
      <c r="B25">
        <f>'B5'!B24</f>
        <v>249</v>
      </c>
      <c r="C25" s="203">
        <f t="shared" si="18"/>
        <v>5357.5161290322576</v>
      </c>
      <c r="D25">
        <f t="shared" si="19"/>
        <v>249</v>
      </c>
      <c r="E25" s="203">
        <f t="shared" si="18"/>
        <v>5357.5161290322576</v>
      </c>
      <c r="F25">
        <f t="shared" si="20"/>
        <v>249</v>
      </c>
      <c r="G25" s="203">
        <f t="shared" si="1"/>
        <v>5357.5161290322576</v>
      </c>
      <c r="H25" s="203">
        <f t="shared" si="21"/>
        <v>249</v>
      </c>
      <c r="I25" s="203">
        <f t="shared" si="2"/>
        <v>5357.5161290322576</v>
      </c>
      <c r="J25" s="203">
        <f t="shared" si="22"/>
        <v>249</v>
      </c>
      <c r="K25" s="203">
        <f t="shared" si="3"/>
        <v>5357.5161290322576</v>
      </c>
      <c r="L25" s="203">
        <f t="shared" si="23"/>
        <v>249</v>
      </c>
      <c r="M25" s="203">
        <f t="shared" si="4"/>
        <v>5357.5161290322576</v>
      </c>
      <c r="N25" s="203">
        <f t="shared" si="24"/>
        <v>249</v>
      </c>
      <c r="O25" s="203">
        <f t="shared" si="5"/>
        <v>5357.5161290322576</v>
      </c>
      <c r="P25" s="203">
        <f t="shared" si="25"/>
        <v>249</v>
      </c>
      <c r="Q25" s="203">
        <f t="shared" si="6"/>
        <v>5357.5161290322576</v>
      </c>
      <c r="R25" s="203">
        <f t="shared" si="26"/>
        <v>249</v>
      </c>
      <c r="S25" s="203">
        <f t="shared" si="7"/>
        <v>5357.5161290322576</v>
      </c>
      <c r="T25" s="203">
        <f t="shared" si="27"/>
        <v>249</v>
      </c>
      <c r="U25" s="203">
        <f t="shared" si="8"/>
        <v>5357.5161290322576</v>
      </c>
      <c r="V25" s="203">
        <f t="shared" si="28"/>
        <v>249</v>
      </c>
      <c r="W25" s="203">
        <f t="shared" si="9"/>
        <v>5357.5161290322576</v>
      </c>
      <c r="X25" s="35">
        <f t="shared" si="10"/>
        <v>0.80322580645161279</v>
      </c>
      <c r="Y25" s="36">
        <f t="shared" si="29"/>
        <v>58932.677419354834</v>
      </c>
      <c r="Z25" s="203">
        <f>'B5'!C24</f>
        <v>255</v>
      </c>
      <c r="AA25" s="203">
        <f t="shared" si="30"/>
        <v>2550</v>
      </c>
      <c r="AB25" s="203">
        <f t="shared" si="31"/>
        <v>255</v>
      </c>
      <c r="AC25" s="203">
        <f t="shared" si="30"/>
        <v>2550</v>
      </c>
      <c r="AD25" s="203">
        <f t="shared" si="32"/>
        <v>255</v>
      </c>
      <c r="AE25" s="203">
        <f t="shared" si="11"/>
        <v>2550</v>
      </c>
      <c r="AF25" s="203">
        <f t="shared" si="33"/>
        <v>255</v>
      </c>
      <c r="AG25" s="203">
        <f t="shared" si="12"/>
        <v>2550</v>
      </c>
      <c r="AH25" s="203">
        <f t="shared" si="34"/>
        <v>255</v>
      </c>
      <c r="AI25" s="203">
        <f t="shared" si="13"/>
        <v>2550</v>
      </c>
      <c r="AJ25" s="203">
        <f t="shared" si="35"/>
        <v>255</v>
      </c>
      <c r="AK25" s="203">
        <f t="shared" si="14"/>
        <v>2550</v>
      </c>
      <c r="AL25" s="203">
        <f t="shared" si="36"/>
        <v>255</v>
      </c>
      <c r="AM25" s="203">
        <f t="shared" si="15"/>
        <v>2550</v>
      </c>
      <c r="AN25" s="35">
        <f t="shared" si="16"/>
        <v>0.9107142857142857</v>
      </c>
      <c r="AO25" s="36">
        <f t="shared" si="39"/>
        <v>17850</v>
      </c>
      <c r="AQ25" s="223">
        <f t="shared" si="40"/>
        <v>0.8258866023379029</v>
      </c>
      <c r="AR25" s="38">
        <f t="shared" si="41"/>
        <v>76782.677419354834</v>
      </c>
      <c r="AS25" s="197">
        <f t="shared" si="47"/>
        <v>0</v>
      </c>
      <c r="AT25" s="340"/>
      <c r="AU25" s="547"/>
      <c r="AV25" s="485">
        <f t="shared" si="43"/>
        <v>1.0780000000000001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44794</v>
      </c>
      <c r="B26">
        <f>'B5'!B25</f>
        <v>249</v>
      </c>
      <c r="C26" s="203">
        <f t="shared" si="18"/>
        <v>5357.5161290322576</v>
      </c>
      <c r="D26">
        <f t="shared" si="19"/>
        <v>249</v>
      </c>
      <c r="E26" s="203">
        <f t="shared" si="18"/>
        <v>5357.5161290322576</v>
      </c>
      <c r="F26">
        <f t="shared" si="20"/>
        <v>249</v>
      </c>
      <c r="G26" s="203">
        <f t="shared" si="1"/>
        <v>5357.5161290322576</v>
      </c>
      <c r="H26" s="203">
        <f t="shared" si="21"/>
        <v>249</v>
      </c>
      <c r="I26" s="203">
        <f t="shared" si="2"/>
        <v>5357.5161290322576</v>
      </c>
      <c r="J26" s="203">
        <f t="shared" si="22"/>
        <v>249</v>
      </c>
      <c r="K26" s="203">
        <f t="shared" si="3"/>
        <v>5357.5161290322576</v>
      </c>
      <c r="L26" s="203">
        <f t="shared" si="23"/>
        <v>249</v>
      </c>
      <c r="M26" s="203">
        <f t="shared" si="4"/>
        <v>5357.5161290322576</v>
      </c>
      <c r="N26" s="203">
        <f t="shared" si="24"/>
        <v>249</v>
      </c>
      <c r="O26" s="203">
        <f t="shared" si="5"/>
        <v>5357.5161290322576</v>
      </c>
      <c r="P26" s="203">
        <f t="shared" si="25"/>
        <v>249</v>
      </c>
      <c r="Q26" s="203">
        <f t="shared" si="6"/>
        <v>5357.5161290322576</v>
      </c>
      <c r="R26" s="203">
        <f t="shared" si="26"/>
        <v>249</v>
      </c>
      <c r="S26" s="203">
        <f t="shared" si="7"/>
        <v>5357.5161290322576</v>
      </c>
      <c r="T26" s="203">
        <f t="shared" si="27"/>
        <v>249</v>
      </c>
      <c r="U26" s="203">
        <f t="shared" si="8"/>
        <v>5357.5161290322576</v>
      </c>
      <c r="V26" s="203">
        <f t="shared" si="28"/>
        <v>249</v>
      </c>
      <c r="W26" s="203">
        <f t="shared" si="9"/>
        <v>5357.5161290322576</v>
      </c>
      <c r="X26" s="35">
        <f t="shared" si="10"/>
        <v>0.80322580645161279</v>
      </c>
      <c r="Y26" s="36">
        <f t="shared" si="29"/>
        <v>58932.677419354834</v>
      </c>
      <c r="Z26" s="203">
        <f>'B5'!C25</f>
        <v>255</v>
      </c>
      <c r="AA26" s="203">
        <f t="shared" si="30"/>
        <v>2550</v>
      </c>
      <c r="AB26" s="203">
        <f t="shared" si="31"/>
        <v>255</v>
      </c>
      <c r="AC26" s="203">
        <f t="shared" si="30"/>
        <v>2550</v>
      </c>
      <c r="AD26" s="203">
        <f t="shared" si="32"/>
        <v>255</v>
      </c>
      <c r="AE26" s="203">
        <f t="shared" si="11"/>
        <v>2550</v>
      </c>
      <c r="AF26" s="203">
        <f t="shared" si="33"/>
        <v>255</v>
      </c>
      <c r="AG26" s="203">
        <f t="shared" si="12"/>
        <v>2550</v>
      </c>
      <c r="AH26" s="203">
        <f t="shared" si="34"/>
        <v>255</v>
      </c>
      <c r="AI26" s="203">
        <f t="shared" si="13"/>
        <v>2550</v>
      </c>
      <c r="AJ26" s="203">
        <f t="shared" si="35"/>
        <v>255</v>
      </c>
      <c r="AK26" s="203">
        <f t="shared" si="14"/>
        <v>2550</v>
      </c>
      <c r="AL26" s="203">
        <f t="shared" si="36"/>
        <v>255</v>
      </c>
      <c r="AM26" s="203">
        <f t="shared" si="15"/>
        <v>2550</v>
      </c>
      <c r="AN26" s="35">
        <f t="shared" si="16"/>
        <v>0.9107142857142857</v>
      </c>
      <c r="AO26" s="36">
        <f t="shared" si="39"/>
        <v>17850</v>
      </c>
      <c r="AQ26" s="223">
        <f t="shared" si="40"/>
        <v>0.8258866023379029</v>
      </c>
      <c r="AR26" s="38">
        <f t="shared" si="41"/>
        <v>76782.677419354834</v>
      </c>
      <c r="AS26" s="197">
        <f t="shared" si="47"/>
        <v>0</v>
      </c>
      <c r="AT26" s="340"/>
      <c r="AU26" s="546"/>
      <c r="AV26" s="485">
        <f t="shared" si="43"/>
        <v>1.0780000000000001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44795</v>
      </c>
      <c r="B27">
        <f>'B5'!B26</f>
        <v>249</v>
      </c>
      <c r="C27" s="203">
        <f t="shared" si="18"/>
        <v>5357.5161290322576</v>
      </c>
      <c r="D27">
        <f t="shared" si="19"/>
        <v>249</v>
      </c>
      <c r="E27" s="203">
        <f t="shared" si="18"/>
        <v>5357.5161290322576</v>
      </c>
      <c r="F27">
        <f t="shared" si="20"/>
        <v>249</v>
      </c>
      <c r="G27" s="203">
        <f t="shared" si="1"/>
        <v>5357.5161290322576</v>
      </c>
      <c r="H27" s="203">
        <f t="shared" si="21"/>
        <v>249</v>
      </c>
      <c r="I27" s="203">
        <f t="shared" si="2"/>
        <v>5357.5161290322576</v>
      </c>
      <c r="J27" s="203">
        <f t="shared" si="22"/>
        <v>249</v>
      </c>
      <c r="K27" s="203">
        <f t="shared" si="3"/>
        <v>5357.5161290322576</v>
      </c>
      <c r="L27" s="203">
        <f t="shared" si="23"/>
        <v>249</v>
      </c>
      <c r="M27" s="203">
        <f t="shared" si="4"/>
        <v>5357.5161290322576</v>
      </c>
      <c r="N27" s="203">
        <f t="shared" si="24"/>
        <v>249</v>
      </c>
      <c r="O27" s="203">
        <f t="shared" si="5"/>
        <v>5357.5161290322576</v>
      </c>
      <c r="P27" s="203">
        <f t="shared" si="25"/>
        <v>249</v>
      </c>
      <c r="Q27" s="203">
        <f t="shared" si="6"/>
        <v>5357.5161290322576</v>
      </c>
      <c r="R27" s="203">
        <f t="shared" si="26"/>
        <v>249</v>
      </c>
      <c r="S27" s="203">
        <f t="shared" si="7"/>
        <v>5357.5161290322576</v>
      </c>
      <c r="T27" s="203">
        <f t="shared" si="27"/>
        <v>249</v>
      </c>
      <c r="U27" s="203">
        <f t="shared" si="8"/>
        <v>5357.5161290322576</v>
      </c>
      <c r="V27" s="203">
        <f t="shared" si="28"/>
        <v>249</v>
      </c>
      <c r="W27" s="203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203">
        <f>'B5'!C26</f>
        <v>255</v>
      </c>
      <c r="AA27" s="203">
        <f t="shared" si="30"/>
        <v>2550</v>
      </c>
      <c r="AB27" s="203">
        <f t="shared" si="31"/>
        <v>255</v>
      </c>
      <c r="AC27" s="203">
        <f t="shared" si="30"/>
        <v>2550</v>
      </c>
      <c r="AD27" s="203">
        <f t="shared" si="32"/>
        <v>255</v>
      </c>
      <c r="AE27" s="203">
        <f t="shared" si="11"/>
        <v>2550</v>
      </c>
      <c r="AF27" s="203">
        <f t="shared" si="33"/>
        <v>255</v>
      </c>
      <c r="AG27" s="203">
        <f t="shared" si="12"/>
        <v>2550</v>
      </c>
      <c r="AH27" s="203">
        <f t="shared" si="34"/>
        <v>255</v>
      </c>
      <c r="AI27" s="203">
        <f t="shared" si="13"/>
        <v>2550</v>
      </c>
      <c r="AJ27" s="203">
        <f t="shared" si="35"/>
        <v>255</v>
      </c>
      <c r="AK27" s="203">
        <f t="shared" si="14"/>
        <v>2550</v>
      </c>
      <c r="AL27" s="203">
        <f t="shared" si="36"/>
        <v>255</v>
      </c>
      <c r="AM27" s="203">
        <f t="shared" si="15"/>
        <v>2550</v>
      </c>
      <c r="AN27" s="35">
        <f t="shared" si="16"/>
        <v>0.9107142857142857</v>
      </c>
      <c r="AO27" s="36">
        <f t="shared" si="39"/>
        <v>17850</v>
      </c>
      <c r="AQ27" s="223">
        <f t="shared" si="40"/>
        <v>0.8258866023379029</v>
      </c>
      <c r="AR27" s="38">
        <f t="shared" si="41"/>
        <v>76782.677419354834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44796</v>
      </c>
      <c r="B28">
        <f>'B5'!B27</f>
        <v>249</v>
      </c>
      <c r="C28" s="203">
        <f t="shared" si="18"/>
        <v>5357.5161290322576</v>
      </c>
      <c r="D28">
        <f t="shared" si="19"/>
        <v>249</v>
      </c>
      <c r="E28" s="203">
        <f t="shared" si="18"/>
        <v>5357.5161290322576</v>
      </c>
      <c r="F28">
        <f t="shared" si="20"/>
        <v>249</v>
      </c>
      <c r="G28" s="203">
        <f t="shared" si="1"/>
        <v>5357.5161290322576</v>
      </c>
      <c r="H28" s="203">
        <f t="shared" si="21"/>
        <v>249</v>
      </c>
      <c r="I28" s="203">
        <f t="shared" si="2"/>
        <v>5357.5161290322576</v>
      </c>
      <c r="J28" s="203">
        <f t="shared" si="22"/>
        <v>249</v>
      </c>
      <c r="K28" s="203">
        <f t="shared" si="3"/>
        <v>5357.5161290322576</v>
      </c>
      <c r="L28" s="203">
        <f t="shared" si="23"/>
        <v>249</v>
      </c>
      <c r="M28" s="203">
        <f t="shared" si="4"/>
        <v>5357.5161290322576</v>
      </c>
      <c r="N28" s="203">
        <f t="shared" si="24"/>
        <v>249</v>
      </c>
      <c r="O28" s="203">
        <f t="shared" si="5"/>
        <v>5357.5161290322576</v>
      </c>
      <c r="P28" s="203">
        <f t="shared" si="25"/>
        <v>249</v>
      </c>
      <c r="Q28" s="203">
        <f t="shared" si="6"/>
        <v>5357.5161290322576</v>
      </c>
      <c r="R28" s="203">
        <f t="shared" si="26"/>
        <v>249</v>
      </c>
      <c r="S28" s="203">
        <f t="shared" si="7"/>
        <v>5357.5161290322576</v>
      </c>
      <c r="T28" s="203">
        <f t="shared" si="27"/>
        <v>249</v>
      </c>
      <c r="U28" s="203">
        <f t="shared" si="8"/>
        <v>5357.5161290322576</v>
      </c>
      <c r="V28" s="203">
        <f t="shared" si="28"/>
        <v>249</v>
      </c>
      <c r="W28" s="203">
        <f t="shared" si="9"/>
        <v>5357.5161290322576</v>
      </c>
      <c r="X28" s="35">
        <f t="shared" si="10"/>
        <v>0.80322580645161279</v>
      </c>
      <c r="Y28" s="36">
        <f t="shared" si="29"/>
        <v>58932.677419354834</v>
      </c>
      <c r="Z28" s="203">
        <f>'B5'!C27</f>
        <v>255</v>
      </c>
      <c r="AA28" s="203">
        <f t="shared" si="30"/>
        <v>2550</v>
      </c>
      <c r="AB28" s="203">
        <f t="shared" si="31"/>
        <v>255</v>
      </c>
      <c r="AC28" s="203">
        <f t="shared" si="30"/>
        <v>2550</v>
      </c>
      <c r="AD28" s="203">
        <f t="shared" si="32"/>
        <v>255</v>
      </c>
      <c r="AE28" s="203">
        <f t="shared" si="11"/>
        <v>2550</v>
      </c>
      <c r="AF28" s="203">
        <f t="shared" si="33"/>
        <v>255</v>
      </c>
      <c r="AG28" s="203">
        <f t="shared" si="12"/>
        <v>2550</v>
      </c>
      <c r="AH28" s="203">
        <f t="shared" si="34"/>
        <v>255</v>
      </c>
      <c r="AI28" s="203">
        <f t="shared" si="13"/>
        <v>2550</v>
      </c>
      <c r="AJ28" s="203">
        <f t="shared" si="35"/>
        <v>255</v>
      </c>
      <c r="AK28" s="203">
        <f t="shared" si="14"/>
        <v>2550</v>
      </c>
      <c r="AL28" s="203">
        <f t="shared" si="36"/>
        <v>255</v>
      </c>
      <c r="AM28" s="203">
        <f t="shared" si="15"/>
        <v>2550</v>
      </c>
      <c r="AN28" s="35">
        <f t="shared" si="16"/>
        <v>0.9107142857142857</v>
      </c>
      <c r="AO28" s="36">
        <f t="shared" si="39"/>
        <v>17850</v>
      </c>
      <c r="AQ28" s="223">
        <f t="shared" si="40"/>
        <v>0.8258866023379029</v>
      </c>
      <c r="AR28" s="38">
        <f t="shared" si="41"/>
        <v>76782.677419354834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44797</v>
      </c>
      <c r="B29">
        <f>'B5'!B28</f>
        <v>249</v>
      </c>
      <c r="C29" s="203">
        <f t="shared" si="18"/>
        <v>5357.5161290322576</v>
      </c>
      <c r="D29">
        <f t="shared" si="19"/>
        <v>249</v>
      </c>
      <c r="E29" s="203">
        <f t="shared" si="18"/>
        <v>5357.5161290322576</v>
      </c>
      <c r="F29">
        <f t="shared" si="20"/>
        <v>249</v>
      </c>
      <c r="G29" s="203">
        <f t="shared" si="1"/>
        <v>5357.5161290322576</v>
      </c>
      <c r="H29" s="203">
        <f t="shared" si="21"/>
        <v>249</v>
      </c>
      <c r="I29" s="203">
        <f t="shared" si="2"/>
        <v>5357.5161290322576</v>
      </c>
      <c r="J29" s="203">
        <f t="shared" si="22"/>
        <v>249</v>
      </c>
      <c r="K29" s="203">
        <f t="shared" si="3"/>
        <v>5357.5161290322576</v>
      </c>
      <c r="L29" s="203">
        <f t="shared" si="23"/>
        <v>249</v>
      </c>
      <c r="M29" s="203">
        <f t="shared" si="4"/>
        <v>5357.5161290322576</v>
      </c>
      <c r="N29" s="203">
        <f t="shared" si="24"/>
        <v>249</v>
      </c>
      <c r="O29" s="203">
        <f t="shared" si="5"/>
        <v>5357.5161290322576</v>
      </c>
      <c r="P29" s="203">
        <f t="shared" si="25"/>
        <v>249</v>
      </c>
      <c r="Q29" s="203">
        <f t="shared" si="6"/>
        <v>5357.5161290322576</v>
      </c>
      <c r="R29" s="203">
        <f t="shared" si="26"/>
        <v>249</v>
      </c>
      <c r="S29" s="203">
        <f t="shared" si="7"/>
        <v>5357.5161290322576</v>
      </c>
      <c r="T29" s="203">
        <f t="shared" si="27"/>
        <v>249</v>
      </c>
      <c r="U29" s="203">
        <f t="shared" si="8"/>
        <v>5357.5161290322576</v>
      </c>
      <c r="V29" s="203">
        <f t="shared" si="28"/>
        <v>249</v>
      </c>
      <c r="W29" s="203">
        <f t="shared" si="9"/>
        <v>5357.5161290322576</v>
      </c>
      <c r="X29" s="35">
        <f t="shared" si="10"/>
        <v>0.80322580645161279</v>
      </c>
      <c r="Y29" s="36">
        <f t="shared" si="29"/>
        <v>58932.677419354834</v>
      </c>
      <c r="Z29" s="203">
        <f>'B5'!C28</f>
        <v>255</v>
      </c>
      <c r="AA29" s="203">
        <f t="shared" si="30"/>
        <v>2550</v>
      </c>
      <c r="AB29" s="203">
        <f t="shared" si="31"/>
        <v>255</v>
      </c>
      <c r="AC29" s="203">
        <f t="shared" si="30"/>
        <v>2550</v>
      </c>
      <c r="AD29" s="203">
        <f t="shared" si="32"/>
        <v>255</v>
      </c>
      <c r="AE29" s="203">
        <f t="shared" si="11"/>
        <v>2550</v>
      </c>
      <c r="AF29" s="203">
        <f t="shared" si="33"/>
        <v>255</v>
      </c>
      <c r="AG29" s="203">
        <f t="shared" si="12"/>
        <v>2550</v>
      </c>
      <c r="AH29" s="203">
        <f t="shared" si="34"/>
        <v>255</v>
      </c>
      <c r="AI29" s="203">
        <f t="shared" si="13"/>
        <v>2550</v>
      </c>
      <c r="AJ29" s="203">
        <f t="shared" si="35"/>
        <v>255</v>
      </c>
      <c r="AK29" s="203">
        <f t="shared" si="14"/>
        <v>2550</v>
      </c>
      <c r="AL29" s="203">
        <f t="shared" si="36"/>
        <v>255</v>
      </c>
      <c r="AM29" s="203">
        <f t="shared" si="15"/>
        <v>2550</v>
      </c>
      <c r="AN29" s="35">
        <f t="shared" si="16"/>
        <v>0.9107142857142857</v>
      </c>
      <c r="AO29" s="36">
        <f t="shared" si="39"/>
        <v>17850</v>
      </c>
      <c r="AQ29" s="223">
        <f t="shared" si="40"/>
        <v>0.8258866023379029</v>
      </c>
      <c r="AR29" s="38">
        <f t="shared" si="41"/>
        <v>76782.677419354834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44798</v>
      </c>
      <c r="B30">
        <f>'B5'!B29</f>
        <v>249</v>
      </c>
      <c r="C30" s="203">
        <f t="shared" si="18"/>
        <v>5357.5161290322576</v>
      </c>
      <c r="D30">
        <f>SUM(B30)</f>
        <v>249</v>
      </c>
      <c r="E30" s="203">
        <f t="shared" si="18"/>
        <v>5357.5161290322576</v>
      </c>
      <c r="F30">
        <f>SUM(D30)</f>
        <v>249</v>
      </c>
      <c r="G30" s="203">
        <f t="shared" si="1"/>
        <v>5357.5161290322576</v>
      </c>
      <c r="H30" s="203">
        <f>SUM(F30)</f>
        <v>249</v>
      </c>
      <c r="I30" s="203">
        <f t="shared" si="2"/>
        <v>5357.5161290322576</v>
      </c>
      <c r="J30" s="203">
        <f>SUM(H30)</f>
        <v>249</v>
      </c>
      <c r="K30" s="203">
        <f t="shared" si="3"/>
        <v>5357.5161290322576</v>
      </c>
      <c r="L30" s="203">
        <f>SUM(J30)</f>
        <v>249</v>
      </c>
      <c r="M30" s="203">
        <f t="shared" si="4"/>
        <v>5357.5161290322576</v>
      </c>
      <c r="N30" s="203">
        <f>SUM(L30)</f>
        <v>249</v>
      </c>
      <c r="O30" s="203">
        <f t="shared" si="5"/>
        <v>5357.5161290322576</v>
      </c>
      <c r="P30" s="203">
        <f>SUM(N30)</f>
        <v>249</v>
      </c>
      <c r="Q30" s="203">
        <f t="shared" si="6"/>
        <v>5357.5161290322576</v>
      </c>
      <c r="R30" s="203">
        <f>SUM(P30)</f>
        <v>249</v>
      </c>
      <c r="S30" s="203">
        <f t="shared" si="7"/>
        <v>5357.5161290322576</v>
      </c>
      <c r="T30" s="203">
        <f>SUM(R30)</f>
        <v>249</v>
      </c>
      <c r="U30" s="203">
        <f t="shared" si="8"/>
        <v>5357.5161290322576</v>
      </c>
      <c r="V30" s="203">
        <f>SUM(T30)</f>
        <v>249</v>
      </c>
      <c r="W30" s="203">
        <f t="shared" si="9"/>
        <v>5357.5161290322576</v>
      </c>
      <c r="X30" s="35">
        <f>SUM(Y30/73370)</f>
        <v>0.80322580645161279</v>
      </c>
      <c r="Y30" s="36">
        <f>SUM(C30+E30+G30+I30+K30+M30+O30+Q30+S30+U30+W30)</f>
        <v>58932.677419354834</v>
      </c>
      <c r="Z30" s="203">
        <f>'B5'!C29</f>
        <v>255</v>
      </c>
      <c r="AA30" s="203">
        <f t="shared" si="30"/>
        <v>2550</v>
      </c>
      <c r="AB30" s="203">
        <f>SUM(Z30)</f>
        <v>255</v>
      </c>
      <c r="AC30" s="203">
        <f t="shared" si="30"/>
        <v>2550</v>
      </c>
      <c r="AD30" s="203">
        <f>SUM(AB30)</f>
        <v>255</v>
      </c>
      <c r="AE30" s="203">
        <f t="shared" si="11"/>
        <v>2550</v>
      </c>
      <c r="AF30" s="203">
        <f>SUM(AD30)</f>
        <v>255</v>
      </c>
      <c r="AG30" s="203">
        <f t="shared" si="12"/>
        <v>2550</v>
      </c>
      <c r="AH30" s="203">
        <f>SUM(AF30)</f>
        <v>255</v>
      </c>
      <c r="AI30" s="203">
        <f t="shared" si="13"/>
        <v>2550</v>
      </c>
      <c r="AJ30" s="203">
        <f>SUM(AH30)</f>
        <v>255</v>
      </c>
      <c r="AK30" s="203">
        <f t="shared" si="14"/>
        <v>2550</v>
      </c>
      <c r="AL30" s="203">
        <f>SUM(AJ30)</f>
        <v>255</v>
      </c>
      <c r="AM30" s="203">
        <f t="shared" si="15"/>
        <v>2550</v>
      </c>
      <c r="AN30" s="35">
        <f>SUM(AO30/19600)</f>
        <v>0.9107142857142857</v>
      </c>
      <c r="AO30" s="36">
        <f>SUM(AA30+AC30+AE30+AG30+AI30+AK30+AM30)</f>
        <v>17850</v>
      </c>
      <c r="AQ30" s="223">
        <f t="shared" si="40"/>
        <v>0.8258866023379029</v>
      </c>
      <c r="AR30" s="38">
        <f t="shared" si="41"/>
        <v>76782.677419354834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44799</v>
      </c>
      <c r="B31">
        <f>'B5'!B30</f>
        <v>249</v>
      </c>
      <c r="C31" s="203">
        <f t="shared" si="18"/>
        <v>5357.5161290322576</v>
      </c>
      <c r="D31">
        <f>SUM(B31)</f>
        <v>249</v>
      </c>
      <c r="E31" s="203">
        <f t="shared" si="18"/>
        <v>5357.5161290322576</v>
      </c>
      <c r="F31">
        <f>SUM(D31)</f>
        <v>249</v>
      </c>
      <c r="G31" s="203">
        <f t="shared" si="1"/>
        <v>5357.5161290322576</v>
      </c>
      <c r="H31" s="203">
        <f>SUM(F31)</f>
        <v>249</v>
      </c>
      <c r="I31" s="203">
        <f t="shared" si="2"/>
        <v>5357.5161290322576</v>
      </c>
      <c r="J31" s="203">
        <f>SUM(H31)</f>
        <v>249</v>
      </c>
      <c r="K31" s="203">
        <f t="shared" si="3"/>
        <v>5357.5161290322576</v>
      </c>
      <c r="L31" s="203">
        <f>SUM(J31)</f>
        <v>249</v>
      </c>
      <c r="M31" s="203">
        <f t="shared" si="4"/>
        <v>5357.5161290322576</v>
      </c>
      <c r="N31" s="203">
        <f>SUM(L31)</f>
        <v>249</v>
      </c>
      <c r="O31" s="203">
        <f t="shared" si="5"/>
        <v>5357.5161290322576</v>
      </c>
      <c r="P31" s="203">
        <f>SUM(N31)</f>
        <v>249</v>
      </c>
      <c r="Q31" s="203">
        <f t="shared" si="6"/>
        <v>5357.5161290322576</v>
      </c>
      <c r="R31" s="203">
        <f>SUM(P31)</f>
        <v>249</v>
      </c>
      <c r="S31" s="203">
        <f t="shared" si="7"/>
        <v>5357.5161290322576</v>
      </c>
      <c r="T31" s="203">
        <f>SUM(R31)</f>
        <v>249</v>
      </c>
      <c r="U31" s="203">
        <f t="shared" si="8"/>
        <v>5357.5161290322576</v>
      </c>
      <c r="V31" s="203">
        <f>SUM(T31)</f>
        <v>249</v>
      </c>
      <c r="W31" s="203">
        <f t="shared" si="9"/>
        <v>5357.5161290322576</v>
      </c>
      <c r="X31" s="35">
        <f>SUM(Y31/73370)</f>
        <v>0.80322580645161279</v>
      </c>
      <c r="Y31" s="36">
        <f>SUM(C31+E31+G31+I31+K31+M31+O31+Q31+S31+U31+W31)</f>
        <v>58932.677419354834</v>
      </c>
      <c r="Z31" s="203">
        <f>'B5'!C30</f>
        <v>255</v>
      </c>
      <c r="AA31" s="203">
        <f t="shared" si="30"/>
        <v>2550</v>
      </c>
      <c r="AB31" s="203">
        <f>SUM(Z31)</f>
        <v>255</v>
      </c>
      <c r="AC31" s="203">
        <f t="shared" si="30"/>
        <v>2550</v>
      </c>
      <c r="AD31" s="203">
        <f>SUM(AB31)</f>
        <v>255</v>
      </c>
      <c r="AE31" s="203">
        <f t="shared" si="11"/>
        <v>2550</v>
      </c>
      <c r="AF31" s="203">
        <f>SUM(AD31)</f>
        <v>255</v>
      </c>
      <c r="AG31" s="203">
        <f t="shared" si="12"/>
        <v>2550</v>
      </c>
      <c r="AH31" s="203">
        <f>SUM(AF31)</f>
        <v>255</v>
      </c>
      <c r="AI31" s="203">
        <f t="shared" si="13"/>
        <v>2550</v>
      </c>
      <c r="AJ31" s="203">
        <f>SUM(AH31)</f>
        <v>255</v>
      </c>
      <c r="AK31" s="203">
        <f t="shared" si="14"/>
        <v>2550</v>
      </c>
      <c r="AL31" s="203">
        <f>SUM(AJ31)</f>
        <v>255</v>
      </c>
      <c r="AM31" s="203">
        <f t="shared" si="15"/>
        <v>2550</v>
      </c>
      <c r="AN31" s="35">
        <f>SUM(AO31/19600)</f>
        <v>0.9107142857142857</v>
      </c>
      <c r="AO31" s="36">
        <f>SUM(AA31+AC31+AE31+AG31+AI31+AK31+AM31)</f>
        <v>17850</v>
      </c>
      <c r="AQ31" s="223">
        <f t="shared" si="40"/>
        <v>0.8258866023379029</v>
      </c>
      <c r="AR31" s="38">
        <f t="shared" si="41"/>
        <v>76782.677419354834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44800</v>
      </c>
      <c r="B32">
        <f>'B5'!B31</f>
        <v>249</v>
      </c>
      <c r="C32" s="203">
        <f t="shared" si="18"/>
        <v>5357.5161290322576</v>
      </c>
      <c r="D32">
        <f>SUM(B32)</f>
        <v>249</v>
      </c>
      <c r="E32" s="203">
        <f t="shared" si="18"/>
        <v>5357.5161290322576</v>
      </c>
      <c r="F32">
        <f>SUM(D32)</f>
        <v>249</v>
      </c>
      <c r="G32" s="203">
        <f t="shared" si="1"/>
        <v>5357.5161290322576</v>
      </c>
      <c r="H32" s="203">
        <f>SUM(F32)</f>
        <v>249</v>
      </c>
      <c r="I32" s="203">
        <f t="shared" si="2"/>
        <v>5357.5161290322576</v>
      </c>
      <c r="J32" s="203">
        <f>SUM(H32)</f>
        <v>249</v>
      </c>
      <c r="K32" s="203">
        <f t="shared" si="3"/>
        <v>5357.5161290322576</v>
      </c>
      <c r="L32" s="203">
        <f>SUM(J32)</f>
        <v>249</v>
      </c>
      <c r="M32" s="203">
        <f t="shared" si="4"/>
        <v>5357.5161290322576</v>
      </c>
      <c r="N32" s="203">
        <f>SUM(L32)</f>
        <v>249</v>
      </c>
      <c r="O32" s="203">
        <f t="shared" si="5"/>
        <v>5357.5161290322576</v>
      </c>
      <c r="P32" s="203">
        <f>SUM(N32)</f>
        <v>249</v>
      </c>
      <c r="Q32" s="203">
        <f t="shared" si="6"/>
        <v>5357.5161290322576</v>
      </c>
      <c r="R32" s="203">
        <f>SUM(P32)</f>
        <v>249</v>
      </c>
      <c r="S32" s="203">
        <f t="shared" si="7"/>
        <v>5357.5161290322576</v>
      </c>
      <c r="T32" s="203">
        <f>SUM(R32)</f>
        <v>249</v>
      </c>
      <c r="U32" s="203">
        <f t="shared" si="8"/>
        <v>5357.5161290322576</v>
      </c>
      <c r="V32" s="203">
        <f>SUM(T32)</f>
        <v>249</v>
      </c>
      <c r="W32" s="203">
        <f t="shared" si="9"/>
        <v>5357.5161290322576</v>
      </c>
      <c r="X32" s="35">
        <f>SUM(Y32/73370)</f>
        <v>0.80322580645161279</v>
      </c>
      <c r="Y32" s="36">
        <f>SUM(C32+E32+G32+I32+K32+M32+O32+Q32+S32+U32+W32)</f>
        <v>58932.677419354834</v>
      </c>
      <c r="Z32" s="203">
        <f>'B5'!C31</f>
        <v>255</v>
      </c>
      <c r="AA32" s="203">
        <f t="shared" si="30"/>
        <v>2550</v>
      </c>
      <c r="AB32" s="203">
        <f>SUM(Z32)</f>
        <v>255</v>
      </c>
      <c r="AC32" s="203">
        <f t="shared" si="30"/>
        <v>2550</v>
      </c>
      <c r="AD32" s="203">
        <f>SUM(AB32)</f>
        <v>255</v>
      </c>
      <c r="AE32" s="203">
        <f t="shared" si="11"/>
        <v>2550</v>
      </c>
      <c r="AF32" s="203">
        <f>SUM(AD32)</f>
        <v>255</v>
      </c>
      <c r="AG32" s="203">
        <f t="shared" si="12"/>
        <v>2550</v>
      </c>
      <c r="AH32" s="203">
        <f>SUM(AF32)</f>
        <v>255</v>
      </c>
      <c r="AI32" s="203">
        <f t="shared" si="13"/>
        <v>2550</v>
      </c>
      <c r="AJ32" s="203">
        <f>SUM(AH32)</f>
        <v>255</v>
      </c>
      <c r="AK32" s="203">
        <f t="shared" si="14"/>
        <v>2550</v>
      </c>
      <c r="AL32" s="203">
        <f>SUM(AJ32)</f>
        <v>255</v>
      </c>
      <c r="AM32" s="203">
        <f t="shared" si="15"/>
        <v>2550</v>
      </c>
      <c r="AN32" s="35">
        <f>SUM(AO32/19600)</f>
        <v>0.9107142857142857</v>
      </c>
      <c r="AO32" s="36">
        <f>SUM(AA32+AC32+AE32+AG32+AI32+AK32+AM32)</f>
        <v>17850</v>
      </c>
      <c r="AQ32" s="223">
        <f t="shared" si="40"/>
        <v>0.8258866023379029</v>
      </c>
      <c r="AR32" s="38">
        <f t="shared" si="41"/>
        <v>76782.677419354834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44801</v>
      </c>
      <c r="B33">
        <f>'B5'!B32</f>
        <v>249</v>
      </c>
      <c r="C33" s="203">
        <f t="shared" si="18"/>
        <v>5357.5161290322576</v>
      </c>
      <c r="D33">
        <f>SUM(B33)</f>
        <v>249</v>
      </c>
      <c r="E33" s="203">
        <f t="shared" si="18"/>
        <v>5357.5161290322576</v>
      </c>
      <c r="F33">
        <f>SUM(D33)</f>
        <v>249</v>
      </c>
      <c r="G33" s="203">
        <f t="shared" si="1"/>
        <v>5357.5161290322576</v>
      </c>
      <c r="H33" s="203">
        <f>SUM(F33)</f>
        <v>249</v>
      </c>
      <c r="I33" s="203">
        <f t="shared" si="2"/>
        <v>5357.5161290322576</v>
      </c>
      <c r="J33" s="203">
        <f>SUM(H33)</f>
        <v>249</v>
      </c>
      <c r="K33" s="203">
        <f t="shared" si="3"/>
        <v>5357.5161290322576</v>
      </c>
      <c r="L33" s="203">
        <f>SUM(J33)</f>
        <v>249</v>
      </c>
      <c r="M33" s="203">
        <f t="shared" si="4"/>
        <v>5357.5161290322576</v>
      </c>
      <c r="N33" s="203">
        <f>SUM(L33)</f>
        <v>249</v>
      </c>
      <c r="O33" s="203">
        <f t="shared" si="5"/>
        <v>5357.5161290322576</v>
      </c>
      <c r="P33" s="203">
        <f>SUM(N33)</f>
        <v>249</v>
      </c>
      <c r="Q33" s="203">
        <f t="shared" si="6"/>
        <v>5357.5161290322576</v>
      </c>
      <c r="R33" s="203">
        <f>SUM(P33)</f>
        <v>249</v>
      </c>
      <c r="S33" s="203">
        <f t="shared" si="7"/>
        <v>5357.5161290322576</v>
      </c>
      <c r="T33" s="203">
        <f>SUM(R33)</f>
        <v>249</v>
      </c>
      <c r="U33" s="203">
        <f t="shared" si="8"/>
        <v>5357.5161290322576</v>
      </c>
      <c r="V33" s="203">
        <f>SUM(T33)</f>
        <v>249</v>
      </c>
      <c r="W33" s="203">
        <f t="shared" si="9"/>
        <v>5357.5161290322576</v>
      </c>
      <c r="X33" s="35">
        <f>SUM(Y33/73370)</f>
        <v>0.80322580645161279</v>
      </c>
      <c r="Y33" s="36">
        <f>SUM(C33+E33+G33+I33+K33+M33+O33+Q33+S33+U33+W33)</f>
        <v>58932.677419354834</v>
      </c>
      <c r="Z33" s="203">
        <f>'B5'!C32</f>
        <v>255</v>
      </c>
      <c r="AA33" s="203">
        <f t="shared" si="30"/>
        <v>2550</v>
      </c>
      <c r="AB33" s="203">
        <f>SUM(Z33)</f>
        <v>255</v>
      </c>
      <c r="AC33" s="203">
        <f t="shared" si="30"/>
        <v>2550</v>
      </c>
      <c r="AD33" s="203">
        <f>SUM(AB33)</f>
        <v>255</v>
      </c>
      <c r="AE33" s="203">
        <f t="shared" si="11"/>
        <v>2550</v>
      </c>
      <c r="AF33" s="203">
        <f>SUM(AD33)</f>
        <v>255</v>
      </c>
      <c r="AG33" s="203">
        <f t="shared" si="12"/>
        <v>2550</v>
      </c>
      <c r="AH33" s="203">
        <f>SUM(AF33)</f>
        <v>255</v>
      </c>
      <c r="AI33" s="203">
        <f t="shared" si="13"/>
        <v>2550</v>
      </c>
      <c r="AJ33" s="203">
        <f>SUM(AH33)</f>
        <v>255</v>
      </c>
      <c r="AK33" s="203">
        <f t="shared" si="14"/>
        <v>2550</v>
      </c>
      <c r="AL33" s="203">
        <f>SUM(AJ33)</f>
        <v>255</v>
      </c>
      <c r="AM33" s="203">
        <f t="shared" si="15"/>
        <v>2550</v>
      </c>
      <c r="AN33" s="35">
        <f>SUM(AO33/19600)</f>
        <v>0.9107142857142857</v>
      </c>
      <c r="AO33" s="36">
        <f>SUM(AA33+AC33+AE33+AG33+AI33+AK33+AM33)</f>
        <v>17850</v>
      </c>
      <c r="AQ33" s="223">
        <f t="shared" si="40"/>
        <v>0.8258866023379029</v>
      </c>
      <c r="AR33" s="38">
        <f t="shared" si="41"/>
        <v>76782.677419354834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44802</v>
      </c>
      <c r="B34">
        <f>'B5'!B33</f>
        <v>249</v>
      </c>
      <c r="C34" s="203">
        <f t="shared" ref="C34:C36" si="48">B34*$B$4</f>
        <v>5357.5161290322576</v>
      </c>
      <c r="D34">
        <f t="shared" ref="D34:D36" si="49">SUM(B34)</f>
        <v>249</v>
      </c>
      <c r="E34" s="203">
        <f t="shared" ref="E34:E36" si="50">D34*$B$4</f>
        <v>5357.5161290322576</v>
      </c>
      <c r="F34">
        <f t="shared" ref="F34:F36" si="51">SUM(D34)</f>
        <v>249</v>
      </c>
      <c r="G34" s="203">
        <f t="shared" ref="G34:G36" si="52">F34*$B$4</f>
        <v>5357.5161290322576</v>
      </c>
      <c r="H34" s="203">
        <f t="shared" ref="H34:H36" si="53">SUM(F34)</f>
        <v>249</v>
      </c>
      <c r="I34" s="203">
        <f t="shared" ref="I34:I36" si="54">H34*$B$4</f>
        <v>5357.5161290322576</v>
      </c>
      <c r="J34" s="203">
        <f t="shared" ref="J34:J36" si="55">SUM(H34)</f>
        <v>249</v>
      </c>
      <c r="K34" s="203">
        <f t="shared" ref="K34:K36" si="56">J34*$B$4</f>
        <v>5357.5161290322576</v>
      </c>
      <c r="L34" s="203">
        <f t="shared" ref="L34:L36" si="57">SUM(J34)</f>
        <v>249</v>
      </c>
      <c r="M34" s="203">
        <f t="shared" ref="M34:M36" si="58">L34*$B$4</f>
        <v>5357.5161290322576</v>
      </c>
      <c r="N34" s="203">
        <f t="shared" ref="N34:N36" si="59">SUM(L34)</f>
        <v>249</v>
      </c>
      <c r="O34" s="203">
        <f t="shared" ref="O34:O36" si="60">N34*$B$4</f>
        <v>5357.5161290322576</v>
      </c>
      <c r="P34" s="203">
        <f t="shared" ref="P34:P36" si="61">SUM(N34)</f>
        <v>249</v>
      </c>
      <c r="Q34" s="203">
        <f t="shared" ref="Q34:Q36" si="62">P34*$B$4</f>
        <v>5357.5161290322576</v>
      </c>
      <c r="R34" s="203">
        <f t="shared" ref="R34:R36" si="63">SUM(P34)</f>
        <v>249</v>
      </c>
      <c r="S34" s="203">
        <f t="shared" ref="S34:S36" si="64">R34*$B$4</f>
        <v>5357.5161290322576</v>
      </c>
      <c r="T34" s="203">
        <f t="shared" ref="T34:T36" si="65">SUM(R34)</f>
        <v>249</v>
      </c>
      <c r="U34" s="203">
        <f t="shared" ref="U34:U36" si="66">T34*$B$4</f>
        <v>5357.5161290322576</v>
      </c>
      <c r="V34" s="203">
        <f t="shared" ref="V34:V36" si="67">SUM(T34)</f>
        <v>249</v>
      </c>
      <c r="W34" s="203">
        <f t="shared" ref="W34:W36" si="68">V34*$B$4</f>
        <v>5357.5161290322576</v>
      </c>
      <c r="X34" s="35">
        <f t="shared" ref="X34:X36" si="69">SUM(Y34/73370)</f>
        <v>0.80322580645161279</v>
      </c>
      <c r="Y34" s="36">
        <f t="shared" ref="Y34:Y36" si="70">SUM(C34+E34+G34+I34+K34+M34+O34+Q34+S34+U34+W34)</f>
        <v>58932.677419354834</v>
      </c>
      <c r="Z34" s="203">
        <f>'B5'!C33</f>
        <v>255</v>
      </c>
      <c r="AA34" s="203">
        <f t="shared" ref="AA34:AA36" si="71">SUM(Z34*$Z$4)</f>
        <v>2550</v>
      </c>
      <c r="AB34" s="203">
        <f t="shared" ref="AB34:AB36" si="72">SUM(Z34)</f>
        <v>255</v>
      </c>
      <c r="AC34" s="203">
        <f t="shared" ref="AC34:AC36" si="73">SUM(AB34*$Z$4)</f>
        <v>2550</v>
      </c>
      <c r="AD34" s="203">
        <f t="shared" ref="AD34:AD36" si="74">SUM(AB34)</f>
        <v>255</v>
      </c>
      <c r="AE34" s="203">
        <f t="shared" ref="AE34:AE36" si="75">SUM(AD34*$Z$4)</f>
        <v>2550</v>
      </c>
      <c r="AF34" s="203">
        <f t="shared" ref="AF34:AF36" si="76">SUM(AD34)</f>
        <v>255</v>
      </c>
      <c r="AG34" s="203">
        <f t="shared" ref="AG34:AG36" si="77">SUM(AF34*$Z$4)</f>
        <v>2550</v>
      </c>
      <c r="AH34" s="203">
        <f t="shared" ref="AH34:AH36" si="78">SUM(AF34)</f>
        <v>255</v>
      </c>
      <c r="AI34" s="203">
        <f t="shared" ref="AI34:AI36" si="79">SUM(AH34*$Z$4)</f>
        <v>2550</v>
      </c>
      <c r="AJ34" s="203">
        <f t="shared" ref="AJ34:AJ36" si="80">SUM(AH34)</f>
        <v>255</v>
      </c>
      <c r="AK34" s="203">
        <f t="shared" ref="AK34:AK36" si="81">SUM(AJ34*$Z$4)</f>
        <v>2550</v>
      </c>
      <c r="AL34" s="203">
        <f t="shared" ref="AL34:AL36" si="82">SUM(AJ34)</f>
        <v>255</v>
      </c>
      <c r="AM34" s="203">
        <f t="shared" ref="AM34:AM36" si="83">SUM(AL34*$Z$4)</f>
        <v>2550</v>
      </c>
      <c r="AN34" s="35">
        <f t="shared" ref="AN34:AN36" si="84">SUM(AO34/19600)</f>
        <v>0.9107142857142857</v>
      </c>
      <c r="AO34" s="36">
        <f t="shared" ref="AO34:AO36" si="85">SUM(AA34+AC34+AE34+AG34+AI34+AK34+AM34)</f>
        <v>17850</v>
      </c>
      <c r="AQ34" s="223">
        <f t="shared" ref="AQ34:AQ36" si="86">SUM(AR34/92970)</f>
        <v>0.8258866023379029</v>
      </c>
      <c r="AR34" s="38">
        <f t="shared" si="41"/>
        <v>76782.677419354834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44803</v>
      </c>
      <c r="B35">
        <f>'B5'!B34</f>
        <v>249</v>
      </c>
      <c r="C35" s="203">
        <f t="shared" si="48"/>
        <v>5357.5161290322576</v>
      </c>
      <c r="D35">
        <f t="shared" si="49"/>
        <v>249</v>
      </c>
      <c r="E35" s="203">
        <f t="shared" si="50"/>
        <v>5357.5161290322576</v>
      </c>
      <c r="F35">
        <f t="shared" si="51"/>
        <v>249</v>
      </c>
      <c r="G35" s="203">
        <f t="shared" si="52"/>
        <v>5357.5161290322576</v>
      </c>
      <c r="H35" s="203">
        <f t="shared" si="53"/>
        <v>249</v>
      </c>
      <c r="I35" s="203">
        <f t="shared" si="54"/>
        <v>5357.5161290322576</v>
      </c>
      <c r="J35" s="203">
        <f t="shared" si="55"/>
        <v>249</v>
      </c>
      <c r="K35" s="203">
        <f t="shared" si="56"/>
        <v>5357.5161290322576</v>
      </c>
      <c r="L35" s="203">
        <f t="shared" si="57"/>
        <v>249</v>
      </c>
      <c r="M35" s="203">
        <f t="shared" si="58"/>
        <v>5357.5161290322576</v>
      </c>
      <c r="N35" s="203">
        <f t="shared" si="59"/>
        <v>249</v>
      </c>
      <c r="O35" s="203">
        <f t="shared" si="60"/>
        <v>5357.5161290322576</v>
      </c>
      <c r="P35" s="203">
        <f t="shared" si="61"/>
        <v>249</v>
      </c>
      <c r="Q35" s="203">
        <f t="shared" si="62"/>
        <v>5357.5161290322576</v>
      </c>
      <c r="R35" s="203">
        <f t="shared" si="63"/>
        <v>249</v>
      </c>
      <c r="S35" s="203">
        <f t="shared" si="64"/>
        <v>5357.5161290322576</v>
      </c>
      <c r="T35" s="203">
        <f t="shared" si="65"/>
        <v>249</v>
      </c>
      <c r="U35" s="203">
        <f t="shared" si="66"/>
        <v>5357.5161290322576</v>
      </c>
      <c r="V35" s="203">
        <f t="shared" si="67"/>
        <v>249</v>
      </c>
      <c r="W35" s="203">
        <f t="shared" si="68"/>
        <v>5357.5161290322576</v>
      </c>
      <c r="X35" s="35">
        <f t="shared" si="69"/>
        <v>0.80322580645161279</v>
      </c>
      <c r="Y35" s="36">
        <f t="shared" si="70"/>
        <v>58932.677419354834</v>
      </c>
      <c r="Z35" s="203">
        <f>'B5'!C34</f>
        <v>255</v>
      </c>
      <c r="AA35" s="203">
        <f t="shared" si="71"/>
        <v>2550</v>
      </c>
      <c r="AB35" s="203">
        <f t="shared" si="72"/>
        <v>255</v>
      </c>
      <c r="AC35" s="203">
        <f t="shared" si="73"/>
        <v>2550</v>
      </c>
      <c r="AD35" s="203">
        <f t="shared" si="74"/>
        <v>255</v>
      </c>
      <c r="AE35" s="203">
        <f t="shared" si="75"/>
        <v>2550</v>
      </c>
      <c r="AF35" s="203">
        <f t="shared" si="76"/>
        <v>255</v>
      </c>
      <c r="AG35" s="203">
        <f t="shared" si="77"/>
        <v>2550</v>
      </c>
      <c r="AH35" s="203">
        <f t="shared" si="78"/>
        <v>255</v>
      </c>
      <c r="AI35" s="203">
        <f t="shared" si="79"/>
        <v>2550</v>
      </c>
      <c r="AJ35" s="203">
        <f t="shared" si="80"/>
        <v>255</v>
      </c>
      <c r="AK35" s="203">
        <f t="shared" si="81"/>
        <v>2550</v>
      </c>
      <c r="AL35" s="203">
        <f t="shared" si="82"/>
        <v>255</v>
      </c>
      <c r="AM35" s="203">
        <f t="shared" si="83"/>
        <v>2550</v>
      </c>
      <c r="AN35" s="35">
        <f t="shared" si="84"/>
        <v>0.9107142857142857</v>
      </c>
      <c r="AO35" s="36">
        <f t="shared" si="85"/>
        <v>17850</v>
      </c>
      <c r="AQ35" s="223">
        <f t="shared" si="86"/>
        <v>0.8258866023379029</v>
      </c>
      <c r="AR35" s="38">
        <f t="shared" si="41"/>
        <v>76782.677419354834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44804</v>
      </c>
      <c r="B36">
        <f>'B5'!B35</f>
        <v>249</v>
      </c>
      <c r="C36" s="203">
        <f t="shared" si="48"/>
        <v>5357.5161290322576</v>
      </c>
      <c r="D36">
        <f t="shared" si="49"/>
        <v>249</v>
      </c>
      <c r="E36" s="203">
        <f t="shared" si="50"/>
        <v>5357.5161290322576</v>
      </c>
      <c r="F36">
        <f t="shared" si="51"/>
        <v>249</v>
      </c>
      <c r="G36" s="203">
        <f t="shared" si="52"/>
        <v>5357.5161290322576</v>
      </c>
      <c r="H36" s="203">
        <f t="shared" si="53"/>
        <v>249</v>
      </c>
      <c r="I36" s="203">
        <f t="shared" si="54"/>
        <v>5357.5161290322576</v>
      </c>
      <c r="J36" s="203">
        <f t="shared" si="55"/>
        <v>249</v>
      </c>
      <c r="K36" s="203">
        <f t="shared" si="56"/>
        <v>5357.5161290322576</v>
      </c>
      <c r="L36" s="203">
        <f t="shared" si="57"/>
        <v>249</v>
      </c>
      <c r="M36" s="203">
        <f t="shared" si="58"/>
        <v>5357.5161290322576</v>
      </c>
      <c r="N36" s="203">
        <f t="shared" si="59"/>
        <v>249</v>
      </c>
      <c r="O36" s="203">
        <f t="shared" si="60"/>
        <v>5357.5161290322576</v>
      </c>
      <c r="P36" s="203">
        <f t="shared" si="61"/>
        <v>249</v>
      </c>
      <c r="Q36" s="203">
        <f t="shared" si="62"/>
        <v>5357.5161290322576</v>
      </c>
      <c r="R36" s="203">
        <f t="shared" si="63"/>
        <v>249</v>
      </c>
      <c r="S36" s="203">
        <f t="shared" si="64"/>
        <v>5357.5161290322576</v>
      </c>
      <c r="T36" s="203">
        <f t="shared" si="65"/>
        <v>249</v>
      </c>
      <c r="U36" s="203">
        <f t="shared" si="66"/>
        <v>5357.5161290322576</v>
      </c>
      <c r="V36" s="203">
        <f t="shared" si="67"/>
        <v>249</v>
      </c>
      <c r="W36" s="203">
        <f t="shared" si="68"/>
        <v>5357.5161290322576</v>
      </c>
      <c r="X36" s="35">
        <f t="shared" si="69"/>
        <v>0.80322580645161279</v>
      </c>
      <c r="Y36" s="36">
        <f t="shared" si="70"/>
        <v>58932.677419354834</v>
      </c>
      <c r="Z36" s="203">
        <f>'B5'!C35</f>
        <v>255</v>
      </c>
      <c r="AA36" s="203">
        <f t="shared" si="71"/>
        <v>2550</v>
      </c>
      <c r="AB36" s="203">
        <f t="shared" si="72"/>
        <v>255</v>
      </c>
      <c r="AC36" s="203">
        <f t="shared" si="73"/>
        <v>2550</v>
      </c>
      <c r="AD36" s="203">
        <f t="shared" si="74"/>
        <v>255</v>
      </c>
      <c r="AE36" s="203">
        <f t="shared" si="75"/>
        <v>2550</v>
      </c>
      <c r="AF36" s="203">
        <f t="shared" si="76"/>
        <v>255</v>
      </c>
      <c r="AG36" s="203">
        <f t="shared" si="77"/>
        <v>2550</v>
      </c>
      <c r="AH36" s="203">
        <f t="shared" si="78"/>
        <v>255</v>
      </c>
      <c r="AI36" s="203">
        <f t="shared" si="79"/>
        <v>2550</v>
      </c>
      <c r="AJ36" s="203">
        <f t="shared" si="80"/>
        <v>255</v>
      </c>
      <c r="AK36" s="203">
        <f t="shared" si="81"/>
        <v>2550</v>
      </c>
      <c r="AL36" s="203">
        <f t="shared" si="82"/>
        <v>255</v>
      </c>
      <c r="AM36" s="203">
        <f t="shared" si="83"/>
        <v>2550</v>
      </c>
      <c r="AN36" s="35">
        <f t="shared" si="84"/>
        <v>0.9107142857142857</v>
      </c>
      <c r="AO36" s="36">
        <f t="shared" si="85"/>
        <v>17850</v>
      </c>
      <c r="AQ36" s="223">
        <f t="shared" si="86"/>
        <v>0.8258866023379029</v>
      </c>
      <c r="AR36" s="38">
        <f t="shared" si="41"/>
        <v>76782.677419354834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5150</v>
      </c>
      <c r="AU37" s="542">
        <f>SUM(AU6:AU36)/AS37</f>
        <v>1.0780000000000001</v>
      </c>
      <c r="AX37" s="203">
        <f>SUM(AX6:AX36)</f>
        <v>4730.3225806451665</v>
      </c>
      <c r="AY37" s="203">
        <f>SUM(AY6:AY36)</f>
        <v>3980.3225806451665</v>
      </c>
    </row>
    <row r="38" spans="1:63">
      <c r="AS38" s="206"/>
      <c r="AT38" s="82">
        <f>+AT37*AU37</f>
        <v>5551.7000000000007</v>
      </c>
    </row>
    <row r="40" spans="1:63">
      <c r="AS40" s="165">
        <f>SUM(AS6:AS36)/'EDl log'!A35</f>
        <v>1990.1612903225832</v>
      </c>
      <c r="AT40" s="203"/>
    </row>
    <row r="41" spans="1:63">
      <c r="AX41">
        <v>43309</v>
      </c>
    </row>
    <row r="42" spans="1:63">
      <c r="AR42" s="203">
        <f>AR36-22000</f>
        <v>54782.677419354834</v>
      </c>
      <c r="AU42" s="203"/>
      <c r="AX42">
        <f>AX37/AX41</f>
        <v>0.10922262302628014</v>
      </c>
    </row>
    <row r="43" spans="1:63">
      <c r="AR43">
        <f>AR42/5500</f>
        <v>9.9604868035190606</v>
      </c>
    </row>
    <row r="44" spans="1:63">
      <c r="AR44">
        <f>AR43*2</f>
        <v>19.920973607038121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70" zoomScaleNormal="70" workbookViewId="0">
      <selection activeCell="B13" sqref="B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44773</v>
      </c>
      <c r="B3" s="254">
        <f>'[2]EDl log'!B34</f>
        <v>1123330</v>
      </c>
      <c r="C3" s="254">
        <f>'[2]EDl log'!C34</f>
        <v>666</v>
      </c>
      <c r="D3" s="254">
        <f>'[2]EDl log'!D34</f>
        <v>668</v>
      </c>
      <c r="E3" s="254">
        <f>'[2]EDl log'!E34</f>
        <v>1123332</v>
      </c>
      <c r="F3" s="254">
        <f>'[2]EDl log'!F34</f>
        <v>161410</v>
      </c>
      <c r="G3" s="254">
        <f>'[2]EDl log'!G34</f>
        <v>0</v>
      </c>
      <c r="H3" s="254">
        <f>'[2]EDl log'!H34</f>
        <v>560074</v>
      </c>
      <c r="I3" s="254">
        <f>'[2]EDl log'!I34</f>
        <v>551</v>
      </c>
      <c r="J3" s="254">
        <f>'[2]EDl log'!J34</f>
        <v>401847</v>
      </c>
      <c r="K3" s="254">
        <f>'[2]EDl log'!K34</f>
        <v>117</v>
      </c>
      <c r="L3" s="254">
        <f>'[2]EDl log'!L34</f>
        <v>0</v>
      </c>
      <c r="M3" s="254">
        <f>'[2]EDl log'!M34</f>
        <v>40.936650082918739</v>
      </c>
      <c r="N3" s="254">
        <f>'[2]EDl log'!N34</f>
        <v>6.2089552238805972</v>
      </c>
      <c r="O3" s="254">
        <f>'[2]EDl log'!O34</f>
        <v>154.80303857058792</v>
      </c>
      <c r="P3" s="254">
        <f>'[2]EDl log'!P34</f>
        <v>201.94864387738727</v>
      </c>
      <c r="Q3" s="254">
        <f>'[2]EDl log'!Q34</f>
        <v>1325.0014516129129</v>
      </c>
      <c r="R3" s="254">
        <f>'[2]EDl log'!R34</f>
        <v>1526.9500954903001</v>
      </c>
      <c r="S3" s="254">
        <f>'[2]EDl log'!S34</f>
        <v>4206</v>
      </c>
      <c r="T3" s="254">
        <f>'[2]EDl log'!T34</f>
        <v>0.36304091666436045</v>
      </c>
      <c r="Z3" t="s">
        <v>213</v>
      </c>
      <c r="AA3">
        <v>0.1</v>
      </c>
    </row>
    <row r="4" spans="1:32" ht="20.100000000000001" customHeight="1">
      <c r="A4" s="163">
        <f>ELEC!C4</f>
        <v>44774</v>
      </c>
      <c r="B4" s="534">
        <v>1123624</v>
      </c>
      <c r="C4" s="254">
        <f t="shared" ref="C4:C30" si="0">SUM(B4-B3)</f>
        <v>294</v>
      </c>
      <c r="D4" s="295">
        <f>SUM(G4+I4+K4)</f>
        <v>293</v>
      </c>
      <c r="E4" s="295">
        <f>B3+D4</f>
        <v>1123623</v>
      </c>
      <c r="F4" s="537">
        <f>F3</f>
        <v>161410</v>
      </c>
      <c r="G4" s="160">
        <f t="shared" ref="G4:G30" si="1">F4-F3</f>
        <v>0</v>
      </c>
      <c r="H4" s="537">
        <v>560367</v>
      </c>
      <c r="I4" s="161">
        <f t="shared" ref="I4:I30" si="2">H4-H3</f>
        <v>293</v>
      </c>
      <c r="J4" s="581">
        <f>J3</f>
        <v>401847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21.768490878938639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176.57152944952657</v>
      </c>
      <c r="Q4" s="285">
        <f>SUM(-tanks!AX6*tanks!$AU$37)</f>
        <v>215.77387096773688</v>
      </c>
      <c r="R4" s="285">
        <f>SUM(P4:Q4)</f>
        <v>392.34540041726348</v>
      </c>
      <c r="S4" s="287">
        <f>SUM(ELEC!N4)</f>
        <v>3394</v>
      </c>
      <c r="T4" s="321">
        <f>IF(S4&gt;0,R4/S4,0)</f>
        <v>0.11559970548534575</v>
      </c>
      <c r="U4" s="245"/>
      <c r="V4" s="166" t="s">
        <v>200</v>
      </c>
      <c r="W4" s="167">
        <f>'[2]EDl log'!$W$21</f>
        <v>44764</v>
      </c>
      <c r="X4" s="168"/>
      <c r="Y4" s="168"/>
      <c r="Z4" s="169" t="s">
        <v>201</v>
      </c>
      <c r="AA4" s="168"/>
      <c r="AB4" s="643"/>
      <c r="AC4" s="644"/>
    </row>
    <row r="5" spans="1:32" ht="20.100000000000001" customHeight="1">
      <c r="A5" s="163">
        <f>ELEC!C5</f>
        <v>44775</v>
      </c>
      <c r="B5" s="606">
        <f t="shared" ref="B5:B34" si="7">B4</f>
        <v>1123624</v>
      </c>
      <c r="C5" s="254">
        <f t="shared" si="0"/>
        <v>0</v>
      </c>
      <c r="D5" s="295">
        <f>SUM(G5+I5+K5)</f>
        <v>0</v>
      </c>
      <c r="E5" s="295">
        <f>B4+D5</f>
        <v>1123624</v>
      </c>
      <c r="F5" s="606">
        <f t="shared" ref="F5:F34" si="8">F4</f>
        <v>161410</v>
      </c>
      <c r="G5" s="160">
        <f t="shared" si="1"/>
        <v>0</v>
      </c>
      <c r="H5" s="606">
        <f t="shared" ref="H5:H34" si="9">H4</f>
        <v>560367</v>
      </c>
      <c r="I5" s="161">
        <f t="shared" si="2"/>
        <v>0</v>
      </c>
      <c r="J5" s="606">
        <f t="shared" ref="J5:J34" si="10">J4</f>
        <v>401847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1286.8190322580581</v>
      </c>
      <c r="R5" s="285">
        <f t="shared" ref="R5:R30" si="13">SUM(P5:Q5)</f>
        <v>1441.622070828646</v>
      </c>
      <c r="S5" s="287">
        <f>SUM(ELEC!N5)</f>
        <v>4589</v>
      </c>
      <c r="T5" s="321">
        <f>IF(S5&gt;0,R5/S5,0)</f>
        <v>0.31414732421630986</v>
      </c>
      <c r="U5" s="245"/>
      <c r="V5" s="637"/>
      <c r="W5" s="638"/>
      <c r="X5" s="638"/>
      <c r="Y5" s="639"/>
      <c r="Z5" s="26" t="s">
        <v>202</v>
      </c>
      <c r="AA5" s="26">
        <v>5000</v>
      </c>
      <c r="AB5" s="645"/>
      <c r="AC5" s="646"/>
    </row>
    <row r="6" spans="1:32" ht="20.100000000000001" customHeight="1">
      <c r="A6" s="163">
        <f>ELEC!C6</f>
        <v>44776</v>
      </c>
      <c r="B6" s="606">
        <f t="shared" si="7"/>
        <v>1123624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1123624</v>
      </c>
      <c r="F6" s="606">
        <f t="shared" si="8"/>
        <v>161410</v>
      </c>
      <c r="G6" s="160">
        <f t="shared" si="1"/>
        <v>0</v>
      </c>
      <c r="H6" s="606">
        <f t="shared" si="9"/>
        <v>560367</v>
      </c>
      <c r="I6" s="161">
        <f t="shared" si="2"/>
        <v>0</v>
      </c>
      <c r="J6" s="606">
        <f t="shared" si="10"/>
        <v>401847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40"/>
      <c r="W6" s="641"/>
      <c r="X6" s="641"/>
      <c r="Y6" s="642"/>
      <c r="Z6" s="649"/>
      <c r="AA6" s="650"/>
      <c r="AB6" s="645"/>
      <c r="AC6" s="646"/>
    </row>
    <row r="7" spans="1:32" ht="20.100000000000001" customHeight="1">
      <c r="A7" s="163">
        <f>ELEC!C7</f>
        <v>44777</v>
      </c>
      <c r="B7" s="606">
        <f t="shared" si="7"/>
        <v>1123624</v>
      </c>
      <c r="C7" s="254">
        <f>SUM(B7-B6)</f>
        <v>0</v>
      </c>
      <c r="D7" s="295">
        <f>SUM(G7+I7+K7)</f>
        <v>0</v>
      </c>
      <c r="E7" s="295">
        <f t="shared" si="15"/>
        <v>1123624</v>
      </c>
      <c r="F7" s="606">
        <f t="shared" si="8"/>
        <v>161410</v>
      </c>
      <c r="G7" s="160">
        <f t="shared" si="1"/>
        <v>0</v>
      </c>
      <c r="H7" s="606">
        <f t="shared" si="9"/>
        <v>560367</v>
      </c>
      <c r="I7" s="161">
        <f t="shared" si="2"/>
        <v>0</v>
      </c>
      <c r="J7" s="606">
        <f t="shared" si="10"/>
        <v>401847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1176.863032258058</v>
      </c>
      <c r="R7" s="285">
        <f t="shared" si="13"/>
        <v>1331.6660708286458</v>
      </c>
      <c r="S7" s="287">
        <f>SUM(ELEC!N7)</f>
        <v>2188</v>
      </c>
      <c r="T7" s="321">
        <f t="shared" si="16"/>
        <v>0.60862251866025863</v>
      </c>
      <c r="V7" s="632" t="s">
        <v>203</v>
      </c>
      <c r="W7" s="633"/>
      <c r="X7" s="634" t="s">
        <v>204</v>
      </c>
      <c r="Y7" s="635"/>
      <c r="Z7" s="636"/>
      <c r="AA7" s="170"/>
      <c r="AB7" s="647"/>
      <c r="AC7" s="648"/>
    </row>
    <row r="8" spans="1:32" ht="20.100000000000001" customHeight="1">
      <c r="A8" s="163">
        <f>ELEC!C8</f>
        <v>44778</v>
      </c>
      <c r="B8" s="606">
        <f t="shared" si="7"/>
        <v>1123624</v>
      </c>
      <c r="C8" s="254">
        <f t="shared" si="0"/>
        <v>0</v>
      </c>
      <c r="D8" s="295">
        <f t="shared" si="14"/>
        <v>0</v>
      </c>
      <c r="E8" s="295">
        <f t="shared" si="15"/>
        <v>1123624</v>
      </c>
      <c r="F8" s="606">
        <f t="shared" si="8"/>
        <v>161410</v>
      </c>
      <c r="G8" s="160">
        <f t="shared" si="1"/>
        <v>0</v>
      </c>
      <c r="H8" s="606">
        <f t="shared" si="9"/>
        <v>560367</v>
      </c>
      <c r="I8" s="161">
        <f t="shared" si="2"/>
        <v>0</v>
      </c>
      <c r="J8" s="606">
        <f t="shared" si="10"/>
        <v>401847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44779</v>
      </c>
      <c r="B9" s="606">
        <f t="shared" si="7"/>
        <v>1123624</v>
      </c>
      <c r="C9" s="254">
        <f t="shared" si="0"/>
        <v>0</v>
      </c>
      <c r="D9" s="295">
        <f t="shared" si="14"/>
        <v>0</v>
      </c>
      <c r="E9" s="295">
        <f t="shared" si="15"/>
        <v>1123624</v>
      </c>
      <c r="F9" s="606">
        <f t="shared" si="8"/>
        <v>161410</v>
      </c>
      <c r="G9" s="160">
        <f t="shared" si="1"/>
        <v>0</v>
      </c>
      <c r="H9" s="606">
        <f t="shared" si="9"/>
        <v>560367</v>
      </c>
      <c r="I9" s="161">
        <f t="shared" si="2"/>
        <v>0</v>
      </c>
      <c r="J9" s="606">
        <f t="shared" si="10"/>
        <v>401847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401730</v>
      </c>
      <c r="W9" s="246">
        <f>'[2]EDl log'!W26</f>
        <v>401847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117</v>
      </c>
      <c r="AB9" s="604">
        <f>'[2]EDl log'!AB26</f>
        <v>9360</v>
      </c>
      <c r="AC9" s="604">
        <f>'[2]EDl log'!AC26</f>
        <v>1033333</v>
      </c>
      <c r="AD9" s="246">
        <f>'[2]EDl log'!AD26</f>
        <v>0.17567567567567569</v>
      </c>
      <c r="AE9" s="593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44780</v>
      </c>
      <c r="B10" s="606">
        <f t="shared" si="7"/>
        <v>1123624</v>
      </c>
      <c r="C10" s="254">
        <f t="shared" si="0"/>
        <v>0</v>
      </c>
      <c r="D10" s="295">
        <f t="shared" si="14"/>
        <v>0</v>
      </c>
      <c r="E10" s="295">
        <f t="shared" si="15"/>
        <v>1123624</v>
      </c>
      <c r="F10" s="606">
        <f t="shared" si="8"/>
        <v>161410</v>
      </c>
      <c r="G10" s="160">
        <f t="shared" si="1"/>
        <v>0</v>
      </c>
      <c r="H10" s="606">
        <f t="shared" si="9"/>
        <v>560367</v>
      </c>
      <c r="I10" s="161">
        <f t="shared" si="2"/>
        <v>0</v>
      </c>
      <c r="J10" s="606">
        <f t="shared" si="10"/>
        <v>401847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901.24277419356315</v>
      </c>
      <c r="R10" s="285">
        <f t="shared" si="13"/>
        <v>1056.0458127641512</v>
      </c>
      <c r="S10" s="287">
        <f>SUM(ELEC!N10)</f>
        <v>3848</v>
      </c>
      <c r="T10" s="321">
        <f t="shared" si="16"/>
        <v>0.27444018003226384</v>
      </c>
      <c r="V10" s="246">
        <f>'[2]EDl log'!V27</f>
        <v>559523</v>
      </c>
      <c r="W10" s="246">
        <f>'[2]EDl log'!W27</f>
        <v>560074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551</v>
      </c>
      <c r="AB10" s="604">
        <f>'[2]EDl log'!AB27</f>
        <v>61712</v>
      </c>
      <c r="AC10" s="604">
        <f>'[2]EDl log'!AC27</f>
        <v>6200000</v>
      </c>
      <c r="AD10" s="246">
        <f>'[2]EDl log'!AD27</f>
        <v>0.82732732732732728</v>
      </c>
      <c r="AE10" s="593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44781</v>
      </c>
      <c r="B11" s="606">
        <f t="shared" si="7"/>
        <v>1123624</v>
      </c>
      <c r="C11" s="254">
        <f>SUM(B11-B10)</f>
        <v>0</v>
      </c>
      <c r="D11" s="295">
        <f>SUM(G11+I11+K11)</f>
        <v>0</v>
      </c>
      <c r="E11" s="295">
        <f t="shared" si="15"/>
        <v>1123624</v>
      </c>
      <c r="F11" s="606">
        <f t="shared" si="8"/>
        <v>161410</v>
      </c>
      <c r="G11" s="160">
        <f t="shared" si="1"/>
        <v>0</v>
      </c>
      <c r="H11" s="606">
        <f t="shared" si="9"/>
        <v>560367</v>
      </c>
      <c r="I11" s="161">
        <f t="shared" si="2"/>
        <v>0</v>
      </c>
      <c r="J11" s="606">
        <f t="shared" si="10"/>
        <v>401847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44782</v>
      </c>
      <c r="B12" s="606">
        <v>1123762</v>
      </c>
      <c r="C12" s="254">
        <f t="shared" si="0"/>
        <v>138</v>
      </c>
      <c r="D12" s="295">
        <f t="shared" si="14"/>
        <v>137</v>
      </c>
      <c r="E12" s="295">
        <f t="shared" si="15"/>
        <v>1123761</v>
      </c>
      <c r="F12" s="606">
        <v>161410</v>
      </c>
      <c r="G12" s="160">
        <f t="shared" si="1"/>
        <v>0</v>
      </c>
      <c r="H12" s="606">
        <v>560448</v>
      </c>
      <c r="I12" s="161">
        <f t="shared" si="2"/>
        <v>81</v>
      </c>
      <c r="J12" s="606">
        <v>401903</v>
      </c>
      <c r="K12" s="162">
        <f t="shared" si="11"/>
        <v>56</v>
      </c>
      <c r="L12" s="284">
        <f t="shared" si="3"/>
        <v>0</v>
      </c>
      <c r="M12" s="284">
        <f t="shared" si="4"/>
        <v>6.017910447761194</v>
      </c>
      <c r="N12" s="284">
        <f t="shared" si="5"/>
        <v>2.9718076285240462</v>
      </c>
      <c r="O12" s="284">
        <f t="shared" si="6"/>
        <v>154.80303857058792</v>
      </c>
      <c r="P12" s="285">
        <f t="shared" si="12"/>
        <v>163.79275664687316</v>
      </c>
      <c r="Q12" s="285">
        <f>SUM(-tanks!AX14*tanks!$AU$37)</f>
        <v>1379.1792903225842</v>
      </c>
      <c r="R12" s="285">
        <f t="shared" si="13"/>
        <v>1542.9720469694573</v>
      </c>
      <c r="S12" s="287">
        <f>SUM(ELEC!N12)</f>
        <v>2181</v>
      </c>
      <c r="T12" s="321">
        <f t="shared" si="16"/>
        <v>0.70746081933491856</v>
      </c>
      <c r="V12" s="213"/>
      <c r="W12" s="214"/>
      <c r="X12" s="214"/>
      <c r="Y12" s="215"/>
      <c r="Z12" s="3"/>
      <c r="AA12" s="604">
        <f>'[2]EDl log'!AA29</f>
        <v>668</v>
      </c>
      <c r="AB12" s="604">
        <f>'[2]EDl log'!AB29</f>
        <v>71072</v>
      </c>
      <c r="AC12" s="604">
        <f>'[2]EDl log'!AC29</f>
        <v>7234333</v>
      </c>
    </row>
    <row r="13" spans="1:32" ht="20.100000000000001" customHeight="1">
      <c r="A13" s="163">
        <f>ELEC!C13</f>
        <v>44783</v>
      </c>
      <c r="B13" s="606">
        <f t="shared" si="7"/>
        <v>1123762</v>
      </c>
      <c r="C13" s="254">
        <f t="shared" si="0"/>
        <v>0</v>
      </c>
      <c r="D13" s="295">
        <f t="shared" si="14"/>
        <v>0</v>
      </c>
      <c r="E13" s="295">
        <f t="shared" si="15"/>
        <v>1123762</v>
      </c>
      <c r="F13" s="606">
        <f t="shared" si="8"/>
        <v>161410</v>
      </c>
      <c r="G13" s="160">
        <f t="shared" si="1"/>
        <v>0</v>
      </c>
      <c r="H13" s="606">
        <f t="shared" si="9"/>
        <v>560448</v>
      </c>
      <c r="I13" s="161">
        <f t="shared" si="2"/>
        <v>0</v>
      </c>
      <c r="J13" s="606">
        <f t="shared" si="10"/>
        <v>401903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1131.5870322580424</v>
      </c>
      <c r="R13" s="285">
        <f t="shared" si="13"/>
        <v>1286.3900708286303</v>
      </c>
      <c r="S13" s="287">
        <f>SUM(ELEC!N13)</f>
        <v>3119</v>
      </c>
      <c r="T13" s="321">
        <f>IF(S13&gt;0,R13/S13,0)</f>
        <v>0.41243670113133385</v>
      </c>
      <c r="V13" s="216" t="s">
        <v>314</v>
      </c>
      <c r="W13" s="217"/>
      <c r="X13" s="217"/>
      <c r="Y13" s="218" t="s">
        <v>327</v>
      </c>
      <c r="Z13" s="3"/>
      <c r="AA13" s="604">
        <f>'[2]EDl log'!AA30</f>
        <v>0</v>
      </c>
      <c r="AB13" s="604">
        <f>'[2]EDl log'!AB30</f>
        <v>7305405</v>
      </c>
      <c r="AC13" s="604">
        <f>'[2]EDl log'!AC30</f>
        <v>0</v>
      </c>
    </row>
    <row r="14" spans="1:32" ht="20.100000000000001" customHeight="1">
      <c r="A14" s="163">
        <f>ELEC!C14</f>
        <v>44784</v>
      </c>
      <c r="B14" s="606">
        <f t="shared" si="7"/>
        <v>1123762</v>
      </c>
      <c r="C14" s="254">
        <f t="shared" si="0"/>
        <v>0</v>
      </c>
      <c r="D14" s="295">
        <f t="shared" si="14"/>
        <v>0</v>
      </c>
      <c r="E14" s="295">
        <f t="shared" si="15"/>
        <v>1123762</v>
      </c>
      <c r="F14" s="606">
        <f t="shared" si="8"/>
        <v>161410</v>
      </c>
      <c r="G14" s="160">
        <f t="shared" si="1"/>
        <v>0</v>
      </c>
      <c r="H14" s="606">
        <f t="shared" si="9"/>
        <v>560448</v>
      </c>
      <c r="I14" s="161">
        <f t="shared" si="2"/>
        <v>0</v>
      </c>
      <c r="J14" s="606">
        <f t="shared" si="10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-12588.605806451591</v>
      </c>
      <c r="R14" s="285">
        <f>SUM(P14:Q14)</f>
        <v>-12433.802767881003</v>
      </c>
      <c r="S14" s="287">
        <f>SUM(ELEC!N14)</f>
        <v>2990</v>
      </c>
      <c r="T14" s="321">
        <f>IF(S14&gt;0,R14/S14,0)</f>
        <v>-4.1584624641742485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00000000000001" customHeight="1">
      <c r="A15" s="163">
        <f>ELEC!C15</f>
        <v>44785</v>
      </c>
      <c r="B15" s="606">
        <f t="shared" si="7"/>
        <v>1123762</v>
      </c>
      <c r="C15" s="254">
        <f t="shared" si="0"/>
        <v>0</v>
      </c>
      <c r="D15" s="295">
        <f t="shared" si="14"/>
        <v>0</v>
      </c>
      <c r="E15" s="295">
        <f t="shared" si="15"/>
        <v>1123762</v>
      </c>
      <c r="F15" s="606">
        <f t="shared" si="8"/>
        <v>161410</v>
      </c>
      <c r="G15" s="160">
        <f t="shared" si="1"/>
        <v>0</v>
      </c>
      <c r="H15" s="606">
        <f t="shared" si="9"/>
        <v>560448</v>
      </c>
      <c r="I15" s="161">
        <f t="shared" si="2"/>
        <v>0</v>
      </c>
      <c r="J15" s="606">
        <f t="shared" si="10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216</v>
      </c>
      <c r="X15" s="246">
        <f>'[2]EDl log'!X32</f>
        <v>216</v>
      </c>
      <c r="Y15" s="246">
        <f>'[2]EDl log'!Y32</f>
        <v>216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00000000000001" customHeight="1">
      <c r="A16" s="163">
        <f>ELEC!C16</f>
        <v>44786</v>
      </c>
      <c r="B16" s="606">
        <f t="shared" si="7"/>
        <v>1123762</v>
      </c>
      <c r="C16" s="254">
        <f t="shared" si="0"/>
        <v>0</v>
      </c>
      <c r="D16" s="295">
        <f t="shared" si="14"/>
        <v>0</v>
      </c>
      <c r="E16" s="295">
        <f t="shared" si="15"/>
        <v>1123762</v>
      </c>
      <c r="F16" s="606">
        <f t="shared" si="8"/>
        <v>161410</v>
      </c>
      <c r="G16" s="160">
        <f t="shared" si="1"/>
        <v>0</v>
      </c>
      <c r="H16" s="606">
        <f t="shared" si="9"/>
        <v>560448</v>
      </c>
      <c r="I16" s="161">
        <f t="shared" si="2"/>
        <v>0</v>
      </c>
      <c r="J16" s="606">
        <f t="shared" si="10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46">
        <f>'[2]EDl log'!W33</f>
        <v>0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803594.55</v>
      </c>
      <c r="AC16" s="604">
        <f>'[2]EDl log'!AC33</f>
        <v>7234333</v>
      </c>
    </row>
    <row r="17" spans="1:32" ht="20.100000000000001" customHeight="1">
      <c r="A17" s="163">
        <f>ELEC!C17</f>
        <v>44787</v>
      </c>
      <c r="B17" s="606">
        <f t="shared" si="7"/>
        <v>1123762</v>
      </c>
      <c r="C17" s="254">
        <f t="shared" si="0"/>
        <v>0</v>
      </c>
      <c r="D17" s="295">
        <f t="shared" si="14"/>
        <v>0</v>
      </c>
      <c r="E17" s="295">
        <f t="shared" si="15"/>
        <v>1123762</v>
      </c>
      <c r="F17" s="606">
        <f t="shared" si="8"/>
        <v>161410</v>
      </c>
      <c r="G17" s="160">
        <f>F17-F16</f>
        <v>0</v>
      </c>
      <c r="H17" s="606">
        <f t="shared" si="9"/>
        <v>560448</v>
      </c>
      <c r="I17" s="161">
        <f t="shared" si="2"/>
        <v>0</v>
      </c>
      <c r="J17" s="606">
        <f t="shared" si="10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46">
        <f>'[2]EDl log'!W34</f>
        <v>0</v>
      </c>
      <c r="Z17" s="3"/>
      <c r="AA17" s="604">
        <f>'[2]EDl log'!AA34</f>
        <v>0</v>
      </c>
      <c r="AB17" s="604">
        <f>'[2]EDl log'!AB34</f>
        <v>8108999.5499999998</v>
      </c>
      <c r="AC17" s="604">
        <f>'[2]EDl log'!AC34</f>
        <v>0</v>
      </c>
    </row>
    <row r="18" spans="1:32" ht="20.100000000000001" customHeight="1" thickBot="1">
      <c r="A18" s="163">
        <f>ELEC!C18</f>
        <v>44788</v>
      </c>
      <c r="B18" s="606">
        <f t="shared" si="7"/>
        <v>1123762</v>
      </c>
      <c r="C18" s="254">
        <f>SUM(B18-B17)</f>
        <v>0</v>
      </c>
      <c r="D18" s="295">
        <f>SUM(G18+I18+K18)</f>
        <v>0</v>
      </c>
      <c r="E18" s="295">
        <f t="shared" si="15"/>
        <v>1123762</v>
      </c>
      <c r="F18" s="606">
        <f t="shared" si="8"/>
        <v>161410</v>
      </c>
      <c r="G18" s="160">
        <f t="shared" si="1"/>
        <v>0</v>
      </c>
      <c r="H18" s="606">
        <f t="shared" si="9"/>
        <v>560448</v>
      </c>
      <c r="I18" s="161">
        <f t="shared" si="2"/>
        <v>0</v>
      </c>
      <c r="J18" s="606">
        <f t="shared" si="10"/>
        <v>401903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1397.853032258058</v>
      </c>
      <c r="R18" s="285">
        <f t="shared" si="13"/>
        <v>1552.6560708286459</v>
      </c>
      <c r="S18" s="287">
        <f>SUM(ELEC!N18)</f>
        <v>2947</v>
      </c>
      <c r="T18" s="321">
        <f t="shared" si="16"/>
        <v>0.52685988151633723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00000000000001" customHeight="1" thickBot="1">
      <c r="A19" s="163">
        <f>ELEC!C19</f>
        <v>44789</v>
      </c>
      <c r="B19" s="606">
        <f t="shared" si="7"/>
        <v>1123762</v>
      </c>
      <c r="C19" s="254">
        <f t="shared" si="0"/>
        <v>0</v>
      </c>
      <c r="D19" s="295">
        <f t="shared" si="14"/>
        <v>0</v>
      </c>
      <c r="E19" s="295">
        <f t="shared" si="15"/>
        <v>1123762</v>
      </c>
      <c r="F19" s="606">
        <f t="shared" si="8"/>
        <v>161410</v>
      </c>
      <c r="G19" s="160">
        <f t="shared" si="1"/>
        <v>0</v>
      </c>
      <c r="H19" s="606">
        <f t="shared" si="9"/>
        <v>560448</v>
      </c>
      <c r="I19" s="161">
        <f t="shared" si="2"/>
        <v>0</v>
      </c>
      <c r="J19" s="606">
        <f t="shared" si="10"/>
        <v>401903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604" t="str">
        <f>'[5]EDl log'!AA36</f>
        <v>$ without VAT</v>
      </c>
      <c r="AB19" s="604">
        <f>'[2]EDl log'!AB36</f>
        <v>4846.039800995025</v>
      </c>
      <c r="AC19" s="604">
        <f>'[5]EDl log'!AC36</f>
        <v>0</v>
      </c>
    </row>
    <row r="20" spans="1:32" ht="20.100000000000001" customHeight="1" thickBot="1">
      <c r="A20" s="163">
        <f>ELEC!C20</f>
        <v>44790</v>
      </c>
      <c r="B20" s="606">
        <f t="shared" si="7"/>
        <v>1123762</v>
      </c>
      <c r="C20" s="254">
        <f t="shared" si="0"/>
        <v>0</v>
      </c>
      <c r="D20" s="295">
        <f t="shared" si="14"/>
        <v>0</v>
      </c>
      <c r="E20" s="295">
        <f t="shared" si="15"/>
        <v>1123762</v>
      </c>
      <c r="F20" s="606">
        <f t="shared" si="8"/>
        <v>161410</v>
      </c>
      <c r="G20" s="160">
        <f t="shared" si="1"/>
        <v>0</v>
      </c>
      <c r="H20" s="606">
        <f t="shared" si="9"/>
        <v>560448</v>
      </c>
      <c r="I20" s="161">
        <f t="shared" si="2"/>
        <v>0</v>
      </c>
      <c r="J20" s="606">
        <f t="shared" si="10"/>
        <v>401903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5"/>
    </row>
    <row r="21" spans="1:32" ht="20.100000000000001" customHeight="1">
      <c r="A21" s="163">
        <f>ELEC!C21</f>
        <v>44791</v>
      </c>
      <c r="B21" s="606">
        <f t="shared" si="7"/>
        <v>1123762</v>
      </c>
      <c r="C21" s="254">
        <f t="shared" si="0"/>
        <v>0</v>
      </c>
      <c r="D21" s="295">
        <f t="shared" si="14"/>
        <v>0</v>
      </c>
      <c r="E21" s="295">
        <f t="shared" si="15"/>
        <v>1123762</v>
      </c>
      <c r="F21" s="606">
        <f t="shared" si="8"/>
        <v>161410</v>
      </c>
      <c r="G21" s="160">
        <f t="shared" si="1"/>
        <v>0</v>
      </c>
      <c r="H21" s="606">
        <f t="shared" si="9"/>
        <v>560448</v>
      </c>
      <c r="I21" s="161">
        <f t="shared" si="2"/>
        <v>0</v>
      </c>
      <c r="J21" s="606">
        <f t="shared" si="10"/>
        <v>401903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3"/>
      <c r="AC21" s="644"/>
    </row>
    <row r="22" spans="1:32" ht="20.100000000000001" customHeight="1">
      <c r="A22" s="163">
        <f>ELEC!C22</f>
        <v>44792</v>
      </c>
      <c r="B22" s="606">
        <f t="shared" si="7"/>
        <v>1123762</v>
      </c>
      <c r="C22" s="254">
        <f t="shared" si="0"/>
        <v>0</v>
      </c>
      <c r="D22" s="295">
        <f t="shared" si="14"/>
        <v>0</v>
      </c>
      <c r="E22" s="295">
        <f t="shared" si="15"/>
        <v>1123762</v>
      </c>
      <c r="F22" s="606">
        <f t="shared" si="8"/>
        <v>161410</v>
      </c>
      <c r="G22" s="160">
        <f t="shared" si="1"/>
        <v>0</v>
      </c>
      <c r="H22" s="606">
        <f t="shared" si="9"/>
        <v>560448</v>
      </c>
      <c r="I22" s="161">
        <f t="shared" si="2"/>
        <v>0</v>
      </c>
      <c r="J22" s="606">
        <f t="shared" si="10"/>
        <v>401903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37"/>
      <c r="W22" s="638"/>
      <c r="X22" s="638"/>
      <c r="Y22" s="639"/>
      <c r="Z22" s="26" t="s">
        <v>202</v>
      </c>
      <c r="AA22" s="26">
        <v>5000</v>
      </c>
      <c r="AB22" s="645"/>
      <c r="AC22" s="646"/>
    </row>
    <row r="23" spans="1:32" ht="20.100000000000001" customHeight="1">
      <c r="A23" s="163">
        <f>ELEC!C23</f>
        <v>44793</v>
      </c>
      <c r="B23" s="606">
        <f t="shared" si="7"/>
        <v>1123762</v>
      </c>
      <c r="C23" s="254">
        <f t="shared" si="0"/>
        <v>0</v>
      </c>
      <c r="D23" s="295">
        <f t="shared" si="14"/>
        <v>0</v>
      </c>
      <c r="E23" s="295">
        <f t="shared" si="15"/>
        <v>1123762</v>
      </c>
      <c r="F23" s="606">
        <f t="shared" si="8"/>
        <v>161410</v>
      </c>
      <c r="G23" s="160">
        <f t="shared" si="1"/>
        <v>0</v>
      </c>
      <c r="H23" s="606">
        <f t="shared" si="9"/>
        <v>560448</v>
      </c>
      <c r="I23" s="161">
        <f t="shared" si="2"/>
        <v>0</v>
      </c>
      <c r="J23" s="606">
        <f t="shared" si="10"/>
        <v>401903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0"/>
      <c r="W23" s="641"/>
      <c r="X23" s="641"/>
      <c r="Y23" s="642"/>
      <c r="Z23" s="649"/>
      <c r="AA23" s="650"/>
      <c r="AB23" s="645"/>
      <c r="AC23" s="646"/>
    </row>
    <row r="24" spans="1:32" ht="20.100000000000001" customHeight="1">
      <c r="A24" s="163">
        <f>ELEC!C24</f>
        <v>44794</v>
      </c>
      <c r="B24" s="606">
        <f t="shared" si="7"/>
        <v>1123762</v>
      </c>
      <c r="C24" s="254">
        <f t="shared" si="0"/>
        <v>0</v>
      </c>
      <c r="D24" s="295">
        <f t="shared" si="14"/>
        <v>0</v>
      </c>
      <c r="E24" s="295">
        <f t="shared" si="15"/>
        <v>1123762</v>
      </c>
      <c r="F24" s="606">
        <f t="shared" si="8"/>
        <v>161410</v>
      </c>
      <c r="G24" s="160">
        <f t="shared" si="1"/>
        <v>0</v>
      </c>
      <c r="H24" s="606">
        <f t="shared" si="9"/>
        <v>560448</v>
      </c>
      <c r="I24" s="161">
        <f t="shared" si="2"/>
        <v>0</v>
      </c>
      <c r="J24" s="606">
        <f t="shared" si="10"/>
        <v>401903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32" t="s">
        <v>203</v>
      </c>
      <c r="W24" s="633"/>
      <c r="X24" s="634" t="s">
        <v>204</v>
      </c>
      <c r="Y24" s="635"/>
      <c r="Z24" s="636"/>
      <c r="AA24" s="170"/>
      <c r="AB24" s="647"/>
      <c r="AC24" s="648"/>
    </row>
    <row r="25" spans="1:32" ht="20.100000000000001" customHeight="1">
      <c r="A25" s="163">
        <f>ELEC!C25</f>
        <v>44795</v>
      </c>
      <c r="B25" s="606">
        <f t="shared" si="7"/>
        <v>1123762</v>
      </c>
      <c r="C25" s="254">
        <f t="shared" si="0"/>
        <v>0</v>
      </c>
      <c r="D25" s="295">
        <f t="shared" si="14"/>
        <v>0</v>
      </c>
      <c r="E25" s="295">
        <f t="shared" si="15"/>
        <v>1123762</v>
      </c>
      <c r="F25" s="606">
        <f t="shared" si="8"/>
        <v>161410</v>
      </c>
      <c r="G25" s="160">
        <f t="shared" si="1"/>
        <v>0</v>
      </c>
      <c r="H25" s="606">
        <f t="shared" si="9"/>
        <v>560448</v>
      </c>
      <c r="I25" s="161">
        <f t="shared" si="2"/>
        <v>0</v>
      </c>
      <c r="J25" s="606">
        <f t="shared" si="10"/>
        <v>401903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44796</v>
      </c>
      <c r="B26" s="606">
        <f t="shared" si="7"/>
        <v>1123762</v>
      </c>
      <c r="C26" s="254">
        <f t="shared" si="0"/>
        <v>0</v>
      </c>
      <c r="D26" s="295">
        <f t="shared" si="14"/>
        <v>0</v>
      </c>
      <c r="E26" s="295">
        <f t="shared" si="15"/>
        <v>1123762</v>
      </c>
      <c r="F26" s="606">
        <f t="shared" si="8"/>
        <v>161410</v>
      </c>
      <c r="G26" s="160">
        <f t="shared" si="1"/>
        <v>0</v>
      </c>
      <c r="H26" s="606">
        <f t="shared" si="9"/>
        <v>560448</v>
      </c>
      <c r="I26" s="161">
        <f t="shared" si="2"/>
        <v>0</v>
      </c>
      <c r="J26" s="606">
        <f t="shared" si="10"/>
        <v>401903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401847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56</v>
      </c>
      <c r="AB26" s="323">
        <f>AA26*Y26</f>
        <v>4480</v>
      </c>
      <c r="AC26" s="244">
        <f>AC9</f>
        <v>1033333</v>
      </c>
      <c r="AD26" s="476">
        <f>SUM(K36)</f>
        <v>0.12962962962962962</v>
      </c>
    </row>
    <row r="27" spans="1:32" ht="20.100000000000001" customHeight="1">
      <c r="A27" s="163">
        <f>ELEC!C27</f>
        <v>44797</v>
      </c>
      <c r="B27" s="606">
        <f t="shared" si="7"/>
        <v>1123762</v>
      </c>
      <c r="C27" s="254">
        <f t="shared" si="0"/>
        <v>0</v>
      </c>
      <c r="D27" s="295">
        <f t="shared" si="14"/>
        <v>0</v>
      </c>
      <c r="E27" s="295">
        <f t="shared" si="15"/>
        <v>1123762</v>
      </c>
      <c r="F27" s="606">
        <f t="shared" si="8"/>
        <v>161410</v>
      </c>
      <c r="G27" s="160">
        <f t="shared" si="1"/>
        <v>0</v>
      </c>
      <c r="H27" s="606">
        <f t="shared" si="9"/>
        <v>560448</v>
      </c>
      <c r="I27" s="161">
        <f t="shared" si="2"/>
        <v>0</v>
      </c>
      <c r="J27" s="606">
        <f t="shared" si="10"/>
        <v>401903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560074</v>
      </c>
      <c r="W27" s="170">
        <f>H34</f>
        <v>560448</v>
      </c>
      <c r="X27" s="172" t="s">
        <v>212</v>
      </c>
      <c r="Y27" s="172">
        <v>112</v>
      </c>
      <c r="Z27" s="172">
        <v>1</v>
      </c>
      <c r="AA27" s="323">
        <f>(W27-V27)*Z27</f>
        <v>374</v>
      </c>
      <c r="AB27" s="323">
        <f>SUM(AA27*Y27)</f>
        <v>41888</v>
      </c>
      <c r="AC27" s="244">
        <f>AC10</f>
        <v>6200000</v>
      </c>
      <c r="AD27" s="476">
        <f>SUM(I36)</f>
        <v>0.8657407407407407</v>
      </c>
    </row>
    <row r="28" spans="1:32" ht="20.100000000000001" customHeight="1">
      <c r="A28" s="163">
        <f>ELEC!C28</f>
        <v>44798</v>
      </c>
      <c r="B28" s="606">
        <f t="shared" si="7"/>
        <v>1123762</v>
      </c>
      <c r="C28" s="254">
        <f t="shared" si="0"/>
        <v>0</v>
      </c>
      <c r="D28" s="295">
        <f t="shared" si="14"/>
        <v>0</v>
      </c>
      <c r="E28" s="295">
        <f t="shared" si="15"/>
        <v>1123762</v>
      </c>
      <c r="F28" s="606">
        <f t="shared" si="8"/>
        <v>161410</v>
      </c>
      <c r="G28" s="160">
        <f t="shared" si="1"/>
        <v>0</v>
      </c>
      <c r="H28" s="606">
        <f t="shared" si="9"/>
        <v>560448</v>
      </c>
      <c r="I28" s="161">
        <f t="shared" si="2"/>
        <v>0</v>
      </c>
      <c r="J28" s="606">
        <f t="shared" si="10"/>
        <v>401903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44799</v>
      </c>
      <c r="B29" s="606">
        <f t="shared" si="7"/>
        <v>1123762</v>
      </c>
      <c r="C29" s="254">
        <f t="shared" si="0"/>
        <v>0</v>
      </c>
      <c r="D29" s="295">
        <f t="shared" si="14"/>
        <v>0</v>
      </c>
      <c r="E29" s="295">
        <f t="shared" si="15"/>
        <v>1123762</v>
      </c>
      <c r="F29" s="606">
        <f t="shared" si="8"/>
        <v>161410</v>
      </c>
      <c r="G29" s="160">
        <f t="shared" si="1"/>
        <v>0</v>
      </c>
      <c r="H29" s="606">
        <f t="shared" si="9"/>
        <v>560448</v>
      </c>
      <c r="I29" s="161">
        <f t="shared" si="2"/>
        <v>0</v>
      </c>
      <c r="J29" s="606">
        <f t="shared" si="10"/>
        <v>401903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430</v>
      </c>
      <c r="AB29" s="323">
        <f>SUM(AB26:AB28)</f>
        <v>46368</v>
      </c>
      <c r="AC29" s="244">
        <f>SUM(AC26:AC28)</f>
        <v>7234333</v>
      </c>
    </row>
    <row r="30" spans="1:32" ht="20.100000000000001" customHeight="1">
      <c r="A30" s="163">
        <f>ELEC!C30</f>
        <v>44800</v>
      </c>
      <c r="B30" s="606">
        <f t="shared" si="7"/>
        <v>1123762</v>
      </c>
      <c r="C30" s="254">
        <f t="shared" si="0"/>
        <v>0</v>
      </c>
      <c r="D30" s="295">
        <f t="shared" si="14"/>
        <v>0</v>
      </c>
      <c r="E30" s="295">
        <f t="shared" si="15"/>
        <v>1123762</v>
      </c>
      <c r="F30" s="606">
        <f t="shared" si="8"/>
        <v>161410</v>
      </c>
      <c r="G30" s="160">
        <f t="shared" si="1"/>
        <v>0</v>
      </c>
      <c r="H30" s="606">
        <f t="shared" si="9"/>
        <v>560448</v>
      </c>
      <c r="I30" s="161">
        <f t="shared" si="2"/>
        <v>0</v>
      </c>
      <c r="J30" s="606">
        <f t="shared" si="10"/>
        <v>401903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7280701</v>
      </c>
      <c r="AC30" s="244"/>
    </row>
    <row r="31" spans="1:32" ht="20.100000000000001" customHeight="1">
      <c r="A31" s="163">
        <f>ELEC!C31</f>
        <v>44801</v>
      </c>
      <c r="B31" s="606">
        <f t="shared" si="7"/>
        <v>1123762</v>
      </c>
      <c r="C31" s="254">
        <f>SUM(B31-B30)</f>
        <v>0</v>
      </c>
      <c r="D31" s="295">
        <f t="shared" si="14"/>
        <v>0</v>
      </c>
      <c r="E31" s="295">
        <f t="shared" si="15"/>
        <v>1123762</v>
      </c>
      <c r="F31" s="606">
        <f t="shared" si="8"/>
        <v>161410</v>
      </c>
      <c r="G31" s="160">
        <f>F31-F30</f>
        <v>0</v>
      </c>
      <c r="H31" s="606">
        <f t="shared" si="9"/>
        <v>560448</v>
      </c>
      <c r="I31" s="161">
        <f>H31-H30</f>
        <v>0</v>
      </c>
      <c r="J31" s="606">
        <f t="shared" si="10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44802</v>
      </c>
      <c r="B32" s="606">
        <f t="shared" si="7"/>
        <v>1123762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1123762</v>
      </c>
      <c r="F32" s="606">
        <f t="shared" si="8"/>
        <v>161410</v>
      </c>
      <c r="G32" s="160">
        <f t="shared" ref="G32:G34" si="22">F32-F31</f>
        <v>0</v>
      </c>
      <c r="H32" s="606">
        <f t="shared" si="9"/>
        <v>560448</v>
      </c>
      <c r="I32" s="161">
        <f t="shared" ref="I32:I34" si="23">H32-H31</f>
        <v>0</v>
      </c>
      <c r="J32" s="606">
        <f t="shared" si="10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86</v>
      </c>
      <c r="X32" s="222">
        <f>SUM(W32/A35)</f>
        <v>43</v>
      </c>
      <c r="Y32" s="250">
        <f>SUM(X32/1)</f>
        <v>43</v>
      </c>
      <c r="Z32" s="3"/>
      <c r="AA32" s="323"/>
      <c r="AB32" s="323"/>
      <c r="AC32" s="244"/>
    </row>
    <row r="33" spans="1:32" ht="20.100000000000001" customHeight="1">
      <c r="A33" s="163">
        <f>ELEC!C33</f>
        <v>44803</v>
      </c>
      <c r="B33" s="606">
        <f t="shared" si="7"/>
        <v>1123762</v>
      </c>
      <c r="C33" s="254">
        <f t="shared" si="20"/>
        <v>0</v>
      </c>
      <c r="D33" s="295">
        <f t="shared" si="21"/>
        <v>0</v>
      </c>
      <c r="E33" s="295">
        <f t="shared" si="15"/>
        <v>1123762</v>
      </c>
      <c r="F33" s="606">
        <f t="shared" si="8"/>
        <v>161410</v>
      </c>
      <c r="G33" s="160">
        <f t="shared" si="22"/>
        <v>0</v>
      </c>
      <c r="H33" s="606">
        <f t="shared" si="9"/>
        <v>560448</v>
      </c>
      <c r="I33" s="161">
        <f t="shared" si="23"/>
        <v>0</v>
      </c>
      <c r="J33" s="606">
        <f t="shared" si="10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800877.11</v>
      </c>
      <c r="AC33" s="244">
        <f>SUM(AC29)</f>
        <v>7234333</v>
      </c>
    </row>
    <row r="34" spans="1:32" ht="20.100000000000001" customHeight="1">
      <c r="A34" s="163">
        <f>ELEC!C34</f>
        <v>44804</v>
      </c>
      <c r="B34" s="606">
        <f t="shared" si="7"/>
        <v>1123762</v>
      </c>
      <c r="C34" s="254">
        <f t="shared" si="20"/>
        <v>0</v>
      </c>
      <c r="D34" s="295">
        <f t="shared" si="21"/>
        <v>0</v>
      </c>
      <c r="E34" s="295">
        <f t="shared" si="15"/>
        <v>1123762</v>
      </c>
      <c r="F34" s="606">
        <f t="shared" si="8"/>
        <v>161410</v>
      </c>
      <c r="G34" s="160">
        <f t="shared" si="22"/>
        <v>0</v>
      </c>
      <c r="H34" s="606">
        <f t="shared" si="9"/>
        <v>560448</v>
      </c>
      <c r="I34" s="161">
        <f t="shared" si="23"/>
        <v>0</v>
      </c>
      <c r="J34" s="606">
        <f t="shared" si="10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8081578.1100000003</v>
      </c>
      <c r="AC34" s="244">
        <f>SUM(AC30)</f>
        <v>0</v>
      </c>
    </row>
    <row r="35" spans="1:32" ht="15.75" thickBot="1">
      <c r="A35" s="499">
        <f>A37-COUNTIF(C4:C34,0)</f>
        <v>2</v>
      </c>
      <c r="C35" s="173">
        <f>SUM(C4:C34)/A35</f>
        <v>216</v>
      </c>
      <c r="D35" s="173"/>
      <c r="E35" s="173"/>
      <c r="F35" s="562"/>
      <c r="G35" s="562">
        <f>SUM(G4:G34)/A35</f>
        <v>0</v>
      </c>
      <c r="H35" s="173"/>
      <c r="I35" s="173">
        <f>SUM(I4:I34)/A35</f>
        <v>187</v>
      </c>
      <c r="K35" s="173">
        <f>SUM(K4:K34)/A35</f>
        <v>28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>
        <f>SUM(G36:K36)</f>
        <v>0.99537037037037035</v>
      </c>
      <c r="G36" s="225">
        <f>IF(C35&gt;0,G35/C35,0)</f>
        <v>0</v>
      </c>
      <c r="H36" s="212"/>
      <c r="I36" s="225">
        <f>SUM(I35/C35)</f>
        <v>0.8657407407407407</v>
      </c>
      <c r="J36" s="212"/>
      <c r="K36" s="225">
        <f>SUM(K35/C35)</f>
        <v>0.12962962962962962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4829.6524046434497</v>
      </c>
      <c r="AC36" s="531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4829.6524046434497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51"/>
      <c r="AC45" s="651"/>
      <c r="AD45" s="540"/>
      <c r="AE45" s="17"/>
      <c r="AF45" s="17"/>
    </row>
    <row r="46" spans="1:32">
      <c r="V46" s="651"/>
      <c r="W46" s="651"/>
      <c r="X46" s="651"/>
      <c r="Y46" s="651"/>
      <c r="Z46" s="506"/>
      <c r="AA46" s="506"/>
      <c r="AB46" s="651"/>
      <c r="AC46" s="651"/>
      <c r="AD46" s="540"/>
      <c r="AE46" s="17"/>
      <c r="AF46" s="17"/>
    </row>
    <row r="47" spans="1:32">
      <c r="V47" s="651"/>
      <c r="W47" s="651"/>
      <c r="X47" s="651"/>
      <c r="Y47" s="651"/>
      <c r="Z47" s="651"/>
      <c r="AA47" s="651"/>
      <c r="AB47" s="651"/>
      <c r="AC47" s="651"/>
      <c r="AD47" s="540"/>
      <c r="AE47" s="17"/>
      <c r="AF47" s="17"/>
    </row>
    <row r="48" spans="1:32">
      <c r="V48" s="652"/>
      <c r="W48" s="652"/>
      <c r="X48" s="653"/>
      <c r="Y48" s="653"/>
      <c r="Z48" s="653"/>
      <c r="AA48" s="507"/>
      <c r="AB48" s="651"/>
      <c r="AC48" s="651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Normal="100" workbookViewId="0">
      <pane ySplit="4" topLeftCell="A5" activePane="bottomLeft" state="frozen"/>
      <selection pane="bottomLeft" activeCell="F20" sqref="F20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4" t="s">
        <v>193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ht="15.75" customHeight="1" thickBot="1">
      <c r="A2" s="657"/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44774</v>
      </c>
      <c r="B5" s="37">
        <v>31</v>
      </c>
      <c r="C5" s="37">
        <v>26</v>
      </c>
      <c r="D5" s="26">
        <f t="shared" ref="D5:D11" si="0">(C5+B5)/2</f>
        <v>28.5</v>
      </c>
      <c r="E5" s="325">
        <v>0.68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44775</v>
      </c>
      <c r="B6" s="37">
        <v>31</v>
      </c>
      <c r="C6" s="37">
        <v>26</v>
      </c>
      <c r="D6" s="26">
        <f t="shared" si="0"/>
        <v>28.5</v>
      </c>
      <c r="E6" s="325">
        <v>0.71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44776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44777</v>
      </c>
      <c r="B8" s="37">
        <v>30</v>
      </c>
      <c r="C8" s="37">
        <v>26</v>
      </c>
      <c r="D8" s="26">
        <f>(C8+B8)/2</f>
        <v>28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44778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44779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44780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44781</v>
      </c>
      <c r="B12" s="37">
        <v>30</v>
      </c>
      <c r="C12" s="37">
        <v>19</v>
      </c>
      <c r="D12" s="26">
        <f>(C12+B12)/2</f>
        <v>24.5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44782</v>
      </c>
      <c r="B13" s="37">
        <v>30</v>
      </c>
      <c r="C13" s="37">
        <v>26</v>
      </c>
      <c r="D13" s="26">
        <f t="shared" ref="D13:D32" si="3">(C13+B13)/2</f>
        <v>28</v>
      </c>
      <c r="E13" s="378">
        <v>0.63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44783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44784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44785</v>
      </c>
      <c r="B16" s="37"/>
      <c r="C16" s="37"/>
      <c r="D16" s="26">
        <f t="shared" si="3"/>
        <v>0</v>
      </c>
      <c r="E16" s="607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44786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44787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44788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44789</v>
      </c>
      <c r="B20" s="37">
        <v>30</v>
      </c>
      <c r="C20" s="37">
        <v>26</v>
      </c>
      <c r="D20" s="26">
        <f>(C20+B20)/2</f>
        <v>28</v>
      </c>
      <c r="E20" s="325">
        <v>0.64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44790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44791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44792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44793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44794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44795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44796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44797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44798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44799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44800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44801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44802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44803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44804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82.75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3394</v>
      </c>
      <c r="D2" s="3">
        <f>C2-E2</f>
        <v>558.00000000066939</v>
      </c>
      <c r="E2" s="3">
        <f>ELEC!Q4</f>
        <v>2835.9999999993306</v>
      </c>
      <c r="F2" s="3">
        <f>GEN!Z2</f>
        <v>19</v>
      </c>
      <c r="G2" s="3">
        <f>WATER!C5+WATER!H5</f>
        <v>196</v>
      </c>
      <c r="H2" s="3">
        <f>WATER!L5</f>
        <v>0</v>
      </c>
      <c r="I2" s="15">
        <f>WATER!BC5+WATER!BD5+WATER!BE6-Sheet1!G2</f>
        <v>-210.2</v>
      </c>
      <c r="J2" s="9">
        <f>'B5'!A4</f>
        <v>44773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4589</v>
      </c>
      <c r="D3" s="3">
        <f t="shared" ref="D3:D30" si="0">C3-E3</f>
        <v>129.00000000087311</v>
      </c>
      <c r="E3" s="3">
        <f>ELEC!Q5</f>
        <v>4459.9999999991269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-26.999999999999972</v>
      </c>
      <c r="J3" s="9">
        <f>'B5'!A5</f>
        <v>44774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-2.8999999999999773</v>
      </c>
      <c r="J4" s="9">
        <f>'B5'!A6</f>
        <v>44775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2188</v>
      </c>
      <c r="D5" s="3">
        <f t="shared" si="0"/>
        <v>-50.000000001193257</v>
      </c>
      <c r="E5" s="3">
        <f>ELEC!Q7</f>
        <v>2238.0000000011933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-13.800000000000026</v>
      </c>
      <c r="J5" s="9">
        <f>'B5'!A7</f>
        <v>44776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-13.800000000000026</v>
      </c>
      <c r="J6" s="9">
        <f>'B5'!A8</f>
        <v>44777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44778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3848</v>
      </c>
      <c r="D8" s="3">
        <f t="shared" si="0"/>
        <v>-144.99999999857391</v>
      </c>
      <c r="E8" s="3">
        <f>ELEC!Q10</f>
        <v>3992.9999999985739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</v>
      </c>
      <c r="J8" s="9">
        <f>'B5'!A10</f>
        <v>44779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13</v>
      </c>
      <c r="G9" s="3">
        <f>WATER!C12+WATER!H12</f>
        <v>0</v>
      </c>
      <c r="H9" s="3">
        <f>WATER!L12</f>
        <v>0</v>
      </c>
      <c r="I9" s="15">
        <f>WATER!BC12+WATER!BD12+WATER!BE13-Sheet1!G9</f>
        <v>-7.7999999999999829</v>
      </c>
      <c r="J9" s="9">
        <f>'B5'!A11</f>
        <v>44780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2181</v>
      </c>
      <c r="D10" s="3">
        <f t="shared" si="0"/>
        <v>124.99999999950523</v>
      </c>
      <c r="E10" s="3">
        <f>ELEC!Q12</f>
        <v>2056.0000000004948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5.1000000000000227</v>
      </c>
      <c r="J10" s="9">
        <f>'B5'!A12</f>
        <v>44781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3119</v>
      </c>
      <c r="D11" s="3">
        <f t="shared" si="0"/>
        <v>-55.999999999272404</v>
      </c>
      <c r="E11" s="3">
        <f>ELEC!Q13</f>
        <v>3174.9999999992724</v>
      </c>
      <c r="F11" s="3">
        <f>GEN!Z11</f>
        <v>7</v>
      </c>
      <c r="G11" s="3">
        <f>WATER!C14+WATER!H14</f>
        <v>49</v>
      </c>
      <c r="H11" s="3">
        <f>WATER!L14</f>
        <v>0</v>
      </c>
      <c r="I11" s="15">
        <f>WATER!BC14+WATER!BD14+WATER!BE15-Sheet1!G11</f>
        <v>-86.199999999999974</v>
      </c>
      <c r="J11" s="9">
        <f>'B5'!A13</f>
        <v>44782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2990</v>
      </c>
      <c r="D12" s="3">
        <f t="shared" si="0"/>
        <v>-56.000000002095476</v>
      </c>
      <c r="E12" s="3">
        <f>ELEC!Q14</f>
        <v>3046.0000000020955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44783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44784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44785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44786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2947</v>
      </c>
      <c r="D16" s="3">
        <f t="shared" si="0"/>
        <v>-129.00000000093132</v>
      </c>
      <c r="E16" s="3">
        <f>ELEC!Q18</f>
        <v>3076.0000000009313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-30.100000000000009</v>
      </c>
      <c r="J16" s="9">
        <f>'B5'!A18</f>
        <v>44787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11</v>
      </c>
      <c r="G17" s="3">
        <f>WATER!C20+WATER!H20</f>
        <v>0</v>
      </c>
      <c r="H17" s="3">
        <f>WATER!L20</f>
        <v>0</v>
      </c>
      <c r="I17" s="15">
        <f>WATER!BC20+WATER!BD20+WATER!BE21-Sheet1!G17</f>
        <v>-2.2000000000000028</v>
      </c>
      <c r="J17" s="9">
        <f>'B5'!A19</f>
        <v>44788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44789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44790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44791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44792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44793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44794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44795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44796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44797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44798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44799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44800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44801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6"/>
      <c r="B1" s="664" t="s">
        <v>119</v>
      </c>
      <c r="C1" s="664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61" t="s">
        <v>115</v>
      </c>
      <c r="I1" s="662" t="s">
        <v>116</v>
      </c>
      <c r="J1" s="661" t="s">
        <v>117</v>
      </c>
      <c r="K1" s="660" t="s">
        <v>121</v>
      </c>
      <c r="L1" s="660" t="s">
        <v>122</v>
      </c>
      <c r="M1" s="660" t="s">
        <v>123</v>
      </c>
      <c r="N1" s="660" t="s">
        <v>124</v>
      </c>
    </row>
    <row r="2" spans="1:14">
      <c r="A2" s="667"/>
      <c r="B2" s="665"/>
      <c r="C2" s="665"/>
      <c r="D2" s="668"/>
      <c r="E2" s="668"/>
      <c r="F2" s="669"/>
      <c r="G2" s="670"/>
      <c r="H2" s="661"/>
      <c r="I2" s="663"/>
      <c r="J2" s="661"/>
      <c r="K2" s="660"/>
      <c r="L2" s="660"/>
      <c r="M2" s="660"/>
      <c r="N2" s="66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44774</v>
      </c>
      <c r="B5" s="76">
        <f>'B5'!V5</f>
        <v>113</v>
      </c>
      <c r="C5" s="76">
        <f>'B5'!AH5</f>
        <v>0</v>
      </c>
      <c r="D5" s="76">
        <f>GEN!AI3</f>
        <v>729.94092826986991</v>
      </c>
      <c r="E5" s="239">
        <f t="shared" ref="E5:E33" si="0">B5+C5+D5</f>
        <v>842.94092826986991</v>
      </c>
      <c r="F5" s="75">
        <f>WATER!L5</f>
        <v>0</v>
      </c>
      <c r="G5" s="78">
        <f>WATER!BG5</f>
        <v>52.199999999999989</v>
      </c>
      <c r="H5" s="79">
        <f>ELEC!AF4</f>
        <v>0</v>
      </c>
      <c r="I5" s="79">
        <f>ELEC!Q4</f>
        <v>2835.9999999993306</v>
      </c>
      <c r="J5" s="79">
        <f>ELEC!R4</f>
        <v>558.00000000066939</v>
      </c>
      <c r="K5" s="80"/>
      <c r="L5" s="3"/>
      <c r="M5" s="3"/>
      <c r="N5" s="3"/>
    </row>
    <row r="6" spans="1:14">
      <c r="A6" s="63">
        <f>'B5'!A6</f>
        <v>44775</v>
      </c>
      <c r="B6" s="76">
        <f>'B5'!V6</f>
        <v>33</v>
      </c>
      <c r="C6" s="76">
        <f>'B5'!AH6</f>
        <v>0</v>
      </c>
      <c r="D6" s="76">
        <f>GEN!AI4</f>
        <v>1147.9324894512522</v>
      </c>
      <c r="E6" s="239">
        <f t="shared" si="0"/>
        <v>1180.9324894512522</v>
      </c>
      <c r="F6" s="75">
        <f>WATER!L6</f>
        <v>0</v>
      </c>
      <c r="G6" s="78">
        <f>WATER!BG6</f>
        <v>-14.200000000000003</v>
      </c>
      <c r="H6" s="79">
        <f>ELEC!AF5</f>
        <v>0</v>
      </c>
      <c r="I6" s="79">
        <f>ELEC!Q5</f>
        <v>4459.9999999991269</v>
      </c>
      <c r="J6" s="79">
        <f>ELEC!R5</f>
        <v>129.00000000087311</v>
      </c>
      <c r="K6" s="3"/>
      <c r="L6" s="3"/>
      <c r="M6" s="3"/>
      <c r="N6" s="3"/>
    </row>
    <row r="7" spans="1:14">
      <c r="A7" s="63">
        <f>'B5'!A7</f>
        <v>44776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-12.799999999999969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44777</v>
      </c>
      <c r="B8" s="76">
        <f>'B5'!V8</f>
        <v>135</v>
      </c>
      <c r="C8" s="76">
        <f>'B5'!AH8</f>
        <v>0</v>
      </c>
      <c r="D8" s="76">
        <f>GEN!AI6</f>
        <v>576.02531645600334</v>
      </c>
      <c r="E8" s="239">
        <f t="shared" si="0"/>
        <v>711.02531645600334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2238.0000000011933</v>
      </c>
      <c r="J8" s="79">
        <f>ELEC!R7</f>
        <v>-50.000000001193257</v>
      </c>
      <c r="K8" s="3"/>
      <c r="L8" s="3"/>
      <c r="M8" s="3"/>
      <c r="N8" s="3"/>
    </row>
    <row r="9" spans="1:14">
      <c r="A9" s="63">
        <f>'B5'!A9</f>
        <v>44778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44779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44780</v>
      </c>
      <c r="B11" s="76">
        <f>'B5'!V11</f>
        <v>84</v>
      </c>
      <c r="C11" s="76">
        <f>'B5'!AH11</f>
        <v>0</v>
      </c>
      <c r="D11" s="76">
        <f>GEN!AI9</f>
        <v>1027.7341772148229</v>
      </c>
      <c r="E11" s="239">
        <f t="shared" si="0"/>
        <v>1111.7341772148229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3992.9999999985739</v>
      </c>
      <c r="J11" s="79">
        <f>ELEC!R10</f>
        <v>-144.99999999857391</v>
      </c>
      <c r="K11" s="3"/>
      <c r="L11" s="3"/>
      <c r="M11" s="3"/>
      <c r="N11" s="3"/>
    </row>
    <row r="12" spans="1:14">
      <c r="A12" s="63">
        <f>'B5'!A12</f>
        <v>44781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44782</v>
      </c>
      <c r="B13" s="76">
        <f>'B5'!V13</f>
        <v>184</v>
      </c>
      <c r="C13" s="76">
        <f>'B5'!AH13</f>
        <v>0</v>
      </c>
      <c r="D13" s="76">
        <f>GEN!AI11</f>
        <v>529.18143459928353</v>
      </c>
      <c r="E13" s="239">
        <f t="shared" si="0"/>
        <v>713.18143459928353</v>
      </c>
      <c r="F13" s="75">
        <f>WATER!L13</f>
        <v>0</v>
      </c>
      <c r="G13" s="78">
        <f>WATER!BG13</f>
        <v>-3.3999999999999915</v>
      </c>
      <c r="H13" s="79">
        <f>ELEC!AF12</f>
        <v>0</v>
      </c>
      <c r="I13" s="79">
        <f>ELEC!Q12</f>
        <v>2056.0000000004948</v>
      </c>
      <c r="J13" s="79">
        <f>ELEC!R12</f>
        <v>124.99999999950523</v>
      </c>
      <c r="K13" s="3"/>
      <c r="L13" s="3"/>
      <c r="M13" s="3"/>
      <c r="N13" s="3"/>
    </row>
    <row r="14" spans="1:14">
      <c r="A14" s="63">
        <f>'B5'!A14</f>
        <v>44783</v>
      </c>
      <c r="B14" s="76">
        <f>'B5'!V14</f>
        <v>92</v>
      </c>
      <c r="C14" s="76">
        <f>'B5'!AH14</f>
        <v>85</v>
      </c>
      <c r="D14" s="76">
        <f>GEN!AI12</f>
        <v>817.19409282681704</v>
      </c>
      <c r="E14" s="239">
        <f t="shared" si="0"/>
        <v>994.19409282681704</v>
      </c>
      <c r="F14" s="75">
        <f>WATER!L14</f>
        <v>0</v>
      </c>
      <c r="G14" s="78">
        <f>WATER!BG14</f>
        <v>5.1000000000000227</v>
      </c>
      <c r="H14" s="79">
        <f>ELEC!AF13</f>
        <v>0</v>
      </c>
      <c r="I14" s="79">
        <f>ELEC!Q13</f>
        <v>3174.9999999992724</v>
      </c>
      <c r="J14" s="79">
        <f>ELEC!R13</f>
        <v>-55.999999999272404</v>
      </c>
      <c r="K14" s="3"/>
      <c r="L14" s="3"/>
      <c r="M14" s="3"/>
      <c r="N14" s="3"/>
    </row>
    <row r="15" spans="1:14">
      <c r="A15" s="63">
        <f>'B5'!A15</f>
        <v>44784</v>
      </c>
      <c r="B15" s="76">
        <f>'B5'!V15</f>
        <v>24</v>
      </c>
      <c r="C15" s="76">
        <f>'B5'!AH15</f>
        <v>0</v>
      </c>
      <c r="D15" s="76">
        <f>GEN!AI13</f>
        <v>783.99156118197402</v>
      </c>
      <c r="E15" s="239">
        <f t="shared" si="0"/>
        <v>807.99156118197402</v>
      </c>
      <c r="F15" s="75">
        <f>WATER!L15</f>
        <v>0</v>
      </c>
      <c r="G15" s="78">
        <f>WATER!BG15</f>
        <v>-13.5</v>
      </c>
      <c r="H15" s="79">
        <f>ELEC!AF14</f>
        <v>0</v>
      </c>
      <c r="I15" s="79">
        <f>ELEC!Q14</f>
        <v>3046.0000000020955</v>
      </c>
      <c r="J15" s="79">
        <f>ELEC!R14</f>
        <v>-56.000000002095476</v>
      </c>
      <c r="K15" s="3"/>
      <c r="L15" s="3"/>
      <c r="M15" s="3"/>
      <c r="N15" s="3"/>
    </row>
    <row r="16" spans="1:14">
      <c r="A16" s="63">
        <f>'B5'!A16</f>
        <v>44785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44786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44787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44788</v>
      </c>
      <c r="B19" s="76">
        <f>'B5'!V19</f>
        <v>0</v>
      </c>
      <c r="C19" s="76">
        <f>'B5'!AH19</f>
        <v>0</v>
      </c>
      <c r="D19" s="76">
        <f>GEN!AI17</f>
        <v>791.71308016901617</v>
      </c>
      <c r="E19" s="239">
        <f t="shared" si="0"/>
        <v>791.71308016901617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3076.0000000009313</v>
      </c>
      <c r="J19" s="79">
        <f>ELEC!R18</f>
        <v>-129.00000000093132</v>
      </c>
      <c r="K19" s="3"/>
      <c r="L19" s="3"/>
      <c r="M19" s="3"/>
      <c r="N19" s="3"/>
    </row>
    <row r="20" spans="1:14">
      <c r="A20" s="63">
        <f>'B5'!A20</f>
        <v>44789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-30.100000000000009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44790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44791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44792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44793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44794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44795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44796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44797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44798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44799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44800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44801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1" t="s">
        <v>151</v>
      </c>
      <c r="U3" s="67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1</v>
      </c>
      <c r="G9">
        <f t="shared" si="1"/>
        <v>107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1" t="s">
        <v>51</v>
      </c>
      <c r="B1" s="693" t="s">
        <v>316</v>
      </c>
      <c r="C1" s="694"/>
      <c r="D1" s="696"/>
      <c r="E1" s="693" t="s">
        <v>317</v>
      </c>
      <c r="F1" s="694"/>
      <c r="G1" s="695"/>
      <c r="H1" s="690" t="s">
        <v>321</v>
      </c>
      <c r="I1" s="687" t="s">
        <v>322</v>
      </c>
      <c r="J1" s="684" t="s">
        <v>43</v>
      </c>
    </row>
    <row r="2" spans="1:18" ht="38.25" thickBot="1">
      <c r="A2" s="68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1"/>
      <c r="I2" s="688"/>
      <c r="J2" s="685"/>
    </row>
    <row r="3" spans="1:18" ht="24" customHeight="1" thickBot="1">
      <c r="A3" s="68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2"/>
      <c r="I3" s="689"/>
      <c r="J3" s="686"/>
    </row>
    <row r="4" spans="1:18" ht="19.5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2" t="s">
        <v>417</v>
      </c>
      <c r="C5" s="673"/>
      <c r="D5" s="673"/>
      <c r="E5" s="673"/>
      <c r="F5" s="673"/>
      <c r="G5" s="674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44774</v>
      </c>
      <c r="B6" s="675"/>
      <c r="C6" s="676"/>
      <c r="D6" s="676"/>
      <c r="E6" s="676"/>
      <c r="F6" s="676"/>
      <c r="G6" s="677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44774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44775</v>
      </c>
      <c r="B7" s="675"/>
      <c r="C7" s="676"/>
      <c r="D7" s="676"/>
      <c r="E7" s="676"/>
      <c r="F7" s="676"/>
      <c r="G7" s="677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44775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44776</v>
      </c>
      <c r="B8" s="675"/>
      <c r="C8" s="676"/>
      <c r="D8" s="676"/>
      <c r="E8" s="676"/>
      <c r="F8" s="676"/>
      <c r="G8" s="677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44776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44777</v>
      </c>
      <c r="B9" s="675"/>
      <c r="C9" s="676"/>
      <c r="D9" s="676"/>
      <c r="E9" s="676"/>
      <c r="F9" s="676"/>
      <c r="G9" s="677"/>
      <c r="H9" s="594">
        <v>7082</v>
      </c>
      <c r="I9" s="477">
        <f t="shared" si="4"/>
        <v>7082</v>
      </c>
      <c r="J9" s="462">
        <v>0.25</v>
      </c>
      <c r="L9" s="99">
        <f t="shared" si="0"/>
        <v>44777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44778</v>
      </c>
      <c r="B10" s="675"/>
      <c r="C10" s="676"/>
      <c r="D10" s="676"/>
      <c r="E10" s="676"/>
      <c r="F10" s="676"/>
      <c r="G10" s="677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44778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44779</v>
      </c>
      <c r="B11" s="675"/>
      <c r="C11" s="676"/>
      <c r="D11" s="676"/>
      <c r="E11" s="676"/>
      <c r="F11" s="676"/>
      <c r="G11" s="677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44779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6">
        <f>ELEC!C10</f>
        <v>44780</v>
      </c>
      <c r="B12" s="675"/>
      <c r="C12" s="676"/>
      <c r="D12" s="676"/>
      <c r="E12" s="676"/>
      <c r="F12" s="676"/>
      <c r="G12" s="677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44780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44781</v>
      </c>
      <c r="B13" s="675"/>
      <c r="C13" s="676"/>
      <c r="D13" s="676"/>
      <c r="E13" s="676"/>
      <c r="F13" s="676"/>
      <c r="G13" s="677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44781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44782</v>
      </c>
      <c r="B14" s="675"/>
      <c r="C14" s="676"/>
      <c r="D14" s="676"/>
      <c r="E14" s="676"/>
      <c r="F14" s="676"/>
      <c r="G14" s="677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44782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44783</v>
      </c>
      <c r="B15" s="675"/>
      <c r="C15" s="676"/>
      <c r="D15" s="676"/>
      <c r="E15" s="676"/>
      <c r="F15" s="676"/>
      <c r="G15" s="677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44783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44784</v>
      </c>
      <c r="B16" s="675"/>
      <c r="C16" s="676"/>
      <c r="D16" s="676"/>
      <c r="E16" s="676"/>
      <c r="F16" s="676"/>
      <c r="G16" s="677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44784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44785</v>
      </c>
      <c r="B17" s="675"/>
      <c r="C17" s="676"/>
      <c r="D17" s="676"/>
      <c r="E17" s="676"/>
      <c r="F17" s="676"/>
      <c r="G17" s="677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44785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44786</v>
      </c>
      <c r="B18" s="675"/>
      <c r="C18" s="676"/>
      <c r="D18" s="676"/>
      <c r="E18" s="676"/>
      <c r="F18" s="676"/>
      <c r="G18" s="677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44786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44787</v>
      </c>
      <c r="B19" s="675"/>
      <c r="C19" s="676"/>
      <c r="D19" s="676"/>
      <c r="E19" s="676"/>
      <c r="F19" s="676"/>
      <c r="G19" s="677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44787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44788</v>
      </c>
      <c r="B20" s="675"/>
      <c r="C20" s="676"/>
      <c r="D20" s="676"/>
      <c r="E20" s="676"/>
      <c r="F20" s="676"/>
      <c r="G20" s="677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44788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44789</v>
      </c>
      <c r="B21" s="675"/>
      <c r="C21" s="676"/>
      <c r="D21" s="676"/>
      <c r="E21" s="676"/>
      <c r="F21" s="676"/>
      <c r="G21" s="677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44789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44790</v>
      </c>
      <c r="B22" s="675"/>
      <c r="C22" s="676"/>
      <c r="D22" s="676"/>
      <c r="E22" s="676"/>
      <c r="F22" s="676"/>
      <c r="G22" s="677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44790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44791</v>
      </c>
      <c r="B23" s="675"/>
      <c r="C23" s="676"/>
      <c r="D23" s="676"/>
      <c r="E23" s="676"/>
      <c r="F23" s="676"/>
      <c r="G23" s="677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44791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44792</v>
      </c>
      <c r="B24" s="675"/>
      <c r="C24" s="676"/>
      <c r="D24" s="676"/>
      <c r="E24" s="676"/>
      <c r="F24" s="676"/>
      <c r="G24" s="677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44792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44793</v>
      </c>
      <c r="B25" s="675"/>
      <c r="C25" s="676"/>
      <c r="D25" s="676"/>
      <c r="E25" s="676"/>
      <c r="F25" s="676"/>
      <c r="G25" s="677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44793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44794</v>
      </c>
      <c r="B26" s="675"/>
      <c r="C26" s="676"/>
      <c r="D26" s="676"/>
      <c r="E26" s="676"/>
      <c r="F26" s="676"/>
      <c r="G26" s="677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44794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44795</v>
      </c>
      <c r="B27" s="675"/>
      <c r="C27" s="676"/>
      <c r="D27" s="676"/>
      <c r="E27" s="676"/>
      <c r="F27" s="676"/>
      <c r="G27" s="677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44795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44796</v>
      </c>
      <c r="B28" s="675"/>
      <c r="C28" s="676"/>
      <c r="D28" s="676"/>
      <c r="E28" s="676"/>
      <c r="F28" s="676"/>
      <c r="G28" s="677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44796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44797</v>
      </c>
      <c r="B29" s="675"/>
      <c r="C29" s="676"/>
      <c r="D29" s="676"/>
      <c r="E29" s="676"/>
      <c r="F29" s="676"/>
      <c r="G29" s="677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44797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44798</v>
      </c>
      <c r="B30" s="675"/>
      <c r="C30" s="676"/>
      <c r="D30" s="676"/>
      <c r="E30" s="676"/>
      <c r="F30" s="676"/>
      <c r="G30" s="677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44798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44799</v>
      </c>
      <c r="B31" s="675"/>
      <c r="C31" s="676"/>
      <c r="D31" s="676"/>
      <c r="E31" s="676"/>
      <c r="F31" s="676"/>
      <c r="G31" s="677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44799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44800</v>
      </c>
      <c r="B32" s="675"/>
      <c r="C32" s="676"/>
      <c r="D32" s="676"/>
      <c r="E32" s="676"/>
      <c r="F32" s="676"/>
      <c r="G32" s="677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44800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44801</v>
      </c>
      <c r="B33" s="675"/>
      <c r="C33" s="676"/>
      <c r="D33" s="676"/>
      <c r="E33" s="676"/>
      <c r="F33" s="676"/>
      <c r="G33" s="677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44801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44802</v>
      </c>
      <c r="B34" s="675"/>
      <c r="C34" s="676"/>
      <c r="D34" s="676"/>
      <c r="E34" s="676"/>
      <c r="F34" s="676"/>
      <c r="G34" s="677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44802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44803</v>
      </c>
      <c r="B35" s="675"/>
      <c r="C35" s="676"/>
      <c r="D35" s="676"/>
      <c r="E35" s="676"/>
      <c r="F35" s="676"/>
      <c r="G35" s="677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44803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7">
        <f>ELEC!C34</f>
        <v>44804</v>
      </c>
      <c r="B36" s="678"/>
      <c r="C36" s="679"/>
      <c r="D36" s="679"/>
      <c r="E36" s="679"/>
      <c r="F36" s="679"/>
      <c r="G36" s="680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44804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8" t="s">
        <v>161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</row>
    <row r="2" spans="1:28" ht="19.5">
      <c r="A2" s="709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</row>
    <row r="3" spans="1:28" ht="19.5">
      <c r="A3" s="709" t="s">
        <v>162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9" t="s">
        <v>404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</row>
    <row r="6" spans="1:28" ht="15.75" thickBot="1">
      <c r="A6" s="710"/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710"/>
      <c r="O6" s="710"/>
      <c r="P6" s="710"/>
      <c r="Q6" s="710"/>
      <c r="R6" s="710"/>
      <c r="S6" s="710"/>
      <c r="T6" s="710"/>
      <c r="U6" s="710"/>
      <c r="V6" s="710"/>
      <c r="W6" s="710"/>
      <c r="X6" s="710"/>
    </row>
    <row r="7" spans="1:28" ht="15.75" thickBot="1">
      <c r="A7" s="698" t="s">
        <v>163</v>
      </c>
      <c r="B7" s="699"/>
      <c r="C7" s="700" t="s">
        <v>164</v>
      </c>
      <c r="D7" s="701"/>
      <c r="E7" s="701"/>
      <c r="F7" s="701"/>
      <c r="G7" s="701"/>
      <c r="H7" s="701"/>
      <c r="I7" s="701"/>
      <c r="J7" s="701"/>
      <c r="K7" s="70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'[6]Degree Days 2022'!B10</f>
        <v>0</v>
      </c>
      <c r="C10" s="261">
        <f>'General information '!C5</f>
        <v>26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'[12]Degree Days 2022'!R10</f>
        <v>0</v>
      </c>
      <c r="S10" s="261">
        <f>'[12]Degree Days 2022'!S10</f>
        <v>0</v>
      </c>
      <c r="T10" s="261">
        <f>(R10+S10)/2-18.3</f>
        <v>-18.3</v>
      </c>
      <c r="U10" s="496">
        <v>1</v>
      </c>
      <c r="V10" s="261">
        <f>'[5]Degree Days 2022'!V10</f>
        <v>25</v>
      </c>
      <c r="W10" s="261">
        <f>'[5]Degree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'[6]Degree Days 2022'!B11</f>
        <v>0</v>
      </c>
      <c r="C11" s="261">
        <f>'General information '!C6</f>
        <v>26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'[12]Degree Days 2022'!R11</f>
        <v>0</v>
      </c>
      <c r="S11" s="261">
        <f>'[12]Degree Days 2022'!S11</f>
        <v>0</v>
      </c>
      <c r="T11" s="261">
        <f t="shared" ref="T11:T40" si="1">(R11+S11)/2-18.3</f>
        <v>-18.3</v>
      </c>
      <c r="U11" s="496">
        <v>2</v>
      </c>
      <c r="V11" s="261">
        <f>'[5]Degree Days 2022'!V11</f>
        <v>25</v>
      </c>
      <c r="W11" s="261">
        <f>'[5]Degree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'[6]Degree Days 2022'!B12</f>
        <v>0</v>
      </c>
      <c r="C12" s="261">
        <f>'General information '!C7</f>
        <v>0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'[12]Degree Days 2022'!R12</f>
        <v>0</v>
      </c>
      <c r="S12" s="261">
        <f>'[12]Degree Days 2022'!S12</f>
        <v>0</v>
      </c>
      <c r="T12" s="261">
        <f t="shared" si="1"/>
        <v>-18.3</v>
      </c>
      <c r="U12" s="496">
        <v>3</v>
      </c>
      <c r="V12" s="261">
        <f>'[5]Degree Days 2022'!V12</f>
        <v>0</v>
      </c>
      <c r="W12" s="261">
        <f>'[5]Degree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'[6]Degree Days 2022'!B13</f>
        <v>18</v>
      </c>
      <c r="C13" s="261">
        <f>'General information '!C8</f>
        <v>26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'[12]Degree Days 2022'!R13</f>
        <v>23</v>
      </c>
      <c r="S13" s="261">
        <f>'[12]Degree Days 2022'!S13</f>
        <v>19</v>
      </c>
      <c r="T13" s="261">
        <f t="shared" si="1"/>
        <v>2.6999999999999993</v>
      </c>
      <c r="U13" s="496">
        <v>4</v>
      </c>
      <c r="V13" s="261">
        <f>'[5]Degree Days 2022'!V13</f>
        <v>0</v>
      </c>
      <c r="W13" s="261">
        <f>'[5]Degree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'[6]Degree Days 2022'!B14</f>
        <v>19</v>
      </c>
      <c r="C14" s="261">
        <f>'General information '!C9</f>
        <v>0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'[12]Degree Days 2022'!R14</f>
        <v>22</v>
      </c>
      <c r="S14" s="261">
        <f>'[12]Degree Days 2022'!S14</f>
        <v>18</v>
      </c>
      <c r="T14" s="261">
        <f t="shared" si="1"/>
        <v>1.6999999999999993</v>
      </c>
      <c r="U14" s="496">
        <v>5</v>
      </c>
      <c r="V14" s="261">
        <f>'[5]Degree Days 2022'!V14</f>
        <v>27</v>
      </c>
      <c r="W14" s="261">
        <f>'[5]Degree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'[6]Degree Days 2022'!B15</f>
        <v>21</v>
      </c>
      <c r="C15" s="261">
        <f>'General information '!C10</f>
        <v>0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'[12]Degree Days 2022'!R15</f>
        <v>0</v>
      </c>
      <c r="S15" s="261">
        <f>'[12]Degree Days 2022'!S15</f>
        <v>0</v>
      </c>
      <c r="T15" s="261">
        <f t="shared" si="1"/>
        <v>-18.3</v>
      </c>
      <c r="U15" s="496">
        <v>6</v>
      </c>
      <c r="V15" s="261">
        <f>'[5]Degree Days 2022'!V15</f>
        <v>26</v>
      </c>
      <c r="W15" s="261">
        <f>'[5]Degree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'[6]Degree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'[12]Degree Days 2022'!R16</f>
        <v>0</v>
      </c>
      <c r="S16" s="261">
        <f>'[12]Degree Days 2022'!S16</f>
        <v>0</v>
      </c>
      <c r="T16" s="261">
        <f t="shared" si="1"/>
        <v>-18.3</v>
      </c>
      <c r="U16" s="496">
        <v>7</v>
      </c>
      <c r="V16" s="261">
        <f>'[5]Degree Days 2022'!V16</f>
        <v>27</v>
      </c>
      <c r="W16" s="261">
        <f>'[5]Degree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'[6]Degree Days 2022'!B17</f>
        <v>0</v>
      </c>
      <c r="C17" s="261">
        <f>'General information '!C12</f>
        <v>19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'[12]Degree Days 2022'!R17</f>
        <v>22</v>
      </c>
      <c r="S17" s="261">
        <f>'[12]Degree Days 2022'!S17</f>
        <v>17</v>
      </c>
      <c r="T17" s="261">
        <f t="shared" si="1"/>
        <v>1.1999999999999993</v>
      </c>
      <c r="U17" s="496">
        <v>8</v>
      </c>
      <c r="V17" s="261">
        <f>'[5]Degree Days 2022'!V17</f>
        <v>27</v>
      </c>
      <c r="W17" s="261">
        <f>'[5]Degree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'[6]Degree Days 2022'!B18</f>
        <v>23</v>
      </c>
      <c r="C18" s="261">
        <f>'General information '!C13</f>
        <v>26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'[12]Degree Days 2022'!R18</f>
        <v>23</v>
      </c>
      <c r="S18" s="261">
        <f>'[12]Degree Days 2022'!S18</f>
        <v>18</v>
      </c>
      <c r="T18" s="261">
        <f t="shared" si="1"/>
        <v>2.1999999999999993</v>
      </c>
      <c r="U18" s="496">
        <v>9</v>
      </c>
      <c r="V18" s="261">
        <f>'[5]Degree Days 2022'!V18</f>
        <v>0</v>
      </c>
      <c r="W18" s="261">
        <f>'[5]Degree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'[6]Degree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'[12]Degree Days 2022'!R19</f>
        <v>23</v>
      </c>
      <c r="S19" s="261">
        <f>'[12]Degree Days 2022'!S19</f>
        <v>17</v>
      </c>
      <c r="T19" s="261">
        <f t="shared" si="1"/>
        <v>1.6999999999999993</v>
      </c>
      <c r="U19" s="496">
        <v>10</v>
      </c>
      <c r="V19" s="261">
        <f>'[5]Degree Days 2022'!V19</f>
        <v>0</v>
      </c>
      <c r="W19" s="261">
        <f>'[5]Degree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'[6]Degree Days 2022'!B20</f>
        <v>19</v>
      </c>
      <c r="C20" s="261">
        <f>'General information '!C15</f>
        <v>0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'[12]Degree Days 2022'!R20</f>
        <v>23</v>
      </c>
      <c r="S20" s="261">
        <f>'[12]Degree Days 2022'!S20</f>
        <v>17</v>
      </c>
      <c r="T20" s="261">
        <f t="shared" si="1"/>
        <v>1.6999999999999993</v>
      </c>
      <c r="U20" s="496">
        <v>11</v>
      </c>
      <c r="V20" s="261">
        <f>'[5]Degree Days 2022'!V20</f>
        <v>0</v>
      </c>
      <c r="W20" s="261">
        <f>'[5]Degree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'[6]Degree Days 2022'!B21</f>
        <v>0</v>
      </c>
      <c r="C21" s="261">
        <f>'General information '!C16</f>
        <v>0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'[12]Degree Days 2022'!R21</f>
        <v>22</v>
      </c>
      <c r="S21" s="261">
        <f>'[12]Degree Days 2022'!S21</f>
        <v>17</v>
      </c>
      <c r="T21" s="261">
        <f t="shared" si="1"/>
        <v>1.1999999999999993</v>
      </c>
      <c r="U21" s="496">
        <v>12</v>
      </c>
      <c r="V21" s="261">
        <f>'[5]Degree Days 2022'!V21</f>
        <v>0</v>
      </c>
      <c r="W21" s="261">
        <f>'[5]Degree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'[6]Degree Days 2022'!B22</f>
        <v>16</v>
      </c>
      <c r="C22" s="261">
        <f>'General information '!C17</f>
        <v>0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'[12]Degree Days 2022'!R22</f>
        <v>0</v>
      </c>
      <c r="S22" s="261">
        <f>'[12]Degree Days 2022'!S22</f>
        <v>0</v>
      </c>
      <c r="T22" s="261">
        <f t="shared" si="1"/>
        <v>-18.3</v>
      </c>
      <c r="U22" s="496">
        <v>13</v>
      </c>
      <c r="V22" s="261">
        <f>'[5]Degree Days 2022'!V22</f>
        <v>0</v>
      </c>
      <c r="W22" s="261">
        <f>'[5]Degree Days 2022'!W22</f>
        <v>0</v>
      </c>
      <c r="X22" s="261">
        <f t="shared" si="2"/>
        <v>-18.3</v>
      </c>
    </row>
    <row r="23" spans="1:28">
      <c r="A23" s="117">
        <v>14</v>
      </c>
      <c r="B23" s="261">
        <f>'[6]Degree Days 2022'!B23</f>
        <v>0</v>
      </c>
      <c r="C23" s="261">
        <f>'General information '!C18</f>
        <v>0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'[12]Degree Days 2022'!R23</f>
        <v>0</v>
      </c>
      <c r="S23" s="261">
        <f>'[12]Degree Days 2022'!S23</f>
        <v>0</v>
      </c>
      <c r="T23" s="261">
        <f t="shared" si="1"/>
        <v>-18.3</v>
      </c>
      <c r="U23" s="496">
        <v>14</v>
      </c>
      <c r="V23" s="261">
        <f>'[5]Degree Days 2022'!V23</f>
        <v>27</v>
      </c>
      <c r="W23" s="261">
        <f>'[5]Degree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'[6]Degree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'[12]Degree Days 2022'!R24</f>
        <v>22</v>
      </c>
      <c r="S24" s="261">
        <f>'[12]Degree Days 2022'!S24</f>
        <v>18</v>
      </c>
      <c r="T24" s="261">
        <f t="shared" si="1"/>
        <v>1.6999999999999993</v>
      </c>
      <c r="U24" s="496">
        <v>15</v>
      </c>
      <c r="V24" s="261">
        <f>'[5]Degree Days 2022'!V24</f>
        <v>28</v>
      </c>
      <c r="W24" s="261">
        <f>'[5]Degree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'[6]Degree Days 2022'!B25</f>
        <v>14</v>
      </c>
      <c r="C25" s="261">
        <f>'General information '!C20</f>
        <v>26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'[12]Degree Days 2022'!R25</f>
        <v>22</v>
      </c>
      <c r="S25" s="261">
        <f>'[12]Degree Days 2022'!S25</f>
        <v>18</v>
      </c>
      <c r="T25" s="261">
        <f t="shared" si="1"/>
        <v>1.6999999999999993</v>
      </c>
      <c r="U25" s="496">
        <v>16</v>
      </c>
      <c r="V25" s="261">
        <f>'[5]Degree Days 2022'!V25</f>
        <v>30</v>
      </c>
      <c r="W25" s="261">
        <f>'[5]Degree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'[6]Degree Days 2022'!B26</f>
        <v>12</v>
      </c>
      <c r="C26" s="261">
        <f>'General information '!C21</f>
        <v>0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'[12]Degree Days 2022'!R26</f>
        <v>23</v>
      </c>
      <c r="S26" s="261">
        <f>'[12]Degree Days 2022'!S26</f>
        <v>18</v>
      </c>
      <c r="T26" s="261">
        <f t="shared" si="1"/>
        <v>2.1999999999999993</v>
      </c>
      <c r="U26" s="496">
        <v>17</v>
      </c>
      <c r="V26" s="261">
        <f>'[5]Degree Days 2022'!V26</f>
        <v>0</v>
      </c>
      <c r="W26" s="261">
        <f>'[5]Degree Days 2022'!W26</f>
        <v>0</v>
      </c>
      <c r="X26" s="261">
        <f t="shared" si="2"/>
        <v>-18.3</v>
      </c>
    </row>
    <row r="27" spans="1:28">
      <c r="A27" s="117">
        <v>18</v>
      </c>
      <c r="B27" s="261">
        <f>'[6]Degree Days 2022'!B27</f>
        <v>15</v>
      </c>
      <c r="C27" s="261">
        <f>'General information '!C22</f>
        <v>0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'[12]Degree Days 2022'!R27</f>
        <v>23</v>
      </c>
      <c r="S27" s="261">
        <f>'[12]Degree Days 2022'!S27</f>
        <v>17</v>
      </c>
      <c r="T27" s="261">
        <f t="shared" si="1"/>
        <v>1.6999999999999993</v>
      </c>
      <c r="U27" s="496">
        <v>18</v>
      </c>
      <c r="V27" s="261">
        <f>'[5]Degree Days 2022'!V27</f>
        <v>0</v>
      </c>
      <c r="W27" s="261">
        <f>'[5]Degree Days 2022'!W27</f>
        <v>0</v>
      </c>
      <c r="X27" s="261">
        <f t="shared" si="2"/>
        <v>-18.3</v>
      </c>
    </row>
    <row r="28" spans="1:28">
      <c r="A28" s="117">
        <v>19</v>
      </c>
      <c r="B28" s="261">
        <f>'[6]Degree Days 2022'!B28</f>
        <v>14</v>
      </c>
      <c r="C28" s="261">
        <f>'General information '!C23</f>
        <v>0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'[12]Degree Days 2022'!R28</f>
        <v>24</v>
      </c>
      <c r="S28" s="261">
        <f>'[12]Degree Days 2022'!S28</f>
        <v>19</v>
      </c>
      <c r="T28" s="261">
        <f t="shared" si="1"/>
        <v>3.1999999999999993</v>
      </c>
      <c r="U28" s="496">
        <v>19</v>
      </c>
      <c r="V28" s="261">
        <f>'[5]Degree Days 2022'!V28</f>
        <v>0</v>
      </c>
      <c r="W28" s="261">
        <f>'[5]Degree Days 2022'!W28</f>
        <v>0</v>
      </c>
      <c r="X28" s="261">
        <f t="shared" si="2"/>
        <v>-18.3</v>
      </c>
    </row>
    <row r="29" spans="1:28">
      <c r="A29" s="117">
        <v>20</v>
      </c>
      <c r="B29" s="261">
        <f>'[6]Degree Days 2022'!B29</f>
        <v>11</v>
      </c>
      <c r="C29" s="261">
        <f>'General information '!C24</f>
        <v>0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'[12]Degree Days 2022'!R29</f>
        <v>0</v>
      </c>
      <c r="S29" s="261">
        <f>'[12]Degree Days 2022'!S29</f>
        <v>0</v>
      </c>
      <c r="T29" s="261">
        <f t="shared" si="1"/>
        <v>-18.3</v>
      </c>
      <c r="U29" s="496">
        <v>20</v>
      </c>
      <c r="V29" s="261">
        <f>'[5]Degree Days 2022'!V29</f>
        <v>27</v>
      </c>
      <c r="W29" s="261">
        <f>'[5]Degree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'[6]Degree Days 2022'!B30</f>
        <v>0</v>
      </c>
      <c r="C30" s="261">
        <f>'General information '!C25</f>
        <v>0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'[12]Degree Days 2022'!R30</f>
        <v>0</v>
      </c>
      <c r="S30" s="261">
        <f>'[12]Degree Days 2022'!S30</f>
        <v>0</v>
      </c>
      <c r="T30" s="261">
        <f t="shared" si="1"/>
        <v>-18.3</v>
      </c>
      <c r="U30" s="496">
        <v>21</v>
      </c>
      <c r="V30" s="261">
        <f>'[5]Degree Days 2022'!V30</f>
        <v>28</v>
      </c>
      <c r="W30" s="261">
        <f>'[5]Degree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'[6]Degree Days 2022'!B31</f>
        <v>0</v>
      </c>
      <c r="C31" s="261">
        <f>'General information '!C26</f>
        <v>0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'[12]Degree Days 2022'!R31</f>
        <v>24</v>
      </c>
      <c r="S31" s="261">
        <f>'[12]Degree Days 2022'!S31</f>
        <v>21</v>
      </c>
      <c r="T31" s="261">
        <f t="shared" si="1"/>
        <v>4.1999999999999993</v>
      </c>
      <c r="U31" s="496">
        <v>22</v>
      </c>
      <c r="V31" s="261">
        <f>'[5]Degree Days 2022'!V31</f>
        <v>0</v>
      </c>
      <c r="W31" s="261">
        <f>'[5]Degree Days 2022'!W31</f>
        <v>0</v>
      </c>
      <c r="X31" s="261">
        <f t="shared" si="2"/>
        <v>-18.3</v>
      </c>
    </row>
    <row r="32" spans="1:28">
      <c r="A32" s="117">
        <v>23</v>
      </c>
      <c r="B32" s="261">
        <f>'[6]Degree Days 2022'!B32</f>
        <v>0</v>
      </c>
      <c r="C32" s="261">
        <f>'General information '!C27</f>
        <v>0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'[12]Degree Days 2022'!R32</f>
        <v>24</v>
      </c>
      <c r="S32" s="261">
        <f>'[12]Degree Days 2022'!S32</f>
        <v>20</v>
      </c>
      <c r="T32" s="261">
        <f t="shared" si="1"/>
        <v>3.6999999999999993</v>
      </c>
      <c r="U32" s="496">
        <v>23</v>
      </c>
      <c r="V32" s="261">
        <f>'[5]Degree Days 2022'!V32</f>
        <v>0</v>
      </c>
      <c r="W32" s="261">
        <f>'[5]Degree Days 2022'!W32</f>
        <v>0</v>
      </c>
      <c r="X32" s="261">
        <f t="shared" si="2"/>
        <v>-18.3</v>
      </c>
    </row>
    <row r="33" spans="1:24">
      <c r="A33" s="117">
        <v>24</v>
      </c>
      <c r="B33" s="261">
        <f>'[6]Degree Days 2022'!B33</f>
        <v>13</v>
      </c>
      <c r="C33" s="261">
        <f>'General information '!C28</f>
        <v>0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'[12]Degree Days 2022'!R33</f>
        <v>24</v>
      </c>
      <c r="S33" s="261">
        <f>'[12]Degree Days 2022'!S33</f>
        <v>20</v>
      </c>
      <c r="T33" s="261">
        <f t="shared" si="1"/>
        <v>3.6999999999999993</v>
      </c>
      <c r="U33" s="496">
        <v>24</v>
      </c>
      <c r="V33" s="261">
        <f>'[5]Degree Days 2022'!V33</f>
        <v>0</v>
      </c>
      <c r="W33" s="261">
        <f>'[5]Degree Days 2022'!W33</f>
        <v>0</v>
      </c>
      <c r="X33" s="261">
        <f t="shared" si="2"/>
        <v>-18.3</v>
      </c>
    </row>
    <row r="34" spans="1:24">
      <c r="A34" s="117">
        <v>25</v>
      </c>
      <c r="B34" s="261">
        <f>'[6]Degree Days 2022'!B34</f>
        <v>16</v>
      </c>
      <c r="C34" s="261">
        <f>'General information '!C29</f>
        <v>0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'[12]Degree Days 2022'!R34</f>
        <v>24</v>
      </c>
      <c r="S34" s="261">
        <f>'[12]Degree Days 2022'!S34</f>
        <v>20</v>
      </c>
      <c r="T34" s="261">
        <f t="shared" si="1"/>
        <v>3.6999999999999993</v>
      </c>
      <c r="U34" s="496">
        <v>25</v>
      </c>
      <c r="V34" s="261">
        <f>'[5]Degree Days 2022'!V34</f>
        <v>0</v>
      </c>
      <c r="W34" s="261">
        <f>'[5]Degree Days 2022'!W34</f>
        <v>0</v>
      </c>
      <c r="X34" s="261">
        <f t="shared" si="2"/>
        <v>-18.3</v>
      </c>
    </row>
    <row r="35" spans="1:24">
      <c r="A35" s="117">
        <v>26</v>
      </c>
      <c r="B35" s="261">
        <f>'[6]Degree Days 2022'!B35</f>
        <v>12</v>
      </c>
      <c r="C35" s="261">
        <f>'General information '!C30</f>
        <v>0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'[12]Degree Days 2022'!R35</f>
        <v>28</v>
      </c>
      <c r="S35" s="261">
        <f>'[12]Degree Days 2022'!S35</f>
        <v>19</v>
      </c>
      <c r="T35" s="261">
        <f t="shared" si="1"/>
        <v>5.1999999999999993</v>
      </c>
      <c r="U35" s="496">
        <v>26</v>
      </c>
      <c r="V35" s="261">
        <f>'[5]Degree Days 2022'!V35</f>
        <v>29</v>
      </c>
      <c r="W35" s="261">
        <f>'[5]Degree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'[6]Degree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'[12]Degree Days 2022'!R36</f>
        <v>0</v>
      </c>
      <c r="S36" s="261">
        <f>'[12]Degree Days 2022'!S36</f>
        <v>0</v>
      </c>
      <c r="T36" s="261">
        <f t="shared" si="1"/>
        <v>-18.3</v>
      </c>
      <c r="U36" s="496">
        <v>27</v>
      </c>
      <c r="V36" s="261">
        <f>'[5]Degree Days 2022'!V36</f>
        <v>29</v>
      </c>
      <c r="W36" s="261">
        <f>'[5]Degree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'[6]Degree Days 2022'!B37</f>
        <v>0</v>
      </c>
      <c r="C37" s="261">
        <f>'General information '!C32</f>
        <v>0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'[12]Degree Days 2022'!R37</f>
        <v>0</v>
      </c>
      <c r="S37" s="261">
        <f>'[12]Degree Days 2022'!S37</f>
        <v>0</v>
      </c>
      <c r="T37" s="261">
        <f t="shared" si="1"/>
        <v>-18.3</v>
      </c>
      <c r="U37" s="496">
        <v>28</v>
      </c>
      <c r="V37" s="261">
        <f>'[5]Degree Days 2022'!V37</f>
        <v>28</v>
      </c>
      <c r="W37" s="261">
        <f>'[5]Degree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'[6]Degree Days 2022'!B38</f>
        <v>0</v>
      </c>
      <c r="C38" s="261">
        <f>'General information '!C33</f>
        <v>0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'[12]Degree Days 2022'!R38</f>
        <v>0</v>
      </c>
      <c r="S38" s="261">
        <f>'[12]Degree Days 2022'!S38</f>
        <v>0</v>
      </c>
      <c r="T38" s="261">
        <f t="shared" si="1"/>
        <v>-18.3</v>
      </c>
      <c r="U38" s="496">
        <v>29</v>
      </c>
      <c r="V38" s="261">
        <f>'[5]Degree Days 2022'!V38</f>
        <v>29</v>
      </c>
      <c r="W38" s="261">
        <f>'[5]Degree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'[6]Degree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'[12]Degree Days 2022'!R39</f>
        <v>27</v>
      </c>
      <c r="S39" s="261">
        <f>'[12]Degree Days 2022'!S39</f>
        <v>22</v>
      </c>
      <c r="T39" s="261">
        <f t="shared" si="1"/>
        <v>6.1999999999999993</v>
      </c>
      <c r="U39" s="496">
        <v>30</v>
      </c>
      <c r="V39" s="261">
        <f>'[5]Degree Days 2022'!V39</f>
        <v>29</v>
      </c>
      <c r="W39" s="261">
        <f>'[5]Degree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'[6]Degree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'[12]Degree Days 2022'!R40</f>
        <v>26</v>
      </c>
      <c r="S40" s="261">
        <f>'[12]Degree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'[2]General information '!B5</f>
        <v>0</v>
      </c>
      <c r="C48" s="261">
        <f>'[2]General information '!C5</f>
        <v>0</v>
      </c>
      <c r="D48" s="119">
        <f t="shared" ref="D48:D56" si="3">(B48+C48)/2-18.3</f>
        <v>-18.3</v>
      </c>
      <c r="E48" s="117">
        <v>1</v>
      </c>
      <c r="F48" s="261">
        <f>'General information '!B5</f>
        <v>31</v>
      </c>
      <c r="G48" s="261">
        <f>'General information '!C5</f>
        <v>26</v>
      </c>
      <c r="H48" s="119">
        <f t="shared" ref="H48:H78" si="4">(F48+G48)/2-18.3</f>
        <v>10.199999999999999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'[2]General information '!B6</f>
        <v>0</v>
      </c>
      <c r="C49" s="261">
        <f>'[2]General information '!C6</f>
        <v>0</v>
      </c>
      <c r="D49" s="119">
        <f t="shared" si="3"/>
        <v>-18.3</v>
      </c>
      <c r="E49" s="117">
        <v>2</v>
      </c>
      <c r="F49" s="261">
        <f>'General information '!B6</f>
        <v>31</v>
      </c>
      <c r="G49" s="261">
        <f>'General information '!C6</f>
        <v>26</v>
      </c>
      <c r="H49" s="119">
        <f t="shared" si="4"/>
        <v>10.199999999999999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'[2]General information '!B7</f>
        <v>29</v>
      </c>
      <c r="C50" s="261">
        <f>'[2]General information '!C7</f>
        <v>26</v>
      </c>
      <c r="D50" s="119">
        <f t="shared" si="3"/>
        <v>9.1999999999999993</v>
      </c>
      <c r="E50" s="117">
        <v>3</v>
      </c>
      <c r="F50" s="261">
        <f>'General information '!B7</f>
        <v>0</v>
      </c>
      <c r="G50" s="261">
        <f>'General information '!C7</f>
        <v>0</v>
      </c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'[2]General information '!B8</f>
        <v>29</v>
      </c>
      <c r="C51" s="261">
        <f>'[2]General information '!C8</f>
        <v>25</v>
      </c>
      <c r="D51" s="119">
        <f t="shared" si="3"/>
        <v>8.6999999999999993</v>
      </c>
      <c r="E51" s="117">
        <v>4</v>
      </c>
      <c r="F51" s="261">
        <f>'General information '!B8</f>
        <v>30</v>
      </c>
      <c r="G51" s="261">
        <f>'General information '!C8</f>
        <v>26</v>
      </c>
      <c r="H51" s="119">
        <f t="shared" si="4"/>
        <v>9.6999999999999993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'[2]General information '!B9</f>
        <v>30</v>
      </c>
      <c r="C52" s="261">
        <f>'[2]General information '!C9</f>
        <v>24</v>
      </c>
      <c r="D52" s="119">
        <f t="shared" si="3"/>
        <v>8.6999999999999993</v>
      </c>
      <c r="E52" s="117">
        <v>5</v>
      </c>
      <c r="F52" s="261">
        <f>'General information '!B9</f>
        <v>0</v>
      </c>
      <c r="G52" s="261">
        <f>'General information '!C9</f>
        <v>0</v>
      </c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'[2]General information '!B10</f>
        <v>30</v>
      </c>
      <c r="C53" s="261">
        <f>'[2]General information '!C10</f>
        <v>24</v>
      </c>
      <c r="D53" s="119">
        <f t="shared" si="3"/>
        <v>8.6999999999999993</v>
      </c>
      <c r="E53" s="117">
        <v>6</v>
      </c>
      <c r="F53" s="261">
        <f>'General information '!B10</f>
        <v>0</v>
      </c>
      <c r="G53" s="261">
        <f>'General information '!C10</f>
        <v>0</v>
      </c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'[2]General information '!B11</f>
        <v>0</v>
      </c>
      <c r="C54" s="261">
        <f>'[2]General information '!C11</f>
        <v>0</v>
      </c>
      <c r="D54" s="119">
        <f t="shared" si="3"/>
        <v>-18.3</v>
      </c>
      <c r="E54" s="117">
        <v>7</v>
      </c>
      <c r="F54" s="261">
        <f>'General information '!B11</f>
        <v>0</v>
      </c>
      <c r="G54" s="261">
        <f>'General information '!C11</f>
        <v>0</v>
      </c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'[2]General information '!B12</f>
        <v>0</v>
      </c>
      <c r="C55" s="261">
        <f>'[2]General information '!C12</f>
        <v>0</v>
      </c>
      <c r="D55" s="119">
        <f t="shared" si="3"/>
        <v>-18.3</v>
      </c>
      <c r="E55" s="117">
        <v>8</v>
      </c>
      <c r="F55" s="261">
        <f>'General information '!B12</f>
        <v>30</v>
      </c>
      <c r="G55" s="261">
        <f>'General information '!C12</f>
        <v>19</v>
      </c>
      <c r="H55" s="119">
        <f t="shared" si="4"/>
        <v>6.1999999999999993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'[2]General information '!B13</f>
        <v>0</v>
      </c>
      <c r="C56" s="261">
        <f>'[2]General information '!C13</f>
        <v>0</v>
      </c>
      <c r="D56" s="119">
        <f t="shared" si="3"/>
        <v>-18.3</v>
      </c>
      <c r="E56" s="117">
        <v>9</v>
      </c>
      <c r="F56" s="261">
        <f>'General information '!B13</f>
        <v>30</v>
      </c>
      <c r="G56" s="261">
        <f>'General information '!C13</f>
        <v>26</v>
      </c>
      <c r="H56" s="119">
        <f t="shared" si="4"/>
        <v>9.6999999999999993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'[2]General information '!B14</f>
        <v>0</v>
      </c>
      <c r="C57" s="261">
        <f>'[2]General information '!C14</f>
        <v>0</v>
      </c>
      <c r="D57" s="119">
        <f t="shared" ref="D57:D78" si="9">(B57+C57)/2-18.3</f>
        <v>-18.3</v>
      </c>
      <c r="E57" s="117">
        <v>10</v>
      </c>
      <c r="F57" s="261">
        <f>'General information '!B14</f>
        <v>0</v>
      </c>
      <c r="G57" s="261">
        <f>'General information '!C14</f>
        <v>0</v>
      </c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'[2]General information '!B15</f>
        <v>30</v>
      </c>
      <c r="C58" s="261">
        <f>'[2]General information '!C15</f>
        <v>25</v>
      </c>
      <c r="D58" s="119">
        <f t="shared" si="9"/>
        <v>9.1999999999999993</v>
      </c>
      <c r="E58" s="117">
        <v>11</v>
      </c>
      <c r="F58" s="261">
        <f>'General information '!B15</f>
        <v>0</v>
      </c>
      <c r="G58" s="261">
        <f>'General information '!C15</f>
        <v>0</v>
      </c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'[2]General information '!B16</f>
        <v>31</v>
      </c>
      <c r="C59" s="261">
        <f>'[2]General information '!C16</f>
        <v>24</v>
      </c>
      <c r="D59" s="119">
        <f t="shared" si="9"/>
        <v>9.1999999999999993</v>
      </c>
      <c r="E59" s="117">
        <v>12</v>
      </c>
      <c r="F59" s="261">
        <f>'General information '!B16</f>
        <v>0</v>
      </c>
      <c r="G59" s="261">
        <f>'General information '!C16</f>
        <v>0</v>
      </c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'[2]General information '!B17</f>
        <v>30</v>
      </c>
      <c r="C60" s="261">
        <f>'[2]General information '!C17</f>
        <v>23</v>
      </c>
      <c r="D60" s="119">
        <f t="shared" si="9"/>
        <v>8.1999999999999993</v>
      </c>
      <c r="E60" s="117">
        <v>13</v>
      </c>
      <c r="F60" s="261">
        <f>'General information '!B17</f>
        <v>0</v>
      </c>
      <c r="G60" s="261">
        <f>'General information '!C17</f>
        <v>0</v>
      </c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'[2]General information '!B18</f>
        <v>27</v>
      </c>
      <c r="C61" s="261">
        <f>'[2]General information '!C18</f>
        <v>26</v>
      </c>
      <c r="D61" s="119">
        <f t="shared" si="9"/>
        <v>8.1999999999999993</v>
      </c>
      <c r="E61" s="117">
        <v>14</v>
      </c>
      <c r="F61" s="261">
        <f>'General information '!B18</f>
        <v>0</v>
      </c>
      <c r="G61" s="261">
        <f>'General information '!C18</f>
        <v>0</v>
      </c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'[2]General information '!B19</f>
        <v>0</v>
      </c>
      <c r="C62" s="261">
        <f>'[2]General information '!C19</f>
        <v>0</v>
      </c>
      <c r="D62" s="119">
        <f t="shared" si="9"/>
        <v>-18.3</v>
      </c>
      <c r="E62" s="117">
        <v>15</v>
      </c>
      <c r="F62" s="261">
        <f>'General information '!B19</f>
        <v>0</v>
      </c>
      <c r="G62" s="261">
        <f>'General information '!C19</f>
        <v>0</v>
      </c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'[2]General information '!B20</f>
        <v>0</v>
      </c>
      <c r="C63" s="261">
        <f>'[2]General information '!C20</f>
        <v>0</v>
      </c>
      <c r="D63" s="119">
        <f t="shared" si="9"/>
        <v>-18.3</v>
      </c>
      <c r="E63" s="117">
        <v>16</v>
      </c>
      <c r="F63" s="261">
        <f>'General information '!B20</f>
        <v>30</v>
      </c>
      <c r="G63" s="261">
        <f>'General information '!C20</f>
        <v>26</v>
      </c>
      <c r="H63" s="119">
        <f t="shared" si="4"/>
        <v>9.6999999999999993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'[2]General information '!B21</f>
        <v>28</v>
      </c>
      <c r="C64" s="261">
        <f>'[2]General information '!C21</f>
        <v>26</v>
      </c>
      <c r="D64" s="119">
        <f t="shared" si="9"/>
        <v>8.6999999999999993</v>
      </c>
      <c r="E64" s="117">
        <v>17</v>
      </c>
      <c r="F64" s="261">
        <f>'General information '!B21</f>
        <v>0</v>
      </c>
      <c r="G64" s="261">
        <f>'General information '!C21</f>
        <v>0</v>
      </c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'[2]General information '!B22</f>
        <v>30</v>
      </c>
      <c r="C65" s="261">
        <f>'[2]General information '!C22</f>
        <v>25</v>
      </c>
      <c r="D65" s="119">
        <f t="shared" si="9"/>
        <v>9.1999999999999993</v>
      </c>
      <c r="E65" s="117">
        <v>18</v>
      </c>
      <c r="F65" s="261">
        <f>'General information '!B22</f>
        <v>0</v>
      </c>
      <c r="G65" s="261">
        <f>'General information '!C22</f>
        <v>0</v>
      </c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'[2]General information '!B23</f>
        <v>0</v>
      </c>
      <c r="C66" s="261">
        <f>'[2]General information '!C23</f>
        <v>0</v>
      </c>
      <c r="D66" s="119">
        <f t="shared" si="9"/>
        <v>-18.3</v>
      </c>
      <c r="E66" s="117">
        <v>19</v>
      </c>
      <c r="F66" s="261">
        <f>'General information '!B23</f>
        <v>0</v>
      </c>
      <c r="G66" s="261">
        <f>'General information '!C23</f>
        <v>0</v>
      </c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'[2]General information '!B24</f>
        <v>0</v>
      </c>
      <c r="C67" s="261">
        <f>'[2]General information '!C24</f>
        <v>0</v>
      </c>
      <c r="D67" s="119">
        <f t="shared" si="9"/>
        <v>-18.3</v>
      </c>
      <c r="E67" s="117">
        <v>20</v>
      </c>
      <c r="F67" s="261">
        <f>'General information '!B24</f>
        <v>0</v>
      </c>
      <c r="G67" s="261">
        <f>'General information '!C24</f>
        <v>0</v>
      </c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'[2]General information '!B25</f>
        <v>0</v>
      </c>
      <c r="C68" s="261">
        <f>'[2]General information '!C25</f>
        <v>0</v>
      </c>
      <c r="D68" s="119">
        <f t="shared" si="9"/>
        <v>-18.3</v>
      </c>
      <c r="E68" s="117">
        <v>21</v>
      </c>
      <c r="F68" s="261">
        <f>'General information '!B25</f>
        <v>0</v>
      </c>
      <c r="G68" s="261">
        <f>'General information '!C25</f>
        <v>0</v>
      </c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'[2]General information '!B26</f>
        <v>0</v>
      </c>
      <c r="C69" s="261">
        <f>'[2]General information '!C26</f>
        <v>0</v>
      </c>
      <c r="D69" s="119">
        <f t="shared" si="9"/>
        <v>-18.3</v>
      </c>
      <c r="E69" s="117">
        <v>22</v>
      </c>
      <c r="F69" s="261">
        <f>'General information '!B26</f>
        <v>0</v>
      </c>
      <c r="G69" s="261">
        <f>'General information '!C26</f>
        <v>0</v>
      </c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'[2]General information '!B27</f>
        <v>0</v>
      </c>
      <c r="C70" s="261">
        <f>'[2]General information '!C27</f>
        <v>0</v>
      </c>
      <c r="D70" s="119">
        <f t="shared" si="9"/>
        <v>-18.3</v>
      </c>
      <c r="E70" s="117">
        <v>23</v>
      </c>
      <c r="F70" s="261">
        <f>'General information '!B27</f>
        <v>0</v>
      </c>
      <c r="G70" s="261">
        <f>'General information '!C27</f>
        <v>0</v>
      </c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'[2]General information '!B28</f>
        <v>31</v>
      </c>
      <c r="C71" s="261">
        <f>'[2]General information '!C28</f>
        <v>26</v>
      </c>
      <c r="D71" s="119">
        <f t="shared" si="9"/>
        <v>10.199999999999999</v>
      </c>
      <c r="E71" s="117">
        <v>24</v>
      </c>
      <c r="F71" s="261">
        <f>'General information '!B28</f>
        <v>0</v>
      </c>
      <c r="G71" s="261">
        <f>'General information '!C28</f>
        <v>0</v>
      </c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'[2]General information '!B29</f>
        <v>31</v>
      </c>
      <c r="C72" s="261">
        <f>'[2]General information '!C29</f>
        <v>26</v>
      </c>
      <c r="D72" s="119">
        <f t="shared" si="9"/>
        <v>10.199999999999999</v>
      </c>
      <c r="E72" s="117">
        <v>25</v>
      </c>
      <c r="F72" s="261">
        <f>'General information '!B29</f>
        <v>0</v>
      </c>
      <c r="G72" s="261">
        <f>'General information '!C29</f>
        <v>0</v>
      </c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'[2]General information '!B30</f>
        <v>31</v>
      </c>
      <c r="C73" s="261">
        <f>'[2]General information '!C30</f>
        <v>27</v>
      </c>
      <c r="D73" s="119">
        <f t="shared" si="9"/>
        <v>10.7</v>
      </c>
      <c r="E73" s="117">
        <v>26</v>
      </c>
      <c r="F73" s="261">
        <f>'General information '!B30</f>
        <v>0</v>
      </c>
      <c r="G73" s="261">
        <f>'General information '!C30</f>
        <v>0</v>
      </c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'[2]General information '!B31</f>
        <v>30</v>
      </c>
      <c r="C74" s="261">
        <f>'[2]General information '!C31</f>
        <v>26</v>
      </c>
      <c r="D74" s="119">
        <f t="shared" si="9"/>
        <v>9.6999999999999993</v>
      </c>
      <c r="E74" s="117">
        <v>27</v>
      </c>
      <c r="F74" s="261">
        <f>'General information '!B31</f>
        <v>0</v>
      </c>
      <c r="G74" s="261">
        <f>'General information '!C31</f>
        <v>0</v>
      </c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'[2]General information '!B32</f>
        <v>31</v>
      </c>
      <c r="C75" s="261">
        <f>'[2]General information '!C32</f>
        <v>27</v>
      </c>
      <c r="D75" s="119">
        <f t="shared" si="9"/>
        <v>10.7</v>
      </c>
      <c r="E75" s="117">
        <v>28</v>
      </c>
      <c r="F75" s="261">
        <f>'General information '!B32</f>
        <v>0</v>
      </c>
      <c r="G75" s="261">
        <f>'General information '!C32</f>
        <v>0</v>
      </c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'[2]General information '!B33</f>
        <v>0</v>
      </c>
      <c r="C76" s="261">
        <f>'[2]General information '!C33</f>
        <v>0</v>
      </c>
      <c r="D76" s="119">
        <f t="shared" si="9"/>
        <v>-18.3</v>
      </c>
      <c r="E76" s="117">
        <v>29</v>
      </c>
      <c r="F76" s="261">
        <f>'General information '!B33</f>
        <v>0</v>
      </c>
      <c r="G76" s="261">
        <f>'General information '!C33</f>
        <v>0</v>
      </c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'[2]General information '!B34</f>
        <v>0</v>
      </c>
      <c r="C77" s="261">
        <f>'[2]General information '!C34</f>
        <v>0</v>
      </c>
      <c r="D77" s="119">
        <f t="shared" si="9"/>
        <v>-18.3</v>
      </c>
      <c r="E77" s="117">
        <v>30</v>
      </c>
      <c r="F77" s="261">
        <f>'General information '!B34</f>
        <v>0</v>
      </c>
      <c r="G77" s="261">
        <f>'General information '!C34</f>
        <v>0</v>
      </c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'[2]General information '!B35</f>
        <v>31</v>
      </c>
      <c r="C78" s="261">
        <f>'[2]General information '!C35</f>
        <v>26</v>
      </c>
      <c r="D78" s="119">
        <f t="shared" si="9"/>
        <v>10.199999999999999</v>
      </c>
      <c r="E78" s="120">
        <v>31</v>
      </c>
      <c r="F78" s="261">
        <f>'General information '!B35</f>
        <v>0</v>
      </c>
      <c r="G78" s="261">
        <f>'General information '!C35</f>
        <v>0</v>
      </c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-457.50000000000017</v>
      </c>
      <c r="G81" s="119">
        <f>SUMIF(H48:H78,"&gt;0")</f>
        <v>55.7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3" t="s">
        <v>174</v>
      </c>
      <c r="O84" s="703" t="s">
        <v>175</v>
      </c>
      <c r="P84" s="134"/>
      <c r="T84" s="134"/>
      <c r="X84" s="134"/>
    </row>
    <row r="85" spans="1:24" ht="20.25" thickBot="1">
      <c r="D85" s="134"/>
      <c r="I85" s="705" t="s">
        <v>182</v>
      </c>
      <c r="J85" s="706"/>
      <c r="K85" s="706"/>
      <c r="L85" s="706"/>
      <c r="N85" s="704"/>
      <c r="O85" s="704"/>
      <c r="P85" s="134"/>
      <c r="R85" s="17"/>
      <c r="S85" s="17"/>
      <c r="T85" s="140"/>
      <c r="U85" s="141"/>
      <c r="X85" s="134"/>
    </row>
    <row r="86" spans="1:24" ht="18.75" thickBot="1">
      <c r="D86" s="134"/>
      <c r="I86" s="707" t="s">
        <v>183</v>
      </c>
      <c r="J86" s="707"/>
      <c r="K86" s="707"/>
      <c r="L86" s="707"/>
      <c r="N86" s="142">
        <f>B43+F43+J43+N43+R43+V43+B81+F81+J81+N81+R81+V81</f>
        <v>-3852.1000000000008</v>
      </c>
      <c r="O86" s="142">
        <f>C43+G43+K43+O43+S43+W43+C81+G81+K81+O81+S81+W81</f>
        <v>397.49999999999994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1" t="s">
        <v>214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44795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49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5150</v>
      </c>
      <c r="C8" s="466">
        <f>SUM(tanks!AU37)</f>
        <v>1.0780000000000001</v>
      </c>
      <c r="D8" s="191">
        <f>SUM(B8*C8)*D4</f>
        <v>8369187.7500000009</v>
      </c>
      <c r="E8" s="192">
        <f>SUM(D8/D4/F4)</f>
        <v>179.08709677419358</v>
      </c>
      <c r="F8" s="192">
        <f>SUM(E8*F4)</f>
        <v>5551.7000000000007</v>
      </c>
      <c r="G8" s="568">
        <f>E8*$G$4</f>
        <v>716.34838709677433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430</v>
      </c>
      <c r="C10" s="181"/>
      <c r="D10" s="183">
        <f>'EDl log'!AB30</f>
        <v>7280701</v>
      </c>
      <c r="E10" s="182">
        <f>SUM(D10/D4/F4)</f>
        <v>155.79523885946611</v>
      </c>
      <c r="F10" s="182">
        <f>SUM(E10*F4)</f>
        <v>4829.6524046434497</v>
      </c>
      <c r="G10" s="478">
        <f>E10*$G$4</f>
        <v>623.18095543786444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599.3984646659178</v>
      </c>
      <c r="F12" s="180">
        <f>SUM(F6:F10)</f>
        <v>18581.35240464345</v>
      </c>
      <c r="G12" s="179">
        <f>SUM(G6:G10)</f>
        <v>9539.529342534639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'!B14</f>
        <v>208.79999999999993</v>
      </c>
      <c r="D14" s="170"/>
      <c r="E14" s="416">
        <f>'[15]Utility Cost '!F14</f>
        <v>0</v>
      </c>
      <c r="F14" s="477">
        <v>0</v>
      </c>
      <c r="G14" s="405"/>
      <c r="H14" s="406">
        <f>SUM(G12-H12)</f>
        <v>-70589.370657465362</v>
      </c>
      <c r="I14" s="406">
        <f>SUM(G12-I12)</f>
        <v>-41704.39037789547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'!B15</f>
        <v>-18.3</v>
      </c>
      <c r="D15" s="170"/>
      <c r="E15" s="416">
        <f>'[15]Utility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82.75</v>
      </c>
      <c r="C16" s="416">
        <f>'[14]Utility Cost '!B16</f>
        <v>33.615384615384613</v>
      </c>
      <c r="D16" s="415"/>
      <c r="E16" s="416">
        <f>'[15]Utility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'[14]Utility Cost '!B17</f>
        <v>0</v>
      </c>
      <c r="D17" s="455">
        <v>0</v>
      </c>
      <c r="E17" s="416">
        <f>'[15]Utility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86</v>
      </c>
      <c r="C18" s="416">
        <f>'[14]Utility Cost '!B18</f>
        <v>337</v>
      </c>
      <c r="D18" s="413">
        <f>'[16]Other Fuel Calculation 2021'!$G$116</f>
        <v>202.66666666666666</v>
      </c>
      <c r="E18" s="416">
        <f>'[15]Utility Cost '!F18</f>
        <v>276.33333333333337</v>
      </c>
      <c r="F18" s="493">
        <f>B18-D18</f>
        <v>-116.66666666666666</v>
      </c>
    </row>
    <row r="19" spans="1:10">
      <c r="A19" s="489" t="s">
        <v>412</v>
      </c>
      <c r="B19" s="491">
        <f>GEN!AL34</f>
        <v>8</v>
      </c>
      <c r="C19" s="416">
        <f>'[14]Utility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10.75</v>
      </c>
      <c r="C20" s="416">
        <f>'[14]Utility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2022-08-16T13:04:41Z</dcterms:modified>
</cp:coreProperties>
</file>