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HEP Daily\"/>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3" i="1" l="1"/>
  <c r="V37" i="2" l="1"/>
  <c r="AH36" i="2" l="1"/>
  <c r="AG36" i="2"/>
  <c r="AF36" i="2"/>
  <c r="W36" i="2"/>
  <c r="V36" i="2"/>
  <c r="Q36" i="2"/>
  <c r="P36" i="2"/>
  <c r="O36" i="2"/>
  <c r="N36" i="2"/>
  <c r="M36" i="2"/>
  <c r="J36" i="2" l="1"/>
  <c r="I36" i="2"/>
  <c r="H36" i="2"/>
  <c r="G36" i="2"/>
  <c r="F36" i="2"/>
  <c r="E36" i="2"/>
  <c r="D36" i="2"/>
  <c r="C36" i="2"/>
  <c r="B36" i="2"/>
  <c r="AH35" i="2" l="1"/>
  <c r="AG35" i="2"/>
  <c r="AF35" i="2"/>
  <c r="W35" i="2"/>
  <c r="V35" i="2"/>
  <c r="Q35" i="2"/>
  <c r="P35" i="2"/>
  <c r="O35" i="2"/>
  <c r="N35" i="2"/>
  <c r="M35" i="2"/>
  <c r="J35" i="2" l="1"/>
  <c r="I35" i="2"/>
  <c r="H35" i="2"/>
  <c r="G35" i="2"/>
  <c r="F35" i="2"/>
  <c r="E35" i="2"/>
  <c r="D35" i="2"/>
  <c r="C35" i="2"/>
  <c r="B35" i="2"/>
  <c r="AH34" i="2" l="1"/>
  <c r="AG34" i="2"/>
  <c r="AF34" i="2"/>
  <c r="W34" i="2"/>
  <c r="V34" i="2"/>
  <c r="Q34" i="2"/>
  <c r="P34" i="2"/>
  <c r="O34" i="2"/>
  <c r="N34" i="2"/>
  <c r="M34" i="2"/>
  <c r="J34" i="2" l="1"/>
  <c r="I34" i="2"/>
  <c r="H34" i="2"/>
  <c r="G34" i="2"/>
  <c r="F34" i="2"/>
  <c r="E34" i="2"/>
  <c r="D34" i="2"/>
  <c r="C34" i="2"/>
  <c r="B34" i="2"/>
  <c r="AH33" i="2" l="1"/>
  <c r="AG33" i="2"/>
  <c r="AF33" i="2"/>
  <c r="W33" i="2"/>
  <c r="V33" i="2"/>
  <c r="Q33" i="2"/>
  <c r="P33" i="2"/>
  <c r="O33" i="2"/>
  <c r="N33" i="2"/>
  <c r="M33" i="2"/>
  <c r="J33" i="2" l="1"/>
  <c r="I33" i="2"/>
  <c r="H33" i="2"/>
  <c r="G33" i="2"/>
  <c r="F33" i="2"/>
  <c r="E33" i="2"/>
  <c r="D33" i="2"/>
  <c r="C33" i="2"/>
  <c r="B33" i="2"/>
  <c r="AH32" i="2" l="1"/>
  <c r="AG32" i="2"/>
  <c r="AF32" i="2"/>
  <c r="W32" i="2"/>
  <c r="V32" i="2"/>
  <c r="Q32" i="2" l="1"/>
  <c r="P32" i="2"/>
  <c r="O32" i="2"/>
  <c r="N32" i="2"/>
  <c r="M32" i="2"/>
  <c r="J32" i="2"/>
  <c r="I32" i="2"/>
  <c r="H32" i="2"/>
  <c r="G32" i="2"/>
  <c r="F32" i="2"/>
  <c r="E32" i="2"/>
  <c r="D32" i="2"/>
  <c r="C32" i="2"/>
  <c r="B32" i="2"/>
  <c r="AH31" i="2" l="1"/>
  <c r="AG31" i="2"/>
  <c r="AF31" i="2"/>
  <c r="AH30" i="2"/>
  <c r="AG30" i="2"/>
  <c r="AF30" i="2"/>
  <c r="W31" i="2"/>
  <c r="V31" i="2"/>
  <c r="W30" i="2"/>
  <c r="V30" i="2"/>
  <c r="Q31" i="2"/>
  <c r="P31" i="2"/>
  <c r="Q30" i="2"/>
  <c r="P30" i="2"/>
  <c r="O31" i="2"/>
  <c r="N31" i="2"/>
  <c r="M31" i="2"/>
  <c r="O30" i="2"/>
  <c r="N30" i="2"/>
  <c r="M30" i="2"/>
  <c r="J31" i="2" l="1"/>
  <c r="I31" i="2"/>
  <c r="H31" i="2"/>
  <c r="G31" i="2"/>
  <c r="F31" i="2"/>
  <c r="E31" i="2"/>
  <c r="D31" i="2"/>
  <c r="C31" i="2"/>
  <c r="B31" i="2"/>
  <c r="J30" i="2"/>
  <c r="I30" i="2"/>
  <c r="H30" i="2"/>
  <c r="G30" i="2"/>
  <c r="F30" i="2"/>
  <c r="E30" i="2"/>
  <c r="D30" i="2"/>
  <c r="C30" i="2"/>
  <c r="B30" i="2"/>
  <c r="AH29" i="2" l="1"/>
  <c r="AG29" i="2"/>
  <c r="AF29" i="2"/>
  <c r="W29" i="2"/>
  <c r="W28" i="2"/>
  <c r="V29" i="2"/>
  <c r="Q29" i="2"/>
  <c r="P29" i="2"/>
  <c r="O29" i="2"/>
  <c r="N29" i="2"/>
  <c r="M29" i="2"/>
  <c r="J29" i="2" l="1"/>
  <c r="I29" i="2"/>
  <c r="H29" i="2"/>
  <c r="G29" i="2"/>
  <c r="F29" i="2"/>
  <c r="E29" i="2"/>
  <c r="D29" i="2"/>
  <c r="C29" i="2"/>
  <c r="B29" i="2"/>
  <c r="AH28" i="2" l="1"/>
  <c r="AG28" i="2"/>
  <c r="AF28" i="2"/>
  <c r="V28" i="2"/>
  <c r="Q28" i="2"/>
  <c r="P28" i="2"/>
  <c r="O28" i="2"/>
  <c r="N28" i="2"/>
  <c r="M28" i="2"/>
  <c r="J28" i="2" l="1"/>
  <c r="I28" i="2"/>
  <c r="H28" i="2"/>
  <c r="G28" i="2"/>
  <c r="F28" i="2"/>
  <c r="E28" i="2"/>
  <c r="D28" i="2"/>
  <c r="C28" i="2"/>
  <c r="B28" i="2"/>
  <c r="AH27" i="2" l="1"/>
  <c r="AG27" i="2"/>
  <c r="AF27" i="2"/>
  <c r="W27" i="2"/>
  <c r="V27" i="2"/>
  <c r="Q27" i="2"/>
  <c r="P27" i="2"/>
  <c r="O27" i="2"/>
  <c r="N27" i="2"/>
  <c r="M27" i="2"/>
  <c r="J27" i="2" l="1"/>
  <c r="I27" i="2"/>
  <c r="H27" i="2"/>
  <c r="G27" i="2"/>
  <c r="F27" i="2"/>
  <c r="E27" i="2"/>
  <c r="D27" i="2"/>
  <c r="C27" i="2"/>
  <c r="B27" i="2"/>
  <c r="AH26" i="2" l="1"/>
  <c r="AG26" i="2"/>
  <c r="AF26" i="2"/>
  <c r="W26" i="2"/>
  <c r="V26" i="2"/>
  <c r="Q26" i="2"/>
  <c r="P26" i="2"/>
  <c r="O26" i="2"/>
  <c r="N26" i="2"/>
  <c r="M26" i="2"/>
  <c r="J26" i="2" l="1"/>
  <c r="I26" i="2"/>
  <c r="H26" i="2"/>
  <c r="G26" i="2"/>
  <c r="F26" i="2"/>
  <c r="E26" i="2"/>
  <c r="D26" i="2"/>
  <c r="C26" i="2"/>
  <c r="B26" i="2"/>
  <c r="AH25" i="2" l="1"/>
  <c r="AG25" i="2"/>
  <c r="AF25" i="2"/>
  <c r="W25" i="2"/>
  <c r="V25" i="2"/>
  <c r="Q25" i="2"/>
  <c r="P25" i="2"/>
  <c r="O25" i="2"/>
  <c r="N25" i="2"/>
  <c r="M25" i="2"/>
  <c r="J25" i="2" l="1"/>
  <c r="I25" i="2"/>
  <c r="H25" i="2"/>
  <c r="G25" i="2"/>
  <c r="F25" i="2"/>
  <c r="E25" i="2"/>
  <c r="D25" i="2"/>
  <c r="C25" i="2"/>
  <c r="B25" i="2"/>
  <c r="AH24" i="2" l="1"/>
  <c r="AG24" i="2"/>
  <c r="AF24" i="2"/>
  <c r="AH23" i="2"/>
  <c r="AG23" i="2"/>
  <c r="AF23" i="2"/>
  <c r="W24" i="2"/>
  <c r="W23" i="2"/>
  <c r="V24" i="2"/>
  <c r="V23" i="2"/>
  <c r="Q24" i="2"/>
  <c r="P24" i="2"/>
  <c r="Q23" i="2"/>
  <c r="P23" i="2"/>
  <c r="O24" i="2"/>
  <c r="N24" i="2"/>
  <c r="M24" i="2"/>
  <c r="O23" i="2"/>
  <c r="N23" i="2"/>
  <c r="M23" i="2"/>
  <c r="J24" i="2" l="1"/>
  <c r="I24" i="2"/>
  <c r="H24" i="2"/>
  <c r="G24" i="2"/>
  <c r="F24" i="2"/>
  <c r="E24" i="2"/>
  <c r="D24" i="2"/>
  <c r="C24" i="2"/>
  <c r="B24" i="2"/>
  <c r="J23" i="2"/>
  <c r="I23" i="2"/>
  <c r="H23" i="2"/>
  <c r="G23" i="2"/>
  <c r="F23" i="2"/>
  <c r="E23" i="2"/>
  <c r="D23" i="2"/>
  <c r="C23" i="2"/>
  <c r="B23" i="2"/>
  <c r="AH22" i="2" l="1"/>
  <c r="AG22" i="2"/>
  <c r="AF22" i="2"/>
  <c r="W22" i="2"/>
  <c r="V22" i="2"/>
  <c r="Q22" i="2"/>
  <c r="P22" i="2"/>
  <c r="O22" i="2"/>
  <c r="N22" i="2"/>
  <c r="M22" i="2"/>
  <c r="J22" i="2" l="1"/>
  <c r="I22" i="2"/>
  <c r="H22" i="2"/>
  <c r="G22" i="2"/>
  <c r="F22" i="2"/>
  <c r="E22" i="2"/>
  <c r="D22" i="2"/>
  <c r="C22" i="2"/>
  <c r="B22" i="2"/>
  <c r="AH21" i="2" l="1"/>
  <c r="AG21" i="2"/>
  <c r="AF21" i="2"/>
  <c r="W21" i="2"/>
  <c r="V21" i="2"/>
  <c r="Q21" i="2" l="1"/>
  <c r="P21" i="2"/>
  <c r="O21" i="2"/>
  <c r="N21" i="2"/>
  <c r="M21" i="2"/>
  <c r="J21" i="2" l="1"/>
  <c r="I21" i="2"/>
  <c r="H21" i="2"/>
  <c r="G21" i="2"/>
  <c r="F21" i="2"/>
  <c r="E21" i="2"/>
  <c r="D21" i="2"/>
  <c r="C21" i="2"/>
  <c r="B21" i="2"/>
  <c r="AH20" i="2" l="1"/>
  <c r="AG20" i="2"/>
  <c r="AF20" i="2"/>
  <c r="W20" i="2"/>
  <c r="V20" i="2"/>
  <c r="Q20" i="2"/>
  <c r="P20" i="2"/>
  <c r="O20" i="2"/>
  <c r="N20" i="2"/>
  <c r="M20" i="2"/>
  <c r="J20" i="2" l="1"/>
  <c r="I20" i="2"/>
  <c r="H20" i="2"/>
  <c r="G20" i="2"/>
  <c r="F20" i="2"/>
  <c r="E20" i="2"/>
  <c r="D20" i="2"/>
  <c r="C20" i="2"/>
  <c r="B20" i="2"/>
  <c r="AH19" i="2" l="1"/>
  <c r="AG19" i="2"/>
  <c r="AF19" i="2"/>
  <c r="W19" i="2"/>
  <c r="V19" i="2"/>
  <c r="Q19" i="2" l="1"/>
  <c r="P19" i="2"/>
  <c r="O19" i="2"/>
  <c r="N19" i="2"/>
  <c r="M19" i="2"/>
  <c r="J19" i="2" l="1"/>
  <c r="I19" i="2"/>
  <c r="H19" i="2"/>
  <c r="G19" i="2"/>
  <c r="F19" i="2"/>
  <c r="E19" i="2"/>
  <c r="D19" i="2"/>
  <c r="C19" i="2"/>
  <c r="B19" i="2"/>
  <c r="AH18" i="2" l="1"/>
  <c r="AG18" i="2"/>
  <c r="AF18" i="2"/>
  <c r="W18" i="2"/>
  <c r="V18" i="2"/>
  <c r="Q18" i="2"/>
  <c r="P18" i="2"/>
  <c r="O18" i="2"/>
  <c r="N18" i="2"/>
  <c r="M18" i="2"/>
  <c r="J18" i="2" l="1"/>
  <c r="I18" i="2"/>
  <c r="H18" i="2"/>
  <c r="G18" i="2"/>
  <c r="F18" i="2"/>
  <c r="E18" i="2"/>
  <c r="D18" i="2"/>
  <c r="C18" i="2"/>
  <c r="B18" i="2"/>
  <c r="J17" i="2"/>
  <c r="I17" i="2"/>
  <c r="H17" i="2"/>
  <c r="G17" i="2"/>
  <c r="F17" i="2"/>
  <c r="E17" i="2"/>
  <c r="D17" i="2"/>
  <c r="C17" i="2"/>
  <c r="B17" i="2"/>
  <c r="J16" i="2"/>
  <c r="I16" i="2"/>
  <c r="H16" i="2"/>
  <c r="G16" i="2"/>
  <c r="F16" i="2"/>
  <c r="E16" i="2"/>
  <c r="D16" i="2"/>
  <c r="C16" i="2"/>
  <c r="B16" i="2"/>
  <c r="AH17" i="2" l="1"/>
  <c r="AG17" i="2"/>
  <c r="AF17" i="2"/>
  <c r="AH16" i="2"/>
  <c r="AG16" i="2"/>
  <c r="AF16" i="2"/>
  <c r="V17" i="2"/>
  <c r="W17" i="2"/>
  <c r="W16" i="2"/>
  <c r="V16" i="2"/>
  <c r="Q17" i="2"/>
  <c r="P17" i="2"/>
  <c r="Q16" i="2"/>
  <c r="P16" i="2"/>
  <c r="O17" i="2"/>
  <c r="N17" i="2"/>
  <c r="M17" i="2"/>
  <c r="O16" i="2"/>
  <c r="N16" i="2"/>
  <c r="M16" i="2"/>
  <c r="AH15" i="2" l="1"/>
  <c r="AG15" i="2"/>
  <c r="AF15" i="2"/>
  <c r="W15" i="2"/>
  <c r="V15" i="2"/>
  <c r="Q15" i="2"/>
  <c r="P15" i="2"/>
  <c r="O15" i="2"/>
  <c r="N15" i="2"/>
  <c r="M15" i="2"/>
  <c r="J15" i="2" l="1"/>
  <c r="I15" i="2"/>
  <c r="H15" i="2"/>
  <c r="G15" i="2"/>
  <c r="F15" i="2"/>
  <c r="E15" i="2"/>
  <c r="D15" i="2"/>
  <c r="C15" i="2"/>
  <c r="B15" i="2"/>
  <c r="AH14" i="2" l="1"/>
  <c r="AG14" i="2"/>
  <c r="AF14" i="2"/>
  <c r="W14" i="2"/>
  <c r="V14" i="2"/>
  <c r="Q14" i="2" l="1"/>
  <c r="P14" i="2"/>
  <c r="O14" i="2"/>
  <c r="N14" i="2"/>
  <c r="M14" i="2"/>
  <c r="J14" i="2" l="1"/>
  <c r="I14" i="2"/>
  <c r="H14" i="2"/>
  <c r="G14" i="2"/>
  <c r="F14" i="2"/>
  <c r="E14" i="2"/>
  <c r="D14" i="2"/>
  <c r="C14" i="2"/>
  <c r="B14" i="2"/>
  <c r="AH13" i="2" l="1"/>
  <c r="AG13" i="2"/>
  <c r="AF13" i="2"/>
  <c r="W13" i="2"/>
  <c r="V13" i="2"/>
  <c r="Q13" i="2" l="1"/>
  <c r="P13" i="2"/>
  <c r="O13" i="2"/>
  <c r="N13" i="2"/>
  <c r="M13" i="2"/>
  <c r="J13" i="2" l="1"/>
  <c r="I13" i="2"/>
  <c r="H13" i="2"/>
  <c r="G13" i="2"/>
  <c r="F13" i="2"/>
  <c r="E13" i="2"/>
  <c r="D13" i="2"/>
  <c r="C13" i="2"/>
  <c r="B13" i="2"/>
  <c r="AH12" i="2" l="1"/>
  <c r="AG12" i="2"/>
  <c r="AF12" i="2"/>
  <c r="W12" i="2"/>
  <c r="V12" i="2"/>
  <c r="Q12" i="2"/>
  <c r="P12" i="2"/>
  <c r="O12" i="2"/>
  <c r="N12" i="2"/>
  <c r="M12" i="2"/>
  <c r="J12" i="2"/>
  <c r="I12" i="2"/>
  <c r="H12" i="2"/>
  <c r="G12" i="2"/>
  <c r="F12" i="2"/>
  <c r="E12" i="2"/>
  <c r="D12" i="2"/>
  <c r="C12" i="2"/>
  <c r="B12" i="2"/>
  <c r="AH11" i="2" l="1"/>
  <c r="AG11" i="2"/>
  <c r="AF11" i="2"/>
  <c r="W11" i="2"/>
  <c r="V11" i="2"/>
  <c r="Q11" i="2"/>
  <c r="P11" i="2"/>
  <c r="O11" i="2"/>
  <c r="N11" i="2"/>
  <c r="M11" i="2"/>
  <c r="J11" i="2" l="1"/>
  <c r="I11" i="2"/>
  <c r="H11" i="2"/>
  <c r="G11" i="2"/>
  <c r="F11" i="2"/>
  <c r="E11" i="2"/>
  <c r="D11" i="2"/>
  <c r="C11" i="2"/>
  <c r="B11" i="2"/>
  <c r="AH10" i="2" l="1"/>
  <c r="AG10" i="2"/>
  <c r="AF10" i="2"/>
  <c r="AH9" i="2"/>
  <c r="AG9" i="2"/>
  <c r="AF9" i="2"/>
  <c r="V10" i="2"/>
  <c r="W10" i="2"/>
  <c r="W9" i="2"/>
  <c r="V9" i="2"/>
  <c r="Q10" i="2"/>
  <c r="P10" i="2"/>
  <c r="Q9" i="2"/>
  <c r="P9" i="2"/>
  <c r="O10" i="2"/>
  <c r="N10" i="2"/>
  <c r="M10" i="2"/>
  <c r="O9" i="2"/>
  <c r="N9" i="2"/>
  <c r="M9" i="2"/>
  <c r="J10" i="2"/>
  <c r="I10" i="2"/>
  <c r="H10" i="2"/>
  <c r="G10" i="2"/>
  <c r="F10" i="2"/>
  <c r="E10" i="2"/>
  <c r="D10" i="2"/>
  <c r="C10" i="2"/>
  <c r="B10" i="2"/>
  <c r="J9" i="2"/>
  <c r="I9" i="2"/>
  <c r="H9" i="2"/>
  <c r="G9" i="2"/>
  <c r="F9" i="2"/>
  <c r="E9" i="2"/>
  <c r="D9" i="2"/>
  <c r="C9" i="2"/>
  <c r="B9" i="2"/>
  <c r="AH8" i="2" l="1"/>
  <c r="AG8" i="2"/>
  <c r="AF8" i="2"/>
  <c r="W8" i="2"/>
  <c r="V8" i="2"/>
  <c r="Q8" i="2"/>
  <c r="P8" i="2"/>
  <c r="O8" i="2"/>
  <c r="N8" i="2"/>
  <c r="M8" i="2"/>
  <c r="J8" i="2" l="1"/>
  <c r="I8" i="2"/>
  <c r="H8" i="2"/>
  <c r="G8" i="2"/>
  <c r="F8" i="2"/>
  <c r="E8" i="2"/>
  <c r="D8" i="2"/>
  <c r="C8" i="2"/>
  <c r="B8" i="2"/>
  <c r="AI8" i="2" l="1"/>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7" i="2"/>
  <c r="AH7" i="2"/>
  <c r="AG7" i="2"/>
  <c r="AF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7" i="2"/>
  <c r="W7" i="2"/>
  <c r="V7" i="2"/>
  <c r="Q7" i="2"/>
  <c r="P7" i="2"/>
  <c r="O7" i="2"/>
  <c r="N7" i="2"/>
  <c r="M7" i="2"/>
  <c r="J7" i="2" l="1"/>
  <c r="I7" i="2"/>
  <c r="H7" i="2"/>
  <c r="G7" i="2"/>
  <c r="F7" i="2"/>
  <c r="E7" i="2"/>
  <c r="D7" i="2"/>
  <c r="C7" i="2"/>
  <c r="B7" i="2"/>
  <c r="AI6" i="2" l="1"/>
  <c r="AH6" i="2"/>
  <c r="AG6" i="2"/>
  <c r="AF6" i="2"/>
  <c r="AC6" i="2"/>
  <c r="W6" i="2"/>
  <c r="V6" i="2"/>
  <c r="Q6" i="2"/>
  <c r="P6" i="2"/>
  <c r="O6" i="2"/>
  <c r="N6" i="2"/>
  <c r="M6" i="2"/>
  <c r="J6" i="2" l="1"/>
  <c r="I6" i="2"/>
  <c r="H6" i="2"/>
  <c r="G6" i="2"/>
  <c r="F6" i="2"/>
  <c r="E6" i="2"/>
  <c r="D6" i="2"/>
  <c r="C6" i="2"/>
  <c r="B6" i="2"/>
  <c r="AN37" i="2" l="1"/>
  <c r="AH37" i="2"/>
  <c r="AG37" i="2"/>
  <c r="AF37" i="2"/>
  <c r="J37" i="2"/>
  <c r="I37" i="2"/>
  <c r="H37" i="2"/>
  <c r="G37" i="2"/>
  <c r="D37" i="2"/>
  <c r="Y33" i="3"/>
  <c r="Z33" i="3"/>
  <c r="B32" i="1"/>
  <c r="M32" i="1"/>
  <c r="N32" i="1"/>
  <c r="E31" i="3"/>
  <c r="F31" i="3"/>
  <c r="G31" i="3"/>
  <c r="H31" i="3"/>
  <c r="E32" i="3"/>
  <c r="E32" i="1" s="1"/>
  <c r="F32" i="3"/>
  <c r="G32" i="3"/>
  <c r="H32" i="3"/>
  <c r="I32" i="3"/>
  <c r="J32" i="3"/>
  <c r="K32" i="3"/>
  <c r="L32" i="3"/>
  <c r="M32" i="3"/>
  <c r="Q32" i="3"/>
  <c r="R32" i="3"/>
  <c r="U32" i="3"/>
  <c r="V32" i="3"/>
  <c r="W32" i="3"/>
  <c r="B32" i="3"/>
  <c r="Z7" i="2"/>
  <c r="K6" i="2" l="1"/>
  <c r="L6" i="2" l="1"/>
  <c r="AK35" i="2"/>
  <c r="AL35" i="2" s="1"/>
  <c r="AM35" i="2" s="1"/>
  <c r="AK36" i="2"/>
  <c r="AE36" i="2"/>
  <c r="AD35" i="2"/>
  <c r="AE35" i="2" s="1"/>
  <c r="AD36" i="2"/>
  <c r="T32" i="3" s="1"/>
  <c r="Z35" i="2"/>
  <c r="AA35" i="2" s="1"/>
  <c r="Z36" i="2"/>
  <c r="P32" i="3" s="1"/>
  <c r="T35" i="2"/>
  <c r="U35" i="2" s="1"/>
  <c r="T36" i="2"/>
  <c r="N32" i="3" s="1"/>
  <c r="K32" i="1" s="1"/>
  <c r="U36" i="2"/>
  <c r="R35" i="2"/>
  <c r="S35" i="2"/>
  <c r="R36" i="2"/>
  <c r="O32" i="3" s="1"/>
  <c r="S36" i="2"/>
  <c r="K35" i="2"/>
  <c r="L35" i="2" s="1"/>
  <c r="K36" i="2"/>
  <c r="L36" i="2"/>
  <c r="M4" i="1"/>
  <c r="M5" i="1"/>
  <c r="M6" i="1"/>
  <c r="M8" i="1"/>
  <c r="M9" i="1"/>
  <c r="M10" i="1"/>
  <c r="M12" i="1"/>
  <c r="M13" i="1"/>
  <c r="M14" i="1"/>
  <c r="M16" i="1"/>
  <c r="M17" i="1"/>
  <c r="M18" i="1"/>
  <c r="M20" i="1"/>
  <c r="M21" i="1"/>
  <c r="M22" i="1"/>
  <c r="M24" i="1"/>
  <c r="M25" i="1"/>
  <c r="M26" i="1"/>
  <c r="M28" i="1"/>
  <c r="M29" i="1"/>
  <c r="M30" i="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19" i="1"/>
  <c r="M23" i="1"/>
  <c r="M27" i="1"/>
  <c r="M31" i="1"/>
  <c r="AA36" i="2" l="1"/>
  <c r="G32" i="1"/>
  <c r="S32" i="3"/>
  <c r="AO36" i="2"/>
  <c r="AO35" i="2"/>
  <c r="N33" i="1"/>
  <c r="AL36" i="2"/>
  <c r="AM36" i="2" s="1"/>
  <c r="X32" i="3"/>
  <c r="I32" i="1"/>
  <c r="Z9" i="2"/>
  <c r="P5" i="3"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O14" i="3" s="1"/>
  <c r="R19" i="2"/>
  <c r="O15" i="3" s="1"/>
  <c r="R20" i="2"/>
  <c r="O16" i="3" s="1"/>
  <c r="R21" i="2"/>
  <c r="O17" i="3" s="1"/>
  <c r="R22" i="2"/>
  <c r="O18" i="3" s="1"/>
  <c r="R23" i="2"/>
  <c r="R24" i="2"/>
  <c r="O20" i="3" s="1"/>
  <c r="R25" i="2"/>
  <c r="R26" i="2"/>
  <c r="O22" i="3" s="1"/>
  <c r="R27" i="2"/>
  <c r="O23" i="3" s="1"/>
  <c r="R28" i="2"/>
  <c r="O24" i="3" s="1"/>
  <c r="R29" i="2"/>
  <c r="O25" i="3" s="1"/>
  <c r="R30" i="2"/>
  <c r="R31" i="2"/>
  <c r="O27" i="3" s="1"/>
  <c r="R32" i="2"/>
  <c r="O28" i="3" s="1"/>
  <c r="R33" i="2"/>
  <c r="O29" i="3" s="1"/>
  <c r="R34" i="2"/>
  <c r="O31" i="3"/>
  <c r="R6" i="2"/>
  <c r="R7" i="2"/>
  <c r="O3" i="3" s="1"/>
  <c r="R8" i="2"/>
  <c r="O4" i="3" s="1"/>
  <c r="R9" i="2"/>
  <c r="O5" i="3" s="1"/>
  <c r="R10" i="2"/>
  <c r="O6" i="3" s="1"/>
  <c r="R11" i="2"/>
  <c r="R12" i="2"/>
  <c r="O8" i="3" s="1"/>
  <c r="R13" i="2"/>
  <c r="O9" i="3" s="1"/>
  <c r="R14" i="2"/>
  <c r="O10" i="3" s="1"/>
  <c r="T31" i="3"/>
  <c r="AK11" i="2"/>
  <c r="X7" i="3" s="1"/>
  <c r="AK12" i="2"/>
  <c r="X8" i="3" s="1"/>
  <c r="AK15" i="2"/>
  <c r="AK16" i="2"/>
  <c r="AL16" i="2" s="1"/>
  <c r="AM16" i="2" s="1"/>
  <c r="AK20" i="2"/>
  <c r="AK24" i="2"/>
  <c r="X20" i="3" s="1"/>
  <c r="AK28" i="2"/>
  <c r="AK31" i="2"/>
  <c r="AL31" i="2" s="1"/>
  <c r="AM31" i="2" s="1"/>
  <c r="AK32" i="2"/>
  <c r="AK34" i="2"/>
  <c r="AD10" i="2"/>
  <c r="AE10" i="2" s="1"/>
  <c r="AD13" i="2"/>
  <c r="AD14" i="2"/>
  <c r="AD19" i="2"/>
  <c r="AD22" i="2"/>
  <c r="AD26" i="2"/>
  <c r="T22" i="3" s="1"/>
  <c r="AD27" i="2"/>
  <c r="AE27" i="2" s="1"/>
  <c r="AD28" i="2"/>
  <c r="AE28" i="2" s="1"/>
  <c r="AD29" i="2"/>
  <c r="AE29" i="2" s="1"/>
  <c r="AD31" i="2"/>
  <c r="AE31" i="2" s="1"/>
  <c r="AD33" i="2"/>
  <c r="AE33" i="2" s="1"/>
  <c r="AK7" i="2"/>
  <c r="AL7" i="2" s="1"/>
  <c r="AM7" i="2" s="1"/>
  <c r="AD8" i="2"/>
  <c r="AD7" i="2"/>
  <c r="AE7" i="2" s="1"/>
  <c r="AD6" i="2"/>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c r="AD18" i="2"/>
  <c r="AE18" i="2" s="1"/>
  <c r="AD20" i="2"/>
  <c r="AE20" i="2" s="1"/>
  <c r="AD21" i="2"/>
  <c r="AE21" i="2" s="1"/>
  <c r="AD23" i="2"/>
  <c r="AE23" i="2" s="1"/>
  <c r="AD24" i="2"/>
  <c r="AE24" i="2" s="1"/>
  <c r="AD25" i="2"/>
  <c r="T21" i="3" s="1"/>
  <c r="AD30" i="2"/>
  <c r="AE30" i="2" s="1"/>
  <c r="AD32" i="2"/>
  <c r="T28" i="3" s="1"/>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G30" i="1" s="1"/>
  <c r="P3" i="3"/>
  <c r="Z8" i="2"/>
  <c r="AA8" i="2" s="1"/>
  <c r="G5" i="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O7" i="3"/>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O26" i="3"/>
  <c r="S29" i="2"/>
  <c r="S28" i="2"/>
  <c r="S27" i="2"/>
  <c r="S26" i="2"/>
  <c r="S25" i="2"/>
  <c r="O21" i="3"/>
  <c r="S24" i="2"/>
  <c r="S23" i="2"/>
  <c r="O19" i="3"/>
  <c r="S22" i="2"/>
  <c r="S21" i="2"/>
  <c r="S20" i="2"/>
  <c r="S19" i="2"/>
  <c r="S18" i="2"/>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17" i="2"/>
  <c r="U32" i="2"/>
  <c r="P19" i="3"/>
  <c r="G19" i="1" s="1"/>
  <c r="U30" i="2"/>
  <c r="D40" i="2"/>
  <c r="G39" i="2"/>
  <c r="U16" i="2"/>
  <c r="X18" i="3"/>
  <c r="U11" i="2"/>
  <c r="N10" i="3"/>
  <c r="P27" i="3"/>
  <c r="AL25" i="2"/>
  <c r="AM25" i="2" s="1"/>
  <c r="T12" i="3"/>
  <c r="T3" i="3"/>
  <c r="T17" i="3"/>
  <c r="P17" i="3"/>
  <c r="G17" i="1" s="1"/>
  <c r="N3" i="3"/>
  <c r="T30" i="3" l="1"/>
  <c r="N29" i="3"/>
  <c r="K28" i="1"/>
  <c r="T27" i="3"/>
  <c r="AE32" i="2"/>
  <c r="S27" i="3"/>
  <c r="P26" i="3"/>
  <c r="G26" i="1" s="1"/>
  <c r="P24" i="3"/>
  <c r="G24" i="1" s="1"/>
  <c r="N24" i="3"/>
  <c r="T23" i="3"/>
  <c r="AE26" i="2"/>
  <c r="N19" i="3"/>
  <c r="U19" i="2"/>
  <c r="P15" i="3"/>
  <c r="S15" i="3" s="1"/>
  <c r="I33" i="3"/>
  <c r="M33" i="3"/>
  <c r="U15" i="2"/>
  <c r="P11" i="3"/>
  <c r="G11" i="1" s="1"/>
  <c r="X9" i="3"/>
  <c r="V33" i="3"/>
  <c r="P9" i="3"/>
  <c r="G9" i="1" s="1"/>
  <c r="T7" i="3"/>
  <c r="I7" i="1" s="1"/>
  <c r="U9" i="2"/>
  <c r="K33" i="3"/>
  <c r="J33" i="3"/>
  <c r="W33" i="3"/>
  <c r="U33" i="3"/>
  <c r="T5" i="3"/>
  <c r="Q33" i="3"/>
  <c r="U8" i="2"/>
  <c r="T37" i="2"/>
  <c r="U37" i="2" s="1"/>
  <c r="L33" i="3"/>
  <c r="X27" i="3"/>
  <c r="AL11" i="2"/>
  <c r="AM11" i="2" s="1"/>
  <c r="X10" i="3"/>
  <c r="T20" i="3"/>
  <c r="I20" i="1" s="1"/>
  <c r="AE25" i="2"/>
  <c r="P4" i="3"/>
  <c r="G4" i="1" s="1"/>
  <c r="R33" i="3"/>
  <c r="L7" i="2"/>
  <c r="L37" i="2" s="1"/>
  <c r="K37" i="2"/>
  <c r="X2" i="3"/>
  <c r="AK37" i="2"/>
  <c r="AE6" i="2"/>
  <c r="AD37" i="2"/>
  <c r="AE37" i="2" s="1"/>
  <c r="AA6" i="2"/>
  <c r="Z37" i="2"/>
  <c r="O2" i="3"/>
  <c r="O33" i="3" s="1"/>
  <c r="R37" i="2"/>
  <c r="R39" i="2" s="1"/>
  <c r="S11" i="3"/>
  <c r="S5" i="3"/>
  <c r="E30" i="1"/>
  <c r="E17" i="1"/>
  <c r="N2" i="3"/>
  <c r="U6" i="2"/>
  <c r="AL6" i="2"/>
  <c r="G3" i="1"/>
  <c r="S3" i="3"/>
  <c r="P2" i="3"/>
  <c r="AA7" i="2"/>
  <c r="AO7" i="2" s="1"/>
  <c r="U25" i="2"/>
  <c r="I21" i="1"/>
  <c r="N18" i="3"/>
  <c r="K18" i="1" s="1"/>
  <c r="S23" i="3"/>
  <c r="K30" i="1"/>
  <c r="K24" i="1"/>
  <c r="E29" i="1"/>
  <c r="K7" i="1"/>
  <c r="S30" i="3"/>
  <c r="X31" i="3"/>
  <c r="X26" i="3"/>
  <c r="X13" i="3"/>
  <c r="I13" i="1" s="1"/>
  <c r="AL21" i="2"/>
  <c r="AM21" i="2" s="1"/>
  <c r="I31" i="1"/>
  <c r="T25" i="3"/>
  <c r="I25" i="1" s="1"/>
  <c r="I5" i="1"/>
  <c r="T11" i="3"/>
  <c r="T16" i="3"/>
  <c r="I17" i="1"/>
  <c r="S19" i="3"/>
  <c r="S4" i="3"/>
  <c r="AA17" i="2"/>
  <c r="K15" i="1"/>
  <c r="K11" i="1"/>
  <c r="K8" i="1"/>
  <c r="K4" i="1"/>
  <c r="N31" i="3"/>
  <c r="K31" i="1" s="1"/>
  <c r="K25" i="1"/>
  <c r="K29" i="1"/>
  <c r="E24" i="1"/>
  <c r="E13" i="1"/>
  <c r="E6" i="1"/>
  <c r="X30" i="3"/>
  <c r="I30" i="1" s="1"/>
  <c r="AL34" i="2"/>
  <c r="AM34" i="2" s="1"/>
  <c r="I27" i="1"/>
  <c r="AL24" i="2"/>
  <c r="AM24" i="2" s="1"/>
  <c r="AL9" i="2"/>
  <c r="AM9" i="2" s="1"/>
  <c r="X4" i="3"/>
  <c r="X19" i="3"/>
  <c r="AE17" i="2"/>
  <c r="T8" i="3"/>
  <c r="I8" i="1" s="1"/>
  <c r="T24" i="3"/>
  <c r="I22" i="1"/>
  <c r="G13" i="1"/>
  <c r="S13" i="3"/>
  <c r="AO33" i="2"/>
  <c r="S14" i="3"/>
  <c r="G15" i="1"/>
  <c r="P29" i="3"/>
  <c r="AA9" i="2"/>
  <c r="AO9" i="2" s="1"/>
  <c r="S17" i="3"/>
  <c r="P10" i="3"/>
  <c r="P25" i="3"/>
  <c r="G25" i="1" s="1"/>
  <c r="N9" i="3"/>
  <c r="K9" i="1" s="1"/>
  <c r="N16" i="3"/>
  <c r="K16" i="1" s="1"/>
  <c r="AO15" i="2"/>
  <c r="K3" i="1"/>
  <c r="N27" i="3"/>
  <c r="K27" i="1" s="1"/>
  <c r="K26" i="1"/>
  <c r="K10" i="1"/>
  <c r="K13" i="1"/>
  <c r="N23" i="3"/>
  <c r="K23" i="1" s="1"/>
  <c r="K19" i="1"/>
  <c r="AO28" i="2"/>
  <c r="K5" i="1"/>
  <c r="K20" i="1"/>
  <c r="K12" i="1"/>
  <c r="N20" i="3"/>
  <c r="AO31" i="2"/>
  <c r="K21" i="1"/>
  <c r="U12" i="2"/>
  <c r="K6" i="1"/>
  <c r="AO20" i="2"/>
  <c r="E12" i="1"/>
  <c r="E9" i="1"/>
  <c r="E7" i="1"/>
  <c r="E4" i="1"/>
  <c r="E3" i="1"/>
  <c r="AO32" i="2"/>
  <c r="E23" i="1"/>
  <c r="E18" i="1"/>
  <c r="E16" i="1"/>
  <c r="E15" i="1"/>
  <c r="E14" i="1"/>
  <c r="E25" i="1"/>
  <c r="AO21" i="2"/>
  <c r="AO16" i="2"/>
  <c r="AO11" i="2"/>
  <c r="E28" i="1"/>
  <c r="E27" i="1"/>
  <c r="E26" i="1"/>
  <c r="E22" i="1"/>
  <c r="E21" i="1"/>
  <c r="E20" i="1"/>
  <c r="E19" i="1"/>
  <c r="E11" i="1"/>
  <c r="E10" i="1"/>
  <c r="E8" i="1"/>
  <c r="E5" i="1"/>
  <c r="E2" i="1"/>
  <c r="AO30" i="2"/>
  <c r="T4" i="3"/>
  <c r="AE8" i="2"/>
  <c r="AO8" i="2" s="1"/>
  <c r="AE19" i="2"/>
  <c r="AO19" i="2" s="1"/>
  <c r="T15" i="3"/>
  <c r="AE13" i="2"/>
  <c r="AO13" i="2" s="1"/>
  <c r="T9" i="3"/>
  <c r="I9" i="1" s="1"/>
  <c r="AL15" i="2"/>
  <c r="AM15" i="2" s="1"/>
  <c r="X11" i="3"/>
  <c r="T18" i="3"/>
  <c r="I18" i="1" s="1"/>
  <c r="AE22" i="2"/>
  <c r="AO22" i="2" s="1"/>
  <c r="S22" i="3"/>
  <c r="S21" i="3"/>
  <c r="G21" i="1"/>
  <c r="AO23" i="2"/>
  <c r="T10" i="3"/>
  <c r="I10" i="1" s="1"/>
  <c r="AE14" i="2"/>
  <c r="AO14" i="2" s="1"/>
  <c r="AL32" i="2"/>
  <c r="AM32" i="2" s="1"/>
  <c r="X28" i="3"/>
  <c r="I28" i="1" s="1"/>
  <c r="AL28" i="2"/>
  <c r="AM28" i="2" s="1"/>
  <c r="X24" i="3"/>
  <c r="X16" i="3"/>
  <c r="AL20" i="2"/>
  <c r="AM20" i="2" s="1"/>
  <c r="T6" i="3"/>
  <c r="X3" i="3"/>
  <c r="I3" i="1" s="1"/>
  <c r="S24" i="3"/>
  <c r="X12" i="3"/>
  <c r="I12" i="1" s="1"/>
  <c r="AA26" i="2"/>
  <c r="N22" i="3"/>
  <c r="K22" i="1" s="1"/>
  <c r="N17" i="3"/>
  <c r="K17" i="1" s="1"/>
  <c r="T19" i="3"/>
  <c r="P18" i="3"/>
  <c r="P7" i="3"/>
  <c r="AA25" i="2"/>
  <c r="P12" i="3"/>
  <c r="S9" i="3"/>
  <c r="T26" i="3"/>
  <c r="AL26" i="2"/>
  <c r="AM26" i="2" s="1"/>
  <c r="S28" i="3"/>
  <c r="T29" i="3"/>
  <c r="I29" i="1" s="1"/>
  <c r="AL29" i="2"/>
  <c r="AM29" i="2" s="1"/>
  <c r="AA24" i="2"/>
  <c r="AO24" i="2" s="1"/>
  <c r="P20" i="3"/>
  <c r="S31" i="3"/>
  <c r="G31" i="1"/>
  <c r="AA34" i="2"/>
  <c r="AA18" i="2"/>
  <c r="AO18" i="2" s="1"/>
  <c r="AA12" i="2"/>
  <c r="P8" i="3"/>
  <c r="E31" i="1"/>
  <c r="AL33" i="2"/>
  <c r="AM33" i="2" s="1"/>
  <c r="AL12" i="2"/>
  <c r="AM12" i="2" s="1"/>
  <c r="T2" i="3"/>
  <c r="G27" i="1"/>
  <c r="N14" i="3"/>
  <c r="K14" i="1" s="1"/>
  <c r="X23" i="3"/>
  <c r="T14" i="3"/>
  <c r="I14" i="1" s="1"/>
  <c r="U34" i="2"/>
  <c r="U29" i="2"/>
  <c r="AO29" i="2" s="1"/>
  <c r="X6" i="3"/>
  <c r="X15" i="3"/>
  <c r="U10" i="2"/>
  <c r="AO10" i="2" s="1"/>
  <c r="AL18" i="2"/>
  <c r="AM18" i="2" s="1"/>
  <c r="P6" i="3"/>
  <c r="P16" i="3"/>
  <c r="AA27" i="2"/>
  <c r="AO27" i="2" s="1"/>
  <c r="S26" i="3" l="1"/>
  <c r="I24" i="1"/>
  <c r="I23" i="1"/>
  <c r="AO26" i="2"/>
  <c r="AO17" i="2"/>
  <c r="T33" i="3"/>
  <c r="AO25" i="2"/>
  <c r="AM6" i="2"/>
  <c r="AM37" i="2" s="1"/>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2" i="1" l="1"/>
  <c r="M33" i="1" s="1"/>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<sst xmlns="http://schemas.openxmlformats.org/spreadsheetml/2006/main" count="220" uniqueCount="105">
  <si>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</si>
  <si>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</si>
  <si>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</si>
  <si>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</si>
  <si>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</si>
  <si>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</si>
  <si>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</si>
  <si>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</si>
  <si>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</si>
  <si>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</si>
  <si>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</si>
  <si>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</si>
  <si>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</si>
  <si>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</si>
  <si>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</si>
  <si>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</si>
  <si>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</si>
  <si>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</si>
  <si>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</si>
  <si>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</si>
  <si>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</si>
  <si>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</si>
  <si>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</si>
  <si>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</si>
  <si>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</si>
  <si>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</si>
  <si>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</si>
  <si>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</si>
  <si>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</si>
  <si>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</si>
  <si>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</si>
  <si>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</si>
  <si>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</si>
  <si>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</si>
  <si>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</si>
  <si>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</si>
  <si>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</si>
  <si>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</si>
  <si>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</si>
  <si>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</si>
  <si>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</si>
  <si>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</si>
  <si>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</si>
  <si>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</si>
  <si>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</si>
  <si>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</si>
  <si>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</si>
  <si>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</si>
  <si>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</si>
  <si>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</si>
  <si>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</si>
  <si>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</si>
  <si>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</si>
  <si>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</si>
  <si>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</si>
  <si>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</si>
  <si>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</si>
  <si>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</si>
  <si>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</si>
  <si>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</si>
  <si>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</si>
  <si>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</si>
  <si>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</si>
  <si>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</si>
  <si>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</si>
  <si>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</si>
  <si>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</si>
  <si>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</si>
  <si>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</si>
  <si>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</si>
  <si>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</si>
  <si>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</si>
  <si>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</si>
  <si>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</si>
  <si>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</si>
  <si>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</si>
  <si>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</si>
  <si>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</si>
  <si>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</si>
  <si>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</si>
  <si>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</si>
  <si>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</si>
  <si>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</si>
  <si>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</si>
  <si>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</si>
  <si>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</si>
  <si>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</si>
  <si>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</si>
  <si>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</si>
  <si>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</si>
  <si>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</si>
  <si>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</si>
  <si>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</si>
  <si>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</si>
  <si>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</si>
  <si>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</si>
  <si>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</si>
  <si>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</si>
  <si>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</si>
  <si>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</si>
  <si>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</si>
  <si>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</si>
  <si>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</si>
  <si>
    <t>0001523.21</t>
  </si>
  <si>
    <t>0001523.22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</si>
</sst>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59">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165" fontId="9" fillId="0" borderId="19" xfId="0" applyNumberFormat="1" applyFon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1" fontId="0" fillId="0" borderId="20"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0" fontId="0" fillId="0" borderId="1" xfId="0" applyFill="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I33" sqref="I33"/>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29" t="s">
        <v>0</v>
      </c>
      <c r="B1" s="130" t="s">
        <v>1</v>
      </c>
      <c r="C1" s="131" t="s">
        <v>2</v>
      </c>
      <c r="D1" s="130" t="s">
        <v>3</v>
      </c>
      <c r="E1" s="132" t="s">
        <v>4</v>
      </c>
      <c r="F1" s="133" t="s">
        <v>5</v>
      </c>
      <c r="G1" s="132" t="s">
        <v>10</v>
      </c>
      <c r="H1" s="133" t="s">
        <v>11</v>
      </c>
      <c r="I1" s="134" t="s">
        <v>82</v>
      </c>
      <c r="J1" s="135" t="s">
        <v>83</v>
      </c>
      <c r="K1" s="132" t="s">
        <v>6</v>
      </c>
      <c r="L1" s="136" t="s">
        <v>7</v>
      </c>
      <c r="M1" s="132" t="s">
        <v>8</v>
      </c>
      <c r="N1" s="137" t="s">
        <v>9</v>
      </c>
    </row>
    <row r="2" spans="1:15" x14ac:dyDescent="0.25">
      <c r="A2" s="120" t="s">
        <v>80</v>
      </c>
      <c r="B2" s="121">
        <v>1</v>
      </c>
      <c r="C2" s="122">
        <v>3</v>
      </c>
      <c r="D2" s="121">
        <v>2021</v>
      </c>
      <c r="E2" s="111">
        <f>Submetering!E2+Submetering!F2+Submetering!G2+Submetering!H2+Submetering!I2+Submetering!J2+Submetering!K2</f>
        <v>24704</v>
      </c>
      <c r="F2" s="123">
        <v>0.2</v>
      </c>
      <c r="G2" s="111">
        <f>Submetering!P2</f>
        <v>623</v>
      </c>
      <c r="H2" s="123">
        <v>6.47</v>
      </c>
      <c r="I2" s="111">
        <f>Submetering!T2-Submetering!T2*15%-Submetering!X2</f>
        <v>14727.840399995635</v>
      </c>
      <c r="J2" s="110">
        <v>0.21</v>
      </c>
      <c r="K2" s="111">
        <f>Submetering!N2-Submetering!O2</f>
        <v>43.517999999995936</v>
      </c>
      <c r="L2" s="123">
        <v>7.84</v>
      </c>
      <c r="M2" s="111">
        <f>Submetering!Y2</f>
        <v>71</v>
      </c>
      <c r="N2" s="112">
        <f>Submetering!Z2</f>
        <v>111</v>
      </c>
    </row>
    <row r="3" spans="1:15" x14ac:dyDescent="0.25">
      <c r="A3" s="124" t="s">
        <v>80</v>
      </c>
      <c r="B3" s="72">
        <f>B2+1</f>
        <v>2</v>
      </c>
      <c r="C3" s="73">
        <v>3</v>
      </c>
      <c r="D3" s="72">
        <v>2021</v>
      </c>
      <c r="E3" s="71">
        <f>Submetering!E3+Submetering!F3+Submetering!G3+Submetering!H3+Submetering!I3+Submetering!J3+Submetering!K3</f>
        <v>25483</v>
      </c>
      <c r="F3" s="74">
        <v>0.2</v>
      </c>
      <c r="G3" s="71">
        <f>Submetering!P3</f>
        <v>574</v>
      </c>
      <c r="H3" s="74">
        <v>6.47</v>
      </c>
      <c r="I3" s="71">
        <f>Submetering!T3-Submetering!T3*15%-Submetering!X3</f>
        <v>18452.662800001461</v>
      </c>
      <c r="J3" s="70">
        <v>0.21</v>
      </c>
      <c r="K3" s="71">
        <f>Submetering!N3-Submetering!O3</f>
        <v>80.822999999996682</v>
      </c>
      <c r="L3" s="74">
        <v>7.84</v>
      </c>
      <c r="M3" s="71">
        <f>Submetering!Y3</f>
        <v>87</v>
      </c>
      <c r="N3" s="114">
        <f>Submetering!Z3</f>
        <v>138</v>
      </c>
    </row>
    <row r="4" spans="1:15" x14ac:dyDescent="0.25">
      <c r="A4" s="124" t="s">
        <v>80</v>
      </c>
      <c r="B4" s="72">
        <f t="shared" ref="B4:B32" si="0">B3+1</f>
        <v>3</v>
      </c>
      <c r="C4" s="73">
        <v>3</v>
      </c>
      <c r="D4" s="72">
        <v>2021</v>
      </c>
      <c r="E4" s="71">
        <f>Submetering!E4+Submetering!F4+Submetering!G4+Submetering!H4+Submetering!I4+Submetering!J4+Submetering!K4</f>
        <v>25530</v>
      </c>
      <c r="F4" s="74">
        <v>0.2</v>
      </c>
      <c r="G4" s="71">
        <f>Submetering!P4</f>
        <v>600</v>
      </c>
      <c r="H4" s="74">
        <v>6.47</v>
      </c>
      <c r="I4" s="71">
        <f>Submetering!T4-Submetering!T4*15%-Submetering!X4</f>
        <v>22021.398279997986</v>
      </c>
      <c r="J4" s="70">
        <v>0.21</v>
      </c>
      <c r="K4" s="71">
        <f>Submetering!N4-Submetering!O4</f>
        <v>64.85099999999602</v>
      </c>
      <c r="L4" s="74">
        <v>7.84</v>
      </c>
      <c r="M4" s="71">
        <f>Submetering!Y4</f>
        <v>75</v>
      </c>
      <c r="N4" s="114">
        <f>Submetering!Z4</f>
        <v>122</v>
      </c>
    </row>
    <row r="5" spans="1:15" x14ac:dyDescent="0.25">
      <c r="A5" s="124" t="s">
        <v>80</v>
      </c>
      <c r="B5" s="72">
        <f t="shared" si="0"/>
        <v>4</v>
      </c>
      <c r="C5" s="73">
        <v>3</v>
      </c>
      <c r="D5" s="72">
        <v>2021</v>
      </c>
      <c r="E5" s="71">
        <f>Submetering!E5+Submetering!F5+Submetering!G5+Submetering!H5+Submetering!I5+Submetering!J5+Submetering!K5</f>
        <v>24816</v>
      </c>
      <c r="F5" s="74">
        <v>0.2</v>
      </c>
      <c r="G5" s="71">
        <f>Submetering!P5</f>
        <v>601</v>
      </c>
      <c r="H5" s="74">
        <v>6.47</v>
      </c>
      <c r="I5" s="71">
        <f>Submetering!T5-Submetering!T5*15%-Submetering!X5</f>
        <v>22944.81302000201</v>
      </c>
      <c r="J5" s="70">
        <v>0.21</v>
      </c>
      <c r="K5" s="81">
        <f>Submetering!N5-Submetering!O5</f>
        <v>74.566000000008444</v>
      </c>
      <c r="L5" s="74">
        <v>7.84</v>
      </c>
      <c r="M5" s="71">
        <f>Submetering!Y5</f>
        <v>80</v>
      </c>
      <c r="N5" s="114">
        <f>Submetering!Z5</f>
        <v>138</v>
      </c>
    </row>
    <row r="6" spans="1:15" x14ac:dyDescent="0.25">
      <c r="A6" s="124" t="s">
        <v>80</v>
      </c>
      <c r="B6" s="72">
        <f t="shared" si="0"/>
        <v>5</v>
      </c>
      <c r="C6" s="73">
        <v>3</v>
      </c>
      <c r="D6" s="72">
        <v>2021</v>
      </c>
      <c r="E6" s="71">
        <f>Submetering!E6+Submetering!F6+Submetering!G6+Submetering!H6+Submetering!I6+Submetering!J6+Submetering!K6</f>
        <v>24773</v>
      </c>
      <c r="F6" s="74">
        <v>0.2</v>
      </c>
      <c r="G6" s="71">
        <f>Submetering!P6</f>
        <v>640</v>
      </c>
      <c r="H6" s="74">
        <v>6.47</v>
      </c>
      <c r="I6" s="71">
        <f>Submetering!T6-Submetering!T6*15%-Submetering!X6</f>
        <v>22847.536539999717</v>
      </c>
      <c r="J6" s="70">
        <v>0.21</v>
      </c>
      <c r="K6" s="71">
        <f>Submetering!N6-Submetering!O6</f>
        <v>68.364999999994325</v>
      </c>
      <c r="L6" s="74">
        <v>7.84</v>
      </c>
      <c r="M6" s="71">
        <f>Submetering!Y6</f>
        <v>94</v>
      </c>
      <c r="N6" s="114">
        <f>Submetering!Z6</f>
        <v>162</v>
      </c>
    </row>
    <row r="7" spans="1:15" x14ac:dyDescent="0.25">
      <c r="A7" s="124" t="s">
        <v>80</v>
      </c>
      <c r="B7" s="72">
        <f t="shared" si="0"/>
        <v>6</v>
      </c>
      <c r="C7" s="73">
        <v>3</v>
      </c>
      <c r="D7" s="72">
        <v>2021</v>
      </c>
      <c r="E7" s="71">
        <f>Submetering!E7+Submetering!F7+Submetering!G7+Submetering!H7+Submetering!I7+Submetering!J7+Submetering!K7</f>
        <v>25746</v>
      </c>
      <c r="F7" s="74">
        <v>0.2</v>
      </c>
      <c r="G7" s="71">
        <f>Submetering!P7</f>
        <v>584</v>
      </c>
      <c r="H7" s="74">
        <v>6.47</v>
      </c>
      <c r="I7" s="71">
        <f>Submetering!T7-Submetering!T7*15%-Submetering!X7</f>
        <v>19273.373359998826</v>
      </c>
      <c r="J7" s="70">
        <v>0.21</v>
      </c>
      <c r="K7" s="71">
        <f>Submetering!N7-Submetering!O7</f>
        <v>69.051999999992859</v>
      </c>
      <c r="L7" s="74">
        <v>7.84</v>
      </c>
      <c r="M7" s="71">
        <f>Submetering!Y7</f>
        <v>77</v>
      </c>
      <c r="N7" s="114">
        <f>Submetering!Z7</f>
        <v>117</v>
      </c>
    </row>
    <row r="8" spans="1:15" x14ac:dyDescent="0.25">
      <c r="A8" s="124" t="s">
        <v>80</v>
      </c>
      <c r="B8" s="72">
        <f t="shared" si="0"/>
        <v>7</v>
      </c>
      <c r="C8" s="73">
        <v>3</v>
      </c>
      <c r="D8" s="72">
        <v>2021</v>
      </c>
      <c r="E8" s="71">
        <f>Submetering!E8+Submetering!F8+Submetering!G8+Submetering!H8+Submetering!I8+Submetering!J8+Submetering!K8</f>
        <v>25287</v>
      </c>
      <c r="F8" s="74">
        <v>0.2</v>
      </c>
      <c r="G8" s="71">
        <f>Submetering!P8</f>
        <v>575</v>
      </c>
      <c r="H8" s="74">
        <v>6.47</v>
      </c>
      <c r="I8" s="71">
        <f>Submetering!T8-Submetering!T8*15%-Submetering!X8</f>
        <v>18245.290060001731</v>
      </c>
      <c r="J8" s="70">
        <v>0.21</v>
      </c>
      <c r="K8" s="71">
        <f>Submetering!N8-Submetering!O8</f>
        <v>65.856000000006134</v>
      </c>
      <c r="L8" s="74">
        <v>7.84</v>
      </c>
      <c r="M8" s="71">
        <f>Submetering!Y8</f>
        <v>72</v>
      </c>
      <c r="N8" s="114">
        <f>Submetering!Z8</f>
        <v>110</v>
      </c>
    </row>
    <row r="9" spans="1:15" x14ac:dyDescent="0.25">
      <c r="A9" s="124" t="s">
        <v>80</v>
      </c>
      <c r="B9" s="72">
        <f t="shared" si="0"/>
        <v>8</v>
      </c>
      <c r="C9" s="73">
        <v>3</v>
      </c>
      <c r="D9" s="72">
        <v>2021</v>
      </c>
      <c r="E9" s="71">
        <f>Submetering!E9+Submetering!F9+Submetering!G9+Submetering!H9+Submetering!I9+Submetering!J9+Submetering!K9</f>
        <v>24437</v>
      </c>
      <c r="F9" s="74">
        <v>0.2</v>
      </c>
      <c r="G9" s="71">
        <f>Submetering!P9</f>
        <v>552</v>
      </c>
      <c r="H9" s="74">
        <v>6.47</v>
      </c>
      <c r="I9" s="71">
        <f>Submetering!T9-Submetering!T9*15%-Submetering!X9</f>
        <v>17277.817579996532</v>
      </c>
      <c r="J9" s="70">
        <v>0.21</v>
      </c>
      <c r="K9" s="71">
        <f>Submetering!N9-Submetering!O9</f>
        <v>36.837000000004991</v>
      </c>
      <c r="L9" s="74">
        <v>7.84</v>
      </c>
      <c r="M9" s="71">
        <f>Submetering!Y9</f>
        <v>71</v>
      </c>
      <c r="N9" s="114">
        <f>Submetering!Z9</f>
        <v>106</v>
      </c>
      <c r="O9" s="1" t="s">
        <v>12</v>
      </c>
    </row>
    <row r="10" spans="1:15" x14ac:dyDescent="0.25">
      <c r="A10" s="124" t="s">
        <v>80</v>
      </c>
      <c r="B10" s="72">
        <f t="shared" si="0"/>
        <v>9</v>
      </c>
      <c r="C10" s="73">
        <v>3</v>
      </c>
      <c r="D10" s="72">
        <v>2021</v>
      </c>
      <c r="E10" s="71">
        <f>Submetering!E10+Submetering!F10+Submetering!G10+Submetering!H10+Submetering!I10+Submetering!J10+Submetering!K10</f>
        <v>25479</v>
      </c>
      <c r="F10" s="74">
        <v>0.2</v>
      </c>
      <c r="G10" s="71">
        <f>Submetering!P10</f>
        <v>557</v>
      </c>
      <c r="H10" s="74">
        <v>6.47</v>
      </c>
      <c r="I10" s="71">
        <f>Submetering!T10-Submetering!T10*15%-Submetering!X10</f>
        <v>18782.090840005541</v>
      </c>
      <c r="J10" s="70">
        <v>0.21</v>
      </c>
      <c r="K10" s="71">
        <f>Submetering!N10-Submetering!O10</f>
        <v>66.142999999997301</v>
      </c>
      <c r="L10" s="74">
        <v>7.84</v>
      </c>
      <c r="M10" s="71">
        <f>Submetering!Y10</f>
        <v>80</v>
      </c>
      <c r="N10" s="114">
        <f>Submetering!Z10</f>
        <v>121</v>
      </c>
    </row>
    <row r="11" spans="1:15" x14ac:dyDescent="0.25">
      <c r="A11" s="124" t="s">
        <v>80</v>
      </c>
      <c r="B11" s="72">
        <f t="shared" si="0"/>
        <v>10</v>
      </c>
      <c r="C11" s="73">
        <v>3</v>
      </c>
      <c r="D11" s="72">
        <v>2021</v>
      </c>
      <c r="E11" s="71">
        <f>Submetering!E11+Submetering!F11+Submetering!G11+Submetering!H11+Submetering!I11+Submetering!J11+Submetering!K11</f>
        <v>25564</v>
      </c>
      <c r="F11" s="74">
        <v>0.2</v>
      </c>
      <c r="G11" s="71">
        <f>Submetering!P11</f>
        <v>572</v>
      </c>
      <c r="H11" s="74">
        <v>6.47</v>
      </c>
      <c r="I11" s="71">
        <f>Submetering!T11-Submetering!T11*15%-Submetering!X11</f>
        <v>17822.318839998203</v>
      </c>
      <c r="J11" s="70">
        <v>0.21</v>
      </c>
      <c r="K11" s="71">
        <f>Submetering!N11-Submetering!O11</f>
        <v>60.563000000004649</v>
      </c>
      <c r="L11" s="74">
        <v>7.84</v>
      </c>
      <c r="M11" s="71">
        <f>Submetering!Y11</f>
        <v>83</v>
      </c>
      <c r="N11" s="114">
        <f>Submetering!Z11</f>
        <v>121</v>
      </c>
    </row>
    <row r="12" spans="1:15" x14ac:dyDescent="0.25">
      <c r="A12" s="124" t="s">
        <v>80</v>
      </c>
      <c r="B12" s="72">
        <f t="shared" si="0"/>
        <v>11</v>
      </c>
      <c r="C12" s="73">
        <v>3</v>
      </c>
      <c r="D12" s="72">
        <v>2021</v>
      </c>
      <c r="E12" s="71">
        <f>Submetering!E12+Submetering!F12+Submetering!G12+Submetering!H12+Submetering!I12+Submetering!J12+Submetering!K12</f>
        <v>26764</v>
      </c>
      <c r="F12" s="74">
        <v>0.2</v>
      </c>
      <c r="G12" s="71">
        <f>Submetering!P12</f>
        <v>610</v>
      </c>
      <c r="H12" s="74">
        <v>6.47</v>
      </c>
      <c r="I12" s="71">
        <f>Submetering!T12-Submetering!T12*15%-Submetering!X12</f>
        <v>21185.000019999163</v>
      </c>
      <c r="J12" s="70">
        <v>0.21</v>
      </c>
      <c r="K12" s="71">
        <f>Submetering!N12-Submetering!O12</f>
        <v>65.043999999993957</v>
      </c>
      <c r="L12" s="74">
        <v>7.84</v>
      </c>
      <c r="M12" s="71">
        <f>Submetering!Y12</f>
        <v>82</v>
      </c>
      <c r="N12" s="114">
        <f>Submetering!Z12</f>
        <v>129</v>
      </c>
    </row>
    <row r="13" spans="1:15" x14ac:dyDescent="0.25">
      <c r="A13" s="124" t="s">
        <v>80</v>
      </c>
      <c r="B13" s="72">
        <f t="shared" si="0"/>
        <v>12</v>
      </c>
      <c r="C13" s="73">
        <v>3</v>
      </c>
      <c r="D13" s="72">
        <v>2021</v>
      </c>
      <c r="E13" s="71">
        <f>Submetering!E13+Submetering!F13+Submetering!G13+Submetering!H13+Submetering!I13+Submetering!J13+Submetering!K13</f>
        <v>24534</v>
      </c>
      <c r="F13" s="74">
        <v>0.2</v>
      </c>
      <c r="G13" s="71">
        <f>Submetering!P13</f>
        <v>623</v>
      </c>
      <c r="H13" s="74">
        <v>6.47</v>
      </c>
      <c r="I13" s="71">
        <f>Submetering!T13-Submetering!T13*15%-Submetering!X13</f>
        <v>21722.46840000146</v>
      </c>
      <c r="J13" s="70">
        <v>0.21</v>
      </c>
      <c r="K13" s="71">
        <f>Submetering!N13-Submetering!O13</f>
        <v>61.019000000002961</v>
      </c>
      <c r="L13" s="74">
        <v>7.84</v>
      </c>
      <c r="M13" s="71">
        <f>Submetering!Y13</f>
        <v>75</v>
      </c>
      <c r="N13" s="114">
        <f>Submetering!Z13</f>
        <v>131</v>
      </c>
    </row>
    <row r="14" spans="1:15" x14ac:dyDescent="0.25">
      <c r="A14" s="124" t="s">
        <v>80</v>
      </c>
      <c r="B14" s="72">
        <f t="shared" si="0"/>
        <v>13</v>
      </c>
      <c r="C14" s="73">
        <v>3</v>
      </c>
      <c r="D14" s="72">
        <v>2021</v>
      </c>
      <c r="E14" s="71">
        <f>Submetering!E14+Submetering!F14+Submetering!G14+Submetering!H14+Submetering!I14+Submetering!J14+Submetering!K14</f>
        <v>26761</v>
      </c>
      <c r="F14" s="74">
        <v>0.2</v>
      </c>
      <c r="G14" s="71">
        <f>Submetering!P14</f>
        <v>548</v>
      </c>
      <c r="H14" s="74">
        <v>6.47</v>
      </c>
      <c r="I14" s="71">
        <f>Submetering!T14-Submetering!T14*15%-Submetering!X14</f>
        <v>19926.401799995634</v>
      </c>
      <c r="J14" s="70">
        <v>0.21</v>
      </c>
      <c r="K14" s="71">
        <f>Submetering!N14-Submetering!O14</f>
        <v>62.876999999996315</v>
      </c>
      <c r="L14" s="74">
        <v>7.84</v>
      </c>
      <c r="M14" s="71">
        <f>Submetering!Y14</f>
        <v>63</v>
      </c>
      <c r="N14" s="114">
        <f>Submetering!Z14</f>
        <v>90</v>
      </c>
    </row>
    <row r="15" spans="1:15" x14ac:dyDescent="0.25">
      <c r="A15" s="124" t="s">
        <v>80</v>
      </c>
      <c r="B15" s="72">
        <f t="shared" si="0"/>
        <v>14</v>
      </c>
      <c r="C15" s="73">
        <v>3</v>
      </c>
      <c r="D15" s="72">
        <v>2021</v>
      </c>
      <c r="E15" s="71">
        <f>Submetering!E15+Submetering!F15+Submetering!G15+Submetering!H15+Submetering!I15+Submetering!J15+Submetering!K15</f>
        <v>25974</v>
      </c>
      <c r="F15" s="74">
        <v>0.2</v>
      </c>
      <c r="G15" s="71">
        <f>Submetering!P15</f>
        <v>558</v>
      </c>
      <c r="H15" s="74">
        <v>6.47</v>
      </c>
      <c r="I15" s="71">
        <f>Submetering!T15-Submetering!T15*15%-Submetering!X15</f>
        <v>16070.51240000582</v>
      </c>
      <c r="J15" s="70">
        <v>0.21</v>
      </c>
      <c r="K15" s="81">
        <f>Submetering!N15-Submetering!O15</f>
        <v>46.616000000004078</v>
      </c>
      <c r="L15" s="74">
        <v>7.84</v>
      </c>
      <c r="M15" s="71">
        <f>Submetering!Y15</f>
        <v>76</v>
      </c>
      <c r="N15" s="114">
        <f>Submetering!Z15</f>
        <v>103</v>
      </c>
    </row>
    <row r="16" spans="1:15" x14ac:dyDescent="0.25">
      <c r="A16" s="124" t="s">
        <v>80</v>
      </c>
      <c r="B16" s="72">
        <f t="shared" si="0"/>
        <v>15</v>
      </c>
      <c r="C16" s="73">
        <v>3</v>
      </c>
      <c r="D16" s="72">
        <v>2021</v>
      </c>
      <c r="E16" s="71">
        <f>Submetering!E16+Submetering!F16+Submetering!G16+Submetering!H16+Submetering!I16+Submetering!J16+Submetering!K16</f>
        <v>24934</v>
      </c>
      <c r="F16" s="74">
        <v>0.2</v>
      </c>
      <c r="G16" s="71">
        <f>Submetering!P16</f>
        <v>570</v>
      </c>
      <c r="H16" s="74">
        <v>6.47</v>
      </c>
      <c r="I16" s="71">
        <f>Submetering!T16-Submetering!T16*15%-Submetering!X16</f>
        <v>16381.09059999563</v>
      </c>
      <c r="J16" s="70">
        <v>0.21</v>
      </c>
      <c r="K16" s="71">
        <f>Submetering!N16-Submetering!O16</f>
        <v>56.91199999999435</v>
      </c>
      <c r="L16" s="74">
        <v>7.84</v>
      </c>
      <c r="M16" s="71">
        <f>Submetering!Y16</f>
        <v>74</v>
      </c>
      <c r="N16" s="114">
        <f>Submetering!Z16</f>
        <v>108</v>
      </c>
    </row>
    <row r="17" spans="1:14" x14ac:dyDescent="0.25">
      <c r="A17" s="124" t="s">
        <v>80</v>
      </c>
      <c r="B17" s="72">
        <f t="shared" si="0"/>
        <v>16</v>
      </c>
      <c r="C17" s="73">
        <v>3</v>
      </c>
      <c r="D17" s="72">
        <v>2021</v>
      </c>
      <c r="E17" s="71">
        <f>Submetering!E17+Submetering!F17+Submetering!G17+Submetering!H17+Submetering!I17+Submetering!J17+Submetering!K17</f>
        <v>26592</v>
      </c>
      <c r="F17" s="74">
        <v>0.2</v>
      </c>
      <c r="G17" s="71">
        <f>Submetering!P17</f>
        <v>582</v>
      </c>
      <c r="H17" s="74">
        <v>6.47</v>
      </c>
      <c r="I17" s="71">
        <f>Submetering!T17-Submetering!T17*15%-Submetering!X17</f>
        <v>21625.951060001738</v>
      </c>
      <c r="J17" s="70">
        <v>0.21</v>
      </c>
      <c r="K17" s="71">
        <f>Submetering!N17-Submetering!O17</f>
        <v>76.316999999996824</v>
      </c>
      <c r="L17" s="74">
        <v>7.84</v>
      </c>
      <c r="M17" s="71">
        <f>Submetering!Y17</f>
        <v>76</v>
      </c>
      <c r="N17" s="114">
        <f>Submetering!Z17</f>
        <v>113</v>
      </c>
    </row>
    <row r="18" spans="1:14" x14ac:dyDescent="0.25">
      <c r="A18" s="124" t="s">
        <v>80</v>
      </c>
      <c r="B18" s="72">
        <f t="shared" si="0"/>
        <v>17</v>
      </c>
      <c r="C18" s="73">
        <v>3</v>
      </c>
      <c r="D18" s="72">
        <v>2021</v>
      </c>
      <c r="E18" s="71">
        <f>Submetering!E18+Submetering!F18+Submetering!G18+Submetering!H18+Submetering!I18+Submetering!J18+Submetering!K18</f>
        <v>26322</v>
      </c>
      <c r="F18" s="74">
        <v>0.2</v>
      </c>
      <c r="G18" s="71">
        <f>Submetering!P18</f>
        <v>583</v>
      </c>
      <c r="H18" s="74">
        <v>6.47</v>
      </c>
      <c r="I18" s="71">
        <f>Submetering!T18-Submetering!T18*15%-Submetering!X18</f>
        <v>22987.487339996813</v>
      </c>
      <c r="J18" s="70">
        <v>0.21</v>
      </c>
      <c r="K18" s="71">
        <f>Submetering!N18-Submetering!O18</f>
        <v>78.435000000013133</v>
      </c>
      <c r="L18" s="74">
        <v>7.84</v>
      </c>
      <c r="M18" s="71">
        <f>Submetering!Y18</f>
        <v>52</v>
      </c>
      <c r="N18" s="114">
        <f>Submetering!Z18</f>
        <v>84</v>
      </c>
    </row>
    <row r="19" spans="1:14" x14ac:dyDescent="0.25">
      <c r="A19" s="124" t="s">
        <v>80</v>
      </c>
      <c r="B19" s="72">
        <f t="shared" si="0"/>
        <v>18</v>
      </c>
      <c r="C19" s="73">
        <v>3</v>
      </c>
      <c r="D19" s="72">
        <v>2021</v>
      </c>
      <c r="E19" s="71">
        <f>Submetering!E19+Submetering!F19+Submetering!G19+Submetering!H19+Submetering!I19+Submetering!J19+Submetering!K19</f>
        <v>25979</v>
      </c>
      <c r="F19" s="74">
        <v>0.2</v>
      </c>
      <c r="G19" s="71">
        <f>Submetering!P19</f>
        <v>600</v>
      </c>
      <c r="H19" s="74">
        <v>6.47</v>
      </c>
      <c r="I19" s="71">
        <f>Submetering!T19-Submetering!T19*15%-Submetering!X19</f>
        <v>22764.648660006096</v>
      </c>
      <c r="J19" s="70">
        <v>0.21</v>
      </c>
      <c r="K19" s="71">
        <f>Submetering!N19-Submetering!O19</f>
        <v>37.969999999994798</v>
      </c>
      <c r="L19" s="74">
        <v>7.84</v>
      </c>
      <c r="M19" s="71">
        <f>Submetering!Y19</f>
        <v>67</v>
      </c>
      <c r="N19" s="114">
        <f>Submetering!Z19</f>
        <v>111</v>
      </c>
    </row>
    <row r="20" spans="1:14" x14ac:dyDescent="0.25">
      <c r="A20" s="124" t="s">
        <v>80</v>
      </c>
      <c r="B20" s="72">
        <f t="shared" si="0"/>
        <v>19</v>
      </c>
      <c r="C20" s="73">
        <v>3</v>
      </c>
      <c r="D20" s="72">
        <v>2021</v>
      </c>
      <c r="E20" s="71">
        <f>Submetering!E20+Submetering!F20+Submetering!G20+Submetering!H20+Submetering!I20+Submetering!J20+Submetering!K20</f>
        <v>25288</v>
      </c>
      <c r="F20" s="74">
        <v>0.2</v>
      </c>
      <c r="G20" s="71">
        <f>Submetering!P20</f>
        <v>633</v>
      </c>
      <c r="H20" s="74">
        <v>6.47</v>
      </c>
      <c r="I20" s="71">
        <f>Submetering!T20-Submetering!T20*15%-Submetering!X20</f>
        <v>25178.748199994181</v>
      </c>
      <c r="J20" s="70">
        <v>0.21</v>
      </c>
      <c r="K20" s="71">
        <f>Submetering!N20-Submetering!O20</f>
        <v>118.47499999999445</v>
      </c>
      <c r="L20" s="74">
        <v>7.84</v>
      </c>
      <c r="M20" s="71">
        <f>Submetering!Y20</f>
        <v>83</v>
      </c>
      <c r="N20" s="114">
        <f>Submetering!Z20</f>
        <v>147</v>
      </c>
    </row>
    <row r="21" spans="1:14" x14ac:dyDescent="0.25">
      <c r="A21" s="124" t="s">
        <v>80</v>
      </c>
      <c r="B21" s="72">
        <f t="shared" si="0"/>
        <v>20</v>
      </c>
      <c r="C21" s="73">
        <v>3</v>
      </c>
      <c r="D21" s="72">
        <v>2021</v>
      </c>
      <c r="E21" s="71">
        <f>Submetering!E21+Submetering!F21+Submetering!G21+Submetering!H21+Submetering!I21+Submetering!J21+Submetering!K21</f>
        <v>25949</v>
      </c>
      <c r="F21" s="74">
        <v>0.2</v>
      </c>
      <c r="G21" s="71">
        <f>Submetering!P21</f>
        <v>569</v>
      </c>
      <c r="H21" s="74">
        <v>6.47</v>
      </c>
      <c r="I21" s="71">
        <f>Submetering!T21-Submetering!T21*15%-Submetering!X21</f>
        <v>27316.305800002912</v>
      </c>
      <c r="J21" s="70">
        <v>0.21</v>
      </c>
      <c r="K21" s="71">
        <f>Submetering!N21-Submetering!O21</f>
        <v>52.02199999999084</v>
      </c>
      <c r="L21" s="74">
        <v>7.84</v>
      </c>
      <c r="M21" s="71">
        <f>Submetering!Y21</f>
        <v>78</v>
      </c>
      <c r="N21" s="114">
        <f>Submetering!Z21</f>
        <v>126</v>
      </c>
    </row>
    <row r="22" spans="1:14" x14ac:dyDescent="0.25">
      <c r="A22" s="124" t="s">
        <v>80</v>
      </c>
      <c r="B22" s="72">
        <f t="shared" si="0"/>
        <v>21</v>
      </c>
      <c r="C22" s="73">
        <v>3</v>
      </c>
      <c r="D22" s="72">
        <v>2021</v>
      </c>
      <c r="E22" s="71">
        <f>Submetering!E22+Submetering!F22+Submetering!G22+Submetering!H22+Submetering!I22+Submetering!J22+Submetering!K22</f>
        <v>26106</v>
      </c>
      <c r="F22" s="74">
        <v>0.2</v>
      </c>
      <c r="G22" s="71">
        <f>Submetering!P22</f>
        <v>585</v>
      </c>
      <c r="H22" s="74">
        <v>6.47</v>
      </c>
      <c r="I22" s="71">
        <f>Submetering!T22-Submetering!T22*15%-Submetering!X22</f>
        <v>20013.830339996814</v>
      </c>
      <c r="J22" s="70">
        <v>0.21</v>
      </c>
      <c r="K22" s="71">
        <f>Submetering!N22-Submetering!O22</f>
        <v>92.337000000004082</v>
      </c>
      <c r="L22" s="74">
        <v>7.84</v>
      </c>
      <c r="M22" s="71">
        <f>Submetering!Y22</f>
        <v>105</v>
      </c>
      <c r="N22" s="114">
        <f>Submetering!Z22</f>
        <v>139</v>
      </c>
    </row>
    <row r="23" spans="1:14" x14ac:dyDescent="0.25">
      <c r="A23" s="124" t="s">
        <v>80</v>
      </c>
      <c r="B23" s="72">
        <f t="shared" si="0"/>
        <v>22</v>
      </c>
      <c r="C23" s="73">
        <v>3</v>
      </c>
      <c r="D23" s="72">
        <v>2021</v>
      </c>
      <c r="E23" s="71">
        <f>Submetering!E23+Submetering!F23+Submetering!G23+Submetering!H23+Submetering!I23+Submetering!J23+Submetering!K23</f>
        <v>28400</v>
      </c>
      <c r="F23" s="74">
        <v>0.2</v>
      </c>
      <c r="G23" s="71">
        <f>Submetering!P23</f>
        <v>644</v>
      </c>
      <c r="H23" s="74">
        <v>6.47</v>
      </c>
      <c r="I23" s="71">
        <f>Submetering!T23-Submetering!T23*15%-Submetering!X23</f>
        <v>21432.851400001455</v>
      </c>
      <c r="J23" s="70">
        <v>0.21</v>
      </c>
      <c r="K23" s="71">
        <f>Submetering!N23-Submetering!O23</f>
        <v>-14.447000000004209</v>
      </c>
      <c r="L23" s="74">
        <v>7.84</v>
      </c>
      <c r="M23" s="71">
        <f>Submetering!Y23</f>
        <v>108</v>
      </c>
      <c r="N23" s="114">
        <f>Submetering!Z23</f>
        <v>148</v>
      </c>
    </row>
    <row r="24" spans="1:14" x14ac:dyDescent="0.25">
      <c r="A24" s="124" t="s">
        <v>80</v>
      </c>
      <c r="B24" s="72">
        <f t="shared" si="0"/>
        <v>23</v>
      </c>
      <c r="C24" s="73">
        <v>3</v>
      </c>
      <c r="D24" s="72">
        <v>2021</v>
      </c>
      <c r="E24" s="71">
        <f>Submetering!E24+Submetering!F24+Submetering!G24+Submetering!H24+Submetering!I24+Submetering!J24+Submetering!K24</f>
        <v>26578</v>
      </c>
      <c r="F24" s="74">
        <v>0.2</v>
      </c>
      <c r="G24" s="71">
        <f>Submetering!P24</f>
        <v>705</v>
      </c>
      <c r="H24" s="74">
        <v>6.47</v>
      </c>
      <c r="I24" s="71">
        <f>Submetering!T24-Submetering!T24*15%-Submetering!X24</f>
        <v>22960.026000001453</v>
      </c>
      <c r="J24" s="70">
        <v>0.21</v>
      </c>
      <c r="K24" s="71">
        <f>Submetering!N24-Submetering!O24</f>
        <v>82.676999999996951</v>
      </c>
      <c r="L24" s="74">
        <v>7.84</v>
      </c>
      <c r="M24" s="71">
        <f>Submetering!Y24</f>
        <v>118</v>
      </c>
      <c r="N24" s="114">
        <f>Submetering!Z24</f>
        <v>161</v>
      </c>
    </row>
    <row r="25" spans="1:14" x14ac:dyDescent="0.25">
      <c r="A25" s="124" t="s">
        <v>80</v>
      </c>
      <c r="B25" s="72">
        <f t="shared" si="0"/>
        <v>24</v>
      </c>
      <c r="C25" s="73">
        <v>3</v>
      </c>
      <c r="D25" s="72">
        <v>2021</v>
      </c>
      <c r="E25" s="71">
        <f>Submetering!E25+Submetering!F25+Submetering!G25+Submetering!H25+Submetering!I25+Submetering!J25+Submetering!K25</f>
        <v>27029</v>
      </c>
      <c r="F25" s="74">
        <v>0.2</v>
      </c>
      <c r="G25" s="71">
        <f>Submetering!P25</f>
        <v>703</v>
      </c>
      <c r="H25" s="74">
        <v>6.47</v>
      </c>
      <c r="I25" s="71">
        <f>Submetering!T25-Submetering!T25*15%-Submetering!X25</f>
        <v>27431.7212</v>
      </c>
      <c r="J25" s="70">
        <v>0.21</v>
      </c>
      <c r="K25" s="71">
        <f>Submetering!N25-Submetering!O25</f>
        <v>110.13700000001427</v>
      </c>
      <c r="L25" s="74">
        <v>7.84</v>
      </c>
      <c r="M25" s="71">
        <f>Submetering!Y25</f>
        <v>112</v>
      </c>
      <c r="N25" s="114">
        <f>Submetering!Z25</f>
        <v>147</v>
      </c>
    </row>
    <row r="26" spans="1:14" x14ac:dyDescent="0.25">
      <c r="A26" s="124" t="s">
        <v>80</v>
      </c>
      <c r="B26" s="72">
        <f>B25+1</f>
        <v>25</v>
      </c>
      <c r="C26" s="73">
        <v>3</v>
      </c>
      <c r="D26" s="72">
        <v>2021</v>
      </c>
      <c r="E26" s="71">
        <f>Submetering!E26+Submetering!F26+Submetering!G26+Submetering!H26+Submetering!I26+Submetering!J26+Submetering!K26</f>
        <v>27895</v>
      </c>
      <c r="F26" s="74">
        <v>0.2</v>
      </c>
      <c r="G26" s="71">
        <f>Submetering!P26</f>
        <v>699</v>
      </c>
      <c r="H26" s="74">
        <v>6.47</v>
      </c>
      <c r="I26" s="71">
        <f>Submetering!T26-Submetering!T26*15%-Submetering!X26</f>
        <v>27300.222800000003</v>
      </c>
      <c r="J26" s="70">
        <v>0.21</v>
      </c>
      <c r="K26" s="71">
        <f>Submetering!N26-Submetering!O26</f>
        <v>100.82500000000528</v>
      </c>
      <c r="L26" s="74">
        <v>7.84</v>
      </c>
      <c r="M26" s="71">
        <f>Submetering!Y26</f>
        <v>72</v>
      </c>
      <c r="N26" s="114">
        <f>Submetering!Z26</f>
        <v>118</v>
      </c>
    </row>
    <row r="27" spans="1:14" x14ac:dyDescent="0.25">
      <c r="A27" s="124" t="s">
        <v>80</v>
      </c>
      <c r="B27" s="72">
        <f t="shared" si="0"/>
        <v>26</v>
      </c>
      <c r="C27" s="73">
        <v>3</v>
      </c>
      <c r="D27" s="72">
        <v>2021</v>
      </c>
      <c r="E27" s="71">
        <f>Submetering!E27+Submetering!F27+Submetering!G27+Submetering!H27+Submetering!I27+Submetering!J27+Submetering!K27</f>
        <v>27462</v>
      </c>
      <c r="F27" s="74">
        <v>0.2</v>
      </c>
      <c r="G27" s="71">
        <f>Submetering!P27</f>
        <v>623</v>
      </c>
      <c r="H27" s="74">
        <v>6.47</v>
      </c>
      <c r="I27" s="71">
        <f>Submetering!T27-Submetering!T27*15%-Submetering!X27</f>
        <v>28632.297259997365</v>
      </c>
      <c r="J27" s="70">
        <v>0.21</v>
      </c>
      <c r="K27" s="71">
        <f>Submetering!N27-Submetering!O27</f>
        <v>73.81299999998464</v>
      </c>
      <c r="L27" s="74">
        <v>7.84</v>
      </c>
      <c r="M27" s="71">
        <f>Submetering!Y27</f>
        <v>98</v>
      </c>
      <c r="N27" s="114">
        <f>Submetering!Z27</f>
        <v>177</v>
      </c>
    </row>
    <row r="28" spans="1:14" x14ac:dyDescent="0.25">
      <c r="A28" s="124" t="s">
        <v>80</v>
      </c>
      <c r="B28" s="72">
        <f t="shared" si="0"/>
        <v>27</v>
      </c>
      <c r="C28" s="73">
        <v>3</v>
      </c>
      <c r="D28" s="72">
        <v>2021</v>
      </c>
      <c r="E28" s="71">
        <f>Submetering!E28+Submetering!F28+Submetering!G28+Submetering!H28+Submetering!I28+Submetering!J28+Submetering!K28</f>
        <v>26081</v>
      </c>
      <c r="F28" s="74">
        <v>0.2</v>
      </c>
      <c r="G28" s="71">
        <f>Submetering!P28</f>
        <v>548</v>
      </c>
      <c r="H28" s="74">
        <v>6.47</v>
      </c>
      <c r="I28" s="71">
        <f>Submetering!T28-Submetering!T28*15%-Submetering!X28</f>
        <v>26026.370600005823</v>
      </c>
      <c r="J28" s="70">
        <v>0.21</v>
      </c>
      <c r="K28" s="71">
        <f>Submetering!N28-Submetering!O28</f>
        <v>75.088000000001102</v>
      </c>
      <c r="L28" s="74">
        <v>7.84</v>
      </c>
      <c r="M28" s="71">
        <f>Submetering!Y28</f>
        <v>98</v>
      </c>
      <c r="N28" s="114">
        <f>Submetering!Z28</f>
        <v>181</v>
      </c>
    </row>
    <row r="29" spans="1:14" x14ac:dyDescent="0.25">
      <c r="A29" s="124" t="s">
        <v>80</v>
      </c>
      <c r="B29" s="72">
        <f t="shared" si="0"/>
        <v>28</v>
      </c>
      <c r="C29" s="73">
        <v>3</v>
      </c>
      <c r="D29" s="72">
        <v>2021</v>
      </c>
      <c r="E29" s="71">
        <f>Submetering!E29+Submetering!F29+Submetering!G29+Submetering!H29+Submetering!I29+Submetering!J29+Submetering!K29</f>
        <v>26189</v>
      </c>
      <c r="F29" s="74">
        <v>0.2</v>
      </c>
      <c r="G29" s="71">
        <f>Submetering!P29</f>
        <v>507</v>
      </c>
      <c r="H29" s="74">
        <v>6.47</v>
      </c>
      <c r="I29" s="71">
        <f>Submetering!T29-Submetering!T29*15%-Submetering!X29</f>
        <v>23867.133659995918</v>
      </c>
      <c r="J29" s="70">
        <v>0.21</v>
      </c>
      <c r="K29" s="71">
        <f>Submetering!N29-Submetering!O29</f>
        <v>73.441599999989648</v>
      </c>
      <c r="L29" s="74">
        <v>7.84</v>
      </c>
      <c r="M29" s="71">
        <f>Submetering!Y29</f>
        <v>114</v>
      </c>
      <c r="N29" s="114">
        <f>Submetering!Z29</f>
        <v>211</v>
      </c>
    </row>
    <row r="30" spans="1:14" x14ac:dyDescent="0.25">
      <c r="A30" s="124" t="s">
        <v>80</v>
      </c>
      <c r="B30" s="72">
        <f t="shared" si="0"/>
        <v>29</v>
      </c>
      <c r="C30" s="73">
        <v>3</v>
      </c>
      <c r="D30" s="72">
        <v>2021</v>
      </c>
      <c r="E30" s="71">
        <f>Submetering!E30+Submetering!F30+Submetering!G30+Submetering!H30+Submetering!I30+Submetering!J30+Submetering!K30</f>
        <v>28127</v>
      </c>
      <c r="F30" s="74">
        <v>0.2</v>
      </c>
      <c r="G30" s="71">
        <f>Submetering!P30</f>
        <v>525</v>
      </c>
      <c r="H30" s="74">
        <v>6.47</v>
      </c>
      <c r="I30" s="71">
        <f>Submetering!T30-Submetering!T30*15%-Submetering!X30</f>
        <v>20690.620600000002</v>
      </c>
      <c r="J30" s="70">
        <v>0.21</v>
      </c>
      <c r="K30" s="71">
        <f>Submetering!N30-Submetering!O30</f>
        <v>75.501000000010663</v>
      </c>
      <c r="L30" s="74">
        <v>7.84</v>
      </c>
      <c r="M30" s="71">
        <f>Submetering!Y30</f>
        <v>121</v>
      </c>
      <c r="N30" s="114">
        <f>Submetering!Z30</f>
        <v>201</v>
      </c>
    </row>
    <row r="31" spans="1:14" x14ac:dyDescent="0.25">
      <c r="A31" s="144" t="s">
        <v>80</v>
      </c>
      <c r="B31" s="145">
        <f t="shared" si="0"/>
        <v>30</v>
      </c>
      <c r="C31" s="73">
        <v>3</v>
      </c>
      <c r="D31" s="72">
        <v>2021</v>
      </c>
      <c r="E31" s="142">
        <f>Submetering!E31+Submetering!F31+Submetering!G31+Submetering!H31+Submetering!I31+Submetering!J31+Submetering!K31</f>
        <v>28160</v>
      </c>
      <c r="F31" s="146">
        <v>0.2</v>
      </c>
      <c r="G31" s="142">
        <f>Submetering!P31</f>
        <v>529</v>
      </c>
      <c r="H31" s="146">
        <v>6.47</v>
      </c>
      <c r="I31" s="142">
        <f>Submetering!T31-Submetering!T31*15%-Submetering!X31</f>
        <v>23349.334600004368</v>
      </c>
      <c r="J31" s="141">
        <v>0.21</v>
      </c>
      <c r="K31" s="142">
        <f>Submetering!N31-Submetering!O31</f>
        <v>80.639999999988049</v>
      </c>
      <c r="L31" s="146">
        <v>7.84</v>
      </c>
      <c r="M31" s="142">
        <f>Submetering!Y31</f>
        <v>124</v>
      </c>
      <c r="N31" s="143">
        <f>Submetering!Z31</f>
        <v>205</v>
      </c>
    </row>
    <row r="32" spans="1:14" ht="15.75" thickBot="1" x14ac:dyDescent="0.3">
      <c r="A32" s="125" t="s">
        <v>80</v>
      </c>
      <c r="B32" s="126">
        <f t="shared" si="0"/>
        <v>31</v>
      </c>
      <c r="C32" s="127">
        <v>3</v>
      </c>
      <c r="D32" s="126">
        <v>2021</v>
      </c>
      <c r="E32" s="118">
        <f>Submetering!E32+Submetering!F32+Submetering!G32+Submetering!H32+Submetering!I32+Submetering!J32+Submetering!K32</f>
        <v>28419</v>
      </c>
      <c r="F32" s="128">
        <v>0.2</v>
      </c>
      <c r="G32" s="118">
        <f>Submetering!P32</f>
        <v>581</v>
      </c>
      <c r="H32" s="128">
        <v>6.47</v>
      </c>
      <c r="I32" s="118">
        <f>Submetering!T32-Submetering!T32*15%-Submetering!X32</f>
        <v>27091.666739996806</v>
      </c>
      <c r="J32" s="117">
        <v>0.21</v>
      </c>
      <c r="K32" s="118">
        <f>Submetering!N32-Submetering!O32</f>
        <v>86.566000000003896</v>
      </c>
      <c r="L32" s="128">
        <v>7.84</v>
      </c>
      <c r="M32" s="118">
        <f>Submetering!Y32</f>
        <v>131</v>
      </c>
      <c r="N32" s="119">
        <f>Submetering!Z32</f>
        <v>212</v>
      </c>
    </row>
    <row r="33" spans="9:14" x14ac:dyDescent="0.25">
      <c r="I33" s="4">
        <f>SUM(I2:I32)</f>
        <v>676349.8311999971</v>
      </c>
      <c r="M33" s="4">
        <f>SUM(M2:M32)</f>
        <v>2717</v>
      </c>
      <c r="N33" s="4">
        <f>SUM(N2:N32)</f>
        <v>4288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T32" sqref="T32"/>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2" t="s">
        <v>0</v>
      </c>
      <c r="B1" s="103" t="s">
        <v>1</v>
      </c>
      <c r="C1" s="104" t="s">
        <v>2</v>
      </c>
      <c r="D1" s="103" t="s">
        <v>3</v>
      </c>
      <c r="E1" s="105" t="s">
        <v>64</v>
      </c>
      <c r="F1" s="105" t="s">
        <v>81</v>
      </c>
      <c r="G1" s="105" t="s">
        <v>84</v>
      </c>
      <c r="H1" s="105" t="s">
        <v>65</v>
      </c>
      <c r="I1" s="105" t="s">
        <v>66</v>
      </c>
      <c r="J1" s="105" t="s">
        <v>67</v>
      </c>
      <c r="K1" s="105" t="s">
        <v>68</v>
      </c>
      <c r="L1" s="106" t="s">
        <v>69</v>
      </c>
      <c r="M1" s="106" t="s">
        <v>70</v>
      </c>
      <c r="N1" s="106" t="s">
        <v>71</v>
      </c>
      <c r="O1" s="106" t="s">
        <v>72</v>
      </c>
      <c r="P1" s="106" t="s">
        <v>73</v>
      </c>
      <c r="Q1" s="106" t="s">
        <v>74</v>
      </c>
      <c r="R1" s="106" t="s">
        <v>75</v>
      </c>
      <c r="S1" s="106" t="s">
        <v>91</v>
      </c>
      <c r="T1" s="106" t="s">
        <v>86</v>
      </c>
      <c r="U1" s="106" t="s">
        <v>87</v>
      </c>
      <c r="V1" s="106" t="s">
        <v>88</v>
      </c>
      <c r="W1" s="106" t="s">
        <v>89</v>
      </c>
      <c r="X1" s="106" t="s">
        <v>90</v>
      </c>
      <c r="Y1" s="107" t="s">
        <v>8</v>
      </c>
      <c r="Z1" s="106" t="s">
        <v>9</v>
      </c>
    </row>
    <row r="2" spans="1:26" x14ac:dyDescent="0.25">
      <c r="A2" s="108" t="s">
        <v>80</v>
      </c>
      <c r="B2" s="109">
        <v>1</v>
      </c>
      <c r="C2" s="110">
        <v>3</v>
      </c>
      <c r="D2" s="109">
        <v>2021</v>
      </c>
      <c r="E2" s="111">
        <f>'FS-AD Daily '!B6</f>
        <v>4973</v>
      </c>
      <c r="F2" s="111">
        <f>'FS-AD Daily '!C6</f>
        <v>2139</v>
      </c>
      <c r="G2" s="111">
        <f>'FS-AD Daily '!D6</f>
        <v>858</v>
      </c>
      <c r="H2" s="111">
        <f>'FS-AD Daily '!E6</f>
        <v>4626</v>
      </c>
      <c r="I2" s="111">
        <f>'FS-AD Daily '!F6</f>
        <v>5794</v>
      </c>
      <c r="J2" s="111">
        <f>'FS-AD Daily '!G6</f>
        <v>2725</v>
      </c>
      <c r="K2" s="111">
        <f>'FS-AD Daily '!H6</f>
        <v>3589</v>
      </c>
      <c r="L2" s="111">
        <f>'FS-AD Daily '!I6</f>
        <v>2406</v>
      </c>
      <c r="M2" s="111">
        <f>'FS-AD Daily '!J6</f>
        <v>6925</v>
      </c>
      <c r="N2" s="111">
        <f>'FS-AD Daily '!T6</f>
        <v>108.75500000000102</v>
      </c>
      <c r="O2" s="111">
        <f>'FS-AD Daily '!R6</f>
        <v>65.237000000005082</v>
      </c>
      <c r="P2" s="111">
        <f>'FS-AD Daily '!Z6</f>
        <v>623</v>
      </c>
      <c r="Q2" s="111">
        <f>'FS-AD Daily '!V6</f>
        <v>303.09999999997672</v>
      </c>
      <c r="R2" s="111">
        <f>'FS-AD Daily '!W6</f>
        <v>6.1499999999941792</v>
      </c>
      <c r="S2" s="111">
        <f>P2-Q2-R2</f>
        <v>313.7500000000291</v>
      </c>
      <c r="T2" s="111">
        <f>'FS-AD Daily '!AD6*3.516</f>
        <v>35209.224000000002</v>
      </c>
      <c r="U2" s="111">
        <f>('FS-AD Daily '!AF6)*1000</f>
        <v>16300.00000000291</v>
      </c>
      <c r="V2" s="111">
        <f>('FS-AD Daily '!AG6)*1000</f>
        <v>7200.0000000043656</v>
      </c>
      <c r="W2" s="111">
        <f>'FS-AD Daily '!AH6*1000</f>
        <v>5400.0000000014552</v>
      </c>
      <c r="X2" s="111">
        <f>('FS-AD Daily '!AK6)*1000</f>
        <v>15200.000000004366</v>
      </c>
      <c r="Y2" s="111">
        <v>71</v>
      </c>
      <c r="Z2" s="112">
        <v>111</v>
      </c>
    </row>
    <row r="3" spans="1:26" x14ac:dyDescent="0.25">
      <c r="A3" s="113" t="s">
        <v>80</v>
      </c>
      <c r="B3" s="69">
        <f>B2+1</f>
        <v>2</v>
      </c>
      <c r="C3" s="70">
        <v>3</v>
      </c>
      <c r="D3" s="69">
        <v>2021</v>
      </c>
      <c r="E3" s="71">
        <f>'FS-AD Daily '!B7</f>
        <v>5557</v>
      </c>
      <c r="F3" s="71">
        <f>'FS-AD Daily '!C7</f>
        <v>2371</v>
      </c>
      <c r="G3" s="71">
        <f>'FS-AD Daily '!D7</f>
        <v>892</v>
      </c>
      <c r="H3" s="71">
        <f>'FS-AD Daily '!E7</f>
        <v>4689</v>
      </c>
      <c r="I3" s="71">
        <f>'FS-AD Daily '!F7</f>
        <v>5751</v>
      </c>
      <c r="J3" s="71">
        <f>'FS-AD Daily '!G7</f>
        <v>2656</v>
      </c>
      <c r="K3" s="71">
        <f>'FS-AD Daily '!H7</f>
        <v>3567</v>
      </c>
      <c r="L3" s="71">
        <f>'FS-AD Daily '!I7</f>
        <v>2437</v>
      </c>
      <c r="M3" s="71">
        <f>'FS-AD Daily '!J7</f>
        <v>7006</v>
      </c>
      <c r="N3" s="71">
        <f>'FS-AD Daily '!T7</f>
        <v>147.50799999999435</v>
      </c>
      <c r="O3" s="71">
        <f>'FS-AD Daily '!R7</f>
        <v>66.684999999997672</v>
      </c>
      <c r="P3" s="71">
        <f>'FS-AD Daily '!Z7</f>
        <v>574</v>
      </c>
      <c r="Q3" s="71">
        <f>'FS-AD Daily '!V7</f>
        <v>270.70000000001164</v>
      </c>
      <c r="R3" s="71">
        <f>'FS-AD Daily '!W7</f>
        <v>0</v>
      </c>
      <c r="S3" s="71">
        <f t="shared" ref="S3:S31" si="0">P3-Q3-R3</f>
        <v>303.29999999998836</v>
      </c>
      <c r="T3" s="71">
        <f>'FS-AD Daily '!AD7*3.516</f>
        <v>43591.368000000002</v>
      </c>
      <c r="U3" s="71">
        <f>('FS-AD Daily '!AF7)*1000</f>
        <v>20599.999999991269</v>
      </c>
      <c r="V3" s="71">
        <f>('FS-AD Daily '!AG7)*1000</f>
        <v>8099.9999999985448</v>
      </c>
      <c r="W3" s="71">
        <f>'FS-AD Daily '!AH7*1000</f>
        <v>6299.9999999992724</v>
      </c>
      <c r="X3" s="71">
        <f>('FS-AD Daily '!AK7)*1000</f>
        <v>18599.999999998545</v>
      </c>
      <c r="Y3" s="71">
        <v>87</v>
      </c>
      <c r="Z3" s="114">
        <v>138</v>
      </c>
    </row>
    <row r="4" spans="1:26" x14ac:dyDescent="0.25">
      <c r="A4" s="113" t="s">
        <v>80</v>
      </c>
      <c r="B4" s="69">
        <f t="shared" ref="B4:B32" si="1">B3+1</f>
        <v>3</v>
      </c>
      <c r="C4" s="70">
        <v>3</v>
      </c>
      <c r="D4" s="69">
        <v>2021</v>
      </c>
      <c r="E4" s="71">
        <f>'FS-AD Daily '!B8</f>
        <v>4788</v>
      </c>
      <c r="F4" s="71">
        <f>'FS-AD Daily '!C8</f>
        <v>3102</v>
      </c>
      <c r="G4" s="71">
        <f>'FS-AD Daily '!D8</f>
        <v>944</v>
      </c>
      <c r="H4" s="71">
        <f>'FS-AD Daily '!E8</f>
        <v>4708</v>
      </c>
      <c r="I4" s="71">
        <f>'FS-AD Daily '!F8</f>
        <v>5782</v>
      </c>
      <c r="J4" s="71">
        <f>'FS-AD Daily '!G8</f>
        <v>2632</v>
      </c>
      <c r="K4" s="71">
        <f>'FS-AD Daily '!H8</f>
        <v>3574</v>
      </c>
      <c r="L4" s="71">
        <f>'FS-AD Daily '!I8</f>
        <v>2475</v>
      </c>
      <c r="M4" s="71">
        <f>'FS-AD Daily '!J8</f>
        <v>6995</v>
      </c>
      <c r="N4" s="71">
        <f>'FS-AD Daily '!T8</f>
        <v>134.99000000000524</v>
      </c>
      <c r="O4" s="71">
        <f>'FS-AD Daily '!R8</f>
        <v>70.139000000009219</v>
      </c>
      <c r="P4" s="71">
        <f>'FS-AD Daily '!Z8</f>
        <v>600</v>
      </c>
      <c r="Q4" s="71">
        <f>'FS-AD Daily '!V8</f>
        <v>292.60000000003492</v>
      </c>
      <c r="R4" s="71">
        <f>'FS-AD Daily '!W8</f>
        <v>0</v>
      </c>
      <c r="S4" s="71">
        <f t="shared" si="0"/>
        <v>307.39999999996508</v>
      </c>
      <c r="T4" s="71">
        <f>'FS-AD Daily '!AD8*3.516</f>
        <v>48731.056799999344</v>
      </c>
      <c r="U4" s="71">
        <f>('FS-AD Daily '!AF8)*1000</f>
        <v>22900.000000008731</v>
      </c>
      <c r="V4" s="71">
        <f>('FS-AD Daily '!AG8)*1000</f>
        <v>8900.0000000014552</v>
      </c>
      <c r="W4" s="71">
        <f>'FS-AD Daily '!AH8*1000</f>
        <v>7299.9999999992724</v>
      </c>
      <c r="X4" s="71">
        <f>('FS-AD Daily '!AK8)*1000</f>
        <v>19400.000000001455</v>
      </c>
      <c r="Y4" s="71">
        <v>75</v>
      </c>
      <c r="Z4" s="114">
        <v>122</v>
      </c>
    </row>
    <row r="5" spans="1:26" x14ac:dyDescent="0.25">
      <c r="A5" s="113" t="s">
        <v>80</v>
      </c>
      <c r="B5" s="69">
        <f t="shared" si="1"/>
        <v>4</v>
      </c>
      <c r="C5" s="70">
        <v>3</v>
      </c>
      <c r="D5" s="69">
        <v>2021</v>
      </c>
      <c r="E5" s="71">
        <f>'FS-AD Daily '!B9</f>
        <v>4576</v>
      </c>
      <c r="F5" s="71">
        <f>'FS-AD Daily '!C9</f>
        <v>2110</v>
      </c>
      <c r="G5" s="71">
        <f>'FS-AD Daily '!D9</f>
        <v>881</v>
      </c>
      <c r="H5" s="71">
        <f>'FS-AD Daily '!E9</f>
        <v>4717</v>
      </c>
      <c r="I5" s="71">
        <f>'FS-AD Daily '!F9</f>
        <v>6086</v>
      </c>
      <c r="J5" s="71">
        <f>'FS-AD Daily '!G9</f>
        <v>2679</v>
      </c>
      <c r="K5" s="71">
        <f>'FS-AD Daily '!H9</f>
        <v>3767</v>
      </c>
      <c r="L5" s="71">
        <f>'FS-AD Daily '!I9</f>
        <v>2548</v>
      </c>
      <c r="M5" s="71">
        <f>'FS-AD Daily '!J9</f>
        <v>7585</v>
      </c>
      <c r="N5" s="71">
        <f>'FS-AD Daily '!T9</f>
        <v>151.23500000000058</v>
      </c>
      <c r="O5" s="71">
        <f>'FS-AD Daily '!R9</f>
        <v>76.668999999992138</v>
      </c>
      <c r="P5" s="71">
        <f>'FS-AD Daily '!Z9</f>
        <v>601</v>
      </c>
      <c r="Q5" s="71">
        <f>'FS-AD Daily '!V9</f>
        <v>282.69999999995343</v>
      </c>
      <c r="R5" s="71">
        <f>'FS-AD Daily '!W9</f>
        <v>0</v>
      </c>
      <c r="S5" s="71">
        <f t="shared" si="0"/>
        <v>318.30000000004657</v>
      </c>
      <c r="T5" s="71">
        <f>'FS-AD Daily '!AD9*3.516</f>
        <v>50052.721200000655</v>
      </c>
      <c r="U5" s="71">
        <f>('FS-AD Daily '!AF9)*1000</f>
        <v>22699.99999999709</v>
      </c>
      <c r="V5" s="71">
        <f>('FS-AD Daily '!AG9)*1000</f>
        <v>9599.9999999985448</v>
      </c>
      <c r="W5" s="71">
        <f>'FS-AD Daily '!AH9*1000</f>
        <v>7700.0000000007276</v>
      </c>
      <c r="X5" s="71">
        <f>('FS-AD Daily '!AK9)*1000</f>
        <v>19599.999999998545</v>
      </c>
      <c r="Y5" s="71">
        <v>80</v>
      </c>
      <c r="Z5" s="114">
        <v>138</v>
      </c>
    </row>
    <row r="6" spans="1:26" x14ac:dyDescent="0.25">
      <c r="A6" s="113" t="s">
        <v>80</v>
      </c>
      <c r="B6" s="69">
        <f t="shared" si="1"/>
        <v>5</v>
      </c>
      <c r="C6" s="70">
        <v>3</v>
      </c>
      <c r="D6" s="69">
        <v>2021</v>
      </c>
      <c r="E6" s="71">
        <f>'FS-AD Daily '!B10</f>
        <v>4826</v>
      </c>
      <c r="F6" s="71">
        <f>'FS-AD Daily '!C10</f>
        <v>1976</v>
      </c>
      <c r="G6" s="71">
        <f>'FS-AD Daily '!D10</f>
        <v>949</v>
      </c>
      <c r="H6" s="71">
        <f>'FS-AD Daily '!E10</f>
        <v>4713</v>
      </c>
      <c r="I6" s="71">
        <f>'FS-AD Daily '!F10</f>
        <v>5997</v>
      </c>
      <c r="J6" s="71">
        <f>'FS-AD Daily '!G10</f>
        <v>2651</v>
      </c>
      <c r="K6" s="71">
        <f>'FS-AD Daily '!H10</f>
        <v>3661</v>
      </c>
      <c r="L6" s="71">
        <f>'FS-AD Daily '!I10</f>
        <v>2528</v>
      </c>
      <c r="M6" s="71">
        <f>'FS-AD Daily '!J10</f>
        <v>7543</v>
      </c>
      <c r="N6" s="71">
        <f>'FS-AD Daily '!T10</f>
        <v>146.27400000000125</v>
      </c>
      <c r="O6" s="71">
        <f>'FS-AD Daily '!R10</f>
        <v>77.909000000006927</v>
      </c>
      <c r="P6" s="71">
        <f>'FS-AD Daily '!Z10</f>
        <v>640</v>
      </c>
      <c r="Q6" s="71">
        <f>'FS-AD Daily '!V10</f>
        <v>307.5</v>
      </c>
      <c r="R6" s="71">
        <f>'FS-AD Daily '!W10</f>
        <v>0</v>
      </c>
      <c r="S6" s="71">
        <f t="shared" si="0"/>
        <v>332.5</v>
      </c>
      <c r="T6" s="71">
        <f>'FS-AD Daily '!AD10*3.516</f>
        <v>52173.57239999967</v>
      </c>
      <c r="U6" s="71">
        <f>('FS-AD Daily '!AF10)*1000</f>
        <v>23500</v>
      </c>
      <c r="V6" s="71">
        <f>('FS-AD Daily '!AG10)*1000</f>
        <v>9900.0000000014552</v>
      </c>
      <c r="W6" s="71">
        <f>'FS-AD Daily '!AH10*1000</f>
        <v>8299.9999999992724</v>
      </c>
      <c r="X6" s="71">
        <f>('FS-AD Daily '!AK10)*1000</f>
        <v>21500</v>
      </c>
      <c r="Y6" s="71">
        <v>94</v>
      </c>
      <c r="Z6" s="114">
        <v>162</v>
      </c>
    </row>
    <row r="7" spans="1:26" x14ac:dyDescent="0.25">
      <c r="A7" s="113" t="s">
        <v>80</v>
      </c>
      <c r="B7" s="69">
        <f t="shared" si="1"/>
        <v>6</v>
      </c>
      <c r="C7" s="70">
        <v>3</v>
      </c>
      <c r="D7" s="69">
        <v>2021</v>
      </c>
      <c r="E7" s="71">
        <f>'FS-AD Daily '!B11</f>
        <v>5668</v>
      </c>
      <c r="F7" s="71">
        <f>'FS-AD Daily '!C11</f>
        <v>2163</v>
      </c>
      <c r="G7" s="71">
        <f>'FS-AD Daily '!D11</f>
        <v>945</v>
      </c>
      <c r="H7" s="71">
        <f>'FS-AD Daily '!E11</f>
        <v>4693</v>
      </c>
      <c r="I7" s="71">
        <f>'FS-AD Daily '!F11</f>
        <v>5856</v>
      </c>
      <c r="J7" s="71">
        <f>'FS-AD Daily '!G11</f>
        <v>2670</v>
      </c>
      <c r="K7" s="71">
        <f>'FS-AD Daily '!H11</f>
        <v>3751</v>
      </c>
      <c r="L7" s="71">
        <f>'FS-AD Daily '!I11</f>
        <v>1734</v>
      </c>
      <c r="M7" s="71">
        <f>'FS-AD Daily '!J11</f>
        <v>7125</v>
      </c>
      <c r="N7" s="71">
        <f>'FS-AD Daily '!T11</f>
        <v>143.69499999999243</v>
      </c>
      <c r="O7" s="71">
        <f>'FS-AD Daily '!R11</f>
        <v>74.642999999999574</v>
      </c>
      <c r="P7" s="71">
        <f>'FS-AD Daily '!Z11</f>
        <v>584</v>
      </c>
      <c r="Q7" s="71">
        <f>'FS-AD Daily '!V11</f>
        <v>288.80000000004657</v>
      </c>
      <c r="R7" s="71">
        <f>'FS-AD Daily '!W11</f>
        <v>0</v>
      </c>
      <c r="S7" s="71">
        <f t="shared" si="0"/>
        <v>295.19999999995343</v>
      </c>
      <c r="T7" s="71">
        <f>'FS-AD Daily '!AD11*3.516</f>
        <v>46086.32160000033</v>
      </c>
      <c r="U7" s="71">
        <f>('FS-AD Daily '!AF11)*1000</f>
        <v>20899.999999994179</v>
      </c>
      <c r="V7" s="71">
        <f>('FS-AD Daily '!AG11)*1000</f>
        <v>7900.0000000014552</v>
      </c>
      <c r="W7" s="71">
        <f>'FS-AD Daily '!AH11*1000</f>
        <v>7400.0000000014552</v>
      </c>
      <c r="X7" s="71">
        <f>('FS-AD Daily '!AK11)*1000</f>
        <v>19900.000000001455</v>
      </c>
      <c r="Y7" s="71">
        <v>77</v>
      </c>
      <c r="Z7" s="114">
        <v>117</v>
      </c>
    </row>
    <row r="8" spans="1:26" x14ac:dyDescent="0.25">
      <c r="A8" s="113" t="s">
        <v>80</v>
      </c>
      <c r="B8" s="69">
        <f t="shared" si="1"/>
        <v>7</v>
      </c>
      <c r="C8" s="70">
        <v>3</v>
      </c>
      <c r="D8" s="69">
        <v>2021</v>
      </c>
      <c r="E8" s="71">
        <f>'FS-AD Daily '!B12</f>
        <v>5669</v>
      </c>
      <c r="F8" s="71">
        <f>'FS-AD Daily '!C12</f>
        <v>2105</v>
      </c>
      <c r="G8" s="71">
        <f>'FS-AD Daily '!D12</f>
        <v>873</v>
      </c>
      <c r="H8" s="71">
        <f>'FS-AD Daily '!E12</f>
        <v>4431</v>
      </c>
      <c r="I8" s="71">
        <f>'FS-AD Daily '!F12</f>
        <v>5837</v>
      </c>
      <c r="J8" s="71">
        <f>'FS-AD Daily '!G12</f>
        <v>2681</v>
      </c>
      <c r="K8" s="71">
        <f>'FS-AD Daily '!H12</f>
        <v>3691</v>
      </c>
      <c r="L8" s="71">
        <f>'FS-AD Daily '!I12</f>
        <v>3293</v>
      </c>
      <c r="M8" s="71">
        <f>'FS-AD Daily '!J12</f>
        <v>7005</v>
      </c>
      <c r="N8" s="71">
        <f>'FS-AD Daily '!T12</f>
        <v>139.13300000000163</v>
      </c>
      <c r="O8" s="71">
        <f>'FS-AD Daily '!R12</f>
        <v>73.276999999995496</v>
      </c>
      <c r="P8" s="71">
        <f>'FS-AD Daily '!Z12</f>
        <v>575</v>
      </c>
      <c r="Q8" s="71">
        <f>'FS-AD Daily '!V12</f>
        <v>276.79999999998836</v>
      </c>
      <c r="R8" s="71">
        <f>'FS-AD Daily '!W12</f>
        <v>0</v>
      </c>
      <c r="S8" s="71">
        <f t="shared" si="0"/>
        <v>298.20000000001164</v>
      </c>
      <c r="T8" s="71">
        <f>'FS-AD Daily '!AD12*3.516</f>
        <v>40406.223600000325</v>
      </c>
      <c r="U8" s="71">
        <f>('FS-AD Daily '!AF12)*1000</f>
        <v>18699.99999999709</v>
      </c>
      <c r="V8" s="71">
        <f>('FS-AD Daily '!AG12)*1000</f>
        <v>8099.9999999985448</v>
      </c>
      <c r="W8" s="71">
        <f>'FS-AD Daily '!AH12*1000</f>
        <v>6599.9999999985448</v>
      </c>
      <c r="X8" s="71">
        <f>('FS-AD Daily '!AK12)*1000</f>
        <v>16099.999999998545</v>
      </c>
      <c r="Y8" s="71">
        <v>72</v>
      </c>
      <c r="Z8" s="114">
        <v>110</v>
      </c>
    </row>
    <row r="9" spans="1:26" x14ac:dyDescent="0.25">
      <c r="A9" s="113" t="s">
        <v>80</v>
      </c>
      <c r="B9" s="69">
        <f t="shared" si="1"/>
        <v>8</v>
      </c>
      <c r="C9" s="70">
        <v>3</v>
      </c>
      <c r="D9" s="69">
        <v>2021</v>
      </c>
      <c r="E9" s="71">
        <f>'FS-AD Daily '!B13</f>
        <v>4900</v>
      </c>
      <c r="F9" s="71">
        <f>'FS-AD Daily '!C13</f>
        <v>2125</v>
      </c>
      <c r="G9" s="71">
        <f>'FS-AD Daily '!D13</f>
        <v>891</v>
      </c>
      <c r="H9" s="71">
        <f>'FS-AD Daily '!E13</f>
        <v>4411</v>
      </c>
      <c r="I9" s="71">
        <f>'FS-AD Daily '!F13</f>
        <v>5843</v>
      </c>
      <c r="J9" s="71">
        <f>'FS-AD Daily '!G13</f>
        <v>2559</v>
      </c>
      <c r="K9" s="71">
        <f>'FS-AD Daily '!H13</f>
        <v>3708</v>
      </c>
      <c r="L9" s="71">
        <f>'FS-AD Daily '!I13</f>
        <v>3462</v>
      </c>
      <c r="M9" s="71">
        <f>'FS-AD Daily '!J13</f>
        <v>7007</v>
      </c>
      <c r="N9" s="71">
        <f>'FS-AD Daily '!T13</f>
        <v>104.25500000000102</v>
      </c>
      <c r="O9" s="71">
        <f>'FS-AD Daily '!R13</f>
        <v>67.417999999996027</v>
      </c>
      <c r="P9" s="71">
        <f>'FS-AD Daily '!Z13</f>
        <v>552</v>
      </c>
      <c r="Q9" s="71">
        <f>'FS-AD Daily '!V13</f>
        <v>257</v>
      </c>
      <c r="R9" s="71">
        <f>'FS-AD Daily '!W13</f>
        <v>0</v>
      </c>
      <c r="S9" s="71">
        <f t="shared" si="0"/>
        <v>295</v>
      </c>
      <c r="T9" s="71">
        <f>'FS-AD Daily '!AD13*3.516</f>
        <v>39503.314799999345</v>
      </c>
      <c r="U9" s="71">
        <f>('FS-AD Daily '!AF13)*1000</f>
        <v>18100.000000005821</v>
      </c>
      <c r="V9" s="71">
        <f>('FS-AD Daily '!AG13)*1000</f>
        <v>8099.9999999985448</v>
      </c>
      <c r="W9" s="71">
        <f>'FS-AD Daily '!AH13*1000</f>
        <v>6100.0000000021828</v>
      </c>
      <c r="X9" s="71">
        <f>('FS-AD Daily '!AK13)*1000</f>
        <v>16300.00000000291</v>
      </c>
      <c r="Y9" s="71">
        <v>71</v>
      </c>
      <c r="Z9" s="114">
        <v>106</v>
      </c>
    </row>
    <row r="10" spans="1:26" x14ac:dyDescent="0.25">
      <c r="A10" s="113" t="s">
        <v>80</v>
      </c>
      <c r="B10" s="69">
        <f t="shared" si="1"/>
        <v>9</v>
      </c>
      <c r="C10" s="70">
        <v>3</v>
      </c>
      <c r="D10" s="69">
        <v>2021</v>
      </c>
      <c r="E10" s="71">
        <f>'FS-AD Daily '!B14</f>
        <v>5184</v>
      </c>
      <c r="F10" s="71">
        <f>'FS-AD Daily '!C14</f>
        <v>2560</v>
      </c>
      <c r="G10" s="71">
        <f>'FS-AD Daily '!D14</f>
        <v>903</v>
      </c>
      <c r="H10" s="71">
        <f>'FS-AD Daily '!E14</f>
        <v>4596</v>
      </c>
      <c r="I10" s="71">
        <f>'FS-AD Daily '!F14</f>
        <v>5825</v>
      </c>
      <c r="J10" s="71">
        <f>'FS-AD Daily '!G14</f>
        <v>2600</v>
      </c>
      <c r="K10" s="71">
        <f>'FS-AD Daily '!H14</f>
        <v>3811</v>
      </c>
      <c r="L10" s="71">
        <f>'FS-AD Daily '!I14</f>
        <v>1475</v>
      </c>
      <c r="M10" s="71">
        <f>'FS-AD Daily '!J14</f>
        <v>6996</v>
      </c>
      <c r="N10" s="71">
        <f>'FS-AD Daily '!T14</f>
        <v>134.16400000000067</v>
      </c>
      <c r="O10" s="71">
        <f>'FS-AD Daily '!R14</f>
        <v>68.021000000003369</v>
      </c>
      <c r="P10" s="71">
        <f>'FS-AD Daily '!Z14</f>
        <v>557</v>
      </c>
      <c r="Q10" s="71">
        <f>'FS-AD Daily '!V14</f>
        <v>275.5</v>
      </c>
      <c r="R10" s="71">
        <f>'FS-AD Daily '!W14</f>
        <v>0</v>
      </c>
      <c r="S10" s="71">
        <f t="shared" si="0"/>
        <v>281.5</v>
      </c>
      <c r="T10" s="71">
        <f>'FS-AD Daily '!AD14*3.516</f>
        <v>41978.93039999967</v>
      </c>
      <c r="U10" s="71">
        <f>('FS-AD Daily '!AF14)*1000</f>
        <v>19699.99999999709</v>
      </c>
      <c r="V10" s="71">
        <f>('FS-AD Daily '!AG14)*1000</f>
        <v>8599.9999999985448</v>
      </c>
      <c r="W10" s="71">
        <f>'FS-AD Daily '!AH14*1000</f>
        <v>6199.9999999970896</v>
      </c>
      <c r="X10" s="71">
        <f>('FS-AD Daily '!AK14)*1000</f>
        <v>16899.999999994179</v>
      </c>
      <c r="Y10" s="71">
        <v>80</v>
      </c>
      <c r="Z10" s="114">
        <v>121</v>
      </c>
    </row>
    <row r="11" spans="1:26" x14ac:dyDescent="0.25">
      <c r="A11" s="113" t="s">
        <v>80</v>
      </c>
      <c r="B11" s="69">
        <f t="shared" si="1"/>
        <v>10</v>
      </c>
      <c r="C11" s="70">
        <v>3</v>
      </c>
      <c r="D11" s="69">
        <v>2021</v>
      </c>
      <c r="E11" s="71">
        <f>'FS-AD Daily '!B15</f>
        <v>5085</v>
      </c>
      <c r="F11" s="71">
        <f>'FS-AD Daily '!C15</f>
        <v>2557</v>
      </c>
      <c r="G11" s="71">
        <f>'FS-AD Daily '!D15</f>
        <v>898</v>
      </c>
      <c r="H11" s="71">
        <f>'FS-AD Daily '!E15</f>
        <v>4688</v>
      </c>
      <c r="I11" s="71">
        <f>'FS-AD Daily '!F15</f>
        <v>5898</v>
      </c>
      <c r="J11" s="71">
        <f>'FS-AD Daily '!G15</f>
        <v>2630</v>
      </c>
      <c r="K11" s="71">
        <f>'FS-AD Daily '!H15</f>
        <v>3808</v>
      </c>
      <c r="L11" s="71">
        <f>'FS-AD Daily '!I15</f>
        <v>2391</v>
      </c>
      <c r="M11" s="71">
        <f>'FS-AD Daily '!J15</f>
        <v>6981</v>
      </c>
      <c r="N11" s="71">
        <f>'FS-AD Daily '!T15</f>
        <v>130.63099999999758</v>
      </c>
      <c r="O11" s="71">
        <f>'FS-AD Daily '!R15</f>
        <v>70.067999999992935</v>
      </c>
      <c r="P11" s="71">
        <f>'FS-AD Daily '!Z15</f>
        <v>572</v>
      </c>
      <c r="Q11" s="71">
        <f>'FS-AD Daily '!V15</f>
        <v>278.70000000001164</v>
      </c>
      <c r="R11" s="71">
        <f>'FS-AD Daily '!W15</f>
        <v>0</v>
      </c>
      <c r="S11" s="71">
        <f t="shared" si="0"/>
        <v>293.29999999998836</v>
      </c>
      <c r="T11" s="71">
        <f>'FS-AD Daily '!AD15*3.516</f>
        <v>41908.610400001307</v>
      </c>
      <c r="U11" s="71">
        <f>('FS-AD Daily '!AF15)*1000</f>
        <v>19800.00000000291</v>
      </c>
      <c r="V11" s="71">
        <f>('FS-AD Daily '!AG15)*1000</f>
        <v>8900.0000000014552</v>
      </c>
      <c r="W11" s="71">
        <f>'FS-AD Daily '!AH15*1000</f>
        <v>6800.0000000029104</v>
      </c>
      <c r="X11" s="71">
        <f>('FS-AD Daily '!AK15)*1000</f>
        <v>17800.00000000291</v>
      </c>
      <c r="Y11" s="71">
        <v>83</v>
      </c>
      <c r="Z11" s="114">
        <v>121</v>
      </c>
    </row>
    <row r="12" spans="1:26" x14ac:dyDescent="0.25">
      <c r="A12" s="113" t="s">
        <v>80</v>
      </c>
      <c r="B12" s="69">
        <f t="shared" si="1"/>
        <v>11</v>
      </c>
      <c r="C12" s="70">
        <v>3</v>
      </c>
      <c r="D12" s="69">
        <v>2021</v>
      </c>
      <c r="E12" s="71">
        <f>'FS-AD Daily '!B16</f>
        <v>5610</v>
      </c>
      <c r="F12" s="71">
        <f>'FS-AD Daily '!C16</f>
        <v>2501</v>
      </c>
      <c r="G12" s="71">
        <f>'FS-AD Daily '!D16</f>
        <v>890</v>
      </c>
      <c r="H12" s="71">
        <f>'FS-AD Daily '!E16</f>
        <v>4849</v>
      </c>
      <c r="I12" s="71">
        <f>'FS-AD Daily '!F16</f>
        <v>6191</v>
      </c>
      <c r="J12" s="71">
        <f>'FS-AD Daily '!G16</f>
        <v>2775</v>
      </c>
      <c r="K12" s="71">
        <f>'FS-AD Daily '!H16</f>
        <v>3948</v>
      </c>
      <c r="L12" s="71">
        <f>'FS-AD Daily '!I16</f>
        <v>2559</v>
      </c>
      <c r="M12" s="71">
        <f>'FS-AD Daily '!J16</f>
        <v>6810</v>
      </c>
      <c r="N12" s="71">
        <f>'FS-AD Daily '!T16</f>
        <v>145.59900000000562</v>
      </c>
      <c r="O12" s="71">
        <f>'FS-AD Daily '!R16</f>
        <v>80.55500000001166</v>
      </c>
      <c r="P12" s="71">
        <f>'FS-AD Daily '!Z16</f>
        <v>610</v>
      </c>
      <c r="Q12" s="71">
        <f>'FS-AD Daily '!V16</f>
        <v>294.69999999995343</v>
      </c>
      <c r="R12" s="71">
        <f>'FS-AD Daily '!W16</f>
        <v>0</v>
      </c>
      <c r="S12" s="71">
        <f t="shared" si="0"/>
        <v>315.30000000004657</v>
      </c>
      <c r="T12" s="71">
        <f>'FS-AD Daily '!AD16*3.516</f>
        <v>48452.941199999019</v>
      </c>
      <c r="U12" s="71">
        <f>('FS-AD Daily '!AF16)*1000</f>
        <v>21899.999999994179</v>
      </c>
      <c r="V12" s="71">
        <f>('FS-AD Daily '!AG16)*1000</f>
        <v>9099.9999999985448</v>
      </c>
      <c r="W12" s="71">
        <f>'FS-AD Daily '!AH16*1000</f>
        <v>7599.9999999985448</v>
      </c>
      <c r="X12" s="71">
        <f>('FS-AD Daily '!AK16)*1000</f>
        <v>20000</v>
      </c>
      <c r="Y12" s="71">
        <v>82</v>
      </c>
      <c r="Z12" s="114">
        <v>129</v>
      </c>
    </row>
    <row r="13" spans="1:26" x14ac:dyDescent="0.25">
      <c r="A13" s="113" t="s">
        <v>80</v>
      </c>
      <c r="B13" s="69">
        <f t="shared" si="1"/>
        <v>12</v>
      </c>
      <c r="C13" s="70">
        <v>3</v>
      </c>
      <c r="D13" s="69">
        <v>2021</v>
      </c>
      <c r="E13" s="71">
        <f>'FS-AD Daily '!B17</f>
        <v>4774</v>
      </c>
      <c r="F13" s="71">
        <f>'FS-AD Daily '!C17</f>
        <v>2280</v>
      </c>
      <c r="G13" s="71">
        <f>'FS-AD Daily '!D17</f>
        <v>910</v>
      </c>
      <c r="H13" s="71">
        <f>'FS-AD Daily '!E17</f>
        <v>4527</v>
      </c>
      <c r="I13" s="71">
        <f>'FS-AD Daily '!F17</f>
        <v>5893</v>
      </c>
      <c r="J13" s="71">
        <f>'FS-AD Daily '!G17</f>
        <v>2465</v>
      </c>
      <c r="K13" s="71">
        <f>'FS-AD Daily '!H17</f>
        <v>3685</v>
      </c>
      <c r="L13" s="71">
        <f>'FS-AD Daily '!I17</f>
        <v>2419</v>
      </c>
      <c r="M13" s="71">
        <f>'FS-AD Daily '!J17</f>
        <v>6864</v>
      </c>
      <c r="N13" s="71">
        <f>'FS-AD Daily '!T17</f>
        <v>138.34599999999773</v>
      </c>
      <c r="O13" s="71">
        <f>'FS-AD Daily '!R17</f>
        <v>77.326999999994769</v>
      </c>
      <c r="P13" s="71">
        <f>'FS-AD Daily '!Z17</f>
        <v>623</v>
      </c>
      <c r="Q13" s="71">
        <f>'FS-AD Daily '!V17</f>
        <v>276.90000000002328</v>
      </c>
      <c r="R13" s="71">
        <f>'FS-AD Daily '!W17</f>
        <v>0</v>
      </c>
      <c r="S13" s="71">
        <f t="shared" si="0"/>
        <v>346.09999999997672</v>
      </c>
      <c r="T13" s="71">
        <f>'FS-AD Daily '!AD17*3.516</f>
        <v>49202.904000000002</v>
      </c>
      <c r="U13" s="71">
        <f>('FS-AD Daily '!AF17)*1000</f>
        <v>22200.000000011642</v>
      </c>
      <c r="V13" s="71">
        <f>('FS-AD Daily '!AG17)*1000</f>
        <v>9700.0000000043656</v>
      </c>
      <c r="W13" s="71">
        <f>'FS-AD Daily '!AH17*1000</f>
        <v>7799.9999999992724</v>
      </c>
      <c r="X13" s="71">
        <f>('FS-AD Daily '!AK17)*1000</f>
        <v>20099.999999998545</v>
      </c>
      <c r="Y13" s="71">
        <v>75</v>
      </c>
      <c r="Z13" s="114">
        <v>131</v>
      </c>
    </row>
    <row r="14" spans="1:26" x14ac:dyDescent="0.25">
      <c r="A14" s="113" t="s">
        <v>80</v>
      </c>
      <c r="B14" s="69">
        <f t="shared" si="1"/>
        <v>13</v>
      </c>
      <c r="C14" s="70">
        <v>3</v>
      </c>
      <c r="D14" s="69">
        <v>2021</v>
      </c>
      <c r="E14" s="71">
        <f>'FS-AD Daily '!B18</f>
        <v>6500</v>
      </c>
      <c r="F14" s="71">
        <f>'FS-AD Daily '!C18</f>
        <v>2471</v>
      </c>
      <c r="G14" s="71">
        <f>'FS-AD Daily '!D18</f>
        <v>896</v>
      </c>
      <c r="H14" s="71">
        <f>'FS-AD Daily '!E18</f>
        <v>4711</v>
      </c>
      <c r="I14" s="71">
        <f>'FS-AD Daily '!F18</f>
        <v>5845</v>
      </c>
      <c r="J14" s="71">
        <f>'FS-AD Daily '!G18</f>
        <v>2541</v>
      </c>
      <c r="K14" s="71">
        <f>'FS-AD Daily '!H18</f>
        <v>3797</v>
      </c>
      <c r="L14" s="71">
        <f>'FS-AD Daily '!I18</f>
        <v>2531</v>
      </c>
      <c r="M14" s="71">
        <f>'FS-AD Daily '!J18</f>
        <v>6842</v>
      </c>
      <c r="N14" s="71">
        <f>'FS-AD Daily '!T18</f>
        <v>131.90899999999601</v>
      </c>
      <c r="O14" s="71">
        <f>'FS-AD Daily '!R18</f>
        <v>69.031999999999698</v>
      </c>
      <c r="P14" s="71">
        <f>'FS-AD Daily '!Z18</f>
        <v>548</v>
      </c>
      <c r="Q14" s="71">
        <f>'FS-AD Daily '!V18</f>
        <v>267.40000000002328</v>
      </c>
      <c r="R14" s="71">
        <f>'FS-AD Daily '!W18</f>
        <v>0</v>
      </c>
      <c r="S14" s="71">
        <f t="shared" si="0"/>
        <v>280.59999999997672</v>
      </c>
      <c r="T14" s="71">
        <f>'FS-AD Daily '!AD18*3.516</f>
        <v>50148.707999999999</v>
      </c>
      <c r="U14" s="71">
        <f>('FS-AD Daily '!AF18)*1000</f>
        <v>21899.999999994179</v>
      </c>
      <c r="V14" s="71">
        <f>('FS-AD Daily '!AG18)*1000</f>
        <v>9000</v>
      </c>
      <c r="W14" s="71">
        <f>'FS-AD Daily '!AH18*1000</f>
        <v>8500</v>
      </c>
      <c r="X14" s="71">
        <f>('FS-AD Daily '!AK18)*1000</f>
        <v>22700.000000004366</v>
      </c>
      <c r="Y14" s="71">
        <v>63</v>
      </c>
      <c r="Z14" s="114">
        <v>90</v>
      </c>
    </row>
    <row r="15" spans="1:26" x14ac:dyDescent="0.25">
      <c r="A15" s="113" t="s">
        <v>80</v>
      </c>
      <c r="B15" s="69">
        <f t="shared" si="1"/>
        <v>14</v>
      </c>
      <c r="C15" s="70">
        <v>3</v>
      </c>
      <c r="D15" s="69">
        <v>2021</v>
      </c>
      <c r="E15" s="71">
        <f>'FS-AD Daily '!B19</f>
        <v>6014</v>
      </c>
      <c r="F15" s="71">
        <f>'FS-AD Daily '!C19</f>
        <v>2369</v>
      </c>
      <c r="G15" s="71">
        <f>'FS-AD Daily '!D19</f>
        <v>919</v>
      </c>
      <c r="H15" s="71">
        <f>'FS-AD Daily '!E19</f>
        <v>4477</v>
      </c>
      <c r="I15" s="71">
        <f>'FS-AD Daily '!F19</f>
        <v>5810</v>
      </c>
      <c r="J15" s="71">
        <f>'FS-AD Daily '!G19</f>
        <v>2582</v>
      </c>
      <c r="K15" s="71">
        <f>'FS-AD Daily '!H19</f>
        <v>3803</v>
      </c>
      <c r="L15" s="71">
        <f>'FS-AD Daily '!I19</f>
        <v>2434</v>
      </c>
      <c r="M15" s="71">
        <f>'FS-AD Daily '!J19</f>
        <v>8066</v>
      </c>
      <c r="N15" s="71">
        <f>'FS-AD Daily '!T19</f>
        <v>112.87800000000789</v>
      </c>
      <c r="O15" s="71">
        <f>'FS-AD Daily '!R19</f>
        <v>66.262000000003809</v>
      </c>
      <c r="P15" s="71">
        <f>'FS-AD Daily '!Z19</f>
        <v>558</v>
      </c>
      <c r="Q15" s="71">
        <f>'FS-AD Daily '!V19</f>
        <v>260.79999999998836</v>
      </c>
      <c r="R15" s="71">
        <f>'FS-AD Daily '!W19</f>
        <v>0</v>
      </c>
      <c r="S15" s="71">
        <f t="shared" si="0"/>
        <v>297.20000000001164</v>
      </c>
      <c r="T15" s="71">
        <f>'FS-AD Daily '!AD19*3.516</f>
        <v>40553.544000000002</v>
      </c>
      <c r="U15" s="71">
        <f>('FS-AD Daily '!AF19)*1000</f>
        <v>18600.000000005821</v>
      </c>
      <c r="V15" s="71">
        <f>('FS-AD Daily '!AG19)*1000</f>
        <v>7199.9999999970896</v>
      </c>
      <c r="W15" s="71">
        <f>'FS-AD Daily '!AH19*1000</f>
        <v>6700.0000000007276</v>
      </c>
      <c r="X15" s="71">
        <f>('FS-AD Daily '!AK19)*1000</f>
        <v>18399.999999994179</v>
      </c>
      <c r="Y15" s="71">
        <v>76</v>
      </c>
      <c r="Z15" s="114">
        <v>103</v>
      </c>
    </row>
    <row r="16" spans="1:26" x14ac:dyDescent="0.25">
      <c r="A16" s="113" t="s">
        <v>80</v>
      </c>
      <c r="B16" s="69">
        <f t="shared" si="1"/>
        <v>15</v>
      </c>
      <c r="C16" s="70">
        <v>3</v>
      </c>
      <c r="D16" s="69">
        <v>2021</v>
      </c>
      <c r="E16" s="71">
        <f>'FS-AD Daily '!B20</f>
        <v>5284</v>
      </c>
      <c r="F16" s="71">
        <f>'FS-AD Daily '!C20</f>
        <v>2327</v>
      </c>
      <c r="G16" s="71">
        <f>'FS-AD Daily '!D20</f>
        <v>895</v>
      </c>
      <c r="H16" s="71">
        <f>'FS-AD Daily '!E20</f>
        <v>4455</v>
      </c>
      <c r="I16" s="71">
        <f>'FS-AD Daily '!F20</f>
        <v>5690</v>
      </c>
      <c r="J16" s="71">
        <f>'FS-AD Daily '!G20</f>
        <v>2535</v>
      </c>
      <c r="K16" s="71">
        <f>'FS-AD Daily '!H20</f>
        <v>3748</v>
      </c>
      <c r="L16" s="71">
        <f>'FS-AD Daily '!I20</f>
        <v>2382</v>
      </c>
      <c r="M16" s="71">
        <f>'FS-AD Daily '!J20</f>
        <v>6824</v>
      </c>
      <c r="N16" s="71">
        <f>'FS-AD Daily '!T20</f>
        <v>126.60499999999593</v>
      </c>
      <c r="O16" s="71">
        <f>'FS-AD Daily '!R20</f>
        <v>69.693000000001575</v>
      </c>
      <c r="P16" s="71">
        <f>'FS-AD Daily '!Z20</f>
        <v>570</v>
      </c>
      <c r="Q16" s="71">
        <f>'FS-AD Daily '!V20</f>
        <v>271.89999999996508</v>
      </c>
      <c r="R16" s="71">
        <f>'FS-AD Daily '!W20</f>
        <v>0</v>
      </c>
      <c r="S16" s="71">
        <f t="shared" si="0"/>
        <v>298.10000000003492</v>
      </c>
      <c r="T16" s="71">
        <f>'FS-AD Daily '!AD20*3.516</f>
        <v>40683.635999999999</v>
      </c>
      <c r="U16" s="71">
        <f>('FS-AD Daily '!AF20)*1000</f>
        <v>18699.99999999709</v>
      </c>
      <c r="V16" s="71">
        <f>('FS-AD Daily '!AG20)*1000</f>
        <v>7199.9999999970896</v>
      </c>
      <c r="W16" s="71">
        <f>'FS-AD Daily '!AH20*1000</f>
        <v>6400.0000000014552</v>
      </c>
      <c r="X16" s="71">
        <f>('FS-AD Daily '!AK20)*1000</f>
        <v>18200.000000004366</v>
      </c>
      <c r="Y16" s="71">
        <v>74</v>
      </c>
      <c r="Z16" s="114">
        <v>108</v>
      </c>
    </row>
    <row r="17" spans="1:26" x14ac:dyDescent="0.25">
      <c r="A17" s="113" t="s">
        <v>80</v>
      </c>
      <c r="B17" s="69">
        <f t="shared" si="1"/>
        <v>16</v>
      </c>
      <c r="C17" s="70">
        <v>3</v>
      </c>
      <c r="D17" s="69">
        <v>2021</v>
      </c>
      <c r="E17" s="71">
        <f>'FS-AD Daily '!B21</f>
        <v>5347</v>
      </c>
      <c r="F17" s="71">
        <f>'FS-AD Daily '!C21</f>
        <v>3076</v>
      </c>
      <c r="G17" s="71">
        <f>'FS-AD Daily '!D21</f>
        <v>924</v>
      </c>
      <c r="H17" s="71">
        <f>'FS-AD Daily '!E21</f>
        <v>4714</v>
      </c>
      <c r="I17" s="71">
        <f>'FS-AD Daily '!F21</f>
        <v>5975</v>
      </c>
      <c r="J17" s="71">
        <f>'FS-AD Daily '!G21</f>
        <v>2656</v>
      </c>
      <c r="K17" s="71">
        <f>'FS-AD Daily '!H21</f>
        <v>3900</v>
      </c>
      <c r="L17" s="71">
        <f>'FS-AD Daily '!I21</f>
        <v>2491</v>
      </c>
      <c r="M17" s="71">
        <f>'FS-AD Daily '!J21</f>
        <v>6982</v>
      </c>
      <c r="N17" s="71">
        <f>'FS-AD Daily '!T21</f>
        <v>146.9590000000062</v>
      </c>
      <c r="O17" s="71">
        <f>'FS-AD Daily '!R21</f>
        <v>70.642000000009375</v>
      </c>
      <c r="P17" s="71">
        <f>'FS-AD Daily '!Z21</f>
        <v>582</v>
      </c>
      <c r="Q17" s="71">
        <f>'FS-AD Daily '!V21</f>
        <v>286.70000000001164</v>
      </c>
      <c r="R17" s="71">
        <f>'FS-AD Daily '!W21</f>
        <v>0</v>
      </c>
      <c r="S17" s="71">
        <f t="shared" si="0"/>
        <v>295.29999999998836</v>
      </c>
      <c r="T17" s="71">
        <f>'FS-AD Daily '!AD21*3.516</f>
        <v>47912.883600000328</v>
      </c>
      <c r="U17" s="71">
        <f>('FS-AD Daily '!AF21)*1000</f>
        <v>23599.999999991269</v>
      </c>
      <c r="V17" s="71">
        <f>('FS-AD Daily '!AG21)*1000</f>
        <v>8100.0000000058208</v>
      </c>
      <c r="W17" s="71">
        <f>'FS-AD Daily '!AH21*1000</f>
        <v>7000</v>
      </c>
      <c r="X17" s="71">
        <f>('FS-AD Daily '!AK21)*1000</f>
        <v>19099.999999998545</v>
      </c>
      <c r="Y17" s="71">
        <v>76</v>
      </c>
      <c r="Z17" s="114">
        <v>113</v>
      </c>
    </row>
    <row r="18" spans="1:26" x14ac:dyDescent="0.25">
      <c r="A18" s="113" t="s">
        <v>80</v>
      </c>
      <c r="B18" s="69">
        <f t="shared" si="1"/>
        <v>17</v>
      </c>
      <c r="C18" s="70">
        <v>3</v>
      </c>
      <c r="D18" s="69">
        <v>2021</v>
      </c>
      <c r="E18" s="71">
        <f>'FS-AD Daily '!B22</f>
        <v>4965</v>
      </c>
      <c r="F18" s="71">
        <f>'FS-AD Daily '!C22</f>
        <v>3296</v>
      </c>
      <c r="G18" s="71">
        <f>'FS-AD Daily '!D22</f>
        <v>878</v>
      </c>
      <c r="H18" s="71">
        <f>'FS-AD Daily '!E22</f>
        <v>4836</v>
      </c>
      <c r="I18" s="71">
        <f>'FS-AD Daily '!F22</f>
        <v>5984</v>
      </c>
      <c r="J18" s="71">
        <f>'FS-AD Daily '!G22</f>
        <v>2538</v>
      </c>
      <c r="K18" s="71">
        <f>'FS-AD Daily '!H22</f>
        <v>3825</v>
      </c>
      <c r="L18" s="71">
        <f>'FS-AD Daily '!I22</f>
        <v>2513</v>
      </c>
      <c r="M18" s="71">
        <f>'FS-AD Daily '!J22</f>
        <v>7006</v>
      </c>
      <c r="N18" s="71">
        <f>'FS-AD Daily '!T22</f>
        <v>125.21500000000015</v>
      </c>
      <c r="O18" s="71">
        <f>'FS-AD Daily '!R22</f>
        <v>46.779999999987012</v>
      </c>
      <c r="P18" s="71">
        <f>'FS-AD Daily '!Z22</f>
        <v>583</v>
      </c>
      <c r="Q18" s="71">
        <f>'FS-AD Daily '!V22</f>
        <v>269.40000000002328</v>
      </c>
      <c r="R18" s="71">
        <f>'FS-AD Daily '!W22</f>
        <v>0</v>
      </c>
      <c r="S18" s="71">
        <f t="shared" si="0"/>
        <v>313.59999999997672</v>
      </c>
      <c r="T18" s="71">
        <f>'FS-AD Daily '!AD22*3.516</f>
        <v>50338.220399999671</v>
      </c>
      <c r="U18" s="71">
        <f>('FS-AD Daily '!AF22)*1000</f>
        <v>23900.000000008731</v>
      </c>
      <c r="V18" s="71">
        <f>('FS-AD Daily '!AG22)*1000</f>
        <v>9399.9999999941792</v>
      </c>
      <c r="W18" s="71">
        <f>'FS-AD Daily '!AH22*1000</f>
        <v>7699.9999999970896</v>
      </c>
      <c r="X18" s="71">
        <f>('FS-AD Daily '!AK22)*1000</f>
        <v>19800.00000000291</v>
      </c>
      <c r="Y18" s="71">
        <v>52</v>
      </c>
      <c r="Z18" s="114">
        <v>84</v>
      </c>
    </row>
    <row r="19" spans="1:26" x14ac:dyDescent="0.25">
      <c r="A19" s="113" t="s">
        <v>80</v>
      </c>
      <c r="B19" s="69">
        <f t="shared" si="1"/>
        <v>18</v>
      </c>
      <c r="C19" s="70">
        <v>3</v>
      </c>
      <c r="D19" s="69">
        <v>2021</v>
      </c>
      <c r="E19" s="71">
        <f>'FS-AD Daily '!B23</f>
        <v>5225</v>
      </c>
      <c r="F19" s="71">
        <f>'FS-AD Daily '!C23</f>
        <v>2465</v>
      </c>
      <c r="G19" s="71">
        <f>'FS-AD Daily '!D23</f>
        <v>915</v>
      </c>
      <c r="H19" s="71">
        <f>'FS-AD Daily '!E23</f>
        <v>4920</v>
      </c>
      <c r="I19" s="71">
        <f>'FS-AD Daily '!F23</f>
        <v>5984</v>
      </c>
      <c r="J19" s="71">
        <f>'FS-AD Daily '!G23</f>
        <v>2535</v>
      </c>
      <c r="K19" s="71">
        <f>'FS-AD Daily '!H23</f>
        <v>3935</v>
      </c>
      <c r="L19" s="71">
        <f>'FS-AD Daily '!I23</f>
        <v>2572</v>
      </c>
      <c r="M19" s="71">
        <f>'FS-AD Daily '!J23</f>
        <v>7075</v>
      </c>
      <c r="N19" s="71">
        <f>'FS-AD Daily '!T23</f>
        <v>135.42499999999927</v>
      </c>
      <c r="O19" s="71">
        <f>'FS-AD Daily '!R23</f>
        <v>97.455000000004475</v>
      </c>
      <c r="P19" s="71">
        <f>'FS-AD Daily '!Z23</f>
        <v>600</v>
      </c>
      <c r="Q19" s="71">
        <f>'FS-AD Daily '!V23</f>
        <v>285.29999999998836</v>
      </c>
      <c r="R19" s="71">
        <f>'FS-AD Daily '!W23</f>
        <v>0</v>
      </c>
      <c r="S19" s="71">
        <f t="shared" si="0"/>
        <v>314.70000000001164</v>
      </c>
      <c r="T19" s="71">
        <f>'FS-AD Daily '!AD23*3.516</f>
        <v>50781.939600000325</v>
      </c>
      <c r="U19" s="71">
        <f>('FS-AD Daily '!AF23)*1000</f>
        <v>22399.999999994179</v>
      </c>
      <c r="V19" s="71">
        <f>('FS-AD Daily '!AG23)*1000</f>
        <v>10300.00000000291</v>
      </c>
      <c r="W19" s="71">
        <f>'FS-AD Daily '!AH23*1000</f>
        <v>8800.0000000029104</v>
      </c>
      <c r="X19" s="71">
        <f>('FS-AD Daily '!AK23)*1000</f>
        <v>20399.999999994179</v>
      </c>
      <c r="Y19" s="71">
        <v>67</v>
      </c>
      <c r="Z19" s="114">
        <v>111</v>
      </c>
    </row>
    <row r="20" spans="1:26" x14ac:dyDescent="0.25">
      <c r="A20" s="113" t="s">
        <v>80</v>
      </c>
      <c r="B20" s="69">
        <f t="shared" si="1"/>
        <v>19</v>
      </c>
      <c r="C20" s="70">
        <v>3</v>
      </c>
      <c r="D20" s="69">
        <v>2021</v>
      </c>
      <c r="E20" s="71">
        <f>'FS-AD Daily '!B24</f>
        <v>5174</v>
      </c>
      <c r="F20" s="71">
        <f>'FS-AD Daily '!C24</f>
        <v>2135</v>
      </c>
      <c r="G20" s="71">
        <f>'FS-AD Daily '!D24</f>
        <v>893</v>
      </c>
      <c r="H20" s="71">
        <f>'FS-AD Daily '!E24</f>
        <v>4721</v>
      </c>
      <c r="I20" s="71">
        <f>'FS-AD Daily '!F24</f>
        <v>5929</v>
      </c>
      <c r="J20" s="71">
        <f>'FS-AD Daily '!G24</f>
        <v>2620</v>
      </c>
      <c r="K20" s="71">
        <f>'FS-AD Daily '!H24</f>
        <v>3816</v>
      </c>
      <c r="L20" s="71">
        <f>'FS-AD Daily '!I24</f>
        <v>2540</v>
      </c>
      <c r="M20" s="71">
        <f>'FS-AD Daily '!J24</f>
        <v>7124</v>
      </c>
      <c r="N20" s="71">
        <f>'FS-AD Daily '!T24</f>
        <v>126.87499999999636</v>
      </c>
      <c r="O20" s="71">
        <f>'FS-AD Daily '!R24</f>
        <v>8.4000000000019099</v>
      </c>
      <c r="P20" s="71">
        <f>'FS-AD Daily '!Z24</f>
        <v>633</v>
      </c>
      <c r="Q20" s="71">
        <f>'FS-AD Daily '!V24</f>
        <v>285.40000000002328</v>
      </c>
      <c r="R20" s="71">
        <f>'FS-AD Daily '!W24</f>
        <v>0</v>
      </c>
      <c r="S20" s="71">
        <f t="shared" si="0"/>
        <v>347.59999999997672</v>
      </c>
      <c r="T20" s="71">
        <f>'FS-AD Daily '!AD24*3.516</f>
        <v>56210.292000000001</v>
      </c>
      <c r="U20" s="71">
        <f>('FS-AD Daily '!AF24)*1000</f>
        <v>25100.000000005821</v>
      </c>
      <c r="V20" s="71">
        <f>('FS-AD Daily '!AG24)*1000</f>
        <v>11099.999999998545</v>
      </c>
      <c r="W20" s="71">
        <f>'FS-AD Daily '!AH24*1000</f>
        <v>9699.9999999970896</v>
      </c>
      <c r="X20" s="71">
        <f>('FS-AD Daily '!AK24)*1000</f>
        <v>22600.000000005821</v>
      </c>
      <c r="Y20" s="71">
        <v>83</v>
      </c>
      <c r="Z20" s="114">
        <v>147</v>
      </c>
    </row>
    <row r="21" spans="1:26" x14ac:dyDescent="0.25">
      <c r="A21" s="113" t="s">
        <v>80</v>
      </c>
      <c r="B21" s="69">
        <f t="shared" si="1"/>
        <v>20</v>
      </c>
      <c r="C21" s="70">
        <v>3</v>
      </c>
      <c r="D21" s="69">
        <v>2021</v>
      </c>
      <c r="E21" s="71">
        <f>'FS-AD Daily '!B25</f>
        <v>5385</v>
      </c>
      <c r="F21" s="71">
        <f>'FS-AD Daily '!C25</f>
        <v>2031</v>
      </c>
      <c r="G21" s="71">
        <f>'FS-AD Daily '!D25</f>
        <v>919</v>
      </c>
      <c r="H21" s="71">
        <f>'FS-AD Daily '!E25</f>
        <v>4917</v>
      </c>
      <c r="I21" s="71">
        <f>'FS-AD Daily '!F25</f>
        <v>5898</v>
      </c>
      <c r="J21" s="71">
        <f>'FS-AD Daily '!G25</f>
        <v>2903</v>
      </c>
      <c r="K21" s="71">
        <f>'FS-AD Daily '!H25</f>
        <v>3896</v>
      </c>
      <c r="L21" s="71">
        <f>'FS-AD Daily '!I25</f>
        <v>2549</v>
      </c>
      <c r="M21" s="71">
        <f>'FS-AD Daily '!J25</f>
        <v>7191</v>
      </c>
      <c r="N21" s="71">
        <f>'FS-AD Daily '!T25</f>
        <v>146.85699999999997</v>
      </c>
      <c r="O21" s="71">
        <f>'FS-AD Daily '!R25</f>
        <v>94.835000000009131</v>
      </c>
      <c r="P21" s="71">
        <f>'FS-AD Daily '!Z25</f>
        <v>569</v>
      </c>
      <c r="Q21" s="71">
        <f>'FS-AD Daily '!V25</f>
        <v>280.29999999998836</v>
      </c>
      <c r="R21" s="71">
        <f>'FS-AD Daily '!W25</f>
        <v>0</v>
      </c>
      <c r="S21" s="71">
        <f t="shared" si="0"/>
        <v>288.70000000001164</v>
      </c>
      <c r="T21" s="71">
        <f>'FS-AD Daily '!AD25*3.516</f>
        <v>59430.947999999997</v>
      </c>
      <c r="U21" s="71">
        <f>('FS-AD Daily '!AF25)*1000</f>
        <v>27099.999999991269</v>
      </c>
      <c r="V21" s="71">
        <f>('FS-AD Daily '!AG25)*1000</f>
        <v>11500</v>
      </c>
      <c r="W21" s="71">
        <f>'FS-AD Daily '!AH25*1000</f>
        <v>10500</v>
      </c>
      <c r="X21" s="71">
        <f>('FS-AD Daily '!AK25)*1000</f>
        <v>23199.99999999709</v>
      </c>
      <c r="Y21" s="71">
        <v>78</v>
      </c>
      <c r="Z21" s="114">
        <v>126</v>
      </c>
    </row>
    <row r="22" spans="1:26" x14ac:dyDescent="0.25">
      <c r="A22" s="113" t="s">
        <v>80</v>
      </c>
      <c r="B22" s="69">
        <f t="shared" si="1"/>
        <v>21</v>
      </c>
      <c r="C22" s="70">
        <v>3</v>
      </c>
      <c r="D22" s="69">
        <v>2021</v>
      </c>
      <c r="E22" s="71">
        <f>'FS-AD Daily '!B26</f>
        <v>6548</v>
      </c>
      <c r="F22" s="71">
        <f>'FS-AD Daily '!C26</f>
        <v>2041</v>
      </c>
      <c r="G22" s="71">
        <f>'FS-AD Daily '!D26</f>
        <v>877</v>
      </c>
      <c r="H22" s="71">
        <f>'FS-AD Daily '!E26</f>
        <v>4589</v>
      </c>
      <c r="I22" s="71">
        <f>'FS-AD Daily '!F26</f>
        <v>5574</v>
      </c>
      <c r="J22" s="71">
        <f>'FS-AD Daily '!G26</f>
        <v>2781</v>
      </c>
      <c r="K22" s="71">
        <f>'FS-AD Daily '!H26</f>
        <v>3696</v>
      </c>
      <c r="L22" s="71">
        <f>'FS-AD Daily '!I26</f>
        <v>2405</v>
      </c>
      <c r="M22" s="71">
        <f>'FS-AD Daily '!J26</f>
        <v>6742</v>
      </c>
      <c r="N22" s="71">
        <f>'FS-AD Daily '!T26</f>
        <v>145.24499999999898</v>
      </c>
      <c r="O22" s="71">
        <f>'FS-AD Daily '!R26</f>
        <v>52.9079999999949</v>
      </c>
      <c r="P22" s="71">
        <f>'FS-AD Daily '!Z26</f>
        <v>585</v>
      </c>
      <c r="Q22" s="71">
        <f>'FS-AD Daily '!V26</f>
        <v>277.59999999997672</v>
      </c>
      <c r="R22" s="71">
        <f>'FS-AD Daily '!W26</f>
        <v>0</v>
      </c>
      <c r="S22" s="71">
        <f t="shared" si="0"/>
        <v>307.40000000002328</v>
      </c>
      <c r="T22" s="71">
        <f>'FS-AD Daily '!AD26*3.516</f>
        <v>46839.800399999673</v>
      </c>
      <c r="U22" s="71">
        <f>('FS-AD Daily '!AF26)*1000</f>
        <v>21600.000000005821</v>
      </c>
      <c r="V22" s="71">
        <f>('FS-AD Daily '!AG26)*1000</f>
        <v>9500</v>
      </c>
      <c r="W22" s="71">
        <f>'FS-AD Daily '!AH26*1000</f>
        <v>8500</v>
      </c>
      <c r="X22" s="71">
        <f>('FS-AD Daily '!AK26)*1000</f>
        <v>19800.00000000291</v>
      </c>
      <c r="Y22" s="71">
        <v>105</v>
      </c>
      <c r="Z22" s="114">
        <v>139</v>
      </c>
    </row>
    <row r="23" spans="1:26" x14ac:dyDescent="0.25">
      <c r="A23" s="113" t="s">
        <v>80</v>
      </c>
      <c r="B23" s="69">
        <f t="shared" si="1"/>
        <v>22</v>
      </c>
      <c r="C23" s="70">
        <v>3</v>
      </c>
      <c r="D23" s="69">
        <v>2021</v>
      </c>
      <c r="E23" s="71">
        <f>'FS-AD Daily '!B27</f>
        <v>7085</v>
      </c>
      <c r="F23" s="71">
        <f>'FS-AD Daily '!C27</f>
        <v>3055</v>
      </c>
      <c r="G23" s="71">
        <f>'FS-AD Daily '!D27</f>
        <v>866</v>
      </c>
      <c r="H23" s="71">
        <f>'FS-AD Daily '!E27</f>
        <v>4844</v>
      </c>
      <c r="I23" s="71">
        <f>'FS-AD Daily '!F27</f>
        <v>5898</v>
      </c>
      <c r="J23" s="71">
        <f>'FS-AD Daily '!G27</f>
        <v>2816</v>
      </c>
      <c r="K23" s="71">
        <f>'FS-AD Daily '!H27</f>
        <v>3836</v>
      </c>
      <c r="L23" s="71">
        <f>'FS-AD Daily '!I27</f>
        <v>2411</v>
      </c>
      <c r="M23" s="71">
        <f>'FS-AD Daily '!J27</f>
        <v>7100</v>
      </c>
      <c r="N23" s="71">
        <f>'FS-AD Daily '!T27</f>
        <v>129.39900000000125</v>
      </c>
      <c r="O23" s="71">
        <f>'FS-AD Daily '!R27</f>
        <v>143.84600000000546</v>
      </c>
      <c r="P23" s="71">
        <f>'FS-AD Daily '!Z27</f>
        <v>644</v>
      </c>
      <c r="Q23" s="71">
        <f>'FS-AD Daily '!V27</f>
        <v>279.79999999998836</v>
      </c>
      <c r="R23" s="71">
        <f>'FS-AD Daily '!W27</f>
        <v>0</v>
      </c>
      <c r="S23" s="71">
        <f t="shared" si="0"/>
        <v>364.20000000001164</v>
      </c>
      <c r="T23" s="71">
        <f>'FS-AD Daily '!AD27*3.516</f>
        <v>50626.883999999998</v>
      </c>
      <c r="U23" s="71">
        <f>('FS-AD Daily '!AF27)*1000</f>
        <v>24000</v>
      </c>
      <c r="V23" s="71">
        <f>('FS-AD Daily '!AG27)*1000</f>
        <v>10099.999999998545</v>
      </c>
      <c r="W23" s="71">
        <f>'FS-AD Daily '!AH27*1000</f>
        <v>8500</v>
      </c>
      <c r="X23" s="71">
        <f>('FS-AD Daily '!AK27)*1000</f>
        <v>21599.999999998545</v>
      </c>
      <c r="Y23" s="71">
        <v>108</v>
      </c>
      <c r="Z23" s="114">
        <v>148</v>
      </c>
    </row>
    <row r="24" spans="1:26" x14ac:dyDescent="0.25">
      <c r="A24" s="113" t="s">
        <v>80</v>
      </c>
      <c r="B24" s="69">
        <f t="shared" si="1"/>
        <v>23</v>
      </c>
      <c r="C24" s="70">
        <v>3</v>
      </c>
      <c r="D24" s="69">
        <v>2021</v>
      </c>
      <c r="E24" s="71">
        <f>'FS-AD Daily '!B28</f>
        <v>5293</v>
      </c>
      <c r="F24" s="71">
        <f>'FS-AD Daily '!C28</f>
        <v>3085</v>
      </c>
      <c r="G24" s="71">
        <f>'FS-AD Daily '!D28</f>
        <v>841</v>
      </c>
      <c r="H24" s="71">
        <f>'FS-AD Daily '!E28</f>
        <v>4791</v>
      </c>
      <c r="I24" s="71">
        <f>'FS-AD Daily '!F28</f>
        <v>5837</v>
      </c>
      <c r="J24" s="71">
        <f>'FS-AD Daily '!G28</f>
        <v>2888</v>
      </c>
      <c r="K24" s="71">
        <f>'FS-AD Daily '!H28</f>
        <v>3843</v>
      </c>
      <c r="L24" s="71">
        <f>'FS-AD Daily '!I28</f>
        <v>2402</v>
      </c>
      <c r="M24" s="71">
        <f>'FS-AD Daily '!J28</f>
        <v>6909</v>
      </c>
      <c r="N24" s="71">
        <f>'FS-AD Daily '!T28</f>
        <v>148.66299999999683</v>
      </c>
      <c r="O24" s="71">
        <f>'FS-AD Daily '!R28</f>
        <v>65.985999999999876</v>
      </c>
      <c r="P24" s="71">
        <f>'FS-AD Daily '!Z28</f>
        <v>705</v>
      </c>
      <c r="Q24" s="71">
        <f>'FS-AD Daily '!V28</f>
        <v>273.40000000002328</v>
      </c>
      <c r="R24" s="71">
        <f>'FS-AD Daily '!W28</f>
        <v>92.310000000012224</v>
      </c>
      <c r="S24" s="71">
        <f t="shared" si="0"/>
        <v>339.28999999996449</v>
      </c>
      <c r="T24" s="71">
        <f>'FS-AD Daily '!AD28*3.516</f>
        <v>52423.56</v>
      </c>
      <c r="U24" s="71">
        <f>('FS-AD Daily '!AF28)*1000</f>
        <v>25000</v>
      </c>
      <c r="V24" s="71">
        <f>('FS-AD Daily '!AG28)*1000</f>
        <v>10900.000000001455</v>
      </c>
      <c r="W24" s="71">
        <f>'FS-AD Daily '!AH28*1000</f>
        <v>8700.0000000007276</v>
      </c>
      <c r="X24" s="71">
        <f>('FS-AD Daily '!AK28)*1000</f>
        <v>21599.999999998545</v>
      </c>
      <c r="Y24" s="71">
        <v>118</v>
      </c>
      <c r="Z24" s="114">
        <v>161</v>
      </c>
    </row>
    <row r="25" spans="1:26" x14ac:dyDescent="0.25">
      <c r="A25" s="113" t="s">
        <v>80</v>
      </c>
      <c r="B25" s="69">
        <f t="shared" si="1"/>
        <v>24</v>
      </c>
      <c r="C25" s="70">
        <v>3</v>
      </c>
      <c r="D25" s="69">
        <v>2021</v>
      </c>
      <c r="E25" s="71">
        <f>'FS-AD Daily '!B29</f>
        <v>4945</v>
      </c>
      <c r="F25" s="71">
        <f>'FS-AD Daily '!C29</f>
        <v>3501</v>
      </c>
      <c r="G25" s="71">
        <f>'FS-AD Daily '!D29</f>
        <v>861</v>
      </c>
      <c r="H25" s="71">
        <f>'FS-AD Daily '!E29</f>
        <v>4866</v>
      </c>
      <c r="I25" s="71">
        <f>'FS-AD Daily '!F29</f>
        <v>6124</v>
      </c>
      <c r="J25" s="71">
        <f>'FS-AD Daily '!G29</f>
        <v>2846</v>
      </c>
      <c r="K25" s="71">
        <f>'FS-AD Daily '!H29</f>
        <v>3886</v>
      </c>
      <c r="L25" s="71">
        <f>'FS-AD Daily '!I29</f>
        <v>2473</v>
      </c>
      <c r="M25" s="71">
        <f>'FS-AD Daily '!J29</f>
        <v>7117</v>
      </c>
      <c r="N25" s="71">
        <f>'FS-AD Daily '!T29</f>
        <v>178.81100000000515</v>
      </c>
      <c r="O25" s="71">
        <f>'FS-AD Daily '!R29</f>
        <v>68.673999999990883</v>
      </c>
      <c r="P25" s="71">
        <f>'FS-AD Daily '!Z29</f>
        <v>703</v>
      </c>
      <c r="Q25" s="71">
        <f>'FS-AD Daily '!V29</f>
        <v>293.29999999998836</v>
      </c>
      <c r="R25" s="71">
        <f>'FS-AD Daily '!W29</f>
        <v>90.039999999993597</v>
      </c>
      <c r="S25" s="71">
        <f t="shared" si="0"/>
        <v>319.66000000001804</v>
      </c>
      <c r="T25" s="71">
        <f>'FS-AD Daily '!AD29*3.516</f>
        <v>59919.671999999999</v>
      </c>
      <c r="U25" s="71">
        <f>('FS-AD Daily '!AF29)*1000</f>
        <v>28199.99999999709</v>
      </c>
      <c r="V25" s="71">
        <f>('FS-AD Daily '!AG29)*1000</f>
        <v>12800.00000000291</v>
      </c>
      <c r="W25" s="71">
        <f>'FS-AD Daily '!AH29*1000</f>
        <v>9799.9999999992724</v>
      </c>
      <c r="X25" s="71">
        <f>('FS-AD Daily '!AK29)*1000</f>
        <v>23500</v>
      </c>
      <c r="Y25" s="71">
        <v>112</v>
      </c>
      <c r="Z25" s="114">
        <v>147</v>
      </c>
    </row>
    <row r="26" spans="1:26" x14ac:dyDescent="0.25">
      <c r="A26" s="113" t="s">
        <v>80</v>
      </c>
      <c r="B26" s="69">
        <f>B25+1</f>
        <v>25</v>
      </c>
      <c r="C26" s="70">
        <v>3</v>
      </c>
      <c r="D26" s="69">
        <v>2021</v>
      </c>
      <c r="E26" s="71">
        <f>'FS-AD Daily '!B30</f>
        <v>4881</v>
      </c>
      <c r="F26" s="71">
        <f>'FS-AD Daily '!C30</f>
        <v>3741</v>
      </c>
      <c r="G26" s="71">
        <f>'FS-AD Daily '!D30</f>
        <v>949</v>
      </c>
      <c r="H26" s="71">
        <f>'FS-AD Daily '!E30</f>
        <v>5322</v>
      </c>
      <c r="I26" s="71">
        <f>'FS-AD Daily '!F30</f>
        <v>6088</v>
      </c>
      <c r="J26" s="71">
        <f>'FS-AD Daily '!G30</f>
        <v>2992</v>
      </c>
      <c r="K26" s="71">
        <f>'FS-AD Daily '!H30</f>
        <v>3922</v>
      </c>
      <c r="L26" s="71">
        <f>'FS-AD Daily '!I30</f>
        <v>2538</v>
      </c>
      <c r="M26" s="71">
        <f>'FS-AD Daily '!J30</f>
        <v>7338</v>
      </c>
      <c r="N26" s="71">
        <f>'FS-AD Daily '!T30</f>
        <v>174.54300000000512</v>
      </c>
      <c r="O26" s="71">
        <f>'FS-AD Daily '!R30</f>
        <v>73.717999999999847</v>
      </c>
      <c r="P26" s="71">
        <f>'FS-AD Daily '!Z30</f>
        <v>699</v>
      </c>
      <c r="Q26" s="71">
        <f>'FS-AD Daily '!V30</f>
        <v>250.40000000002328</v>
      </c>
      <c r="R26" s="71">
        <f>'FS-AD Daily '!W30</f>
        <v>97.869999999995343</v>
      </c>
      <c r="S26" s="71">
        <f t="shared" si="0"/>
        <v>350.72999999998137</v>
      </c>
      <c r="T26" s="71">
        <f>'FS-AD Daily '!AD30*3.516</f>
        <v>59764.968000000001</v>
      </c>
      <c r="U26" s="71">
        <f>('FS-AD Daily '!AF30)*1000</f>
        <v>26800.00000000291</v>
      </c>
      <c r="V26" s="71">
        <f>('FS-AD Daily '!AG30)*1000</f>
        <v>14299.999999995634</v>
      </c>
      <c r="W26" s="71">
        <f>'FS-AD Daily '!AH30*1000</f>
        <v>10600.000000002183</v>
      </c>
      <c r="X26" s="71">
        <f>('FS-AD Daily '!AK30)*1000</f>
        <v>23500</v>
      </c>
      <c r="Y26" s="71">
        <v>72</v>
      </c>
      <c r="Z26" s="114">
        <v>118</v>
      </c>
    </row>
    <row r="27" spans="1:26" x14ac:dyDescent="0.25">
      <c r="A27" s="113" t="s">
        <v>80</v>
      </c>
      <c r="B27" s="69">
        <f t="shared" si="1"/>
        <v>26</v>
      </c>
      <c r="C27" s="70">
        <v>3</v>
      </c>
      <c r="D27" s="69">
        <v>2021</v>
      </c>
      <c r="E27" s="71">
        <f>'FS-AD Daily '!B31</f>
        <v>5089</v>
      </c>
      <c r="F27" s="71">
        <f>'FS-AD Daily '!C31</f>
        <v>3469</v>
      </c>
      <c r="G27" s="71">
        <f>'FS-AD Daily '!D31</f>
        <v>964</v>
      </c>
      <c r="H27" s="71">
        <f>'FS-AD Daily '!E31</f>
        <v>5051</v>
      </c>
      <c r="I27" s="71">
        <f>'FS-AD Daily '!F31</f>
        <v>6121</v>
      </c>
      <c r="J27" s="71">
        <f>'FS-AD Daily '!G31</f>
        <v>2911</v>
      </c>
      <c r="K27" s="71">
        <f>'FS-AD Daily '!H31</f>
        <v>3857</v>
      </c>
      <c r="L27" s="71">
        <f>'FS-AD Daily '!I31</f>
        <v>2486</v>
      </c>
      <c r="M27" s="71">
        <f>'FS-AD Daily '!J31</f>
        <v>7351</v>
      </c>
      <c r="N27" s="71">
        <f>'FS-AD Daily '!T31</f>
        <v>155.51699999998527</v>
      </c>
      <c r="O27" s="71">
        <f>'FS-AD Daily '!R31</f>
        <v>81.704000000000633</v>
      </c>
      <c r="P27" s="71">
        <f>'FS-AD Daily '!Z31</f>
        <v>623</v>
      </c>
      <c r="Q27" s="71">
        <f>'FS-AD Daily '!V31</f>
        <v>268.09999999997672</v>
      </c>
      <c r="R27" s="71">
        <f>'FS-AD Daily '!W31</f>
        <v>0</v>
      </c>
      <c r="S27" s="71">
        <f t="shared" si="0"/>
        <v>354.90000000002328</v>
      </c>
      <c r="T27" s="71">
        <f>'FS-AD Daily '!AD31*3.516</f>
        <v>61685.055600000327</v>
      </c>
      <c r="U27" s="71">
        <f>('FS-AD Daily '!AF31)*1000</f>
        <v>28800.00000000291</v>
      </c>
      <c r="V27" s="71">
        <f>('FS-AD Daily '!AG31)*1000</f>
        <v>13000</v>
      </c>
      <c r="W27" s="71">
        <f>'FS-AD Daily '!AH31*1000</f>
        <v>11000</v>
      </c>
      <c r="X27" s="71">
        <f>('FS-AD Daily '!AK31)*1000</f>
        <v>23800.00000000291</v>
      </c>
      <c r="Y27" s="71">
        <v>98</v>
      </c>
      <c r="Z27" s="114">
        <v>177</v>
      </c>
    </row>
    <row r="28" spans="1:26" x14ac:dyDescent="0.25">
      <c r="A28" s="113" t="s">
        <v>80</v>
      </c>
      <c r="B28" s="69">
        <f t="shared" si="1"/>
        <v>27</v>
      </c>
      <c r="C28" s="70">
        <v>3</v>
      </c>
      <c r="D28" s="69">
        <v>2021</v>
      </c>
      <c r="E28" s="71">
        <f>'FS-AD Daily '!B32</f>
        <v>4515</v>
      </c>
      <c r="F28" s="71">
        <f>'FS-AD Daily '!C32</f>
        <v>2957</v>
      </c>
      <c r="G28" s="71">
        <f>'FS-AD Daily '!D32</f>
        <v>944</v>
      </c>
      <c r="H28" s="71">
        <f>'FS-AD Daily '!E32</f>
        <v>5220</v>
      </c>
      <c r="I28" s="71">
        <f>'FS-AD Daily '!F32</f>
        <v>5825</v>
      </c>
      <c r="J28" s="71">
        <f>'FS-AD Daily '!G32</f>
        <v>2809</v>
      </c>
      <c r="K28" s="71">
        <f>'FS-AD Daily '!H32</f>
        <v>3811</v>
      </c>
      <c r="L28" s="71">
        <f>'FS-AD Daily '!I32</f>
        <v>2504</v>
      </c>
      <c r="M28" s="71">
        <f>'FS-AD Daily '!J32</f>
        <v>7210</v>
      </c>
      <c r="N28" s="71">
        <f>'FS-AD Daily '!T32</f>
        <v>151.42500000000291</v>
      </c>
      <c r="O28" s="71">
        <f>'FS-AD Daily '!R32</f>
        <v>76.337000000001808</v>
      </c>
      <c r="P28" s="71">
        <f>'FS-AD Daily '!Z32</f>
        <v>548</v>
      </c>
      <c r="Q28" s="71">
        <f>'FS-AD Daily '!V32</f>
        <v>229.40000000002328</v>
      </c>
      <c r="R28" s="71">
        <f>'FS-AD Daily '!W32</f>
        <v>0</v>
      </c>
      <c r="S28" s="71">
        <f t="shared" si="0"/>
        <v>318.59999999997672</v>
      </c>
      <c r="T28" s="71">
        <f>'FS-AD Daily '!AD32*3.516</f>
        <v>57560.436000000002</v>
      </c>
      <c r="U28" s="71">
        <f>('FS-AD Daily '!AF32)*1000</f>
        <v>26800.00000000291</v>
      </c>
      <c r="V28" s="71">
        <f>('FS-AD Daily '!AG32)*1000</f>
        <v>11800.00000000291</v>
      </c>
      <c r="W28" s="71">
        <f>'FS-AD Daily '!AH32*1000</f>
        <v>11299.999999999272</v>
      </c>
      <c r="X28" s="71">
        <f>('FS-AD Daily '!AK32)*1000</f>
        <v>22899.999999994179</v>
      </c>
      <c r="Y28" s="71">
        <v>98</v>
      </c>
      <c r="Z28" s="114">
        <v>181</v>
      </c>
    </row>
    <row r="29" spans="1:26" x14ac:dyDescent="0.25">
      <c r="A29" s="113" t="s">
        <v>80</v>
      </c>
      <c r="B29" s="69">
        <f t="shared" si="1"/>
        <v>28</v>
      </c>
      <c r="C29" s="70">
        <v>3</v>
      </c>
      <c r="D29" s="69">
        <v>2021</v>
      </c>
      <c r="E29" s="71">
        <f>'FS-AD Daily '!B33</f>
        <v>5066</v>
      </c>
      <c r="F29" s="71">
        <f>'FS-AD Daily '!C33</f>
        <v>2334</v>
      </c>
      <c r="G29" s="71">
        <f>'FS-AD Daily '!D33</f>
        <v>934</v>
      </c>
      <c r="H29" s="71">
        <f>'FS-AD Daily '!E33</f>
        <v>5338</v>
      </c>
      <c r="I29" s="71">
        <f>'FS-AD Daily '!F33</f>
        <v>5801</v>
      </c>
      <c r="J29" s="71">
        <f>'FS-AD Daily '!G33</f>
        <v>2843</v>
      </c>
      <c r="K29" s="71">
        <f>'FS-AD Daily '!H33</f>
        <v>3873</v>
      </c>
      <c r="L29" s="71">
        <f>'FS-AD Daily '!I33</f>
        <v>2534</v>
      </c>
      <c r="M29" s="71">
        <f>'FS-AD Daily '!J33</f>
        <v>7182</v>
      </c>
      <c r="N29" s="71">
        <f>'FS-AD Daily '!T33</f>
        <v>143.90659999999843</v>
      </c>
      <c r="O29" s="71">
        <f>'FS-AD Daily '!R33</f>
        <v>70.465000000008786</v>
      </c>
      <c r="P29" s="71">
        <f>'FS-AD Daily '!Z33</f>
        <v>507</v>
      </c>
      <c r="Q29" s="71">
        <f>'FS-AD Daily '!V33</f>
        <v>222.59999999997672</v>
      </c>
      <c r="R29" s="71">
        <f>'FS-AD Daily '!W33</f>
        <v>0</v>
      </c>
      <c r="S29" s="71">
        <f t="shared" si="0"/>
        <v>284.40000000002328</v>
      </c>
      <c r="T29" s="71">
        <f>'FS-AD Daily '!AD33*3.516</f>
        <v>57726.039600000331</v>
      </c>
      <c r="U29" s="71">
        <f>('FS-AD Daily '!AF33)*1000</f>
        <v>26099.999999991269</v>
      </c>
      <c r="V29" s="71">
        <f>('FS-AD Daily '!AG33)*1000</f>
        <v>10699.99999999709</v>
      </c>
      <c r="W29" s="71">
        <f>'FS-AD Daily '!AH33*1000</f>
        <v>10900.000000001455</v>
      </c>
      <c r="X29" s="71">
        <f>('FS-AD Daily '!AK33)*1000</f>
        <v>25200.000000004366</v>
      </c>
      <c r="Y29" s="71">
        <v>114</v>
      </c>
      <c r="Z29" s="114">
        <v>211</v>
      </c>
    </row>
    <row r="30" spans="1:26" x14ac:dyDescent="0.25">
      <c r="A30" s="113" t="s">
        <v>80</v>
      </c>
      <c r="B30" s="69">
        <f t="shared" si="1"/>
        <v>29</v>
      </c>
      <c r="C30" s="70">
        <v>3</v>
      </c>
      <c r="D30" s="69">
        <v>2021</v>
      </c>
      <c r="E30" s="71">
        <f>'FS-AD Daily '!B34</f>
        <v>6049</v>
      </c>
      <c r="F30" s="71">
        <f>'FS-AD Daily '!C34</f>
        <v>3025</v>
      </c>
      <c r="G30" s="71">
        <f>'FS-AD Daily '!D34</f>
        <v>940</v>
      </c>
      <c r="H30" s="71">
        <f>'FS-AD Daily '!E34</f>
        <v>5483</v>
      </c>
      <c r="I30" s="71">
        <f>'FS-AD Daily '!F34</f>
        <v>5739</v>
      </c>
      <c r="J30" s="71">
        <f>'FS-AD Daily '!G34</f>
        <v>2858</v>
      </c>
      <c r="K30" s="71">
        <f>'FS-AD Daily '!H34</f>
        <v>4033</v>
      </c>
      <c r="L30" s="71">
        <f>'FS-AD Daily '!I34</f>
        <v>2449</v>
      </c>
      <c r="M30" s="71">
        <f>'FS-AD Daily '!J34</f>
        <v>7271</v>
      </c>
      <c r="N30" s="71">
        <f>'FS-AD Daily '!T34</f>
        <v>138.43300000000818</v>
      </c>
      <c r="O30" s="71">
        <f>'FS-AD Daily '!R34</f>
        <v>62.931999999997515</v>
      </c>
      <c r="P30" s="71">
        <f>'FS-AD Daily '!Z34</f>
        <v>525</v>
      </c>
      <c r="Q30" s="71">
        <f>'FS-AD Daily '!V34</f>
        <v>224.40000000002328</v>
      </c>
      <c r="R30" s="71">
        <f>'FS-AD Daily '!W34</f>
        <v>0</v>
      </c>
      <c r="S30" s="71">
        <f t="shared" si="0"/>
        <v>300.59999999997672</v>
      </c>
      <c r="T30" s="71">
        <f>'FS-AD Daily '!AD34*3.516</f>
        <v>53165.436000000002</v>
      </c>
      <c r="U30" s="71">
        <f>('FS-AD Daily '!AF34)*1000</f>
        <v>24100.000000005821</v>
      </c>
      <c r="V30" s="71">
        <f>('FS-AD Daily '!AG34)*1000</f>
        <v>10300.00000000291</v>
      </c>
      <c r="W30" s="71">
        <f>'FS-AD Daily '!AH34*1000</f>
        <v>9399.9999999978172</v>
      </c>
      <c r="X30" s="71">
        <f>('FS-AD Daily '!AK34)*1000</f>
        <v>24500</v>
      </c>
      <c r="Y30" s="71">
        <v>121</v>
      </c>
      <c r="Z30" s="114">
        <v>201</v>
      </c>
    </row>
    <row r="31" spans="1:26" x14ac:dyDescent="0.25">
      <c r="A31" s="139" t="s">
        <v>80</v>
      </c>
      <c r="B31" s="140">
        <f t="shared" si="1"/>
        <v>30</v>
      </c>
      <c r="C31" s="70">
        <v>3</v>
      </c>
      <c r="D31" s="69">
        <v>2021</v>
      </c>
      <c r="E31" s="71">
        <f>'FS-AD Daily '!B35</f>
        <v>5778</v>
      </c>
      <c r="F31" s="71">
        <f>'FS-AD Daily '!C35</f>
        <v>2671</v>
      </c>
      <c r="G31" s="71">
        <f>'FS-AD Daily '!D35</f>
        <v>913</v>
      </c>
      <c r="H31" s="71">
        <f>'FS-AD Daily '!E35</f>
        <v>5368</v>
      </c>
      <c r="I31" s="142">
        <f>'FS-AD Daily '!F35</f>
        <v>5865</v>
      </c>
      <c r="J31" s="142">
        <f>'FS-AD Daily '!G35</f>
        <v>3003</v>
      </c>
      <c r="K31" s="142">
        <f>'FS-AD Daily '!H35</f>
        <v>4562</v>
      </c>
      <c r="L31" s="142">
        <f>'FS-AD Daily '!I35</f>
        <v>2409</v>
      </c>
      <c r="M31" s="142">
        <f>'FS-AD Daily '!J35</f>
        <v>7315</v>
      </c>
      <c r="N31" s="142">
        <f>'FS-AD Daily '!T35</f>
        <v>148.65299999999115</v>
      </c>
      <c r="O31" s="142">
        <f>'FS-AD Daily '!R35</f>
        <v>68.013000000003103</v>
      </c>
      <c r="P31" s="142">
        <f>'FS-AD Daily '!Z35</f>
        <v>529</v>
      </c>
      <c r="Q31" s="142">
        <f>'FS-AD Daily '!V35</f>
        <v>233.5</v>
      </c>
      <c r="R31" s="142">
        <f>'FS-AD Daily '!W35</f>
        <v>0</v>
      </c>
      <c r="S31" s="142">
        <f t="shared" si="0"/>
        <v>295.5</v>
      </c>
      <c r="T31" s="142">
        <f>'FS-AD Daily '!AD35*3.516</f>
        <v>56646.275999999998</v>
      </c>
      <c r="U31" s="142">
        <f>('FS-AD Daily '!AF35)*1000</f>
        <v>25899.999999994179</v>
      </c>
      <c r="V31" s="142">
        <f>('FS-AD Daily '!AG35)*1000</f>
        <v>11599.999999998545</v>
      </c>
      <c r="W31" s="142">
        <f>'FS-AD Daily '!AH35*1000</f>
        <v>9400.0000000014552</v>
      </c>
      <c r="X31" s="142">
        <f>('FS-AD Daily '!AK35)*1000</f>
        <v>24799.999999995634</v>
      </c>
      <c r="Y31" s="142">
        <v>124</v>
      </c>
      <c r="Z31" s="143">
        <v>205</v>
      </c>
    </row>
    <row r="32" spans="1:26" ht="15.75" thickBot="1" x14ac:dyDescent="0.3">
      <c r="A32" s="115" t="s">
        <v>80</v>
      </c>
      <c r="B32" s="116">
        <f t="shared" si="1"/>
        <v>31</v>
      </c>
      <c r="C32" s="117">
        <v>3</v>
      </c>
      <c r="D32" s="116">
        <v>2021</v>
      </c>
      <c r="E32" s="118">
        <f>'FS-AD Daily '!B36</f>
        <v>5135</v>
      </c>
      <c r="F32" s="118">
        <f>'FS-AD Daily '!C36</f>
        <v>2188</v>
      </c>
      <c r="G32" s="118">
        <f>'FS-AD Daily '!D36</f>
        <v>969</v>
      </c>
      <c r="H32" s="118">
        <f>'FS-AD Daily '!E36</f>
        <v>5513</v>
      </c>
      <c r="I32" s="118">
        <f>'FS-AD Daily '!F36</f>
        <v>5930</v>
      </c>
      <c r="J32" s="118">
        <f>'FS-AD Daily '!G36</f>
        <v>3115</v>
      </c>
      <c r="K32" s="118">
        <f>'FS-AD Daily '!H36</f>
        <v>5569</v>
      </c>
      <c r="L32" s="118">
        <f>'FS-AD Daily '!I36</f>
        <v>2452</v>
      </c>
      <c r="M32" s="118">
        <f>'FS-AD Daily '!J36</f>
        <v>7418</v>
      </c>
      <c r="N32" s="118">
        <f>'FS-AD Daily '!T36</f>
        <v>168.12700000000041</v>
      </c>
      <c r="O32" s="118">
        <f>'FS-AD Daily '!R36</f>
        <v>81.560999999996511</v>
      </c>
      <c r="P32" s="118">
        <f>'FS-AD Daily '!Z36</f>
        <v>581</v>
      </c>
      <c r="Q32" s="118">
        <f>'FS-AD Daily '!V36</f>
        <v>278</v>
      </c>
      <c r="R32" s="118">
        <f>'FS-AD Daily '!W36</f>
        <v>0</v>
      </c>
      <c r="S32" s="118">
        <f t="shared" ref="S32" si="2">P32-Q32-R32</f>
        <v>303</v>
      </c>
      <c r="T32" s="118">
        <f>'FS-AD Daily '!AD36*3.516</f>
        <v>60460.784399999669</v>
      </c>
      <c r="U32" s="118">
        <f>('FS-AD Daily '!AF36)*1000</f>
        <v>27100.000000005821</v>
      </c>
      <c r="V32" s="118">
        <f>('FS-AD Daily '!AG36)*1000</f>
        <v>14700.000000004366</v>
      </c>
      <c r="W32" s="118">
        <f>'FS-AD Daily '!AH36*1000</f>
        <v>9500</v>
      </c>
      <c r="X32" s="118">
        <f>('FS-AD Daily '!AK36)*1000</f>
        <v>24300.00000000291</v>
      </c>
      <c r="Y32" s="118">
        <v>131</v>
      </c>
      <c r="Z32" s="119">
        <v>212</v>
      </c>
    </row>
    <row r="33" spans="9:26" x14ac:dyDescent="0.25">
      <c r="I33" s="4">
        <f t="shared" ref="I33:W33" si="3">SUM(I2:I32)</f>
        <v>182670</v>
      </c>
      <c r="J33" s="4">
        <f t="shared" si="3"/>
        <v>84495</v>
      </c>
      <c r="K33" s="4">
        <f t="shared" si="3"/>
        <v>120168</v>
      </c>
      <c r="L33" s="4">
        <f t="shared" si="3"/>
        <v>76802</v>
      </c>
      <c r="M33" s="4">
        <f t="shared" si="3"/>
        <v>220905</v>
      </c>
      <c r="N33" s="4">
        <f t="shared" si="3"/>
        <v>4360.0305999999946</v>
      </c>
      <c r="O33" s="4">
        <f t="shared" si="3"/>
        <v>2237.1910000000212</v>
      </c>
      <c r="P33" s="4">
        <f t="shared" si="3"/>
        <v>18403</v>
      </c>
      <c r="Q33" s="4">
        <f t="shared" si="3"/>
        <v>8442.7000000000116</v>
      </c>
      <c r="R33" s="4">
        <f t="shared" si="3"/>
        <v>286.36999999999534</v>
      </c>
      <c r="S33" s="4">
        <f t="shared" si="3"/>
        <v>9673.929999999993</v>
      </c>
      <c r="T33" s="4">
        <f t="shared" si="3"/>
        <v>1550176.2720000001</v>
      </c>
      <c r="U33" s="4">
        <f t="shared" si="3"/>
        <v>713000</v>
      </c>
      <c r="V33" s="4">
        <f t="shared" si="3"/>
        <v>307600.00000000582</v>
      </c>
      <c r="W33" s="4">
        <f t="shared" si="3"/>
        <v>256400.00000000146</v>
      </c>
      <c r="X33" s="4">
        <f>'FS-AD Daily '!U38</f>
        <v>16643.062463999795</v>
      </c>
      <c r="Y33" s="4">
        <f>SUM(Y2:Y32)</f>
        <v>2717</v>
      </c>
      <c r="Z33" s="4">
        <f>SUM(Z2:Z32)</f>
        <v>4288</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7" ySplit="4" topLeftCell="Y20" activePane="bottomRight" state="frozen"/>
      <selection pane="topRight" activeCell="H1" sqref="H1"/>
      <selection pane="bottomLeft" activeCell="A5" sqref="A5"/>
      <selection pane="bottomRight" activeCell="AD37" sqref="AD37"/>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54" t="s">
        <v>14</v>
      </c>
      <c r="C1" s="154"/>
      <c r="D1" s="154"/>
      <c r="E1" s="154"/>
      <c r="F1" s="154"/>
      <c r="G1" s="154"/>
      <c r="H1" s="154"/>
      <c r="I1" s="154"/>
      <c r="J1" s="154"/>
      <c r="K1" s="25" t="s">
        <v>15</v>
      </c>
      <c r="L1" s="26" t="s">
        <v>16</v>
      </c>
      <c r="M1" s="27" t="s">
        <v>17</v>
      </c>
      <c r="N1" s="28" t="s">
        <v>18</v>
      </c>
      <c r="O1" s="28" t="s">
        <v>19</v>
      </c>
      <c r="P1" s="65" t="s">
        <v>20</v>
      </c>
      <c r="Q1" s="30" t="s">
        <v>21</v>
      </c>
      <c r="R1" s="31" t="s">
        <v>22</v>
      </c>
      <c r="S1" s="29" t="s">
        <v>23</v>
      </c>
      <c r="T1" s="32" t="s">
        <v>24</v>
      </c>
      <c r="U1" s="33" t="s">
        <v>25</v>
      </c>
      <c r="V1" s="32" t="s">
        <v>26</v>
      </c>
      <c r="W1" s="32" t="s">
        <v>27</v>
      </c>
      <c r="X1" s="155" t="s">
        <v>28</v>
      </c>
      <c r="Y1" s="155"/>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50" t="s">
        <v>41</v>
      </c>
      <c r="L2" s="149" t="s">
        <v>42</v>
      </c>
      <c r="M2" s="10"/>
      <c r="N2" s="10"/>
      <c r="O2" s="10"/>
      <c r="P2" s="10"/>
      <c r="Q2" s="10"/>
      <c r="R2" s="10"/>
      <c r="S2" s="158"/>
      <c r="T2" s="47"/>
      <c r="U2" s="152"/>
      <c r="V2" s="45"/>
      <c r="W2" s="45"/>
      <c r="X2" s="22">
        <v>1</v>
      </c>
      <c r="Y2" s="22">
        <v>2</v>
      </c>
      <c r="Z2" s="23"/>
      <c r="AA2" s="149" t="s">
        <v>101</v>
      </c>
      <c r="AB2" s="43"/>
      <c r="AC2" s="150" t="s">
        <v>43</v>
      </c>
      <c r="AD2" s="151"/>
      <c r="AE2" s="152" t="s">
        <v>100</v>
      </c>
      <c r="AF2" s="45"/>
      <c r="AG2" s="45"/>
      <c r="AH2" s="45"/>
      <c r="AI2" s="44"/>
      <c r="AJ2" s="44"/>
      <c r="AK2" s="44"/>
      <c r="AL2" s="44"/>
      <c r="AM2" s="152" t="s">
        <v>100</v>
      </c>
      <c r="AN2" s="153"/>
      <c r="AO2" s="148"/>
    </row>
    <row r="3" spans="1:44" ht="15" customHeight="1" x14ac:dyDescent="0.25">
      <c r="A3" s="9"/>
      <c r="B3" s="11" t="s">
        <v>44</v>
      </c>
      <c r="C3" s="11" t="s">
        <v>45</v>
      </c>
      <c r="D3" s="11" t="s">
        <v>46</v>
      </c>
      <c r="E3" s="11" t="s">
        <v>47</v>
      </c>
      <c r="F3" s="11" t="s">
        <v>48</v>
      </c>
      <c r="G3" s="11" t="s">
        <v>49</v>
      </c>
      <c r="H3" s="11" t="s">
        <v>50</v>
      </c>
      <c r="I3" s="11" t="s">
        <v>51</v>
      </c>
      <c r="J3" s="11" t="s">
        <v>52</v>
      </c>
      <c r="K3" s="156"/>
      <c r="L3" s="157"/>
      <c r="M3" s="10"/>
      <c r="N3" s="10"/>
      <c r="O3" s="10"/>
      <c r="P3" s="10"/>
      <c r="Q3" s="10"/>
      <c r="R3" s="10"/>
      <c r="S3" s="158"/>
      <c r="T3" s="47"/>
      <c r="U3" s="152"/>
      <c r="V3" s="45"/>
      <c r="W3" s="45"/>
      <c r="X3" s="11"/>
      <c r="Y3" s="11"/>
      <c r="Z3" s="12"/>
      <c r="AA3" s="149"/>
      <c r="AB3" s="43"/>
      <c r="AC3" s="150"/>
      <c r="AD3" s="151"/>
      <c r="AE3" s="152"/>
      <c r="AF3" s="45"/>
      <c r="AG3" s="45"/>
      <c r="AH3" s="45"/>
      <c r="AI3" s="13"/>
      <c r="AJ3" s="44"/>
      <c r="AK3" s="44"/>
      <c r="AL3" s="44"/>
      <c r="AM3" s="152"/>
      <c r="AN3" s="153"/>
      <c r="AO3" s="148"/>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58"/>
      <c r="T4" s="47"/>
      <c r="U4" s="152"/>
      <c r="V4" s="45"/>
      <c r="W4" s="45"/>
      <c r="X4" s="52"/>
      <c r="Y4" s="88">
        <v>791969</v>
      </c>
      <c r="Z4" s="12"/>
      <c r="AA4" s="149"/>
      <c r="AB4" s="87">
        <v>2988990</v>
      </c>
      <c r="AC4" s="150"/>
      <c r="AD4" s="151"/>
      <c r="AE4" s="152"/>
      <c r="AF4" s="45"/>
      <c r="AG4" s="45"/>
      <c r="AH4" s="45"/>
      <c r="AI4" s="43">
        <v>40910.699999999997</v>
      </c>
      <c r="AJ4" s="43"/>
      <c r="AK4" s="43"/>
      <c r="AL4" s="43"/>
      <c r="AM4" s="152"/>
      <c r="AN4" s="153"/>
      <c r="AO4" s="148"/>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1" t="e">
        <f>SUM(#REF!)</f>
        <v>#REF!</v>
      </c>
    </row>
    <row r="6" spans="1:44" x14ac:dyDescent="0.25">
      <c r="A6" s="80">
        <v>44256</v>
      </c>
      <c r="B6" s="86">
        <f>11452140-11447167</f>
        <v>4973</v>
      </c>
      <c r="C6" s="86">
        <f>7317935-7315796</f>
        <v>2139</v>
      </c>
      <c r="D6" s="86">
        <f>1407898-1407040</f>
        <v>858</v>
      </c>
      <c r="E6" s="86">
        <f>10859814-10855188</f>
        <v>4626</v>
      </c>
      <c r="F6" s="86">
        <f>10709914-10704120</f>
        <v>5794</v>
      </c>
      <c r="G6" s="86">
        <f>7918465-7915740</f>
        <v>2725</v>
      </c>
      <c r="H6" s="86">
        <f>7813112-7809523</f>
        <v>3589</v>
      </c>
      <c r="I6" s="86">
        <f>4881299-4878893</f>
        <v>2406</v>
      </c>
      <c r="J6" s="86">
        <f>10630054-10623129</f>
        <v>6925</v>
      </c>
      <c r="K6" s="63">
        <f>SUM(B6:H6)</f>
        <v>24704</v>
      </c>
      <c r="L6" s="40">
        <f>K6*0.2</f>
        <v>4940.8</v>
      </c>
      <c r="M6" s="85">
        <f>62546.65-62447.955</f>
        <v>98.694999999999709</v>
      </c>
      <c r="N6" s="85">
        <f>4014.606-4013.027</f>
        <v>1.5790000000001783</v>
      </c>
      <c r="O6" s="85">
        <f>9288.447-9287.673</f>
        <v>0.77399999999943248</v>
      </c>
      <c r="P6" s="83">
        <f>82024.409-81961.525</f>
        <v>62.884000000005472</v>
      </c>
      <c r="Q6" s="85">
        <f>22547.376-22537.316</f>
        <v>10.06000000000131</v>
      </c>
      <c r="R6" s="85">
        <f t="shared" ref="R6:R34" si="0">N6+O6+P6</f>
        <v>65.237000000005082</v>
      </c>
      <c r="S6" s="85">
        <f t="shared" ref="S6:S34" si="1">(N6+O6+P6)*7.84</f>
        <v>511.45808000003984</v>
      </c>
      <c r="T6" s="64">
        <f t="shared" ref="T6:T34" si="2">M6+Q6</f>
        <v>108.75500000000102</v>
      </c>
      <c r="U6" s="85">
        <f>T6*7.84</f>
        <v>852.63920000000792</v>
      </c>
      <c r="V6" s="85">
        <f>327570.6-327267.5</f>
        <v>303.09999999997672</v>
      </c>
      <c r="W6" s="85">
        <f>129679.18-129673.03</f>
        <v>6.1499999999941792</v>
      </c>
      <c r="X6" s="86" t="s">
        <v>63</v>
      </c>
      <c r="Y6" s="86">
        <v>792592</v>
      </c>
      <c r="Z6" s="61">
        <f>IF((Y6-Y5&lt;0), "0",Y6-Y4)</f>
        <v>623</v>
      </c>
      <c r="AA6" s="91">
        <f>Z6*6.47</f>
        <v>4030.81</v>
      </c>
      <c r="AB6" s="75">
        <v>2999004</v>
      </c>
      <c r="AC6" s="75">
        <f>AB4</f>
        <v>2988990</v>
      </c>
      <c r="AD6" s="41">
        <f t="shared" ref="AD6:AD36" si="3">IF((AB6-AC6&lt;0), "0",AB6-AC6)</f>
        <v>10014</v>
      </c>
      <c r="AE6" s="85">
        <f>AD6*0.333415</f>
        <v>3338.81781</v>
      </c>
      <c r="AF6" s="85">
        <f>82841.6-82825.3</f>
        <v>16.30000000000291</v>
      </c>
      <c r="AG6" s="85">
        <f>43132.9-43125.7</f>
        <v>7.2000000000043656</v>
      </c>
      <c r="AH6" s="85">
        <f>26047.7-26042.3</f>
        <v>5.4000000000014552</v>
      </c>
      <c r="AI6" s="75">
        <f>AI4</f>
        <v>40910.699999999997</v>
      </c>
      <c r="AJ6" s="75">
        <v>40925.9</v>
      </c>
      <c r="AK6" s="59">
        <f>IF((AJ6-AI6)&lt;0, "0",AJ6-AI6)</f>
        <v>15.200000000004366</v>
      </c>
      <c r="AL6" s="138">
        <f t="shared" ref="AL6:AL34" si="4">AK6*(284.34513609)</f>
        <v>4322.0460685692415</v>
      </c>
      <c r="AM6" s="85">
        <f>AL6*0.333415</f>
        <v>1441.0349899520138</v>
      </c>
      <c r="AN6" s="41">
        <v>71</v>
      </c>
      <c r="AO6" s="77">
        <f t="shared" ref="AO6:AO34" si="5">L6+U6+AA6+AE6</f>
        <v>13163.067010000008</v>
      </c>
    </row>
    <row r="7" spans="1:44" x14ac:dyDescent="0.25">
      <c r="A7" s="79">
        <v>44257</v>
      </c>
      <c r="B7" s="87">
        <f>11457697-11452140</f>
        <v>5557</v>
      </c>
      <c r="C7" s="87">
        <f>7320306-7317935</f>
        <v>2371</v>
      </c>
      <c r="D7" s="87">
        <f>1408790-1407898</f>
        <v>892</v>
      </c>
      <c r="E7" s="87">
        <f>10864503-10859814</f>
        <v>4689</v>
      </c>
      <c r="F7" s="87">
        <f>10715665-10709914</f>
        <v>5751</v>
      </c>
      <c r="G7" s="87">
        <f>7921121-7918465</f>
        <v>2656</v>
      </c>
      <c r="H7" s="87">
        <f>7816679-7813112</f>
        <v>3567</v>
      </c>
      <c r="I7" s="87">
        <f>4883736-4881299</f>
        <v>2437</v>
      </c>
      <c r="J7" s="87">
        <f>10637060-10630054</f>
        <v>7006</v>
      </c>
      <c r="K7" s="87">
        <f>SUM(B7:H7)</f>
        <v>25483</v>
      </c>
      <c r="L7" s="14">
        <f>K7*0.2</f>
        <v>5096.6000000000004</v>
      </c>
      <c r="M7" s="84">
        <f>62683.81-62546.65</f>
        <v>137.15999999999622</v>
      </c>
      <c r="N7" s="84">
        <f>4016.39-4014.606</f>
        <v>1.7839999999996508</v>
      </c>
      <c r="O7" s="84">
        <f>9289.307-9288.447</f>
        <v>0.86000000000058208</v>
      </c>
      <c r="P7" s="82">
        <f>82088.45-82024.409</f>
        <v>64.040999999997439</v>
      </c>
      <c r="Q7" s="84">
        <f>22557.724-22547.376</f>
        <v>10.347999999998137</v>
      </c>
      <c r="R7" s="84">
        <f t="shared" si="0"/>
        <v>66.684999999997672</v>
      </c>
      <c r="S7" s="84">
        <f>(N7+O7+P7)*7.84</f>
        <v>522.81039999998177</v>
      </c>
      <c r="T7" s="84">
        <f>M7+Q7</f>
        <v>147.50799999999435</v>
      </c>
      <c r="U7" s="84">
        <f>T7*7.84</f>
        <v>1156.4627199999557</v>
      </c>
      <c r="V7" s="84">
        <f>327841.3-327570.6</f>
        <v>270.70000000001164</v>
      </c>
      <c r="W7" s="84">
        <f>129679.18-129679.18</f>
        <v>0</v>
      </c>
      <c r="X7" s="87" t="s">
        <v>63</v>
      </c>
      <c r="Y7" s="87">
        <v>793166</v>
      </c>
      <c r="Z7" s="5">
        <f>IF((Y7-Y6&lt;0), "0",Y7-Y6)</f>
        <v>574</v>
      </c>
      <c r="AA7" s="14">
        <f t="shared" ref="AA7:AA34" si="6">Z7*6.47</f>
        <v>3713.7799999999997</v>
      </c>
      <c r="AB7" s="88">
        <v>3011402</v>
      </c>
      <c r="AC7" s="88">
        <f>AB6</f>
        <v>2999004</v>
      </c>
      <c r="AD7" s="5">
        <f t="shared" si="3"/>
        <v>12398</v>
      </c>
      <c r="AE7" s="84">
        <f>AD7*0.333415</f>
        <v>4133.6791700000003</v>
      </c>
      <c r="AF7" s="84">
        <f>82862.2-82841.6</f>
        <v>20.599999999991269</v>
      </c>
      <c r="AG7" s="84">
        <f>43141-43132.9</f>
        <v>8.0999999999985448</v>
      </c>
      <c r="AH7" s="84">
        <f>26054-26047.7</f>
        <v>6.2999999999992724</v>
      </c>
      <c r="AI7" s="88">
        <f>AJ6</f>
        <v>40925.9</v>
      </c>
      <c r="AJ7" s="87">
        <v>40944.5</v>
      </c>
      <c r="AK7" s="48">
        <f t="shared" ref="AK7:AK34" si="7">IF((AJ7-AI7)&lt;0, "0",AJ7-AI7)</f>
        <v>18.599999999998545</v>
      </c>
      <c r="AL7" s="90">
        <f t="shared" si="4"/>
        <v>5288.8195312735861</v>
      </c>
      <c r="AM7" s="84">
        <f>AL7*0.333415</f>
        <v>1763.3717640195828</v>
      </c>
      <c r="AN7" s="5">
        <v>87</v>
      </c>
      <c r="AO7" s="78">
        <f t="shared" si="5"/>
        <v>14100.521889999956</v>
      </c>
    </row>
    <row r="8" spans="1:44" x14ac:dyDescent="0.25">
      <c r="A8" s="79">
        <v>44258</v>
      </c>
      <c r="B8" s="87">
        <f>11462485-11457697</f>
        <v>4788</v>
      </c>
      <c r="C8" s="87">
        <f>7323408-7320306</f>
        <v>3102</v>
      </c>
      <c r="D8" s="87">
        <f>1409734-1408790</f>
        <v>944</v>
      </c>
      <c r="E8" s="87">
        <f>10869211-10864503</f>
        <v>4708</v>
      </c>
      <c r="F8" s="87">
        <f>10721447-10715665</f>
        <v>5782</v>
      </c>
      <c r="G8" s="87">
        <f>7923753-7921121</f>
        <v>2632</v>
      </c>
      <c r="H8" s="87">
        <f>7820253-7816679</f>
        <v>3574</v>
      </c>
      <c r="I8" s="87">
        <f>4886211-4883736</f>
        <v>2475</v>
      </c>
      <c r="J8" s="87">
        <f>10644055-10637060</f>
        <v>6995</v>
      </c>
      <c r="K8" s="87">
        <f>SUM(B8:H8)</f>
        <v>25530</v>
      </c>
      <c r="L8" s="14">
        <f t="shared" ref="L8:L34" si="8">K8*0.2</f>
        <v>5106</v>
      </c>
      <c r="M8" s="84">
        <f>62808.464-62683.81</f>
        <v>124.65400000000227</v>
      </c>
      <c r="N8" s="84">
        <f>4017.859-4016.39</f>
        <v>1.4690000000000509</v>
      </c>
      <c r="O8" s="84">
        <f>9290.039-9289.307</f>
        <v>0.7319999999999709</v>
      </c>
      <c r="P8" s="82">
        <f>82156.388-82088.45</f>
        <v>67.938000000009197</v>
      </c>
      <c r="Q8" s="84">
        <f>22568.06-22557.724</f>
        <v>10.336000000002969</v>
      </c>
      <c r="R8" s="84">
        <f t="shared" si="0"/>
        <v>70.139000000009219</v>
      </c>
      <c r="S8" s="84">
        <f>(N8+O8+P8)*7.84</f>
        <v>549.88976000007222</v>
      </c>
      <c r="T8" s="84">
        <f>M8+Q8</f>
        <v>134.99000000000524</v>
      </c>
      <c r="U8" s="84">
        <f>T8*7.84</f>
        <v>1058.3216000000411</v>
      </c>
      <c r="V8" s="84">
        <f>328133.9-327841.3</f>
        <v>292.60000000003492</v>
      </c>
      <c r="W8" s="84">
        <f>129679.18-129679.18</f>
        <v>0</v>
      </c>
      <c r="X8" s="87" t="s">
        <v>63</v>
      </c>
      <c r="Y8" s="87">
        <v>793766</v>
      </c>
      <c r="Z8" s="5">
        <f t="shared" ref="Z8:Z34" si="9">IF((Y8-Y7&lt;0), "0",Y8-Y7)</f>
        <v>600</v>
      </c>
      <c r="AA8" s="14">
        <f t="shared" si="6"/>
        <v>3882</v>
      </c>
      <c r="AB8" s="88">
        <v>3025261.8</v>
      </c>
      <c r="AC8" s="88">
        <f t="shared" ref="AC8:AC36" si="10">AB7</f>
        <v>3011402</v>
      </c>
      <c r="AD8" s="5">
        <f t="shared" si="3"/>
        <v>13859.799999999814</v>
      </c>
      <c r="AE8" s="84">
        <f t="shared" ref="AE8:AE36" si="11">AD8*0.333415</f>
        <v>4621.0652169999385</v>
      </c>
      <c r="AF8" s="84">
        <f>82885.1-82862.2</f>
        <v>22.900000000008731</v>
      </c>
      <c r="AG8" s="84">
        <f>43149.9-43141</f>
        <v>8.9000000000014552</v>
      </c>
      <c r="AH8" s="84">
        <f>26061.3-26054</f>
        <v>7.2999999999992724</v>
      </c>
      <c r="AI8" s="88">
        <f t="shared" ref="AI8:AI36" si="12">AJ7</f>
        <v>40944.5</v>
      </c>
      <c r="AJ8" s="87">
        <v>40963.9</v>
      </c>
      <c r="AK8" s="48">
        <f t="shared" si="7"/>
        <v>19.400000000001455</v>
      </c>
      <c r="AL8" s="90">
        <f t="shared" si="4"/>
        <v>5516.2956401464135</v>
      </c>
      <c r="AM8" s="84">
        <f t="shared" ref="AM8:AM34" si="13">AL8*0.333415</f>
        <v>1839.2157108594165</v>
      </c>
      <c r="AN8" s="5">
        <v>75</v>
      </c>
      <c r="AO8" s="78">
        <f t="shared" si="5"/>
        <v>14667.386816999981</v>
      </c>
    </row>
    <row r="9" spans="1:44" x14ac:dyDescent="0.25">
      <c r="A9" s="79">
        <v>44259</v>
      </c>
      <c r="B9" s="87">
        <f>11467061-11462485</f>
        <v>4576</v>
      </c>
      <c r="C9" s="87">
        <f>7325518-7323408</f>
        <v>2110</v>
      </c>
      <c r="D9" s="87">
        <f>1410615-1409734</f>
        <v>881</v>
      </c>
      <c r="E9" s="87">
        <f>10873928-10869211</f>
        <v>4717</v>
      </c>
      <c r="F9" s="87">
        <f>10727533-10721447</f>
        <v>6086</v>
      </c>
      <c r="G9" s="87">
        <f>7926432-7923753</f>
        <v>2679</v>
      </c>
      <c r="H9" s="87">
        <f>7824020-7820253</f>
        <v>3767</v>
      </c>
      <c r="I9" s="87">
        <f>4888759-4886211</f>
        <v>2548</v>
      </c>
      <c r="J9" s="87">
        <f>10651640-10644055</f>
        <v>7585</v>
      </c>
      <c r="K9" s="87">
        <f t="shared" ref="K9:K34" si="14">SUM(B9:H9)</f>
        <v>24816</v>
      </c>
      <c r="L9" s="14">
        <f t="shared" si="8"/>
        <v>4963.2000000000007</v>
      </c>
      <c r="M9" s="84">
        <f>62949.196-62808.464</f>
        <v>140.73200000000361</v>
      </c>
      <c r="N9" s="84">
        <f>4019.175-4017.859</f>
        <v>1.3160000000002583</v>
      </c>
      <c r="O9" s="84">
        <f>9290.678-9290.039</f>
        <v>0.6389999999992142</v>
      </c>
      <c r="P9" s="82">
        <f>82231.102-82156.388</f>
        <v>74.713999999992666</v>
      </c>
      <c r="Q9" s="84">
        <f>22578.563-22568.06</f>
        <v>10.502999999996973</v>
      </c>
      <c r="R9" s="84">
        <f t="shared" si="0"/>
        <v>76.668999999992138</v>
      </c>
      <c r="S9" s="84">
        <f t="shared" si="1"/>
        <v>601.08495999993841</v>
      </c>
      <c r="T9" s="84">
        <f t="shared" si="2"/>
        <v>151.23500000000058</v>
      </c>
      <c r="U9" s="84">
        <f t="shared" ref="U9:U37" si="15">T9*7.84</f>
        <v>1185.6824000000045</v>
      </c>
      <c r="V9" s="84">
        <f>328416.6-328133.9</f>
        <v>282.69999999995343</v>
      </c>
      <c r="W9" s="84">
        <f t="shared" ref="W9:W27" si="16">129679.18-129679.18</f>
        <v>0</v>
      </c>
      <c r="X9" s="87" t="s">
        <v>63</v>
      </c>
      <c r="Y9" s="87">
        <v>794367</v>
      </c>
      <c r="Z9" s="5">
        <f t="shared" si="9"/>
        <v>601</v>
      </c>
      <c r="AA9" s="14">
        <f t="shared" si="6"/>
        <v>3888.47</v>
      </c>
      <c r="AB9" s="88">
        <v>3039497.5</v>
      </c>
      <c r="AC9" s="88">
        <f t="shared" si="10"/>
        <v>3025261.8</v>
      </c>
      <c r="AD9" s="5">
        <f t="shared" si="3"/>
        <v>14235.700000000186</v>
      </c>
      <c r="AE9" s="84">
        <f t="shared" si="11"/>
        <v>4746.3959155000621</v>
      </c>
      <c r="AF9" s="84">
        <f>82907.8-82885.1</f>
        <v>22.69999999999709</v>
      </c>
      <c r="AG9" s="84">
        <f>43159.5-43149.9</f>
        <v>9.5999999999985448</v>
      </c>
      <c r="AH9" s="84">
        <f>26069-26061.3</f>
        <v>7.7000000000007276</v>
      </c>
      <c r="AI9" s="88">
        <f t="shared" si="12"/>
        <v>40963.9</v>
      </c>
      <c r="AJ9" s="87">
        <v>40983.5</v>
      </c>
      <c r="AK9" s="48">
        <f t="shared" si="7"/>
        <v>19.599999999998545</v>
      </c>
      <c r="AL9" s="90">
        <f t="shared" si="4"/>
        <v>5573.164667363586</v>
      </c>
      <c r="AM9" s="84">
        <f t="shared" si="13"/>
        <v>1858.17669756903</v>
      </c>
      <c r="AN9" s="5">
        <v>80</v>
      </c>
      <c r="AO9" s="78">
        <f t="shared" si="5"/>
        <v>14783.748315500066</v>
      </c>
    </row>
    <row r="10" spans="1:44" x14ac:dyDescent="0.25">
      <c r="A10" s="79">
        <v>44260</v>
      </c>
      <c r="B10" s="87">
        <f>11471887-11467061</f>
        <v>4826</v>
      </c>
      <c r="C10" s="87">
        <f>7327494-7325518</f>
        <v>1976</v>
      </c>
      <c r="D10" s="87">
        <f>1411564-1410615</f>
        <v>949</v>
      </c>
      <c r="E10" s="87">
        <f>10878641-10873928</f>
        <v>4713</v>
      </c>
      <c r="F10" s="87">
        <f>10733530-10727533</f>
        <v>5997</v>
      </c>
      <c r="G10" s="87">
        <f>7929083-7926432</f>
        <v>2651</v>
      </c>
      <c r="H10" s="87">
        <f>7827681-7824020</f>
        <v>3661</v>
      </c>
      <c r="I10" s="87">
        <f>4891287-4888759</f>
        <v>2528</v>
      </c>
      <c r="J10" s="87">
        <f>10659183-10651640</f>
        <v>7543</v>
      </c>
      <c r="K10" s="87">
        <f t="shared" si="14"/>
        <v>24773</v>
      </c>
      <c r="L10" s="14">
        <f t="shared" si="8"/>
        <v>4954.6000000000004</v>
      </c>
      <c r="M10" s="84">
        <f>63086.569-62949.196</f>
        <v>137.37299999999959</v>
      </c>
      <c r="N10" s="84">
        <f>4020.468-4019.175</f>
        <v>1.2929999999996653</v>
      </c>
      <c r="O10" s="84">
        <f>9291.22-9290.678</f>
        <v>0.54199999999946158</v>
      </c>
      <c r="P10" s="82">
        <f>82307.176-82231.102</f>
        <v>76.0740000000078</v>
      </c>
      <c r="Q10" s="84">
        <f>22587.464-22578.563</f>
        <v>8.9010000000016589</v>
      </c>
      <c r="R10" s="84">
        <f t="shared" si="0"/>
        <v>77.909000000006927</v>
      </c>
      <c r="S10" s="84">
        <f t="shared" si="1"/>
        <v>610.80656000005433</v>
      </c>
      <c r="T10" s="84">
        <f t="shared" si="2"/>
        <v>146.27400000000125</v>
      </c>
      <c r="U10" s="84">
        <f t="shared" si="15"/>
        <v>1146.7881600000098</v>
      </c>
      <c r="V10" s="84">
        <f>328724.1-328416.6</f>
        <v>307.5</v>
      </c>
      <c r="W10" s="84">
        <f t="shared" si="16"/>
        <v>0</v>
      </c>
      <c r="X10" s="87" t="s">
        <v>63</v>
      </c>
      <c r="Y10" s="87">
        <v>795007</v>
      </c>
      <c r="Z10" s="5">
        <f t="shared" si="9"/>
        <v>640</v>
      </c>
      <c r="AA10" s="14">
        <f t="shared" si="6"/>
        <v>4140.8</v>
      </c>
      <c r="AB10" s="88">
        <v>3054336.4</v>
      </c>
      <c r="AC10" s="88">
        <f t="shared" si="10"/>
        <v>3039497.5</v>
      </c>
      <c r="AD10" s="5">
        <f t="shared" si="3"/>
        <v>14838.899999999907</v>
      </c>
      <c r="AE10" s="84">
        <f t="shared" si="11"/>
        <v>4947.5118434999695</v>
      </c>
      <c r="AF10" s="84">
        <f>82931.3-82907.8</f>
        <v>23.5</v>
      </c>
      <c r="AG10" s="84">
        <f>43169.4-43159.5</f>
        <v>9.9000000000014552</v>
      </c>
      <c r="AH10" s="84">
        <f>26077.3-26069</f>
        <v>8.2999999999992724</v>
      </c>
      <c r="AI10" s="88">
        <f t="shared" si="12"/>
        <v>40983.5</v>
      </c>
      <c r="AJ10" s="88">
        <v>41005</v>
      </c>
      <c r="AK10" s="48">
        <f t="shared" si="7"/>
        <v>21.5</v>
      </c>
      <c r="AL10" s="90">
        <f t="shared" si="4"/>
        <v>6113.4204259349999</v>
      </c>
      <c r="AM10" s="84">
        <f t="shared" si="13"/>
        <v>2038.3060713131181</v>
      </c>
      <c r="AN10" s="5">
        <v>94</v>
      </c>
      <c r="AO10" s="78">
        <f t="shared" si="5"/>
        <v>15189.70000349998</v>
      </c>
    </row>
    <row r="11" spans="1:44" x14ac:dyDescent="0.25">
      <c r="A11" s="79">
        <v>44261</v>
      </c>
      <c r="B11" s="87">
        <f>11477555-11471887</f>
        <v>5668</v>
      </c>
      <c r="C11" s="87">
        <f>7329657-7327494</f>
        <v>2163</v>
      </c>
      <c r="D11" s="87">
        <f>1412509-1411564</f>
        <v>945</v>
      </c>
      <c r="E11" s="87">
        <f>10883334-10878641</f>
        <v>4693</v>
      </c>
      <c r="F11" s="87">
        <f>10739386-10733530</f>
        <v>5856</v>
      </c>
      <c r="G11" s="87">
        <f>7931753-7929083</f>
        <v>2670</v>
      </c>
      <c r="H11" s="87">
        <f>7831432-7827681</f>
        <v>3751</v>
      </c>
      <c r="I11" s="87">
        <f>4893021-4891287</f>
        <v>1734</v>
      </c>
      <c r="J11" s="87">
        <f>10666308-10659183</f>
        <v>7125</v>
      </c>
      <c r="K11" s="87">
        <f t="shared" si="14"/>
        <v>25746</v>
      </c>
      <c r="L11" s="14">
        <f t="shared" si="8"/>
        <v>5149.2000000000007</v>
      </c>
      <c r="M11" s="84">
        <f>63219.897-63086.569</f>
        <v>133.32799999999406</v>
      </c>
      <c r="N11" s="84">
        <f>4023.935-4020.468</f>
        <v>3.4670000000000982</v>
      </c>
      <c r="O11" s="84">
        <f>9292.737-9291.22</f>
        <v>1.5169999999998254</v>
      </c>
      <c r="P11" s="82">
        <f>82376.835-82307.176</f>
        <v>69.658999999999651</v>
      </c>
      <c r="Q11" s="84">
        <f>22597.831-22587.464</f>
        <v>10.36699999999837</v>
      </c>
      <c r="R11" s="84">
        <f t="shared" si="0"/>
        <v>74.642999999999574</v>
      </c>
      <c r="S11" s="84">
        <f t="shared" si="1"/>
        <v>585.20111999999665</v>
      </c>
      <c r="T11" s="84">
        <f t="shared" si="2"/>
        <v>143.69499999999243</v>
      </c>
      <c r="U11" s="84">
        <f t="shared" si="15"/>
        <v>1126.5687999999407</v>
      </c>
      <c r="V11" s="84">
        <f>329012.9-328724.1</f>
        <v>288.80000000004657</v>
      </c>
      <c r="W11" s="84">
        <f t="shared" si="16"/>
        <v>0</v>
      </c>
      <c r="X11" s="87" t="s">
        <v>63</v>
      </c>
      <c r="Y11" s="87">
        <v>795591</v>
      </c>
      <c r="Z11" s="5">
        <f t="shared" si="9"/>
        <v>584</v>
      </c>
      <c r="AA11" s="14">
        <f t="shared" si="6"/>
        <v>3778.48</v>
      </c>
      <c r="AB11" s="88">
        <v>3067444</v>
      </c>
      <c r="AC11" s="87">
        <f t="shared" si="10"/>
        <v>3054336.4</v>
      </c>
      <c r="AD11" s="5">
        <f t="shared" si="3"/>
        <v>13107.600000000093</v>
      </c>
      <c r="AE11" s="84">
        <f t="shared" si="11"/>
        <v>4370.2704540000314</v>
      </c>
      <c r="AF11" s="84">
        <f>82952.2-82931.3</f>
        <v>20.899999999994179</v>
      </c>
      <c r="AG11" s="84">
        <f>43177.3-43169.4</f>
        <v>7.9000000000014552</v>
      </c>
      <c r="AH11" s="84">
        <f>26084.7-26077.3</f>
        <v>7.4000000000014552</v>
      </c>
      <c r="AI11" s="88">
        <f t="shared" si="12"/>
        <v>41005</v>
      </c>
      <c r="AJ11" s="88">
        <v>41024.9</v>
      </c>
      <c r="AK11" s="48">
        <f t="shared" si="7"/>
        <v>19.900000000001455</v>
      </c>
      <c r="AL11" s="90">
        <f t="shared" si="4"/>
        <v>5658.4682081914134</v>
      </c>
      <c r="AM11" s="84">
        <f t="shared" si="13"/>
        <v>1886.6181776341402</v>
      </c>
      <c r="AN11" s="5">
        <v>77</v>
      </c>
      <c r="AO11" s="78">
        <f t="shared" si="5"/>
        <v>14424.519253999973</v>
      </c>
    </row>
    <row r="12" spans="1:44" x14ac:dyDescent="0.25">
      <c r="A12" s="79">
        <v>44262</v>
      </c>
      <c r="B12" s="87">
        <f>11483224-11477555</f>
        <v>5669</v>
      </c>
      <c r="C12" s="87">
        <f>7331762-7329657</f>
        <v>2105</v>
      </c>
      <c r="D12" s="87">
        <f>1413382-1412509</f>
        <v>873</v>
      </c>
      <c r="E12" s="87">
        <f>10887765-10883334</f>
        <v>4431</v>
      </c>
      <c r="F12" s="87">
        <f>10745223-10739386</f>
        <v>5837</v>
      </c>
      <c r="G12" s="87">
        <f>7934434-7931753</f>
        <v>2681</v>
      </c>
      <c r="H12" s="87">
        <f>7835123-7831432</f>
        <v>3691</v>
      </c>
      <c r="I12" s="87">
        <f>4896314-4893021</f>
        <v>3293</v>
      </c>
      <c r="J12" s="87">
        <f>10673313-10666308</f>
        <v>7005</v>
      </c>
      <c r="K12" s="87">
        <f t="shared" si="14"/>
        <v>25287</v>
      </c>
      <c r="L12" s="14">
        <f t="shared" si="8"/>
        <v>5057.4000000000005</v>
      </c>
      <c r="M12" s="84">
        <f>63348.456-63219.897</f>
        <v>128.55900000000111</v>
      </c>
      <c r="N12" s="84">
        <f>4025.806-4023.935</f>
        <v>1.8710000000000946</v>
      </c>
      <c r="O12" s="84">
        <f>9293.326-9292.737</f>
        <v>0.58899999999994179</v>
      </c>
      <c r="P12" s="82">
        <f>82447.652-82376.835</f>
        <v>70.81699999999546</v>
      </c>
      <c r="Q12" s="84">
        <f>22608.405-22597.831</f>
        <v>10.574000000000524</v>
      </c>
      <c r="R12" s="84">
        <f t="shared" si="0"/>
        <v>73.276999999995496</v>
      </c>
      <c r="S12" s="84">
        <f t="shared" si="1"/>
        <v>574.49167999996473</v>
      </c>
      <c r="T12" s="84">
        <f t="shared" si="2"/>
        <v>139.13300000000163</v>
      </c>
      <c r="U12" s="84">
        <f t="shared" si="15"/>
        <v>1090.8027200000129</v>
      </c>
      <c r="V12" s="84">
        <f>329289.7-329012.9</f>
        <v>276.79999999998836</v>
      </c>
      <c r="W12" s="84">
        <f t="shared" si="16"/>
        <v>0</v>
      </c>
      <c r="X12" s="87" t="s">
        <v>63</v>
      </c>
      <c r="Y12" s="87">
        <v>796166</v>
      </c>
      <c r="Z12" s="5">
        <f t="shared" si="9"/>
        <v>575</v>
      </c>
      <c r="AA12" s="14">
        <f t="shared" si="6"/>
        <v>3720.25</v>
      </c>
      <c r="AB12" s="88">
        <v>3078936.1</v>
      </c>
      <c r="AC12" s="88">
        <f t="shared" si="10"/>
        <v>3067444</v>
      </c>
      <c r="AD12" s="5">
        <f t="shared" si="3"/>
        <v>11492.100000000093</v>
      </c>
      <c r="AE12" s="84">
        <f t="shared" si="11"/>
        <v>3831.6385215000314</v>
      </c>
      <c r="AF12" s="84">
        <f>82970.9-82952.2</f>
        <v>18.69999999999709</v>
      </c>
      <c r="AG12" s="84">
        <f>43185.4-43177.3</f>
        <v>8.0999999999985448</v>
      </c>
      <c r="AH12" s="84">
        <f>26091.3-26084.7</f>
        <v>6.5999999999985448</v>
      </c>
      <c r="AI12" s="88">
        <f t="shared" si="12"/>
        <v>41024.9</v>
      </c>
      <c r="AJ12" s="88">
        <v>41041</v>
      </c>
      <c r="AK12" s="48">
        <f t="shared" si="7"/>
        <v>16.099999999998545</v>
      </c>
      <c r="AL12" s="90">
        <f t="shared" si="4"/>
        <v>4577.9566910485855</v>
      </c>
      <c r="AM12" s="84">
        <f t="shared" si="13"/>
        <v>1526.3594301459643</v>
      </c>
      <c r="AN12" s="5">
        <v>72</v>
      </c>
      <c r="AO12" s="78">
        <f t="shared" si="5"/>
        <v>13700.091241500046</v>
      </c>
    </row>
    <row r="13" spans="1:44" x14ac:dyDescent="0.25">
      <c r="A13" s="79">
        <v>44263</v>
      </c>
      <c r="B13" s="87">
        <f>11488124-11483224</f>
        <v>4900</v>
      </c>
      <c r="C13" s="87">
        <f>7333887-7331762</f>
        <v>2125</v>
      </c>
      <c r="D13" s="87">
        <f>1414273-1413382</f>
        <v>891</v>
      </c>
      <c r="E13" s="87">
        <f>10892176-10887765</f>
        <v>4411</v>
      </c>
      <c r="F13" s="87">
        <f>10751066-10745223</f>
        <v>5843</v>
      </c>
      <c r="G13" s="87">
        <f>7936993-7934434</f>
        <v>2559</v>
      </c>
      <c r="H13" s="87">
        <f>7838831-7835123</f>
        <v>3708</v>
      </c>
      <c r="I13" s="87">
        <f>4899776-4896314</f>
        <v>3462</v>
      </c>
      <c r="J13" s="87">
        <f>10680320-10673313</f>
        <v>7007</v>
      </c>
      <c r="K13" s="87">
        <f t="shared" si="14"/>
        <v>24437</v>
      </c>
      <c r="L13" s="14">
        <f t="shared" si="8"/>
        <v>4887.4000000000005</v>
      </c>
      <c r="M13" s="84">
        <f>63441.971-63348.456</f>
        <v>93.514999999999418</v>
      </c>
      <c r="N13" s="84">
        <f>4027.637-4025.806</f>
        <v>1.831000000000131</v>
      </c>
      <c r="O13" s="84">
        <f>9293.975-9293.326</f>
        <v>0.64900000000125146</v>
      </c>
      <c r="P13" s="82">
        <f>82512.59-82447.652</f>
        <v>64.937999999994645</v>
      </c>
      <c r="Q13" s="84">
        <f>22619.145-22608.405</f>
        <v>10.740000000001601</v>
      </c>
      <c r="R13" s="84">
        <f t="shared" si="0"/>
        <v>67.417999999996027</v>
      </c>
      <c r="S13" s="84">
        <f t="shared" si="1"/>
        <v>528.55711999996879</v>
      </c>
      <c r="T13" s="84">
        <f t="shared" si="2"/>
        <v>104.25500000000102</v>
      </c>
      <c r="U13" s="84">
        <f t="shared" si="15"/>
        <v>817.35920000000795</v>
      </c>
      <c r="V13" s="84">
        <f>329546.7-329289.7</f>
        <v>257</v>
      </c>
      <c r="W13" s="84">
        <f t="shared" si="16"/>
        <v>0</v>
      </c>
      <c r="X13" s="87" t="s">
        <v>63</v>
      </c>
      <c r="Y13" s="87">
        <v>796718</v>
      </c>
      <c r="Z13" s="5">
        <f t="shared" si="9"/>
        <v>552</v>
      </c>
      <c r="AA13" s="14">
        <f t="shared" si="6"/>
        <v>3571.44</v>
      </c>
      <c r="AB13" s="88">
        <v>3090171.4</v>
      </c>
      <c r="AC13" s="87">
        <f t="shared" si="10"/>
        <v>3078936.1</v>
      </c>
      <c r="AD13" s="5">
        <f t="shared" si="3"/>
        <v>11235.299999999814</v>
      </c>
      <c r="AE13" s="84">
        <f t="shared" si="11"/>
        <v>3746.017549499938</v>
      </c>
      <c r="AF13" s="84">
        <f>82989-82970.9</f>
        <v>18.100000000005821</v>
      </c>
      <c r="AG13" s="84">
        <f>43193.5-43185.4</f>
        <v>8.0999999999985448</v>
      </c>
      <c r="AH13" s="84">
        <f>26097.4-26091.3</f>
        <v>6.1000000000021828</v>
      </c>
      <c r="AI13" s="88">
        <f t="shared" si="12"/>
        <v>41041</v>
      </c>
      <c r="AJ13" s="88">
        <v>41057.300000000003</v>
      </c>
      <c r="AK13" s="48">
        <f t="shared" si="7"/>
        <v>16.30000000000291</v>
      </c>
      <c r="AL13" s="90">
        <f t="shared" si="4"/>
        <v>4634.8257182678271</v>
      </c>
      <c r="AM13" s="84">
        <f t="shared" si="13"/>
        <v>1545.3204168562677</v>
      </c>
      <c r="AN13" s="5">
        <v>71</v>
      </c>
      <c r="AO13" s="78">
        <f t="shared" si="5"/>
        <v>13022.216749499947</v>
      </c>
    </row>
    <row r="14" spans="1:44" x14ac:dyDescent="0.25">
      <c r="A14" s="79">
        <v>44264</v>
      </c>
      <c r="B14" s="87">
        <f>11493308-11488124</f>
        <v>5184</v>
      </c>
      <c r="C14" s="87">
        <f>7336447-7333887</f>
        <v>2560</v>
      </c>
      <c r="D14" s="87">
        <f>1415176-1414273</f>
        <v>903</v>
      </c>
      <c r="E14" s="87">
        <f>10896772-10892176</f>
        <v>4596</v>
      </c>
      <c r="F14" s="87">
        <f>10756891-10751066</f>
        <v>5825</v>
      </c>
      <c r="G14" s="87">
        <f>7939593-7936993</f>
        <v>2600</v>
      </c>
      <c r="H14" s="87">
        <f>7842642-7838831</f>
        <v>3811</v>
      </c>
      <c r="I14" s="87">
        <f>4901251-4899776</f>
        <v>1475</v>
      </c>
      <c r="J14" s="87">
        <f>10687316-10680320</f>
        <v>6996</v>
      </c>
      <c r="K14" s="87">
        <f t="shared" si="14"/>
        <v>25479</v>
      </c>
      <c r="L14" s="14">
        <f t="shared" si="8"/>
        <v>5095.8</v>
      </c>
      <c r="M14" s="84">
        <f>63566.024-63441.971</f>
        <v>124.05299999999988</v>
      </c>
      <c r="N14" s="84">
        <f>4029.088-4027.637</f>
        <v>1.4510000000000218</v>
      </c>
      <c r="O14" s="84">
        <f>9294.673-9293.975</f>
        <v>0.69800000000032014</v>
      </c>
      <c r="P14" s="82">
        <f>82578.462-82512.59</f>
        <v>65.872000000003027</v>
      </c>
      <c r="Q14" s="84">
        <f>22629.256-22619.145</f>
        <v>10.111000000000786</v>
      </c>
      <c r="R14" s="84">
        <f>N14+O14+P14</f>
        <v>68.021000000003369</v>
      </c>
      <c r="S14" s="84">
        <f t="shared" si="1"/>
        <v>533.28464000002646</v>
      </c>
      <c r="T14" s="84">
        <f t="shared" si="2"/>
        <v>134.16400000000067</v>
      </c>
      <c r="U14" s="84">
        <f t="shared" si="15"/>
        <v>1051.8457600000052</v>
      </c>
      <c r="V14" s="84">
        <f>329822.2-329546.7</f>
        <v>275.5</v>
      </c>
      <c r="W14" s="84">
        <f t="shared" si="16"/>
        <v>0</v>
      </c>
      <c r="X14" s="87" t="s">
        <v>63</v>
      </c>
      <c r="Y14" s="5">
        <v>797275</v>
      </c>
      <c r="Z14" s="5">
        <f>IF((Y14-Y13&lt;0), "0",Y14-Y13)</f>
        <v>557</v>
      </c>
      <c r="AA14" s="14">
        <f t="shared" si="6"/>
        <v>3603.79</v>
      </c>
      <c r="AB14" s="88">
        <v>3102110.8</v>
      </c>
      <c r="AC14" s="87">
        <f t="shared" si="10"/>
        <v>3090171.4</v>
      </c>
      <c r="AD14" s="5">
        <f t="shared" si="3"/>
        <v>11939.399999999907</v>
      </c>
      <c r="AE14" s="84">
        <f t="shared" si="11"/>
        <v>3980.7750509999692</v>
      </c>
      <c r="AF14" s="84">
        <f>83008.7-82989</f>
        <v>19.69999999999709</v>
      </c>
      <c r="AG14" s="84">
        <f>43202.1-43193.5</f>
        <v>8.5999999999985448</v>
      </c>
      <c r="AH14" s="84">
        <f>26103.6-26097.4</f>
        <v>6.1999999999970896</v>
      </c>
      <c r="AI14" s="88">
        <f t="shared" si="12"/>
        <v>41057.300000000003</v>
      </c>
      <c r="AJ14" s="88">
        <v>41074.199999999997</v>
      </c>
      <c r="AK14" s="48">
        <f t="shared" si="7"/>
        <v>16.899999999994179</v>
      </c>
      <c r="AL14" s="90">
        <f t="shared" si="4"/>
        <v>4805.4327999193447</v>
      </c>
      <c r="AM14" s="84">
        <f t="shared" si="13"/>
        <v>1602.2033769851084</v>
      </c>
      <c r="AN14" s="5">
        <v>80</v>
      </c>
      <c r="AO14" s="78">
        <f t="shared" si="5"/>
        <v>13732.210810999974</v>
      </c>
    </row>
    <row r="15" spans="1:44" x14ac:dyDescent="0.25">
      <c r="A15" s="79">
        <v>44265</v>
      </c>
      <c r="B15" s="87">
        <f>11498393-11493308</f>
        <v>5085</v>
      </c>
      <c r="C15" s="87">
        <f>7339004-7336447</f>
        <v>2557</v>
      </c>
      <c r="D15" s="87">
        <f>1416074-1415176</f>
        <v>898</v>
      </c>
      <c r="E15" s="87">
        <f>10901460-10896772</f>
        <v>4688</v>
      </c>
      <c r="F15" s="87">
        <f>10762789-10756891</f>
        <v>5898</v>
      </c>
      <c r="G15" s="87">
        <f>7942223-7939593</f>
        <v>2630</v>
      </c>
      <c r="H15" s="87">
        <f>7846450-7842642</f>
        <v>3808</v>
      </c>
      <c r="I15" s="87">
        <f>4903642-4901251</f>
        <v>2391</v>
      </c>
      <c r="J15" s="87">
        <f>10694297-10687316</f>
        <v>6981</v>
      </c>
      <c r="K15" s="87">
        <f t="shared" si="14"/>
        <v>25564</v>
      </c>
      <c r="L15" s="14">
        <f t="shared" si="8"/>
        <v>5112.8</v>
      </c>
      <c r="M15" s="84">
        <f>63686.7-63566.024</f>
        <v>120.67599999999948</v>
      </c>
      <c r="N15" s="84">
        <f>4031.708-4029.088</f>
        <v>2.6199999999998909</v>
      </c>
      <c r="O15" s="84">
        <f>9295.755-9294.673</f>
        <v>1.0819999999985157</v>
      </c>
      <c r="P15" s="82">
        <f>82644.828-82578.462</f>
        <v>66.365999999994528</v>
      </c>
      <c r="Q15" s="84">
        <f>22639.211-22629.256</f>
        <v>9.9549999999981083</v>
      </c>
      <c r="R15" s="84">
        <f t="shared" si="0"/>
        <v>70.067999999992935</v>
      </c>
      <c r="S15" s="84">
        <f t="shared" si="1"/>
        <v>549.33311999994464</v>
      </c>
      <c r="T15" s="84">
        <f t="shared" si="2"/>
        <v>130.63099999999758</v>
      </c>
      <c r="U15" s="84">
        <f t="shared" si="15"/>
        <v>1024.147039999981</v>
      </c>
      <c r="V15" s="84">
        <f>330100.9-329822.2</f>
        <v>278.70000000001164</v>
      </c>
      <c r="W15" s="84">
        <f t="shared" si="16"/>
        <v>0</v>
      </c>
      <c r="X15" s="87" t="s">
        <v>63</v>
      </c>
      <c r="Y15" s="5">
        <v>797847</v>
      </c>
      <c r="Z15" s="5">
        <f t="shared" si="9"/>
        <v>572</v>
      </c>
      <c r="AA15" s="14">
        <f t="shared" si="6"/>
        <v>3700.8399999999997</v>
      </c>
      <c r="AB15" s="88">
        <v>3114030.2</v>
      </c>
      <c r="AC15" s="87">
        <f t="shared" si="10"/>
        <v>3102110.8</v>
      </c>
      <c r="AD15" s="5">
        <f t="shared" si="3"/>
        <v>11919.400000000373</v>
      </c>
      <c r="AE15" s="84">
        <f t="shared" si="11"/>
        <v>3974.1067510001244</v>
      </c>
      <c r="AF15" s="84">
        <f>83028.5-83008.7</f>
        <v>19.80000000000291</v>
      </c>
      <c r="AG15" s="84">
        <f>43211-43202.1</f>
        <v>8.9000000000014552</v>
      </c>
      <c r="AH15" s="84">
        <f>26110.4-26103.6</f>
        <v>6.8000000000029104</v>
      </c>
      <c r="AI15" s="88">
        <f t="shared" si="12"/>
        <v>41074.199999999997</v>
      </c>
      <c r="AJ15" s="88">
        <v>41092</v>
      </c>
      <c r="AK15" s="48">
        <f t="shared" si="7"/>
        <v>17.80000000000291</v>
      </c>
      <c r="AL15" s="90">
        <f t="shared" si="4"/>
        <v>5061.3434224028269</v>
      </c>
      <c r="AM15" s="84">
        <f t="shared" si="13"/>
        <v>1687.5278171804387</v>
      </c>
      <c r="AN15" s="5">
        <v>83</v>
      </c>
      <c r="AO15" s="89">
        <f t="shared" si="5"/>
        <v>13811.893791000106</v>
      </c>
    </row>
    <row r="16" spans="1:44" x14ac:dyDescent="0.25">
      <c r="A16" s="79">
        <v>44266</v>
      </c>
      <c r="B16" s="87">
        <f>11504003-11498393</f>
        <v>5610</v>
      </c>
      <c r="C16" s="87">
        <f>7341505-7339004</f>
        <v>2501</v>
      </c>
      <c r="D16" s="147">
        <f>1416964-1416074</f>
        <v>890</v>
      </c>
      <c r="E16" s="147">
        <f>10906309-10901460</f>
        <v>4849</v>
      </c>
      <c r="F16" s="147">
        <f>10768980-10762789</f>
        <v>6191</v>
      </c>
      <c r="G16" s="147">
        <f>7944998-7942223</f>
        <v>2775</v>
      </c>
      <c r="H16" s="147">
        <f>7850398-7846450</f>
        <v>3948</v>
      </c>
      <c r="I16" s="147">
        <f>4906201-4903642</f>
        <v>2559</v>
      </c>
      <c r="J16" s="147">
        <f>10701107-10694297</f>
        <v>6810</v>
      </c>
      <c r="K16" s="87">
        <f t="shared" si="14"/>
        <v>26764</v>
      </c>
      <c r="L16" s="14">
        <f t="shared" si="8"/>
        <v>5352.8</v>
      </c>
      <c r="M16" s="84">
        <f>63821.194-63686.7</f>
        <v>134.49400000000605</v>
      </c>
      <c r="N16" s="84">
        <f>4034.41-4031.708</f>
        <v>2.7019999999997708</v>
      </c>
      <c r="O16" s="84">
        <f>9297.139-9295.755</f>
        <v>1.3840000000000146</v>
      </c>
      <c r="P16" s="82">
        <f>82721.297-82644.828</f>
        <v>76.469000000011874</v>
      </c>
      <c r="Q16" s="84">
        <f>22650.316-22639.211</f>
        <v>11.104999999999563</v>
      </c>
      <c r="R16" s="84">
        <f t="shared" si="0"/>
        <v>80.55500000001166</v>
      </c>
      <c r="S16" s="84">
        <f t="shared" si="1"/>
        <v>631.5512000000914</v>
      </c>
      <c r="T16" s="84">
        <f t="shared" si="2"/>
        <v>145.59900000000562</v>
      </c>
      <c r="U16" s="84">
        <f t="shared" si="15"/>
        <v>1141.496160000044</v>
      </c>
      <c r="V16" s="84">
        <f>330395.6-330100.9</f>
        <v>294.69999999995343</v>
      </c>
      <c r="W16" s="84">
        <f t="shared" si="16"/>
        <v>0</v>
      </c>
      <c r="X16" s="87" t="s">
        <v>63</v>
      </c>
      <c r="Y16" s="5">
        <v>798457</v>
      </c>
      <c r="Z16" s="5">
        <f t="shared" si="9"/>
        <v>610</v>
      </c>
      <c r="AA16" s="14">
        <f t="shared" si="6"/>
        <v>3946.7</v>
      </c>
      <c r="AB16" s="88">
        <v>3127810.9</v>
      </c>
      <c r="AC16" s="87">
        <f t="shared" si="10"/>
        <v>3114030.2</v>
      </c>
      <c r="AD16" s="5">
        <f t="shared" si="3"/>
        <v>13780.699999999721</v>
      </c>
      <c r="AE16" s="84">
        <f t="shared" si="11"/>
        <v>4594.692090499907</v>
      </c>
      <c r="AF16" s="84">
        <f>83050.4-83028.5</f>
        <v>21.899999999994179</v>
      </c>
      <c r="AG16" s="84">
        <f>43220.1-43211</f>
        <v>9.0999999999985448</v>
      </c>
      <c r="AH16" s="84">
        <f>26118-26110.4</f>
        <v>7.5999999999985448</v>
      </c>
      <c r="AI16" s="88">
        <f t="shared" si="12"/>
        <v>41092</v>
      </c>
      <c r="AJ16" s="88">
        <v>41112</v>
      </c>
      <c r="AK16" s="48">
        <f t="shared" si="7"/>
        <v>20</v>
      </c>
      <c r="AL16" s="90">
        <f t="shared" si="4"/>
        <v>5686.9027217999992</v>
      </c>
      <c r="AM16" s="84">
        <f t="shared" si="13"/>
        <v>1896.0986709889469</v>
      </c>
      <c r="AN16" s="71">
        <v>82</v>
      </c>
      <c r="AO16" s="78">
        <f t="shared" si="5"/>
        <v>15035.688250499952</v>
      </c>
    </row>
    <row r="17" spans="1:41" x14ac:dyDescent="0.25">
      <c r="A17" s="79">
        <v>44267</v>
      </c>
      <c r="B17" s="87">
        <f>11508777-11504003</f>
        <v>4774</v>
      </c>
      <c r="C17" s="87">
        <f>7343785-7341505</f>
        <v>2280</v>
      </c>
      <c r="D17" s="147">
        <f>1417874-1416964</f>
        <v>910</v>
      </c>
      <c r="E17" s="147">
        <f>10910836-10906309</f>
        <v>4527</v>
      </c>
      <c r="F17" s="147">
        <f>10774873-10768980</f>
        <v>5893</v>
      </c>
      <c r="G17" s="147">
        <f>7947463-7944998</f>
        <v>2465</v>
      </c>
      <c r="H17" s="147">
        <f>7854083-7850398</f>
        <v>3685</v>
      </c>
      <c r="I17" s="147">
        <f>4908620-4906201</f>
        <v>2419</v>
      </c>
      <c r="J17" s="147">
        <f>10707971-10701107</f>
        <v>6864</v>
      </c>
      <c r="K17" s="87">
        <f t="shared" si="14"/>
        <v>24534</v>
      </c>
      <c r="L17" s="14">
        <f t="shared" si="8"/>
        <v>4906.8</v>
      </c>
      <c r="M17" s="84">
        <f>63950.634-63821.194</f>
        <v>129.43999999999505</v>
      </c>
      <c r="N17" s="84">
        <f>4035.924-4034.41</f>
        <v>1.5140000000001237</v>
      </c>
      <c r="O17" s="84">
        <f>9297.711-9297.139</f>
        <v>0.57200000000011642</v>
      </c>
      <c r="P17" s="82">
        <f>82796.538-82721.297</f>
        <v>75.240999999994528</v>
      </c>
      <c r="Q17" s="84">
        <f>22659.222-22650.316</f>
        <v>8.9060000000026776</v>
      </c>
      <c r="R17" s="84">
        <f t="shared" si="0"/>
        <v>77.326999999994769</v>
      </c>
      <c r="S17" s="84">
        <f t="shared" si="1"/>
        <v>606.243679999959</v>
      </c>
      <c r="T17" s="84">
        <f t="shared" si="2"/>
        <v>138.34599999999773</v>
      </c>
      <c r="U17" s="84">
        <f t="shared" si="15"/>
        <v>1084.6326399999821</v>
      </c>
      <c r="V17" s="84">
        <f>330672.5-330395.6</f>
        <v>276.90000000002328</v>
      </c>
      <c r="W17" s="84">
        <f t="shared" si="16"/>
        <v>0</v>
      </c>
      <c r="X17" s="87" t="s">
        <v>63</v>
      </c>
      <c r="Y17" s="5">
        <v>799080</v>
      </c>
      <c r="Z17" s="5">
        <f t="shared" si="9"/>
        <v>623</v>
      </c>
      <c r="AA17" s="14">
        <f t="shared" si="6"/>
        <v>4030.81</v>
      </c>
      <c r="AB17" s="88">
        <v>3141804.9</v>
      </c>
      <c r="AC17" s="87">
        <f t="shared" si="10"/>
        <v>3127810.9</v>
      </c>
      <c r="AD17" s="5">
        <f t="shared" si="3"/>
        <v>13994</v>
      </c>
      <c r="AE17" s="84">
        <f t="shared" si="11"/>
        <v>4665.80951</v>
      </c>
      <c r="AF17" s="84">
        <f>83072.6-83050.4</f>
        <v>22.200000000011642</v>
      </c>
      <c r="AG17" s="84">
        <f>43229.8-43220.1</f>
        <v>9.7000000000043656</v>
      </c>
      <c r="AH17" s="84">
        <f>26125.8-26118</f>
        <v>7.7999999999992724</v>
      </c>
      <c r="AI17" s="88">
        <f t="shared" si="12"/>
        <v>41112</v>
      </c>
      <c r="AJ17" s="88">
        <v>41132.1</v>
      </c>
      <c r="AK17" s="48">
        <f t="shared" si="7"/>
        <v>20.099999999998545</v>
      </c>
      <c r="AL17" s="90">
        <f t="shared" si="4"/>
        <v>5715.3372354085859</v>
      </c>
      <c r="AM17" s="84">
        <f t="shared" si="13"/>
        <v>1905.5791643437537</v>
      </c>
      <c r="AN17" s="71">
        <v>75</v>
      </c>
      <c r="AO17" s="78">
        <f t="shared" si="5"/>
        <v>14688.052149999981</v>
      </c>
    </row>
    <row r="18" spans="1:41" x14ac:dyDescent="0.25">
      <c r="A18" s="79">
        <v>44268</v>
      </c>
      <c r="B18" s="87">
        <f>11515277-11508777</f>
        <v>6500</v>
      </c>
      <c r="C18" s="87">
        <f>7346256-7343785</f>
        <v>2471</v>
      </c>
      <c r="D18" s="87">
        <f>1418770-1417874</f>
        <v>896</v>
      </c>
      <c r="E18" s="87">
        <f>10915547-10910836</f>
        <v>4711</v>
      </c>
      <c r="F18" s="87">
        <f>10780718-10774873</f>
        <v>5845</v>
      </c>
      <c r="G18" s="87">
        <f>7950004-7947463</f>
        <v>2541</v>
      </c>
      <c r="H18" s="87">
        <f>7857880-7854083</f>
        <v>3797</v>
      </c>
      <c r="I18" s="87">
        <f>4911151-4908620</f>
        <v>2531</v>
      </c>
      <c r="J18" s="87">
        <f>10714813-10707971</f>
        <v>6842</v>
      </c>
      <c r="K18" s="87">
        <f t="shared" si="14"/>
        <v>26761</v>
      </c>
      <c r="L18" s="14">
        <f t="shared" si="8"/>
        <v>5352.2000000000007</v>
      </c>
      <c r="M18" s="84">
        <f>64072.039-63950.634</f>
        <v>121.40499999999884</v>
      </c>
      <c r="N18" s="84">
        <f>4037.529-4035.924</f>
        <v>1.6050000000000182</v>
      </c>
      <c r="O18" s="84">
        <f>9298.301-9297.711</f>
        <v>0.59000000000014552</v>
      </c>
      <c r="P18" s="82">
        <f>82863.375-82796.538</f>
        <v>66.836999999999534</v>
      </c>
      <c r="Q18" s="84">
        <f>22669.726-22659.222</f>
        <v>10.503999999997177</v>
      </c>
      <c r="R18" s="84">
        <f t="shared" si="0"/>
        <v>69.031999999999698</v>
      </c>
      <c r="S18" s="84">
        <f t="shared" si="1"/>
        <v>541.21087999999759</v>
      </c>
      <c r="T18" s="84">
        <f t="shared" si="2"/>
        <v>131.90899999999601</v>
      </c>
      <c r="U18" s="84">
        <f t="shared" si="15"/>
        <v>1034.1665599999687</v>
      </c>
      <c r="V18" s="84">
        <f>330939.9-330672.5</f>
        <v>267.40000000002328</v>
      </c>
      <c r="W18" s="84">
        <f t="shared" si="16"/>
        <v>0</v>
      </c>
      <c r="X18" s="87" t="s">
        <v>63</v>
      </c>
      <c r="Y18" s="5">
        <v>799628</v>
      </c>
      <c r="Z18" s="5">
        <f t="shared" si="9"/>
        <v>548</v>
      </c>
      <c r="AA18" s="14">
        <f t="shared" si="6"/>
        <v>3545.56</v>
      </c>
      <c r="AB18" s="88">
        <v>3156067.9</v>
      </c>
      <c r="AC18" s="87">
        <f t="shared" si="10"/>
        <v>3141804.9</v>
      </c>
      <c r="AD18" s="5">
        <f t="shared" si="3"/>
        <v>14263</v>
      </c>
      <c r="AE18" s="84">
        <f t="shared" si="11"/>
        <v>4755.4981450000005</v>
      </c>
      <c r="AF18" s="82">
        <f>83094.5-83072.6</f>
        <v>21.899999999994179</v>
      </c>
      <c r="AG18" s="82">
        <f>43238.8-43229.8</f>
        <v>9</v>
      </c>
      <c r="AH18" s="82">
        <f>26134.3-26125.8</f>
        <v>8.5</v>
      </c>
      <c r="AI18" s="88">
        <f t="shared" si="12"/>
        <v>41132.1</v>
      </c>
      <c r="AJ18" s="88">
        <v>41154.800000000003</v>
      </c>
      <c r="AK18" s="48">
        <f t="shared" si="7"/>
        <v>22.700000000004366</v>
      </c>
      <c r="AL18" s="90">
        <f t="shared" si="4"/>
        <v>6454.6345892442405</v>
      </c>
      <c r="AM18" s="84">
        <f t="shared" si="13"/>
        <v>2152.0719915728687</v>
      </c>
      <c r="AN18" s="71">
        <v>63</v>
      </c>
      <c r="AO18" s="78">
        <f t="shared" si="5"/>
        <v>14687.424704999969</v>
      </c>
    </row>
    <row r="19" spans="1:41" x14ac:dyDescent="0.25">
      <c r="A19" s="79">
        <v>44269</v>
      </c>
      <c r="B19" s="87">
        <f>11521291-11515277</f>
        <v>6014</v>
      </c>
      <c r="C19" s="87">
        <f>7348625-7346256</f>
        <v>2369</v>
      </c>
      <c r="D19" s="87">
        <f>1419689-1418770</f>
        <v>919</v>
      </c>
      <c r="E19" s="87">
        <f>10920024-10915547</f>
        <v>4477</v>
      </c>
      <c r="F19" s="87">
        <f>10786528-10780718</f>
        <v>5810</v>
      </c>
      <c r="G19" s="87">
        <f>7952586-7950004</f>
        <v>2582</v>
      </c>
      <c r="H19" s="87">
        <f>7861683-7857880</f>
        <v>3803</v>
      </c>
      <c r="I19" s="87">
        <f>4913585-4911151</f>
        <v>2434</v>
      </c>
      <c r="J19" s="87">
        <f>10722879-10714813</f>
        <v>8066</v>
      </c>
      <c r="K19" s="87">
        <f t="shared" si="14"/>
        <v>25974</v>
      </c>
      <c r="L19" s="14">
        <f t="shared" si="8"/>
        <v>5194.8</v>
      </c>
      <c r="M19" s="84">
        <f>64174.141-64072.039</f>
        <v>102.10200000000623</v>
      </c>
      <c r="N19" s="84">
        <f>4040.102-4037.529</f>
        <v>2.5729999999998654</v>
      </c>
      <c r="O19" s="84">
        <f>9299.262-9298.301</f>
        <v>0.9610000000011496</v>
      </c>
      <c r="P19" s="82">
        <f>82926.103-82863.375</f>
        <v>62.728000000002794</v>
      </c>
      <c r="Q19" s="84">
        <f>22680.502-22669.726</f>
        <v>10.776000000001659</v>
      </c>
      <c r="R19" s="84">
        <f t="shared" si="0"/>
        <v>66.262000000003809</v>
      </c>
      <c r="S19" s="84">
        <f t="shared" si="1"/>
        <v>519.49408000002984</v>
      </c>
      <c r="T19" s="84">
        <f t="shared" si="2"/>
        <v>112.87800000000789</v>
      </c>
      <c r="U19" s="84">
        <f t="shared" si="15"/>
        <v>884.96352000006186</v>
      </c>
      <c r="V19" s="84">
        <f>331200.7-330939.9</f>
        <v>260.79999999998836</v>
      </c>
      <c r="W19" s="84">
        <f t="shared" si="16"/>
        <v>0</v>
      </c>
      <c r="X19" s="87" t="s">
        <v>63</v>
      </c>
      <c r="Y19" s="5">
        <v>800186</v>
      </c>
      <c r="Z19" s="5">
        <f t="shared" si="9"/>
        <v>558</v>
      </c>
      <c r="AA19" s="14">
        <f t="shared" si="6"/>
        <v>3610.2599999999998</v>
      </c>
      <c r="AB19" s="88">
        <v>3167601.9</v>
      </c>
      <c r="AC19" s="87">
        <f t="shared" si="10"/>
        <v>3156067.9</v>
      </c>
      <c r="AD19" s="5">
        <f t="shared" si="3"/>
        <v>11534</v>
      </c>
      <c r="AE19" s="84">
        <f t="shared" si="11"/>
        <v>3845.6086100000002</v>
      </c>
      <c r="AF19" s="84">
        <f>83113.1-83094.5</f>
        <v>18.600000000005821</v>
      </c>
      <c r="AG19" s="84">
        <f>43246-43238.8</f>
        <v>7.1999999999970896</v>
      </c>
      <c r="AH19" s="84">
        <f>26141-26134.3</f>
        <v>6.7000000000007276</v>
      </c>
      <c r="AI19" s="88">
        <f t="shared" si="12"/>
        <v>41154.800000000003</v>
      </c>
      <c r="AJ19" s="88">
        <v>41173.199999999997</v>
      </c>
      <c r="AK19" s="48">
        <f t="shared" si="7"/>
        <v>18.399999999994179</v>
      </c>
      <c r="AL19" s="90">
        <f t="shared" si="4"/>
        <v>5231.9505040543445</v>
      </c>
      <c r="AM19" s="84">
        <f t="shared" si="13"/>
        <v>1744.4107773092794</v>
      </c>
      <c r="AN19" s="71">
        <v>76</v>
      </c>
      <c r="AO19" s="78">
        <f t="shared" si="5"/>
        <v>13535.632130000064</v>
      </c>
    </row>
    <row r="20" spans="1:41" x14ac:dyDescent="0.25">
      <c r="A20" s="79">
        <v>44270</v>
      </c>
      <c r="B20" s="87">
        <f>11526575-11521291</f>
        <v>5284</v>
      </c>
      <c r="C20" s="87">
        <f>7350952-7348625</f>
        <v>2327</v>
      </c>
      <c r="D20" s="87">
        <f>1420584-1419689</f>
        <v>895</v>
      </c>
      <c r="E20" s="87">
        <f>10924479-10920024</f>
        <v>4455</v>
      </c>
      <c r="F20" s="87">
        <f>10792218-10786528</f>
        <v>5690</v>
      </c>
      <c r="G20" s="87">
        <f>7955121-7952586</f>
        <v>2535</v>
      </c>
      <c r="H20" s="87">
        <f>7865431-7861683</f>
        <v>3748</v>
      </c>
      <c r="I20" s="87">
        <f>4915967-4913585</f>
        <v>2382</v>
      </c>
      <c r="J20" s="87">
        <f>10729703-10722879</f>
        <v>6824</v>
      </c>
      <c r="K20" s="87">
        <f t="shared" si="14"/>
        <v>24934</v>
      </c>
      <c r="L20" s="14">
        <f t="shared" si="8"/>
        <v>4986.8</v>
      </c>
      <c r="M20" s="84">
        <f>64287.269-64174.141</f>
        <v>113.12799999999697</v>
      </c>
      <c r="N20" s="84">
        <f>4042.68-4040.102</f>
        <v>2.5779999999999745</v>
      </c>
      <c r="O20" s="84">
        <f>9300.422-9299.262</f>
        <v>1.1599999999998545</v>
      </c>
      <c r="P20" s="82">
        <f>82992.058-82926.103</f>
        <v>65.955000000001746</v>
      </c>
      <c r="Q20" s="84">
        <f>22693.979-22680.502</f>
        <v>13.476999999998952</v>
      </c>
      <c r="R20" s="84">
        <f t="shared" si="0"/>
        <v>69.693000000001575</v>
      </c>
      <c r="S20" s="84">
        <f t="shared" si="1"/>
        <v>546.39312000001235</v>
      </c>
      <c r="T20" s="84">
        <f t="shared" si="2"/>
        <v>126.60499999999593</v>
      </c>
      <c r="U20" s="84">
        <f t="shared" si="15"/>
        <v>992.58319999996809</v>
      </c>
      <c r="V20" s="84">
        <f>331472.6-331200.7</f>
        <v>271.89999999996508</v>
      </c>
      <c r="W20" s="84">
        <f t="shared" si="16"/>
        <v>0</v>
      </c>
      <c r="X20" s="87" t="s">
        <v>63</v>
      </c>
      <c r="Y20" s="5">
        <v>800756</v>
      </c>
      <c r="Z20" s="5">
        <f t="shared" si="9"/>
        <v>570</v>
      </c>
      <c r="AA20" s="14">
        <f t="shared" si="6"/>
        <v>3687.8999999999996</v>
      </c>
      <c r="AB20" s="88">
        <v>3179172.9</v>
      </c>
      <c r="AC20" s="87">
        <f t="shared" si="10"/>
        <v>3167601.9</v>
      </c>
      <c r="AD20" s="5">
        <f t="shared" si="3"/>
        <v>11571</v>
      </c>
      <c r="AE20" s="84">
        <f t="shared" si="11"/>
        <v>3857.9449650000001</v>
      </c>
      <c r="AF20" s="84">
        <f>83131.8-83113.1</f>
        <v>18.69999999999709</v>
      </c>
      <c r="AG20" s="84">
        <f>43253.2-43246</f>
        <v>7.1999999999970896</v>
      </c>
      <c r="AH20" s="84">
        <f>26147.4-26141</f>
        <v>6.4000000000014552</v>
      </c>
      <c r="AI20" s="88">
        <f t="shared" si="12"/>
        <v>41173.199999999997</v>
      </c>
      <c r="AJ20" s="88">
        <v>41191.4</v>
      </c>
      <c r="AK20" s="48">
        <f t="shared" si="7"/>
        <v>18.200000000004366</v>
      </c>
      <c r="AL20" s="90">
        <f t="shared" si="4"/>
        <v>5175.0814768392411</v>
      </c>
      <c r="AM20" s="84">
        <f t="shared" si="13"/>
        <v>1725.4497906003558</v>
      </c>
      <c r="AN20" s="71">
        <v>74</v>
      </c>
      <c r="AO20" s="78">
        <f t="shared" si="5"/>
        <v>13525.22816499997</v>
      </c>
    </row>
    <row r="21" spans="1:41" x14ac:dyDescent="0.25">
      <c r="A21" s="79">
        <v>44271</v>
      </c>
      <c r="B21" s="87">
        <f>11531922-11526575</f>
        <v>5347</v>
      </c>
      <c r="C21" s="87">
        <f>7354028-7350952</f>
        <v>3076</v>
      </c>
      <c r="D21" s="87">
        <f>1421508-1420584</f>
        <v>924</v>
      </c>
      <c r="E21" s="87">
        <f>10929193-10924479</f>
        <v>4714</v>
      </c>
      <c r="F21" s="87">
        <f>10798193-10792218</f>
        <v>5975</v>
      </c>
      <c r="G21" s="87">
        <f>7957777-7955121</f>
        <v>2656</v>
      </c>
      <c r="H21" s="87">
        <f>7869331-7865431</f>
        <v>3900</v>
      </c>
      <c r="I21" s="87">
        <f>4918458-4915967</f>
        <v>2491</v>
      </c>
      <c r="J21" s="87">
        <f>10736685-10729703</f>
        <v>6982</v>
      </c>
      <c r="K21" s="87">
        <f t="shared" si="14"/>
        <v>26592</v>
      </c>
      <c r="L21" s="14">
        <f t="shared" si="8"/>
        <v>5318.4000000000005</v>
      </c>
      <c r="M21" s="84">
        <f>64418.588-64287.27</f>
        <v>131.31800000000658</v>
      </c>
      <c r="N21" s="84">
        <f>4044.553-4042.68</f>
        <v>1.8730000000000473</v>
      </c>
      <c r="O21" s="84">
        <f>9301.236-9300.42</f>
        <v>0.81600000000071304</v>
      </c>
      <c r="P21" s="82">
        <f>83060.013-82992.06</f>
        <v>67.953000000008615</v>
      </c>
      <c r="Q21" s="84">
        <f>22709.621-22693.98</f>
        <v>15.640999999999622</v>
      </c>
      <c r="R21" s="84">
        <f t="shared" si="0"/>
        <v>70.642000000009375</v>
      </c>
      <c r="S21" s="84">
        <f t="shared" si="1"/>
        <v>553.8332800000735</v>
      </c>
      <c r="T21" s="84">
        <f t="shared" si="2"/>
        <v>146.9590000000062</v>
      </c>
      <c r="U21" s="84">
        <f t="shared" si="15"/>
        <v>1152.1585600000485</v>
      </c>
      <c r="V21" s="84">
        <f>331759.3-331472.6</f>
        <v>286.70000000001164</v>
      </c>
      <c r="W21" s="84">
        <f t="shared" si="16"/>
        <v>0</v>
      </c>
      <c r="X21" s="87" t="s">
        <v>63</v>
      </c>
      <c r="Y21" s="5">
        <v>801338</v>
      </c>
      <c r="Z21" s="5">
        <f t="shared" si="9"/>
        <v>582</v>
      </c>
      <c r="AA21" s="14">
        <f t="shared" si="6"/>
        <v>3765.54</v>
      </c>
      <c r="AB21" s="88">
        <v>3192800</v>
      </c>
      <c r="AC21" s="87">
        <f t="shared" si="10"/>
        <v>3179172.9</v>
      </c>
      <c r="AD21" s="5">
        <f t="shared" si="3"/>
        <v>13627.100000000093</v>
      </c>
      <c r="AE21" s="84">
        <f t="shared" si="11"/>
        <v>4543.4795465000316</v>
      </c>
      <c r="AF21" s="84">
        <f>83155.4-83131.8</f>
        <v>23.599999999991269</v>
      </c>
      <c r="AG21" s="84">
        <f>43261.3-43253.2</f>
        <v>8.1000000000058208</v>
      </c>
      <c r="AH21" s="84">
        <f>26154.4-26147.4</f>
        <v>7</v>
      </c>
      <c r="AI21" s="88">
        <f t="shared" si="12"/>
        <v>41191.4</v>
      </c>
      <c r="AJ21" s="88">
        <v>41210.5</v>
      </c>
      <c r="AK21" s="48">
        <f t="shared" si="7"/>
        <v>19.099999999998545</v>
      </c>
      <c r="AL21" s="90">
        <f t="shared" si="4"/>
        <v>5430.992099318586</v>
      </c>
      <c r="AM21" s="84">
        <f t="shared" si="13"/>
        <v>1810.7742307943065</v>
      </c>
      <c r="AN21" s="71">
        <v>76</v>
      </c>
      <c r="AO21" s="78">
        <f t="shared" si="5"/>
        <v>14779.578106500081</v>
      </c>
    </row>
    <row r="22" spans="1:41" x14ac:dyDescent="0.25">
      <c r="A22" s="79">
        <v>44272</v>
      </c>
      <c r="B22" s="87">
        <f>11536887-11531922</f>
        <v>4965</v>
      </c>
      <c r="C22" s="87">
        <f>7357324-7354028</f>
        <v>3296</v>
      </c>
      <c r="D22" s="87">
        <f>1422386-1421508</f>
        <v>878</v>
      </c>
      <c r="E22" s="87">
        <f>10934029-10929193</f>
        <v>4836</v>
      </c>
      <c r="F22" s="87">
        <f>10804177-10798193</f>
        <v>5984</v>
      </c>
      <c r="G22" s="87">
        <f>7960315-7957777</f>
        <v>2538</v>
      </c>
      <c r="H22" s="87">
        <f>7873156-7869331</f>
        <v>3825</v>
      </c>
      <c r="I22" s="87">
        <f>4920971-4918458</f>
        <v>2513</v>
      </c>
      <c r="J22" s="87">
        <f>10743691-10736685</f>
        <v>7006</v>
      </c>
      <c r="K22" s="87">
        <f t="shared" si="14"/>
        <v>26322</v>
      </c>
      <c r="L22" s="14">
        <f t="shared" si="8"/>
        <v>5264.4000000000005</v>
      </c>
      <c r="M22" s="84">
        <f>64542.37-64418.588</f>
        <v>123.78199999999924</v>
      </c>
      <c r="N22" s="84">
        <f>4046.423-4044.553</f>
        <v>1.8699999999998909</v>
      </c>
      <c r="O22" s="84">
        <f>9301.956-9301.236</f>
        <v>0.71999999999934516</v>
      </c>
      <c r="P22" s="82">
        <f>83104.203-83060.013</f>
        <v>44.189999999987776</v>
      </c>
      <c r="Q22" s="84">
        <f>22711.054-22709.621</f>
        <v>1.4330000000009022</v>
      </c>
      <c r="R22" s="84">
        <f t="shared" si="0"/>
        <v>46.779999999987012</v>
      </c>
      <c r="S22" s="84">
        <f t="shared" si="1"/>
        <v>366.7551999998982</v>
      </c>
      <c r="T22" s="84">
        <f t="shared" si="2"/>
        <v>125.21500000000015</v>
      </c>
      <c r="U22" s="84">
        <f t="shared" si="15"/>
        <v>981.68560000000116</v>
      </c>
      <c r="V22" s="84">
        <f>332028.7-331759.3</f>
        <v>269.40000000002328</v>
      </c>
      <c r="W22" s="84">
        <f t="shared" si="16"/>
        <v>0</v>
      </c>
      <c r="X22" s="87" t="s">
        <v>63</v>
      </c>
      <c r="Y22" s="5">
        <v>801921</v>
      </c>
      <c r="Z22" s="5">
        <f t="shared" si="9"/>
        <v>583</v>
      </c>
      <c r="AA22" s="14">
        <f t="shared" si="6"/>
        <v>3772.0099999999998</v>
      </c>
      <c r="AB22" s="88">
        <v>3207116.9</v>
      </c>
      <c r="AC22" s="88">
        <f t="shared" si="10"/>
        <v>3192800</v>
      </c>
      <c r="AD22" s="5">
        <f t="shared" si="3"/>
        <v>14316.899999999907</v>
      </c>
      <c r="AE22" s="84">
        <f t="shared" si="11"/>
        <v>4773.4692134999696</v>
      </c>
      <c r="AF22" s="84">
        <f>83179.3-83155.4</f>
        <v>23.900000000008731</v>
      </c>
      <c r="AG22" s="84">
        <f>43270.7-43261.3</f>
        <v>9.3999999999941792</v>
      </c>
      <c r="AH22" s="84">
        <f>26162.1-26154.4</f>
        <v>7.6999999999970896</v>
      </c>
      <c r="AI22" s="88">
        <f t="shared" si="12"/>
        <v>41210.5</v>
      </c>
      <c r="AJ22" s="88">
        <v>41230.300000000003</v>
      </c>
      <c r="AK22" s="48">
        <f t="shared" si="7"/>
        <v>19.80000000000291</v>
      </c>
      <c r="AL22" s="90">
        <f t="shared" si="4"/>
        <v>5630.0336945828276</v>
      </c>
      <c r="AM22" s="84">
        <f t="shared" si="13"/>
        <v>1877.1376842793336</v>
      </c>
      <c r="AN22" s="71">
        <v>52</v>
      </c>
      <c r="AO22" s="78">
        <f t="shared" si="5"/>
        <v>14791.564813499972</v>
      </c>
    </row>
    <row r="23" spans="1:41" x14ac:dyDescent="0.25">
      <c r="A23" s="79">
        <v>44273</v>
      </c>
      <c r="B23" s="87">
        <f>11542112-11536887</f>
        <v>5225</v>
      </c>
      <c r="C23" s="87">
        <f>7359789-7357324</f>
        <v>2465</v>
      </c>
      <c r="D23" s="87">
        <f>1423301-1422386</f>
        <v>915</v>
      </c>
      <c r="E23" s="87">
        <f>10938949-10934029</f>
        <v>4920</v>
      </c>
      <c r="F23" s="87">
        <f>10810161-10804177</f>
        <v>5984</v>
      </c>
      <c r="G23" s="87">
        <f>7962850-7960315</f>
        <v>2535</v>
      </c>
      <c r="H23" s="87">
        <f>7877091-7873156</f>
        <v>3935</v>
      </c>
      <c r="I23" s="87">
        <f>4923543-4920971</f>
        <v>2572</v>
      </c>
      <c r="J23" s="87">
        <f>10750766-10743691</f>
        <v>7075</v>
      </c>
      <c r="K23" s="87">
        <f t="shared" si="14"/>
        <v>25979</v>
      </c>
      <c r="L23" s="14">
        <f t="shared" si="8"/>
        <v>5195.8</v>
      </c>
      <c r="M23" s="84">
        <f>64677.764-64542.37</f>
        <v>135.39400000000023</v>
      </c>
      <c r="N23" s="84">
        <f>4048.432-4046.42</f>
        <v>2.0119999999997162</v>
      </c>
      <c r="O23" s="84">
        <f>9302.667-9301.96</f>
        <v>0.70700000000033469</v>
      </c>
      <c r="P23" s="82">
        <f>83198.936-83104.2</f>
        <v>94.736000000004424</v>
      </c>
      <c r="Q23" s="84">
        <f>22711.081-22711.05</f>
        <v>3.0999999999039574E-2</v>
      </c>
      <c r="R23" s="84">
        <f t="shared" si="0"/>
        <v>97.455000000004475</v>
      </c>
      <c r="S23" s="84">
        <f t="shared" si="1"/>
        <v>764.0472000000351</v>
      </c>
      <c r="T23" s="84">
        <f t="shared" si="2"/>
        <v>135.42499999999927</v>
      </c>
      <c r="U23" s="84">
        <f t="shared" si="15"/>
        <v>1061.7319999999943</v>
      </c>
      <c r="V23" s="84">
        <f>332314-332028.7</f>
        <v>285.29999999998836</v>
      </c>
      <c r="W23" s="84">
        <f t="shared" si="16"/>
        <v>0</v>
      </c>
      <c r="X23" s="87" t="s">
        <v>63</v>
      </c>
      <c r="Y23" s="5">
        <v>802521</v>
      </c>
      <c r="Z23" s="5">
        <f t="shared" si="9"/>
        <v>600</v>
      </c>
      <c r="AA23" s="14">
        <f t="shared" si="6"/>
        <v>3882</v>
      </c>
      <c r="AB23" s="88">
        <v>3221560</v>
      </c>
      <c r="AC23" s="87">
        <f t="shared" si="10"/>
        <v>3207116.9</v>
      </c>
      <c r="AD23" s="5">
        <f t="shared" si="3"/>
        <v>14443.100000000093</v>
      </c>
      <c r="AE23" s="84">
        <f t="shared" si="11"/>
        <v>4815.5461865000316</v>
      </c>
      <c r="AF23" s="84">
        <f>83201.7-83179.3</f>
        <v>22.399999999994179</v>
      </c>
      <c r="AG23" s="84">
        <f>43281-43270.7</f>
        <v>10.30000000000291</v>
      </c>
      <c r="AH23" s="84">
        <f>26170.9-26162.1</f>
        <v>8.8000000000029104</v>
      </c>
      <c r="AI23" s="88">
        <f t="shared" si="12"/>
        <v>41230.300000000003</v>
      </c>
      <c r="AJ23" s="88">
        <v>41250.699999999997</v>
      </c>
      <c r="AK23" s="48">
        <f t="shared" si="7"/>
        <v>20.399999999994179</v>
      </c>
      <c r="AL23" s="90">
        <f t="shared" si="4"/>
        <v>5800.6407762343442</v>
      </c>
      <c r="AM23" s="84">
        <f t="shared" si="13"/>
        <v>1934.0206444081739</v>
      </c>
      <c r="AN23" s="71">
        <v>67</v>
      </c>
      <c r="AO23" s="78">
        <f t="shared" si="5"/>
        <v>14955.078186500028</v>
      </c>
    </row>
    <row r="24" spans="1:41" x14ac:dyDescent="0.25">
      <c r="A24" s="79">
        <v>44274</v>
      </c>
      <c r="B24" s="87">
        <f>11547286-11542112</f>
        <v>5174</v>
      </c>
      <c r="C24" s="87">
        <f>7361924-7359789</f>
        <v>2135</v>
      </c>
      <c r="D24" s="87">
        <f>1424194-1423301</f>
        <v>893</v>
      </c>
      <c r="E24" s="87">
        <f>10943670-10938949</f>
        <v>4721</v>
      </c>
      <c r="F24" s="87">
        <f>10816090-10810161</f>
        <v>5929</v>
      </c>
      <c r="G24" s="87">
        <f>7965470-7962850</f>
        <v>2620</v>
      </c>
      <c r="H24" s="87">
        <f>7880907-7877091</f>
        <v>3816</v>
      </c>
      <c r="I24" s="87">
        <f>4926083-4923543</f>
        <v>2540</v>
      </c>
      <c r="J24" s="87">
        <f>10757890-10750766</f>
        <v>7124</v>
      </c>
      <c r="K24" s="87">
        <f t="shared" si="14"/>
        <v>25288</v>
      </c>
      <c r="L24" s="14">
        <f t="shared" si="8"/>
        <v>5057.6000000000004</v>
      </c>
      <c r="M24" s="84">
        <f>64804.297-64677.76</f>
        <v>126.53699999999662</v>
      </c>
      <c r="N24" s="84">
        <f>4050.358-4048.43</f>
        <v>1.9280000000003383</v>
      </c>
      <c r="O24" s="84">
        <f>9303.437-9302.67</f>
        <v>0.76699999999982538</v>
      </c>
      <c r="P24" s="82">
        <f>83204.645-83198.94</f>
        <v>5.7050000000017462</v>
      </c>
      <c r="Q24" s="84">
        <f>22711.418-22711.08</f>
        <v>0.33799999999973807</v>
      </c>
      <c r="R24" s="84">
        <f t="shared" si="0"/>
        <v>8.4000000000019099</v>
      </c>
      <c r="S24" s="84">
        <f t="shared" si="1"/>
        <v>65.856000000014973</v>
      </c>
      <c r="T24" s="84">
        <f t="shared" si="2"/>
        <v>126.87499999999636</v>
      </c>
      <c r="U24" s="84">
        <f t="shared" si="15"/>
        <v>994.69999999997151</v>
      </c>
      <c r="V24" s="84">
        <f>332599.4-332314</f>
        <v>285.40000000002328</v>
      </c>
      <c r="W24" s="84">
        <f t="shared" si="16"/>
        <v>0</v>
      </c>
      <c r="X24" s="87" t="s">
        <v>63</v>
      </c>
      <c r="Y24" s="5">
        <v>803154</v>
      </c>
      <c r="Z24" s="5">
        <f t="shared" si="9"/>
        <v>633</v>
      </c>
      <c r="AA24" s="14">
        <f t="shared" si="6"/>
        <v>4095.5099999999998</v>
      </c>
      <c r="AB24" s="88">
        <v>3237547</v>
      </c>
      <c r="AC24" s="87">
        <f t="shared" si="10"/>
        <v>3221560</v>
      </c>
      <c r="AD24" s="5">
        <f t="shared" si="3"/>
        <v>15987</v>
      </c>
      <c r="AE24" s="84">
        <f t="shared" si="11"/>
        <v>5330.3056050000005</v>
      </c>
      <c r="AF24" s="84">
        <f>83226.8-83201.7</f>
        <v>25.100000000005821</v>
      </c>
      <c r="AG24" s="84">
        <f>43292.1-43281</f>
        <v>11.099999999998545</v>
      </c>
      <c r="AH24" s="84">
        <f>26180.6-26170.9</f>
        <v>9.6999999999970896</v>
      </c>
      <c r="AI24" s="88">
        <f t="shared" si="12"/>
        <v>41250.699999999997</v>
      </c>
      <c r="AJ24" s="88">
        <v>41273.300000000003</v>
      </c>
      <c r="AK24" s="48">
        <f t="shared" si="7"/>
        <v>22.600000000005821</v>
      </c>
      <c r="AL24" s="90">
        <f t="shared" si="4"/>
        <v>6426.2000756356547</v>
      </c>
      <c r="AM24" s="84">
        <f t="shared" si="13"/>
        <v>2142.591498218062</v>
      </c>
      <c r="AN24" s="71">
        <v>83</v>
      </c>
      <c r="AO24" s="78">
        <f t="shared" si="5"/>
        <v>15478.115604999974</v>
      </c>
    </row>
    <row r="25" spans="1:41" x14ac:dyDescent="0.25">
      <c r="A25" s="79">
        <v>44275</v>
      </c>
      <c r="B25" s="87">
        <f>11552671-11547286</f>
        <v>5385</v>
      </c>
      <c r="C25" s="87">
        <f>7363955-7361924</f>
        <v>2031</v>
      </c>
      <c r="D25" s="87">
        <f>1425113-1424194</f>
        <v>919</v>
      </c>
      <c r="E25" s="87">
        <f>10948587-10943670</f>
        <v>4917</v>
      </c>
      <c r="F25" s="87">
        <f>10821988-10816090</f>
        <v>5898</v>
      </c>
      <c r="G25" s="87">
        <f>7968373-7965470</f>
        <v>2903</v>
      </c>
      <c r="H25" s="87">
        <f>7884803-7880907</f>
        <v>3896</v>
      </c>
      <c r="I25" s="87">
        <f>4928632-4926083</f>
        <v>2549</v>
      </c>
      <c r="J25" s="87">
        <f>10765081-10757890</f>
        <v>7191</v>
      </c>
      <c r="K25" s="87">
        <f t="shared" si="14"/>
        <v>25949</v>
      </c>
      <c r="L25" s="14">
        <f t="shared" si="8"/>
        <v>5189.8</v>
      </c>
      <c r="M25" s="84">
        <f>64938.114-64804.3</f>
        <v>133.81399999999849</v>
      </c>
      <c r="N25" s="84">
        <f>4052.347-4050.36</f>
        <v>1.98700000000008</v>
      </c>
      <c r="O25" s="84">
        <f>9304.043-9303.44</f>
        <v>0.60299999999915599</v>
      </c>
      <c r="P25" s="82">
        <f>83296.895-83204.65</f>
        <v>92.245000000009895</v>
      </c>
      <c r="Q25" s="84">
        <f>22724.463-22711.42</f>
        <v>13.043000000001484</v>
      </c>
      <c r="R25" s="84">
        <f t="shared" si="0"/>
        <v>94.835000000009131</v>
      </c>
      <c r="S25" s="84">
        <f t="shared" si="1"/>
        <v>743.50640000007161</v>
      </c>
      <c r="T25" s="84">
        <f t="shared" si="2"/>
        <v>146.85699999999997</v>
      </c>
      <c r="U25" s="84">
        <f t="shared" si="15"/>
        <v>1151.3588799999998</v>
      </c>
      <c r="V25" s="84">
        <f>332879.7-332599.4</f>
        <v>280.29999999998836</v>
      </c>
      <c r="W25" s="84">
        <f t="shared" si="16"/>
        <v>0</v>
      </c>
      <c r="X25" s="87" t="s">
        <v>63</v>
      </c>
      <c r="Y25" s="5">
        <v>803723</v>
      </c>
      <c r="Z25" s="5">
        <f t="shared" si="9"/>
        <v>569</v>
      </c>
      <c r="AA25" s="14">
        <f t="shared" si="6"/>
        <v>3681.43</v>
      </c>
      <c r="AB25" s="88">
        <v>3254450</v>
      </c>
      <c r="AC25" s="87">
        <f t="shared" si="10"/>
        <v>3237547</v>
      </c>
      <c r="AD25" s="5">
        <f t="shared" si="3"/>
        <v>16903</v>
      </c>
      <c r="AE25" s="84">
        <f t="shared" si="11"/>
        <v>5635.713745</v>
      </c>
      <c r="AF25" s="84">
        <f>83253.9-83226.8</f>
        <v>27.099999999991269</v>
      </c>
      <c r="AG25" s="84">
        <f>43303.6-43292.1</f>
        <v>11.5</v>
      </c>
      <c r="AH25" s="84">
        <f>26191.1-26180.6</f>
        <v>10.5</v>
      </c>
      <c r="AI25" s="88">
        <f t="shared" si="12"/>
        <v>41273.300000000003</v>
      </c>
      <c r="AJ25" s="88">
        <v>41296.5</v>
      </c>
      <c r="AK25" s="48">
        <f t="shared" si="7"/>
        <v>23.19999999999709</v>
      </c>
      <c r="AL25" s="90">
        <f t="shared" si="4"/>
        <v>6596.8071572871722</v>
      </c>
      <c r="AM25" s="84">
        <f t="shared" si="13"/>
        <v>2199.4744583469028</v>
      </c>
      <c r="AN25" s="71">
        <v>78</v>
      </c>
      <c r="AO25" s="78">
        <f t="shared" si="5"/>
        <v>15658.302625</v>
      </c>
    </row>
    <row r="26" spans="1:41" x14ac:dyDescent="0.25">
      <c r="A26" s="79">
        <v>44276</v>
      </c>
      <c r="B26" s="87">
        <f>11559219-11552671</f>
        <v>6548</v>
      </c>
      <c r="C26" s="87">
        <f>7365996-7363955</f>
        <v>2041</v>
      </c>
      <c r="D26" s="87">
        <f>1425990-1425113</f>
        <v>877</v>
      </c>
      <c r="E26" s="87">
        <f>10953176-10948587</f>
        <v>4589</v>
      </c>
      <c r="F26" s="87">
        <f>10827562-10821988</f>
        <v>5574</v>
      </c>
      <c r="G26" s="87">
        <f>7971154-7968373</f>
        <v>2781</v>
      </c>
      <c r="H26" s="87">
        <f>7888499-7884803</f>
        <v>3696</v>
      </c>
      <c r="I26" s="87">
        <f>4931037-4928632</f>
        <v>2405</v>
      </c>
      <c r="J26" s="87">
        <f>10771823-10765081</f>
        <v>6742</v>
      </c>
      <c r="K26" s="87">
        <f t="shared" si="14"/>
        <v>26106</v>
      </c>
      <c r="L26" s="14">
        <f t="shared" si="8"/>
        <v>5221.2000000000007</v>
      </c>
      <c r="M26" s="84">
        <f>65072.797-64938.114</f>
        <v>134.68299999999726</v>
      </c>
      <c r="N26" s="84">
        <f>4054.074-4052.347</f>
        <v>1.7269999999998618</v>
      </c>
      <c r="O26" s="84">
        <f>9304.608-9304.043</f>
        <v>0.56500000000050932</v>
      </c>
      <c r="P26" s="82">
        <f>83347.511-83296.895</f>
        <v>50.615999999994528</v>
      </c>
      <c r="Q26" s="84">
        <f>22735.025-22724.463</f>
        <v>10.562000000001717</v>
      </c>
      <c r="R26" s="84">
        <f t="shared" si="0"/>
        <v>52.9079999999949</v>
      </c>
      <c r="S26" s="84">
        <f t="shared" si="1"/>
        <v>414.79871999995999</v>
      </c>
      <c r="T26" s="84">
        <f t="shared" si="2"/>
        <v>145.24499999999898</v>
      </c>
      <c r="U26" s="84">
        <f t="shared" si="15"/>
        <v>1138.7207999999921</v>
      </c>
      <c r="V26" s="84">
        <f>333157.3-332879.7</f>
        <v>277.59999999997672</v>
      </c>
      <c r="W26" s="84">
        <f t="shared" si="16"/>
        <v>0</v>
      </c>
      <c r="X26" s="87" t="s">
        <v>63</v>
      </c>
      <c r="Y26" s="5">
        <v>804308</v>
      </c>
      <c r="Z26" s="5">
        <f t="shared" si="9"/>
        <v>585</v>
      </c>
      <c r="AA26" s="14">
        <f t="shared" si="6"/>
        <v>3784.95</v>
      </c>
      <c r="AB26" s="88">
        <v>3267771.9</v>
      </c>
      <c r="AC26" s="87">
        <f t="shared" si="10"/>
        <v>3254450</v>
      </c>
      <c r="AD26" s="5">
        <f t="shared" si="3"/>
        <v>13321.899999999907</v>
      </c>
      <c r="AE26" s="84">
        <f t="shared" si="11"/>
        <v>4441.721288499969</v>
      </c>
      <c r="AF26" s="84">
        <f>83275.5-83253.9</f>
        <v>21.600000000005821</v>
      </c>
      <c r="AG26" s="84">
        <f>43313.1-43303.6</f>
        <v>9.5</v>
      </c>
      <c r="AH26" s="84">
        <f>26199.6-26191.1</f>
        <v>8.5</v>
      </c>
      <c r="AI26" s="88">
        <f t="shared" si="12"/>
        <v>41296.5</v>
      </c>
      <c r="AJ26" s="88">
        <v>41316.300000000003</v>
      </c>
      <c r="AK26" s="48">
        <f t="shared" si="7"/>
        <v>19.80000000000291</v>
      </c>
      <c r="AL26" s="90">
        <f t="shared" si="4"/>
        <v>5630.0336945828276</v>
      </c>
      <c r="AM26" s="84">
        <f t="shared" si="13"/>
        <v>1877.1376842793336</v>
      </c>
      <c r="AN26" s="71">
        <v>105</v>
      </c>
      <c r="AO26" s="78">
        <f t="shared" si="5"/>
        <v>14586.592088499961</v>
      </c>
    </row>
    <row r="27" spans="1:41" x14ac:dyDescent="0.25">
      <c r="A27" s="79">
        <v>44277</v>
      </c>
      <c r="B27" s="87">
        <f>11566304-11559219</f>
        <v>7085</v>
      </c>
      <c r="C27" s="87">
        <f>7369051-7365996</f>
        <v>3055</v>
      </c>
      <c r="D27" s="87">
        <f>1426856-1425990</f>
        <v>866</v>
      </c>
      <c r="E27" s="87">
        <f>10958020-10953176</f>
        <v>4844</v>
      </c>
      <c r="F27" s="87">
        <f>10833460-10827562</f>
        <v>5898</v>
      </c>
      <c r="G27" s="87">
        <f>7973970-7971154</f>
        <v>2816</v>
      </c>
      <c r="H27" s="87">
        <f>7892335-7888499</f>
        <v>3836</v>
      </c>
      <c r="I27" s="87">
        <f>4933448-4931037</f>
        <v>2411</v>
      </c>
      <c r="J27" s="87">
        <f>10778923-10771823</f>
        <v>7100</v>
      </c>
      <c r="K27" s="87">
        <f t="shared" si="14"/>
        <v>28400</v>
      </c>
      <c r="L27" s="14">
        <f t="shared" si="8"/>
        <v>5680</v>
      </c>
      <c r="M27" s="84">
        <f>65191.226-65072.797</f>
        <v>118.42900000000373</v>
      </c>
      <c r="N27" s="84">
        <f>4055.26-4054.074</f>
        <v>1.1860000000001492</v>
      </c>
      <c r="O27" s="84">
        <f>9305.168-9304.608</f>
        <v>0.55999999999949068</v>
      </c>
      <c r="P27" s="82">
        <f>83489.611-83347.511</f>
        <v>142.10000000000582</v>
      </c>
      <c r="Q27" s="84">
        <f>22745.995-22735.025</f>
        <v>10.969999999997526</v>
      </c>
      <c r="R27" s="84">
        <f t="shared" si="0"/>
        <v>143.84600000000546</v>
      </c>
      <c r="S27" s="84">
        <f t="shared" si="1"/>
        <v>1127.7526400000429</v>
      </c>
      <c r="T27" s="84">
        <f t="shared" si="2"/>
        <v>129.39900000000125</v>
      </c>
      <c r="U27" s="84">
        <f t="shared" si="15"/>
        <v>1014.4881600000098</v>
      </c>
      <c r="V27" s="84">
        <f>333437.1-333157.3</f>
        <v>279.79999999998836</v>
      </c>
      <c r="W27" s="84">
        <f t="shared" si="16"/>
        <v>0</v>
      </c>
      <c r="X27" s="87" t="s">
        <v>63</v>
      </c>
      <c r="Y27" s="5">
        <v>804952</v>
      </c>
      <c r="Z27" s="5">
        <f t="shared" si="9"/>
        <v>644</v>
      </c>
      <c r="AA27" s="14">
        <f t="shared" si="6"/>
        <v>4166.68</v>
      </c>
      <c r="AB27" s="88">
        <v>3282170.9</v>
      </c>
      <c r="AC27" s="87">
        <f t="shared" si="10"/>
        <v>3267771.9</v>
      </c>
      <c r="AD27" s="5">
        <f t="shared" si="3"/>
        <v>14399</v>
      </c>
      <c r="AE27" s="84">
        <f t="shared" si="11"/>
        <v>4800.8425850000003</v>
      </c>
      <c r="AF27" s="84">
        <f>83299.5-83275.5</f>
        <v>24</v>
      </c>
      <c r="AG27" s="84">
        <f>43323.2-43313.1</f>
        <v>10.099999999998545</v>
      </c>
      <c r="AH27" s="84">
        <f>26208.1-26199.6</f>
        <v>8.5</v>
      </c>
      <c r="AI27" s="88">
        <f t="shared" si="12"/>
        <v>41316.300000000003</v>
      </c>
      <c r="AJ27" s="88">
        <v>41337.9</v>
      </c>
      <c r="AK27" s="48">
        <f t="shared" si="7"/>
        <v>21.599999999998545</v>
      </c>
      <c r="AL27" s="90">
        <f t="shared" si="4"/>
        <v>6141.8549395435857</v>
      </c>
      <c r="AM27" s="84">
        <f t="shared" si="13"/>
        <v>2047.7865646679247</v>
      </c>
      <c r="AN27" s="71">
        <v>108</v>
      </c>
      <c r="AO27" s="78">
        <f t="shared" si="5"/>
        <v>15662.010745000011</v>
      </c>
    </row>
    <row r="28" spans="1:41" x14ac:dyDescent="0.25">
      <c r="A28" s="79">
        <v>44278</v>
      </c>
      <c r="B28" s="87">
        <f>11571597-11566304</f>
        <v>5293</v>
      </c>
      <c r="C28" s="87">
        <f>7372136-7369051</f>
        <v>3085</v>
      </c>
      <c r="D28" s="87">
        <f>1427697-1426856</f>
        <v>841</v>
      </c>
      <c r="E28" s="87">
        <f>10962811-10958020</f>
        <v>4791</v>
      </c>
      <c r="F28" s="87">
        <f>10839297-10833460</f>
        <v>5837</v>
      </c>
      <c r="G28" s="87">
        <f>7976858-7973970</f>
        <v>2888</v>
      </c>
      <c r="H28" s="87">
        <f>7896178-7892335</f>
        <v>3843</v>
      </c>
      <c r="I28" s="87">
        <f>4935850-4933448</f>
        <v>2402</v>
      </c>
      <c r="J28" s="87">
        <f>10785832-10778923</f>
        <v>6909</v>
      </c>
      <c r="K28" s="87">
        <f t="shared" si="14"/>
        <v>26578</v>
      </c>
      <c r="L28" s="14">
        <f t="shared" si="8"/>
        <v>5315.6</v>
      </c>
      <c r="M28" s="84">
        <f>65328.079-65191.226</f>
        <v>136.85299999999552</v>
      </c>
      <c r="N28" s="84">
        <f>4056.666-4055.26</f>
        <v>1.4059999999999491</v>
      </c>
      <c r="O28" s="84">
        <f>9305.926-9305.168</f>
        <v>0.75799999999981083</v>
      </c>
      <c r="P28" s="82">
        <f>83553.433-83489.611</f>
        <v>63.822000000000116</v>
      </c>
      <c r="Q28" s="84">
        <f>22757.805-22745.995</f>
        <v>11.81000000000131</v>
      </c>
      <c r="R28" s="84">
        <f t="shared" si="0"/>
        <v>65.985999999999876</v>
      </c>
      <c r="S28" s="84">
        <f t="shared" si="1"/>
        <v>517.33023999999898</v>
      </c>
      <c r="T28" s="84">
        <f t="shared" si="2"/>
        <v>148.66299999999683</v>
      </c>
      <c r="U28" s="84">
        <f t="shared" si="15"/>
        <v>1165.5179199999752</v>
      </c>
      <c r="V28" s="84">
        <f>333710.5-333437.1</f>
        <v>273.40000000002328</v>
      </c>
      <c r="W28" s="84">
        <f>129771.49-129679.18</f>
        <v>92.310000000012224</v>
      </c>
      <c r="X28" s="87" t="s">
        <v>63</v>
      </c>
      <c r="Y28" s="5">
        <v>805657</v>
      </c>
      <c r="Z28" s="5">
        <f t="shared" si="9"/>
        <v>705</v>
      </c>
      <c r="AA28" s="14">
        <f t="shared" si="6"/>
        <v>4561.3499999999995</v>
      </c>
      <c r="AB28" s="88">
        <v>3297080.9</v>
      </c>
      <c r="AC28" s="87">
        <f t="shared" si="10"/>
        <v>3282170.9</v>
      </c>
      <c r="AD28" s="5">
        <f t="shared" si="3"/>
        <v>14910</v>
      </c>
      <c r="AE28" s="84">
        <f t="shared" si="11"/>
        <v>4971.2176500000005</v>
      </c>
      <c r="AF28" s="84">
        <f>83324.5-83299.5</f>
        <v>25</v>
      </c>
      <c r="AG28" s="84">
        <f>43334.1-43323.2</f>
        <v>10.900000000001455</v>
      </c>
      <c r="AH28" s="84">
        <f>26216.8-26208.1</f>
        <v>8.7000000000007276</v>
      </c>
      <c r="AI28" s="88">
        <f t="shared" si="12"/>
        <v>41337.9</v>
      </c>
      <c r="AJ28" s="88">
        <v>41359.5</v>
      </c>
      <c r="AK28" s="48">
        <f t="shared" si="7"/>
        <v>21.599999999998545</v>
      </c>
      <c r="AL28" s="90">
        <f t="shared" si="4"/>
        <v>6141.8549395435857</v>
      </c>
      <c r="AM28" s="84">
        <f t="shared" si="13"/>
        <v>2047.7865646679247</v>
      </c>
      <c r="AN28" s="71">
        <v>118</v>
      </c>
      <c r="AO28" s="78">
        <f t="shared" si="5"/>
        <v>16013.685569999974</v>
      </c>
    </row>
    <row r="29" spans="1:41" x14ac:dyDescent="0.25">
      <c r="A29" s="79">
        <v>44279</v>
      </c>
      <c r="B29" s="87">
        <f>11576542-11571597</f>
        <v>4945</v>
      </c>
      <c r="C29" s="87">
        <f>7375637-7372136</f>
        <v>3501</v>
      </c>
      <c r="D29" s="87">
        <f>1428558-1427697</f>
        <v>861</v>
      </c>
      <c r="E29" s="87">
        <f>10967677-10962811</f>
        <v>4866</v>
      </c>
      <c r="F29" s="87">
        <f>10845421-10839297</f>
        <v>6124</v>
      </c>
      <c r="G29" s="87">
        <f>7979704-7976858</f>
        <v>2846</v>
      </c>
      <c r="H29" s="87">
        <f>7900064-7896178</f>
        <v>3886</v>
      </c>
      <c r="I29" s="87">
        <f>4938323-4935850</f>
        <v>2473</v>
      </c>
      <c r="J29" s="87">
        <f>10792952-10785835</f>
        <v>7117</v>
      </c>
      <c r="K29" s="87">
        <f t="shared" si="14"/>
        <v>27029</v>
      </c>
      <c r="L29" s="14">
        <f t="shared" si="8"/>
        <v>5405.8</v>
      </c>
      <c r="M29" s="84">
        <f>65496.55-65328.079</f>
        <v>168.47100000000501</v>
      </c>
      <c r="N29" s="84">
        <f>4058.384-4056.666</f>
        <v>1.7179999999998472</v>
      </c>
      <c r="O29" s="84">
        <f>9306.839-9305.926</f>
        <v>0.91300000000046566</v>
      </c>
      <c r="P29" s="82">
        <f>83619.476-83553.433</f>
        <v>66.04299999999057</v>
      </c>
      <c r="Q29" s="84">
        <f>22768.145-22757.805</f>
        <v>10.340000000000146</v>
      </c>
      <c r="R29" s="84">
        <f t="shared" si="0"/>
        <v>68.673999999990883</v>
      </c>
      <c r="S29" s="84">
        <f t="shared" si="1"/>
        <v>538.40415999992854</v>
      </c>
      <c r="T29" s="84">
        <f t="shared" si="2"/>
        <v>178.81100000000515</v>
      </c>
      <c r="U29" s="84">
        <f t="shared" si="15"/>
        <v>1401.8782400000403</v>
      </c>
      <c r="V29" s="84">
        <f>334003.8-333710.5</f>
        <v>293.29999999998836</v>
      </c>
      <c r="W29" s="84">
        <f>129861.53-129771.49</f>
        <v>90.039999999993597</v>
      </c>
      <c r="X29" s="87" t="s">
        <v>63</v>
      </c>
      <c r="Y29" s="5">
        <v>806360</v>
      </c>
      <c r="Z29" s="5">
        <f t="shared" si="9"/>
        <v>703</v>
      </c>
      <c r="AA29" s="14">
        <f t="shared" si="6"/>
        <v>4548.41</v>
      </c>
      <c r="AB29" s="88">
        <v>3314122.9</v>
      </c>
      <c r="AC29" s="87">
        <f t="shared" si="10"/>
        <v>3297080.9</v>
      </c>
      <c r="AD29" s="5">
        <f t="shared" si="3"/>
        <v>17042</v>
      </c>
      <c r="AE29" s="84">
        <f t="shared" si="11"/>
        <v>5682.05843</v>
      </c>
      <c r="AF29" s="84">
        <f>83352.7-83324.5</f>
        <v>28.19999999999709</v>
      </c>
      <c r="AG29" s="84">
        <f>43346.9-43334.1</f>
        <v>12.80000000000291</v>
      </c>
      <c r="AH29" s="84">
        <f>26226.6-26216.8</f>
        <v>9.7999999999992724</v>
      </c>
      <c r="AI29" s="88">
        <f t="shared" si="12"/>
        <v>41359.5</v>
      </c>
      <c r="AJ29" s="88">
        <v>41383</v>
      </c>
      <c r="AK29" s="48">
        <f t="shared" si="7"/>
        <v>23.5</v>
      </c>
      <c r="AL29" s="90">
        <f t="shared" si="4"/>
        <v>6682.1106981149996</v>
      </c>
      <c r="AM29" s="84">
        <f t="shared" si="13"/>
        <v>2227.9159384120126</v>
      </c>
      <c r="AN29" s="71">
        <v>112</v>
      </c>
      <c r="AO29" s="78">
        <f t="shared" si="5"/>
        <v>17038.146670000042</v>
      </c>
    </row>
    <row r="30" spans="1:41" x14ac:dyDescent="0.25">
      <c r="A30" s="79">
        <v>44280</v>
      </c>
      <c r="B30" s="87">
        <f>11581423-11576542</f>
        <v>4881</v>
      </c>
      <c r="C30" s="87">
        <f>7379378-7375637</f>
        <v>3741</v>
      </c>
      <c r="D30" s="87">
        <f>1429507-1428558</f>
        <v>949</v>
      </c>
      <c r="E30" s="87">
        <f>10972999-10967677</f>
        <v>5322</v>
      </c>
      <c r="F30" s="87">
        <f>10851509-10845421</f>
        <v>6088</v>
      </c>
      <c r="G30" s="87">
        <f>7982696-7979704</f>
        <v>2992</v>
      </c>
      <c r="H30" s="87">
        <f>7903986-7900064</f>
        <v>3922</v>
      </c>
      <c r="I30" s="87">
        <f>4940861-4938323</f>
        <v>2538</v>
      </c>
      <c r="J30" s="87">
        <f>10800290-10792952</f>
        <v>7338</v>
      </c>
      <c r="K30" s="87">
        <f t="shared" si="14"/>
        <v>27895</v>
      </c>
      <c r="L30" s="14">
        <f t="shared" si="8"/>
        <v>5579</v>
      </c>
      <c r="M30" s="84">
        <f>65658.051-65496.55</f>
        <v>161.50100000000384</v>
      </c>
      <c r="N30" s="84">
        <f>4059.791-4058.384</f>
        <v>1.4070000000001528</v>
      </c>
      <c r="O30" s="84">
        <f>9307.851-9306.839</f>
        <v>1.0120000000006257</v>
      </c>
      <c r="P30" s="82">
        <f>83690.775-83619.476</f>
        <v>71.298999999999069</v>
      </c>
      <c r="Q30" s="84">
        <f>22781.187-22768.145</f>
        <v>13.042000000001281</v>
      </c>
      <c r="R30" s="84">
        <f t="shared" si="0"/>
        <v>73.717999999999847</v>
      </c>
      <c r="S30" s="84">
        <f t="shared" si="1"/>
        <v>577.94911999999874</v>
      </c>
      <c r="T30" s="84">
        <f t="shared" si="2"/>
        <v>174.54300000000512</v>
      </c>
      <c r="U30" s="84">
        <f t="shared" si="15"/>
        <v>1368.4171200000401</v>
      </c>
      <c r="V30" s="84">
        <f>334254.2-334003.8</f>
        <v>250.40000000002328</v>
      </c>
      <c r="W30" s="84">
        <f>129959.4-129861.53</f>
        <v>97.869999999995343</v>
      </c>
      <c r="X30" s="87" t="s">
        <v>63</v>
      </c>
      <c r="Y30" s="5">
        <v>807059</v>
      </c>
      <c r="Z30" s="5">
        <f t="shared" si="9"/>
        <v>699</v>
      </c>
      <c r="AA30" s="14">
        <f t="shared" si="6"/>
        <v>4522.53</v>
      </c>
      <c r="AB30" s="88">
        <v>3331120.9</v>
      </c>
      <c r="AC30" s="87">
        <f t="shared" si="10"/>
        <v>3314122.9</v>
      </c>
      <c r="AD30" s="5">
        <f t="shared" si="3"/>
        <v>16998</v>
      </c>
      <c r="AE30" s="84">
        <f t="shared" si="11"/>
        <v>5667.3881700000002</v>
      </c>
      <c r="AF30" s="84">
        <f>83379.5-83352.7</f>
        <v>26.80000000000291</v>
      </c>
      <c r="AG30" s="84">
        <f>43361.2-43346.9</f>
        <v>14.299999999995634</v>
      </c>
      <c r="AH30" s="84">
        <f>26237.2-26226.6</f>
        <v>10.600000000002183</v>
      </c>
      <c r="AI30" s="88">
        <f t="shared" si="12"/>
        <v>41383</v>
      </c>
      <c r="AJ30" s="88">
        <v>41406.5</v>
      </c>
      <c r="AK30" s="48">
        <f t="shared" si="7"/>
        <v>23.5</v>
      </c>
      <c r="AL30" s="90">
        <f t="shared" si="4"/>
        <v>6682.1106981149996</v>
      </c>
      <c r="AM30" s="84">
        <f t="shared" si="13"/>
        <v>2227.9159384120126</v>
      </c>
      <c r="AN30" s="71">
        <v>72</v>
      </c>
      <c r="AO30" s="78">
        <f t="shared" si="5"/>
        <v>17137.335290000039</v>
      </c>
    </row>
    <row r="31" spans="1:41" x14ac:dyDescent="0.25">
      <c r="A31" s="79">
        <v>44281</v>
      </c>
      <c r="B31" s="87">
        <f>11586512-11581423</f>
        <v>5089</v>
      </c>
      <c r="C31" s="87">
        <f>7382847-7379378</f>
        <v>3469</v>
      </c>
      <c r="D31" s="87">
        <f>1430471-1429507</f>
        <v>964</v>
      </c>
      <c r="E31" s="87">
        <f>10978050-10972999</f>
        <v>5051</v>
      </c>
      <c r="F31" s="87">
        <f>10857630-10851509</f>
        <v>6121</v>
      </c>
      <c r="G31" s="87">
        <f>7985607-7982696</f>
        <v>2911</v>
      </c>
      <c r="H31" s="87">
        <f>7907843-7903986</f>
        <v>3857</v>
      </c>
      <c r="I31" s="87">
        <f>4943347-4940861</f>
        <v>2486</v>
      </c>
      <c r="J31" s="87">
        <f>10807641-10800290</f>
        <v>7351</v>
      </c>
      <c r="K31" s="87">
        <f t="shared" si="14"/>
        <v>27462</v>
      </c>
      <c r="L31" s="14">
        <f t="shared" si="8"/>
        <v>5492.4000000000005</v>
      </c>
      <c r="M31" s="84">
        <f>65803.733-65658.051</f>
        <v>145.68199999998615</v>
      </c>
      <c r="N31" s="84">
        <f>4060.866-4059.791</f>
        <v>1.0749999999998181</v>
      </c>
      <c r="O31" s="84">
        <f>9308.059-9307.851</f>
        <v>0.20799999999871943</v>
      </c>
      <c r="P31" s="82">
        <f>83771.196-83690.775</f>
        <v>80.421000000002095</v>
      </c>
      <c r="Q31" s="84">
        <f>22791.022-22781.187</f>
        <v>9.8349999999991269</v>
      </c>
      <c r="R31" s="84">
        <f t="shared" si="0"/>
        <v>81.704000000000633</v>
      </c>
      <c r="S31" s="84">
        <f t="shared" si="1"/>
        <v>640.55936000000497</v>
      </c>
      <c r="T31" s="84">
        <f t="shared" si="2"/>
        <v>155.51699999998527</v>
      </c>
      <c r="U31" s="84">
        <f t="shared" si="15"/>
        <v>1219.2532799998846</v>
      </c>
      <c r="V31" s="84">
        <f>334522.3-334254.2</f>
        <v>268.09999999997672</v>
      </c>
      <c r="W31" s="84">
        <f t="shared" ref="W31:W36" si="17">129959.4-129959.4</f>
        <v>0</v>
      </c>
      <c r="X31" s="87" t="s">
        <v>63</v>
      </c>
      <c r="Y31" s="5">
        <v>807682</v>
      </c>
      <c r="Z31" s="5">
        <f t="shared" si="9"/>
        <v>623</v>
      </c>
      <c r="AA31" s="14">
        <f t="shared" si="6"/>
        <v>4030.81</v>
      </c>
      <c r="AB31" s="88">
        <v>3348665</v>
      </c>
      <c r="AC31" s="87">
        <f t="shared" si="10"/>
        <v>3331120.9</v>
      </c>
      <c r="AD31" s="5">
        <f t="shared" si="3"/>
        <v>17544.100000000093</v>
      </c>
      <c r="AE31" s="84">
        <f t="shared" si="11"/>
        <v>5849.4661015000311</v>
      </c>
      <c r="AF31" s="84">
        <f>83408.3-83379.5</f>
        <v>28.80000000000291</v>
      </c>
      <c r="AG31" s="84">
        <f>43374.2-43361.2</f>
        <v>13</v>
      </c>
      <c r="AH31" s="84">
        <f>26248.2-26237.2</f>
        <v>11</v>
      </c>
      <c r="AI31" s="88">
        <f t="shared" si="12"/>
        <v>41406.5</v>
      </c>
      <c r="AJ31" s="88">
        <v>41430.300000000003</v>
      </c>
      <c r="AK31" s="48">
        <f t="shared" si="7"/>
        <v>23.80000000000291</v>
      </c>
      <c r="AL31" s="90">
        <f t="shared" si="4"/>
        <v>6767.4142389428271</v>
      </c>
      <c r="AM31" s="84">
        <f t="shared" si="13"/>
        <v>2256.3574184771228</v>
      </c>
      <c r="AN31" s="71">
        <v>98</v>
      </c>
      <c r="AO31" s="78">
        <f t="shared" si="5"/>
        <v>16591.929381499918</v>
      </c>
    </row>
    <row r="32" spans="1:41" x14ac:dyDescent="0.25">
      <c r="A32" s="79">
        <v>44282</v>
      </c>
      <c r="B32" s="87">
        <f>11591027-11586512</f>
        <v>4515</v>
      </c>
      <c r="C32" s="87">
        <f>7385804-7382847</f>
        <v>2957</v>
      </c>
      <c r="D32" s="87">
        <f>1431415-1430471</f>
        <v>944</v>
      </c>
      <c r="E32" s="87">
        <f>10983270-10978050</f>
        <v>5220</v>
      </c>
      <c r="F32" s="87">
        <f>10863455-10857630</f>
        <v>5825</v>
      </c>
      <c r="G32" s="87">
        <f>7988416-7985607</f>
        <v>2809</v>
      </c>
      <c r="H32" s="87">
        <f>7911654-7907843</f>
        <v>3811</v>
      </c>
      <c r="I32" s="87">
        <f>4945851-4943347</f>
        <v>2504</v>
      </c>
      <c r="J32" s="87">
        <f>10814851-10807641</f>
        <v>7210</v>
      </c>
      <c r="K32" s="87">
        <f t="shared" si="14"/>
        <v>26081</v>
      </c>
      <c r="L32" s="14">
        <f t="shared" si="8"/>
        <v>5216.2000000000007</v>
      </c>
      <c r="M32" s="84">
        <f>65943.31-65803.733</f>
        <v>139.57700000000477</v>
      </c>
      <c r="N32" s="84">
        <f>4062.435-4060.866</f>
        <v>1.56899999999996</v>
      </c>
      <c r="O32" s="84">
        <f>9308.664-9308.059</f>
        <v>0.60500000000138243</v>
      </c>
      <c r="P32" s="82">
        <f>83845.359-83771.196</f>
        <v>74.163000000000466</v>
      </c>
      <c r="Q32" s="84">
        <f>22802.87-22791.022</f>
        <v>11.847999999998137</v>
      </c>
      <c r="R32" s="84">
        <f t="shared" si="0"/>
        <v>76.337000000001808</v>
      </c>
      <c r="S32" s="84">
        <f t="shared" si="1"/>
        <v>598.48208000001421</v>
      </c>
      <c r="T32" s="84">
        <f t="shared" si="2"/>
        <v>151.42500000000291</v>
      </c>
      <c r="U32" s="84">
        <f t="shared" si="15"/>
        <v>1187.1720000000228</v>
      </c>
      <c r="V32" s="84">
        <f>334751.7-334522.3</f>
        <v>229.40000000002328</v>
      </c>
      <c r="W32" s="84">
        <f t="shared" si="17"/>
        <v>0</v>
      </c>
      <c r="X32" s="87" t="s">
        <v>63</v>
      </c>
      <c r="Y32" s="5">
        <v>808230</v>
      </c>
      <c r="Z32" s="5">
        <f t="shared" si="9"/>
        <v>548</v>
      </c>
      <c r="AA32" s="14">
        <f t="shared" si="6"/>
        <v>3545.56</v>
      </c>
      <c r="AB32" s="88">
        <v>3365036</v>
      </c>
      <c r="AC32" s="87">
        <f t="shared" si="10"/>
        <v>3348665</v>
      </c>
      <c r="AD32" s="5">
        <f t="shared" si="3"/>
        <v>16371</v>
      </c>
      <c r="AE32" s="84">
        <f t="shared" si="11"/>
        <v>5458.3369650000004</v>
      </c>
      <c r="AF32" s="84">
        <f>83435.1-83408.3</f>
        <v>26.80000000000291</v>
      </c>
      <c r="AG32" s="84">
        <f>43386-43374.2</f>
        <v>11.80000000000291</v>
      </c>
      <c r="AH32" s="84">
        <f>26259.5-26248.2</f>
        <v>11.299999999999272</v>
      </c>
      <c r="AI32" s="88">
        <f t="shared" si="12"/>
        <v>41430.300000000003</v>
      </c>
      <c r="AJ32" s="87">
        <v>41453.199999999997</v>
      </c>
      <c r="AK32" s="48">
        <f t="shared" si="7"/>
        <v>22.899999999994179</v>
      </c>
      <c r="AL32" s="90">
        <f t="shared" si="4"/>
        <v>6511.5036164593448</v>
      </c>
      <c r="AM32" s="84">
        <f t="shared" si="13"/>
        <v>2171.0329782817926</v>
      </c>
      <c r="AN32" s="71">
        <v>98</v>
      </c>
      <c r="AO32" s="78">
        <f t="shared" si="5"/>
        <v>15407.268965000023</v>
      </c>
    </row>
    <row r="33" spans="1:41" x14ac:dyDescent="0.25">
      <c r="A33" s="79">
        <v>44283</v>
      </c>
      <c r="B33" s="87">
        <f>11596093-11591027</f>
        <v>5066</v>
      </c>
      <c r="C33" s="87">
        <f>7388138-7385804</f>
        <v>2334</v>
      </c>
      <c r="D33" s="87">
        <f>1432349-1431415</f>
        <v>934</v>
      </c>
      <c r="E33" s="87">
        <f>10988608-10983270</f>
        <v>5338</v>
      </c>
      <c r="F33" s="87">
        <f>10869256-10863455</f>
        <v>5801</v>
      </c>
      <c r="G33" s="87">
        <f>7991259-7988416</f>
        <v>2843</v>
      </c>
      <c r="H33" s="87">
        <f>7915527-7911654</f>
        <v>3873</v>
      </c>
      <c r="I33" s="87">
        <f>4948385-4945851</f>
        <v>2534</v>
      </c>
      <c r="J33" s="87">
        <f>10822033-10814851</f>
        <v>7182</v>
      </c>
      <c r="K33" s="87">
        <f t="shared" si="14"/>
        <v>26189</v>
      </c>
      <c r="L33" s="14">
        <f t="shared" si="8"/>
        <v>5237.8</v>
      </c>
      <c r="M33" s="84">
        <f>66076.3706-65943.31</f>
        <v>133.06059999999707</v>
      </c>
      <c r="N33" s="84">
        <f>4064.214-4062.435</f>
        <v>1.7789999999999964</v>
      </c>
      <c r="O33" s="84">
        <f>9309.503-9308.664</f>
        <v>0.83899999999994179</v>
      </c>
      <c r="P33" s="82">
        <f>83913.206-83845.359</f>
        <v>67.847000000008848</v>
      </c>
      <c r="Q33" s="84">
        <f>22813.716-22802.87</f>
        <v>10.846000000001368</v>
      </c>
      <c r="R33" s="84">
        <f t="shared" si="0"/>
        <v>70.465000000008786</v>
      </c>
      <c r="S33" s="84">
        <f t="shared" si="1"/>
        <v>552.44560000006891</v>
      </c>
      <c r="T33" s="84">
        <f t="shared" si="2"/>
        <v>143.90659999999843</v>
      </c>
      <c r="U33" s="84">
        <f t="shared" si="15"/>
        <v>1128.2277439999878</v>
      </c>
      <c r="V33" s="84">
        <f>334974.3-334751.7</f>
        <v>222.59999999997672</v>
      </c>
      <c r="W33" s="84">
        <f t="shared" si="17"/>
        <v>0</v>
      </c>
      <c r="X33" s="87" t="s">
        <v>63</v>
      </c>
      <c r="Y33" s="5">
        <v>808737</v>
      </c>
      <c r="Z33" s="5">
        <f t="shared" si="9"/>
        <v>507</v>
      </c>
      <c r="AA33" s="14">
        <f t="shared" si="6"/>
        <v>3280.29</v>
      </c>
      <c r="AB33" s="88">
        <v>3381454.1</v>
      </c>
      <c r="AC33" s="87">
        <f t="shared" si="10"/>
        <v>3365036</v>
      </c>
      <c r="AD33" s="5">
        <f t="shared" si="3"/>
        <v>16418.100000000093</v>
      </c>
      <c r="AE33" s="84">
        <f t="shared" si="11"/>
        <v>5474.0408115000309</v>
      </c>
      <c r="AF33" s="84">
        <f>83461.2-83435.1</f>
        <v>26.099999999991269</v>
      </c>
      <c r="AG33" s="84">
        <f>43396.7-43386</f>
        <v>10.69999999999709</v>
      </c>
      <c r="AH33" s="84">
        <f>26270.4-26259.5</f>
        <v>10.900000000001455</v>
      </c>
      <c r="AI33" s="88">
        <f t="shared" si="12"/>
        <v>41453.199999999997</v>
      </c>
      <c r="AJ33" s="87">
        <v>41478.400000000001</v>
      </c>
      <c r="AK33" s="48">
        <f t="shared" si="7"/>
        <v>25.200000000004366</v>
      </c>
      <c r="AL33" s="90">
        <f t="shared" si="4"/>
        <v>7165.4974294692411</v>
      </c>
      <c r="AM33" s="84">
        <f t="shared" si="13"/>
        <v>2389.0843254464871</v>
      </c>
      <c r="AN33" s="71">
        <v>114</v>
      </c>
      <c r="AO33" s="78">
        <f t="shared" si="5"/>
        <v>15120.358555500021</v>
      </c>
    </row>
    <row r="34" spans="1:41" x14ac:dyDescent="0.25">
      <c r="A34" s="79">
        <v>44284</v>
      </c>
      <c r="B34" s="87">
        <f>11602142-11596093</f>
        <v>6049</v>
      </c>
      <c r="C34" s="87">
        <f>7391163-7388138</f>
        <v>3025</v>
      </c>
      <c r="D34" s="87">
        <f>1433289-1432349</f>
        <v>940</v>
      </c>
      <c r="E34" s="87">
        <f>10994091-10988608</f>
        <v>5483</v>
      </c>
      <c r="F34" s="87">
        <f>10874995-10869256</f>
        <v>5739</v>
      </c>
      <c r="G34" s="87">
        <f>7994117-7991259</f>
        <v>2858</v>
      </c>
      <c r="H34" s="87">
        <f>7919560-7915527</f>
        <v>4033</v>
      </c>
      <c r="I34" s="87">
        <f>4950834-4948385</f>
        <v>2449</v>
      </c>
      <c r="J34" s="87">
        <f>10829304-10822033</f>
        <v>7271</v>
      </c>
      <c r="K34" s="87">
        <f t="shared" si="14"/>
        <v>28127</v>
      </c>
      <c r="L34" s="14">
        <f t="shared" si="8"/>
        <v>5625.4000000000005</v>
      </c>
      <c r="M34" s="84">
        <f>66203.084-66076.37</f>
        <v>126.71400000000722</v>
      </c>
      <c r="N34" s="84">
        <f>4065.89-4064.214</f>
        <v>1.6759999999999309</v>
      </c>
      <c r="O34" s="84">
        <f>9310.104-9309.503</f>
        <v>0.60099999999874854</v>
      </c>
      <c r="P34" s="82">
        <f>83973.861-83913.206</f>
        <v>60.654999999998836</v>
      </c>
      <c r="Q34" s="84">
        <f>22825.435-22813.716</f>
        <v>11.71900000000096</v>
      </c>
      <c r="R34" s="84">
        <f t="shared" si="0"/>
        <v>62.931999999997515</v>
      </c>
      <c r="S34" s="84">
        <f t="shared" si="1"/>
        <v>493.38687999998052</v>
      </c>
      <c r="T34" s="84">
        <f t="shared" si="2"/>
        <v>138.43300000000818</v>
      </c>
      <c r="U34" s="84">
        <f t="shared" si="15"/>
        <v>1085.3147200000642</v>
      </c>
      <c r="V34" s="84">
        <f>335198.7-334974.3</f>
        <v>224.40000000002328</v>
      </c>
      <c r="W34" s="84">
        <f t="shared" si="17"/>
        <v>0</v>
      </c>
      <c r="X34" s="87" t="s">
        <v>63</v>
      </c>
      <c r="Y34" s="5">
        <v>809262</v>
      </c>
      <c r="Z34" s="5">
        <f t="shared" si="9"/>
        <v>525</v>
      </c>
      <c r="AA34" s="14">
        <f t="shared" si="6"/>
        <v>3396.75</v>
      </c>
      <c r="AB34" s="88">
        <v>3396575.1</v>
      </c>
      <c r="AC34" s="87">
        <f t="shared" si="10"/>
        <v>3381454.1</v>
      </c>
      <c r="AD34" s="5">
        <f t="shared" si="3"/>
        <v>15121</v>
      </c>
      <c r="AE34" s="84">
        <f t="shared" si="11"/>
        <v>5041.5682150000002</v>
      </c>
      <c r="AF34" s="84">
        <f>83485.3-83461.2</f>
        <v>24.100000000005821</v>
      </c>
      <c r="AG34" s="84">
        <f>43407-43396.7</f>
        <v>10.30000000000291</v>
      </c>
      <c r="AH34" s="84">
        <f>26279.8-26270.4</f>
        <v>9.3999999999978172</v>
      </c>
      <c r="AI34" s="88">
        <f t="shared" si="12"/>
        <v>41478.400000000001</v>
      </c>
      <c r="AJ34" s="88">
        <v>41502.9</v>
      </c>
      <c r="AK34" s="48">
        <f t="shared" si="7"/>
        <v>24.5</v>
      </c>
      <c r="AL34" s="90">
        <f t="shared" si="4"/>
        <v>6966.4558342049995</v>
      </c>
      <c r="AM34" s="84">
        <f t="shared" si="13"/>
        <v>2322.72087196146</v>
      </c>
      <c r="AN34" s="71">
        <v>121</v>
      </c>
      <c r="AO34" s="78">
        <f t="shared" si="5"/>
        <v>15149.032935000065</v>
      </c>
    </row>
    <row r="35" spans="1:41" x14ac:dyDescent="0.25">
      <c r="A35" s="79">
        <v>44285</v>
      </c>
      <c r="B35" s="87">
        <f>11607920-11602142</f>
        <v>5778</v>
      </c>
      <c r="C35" s="87">
        <f>7393834-7391163</f>
        <v>2671</v>
      </c>
      <c r="D35" s="87">
        <f>1434202-1433289</f>
        <v>913</v>
      </c>
      <c r="E35" s="87">
        <f>10999459-10994091</f>
        <v>5368</v>
      </c>
      <c r="F35" s="87">
        <f>10880860-10874995</f>
        <v>5865</v>
      </c>
      <c r="G35" s="87">
        <f>7997120-7994117</f>
        <v>3003</v>
      </c>
      <c r="H35" s="87">
        <f>7924122-7919560</f>
        <v>4562</v>
      </c>
      <c r="I35" s="87">
        <f>4953243-4950834</f>
        <v>2409</v>
      </c>
      <c r="J35" s="87">
        <f>10836619-10829304</f>
        <v>7315</v>
      </c>
      <c r="K35" s="87">
        <f t="shared" ref="K35:K36" si="18">SUM(B35:H35)</f>
        <v>28160</v>
      </c>
      <c r="L35" s="14">
        <f t="shared" ref="L35:L36" si="19">K35*0.2</f>
        <v>5632</v>
      </c>
      <c r="M35" s="84">
        <f>66340.567-66203.084</f>
        <v>137.4829999999929</v>
      </c>
      <c r="N35" s="84">
        <f>4067.121-4065.89</f>
        <v>1.2310000000002219</v>
      </c>
      <c r="O35" s="84">
        <f>9311.143-9310.104</f>
        <v>1.0390000000006694</v>
      </c>
      <c r="P35" s="82">
        <f>84039.604-83973.861</f>
        <v>65.743000000002212</v>
      </c>
      <c r="Q35" s="84">
        <f>22836.605-22825.435</f>
        <v>11.169999999998254</v>
      </c>
      <c r="R35" s="84">
        <f t="shared" ref="R35:R36" si="20">N35+O35+P35</f>
        <v>68.013000000003103</v>
      </c>
      <c r="S35" s="84">
        <f t="shared" ref="S35:S36" si="21">(N35+O35+P35)*7.84</f>
        <v>533.22192000002428</v>
      </c>
      <c r="T35" s="84">
        <f t="shared" ref="T35:T36" si="22">M35+Q35</f>
        <v>148.65299999999115</v>
      </c>
      <c r="U35" s="84">
        <f t="shared" ref="U35:U36" si="23">T35*7.84</f>
        <v>1165.4395199999306</v>
      </c>
      <c r="V35" s="84">
        <f>335432.2-335198.7</f>
        <v>233.5</v>
      </c>
      <c r="W35" s="84">
        <f t="shared" si="17"/>
        <v>0</v>
      </c>
      <c r="X35" s="87" t="s">
        <v>103</v>
      </c>
      <c r="Y35" s="5">
        <v>809791</v>
      </c>
      <c r="Z35" s="5">
        <f t="shared" ref="Z35:Z36" si="24">IF((Y35-Y34&lt;0), "0",Y35-Y34)</f>
        <v>529</v>
      </c>
      <c r="AA35" s="14">
        <f t="shared" ref="AA35:AA36" si="25">Z35*6.47</f>
        <v>3422.6299999999997</v>
      </c>
      <c r="AB35" s="88">
        <v>3412686.1</v>
      </c>
      <c r="AC35" s="87">
        <f t="shared" si="10"/>
        <v>3396575.1</v>
      </c>
      <c r="AD35" s="5">
        <f t="shared" si="3"/>
        <v>16111</v>
      </c>
      <c r="AE35" s="84">
        <f t="shared" si="11"/>
        <v>5371.6490650000005</v>
      </c>
      <c r="AF35" s="84">
        <f>83511.2-83485.3</f>
        <v>25.899999999994179</v>
      </c>
      <c r="AG35" s="84">
        <f>43418.6-43407</f>
        <v>11.599999999998545</v>
      </c>
      <c r="AH35" s="84">
        <f>26289.2-26279.8</f>
        <v>9.4000000000014552</v>
      </c>
      <c r="AI35" s="88">
        <f t="shared" si="12"/>
        <v>41502.9</v>
      </c>
      <c r="AJ35" s="88">
        <v>41527.699999999997</v>
      </c>
      <c r="AK35" s="48">
        <f t="shared" ref="AK35:AK36" si="26">IF((AJ35-AI35)&lt;0, "0",AJ35-AI35)</f>
        <v>24.799999999995634</v>
      </c>
      <c r="AL35" s="90">
        <f t="shared" ref="AL35:AL36" si="27">AK35*(284.34513609)</f>
        <v>7051.7593750307578</v>
      </c>
      <c r="AM35" s="84">
        <f t="shared" ref="AM35:AM36" si="28">AL35*0.333415</f>
        <v>2351.1623520258804</v>
      </c>
      <c r="AN35" s="142">
        <v>124</v>
      </c>
      <c r="AO35" s="78">
        <f t="shared" ref="AO35" si="29">L35+U35+AA35+AE35</f>
        <v>15591.71858499993</v>
      </c>
    </row>
    <row r="36" spans="1:41" ht="21.75" thickBot="1" x14ac:dyDescent="0.3">
      <c r="A36" s="92">
        <v>44286</v>
      </c>
      <c r="B36" s="87">
        <f>11613055-11607920</f>
        <v>5135</v>
      </c>
      <c r="C36" s="87">
        <f>7396022-7393834</f>
        <v>2188</v>
      </c>
      <c r="D36" s="87">
        <f>1435171-1434202</f>
        <v>969</v>
      </c>
      <c r="E36" s="87">
        <f>11004972-10999459</f>
        <v>5513</v>
      </c>
      <c r="F36" s="87">
        <f>10886790-10880860</f>
        <v>5930</v>
      </c>
      <c r="G36" s="87">
        <f>8000235-7997120</f>
        <v>3115</v>
      </c>
      <c r="H36" s="87">
        <f>7929691-7924122</f>
        <v>5569</v>
      </c>
      <c r="I36" s="87">
        <f>4955695-4953243</f>
        <v>2452</v>
      </c>
      <c r="J36" s="87">
        <f>10844037-10836619</f>
        <v>7418</v>
      </c>
      <c r="K36" s="93">
        <f t="shared" si="18"/>
        <v>28419</v>
      </c>
      <c r="L36" s="94">
        <f t="shared" si="19"/>
        <v>5683.8</v>
      </c>
      <c r="M36" s="84">
        <f>66497.601-66340.567</f>
        <v>157.03399999999965</v>
      </c>
      <c r="N36" s="84">
        <f>4069.03-4067.121</f>
        <v>1.9090000000001055</v>
      </c>
      <c r="O36" s="84">
        <f>9319.065-9311.143</f>
        <v>7.9220000000004802</v>
      </c>
      <c r="P36" s="82">
        <f>84111.334-84039.604</f>
        <v>71.729999999995925</v>
      </c>
      <c r="Q36" s="84">
        <f>22847.698-22836.605</f>
        <v>11.093000000000757</v>
      </c>
      <c r="R36" s="95">
        <f t="shared" si="20"/>
        <v>81.560999999996511</v>
      </c>
      <c r="S36" s="95">
        <f t="shared" si="21"/>
        <v>639.43823999997267</v>
      </c>
      <c r="T36" s="95">
        <f t="shared" si="22"/>
        <v>168.12700000000041</v>
      </c>
      <c r="U36" s="95">
        <f t="shared" si="23"/>
        <v>1318.1156800000031</v>
      </c>
      <c r="V36" s="95">
        <f>335710.2-335432.2</f>
        <v>278</v>
      </c>
      <c r="W36" s="95">
        <f t="shared" si="17"/>
        <v>0</v>
      </c>
      <c r="X36" s="93" t="s">
        <v>104</v>
      </c>
      <c r="Y36" s="96">
        <v>810372</v>
      </c>
      <c r="Z36" s="96">
        <f t="shared" si="24"/>
        <v>581</v>
      </c>
      <c r="AA36" s="94">
        <f t="shared" si="25"/>
        <v>3759.0699999999997</v>
      </c>
      <c r="AB36" s="97">
        <v>3429882</v>
      </c>
      <c r="AC36" s="87">
        <f t="shared" si="10"/>
        <v>3412686.1</v>
      </c>
      <c r="AD36" s="96">
        <f t="shared" si="3"/>
        <v>17195.899999999907</v>
      </c>
      <c r="AE36" s="95">
        <f t="shared" si="11"/>
        <v>5733.3709984999696</v>
      </c>
      <c r="AF36" s="95">
        <f>83538.3-83511.2</f>
        <v>27.100000000005821</v>
      </c>
      <c r="AG36" s="95">
        <f>43433.3-43418.6</f>
        <v>14.700000000004366</v>
      </c>
      <c r="AH36" s="95">
        <f>26298.7-26289.2</f>
        <v>9.5</v>
      </c>
      <c r="AI36" s="88">
        <f t="shared" si="12"/>
        <v>41527.699999999997</v>
      </c>
      <c r="AJ36" s="97">
        <v>41552</v>
      </c>
      <c r="AK36" s="98">
        <f t="shared" si="26"/>
        <v>24.30000000000291</v>
      </c>
      <c r="AL36" s="99">
        <f t="shared" si="27"/>
        <v>6909.586806987827</v>
      </c>
      <c r="AM36" s="95">
        <f t="shared" si="28"/>
        <v>2303.7598852518463</v>
      </c>
      <c r="AN36" s="118">
        <v>131</v>
      </c>
      <c r="AO36" s="100">
        <f>L36+U36+AA36+AE36</f>
        <v>16494.356678499971</v>
      </c>
    </row>
    <row r="37" spans="1:41" x14ac:dyDescent="0.25">
      <c r="A37" s="76"/>
      <c r="D37" s="6">
        <f>SUM(D6:D36)</f>
        <v>28131</v>
      </c>
      <c r="E37" s="6" t="s">
        <v>93</v>
      </c>
      <c r="G37" s="6">
        <f t="shared" ref="G37:L37" si="30">SUM(G6:G36)</f>
        <v>84495</v>
      </c>
      <c r="H37" s="6">
        <f t="shared" si="30"/>
        <v>120168</v>
      </c>
      <c r="I37" s="6">
        <f t="shared" si="30"/>
        <v>76802</v>
      </c>
      <c r="J37" s="6">
        <f t="shared" si="30"/>
        <v>220905</v>
      </c>
      <c r="K37" s="6">
        <f t="shared" si="30"/>
        <v>811362</v>
      </c>
      <c r="L37" s="15">
        <f t="shared" si="30"/>
        <v>162272.40000000002</v>
      </c>
      <c r="R37" s="16">
        <f>SUM(R6:R36)</f>
        <v>2237.1910000000212</v>
      </c>
      <c r="T37" s="16">
        <f>SUM(T6:T36)</f>
        <v>4360.0305999999946</v>
      </c>
      <c r="U37" s="16">
        <f t="shared" si="15"/>
        <v>34182.63990399996</v>
      </c>
      <c r="V37" s="16">
        <f>SUM(V6:V36)</f>
        <v>8442.7000000000116</v>
      </c>
      <c r="Z37" s="17">
        <f>SUM(Z6:Z36)</f>
        <v>18403</v>
      </c>
      <c r="AA37" s="17">
        <f>SUM(AA6:AA36)</f>
        <v>119067.40999999997</v>
      </c>
      <c r="AD37" s="17">
        <f>SUM(AD6:AD36)</f>
        <v>440892</v>
      </c>
      <c r="AE37" s="16">
        <f>AD37*0.334569</f>
        <v>147508.79554799999</v>
      </c>
      <c r="AF37" s="16">
        <f>SUM(AF6:AF36)</f>
        <v>713</v>
      </c>
      <c r="AG37" s="16">
        <f>SUM(AG6:AG36)</f>
        <v>307.60000000000582</v>
      </c>
      <c r="AH37" s="16">
        <f>SUM(AH6:AH36)</f>
        <v>256.40000000000146</v>
      </c>
      <c r="AK37" s="42">
        <f>SUM(AK6:AK36)</f>
        <v>641.30000000000291</v>
      </c>
      <c r="AL37" s="42">
        <f>SUM(AL6:AL36)</f>
        <v>182350.5357745178</v>
      </c>
      <c r="AM37" s="42">
        <f>SUM(AM6:AM36)</f>
        <v>60798.403885260872</v>
      </c>
      <c r="AN37" s="42">
        <f>SUM(AN6:AN36)</f>
        <v>2717</v>
      </c>
      <c r="AO37" s="42">
        <f>SUM(AO6:AO36)</f>
        <v>462522.45608400006</v>
      </c>
    </row>
    <row r="38" spans="1:41" x14ac:dyDescent="0.25">
      <c r="D38" s="6" t="e">
        <f>#REF!*24</f>
        <v>#REF!</v>
      </c>
      <c r="E38" s="6" t="s">
        <v>1</v>
      </c>
      <c r="R38" s="16">
        <v>7.84</v>
      </c>
      <c r="T38" s="16" t="s">
        <v>99</v>
      </c>
      <c r="U38" s="16">
        <f>U37-R39</f>
        <v>16643.062463999795</v>
      </c>
    </row>
    <row r="39" spans="1:41" x14ac:dyDescent="0.25">
      <c r="D39" s="6" t="e">
        <f>D38*31</f>
        <v>#REF!</v>
      </c>
      <c r="E39" s="6" t="s">
        <v>2</v>
      </c>
      <c r="F39" s="6" t="s">
        <v>94</v>
      </c>
      <c r="G39" s="6" t="e">
        <f>D39*0.2</f>
        <v>#REF!</v>
      </c>
      <c r="R39" s="16">
        <f>R37*R38</f>
        <v>17539.577440000165</v>
      </c>
      <c r="U39" s="16">
        <f>U38/R38</f>
        <v>2122.8395999999739</v>
      </c>
    </row>
    <row r="40" spans="1:41" x14ac:dyDescent="0.25">
      <c r="D40" s="15" t="e">
        <f>D39*0.2</f>
        <v>#REF!</v>
      </c>
    </row>
    <row r="41" spans="1:41" x14ac:dyDescent="0.25">
      <c r="E41" s="68" t="s">
        <v>98</v>
      </c>
    </row>
    <row r="42" spans="1:41" x14ac:dyDescent="0.25">
      <c r="AD42" s="6">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2021-05-02T10:45:49Z</dcterms:modified>
</cp:coreProperties>
</file>