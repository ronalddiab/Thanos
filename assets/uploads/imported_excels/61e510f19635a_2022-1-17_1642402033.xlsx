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23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M12" i="4" s="1"/>
  <c r="L13" i="4"/>
  <c r="M13" i="4" s="1"/>
  <c r="L14" i="4"/>
  <c r="M14" i="4" s="1"/>
  <c r="L15" i="4"/>
  <c r="L16" i="4"/>
  <c r="L17" i="4"/>
  <c r="M17" i="4" s="1"/>
  <c r="L18" i="4"/>
  <c r="M18" i="4" s="1"/>
  <c r="K19" i="4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K26" i="4"/>
  <c r="L26" i="4"/>
  <c r="M26" i="4" s="1"/>
  <c r="K27" i="4"/>
  <c r="L27" i="4"/>
  <c r="M27" i="4" s="1"/>
  <c r="K28" i="4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J12" i="4"/>
  <c r="K12" i="4" s="1"/>
  <c r="J13" i="4"/>
  <c r="K13" i="4" s="1"/>
  <c r="J14" i="4"/>
  <c r="K14" i="4" s="1"/>
  <c r="J15" i="4"/>
  <c r="K15" i="4" s="1"/>
  <c r="J16" i="4"/>
  <c r="J17" i="4"/>
  <c r="K17" i="4" s="1"/>
  <c r="J18" i="4"/>
  <c r="J19" i="4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J27" i="4"/>
  <c r="J28" i="4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M21" i="3" s="1"/>
  <c r="I21" i="3"/>
  <c r="J21" i="3"/>
  <c r="K21" i="3"/>
  <c r="H22" i="3"/>
  <c r="M22" i="3" s="1"/>
  <c r="I22" i="3"/>
  <c r="J22" i="3"/>
  <c r="K22" i="3"/>
  <c r="H23" i="3"/>
  <c r="M23" i="3" s="1"/>
  <c r="I23" i="3"/>
  <c r="J23" i="3"/>
  <c r="K23" i="3"/>
  <c r="H24" i="3"/>
  <c r="M24" i="3" s="1"/>
  <c r="I24" i="3"/>
  <c r="J24" i="3"/>
  <c r="K24" i="3"/>
  <c r="H25" i="3"/>
  <c r="M25" i="3" s="1"/>
  <c r="I25" i="3"/>
  <c r="J25" i="3"/>
  <c r="K25" i="3"/>
  <c r="H26" i="3"/>
  <c r="M26" i="3" s="1"/>
  <c r="I26" i="3"/>
  <c r="J26" i="3"/>
  <c r="K26" i="3"/>
  <c r="H27" i="3"/>
  <c r="I27" i="3"/>
  <c r="J27" i="3"/>
  <c r="K27" i="3"/>
  <c r="H28" i="3"/>
  <c r="M28" i="3" s="1"/>
  <c r="I28" i="3"/>
  <c r="J28" i="3"/>
  <c r="K28" i="3"/>
  <c r="H29" i="3"/>
  <c r="M29" i="3" s="1"/>
  <c r="I29" i="3"/>
  <c r="J29" i="3"/>
  <c r="K29" i="3"/>
  <c r="H30" i="3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27" i="3"/>
  <c r="M30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K18" i="4" l="1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E23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21" i="1"/>
  <c r="I20" i="1"/>
  <c r="G20" i="1"/>
  <c r="I18" i="1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20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22" i="1"/>
  <c r="E42" i="1"/>
  <c r="E47" i="1"/>
  <c r="Q53" i="4"/>
  <c r="E93" i="1"/>
  <c r="E104" i="1"/>
  <c r="E109" i="1"/>
  <c r="E143" i="1"/>
  <c r="E208" i="1"/>
  <c r="E1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1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19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G19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G23" i="1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I23" i="1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I19" i="1"/>
  <c r="G21" i="1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I22" i="1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22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18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<sst xmlns="http://schemas.openxmlformats.org/spreadsheetml/2006/main" count="606" uniqueCount="76">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</sst>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" workbookViewId="0">
      <selection activeCell="O15" sqref="O1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41">
        <v>2.06</v>
      </c>
      <c r="G8" s="4">
        <f>'Gas Water'!M11</f>
        <v>2634</v>
      </c>
      <c r="H8" s="141">
        <v>6.17</v>
      </c>
      <c r="I8" s="2">
        <f>'Gas Water'!L11</f>
        <v>179</v>
      </c>
      <c r="J8" s="141">
        <v>14.95</v>
      </c>
      <c r="K8" s="5">
        <v>155</v>
      </c>
      <c r="L8" s="5">
        <v>296</v>
      </c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41">
        <v>2.06</v>
      </c>
      <c r="G9" s="4">
        <f>'Gas Water'!M12</f>
        <v>2711</v>
      </c>
      <c r="H9" s="141">
        <v>6.17</v>
      </c>
      <c r="I9" s="2">
        <f>'Gas Water'!L12</f>
        <v>190</v>
      </c>
      <c r="J9" s="141">
        <v>14.95</v>
      </c>
      <c r="K9" s="5">
        <v>136</v>
      </c>
      <c r="L9" s="5">
        <v>264</v>
      </c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41">
        <v>2.06</v>
      </c>
      <c r="G10" s="4">
        <f>'Gas Water'!M13</f>
        <v>2672</v>
      </c>
      <c r="H10" s="141">
        <v>6.17</v>
      </c>
      <c r="I10" s="2">
        <f>'Gas Water'!L13</f>
        <v>223</v>
      </c>
      <c r="J10" s="141">
        <v>14.95</v>
      </c>
      <c r="K10" s="5">
        <v>125</v>
      </c>
      <c r="L10" s="5">
        <v>224</v>
      </c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41">
        <v>2.06</v>
      </c>
      <c r="G11" s="4">
        <f>'Gas Water'!M14</f>
        <v>2670</v>
      </c>
      <c r="H11" s="141">
        <v>6.17</v>
      </c>
      <c r="I11" s="2">
        <f>'Gas Water'!L14</f>
        <v>182</v>
      </c>
      <c r="J11" s="141">
        <v>14.95</v>
      </c>
      <c r="K11" s="5">
        <v>98</v>
      </c>
      <c r="L11" s="5">
        <v>164</v>
      </c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41">
        <v>2.06</v>
      </c>
      <c r="G12" s="4">
        <f>'Gas Water'!M15</f>
        <v>3164</v>
      </c>
      <c r="H12" s="141">
        <v>6.17</v>
      </c>
      <c r="I12" s="2">
        <f>'Gas Water'!L15</f>
        <v>148</v>
      </c>
      <c r="J12" s="141">
        <v>14.95</v>
      </c>
      <c r="K12" s="5">
        <v>97</v>
      </c>
      <c r="L12" s="5">
        <v>159</v>
      </c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41">
        <v>2.06</v>
      </c>
      <c r="G13" s="4">
        <f>'Gas Water'!M16</f>
        <v>3991</v>
      </c>
      <c r="H13" s="141">
        <v>6.17</v>
      </c>
      <c r="I13" s="2">
        <f>'Gas Water'!L16</f>
        <v>175</v>
      </c>
      <c r="J13" s="141">
        <v>14.95</v>
      </c>
      <c r="K13" s="5">
        <v>96</v>
      </c>
      <c r="L13" s="5">
        <v>139</v>
      </c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41">
        <v>2.06</v>
      </c>
      <c r="G14" s="4">
        <f>'Gas Water'!M17</f>
        <v>4064</v>
      </c>
      <c r="H14" s="141">
        <v>6.17</v>
      </c>
      <c r="I14" s="2">
        <f>'Gas Water'!L17</f>
        <v>122</v>
      </c>
      <c r="J14" s="141">
        <v>14.95</v>
      </c>
      <c r="K14" s="5">
        <v>102</v>
      </c>
      <c r="L14" s="5">
        <v>167</v>
      </c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41">
        <v>2.06</v>
      </c>
      <c r="G15" s="4">
        <f>'Gas Water'!M18</f>
        <v>3946</v>
      </c>
      <c r="H15" s="141">
        <v>6.17</v>
      </c>
      <c r="I15" s="2">
        <f>'Gas Water'!L18</f>
        <v>144</v>
      </c>
      <c r="J15" s="141">
        <v>14.95</v>
      </c>
      <c r="K15" s="5">
        <v>111</v>
      </c>
      <c r="L15" s="5">
        <v>186</v>
      </c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41">
        <v>2.06</v>
      </c>
      <c r="G16" s="4">
        <f>'Gas Water'!M19</f>
        <v>3639</v>
      </c>
      <c r="H16" s="141">
        <v>6.17</v>
      </c>
      <c r="I16" s="2">
        <f>'Gas Water'!L19</f>
        <v>161</v>
      </c>
      <c r="J16" s="141">
        <v>14.95</v>
      </c>
      <c r="K16" s="5">
        <v>100</v>
      </c>
      <c r="L16" s="5">
        <v>178</v>
      </c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41">
        <v>2.06</v>
      </c>
      <c r="G17" s="4">
        <f>'Gas Water'!M20</f>
        <v>3669</v>
      </c>
      <c r="H17" s="141">
        <v>6.17</v>
      </c>
      <c r="I17" s="2">
        <f>'Gas Water'!L20</f>
        <v>139</v>
      </c>
      <c r="J17" s="141">
        <v>14.95</v>
      </c>
      <c r="K17" s="5">
        <v>67</v>
      </c>
      <c r="L17" s="5">
        <v>116</v>
      </c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 t="e">
        <f>'Electricity '!I20+'Electricity '!O20</f>
        <v>#VALUE!</v>
      </c>
      <c r="F18" s="141">
        <v>2.06</v>
      </c>
      <c r="G18" s="4" t="str">
        <f>'Gas Water'!M21</f>
        <v/>
      </c>
      <c r="H18" s="141">
        <v>6.17</v>
      </c>
      <c r="I18" s="2" t="str">
        <f>'Gas Water'!L21</f>
        <v/>
      </c>
      <c r="J18" s="141">
        <v>14.95</v>
      </c>
      <c r="K18" s="5"/>
      <c r="L18" s="5"/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 t="e">
        <f>'Electricity '!I21+'Electricity '!O21</f>
        <v>#VALUE!</v>
      </c>
      <c r="F19" s="141">
        <v>2.06</v>
      </c>
      <c r="G19" s="4" t="str">
        <f>'Gas Water'!M22</f>
        <v/>
      </c>
      <c r="H19" s="141">
        <v>6.17</v>
      </c>
      <c r="I19" s="2" t="str">
        <f>'Gas Water'!L22</f>
        <v/>
      </c>
      <c r="J19" s="141">
        <v>14.95</v>
      </c>
      <c r="K19" s="5"/>
      <c r="L19" s="5"/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 t="e">
        <f>'Electricity '!I22+'Electricity '!O22</f>
        <v>#VALUE!</v>
      </c>
      <c r="F20" s="141">
        <v>2.06</v>
      </c>
      <c r="G20" s="4" t="str">
        <f>'Gas Water'!M23</f>
        <v/>
      </c>
      <c r="H20" s="141">
        <v>6.17</v>
      </c>
      <c r="I20" s="2" t="str">
        <f>'Gas Water'!L23</f>
        <v/>
      </c>
      <c r="J20" s="141">
        <v>14.95</v>
      </c>
      <c r="K20" s="5"/>
      <c r="L20" s="5"/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 t="e">
        <f>'Electricity '!I23+'Electricity '!O23</f>
        <v>#VALUE!</v>
      </c>
      <c r="F21" s="141">
        <v>2.06</v>
      </c>
      <c r="G21" s="4" t="str">
        <f>'Gas Water'!M24</f>
        <v/>
      </c>
      <c r="H21" s="141">
        <v>6.17</v>
      </c>
      <c r="I21" s="2" t="str">
        <f>'Gas Water'!L24</f>
        <v/>
      </c>
      <c r="J21" s="141">
        <v>14.95</v>
      </c>
      <c r="K21" s="5"/>
      <c r="L21" s="5"/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 t="e">
        <f>'Electricity '!I24+'Electricity '!O24</f>
        <v>#VALUE!</v>
      </c>
      <c r="F22" s="141">
        <v>2.06</v>
      </c>
      <c r="G22" s="4" t="str">
        <f>'Gas Water'!M25</f>
        <v/>
      </c>
      <c r="H22" s="141">
        <v>6.17</v>
      </c>
      <c r="I22" s="2" t="str">
        <f>'Gas Water'!L25</f>
        <v/>
      </c>
      <c r="J22" s="141">
        <v>14.95</v>
      </c>
      <c r="K22" s="5"/>
      <c r="L22" s="5"/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 t="e">
        <f>'Electricity '!I25+'Electricity '!O25</f>
        <v>#VALUE!</v>
      </c>
      <c r="F23" s="141">
        <v>2.06</v>
      </c>
      <c r="G23" s="4" t="str">
        <f>'Gas Water'!M26</f>
        <v/>
      </c>
      <c r="H23" s="141">
        <v>6.17</v>
      </c>
      <c r="I23" s="2" t="str">
        <f>'Gas Water'!L26</f>
        <v/>
      </c>
      <c r="J23" s="141">
        <v>14.95</v>
      </c>
      <c r="K23" s="5"/>
      <c r="L23" s="5"/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 t="e">
        <f>'Electricity '!I26+'Electricity '!O26</f>
        <v>#VALUE!</v>
      </c>
      <c r="F24" s="141">
        <v>2.06</v>
      </c>
      <c r="G24" s="4" t="str">
        <f>'Gas Water'!M27</f>
        <v/>
      </c>
      <c r="H24" s="141">
        <v>6.17</v>
      </c>
      <c r="I24" s="2" t="str">
        <f>'Gas Water'!L27</f>
        <v/>
      </c>
      <c r="J24" s="141">
        <v>14.95</v>
      </c>
      <c r="K24" s="5"/>
      <c r="L24" s="5"/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 t="e">
        <f>'Electricity '!I27+'Electricity '!O27</f>
        <v>#VALUE!</v>
      </c>
      <c r="F25" s="141">
        <v>2.06</v>
      </c>
      <c r="G25" s="4" t="str">
        <f>'Gas Water'!M28</f>
        <v/>
      </c>
      <c r="H25" s="141">
        <v>6.17</v>
      </c>
      <c r="I25" s="2" t="str">
        <f>'Gas Water'!L28</f>
        <v/>
      </c>
      <c r="J25" s="141">
        <v>14.95</v>
      </c>
      <c r="K25" s="5"/>
      <c r="L25" s="5"/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 t="e">
        <f>'Electricity '!I28+'Electricity '!O28</f>
        <v>#VALUE!</v>
      </c>
      <c r="F26" s="141">
        <v>2.06</v>
      </c>
      <c r="G26" s="4" t="str">
        <f>'Gas Water'!M29</f>
        <v/>
      </c>
      <c r="H26" s="141">
        <v>6.17</v>
      </c>
      <c r="I26" s="2" t="str">
        <f>'Gas Water'!L29</f>
        <v/>
      </c>
      <c r="J26" s="141">
        <v>14.95</v>
      </c>
      <c r="K26" s="5"/>
      <c r="L26" s="5"/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 t="e">
        <f>'Electricity '!I29+'Electricity '!O29</f>
        <v>#VALUE!</v>
      </c>
      <c r="F27" s="141">
        <v>2.06</v>
      </c>
      <c r="G27" s="4" t="str">
        <f>'Gas Water'!M30</f>
        <v/>
      </c>
      <c r="H27" s="141">
        <v>6.17</v>
      </c>
      <c r="I27" s="2" t="str">
        <f>'Gas Water'!L30</f>
        <v/>
      </c>
      <c r="J27" s="141">
        <v>14.95</v>
      </c>
      <c r="K27" s="5"/>
      <c r="L27" s="5"/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 t="e">
        <f>'Electricity '!I30+'Electricity '!O30</f>
        <v>#VALUE!</v>
      </c>
      <c r="F28" s="141">
        <v>2.06</v>
      </c>
      <c r="G28" s="4" t="str">
        <f>'Gas Water'!M31</f>
        <v/>
      </c>
      <c r="H28" s="141">
        <v>6.17</v>
      </c>
      <c r="I28" s="2" t="str">
        <f>'Gas Water'!L31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 t="e">
        <f>'Electricity '!I31+'Electricity '!O31</f>
        <v>#VALUE!</v>
      </c>
      <c r="F29" s="141">
        <v>2.06</v>
      </c>
      <c r="G29" s="4" t="str">
        <f>'Gas Water'!M32</f>
        <v/>
      </c>
      <c r="H29" s="141">
        <v>6.17</v>
      </c>
      <c r="I29" s="2" t="str">
        <f>'Gas Water'!L32</f>
        <v/>
      </c>
      <c r="J29" s="141">
        <v>14.95</v>
      </c>
      <c r="K29" s="5"/>
      <c r="L29" s="5"/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 t="e">
        <f>'Electricity '!I32+'Electricity '!O32</f>
        <v>#VALUE!</v>
      </c>
      <c r="F30" s="141">
        <v>2.06</v>
      </c>
      <c r="G30" s="4" t="str">
        <f>'Gas Water'!M33</f>
        <v/>
      </c>
      <c r="H30" s="141">
        <v>6.17</v>
      </c>
      <c r="I30" s="2" t="str">
        <f>'Gas Water'!L33</f>
        <v/>
      </c>
      <c r="J30" s="141">
        <v>14.95</v>
      </c>
      <c r="K30" s="5"/>
      <c r="L30" s="5"/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 t="e">
        <f>'Electricity '!I33+'Electricity '!O33</f>
        <v>#VALUE!</v>
      </c>
      <c r="F31" s="141">
        <v>2.06</v>
      </c>
      <c r="G31" s="4">
        <f>'Gas Water'!M34</f>
        <v>0</v>
      </c>
      <c r="H31" s="141">
        <v>6.17</v>
      </c>
      <c r="I31" s="2">
        <f>'Gas Water'!L34</f>
        <v>0</v>
      </c>
      <c r="J31" s="141">
        <v>14.95</v>
      </c>
      <c r="K31" s="5"/>
      <c r="L31" s="5"/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0</v>
      </c>
      <c r="F32" s="141">
        <v>2.06</v>
      </c>
      <c r="G32" s="4">
        <f>'Gas Water'!M35</f>
        <v>0</v>
      </c>
      <c r="H32" s="141">
        <v>6.17</v>
      </c>
      <c r="I32" s="2">
        <f>'Gas Water'!L35</f>
        <v>0</v>
      </c>
      <c r="J32" s="141">
        <v>14.95</v>
      </c>
      <c r="K32" s="5"/>
      <c r="L32" s="5"/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0</v>
      </c>
      <c r="F33" s="141"/>
      <c r="G33" s="4">
        <f>'Gas Water'!M36</f>
        <v>0</v>
      </c>
      <c r="H33" s="141"/>
      <c r="I33" s="2">
        <f>'Gas Water'!L36</f>
        <v>0</v>
      </c>
      <c r="J33" s="141"/>
      <c r="K33" s="5"/>
      <c r="L33" s="5"/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0</v>
      </c>
      <c r="F34" s="141"/>
      <c r="G34" s="4">
        <f>'Gas Water'!M37</f>
        <v>0</v>
      </c>
      <c r="H34" s="141"/>
      <c r="I34" s="2">
        <f>'Gas Water'!L37</f>
        <v>0</v>
      </c>
      <c r="J34" s="141"/>
      <c r="K34" s="5"/>
      <c r="L34" s="5"/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0</v>
      </c>
      <c r="F35" s="141"/>
      <c r="G35" s="4">
        <f>'Gas Water'!M38</f>
        <v>0</v>
      </c>
      <c r="H35" s="141"/>
      <c r="I35" s="2">
        <f>'Gas Water'!L38</f>
        <v>0</v>
      </c>
      <c r="J35" s="141"/>
      <c r="K35" s="5"/>
      <c r="L35" s="5"/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0</v>
      </c>
      <c r="F36" s="141"/>
      <c r="G36" s="4">
        <f>'Gas Water'!M39</f>
        <v>0</v>
      </c>
      <c r="H36" s="141"/>
      <c r="I36" s="2">
        <f>'Gas Water'!L39</f>
        <v>0</v>
      </c>
      <c r="J36" s="141"/>
      <c r="K36" s="5"/>
      <c r="L36" s="5"/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0</v>
      </c>
      <c r="F37" s="141"/>
      <c r="G37" s="4">
        <f>'Gas Water'!M40</f>
        <v>0</v>
      </c>
      <c r="H37" s="141"/>
      <c r="I37" s="2">
        <f>'Gas Water'!L40</f>
        <v>0</v>
      </c>
      <c r="J37" s="141"/>
      <c r="K37" s="5"/>
      <c r="L37" s="5"/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0</v>
      </c>
      <c r="F38" s="141"/>
      <c r="G38" s="4">
        <f>'Gas Water'!M41</f>
        <v>0</v>
      </c>
      <c r="H38" s="141"/>
      <c r="I38" s="2">
        <f>'Gas Water'!L41</f>
        <v>0</v>
      </c>
      <c r="J38" s="141"/>
      <c r="K38" s="5"/>
      <c r="L38" s="5"/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0</v>
      </c>
      <c r="F39" s="141"/>
      <c r="G39" s="4">
        <f>'Gas Water'!M42</f>
        <v>0</v>
      </c>
      <c r="H39" s="141"/>
      <c r="I39" s="2">
        <f>'Gas Water'!L42</f>
        <v>0</v>
      </c>
      <c r="J39" s="141"/>
      <c r="K39" s="5"/>
      <c r="L39" s="5"/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0</v>
      </c>
      <c r="F40" s="141"/>
      <c r="G40" s="4">
        <f>'Gas Water'!M43</f>
        <v>0</v>
      </c>
      <c r="H40" s="141"/>
      <c r="I40" s="2">
        <f>'Gas Water'!L43</f>
        <v>0</v>
      </c>
      <c r="J40" s="141"/>
      <c r="K40" s="5"/>
      <c r="L40" s="5"/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41"/>
      <c r="G41" s="4">
        <f>'Gas Water'!M44</f>
        <v>0</v>
      </c>
      <c r="H41" s="141"/>
      <c r="I41" s="2">
        <f>'Gas Water'!L44</f>
        <v>0</v>
      </c>
      <c r="J41" s="141"/>
      <c r="K41" s="5"/>
      <c r="L41" s="5"/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0</v>
      </c>
      <c r="F42" s="141"/>
      <c r="G42" s="4">
        <f>'Gas Water'!M45</f>
        <v>0</v>
      </c>
      <c r="H42" s="141"/>
      <c r="I42" s="2">
        <f>'Gas Water'!L45</f>
        <v>0</v>
      </c>
      <c r="J42" s="141"/>
      <c r="K42" s="5"/>
      <c r="L42" s="5"/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0</v>
      </c>
      <c r="F43" s="141"/>
      <c r="G43" s="4">
        <f>'Gas Water'!M46</f>
        <v>0</v>
      </c>
      <c r="H43" s="141"/>
      <c r="I43" s="2">
        <f>'Gas Water'!L46</f>
        <v>0</v>
      </c>
      <c r="J43" s="141"/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0</v>
      </c>
      <c r="F44" s="141"/>
      <c r="G44" s="4">
        <f>'Gas Water'!M47</f>
        <v>0</v>
      </c>
      <c r="H44" s="141"/>
      <c r="I44" s="2">
        <f>'Gas Water'!L47</f>
        <v>0</v>
      </c>
      <c r="J44" s="141"/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0</v>
      </c>
      <c r="F45" s="141"/>
      <c r="G45" s="4">
        <f>'Gas Water'!M48</f>
        <v>0</v>
      </c>
      <c r="H45" s="141"/>
      <c r="I45" s="2">
        <f>'Gas Water'!L48</f>
        <v>0</v>
      </c>
      <c r="J45" s="141"/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>
        <f>'Electricity '!I48+'Electricity '!O48</f>
        <v>0</v>
      </c>
      <c r="F46" s="141"/>
      <c r="G46" s="4">
        <f>'Gas Water'!M49</f>
        <v>0</v>
      </c>
      <c r="H46" s="141"/>
      <c r="I46" s="2">
        <f>'Gas Water'!L49</f>
        <v>0</v>
      </c>
      <c r="J46" s="141"/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>
        <f>'Electricity '!I49+'Electricity '!O49</f>
        <v>0</v>
      </c>
      <c r="F47" s="141"/>
      <c r="G47" s="4">
        <f>'Gas Water'!M50</f>
        <v>0</v>
      </c>
      <c r="H47" s="141"/>
      <c r="I47" s="2">
        <f>'Gas Water'!L50</f>
        <v>0</v>
      </c>
      <c r="J47" s="141"/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>
        <f>'Electricity '!I50+'Electricity '!O50</f>
        <v>0</v>
      </c>
      <c r="F48" s="141"/>
      <c r="G48" s="4">
        <f>'Gas Water'!M51</f>
        <v>0</v>
      </c>
      <c r="H48" s="141"/>
      <c r="I48" s="2">
        <f>'Gas Water'!L51</f>
        <v>0</v>
      </c>
      <c r="J48" s="141"/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/>
      <c r="G49" s="4">
        <f>'Gas Water'!M52</f>
        <v>0</v>
      </c>
      <c r="H49" s="141"/>
      <c r="I49" s="2">
        <f>'Gas Water'!L52</f>
        <v>0</v>
      </c>
      <c r="J49" s="141"/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/>
      <c r="G50" s="4">
        <f>'Gas Water'!M53</f>
        <v>0</v>
      </c>
      <c r="H50" s="141"/>
      <c r="I50" s="2">
        <f>'Gas Water'!L53</f>
        <v>0</v>
      </c>
      <c r="J50" s="141"/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/>
      <c r="G51" s="4">
        <f>'Gas Water'!M54</f>
        <v>0</v>
      </c>
      <c r="H51" s="141"/>
      <c r="I51" s="2">
        <f>'Gas Water'!L54</f>
        <v>0</v>
      </c>
      <c r="J51" s="141"/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/>
      <c r="G52" s="4">
        <f>'Gas Water'!M55</f>
        <v>0</v>
      </c>
      <c r="H52" s="141"/>
      <c r="I52" s="2">
        <f>'Gas Water'!L55</f>
        <v>0</v>
      </c>
      <c r="J52" s="141"/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/>
      <c r="G53" s="4">
        <f>'Gas Water'!M56</f>
        <v>0</v>
      </c>
      <c r="H53" s="141"/>
      <c r="I53" s="2">
        <f>'Gas Water'!L56</f>
        <v>0</v>
      </c>
      <c r="J53" s="141"/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/>
      <c r="G54" s="4">
        <f>'Gas Water'!M57</f>
        <v>0</v>
      </c>
      <c r="H54" s="141"/>
      <c r="I54" s="2">
        <f>'Gas Water'!L57</f>
        <v>0</v>
      </c>
      <c r="J54" s="141"/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/>
      <c r="G55" s="4">
        <f>'Gas Water'!M58</f>
        <v>0</v>
      </c>
      <c r="H55" s="141"/>
      <c r="I55" s="2">
        <f>'Gas Water'!L58</f>
        <v>0</v>
      </c>
      <c r="J55" s="141"/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/>
      <c r="G56" s="4">
        <f>'Gas Water'!M59</f>
        <v>0</v>
      </c>
      <c r="H56" s="141"/>
      <c r="I56" s="2">
        <f>'Gas Water'!L59</f>
        <v>0</v>
      </c>
      <c r="J56" s="141"/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/>
      <c r="G57" s="4">
        <f>'Gas Water'!M60</f>
        <v>0</v>
      </c>
      <c r="H57" s="141"/>
      <c r="I57" s="2">
        <f>'Gas Water'!L60</f>
        <v>0</v>
      </c>
      <c r="J57" s="141"/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/>
      <c r="G58" s="4">
        <f>'Gas Water'!M61</f>
        <v>0</v>
      </c>
      <c r="H58" s="141"/>
      <c r="I58" s="2">
        <f>'Gas Water'!L61</f>
        <v>0</v>
      </c>
      <c r="J58" s="141"/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/>
      <c r="G59" s="4">
        <f>'Gas Water'!M62</f>
        <v>0</v>
      </c>
      <c r="H59" s="141"/>
      <c r="I59" s="2">
        <f>'Gas Water'!L62</f>
        <v>0</v>
      </c>
      <c r="J59" s="141"/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/>
      <c r="G60" s="4">
        <f>'Gas Water'!M63</f>
        <v>0</v>
      </c>
      <c r="H60" s="141"/>
      <c r="I60" s="2">
        <f>'Gas Water'!L63</f>
        <v>0</v>
      </c>
      <c r="J60" s="141"/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2" workbookViewId="0">
      <selection activeCell="F24" sqref="F24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3" si="6">IF(D7="","",+(D7-D6))</f>
        <v>2093</v>
      </c>
      <c r="J7" s="28">
        <f t="shared" si="2"/>
        <v>156</v>
      </c>
      <c r="K7" s="28">
        <f t="shared" ref="K7:K33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41">
        <v>16228335</v>
      </c>
      <c r="D14" s="162">
        <v>5120934</v>
      </c>
      <c r="E14" s="163">
        <v>245586</v>
      </c>
      <c r="F14" s="164">
        <v>641063</v>
      </c>
      <c r="G14" s="165">
        <v>295942</v>
      </c>
      <c r="H14" s="28">
        <f t="shared" si="1"/>
        <v>0</v>
      </c>
      <c r="I14" s="28">
        <f t="shared" si="6"/>
        <v>2301</v>
      </c>
      <c r="J14" s="28">
        <f t="shared" si="2"/>
        <v>170</v>
      </c>
      <c r="K14" s="28">
        <f t="shared" si="7"/>
        <v>199</v>
      </c>
      <c r="L14" s="29">
        <f t="shared" si="4"/>
        <v>182</v>
      </c>
      <c r="M14" s="30">
        <f t="shared" si="0"/>
        <v>2670</v>
      </c>
      <c r="Q14" s="20">
        <f t="shared" si="5"/>
        <v>0</v>
      </c>
    </row>
    <row r="15" spans="1:23" s="10" customFormat="1" ht="12.95" customHeight="1" x14ac:dyDescent="0.2">
      <c r="B15" s="22">
        <v>44207</v>
      </c>
      <c r="C15" s="41">
        <v>16228335</v>
      </c>
      <c r="D15" s="162">
        <v>5123728</v>
      </c>
      <c r="E15" s="163">
        <v>245785</v>
      </c>
      <c r="F15" s="164">
        <v>641234</v>
      </c>
      <c r="G15" s="165">
        <v>296090</v>
      </c>
      <c r="H15" s="28">
        <f t="shared" si="1"/>
        <v>0</v>
      </c>
      <c r="I15" s="28">
        <f t="shared" si="6"/>
        <v>2794</v>
      </c>
      <c r="J15" s="28">
        <f t="shared" si="2"/>
        <v>199</v>
      </c>
      <c r="K15" s="28">
        <f t="shared" si="7"/>
        <v>171</v>
      </c>
      <c r="L15" s="29">
        <f t="shared" si="4"/>
        <v>148</v>
      </c>
      <c r="M15" s="30">
        <f t="shared" si="0"/>
        <v>3164</v>
      </c>
      <c r="Q15" s="20">
        <f t="shared" si="5"/>
        <v>0</v>
      </c>
    </row>
    <row r="16" spans="1:23" s="10" customFormat="1" ht="12.95" customHeight="1" x14ac:dyDescent="0.2">
      <c r="B16" s="22">
        <v>44208</v>
      </c>
      <c r="C16" s="41">
        <v>16228335</v>
      </c>
      <c r="D16" s="162">
        <v>5127388</v>
      </c>
      <c r="E16" s="163">
        <v>245930</v>
      </c>
      <c r="F16" s="164">
        <v>641420</v>
      </c>
      <c r="G16" s="165">
        <v>296265</v>
      </c>
      <c r="H16" s="28">
        <f t="shared" si="1"/>
        <v>0</v>
      </c>
      <c r="I16" s="28">
        <f t="shared" si="6"/>
        <v>3660</v>
      </c>
      <c r="J16" s="28">
        <f t="shared" si="2"/>
        <v>145</v>
      </c>
      <c r="K16" s="28">
        <f t="shared" si="7"/>
        <v>186</v>
      </c>
      <c r="L16" s="29">
        <f t="shared" si="4"/>
        <v>175</v>
      </c>
      <c r="M16" s="30">
        <f t="shared" si="0"/>
        <v>3991</v>
      </c>
      <c r="Q16" s="20">
        <f t="shared" si="5"/>
        <v>0</v>
      </c>
    </row>
    <row r="17" spans="2:17" s="10" customFormat="1" ht="12.95" customHeight="1" x14ac:dyDescent="0.2">
      <c r="B17" s="22">
        <v>44209</v>
      </c>
      <c r="C17" s="41">
        <v>16228335</v>
      </c>
      <c r="D17" s="162">
        <v>5131328</v>
      </c>
      <c r="E17" s="163">
        <v>246054</v>
      </c>
      <c r="F17" s="164">
        <v>641420</v>
      </c>
      <c r="G17" s="165">
        <v>296387</v>
      </c>
      <c r="H17" s="28">
        <f t="shared" si="1"/>
        <v>0</v>
      </c>
      <c r="I17" s="28">
        <f t="shared" si="6"/>
        <v>3940</v>
      </c>
      <c r="J17" s="28">
        <f t="shared" si="2"/>
        <v>124</v>
      </c>
      <c r="K17" s="28">
        <f t="shared" si="7"/>
        <v>0</v>
      </c>
      <c r="L17" s="29">
        <f t="shared" si="4"/>
        <v>122</v>
      </c>
      <c r="M17" s="30">
        <f t="shared" si="0"/>
        <v>4064</v>
      </c>
      <c r="Q17" s="20">
        <f t="shared" si="5"/>
        <v>0</v>
      </c>
    </row>
    <row r="18" spans="2:17" s="10" customFormat="1" ht="12.95" customHeight="1" x14ac:dyDescent="0.2">
      <c r="B18" s="22">
        <v>44210</v>
      </c>
      <c r="C18" s="41">
        <v>16228335</v>
      </c>
      <c r="D18" s="162">
        <v>5134834</v>
      </c>
      <c r="E18" s="163">
        <v>246173</v>
      </c>
      <c r="F18" s="164">
        <v>641741</v>
      </c>
      <c r="G18" s="165">
        <v>296531</v>
      </c>
      <c r="H18" s="28">
        <f t="shared" si="1"/>
        <v>0</v>
      </c>
      <c r="I18" s="28">
        <f t="shared" si="6"/>
        <v>3506</v>
      </c>
      <c r="J18" s="28">
        <f t="shared" si="2"/>
        <v>119</v>
      </c>
      <c r="K18" s="28">
        <f t="shared" si="7"/>
        <v>321</v>
      </c>
      <c r="L18" s="29">
        <f t="shared" si="4"/>
        <v>144</v>
      </c>
      <c r="M18" s="30">
        <f t="shared" si="0"/>
        <v>3946</v>
      </c>
      <c r="Q18" s="20">
        <f t="shared" si="5"/>
        <v>0</v>
      </c>
    </row>
    <row r="19" spans="2:17" s="10" customFormat="1" ht="12.95" customHeight="1" x14ac:dyDescent="0.2">
      <c r="B19" s="22">
        <v>44211</v>
      </c>
      <c r="C19" s="41">
        <v>16228335</v>
      </c>
      <c r="D19" s="162">
        <v>5138157</v>
      </c>
      <c r="E19" s="163">
        <v>246321</v>
      </c>
      <c r="F19" s="164">
        <v>641909</v>
      </c>
      <c r="G19" s="165">
        <v>296692</v>
      </c>
      <c r="H19" s="28">
        <f t="shared" si="1"/>
        <v>0</v>
      </c>
      <c r="I19" s="28">
        <f t="shared" si="6"/>
        <v>3323</v>
      </c>
      <c r="J19" s="28">
        <f t="shared" si="2"/>
        <v>148</v>
      </c>
      <c r="K19" s="28">
        <f t="shared" si="7"/>
        <v>168</v>
      </c>
      <c r="L19" s="29">
        <f t="shared" si="4"/>
        <v>161</v>
      </c>
      <c r="M19" s="30">
        <f t="shared" si="0"/>
        <v>3639</v>
      </c>
      <c r="Q19" s="20">
        <f t="shared" si="5"/>
        <v>0</v>
      </c>
    </row>
    <row r="20" spans="2:17" s="10" customFormat="1" ht="12.95" customHeight="1" x14ac:dyDescent="0.2">
      <c r="B20" s="22">
        <v>44212</v>
      </c>
      <c r="C20" s="41">
        <v>16228335</v>
      </c>
      <c r="D20" s="162">
        <v>5141532</v>
      </c>
      <c r="E20" s="163">
        <v>246442</v>
      </c>
      <c r="F20" s="164">
        <v>642082</v>
      </c>
      <c r="G20" s="165">
        <v>296831</v>
      </c>
      <c r="H20" s="28">
        <f t="shared" si="1"/>
        <v>0</v>
      </c>
      <c r="I20" s="28">
        <f t="shared" si="6"/>
        <v>3375</v>
      </c>
      <c r="J20" s="28">
        <f t="shared" si="2"/>
        <v>121</v>
      </c>
      <c r="K20" s="28">
        <f t="shared" si="7"/>
        <v>173</v>
      </c>
      <c r="L20" s="29">
        <f t="shared" si="4"/>
        <v>139</v>
      </c>
      <c r="M20" s="30">
        <f t="shared" si="0"/>
        <v>3669</v>
      </c>
      <c r="Q20" s="20">
        <f t="shared" si="5"/>
        <v>0</v>
      </c>
    </row>
    <row r="21" spans="2:17" s="10" customFormat="1" ht="12.95" customHeight="1" x14ac:dyDescent="0.2">
      <c r="B21" s="22">
        <v>44213</v>
      </c>
      <c r="C21" s="161"/>
      <c r="D21" s="162"/>
      <c r="E21" s="163"/>
      <c r="F21" s="164"/>
      <c r="G21" s="165"/>
      <c r="H21" s="28" t="str">
        <f t="shared" si="1"/>
        <v/>
      </c>
      <c r="I21" s="28" t="str">
        <f t="shared" si="6"/>
        <v/>
      </c>
      <c r="J21" s="28" t="str">
        <f t="shared" si="2"/>
        <v/>
      </c>
      <c r="K21" s="28" t="str">
        <f t="shared" si="7"/>
        <v/>
      </c>
      <c r="L21" s="29" t="str">
        <f t="shared" si="4"/>
        <v/>
      </c>
      <c r="M21" s="30" t="str">
        <f t="shared" si="0"/>
        <v/>
      </c>
      <c r="Q21" s="20">
        <f t="shared" si="5"/>
        <v>1</v>
      </c>
    </row>
    <row r="22" spans="2:17" s="10" customFormat="1" ht="12.95" customHeight="1" x14ac:dyDescent="0.2">
      <c r="B22" s="22">
        <v>44214</v>
      </c>
      <c r="C22" s="161"/>
      <c r="D22" s="162"/>
      <c r="E22" s="163"/>
      <c r="F22" s="164"/>
      <c r="G22" s="165"/>
      <c r="H22" s="28" t="str">
        <f t="shared" si="1"/>
        <v/>
      </c>
      <c r="I22" s="28" t="str">
        <f t="shared" si="6"/>
        <v/>
      </c>
      <c r="J22" s="28" t="str">
        <f t="shared" si="2"/>
        <v/>
      </c>
      <c r="K22" s="28" t="str">
        <f t="shared" si="7"/>
        <v/>
      </c>
      <c r="L22" s="29" t="str">
        <f t="shared" si="4"/>
        <v/>
      </c>
      <c r="M22" s="30" t="str">
        <f t="shared" si="0"/>
        <v/>
      </c>
      <c r="Q22" s="20">
        <f t="shared" si="5"/>
        <v>1</v>
      </c>
    </row>
    <row r="23" spans="2:17" s="10" customFormat="1" ht="12.95" customHeight="1" x14ac:dyDescent="0.2">
      <c r="B23" s="22">
        <v>44215</v>
      </c>
      <c r="C23" s="161"/>
      <c r="D23" s="162"/>
      <c r="E23" s="163"/>
      <c r="F23" s="164"/>
      <c r="G23" s="165"/>
      <c r="H23" s="28" t="str">
        <f t="shared" si="1"/>
        <v/>
      </c>
      <c r="I23" s="28" t="str">
        <f t="shared" si="6"/>
        <v/>
      </c>
      <c r="J23" s="28" t="str">
        <f t="shared" si="2"/>
        <v/>
      </c>
      <c r="K23" s="28" t="str">
        <f t="shared" si="7"/>
        <v/>
      </c>
      <c r="L23" s="29" t="str">
        <f t="shared" si="4"/>
        <v/>
      </c>
      <c r="M23" s="30" t="str">
        <f t="shared" si="0"/>
        <v/>
      </c>
      <c r="Q23" s="20">
        <f t="shared" si="5"/>
        <v>1</v>
      </c>
    </row>
    <row r="24" spans="2:17" s="10" customFormat="1" ht="12.95" customHeight="1" thickBot="1" x14ac:dyDescent="0.25">
      <c r="B24" s="22">
        <v>44216</v>
      </c>
      <c r="C24" s="161"/>
      <c r="D24" s="162"/>
      <c r="E24" s="163"/>
      <c r="F24" s="164"/>
      <c r="G24" s="165"/>
      <c r="H24" s="28" t="str">
        <f t="shared" si="1"/>
        <v/>
      </c>
      <c r="I24" s="28" t="str">
        <f t="shared" si="6"/>
        <v/>
      </c>
      <c r="J24" s="28" t="str">
        <f t="shared" si="2"/>
        <v/>
      </c>
      <c r="K24" s="28" t="str">
        <f t="shared" si="7"/>
        <v/>
      </c>
      <c r="L24" s="29" t="str">
        <f t="shared" si="4"/>
        <v/>
      </c>
      <c r="M24" s="30" t="str">
        <f t="shared" si="0"/>
        <v/>
      </c>
      <c r="Q24" s="20">
        <f t="shared" si="5"/>
        <v>1</v>
      </c>
    </row>
    <row r="25" spans="2:17" s="10" customFormat="1" ht="12.95" customHeight="1" x14ac:dyDescent="0.2">
      <c r="B25" s="22">
        <v>44217</v>
      </c>
      <c r="C25" s="161"/>
      <c r="D25" s="162"/>
      <c r="E25" s="163"/>
      <c r="F25" s="164"/>
      <c r="G25" s="165"/>
      <c r="H25" s="28" t="str">
        <f t="shared" si="1"/>
        <v/>
      </c>
      <c r="I25" s="28" t="str">
        <f t="shared" si="6"/>
        <v/>
      </c>
      <c r="J25" s="28" t="str">
        <f t="shared" si="2"/>
        <v/>
      </c>
      <c r="K25" s="28" t="str">
        <f t="shared" si="7"/>
        <v/>
      </c>
      <c r="L25" s="29" t="str">
        <f t="shared" si="4"/>
        <v/>
      </c>
      <c r="M25" s="30" t="str">
        <f t="shared" si="0"/>
        <v/>
      </c>
      <c r="N25" s="185" t="s">
        <v>21</v>
      </c>
      <c r="O25" s="185" t="s">
        <v>22</v>
      </c>
      <c r="Q25" s="20">
        <f t="shared" si="5"/>
        <v>1</v>
      </c>
    </row>
    <row r="26" spans="2:17" s="10" customFormat="1" ht="12.95" customHeight="1" x14ac:dyDescent="0.2">
      <c r="B26" s="22">
        <v>44218</v>
      </c>
      <c r="C26" s="161"/>
      <c r="D26" s="162"/>
      <c r="E26" s="163"/>
      <c r="F26" s="164"/>
      <c r="G26" s="165"/>
      <c r="H26" s="28" t="str">
        <f t="shared" si="1"/>
        <v/>
      </c>
      <c r="I26" s="28" t="str">
        <f t="shared" si="6"/>
        <v/>
      </c>
      <c r="J26" s="28" t="str">
        <f t="shared" si="2"/>
        <v/>
      </c>
      <c r="K26" s="28" t="str">
        <f t="shared" si="7"/>
        <v/>
      </c>
      <c r="L26" s="29" t="str">
        <f t="shared" si="4"/>
        <v/>
      </c>
      <c r="M26" s="30" t="str">
        <f t="shared" si="0"/>
        <v/>
      </c>
      <c r="N26" s="186"/>
      <c r="O26" s="186"/>
      <c r="Q26" s="20">
        <f t="shared" si="5"/>
        <v>1</v>
      </c>
    </row>
    <row r="27" spans="2:17" s="10" customFormat="1" ht="12.95" customHeight="1" thickBot="1" x14ac:dyDescent="0.25">
      <c r="B27" s="22">
        <v>44219</v>
      </c>
      <c r="C27" s="161"/>
      <c r="D27" s="162"/>
      <c r="E27" s="163"/>
      <c r="F27" s="164"/>
      <c r="G27" s="165"/>
      <c r="H27" s="28" t="str">
        <f t="shared" si="1"/>
        <v/>
      </c>
      <c r="I27" s="28" t="str">
        <f t="shared" si="6"/>
        <v/>
      </c>
      <c r="J27" s="28" t="str">
        <f t="shared" si="2"/>
        <v/>
      </c>
      <c r="K27" s="28" t="str">
        <f t="shared" si="7"/>
        <v/>
      </c>
      <c r="L27" s="29" t="str">
        <f t="shared" si="4"/>
        <v/>
      </c>
      <c r="M27" s="30" t="str">
        <f t="shared" si="0"/>
        <v/>
      </c>
      <c r="N27" s="187"/>
      <c r="O27" s="187"/>
      <c r="Q27" s="20">
        <f t="shared" si="5"/>
        <v>1</v>
      </c>
    </row>
    <row r="28" spans="2:17" s="10" customFormat="1" ht="12.95" customHeight="1" thickBot="1" x14ac:dyDescent="0.25">
      <c r="B28" s="22">
        <v>44220</v>
      </c>
      <c r="C28" s="161"/>
      <c r="D28" s="162"/>
      <c r="E28" s="163"/>
      <c r="F28" s="164"/>
      <c r="G28" s="165"/>
      <c r="H28" s="28" t="str">
        <f t="shared" si="1"/>
        <v/>
      </c>
      <c r="I28" s="28" t="str">
        <f t="shared" si="6"/>
        <v/>
      </c>
      <c r="J28" s="28" t="str">
        <f t="shared" si="2"/>
        <v/>
      </c>
      <c r="K28" s="28" t="str">
        <f t="shared" si="7"/>
        <v/>
      </c>
      <c r="L28" s="29" t="str">
        <f t="shared" si="4"/>
        <v/>
      </c>
      <c r="M28" s="30" t="str">
        <f t="shared" si="0"/>
        <v/>
      </c>
      <c r="N28" s="32">
        <f>SUM(L4:L34)</f>
        <v>3029</v>
      </c>
      <c r="O28" s="32">
        <f>SUM(M4:M34)</f>
        <v>50804</v>
      </c>
      <c r="Q28" s="20">
        <f t="shared" si="5"/>
        <v>1</v>
      </c>
    </row>
    <row r="29" spans="2:17" s="10" customFormat="1" ht="12.95" customHeight="1" x14ac:dyDescent="0.2">
      <c r="B29" s="22">
        <v>44221</v>
      </c>
      <c r="C29" s="161"/>
      <c r="D29" s="162"/>
      <c r="E29" s="163"/>
      <c r="F29" s="164"/>
      <c r="G29" s="165"/>
      <c r="H29" s="28" t="str">
        <f t="shared" si="1"/>
        <v/>
      </c>
      <c r="I29" s="28" t="str">
        <f t="shared" si="6"/>
        <v/>
      </c>
      <c r="J29" s="28" t="str">
        <f t="shared" si="2"/>
        <v/>
      </c>
      <c r="K29" s="28" t="str">
        <f t="shared" si="7"/>
        <v/>
      </c>
      <c r="L29" s="29" t="str">
        <f t="shared" si="4"/>
        <v/>
      </c>
      <c r="M29" s="30" t="str">
        <f t="shared" si="0"/>
        <v/>
      </c>
      <c r="N29" s="185" t="s">
        <v>23</v>
      </c>
      <c r="O29" s="185" t="s">
        <v>24</v>
      </c>
      <c r="Q29" s="20">
        <f t="shared" si="5"/>
        <v>1</v>
      </c>
    </row>
    <row r="30" spans="2:17" s="10" customFormat="1" ht="12.95" customHeight="1" thickBot="1" x14ac:dyDescent="0.25">
      <c r="B30" s="22">
        <v>44222</v>
      </c>
      <c r="C30" s="161"/>
      <c r="D30" s="162"/>
      <c r="E30" s="163"/>
      <c r="F30" s="164"/>
      <c r="G30" s="165"/>
      <c r="H30" s="28" t="str">
        <f t="shared" si="1"/>
        <v/>
      </c>
      <c r="I30" s="28" t="str">
        <f t="shared" si="6"/>
        <v/>
      </c>
      <c r="J30" s="28" t="str">
        <f t="shared" si="2"/>
        <v/>
      </c>
      <c r="K30" s="28" t="str">
        <f t="shared" si="7"/>
        <v/>
      </c>
      <c r="L30" s="29" t="str">
        <f t="shared" si="4"/>
        <v/>
      </c>
      <c r="M30" s="30" t="str">
        <f t="shared" si="0"/>
        <v/>
      </c>
      <c r="N30" s="187"/>
      <c r="O30" s="187"/>
      <c r="Q30" s="20">
        <f t="shared" si="5"/>
        <v>1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178.1764705882353</v>
      </c>
      <c r="O31" s="32">
        <f>AVERAGE(M4:M34)</f>
        <v>2988.4705882352941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5" t="s">
        <v>21</v>
      </c>
      <c r="O84" s="185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6"/>
      <c r="O85" s="186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7"/>
      <c r="O86" s="187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5" t="s">
        <v>23</v>
      </c>
      <c r="O88" s="185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7"/>
      <c r="O89" s="187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5" t="s">
        <v>25</v>
      </c>
      <c r="O91" s="185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7"/>
      <c r="O92" s="187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5" t="s">
        <v>21</v>
      </c>
      <c r="O114" s="185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6"/>
      <c r="O115" s="186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7"/>
      <c r="O116" s="187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5" t="s">
        <v>23</v>
      </c>
      <c r="O118" s="185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7"/>
      <c r="O119" s="187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5" t="s">
        <v>21</v>
      </c>
      <c r="O145" s="185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6"/>
      <c r="O146" s="186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30526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5" t="s">
        <v>21</v>
      </c>
      <c r="O175" s="185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6"/>
      <c r="O176" s="186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7"/>
      <c r="O177" s="187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5" t="s">
        <v>23</v>
      </c>
      <c r="O179" s="185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7"/>
      <c r="O180" s="187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5" t="s">
        <v>21</v>
      </c>
      <c r="O206" s="185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6"/>
      <c r="O207" s="186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7"/>
      <c r="O208" s="187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5" t="s">
        <v>23</v>
      </c>
      <c r="O210" s="185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7"/>
      <c r="O211" s="187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5" t="s">
        <v>21</v>
      </c>
      <c r="O237" s="185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6"/>
      <c r="O238" s="186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7"/>
      <c r="O239" s="187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5" t="s">
        <v>23</v>
      </c>
      <c r="O241" s="185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7"/>
      <c r="O242" s="187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5" t="s">
        <v>21</v>
      </c>
      <c r="O267" s="185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6"/>
      <c r="O268" s="186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7"/>
      <c r="O269" s="187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5" t="s">
        <v>23</v>
      </c>
      <c r="O271" s="185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7"/>
      <c r="O272" s="187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5" t="s">
        <v>21</v>
      </c>
      <c r="O298" s="185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6"/>
      <c r="O299" s="186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7"/>
      <c r="O300" s="187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5" t="s">
        <v>23</v>
      </c>
      <c r="O302" s="185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7"/>
      <c r="O303" s="187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5" t="s">
        <v>21</v>
      </c>
      <c r="O328" s="185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6"/>
      <c r="O329" s="186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7"/>
      <c r="O330" s="187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5" t="s">
        <v>23</v>
      </c>
      <c r="O332" s="185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7"/>
      <c r="O333" s="187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5" t="s">
        <v>21</v>
      </c>
      <c r="O359" s="185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6"/>
      <c r="O360" s="186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7"/>
      <c r="O361" s="187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5" t="s">
        <v>23</v>
      </c>
      <c r="O363" s="185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7"/>
      <c r="O364" s="187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workbookViewId="0">
      <selection activeCell="J26" sqref="J26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55">
        <v>0.14199999999999999</v>
      </c>
      <c r="E13" s="56">
        <v>1934.18</v>
      </c>
      <c r="F13" s="57">
        <v>62.383000000000003</v>
      </c>
      <c r="G13" s="148">
        <v>184.02799999999999</v>
      </c>
      <c r="H13" s="58">
        <v>4140</v>
      </c>
      <c r="I13" s="58">
        <f t="shared" si="2"/>
        <v>24011.999999999811</v>
      </c>
      <c r="J13" s="58">
        <f t="shared" si="2"/>
        <v>405.72000000002515</v>
      </c>
      <c r="K13" s="59">
        <f t="shared" si="4"/>
        <v>1.6896551724139112E-2</v>
      </c>
      <c r="L13" s="58">
        <f t="shared" si="5"/>
        <v>405.72000000002515</v>
      </c>
      <c r="M13" s="59">
        <f t="shared" si="6"/>
        <v>1.6896551724139112E-2</v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55">
        <v>0.14199999999999999</v>
      </c>
      <c r="E14" s="56">
        <v>1939.9929999999999</v>
      </c>
      <c r="F14" s="57">
        <v>62.448</v>
      </c>
      <c r="G14" s="148">
        <v>184.07300000000001</v>
      </c>
      <c r="H14" s="58">
        <v>4140</v>
      </c>
      <c r="I14" s="58">
        <f t="shared" si="2"/>
        <v>24065.819999999479</v>
      </c>
      <c r="J14" s="58">
        <f t="shared" si="2"/>
        <v>269.09999999999059</v>
      </c>
      <c r="K14" s="59">
        <f t="shared" si="4"/>
        <v>1.1181833820746454E-2</v>
      </c>
      <c r="L14" s="58">
        <f t="shared" si="5"/>
        <v>269.09999999999059</v>
      </c>
      <c r="M14" s="59">
        <f t="shared" si="6"/>
        <v>1.1181833820746454E-2</v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55">
        <v>0.14199999999999999</v>
      </c>
      <c r="E15" s="56">
        <v>1945.788</v>
      </c>
      <c r="F15" s="57">
        <v>62.552</v>
      </c>
      <c r="G15" s="148">
        <v>184.107</v>
      </c>
      <c r="H15" s="58">
        <v>4140</v>
      </c>
      <c r="I15" s="58">
        <f t="shared" si="2"/>
        <v>23991.300000000301</v>
      </c>
      <c r="J15" s="58">
        <f t="shared" si="2"/>
        <v>430.55999999999671</v>
      </c>
      <c r="K15" s="59">
        <f t="shared" si="4"/>
        <v>1.7946505608282641E-2</v>
      </c>
      <c r="L15" s="58">
        <f t="shared" si="5"/>
        <v>430.55999999999671</v>
      </c>
      <c r="M15" s="59">
        <f t="shared" si="6"/>
        <v>1.7946505608282641E-2</v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55">
        <v>0.14199999999999999</v>
      </c>
      <c r="E16" s="56">
        <v>1951.3869999999999</v>
      </c>
      <c r="F16" s="57">
        <v>62.622</v>
      </c>
      <c r="G16" s="148">
        <v>184.131</v>
      </c>
      <c r="H16" s="58">
        <v>4140</v>
      </c>
      <c r="I16" s="58">
        <f t="shared" si="2"/>
        <v>23179.85999999972</v>
      </c>
      <c r="J16" s="58">
        <f t="shared" si="2"/>
        <v>289.80000000000121</v>
      </c>
      <c r="K16" s="59">
        <f t="shared" si="4"/>
        <v>1.2502232541525476E-2</v>
      </c>
      <c r="L16" s="58">
        <f t="shared" si="5"/>
        <v>289.80000000000121</v>
      </c>
      <c r="M16" s="59">
        <f t="shared" si="6"/>
        <v>1.2502232541525476E-2</v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55">
        <v>0.14199999999999999</v>
      </c>
      <c r="E17" s="56">
        <v>1957.057</v>
      </c>
      <c r="F17" s="57">
        <v>62.703000000000003</v>
      </c>
      <c r="G17" s="148">
        <v>184.166</v>
      </c>
      <c r="H17" s="58">
        <v>4140</v>
      </c>
      <c r="I17" s="58">
        <f t="shared" si="2"/>
        <v>23473.800000000301</v>
      </c>
      <c r="J17" s="58">
        <f t="shared" si="2"/>
        <v>335.34000000001271</v>
      </c>
      <c r="K17" s="59">
        <f t="shared" si="4"/>
        <v>1.4285714285714644E-2</v>
      </c>
      <c r="L17" s="58">
        <f t="shared" si="5"/>
        <v>335.34000000001271</v>
      </c>
      <c r="M17" s="59">
        <f t="shared" si="6"/>
        <v>1.4285714285714644E-2</v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55">
        <v>0.14199999999999999</v>
      </c>
      <c r="E18" s="56">
        <v>1962.748</v>
      </c>
      <c r="F18" s="57">
        <v>62.829000000000001</v>
      </c>
      <c r="G18" s="148">
        <v>184.20599999999999</v>
      </c>
      <c r="H18" s="58">
        <v>4140</v>
      </c>
      <c r="I18" s="58">
        <f t="shared" si="2"/>
        <v>23560.740000000129</v>
      </c>
      <c r="J18" s="58">
        <f t="shared" si="2"/>
        <v>521.63999999999032</v>
      </c>
      <c r="K18" s="59">
        <f t="shared" si="4"/>
        <v>2.214022140221349E-2</v>
      </c>
      <c r="L18" s="58">
        <f t="shared" si="5"/>
        <v>521.63999999999032</v>
      </c>
      <c r="M18" s="59">
        <f t="shared" si="6"/>
        <v>2.214022140221349E-2</v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55">
        <v>0.14199999999999999</v>
      </c>
      <c r="E19" s="56">
        <v>1968.395</v>
      </c>
      <c r="F19" s="57">
        <v>62.918999999999997</v>
      </c>
      <c r="G19" s="148">
        <v>184.245</v>
      </c>
      <c r="H19" s="58">
        <v>4140</v>
      </c>
      <c r="I19" s="58">
        <f t="shared" si="2"/>
        <v>23378.579999999729</v>
      </c>
      <c r="J19" s="58">
        <f t="shared" si="2"/>
        <v>372.59999999998468</v>
      </c>
      <c r="K19" s="59">
        <f t="shared" si="4"/>
        <v>1.5937666017353878E-2</v>
      </c>
      <c r="L19" s="58">
        <f t="shared" si="5"/>
        <v>372.59999999998468</v>
      </c>
      <c r="M19" s="59">
        <f t="shared" si="6"/>
        <v>1.5937666017353878E-2</v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/>
      <c r="E20" s="146"/>
      <c r="F20" s="147"/>
      <c r="G20" s="148">
        <v>184.28200000000001</v>
      </c>
      <c r="H20" s="58">
        <v>4140</v>
      </c>
      <c r="I20" s="58" t="str">
        <f t="shared" si="2"/>
        <v/>
      </c>
      <c r="J20" s="58" t="str">
        <f t="shared" si="2"/>
        <v/>
      </c>
      <c r="K20" s="59" t="str">
        <f t="shared" si="4"/>
        <v/>
      </c>
      <c r="L20" s="58" t="str">
        <f t="shared" si="5"/>
        <v/>
      </c>
      <c r="M20" s="59" t="str">
        <f t="shared" si="6"/>
        <v/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/>
      <c r="E21" s="146"/>
      <c r="F21" s="147"/>
      <c r="G21" s="148">
        <v>184.31200000000001</v>
      </c>
      <c r="H21" s="58">
        <v>4140</v>
      </c>
      <c r="I21" s="58" t="str">
        <f t="shared" si="2"/>
        <v/>
      </c>
      <c r="J21" s="58" t="str">
        <f t="shared" si="2"/>
        <v/>
      </c>
      <c r="K21" s="59" t="str">
        <f t="shared" si="4"/>
        <v/>
      </c>
      <c r="L21" s="58" t="str">
        <f t="shared" si="5"/>
        <v/>
      </c>
      <c r="M21" s="59" t="str">
        <f t="shared" si="6"/>
        <v/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/>
      <c r="E22" s="146"/>
      <c r="F22" s="147"/>
      <c r="G22" s="148">
        <v>184.34800000000001</v>
      </c>
      <c r="H22" s="58">
        <v>4140</v>
      </c>
      <c r="I22" s="58" t="str">
        <f t="shared" si="2"/>
        <v/>
      </c>
      <c r="J22" s="58" t="str">
        <f t="shared" si="2"/>
        <v/>
      </c>
      <c r="K22" s="59" t="str">
        <f t="shared" si="4"/>
        <v/>
      </c>
      <c r="L22" s="58" t="str">
        <f t="shared" si="5"/>
        <v/>
      </c>
      <c r="M22" s="59" t="str">
        <f t="shared" si="6"/>
        <v/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/>
      <c r="E23" s="146"/>
      <c r="F23" s="147"/>
      <c r="G23" s="148">
        <v>184.39</v>
      </c>
      <c r="H23" s="58">
        <v>4140</v>
      </c>
      <c r="I23" s="58" t="str">
        <f t="shared" si="2"/>
        <v/>
      </c>
      <c r="J23" s="58" t="str">
        <f t="shared" si="2"/>
        <v/>
      </c>
      <c r="K23" s="59" t="str">
        <f t="shared" si="4"/>
        <v/>
      </c>
      <c r="L23" s="58" t="str">
        <f t="shared" si="5"/>
        <v/>
      </c>
      <c r="M23" s="59" t="str">
        <f t="shared" si="6"/>
        <v/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/>
      <c r="E24" s="146"/>
      <c r="F24" s="147"/>
      <c r="G24" s="148">
        <v>184.43799999999999</v>
      </c>
      <c r="H24" s="58">
        <v>4140</v>
      </c>
      <c r="I24" s="58" t="str">
        <f t="shared" si="2"/>
        <v/>
      </c>
      <c r="J24" s="58" t="str">
        <f t="shared" si="2"/>
        <v/>
      </c>
      <c r="K24" s="59" t="str">
        <f t="shared" si="4"/>
        <v/>
      </c>
      <c r="L24" s="58" t="str">
        <f t="shared" si="5"/>
        <v/>
      </c>
      <c r="M24" s="59" t="str">
        <f t="shared" si="6"/>
        <v/>
      </c>
      <c r="N24" s="152">
        <v>66068309</v>
      </c>
      <c r="O24" s="152">
        <v>0</v>
      </c>
      <c r="P24" s="69">
        <f>IF(J3="",0,+SUM(J3:J33)/SUM(I3:I33))</f>
        <v>1.4625456326242072E-2</v>
      </c>
      <c r="Q24" s="69">
        <f>IF(L3="",0,+SUM(L3:L33)/SUM(I3:I33))</f>
        <v>1.4625456326242072E-2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/>
      <c r="E25" s="146"/>
      <c r="F25" s="147"/>
      <c r="G25" s="148">
        <v>184.483</v>
      </c>
      <c r="H25" s="58">
        <v>4140</v>
      </c>
      <c r="I25" s="58" t="str">
        <f t="shared" si="2"/>
        <v/>
      </c>
      <c r="J25" s="58" t="str">
        <f t="shared" si="2"/>
        <v/>
      </c>
      <c r="K25" s="59" t="str">
        <f t="shared" si="4"/>
        <v/>
      </c>
      <c r="L25" s="58" t="str">
        <f t="shared" si="5"/>
        <v/>
      </c>
      <c r="M25" s="59" t="str">
        <f t="shared" si="6"/>
        <v/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-0.35490523849977107</v>
      </c>
      <c r="Q25" s="70">
        <f>IF(L3="",0,+(+(LOOKUP(9.99999999999999E+307,F3:F33)-F2))/(+(LOOKUP(9.99999999999999E+307,D3:D33)-D2)))</f>
        <v>2.1685783389815711E-2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/>
      <c r="E26" s="146"/>
      <c r="F26" s="147"/>
      <c r="G26" s="148">
        <v>184.53800000000001</v>
      </c>
      <c r="H26" s="58">
        <v>4140</v>
      </c>
      <c r="I26" s="58" t="str">
        <f t="shared" si="2"/>
        <v/>
      </c>
      <c r="J26" s="58" t="str">
        <f t="shared" si="2"/>
        <v/>
      </c>
      <c r="K26" s="59" t="str">
        <f t="shared" si="4"/>
        <v/>
      </c>
      <c r="L26" s="58" t="str">
        <f t="shared" si="5"/>
        <v/>
      </c>
      <c r="M26" s="59" t="str">
        <f t="shared" si="6"/>
        <v/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/>
      <c r="E27" s="146"/>
      <c r="F27" s="147"/>
      <c r="G27" s="148">
        <v>184.571</v>
      </c>
      <c r="H27" s="58">
        <v>4140</v>
      </c>
      <c r="I27" s="58" t="str">
        <f t="shared" si="2"/>
        <v/>
      </c>
      <c r="J27" s="58" t="str">
        <f t="shared" si="2"/>
        <v/>
      </c>
      <c r="K27" s="59" t="str">
        <f t="shared" si="4"/>
        <v/>
      </c>
      <c r="L27" s="58" t="str">
        <f t="shared" si="5"/>
        <v/>
      </c>
      <c r="M27" s="59" t="str">
        <f t="shared" si="6"/>
        <v/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/>
      <c r="E28" s="146"/>
      <c r="F28" s="147"/>
      <c r="G28" s="148">
        <v>184.61</v>
      </c>
      <c r="H28" s="58">
        <v>4140</v>
      </c>
      <c r="I28" s="58" t="str">
        <f t="shared" si="2"/>
        <v/>
      </c>
      <c r="J28" s="58" t="str">
        <f t="shared" si="2"/>
        <v/>
      </c>
      <c r="K28" s="59" t="str">
        <f t="shared" si="4"/>
        <v/>
      </c>
      <c r="L28" s="58" t="str">
        <f t="shared" si="5"/>
        <v/>
      </c>
      <c r="M28" s="59" t="str">
        <f t="shared" si="6"/>
        <v/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/>
      <c r="E29" s="146"/>
      <c r="F29" s="147"/>
      <c r="G29" s="148">
        <v>184.66200000000001</v>
      </c>
      <c r="H29" s="58">
        <v>4140</v>
      </c>
      <c r="I29" s="58" t="str">
        <f t="shared" si="2"/>
        <v/>
      </c>
      <c r="J29" s="58" t="str">
        <f t="shared" si="2"/>
        <v/>
      </c>
      <c r="K29" s="59" t="str">
        <f t="shared" si="4"/>
        <v/>
      </c>
      <c r="L29" s="58" t="str">
        <f t="shared" si="5"/>
        <v/>
      </c>
      <c r="M29" s="59" t="str">
        <f t="shared" si="6"/>
        <v/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80:K140" si="15">IF(J80="","",+(J80/I80))</f>
        <v/>
      </c>
      <c r="L80" s="58" t="str">
        <f t="shared" ref="L80:L140" si="16">IF(F80="","",+(F80-F79)*4140)</f>
        <v/>
      </c>
      <c r="M80" s="59" t="str">
        <f t="shared" ref="M80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89" t="s">
        <v>60</v>
      </c>
      <c r="Q81" s="190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1"/>
      <c r="Q82" s="192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89" t="s">
        <v>61</v>
      </c>
      <c r="Q111" s="190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1"/>
      <c r="Q112" s="192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89" t="s">
        <v>62</v>
      </c>
      <c r="Q142" s="190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1"/>
      <c r="Q143" s="192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89" t="s">
        <v>63</v>
      </c>
      <c r="Q172" s="190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1"/>
      <c r="Q173" s="192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3" t="s">
        <v>64</v>
      </c>
      <c r="Q203" s="194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1"/>
      <c r="Q204" s="192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3" t="s">
        <v>65</v>
      </c>
      <c r="Q234" s="194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1"/>
      <c r="Q235" s="192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89" t="s">
        <v>66</v>
      </c>
      <c r="Q264" s="190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1"/>
      <c r="Q265" s="192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89" t="s">
        <v>67</v>
      </c>
      <c r="Q295" s="190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1"/>
      <c r="Q296" s="192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89" t="s">
        <v>68</v>
      </c>
      <c r="Q325" s="190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1"/>
      <c r="Q326" s="192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89" t="s">
        <v>69</v>
      </c>
      <c r="Q356" s="190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1"/>
      <c r="Q357" s="192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33:K61">
    <cfRule type="cellIs" dxfId="7" priority="10" stopIfTrue="1" operator="between">
      <formula>0.2</formula>
      <formula>100</formula>
    </cfRule>
  </conditionalFormatting>
  <conditionalFormatting sqref="M2 M77:M65173 M33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2022-01-17T06:46:06Z</dcterms:modified>
  <cp:category/>
  <cp:contentStatus/>
</cp:coreProperties>
</file>